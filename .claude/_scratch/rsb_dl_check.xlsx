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rsbteam.sharepoint.com/sites/RSBTeam/Shared Documents/Certification/Billing POs/Templates/"/>
    </mc:Choice>
  </mc:AlternateContent>
  <xr:revisionPtr revIDLastSave="0" documentId="8_{25E0F258-E4A0-46F0-8A32-7EF297D87F73}" xr6:coauthVersionLast="47" xr6:coauthVersionMax="47" xr10:uidLastSave="{00000000-0000-0000-0000-000000000000}"/>
  <bookViews>
    <workbookView xWindow="-98" yWindow="-98" windowWidth="21795" windowHeight="12975" xr2:uid="{00000000-000D-0000-FFFF-FFFF00000000}"/>
  </bookViews>
  <sheets>
    <sheet name="PO Sem Reporting Form _Advanced" sheetId="3" r:id="rId1"/>
  </sheets>
  <definedNames>
    <definedName name="_xlnm.Print_Area" localSheetId="0">'PO Sem Reporting Form _Advanced'!$B$1:$F$40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17" i="3"/>
  <c r="F19" i="3" l="1"/>
  <c r="F11" i="3" s="1"/>
  <c r="F26" i="3"/>
  <c r="F24" i="3"/>
</calcChain>
</file>

<file path=xl/sharedStrings.xml><?xml version="1.0" encoding="utf-8"?>
<sst xmlns="http://schemas.openxmlformats.org/spreadsheetml/2006/main" count="53" uniqueCount="48">
  <si>
    <t>INSTRUCTIONS:  This form is applied for certified Participating Operators (POs) producing and, or selling RSB Certified products</t>
  </si>
  <si>
    <t>Report form version 04 - November 2025.</t>
  </si>
  <si>
    <t>History of changes:</t>
  </si>
  <si>
    <t>Row 11 - corrected references and formula to divide cost of trading offices by 2 (as RSB invoices per semester)</t>
  </si>
  <si>
    <t>Name of Participating Operator:</t>
  </si>
  <si>
    <t>PO Number:</t>
  </si>
  <si>
    <t xml:space="preserve">Contact Person: </t>
  </si>
  <si>
    <t>Report form version 03 - 01 August 2025.</t>
  </si>
  <si>
    <t xml:space="preserve">Reporting period (Semester and Year*): </t>
  </si>
  <si>
    <t>Row 28 - corrected references and formula to reflect turnover in Millions EUR</t>
  </si>
  <si>
    <t xml:space="preserve"> Applicable fee per semester (EUR)</t>
  </si>
  <si>
    <t>💶 Currency &amp; Invoicing:
All fees are calculated in euros (€). Each semester invoice reflects:
- 100% of the fee based on reported production volumes for the semester
- 50% of the annual base fee, as calculated from reported turnover
📌 Note: Since the €20,000 cap for production applies to the total production across the year, RSB will review the values in the second semester and, where necessary, adjust the invoice to ensure the annual production fee does not exceed €20,000.</t>
  </si>
  <si>
    <t>I affirm that the information provided below is true and correct to the best of my knowledge and the company is in compliance with the applicable RSB standards.</t>
  </si>
  <si>
    <t>Column F - updated currency to €.</t>
  </si>
  <si>
    <t>Row 17 - Feedstock production added</t>
  </si>
  <si>
    <t>Please fill in all applicable reporting categories below</t>
  </si>
  <si>
    <t>Report form version 02 - 23 July 2025.</t>
  </si>
  <si>
    <t>If you are a feedstock producer, include here the total amount of feedstock in tonnes:</t>
  </si>
  <si>
    <t>tonnes</t>
  </si>
  <si>
    <r>
      <t xml:space="preserve">Feedstock Production: </t>
    </r>
    <r>
      <rPr>
        <sz val="10"/>
        <rFont val="Arial"/>
        <family val="2"/>
      </rPr>
      <t>€0.10 per tonne of RSB-certified feedstock produced. The combined fee for feedstock, solid and gaseous production is capped at a total of €20,000.</t>
    </r>
  </si>
  <si>
    <t>Cell I19 - corrected reference to exceeding volume to 1,000 instead of 10,000</t>
  </si>
  <si>
    <t>If you are an industrial operator and produce intermediary or finished RSB certified products, include here the total amount in tonnes:</t>
  </si>
  <si>
    <r>
      <t xml:space="preserve">Solid or liquid Production: </t>
    </r>
    <r>
      <rPr>
        <sz val="10"/>
        <rFont val="Arial"/>
        <family val="2"/>
      </rPr>
      <t>€0.10 per tonne of RSB-certified intermediate or finished material produced, applicable only to volumes exceeding 1,000 tonnes. The combined fee for feedstock, solid and gaseous production is capped at a total of €20,000.</t>
    </r>
  </si>
  <si>
    <t>Cell F19 - adjusted formula to reflect exceeding volume correctly.</t>
  </si>
  <si>
    <r>
      <t>If you produce intermediary or finished RSB certified gaseous products, include here the total amount in Nm</t>
    </r>
    <r>
      <rPr>
        <b/>
        <vertAlign val="superscript"/>
        <sz val="11"/>
        <color theme="0"/>
        <rFont val="Arial"/>
        <family val="2"/>
      </rPr>
      <t>3</t>
    </r>
    <r>
      <rPr>
        <b/>
        <sz val="11"/>
        <color theme="0"/>
        <rFont val="Arial"/>
        <family val="2"/>
      </rPr>
      <t>:</t>
    </r>
  </si>
  <si>
    <r>
      <t>Nm</t>
    </r>
    <r>
      <rPr>
        <i/>
        <vertAlign val="superscript"/>
        <sz val="11"/>
        <color theme="1"/>
        <rFont val="Arial"/>
        <family val="2"/>
      </rPr>
      <t>3</t>
    </r>
  </si>
  <si>
    <r>
      <t>Gaseous Production:</t>
    </r>
    <r>
      <rPr>
        <sz val="10"/>
        <rFont val="Arial"/>
        <family val="2"/>
      </rPr>
      <t xml:space="preserve"> €0.10 per 1,000 Nm³ of RSB-certified gaseous material produced, applicable to volumes exceeding 10,000 Nm³. The combined fee for feedstock, solid and gaseous production is capped at a total of €20,000.</t>
    </r>
  </si>
  <si>
    <t>If you have trading offices included in your scope of certification, include here the total amount of offices:</t>
  </si>
  <si>
    <t>Office(s)</t>
  </si>
  <si>
    <r>
      <rPr>
        <b/>
        <u/>
        <sz val="10"/>
        <color theme="1"/>
        <rFont val="Arial"/>
        <family val="2"/>
      </rPr>
      <t>Traders</t>
    </r>
    <r>
      <rPr>
        <sz val="10"/>
        <color theme="1"/>
        <rFont val="Arial"/>
        <family val="2"/>
      </rPr>
      <t xml:space="preserve">: €200 per trading unit included in scope over 2 trading units
</t>
    </r>
  </si>
  <si>
    <t>Please include here the total turnover of your operation included under the scope of certification:</t>
  </si>
  <si>
    <t>Millions
EUR</t>
  </si>
  <si>
    <r>
      <t xml:space="preserve">Annual Base Fee: </t>
    </r>
    <r>
      <rPr>
        <sz val="10"/>
        <rFont val="Arial"/>
        <family val="2"/>
      </rPr>
      <t>Determined in accordance with Schedule C, Table 1 of the PO Agreement. The applicable invoice will represent half of the annual base fee, as this amount is billed semi-annually</t>
    </r>
  </si>
  <si>
    <t>Please include below the details related to the RSB-Certified production (add as many rows as necessary):</t>
  </si>
  <si>
    <t>Product name and type</t>
  </si>
  <si>
    <t>Total amount in metric tonnes</t>
  </si>
  <si>
    <t>Product 1</t>
  </si>
  <si>
    <t>Product 2</t>
  </si>
  <si>
    <t>Product 3</t>
  </si>
  <si>
    <t>Product 4</t>
  </si>
  <si>
    <t>Product 5</t>
  </si>
  <si>
    <t>Product 6</t>
  </si>
  <si>
    <t>Product 7</t>
  </si>
  <si>
    <t>Product 8</t>
  </si>
  <si>
    <t>Product 9</t>
  </si>
  <si>
    <t>Product 10</t>
  </si>
  <si>
    <t>Product 11</t>
  </si>
  <si>
    <t>Product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</si>
</sst>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00_ ;_ &quot;₹&quot;\ * \-#,##0.00_ ;_ &quot;₹&quot;\ * &quot;-&quot;??_ ;_ @_ "/>
    <numFmt numFmtId="165" formatCode="_ * #,##0.00_ ;_ * \-#,##0.00_ ;_ * &quot;-&quot;??_ ;_ @_ "/>
    <numFmt numFmtId="166" formatCode="[$$-409]#,##0.00"/>
    <numFmt numFmtId="167" formatCode="&quot;$&quot;#,##0"/>
    <numFmt numFmtId="168" formatCode="_-* #,##0_-;\-* #,##0_-;_-* &quot;-&quot;??_-;_-@_-"/>
    <numFmt numFmtId="169" formatCode="_ * #,##0_ ;_ * \-#,##0_ ;_ * &quot;-&quot;??_ ;_ @_ "/>
    <numFmt numFmtId="170" formatCode="[$$-409]#,##0"/>
    <numFmt numFmtId="171" formatCode="[$€-2]\ #,##0"/>
  </numFmts>
  <fonts count="26" x14ac:knownFonts="1">
    <font>
      <sz val="11"/>
      <color theme="1"/>
      <name val="Calibri"/>
      <family val="2"/>
      <scheme val="minor"/>
    </font>
    <font>
      <sz val="11"/>
      <color theme="1"/>
      <name val="Calibri"/>
      <family val="2"/>
      <scheme val="minor"/>
    </font>
    <font>
      <sz val="12"/>
      <color theme="0"/>
      <name val="Arial"/>
      <family val="2"/>
    </font>
    <font>
      <sz val="10"/>
      <color theme="1"/>
      <name val="Arial"/>
      <family val="2"/>
    </font>
    <font>
      <sz val="12"/>
      <name val="Arial"/>
      <family val="2"/>
    </font>
    <font>
      <b/>
      <sz val="10"/>
      <color theme="0"/>
      <name val="Arial"/>
      <family val="2"/>
    </font>
    <font>
      <b/>
      <sz val="11"/>
      <color theme="0"/>
      <name val="Arial"/>
      <family val="2"/>
    </font>
    <font>
      <sz val="10"/>
      <color theme="0"/>
      <name val="Arial"/>
      <family val="2"/>
    </font>
    <font>
      <sz val="10"/>
      <name val="Arial"/>
      <family val="2"/>
    </font>
    <font>
      <b/>
      <u/>
      <sz val="10"/>
      <color theme="1"/>
      <name val="Arial"/>
      <family val="2"/>
    </font>
    <font>
      <i/>
      <u/>
      <sz val="10"/>
      <color theme="1"/>
      <name val="Arial"/>
      <family val="2"/>
    </font>
    <font>
      <u/>
      <sz val="12"/>
      <color theme="10"/>
      <name val="Calibri"/>
      <family val="2"/>
      <scheme val="minor"/>
    </font>
    <font>
      <u/>
      <sz val="10"/>
      <color theme="10"/>
      <name val="Arial"/>
      <family val="2"/>
    </font>
    <font>
      <b/>
      <u/>
      <sz val="10"/>
      <name val="Arial"/>
      <family val="2"/>
    </font>
    <font>
      <sz val="11"/>
      <color theme="0"/>
      <name val="Arial"/>
      <family val="2"/>
    </font>
    <font>
      <i/>
      <u/>
      <sz val="11"/>
      <name val="Arial"/>
      <family val="2"/>
    </font>
    <font>
      <b/>
      <sz val="11"/>
      <color theme="1"/>
      <name val="Arial"/>
      <family val="2"/>
    </font>
    <font>
      <sz val="11"/>
      <color theme="1"/>
      <name val="Arial"/>
      <family val="2"/>
    </font>
    <font>
      <sz val="10"/>
      <color theme="2" tint="-0.249977111117893"/>
      <name val="Arial"/>
      <family val="2"/>
    </font>
    <font>
      <i/>
      <u/>
      <sz val="10"/>
      <name val="Arial"/>
      <family val="2"/>
    </font>
    <font>
      <b/>
      <sz val="12"/>
      <color theme="0"/>
      <name val="Arial"/>
      <family val="2"/>
    </font>
    <font>
      <b/>
      <vertAlign val="superscript"/>
      <sz val="11"/>
      <color theme="0"/>
      <name val="Arial"/>
      <family val="2"/>
    </font>
    <font>
      <sz val="8"/>
      <name val="Calibri"/>
      <family val="2"/>
      <scheme val="minor"/>
    </font>
    <font>
      <i/>
      <sz val="11"/>
      <color theme="1"/>
      <name val="Arial"/>
      <family val="2"/>
    </font>
    <font>
      <i/>
      <vertAlign val="superscript"/>
      <sz val="11"/>
      <color theme="1"/>
      <name val="Arial"/>
      <family val="2"/>
    </font>
    <font>
      <b/>
      <sz val="10"/>
      <color theme="1"/>
      <name val="Arial"/>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1"/>
        <bgColor indexed="64"/>
      </patternFill>
    </fill>
    <fill>
      <patternFill patternType="solid">
        <fgColor rgb="FF9AECEE"/>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0C9992"/>
        <bgColor indexed="64"/>
      </patternFill>
    </fill>
    <fill>
      <patternFill patternType="solid">
        <fgColor rgb="FF66FF66"/>
        <bgColor indexed="64"/>
      </patternFill>
    </fill>
  </fills>
  <borders count="3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right/>
      <top style="medium">
        <color indexed="64"/>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style="medium">
        <color indexed="64"/>
      </left>
      <right/>
      <top/>
      <bottom style="thin">
        <color auto="1"/>
      </bottom>
      <diagonal/>
    </border>
    <border>
      <left/>
      <right/>
      <top/>
      <bottom style="thin">
        <color auto="1"/>
      </bottom>
      <diagonal/>
    </border>
    <border>
      <left/>
      <right style="medium">
        <color indexed="64"/>
      </right>
      <top/>
      <bottom style="thin">
        <color auto="1"/>
      </bottom>
      <diagonal/>
    </border>
    <border>
      <left/>
      <right/>
      <top style="thin">
        <color auto="1"/>
      </top>
      <bottom style="thin">
        <color auto="1"/>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xf numFmtId="0" fontId="11" fillId="0" borderId="0" applyNumberFormat="0" applyFill="0" applyBorder="0" applyAlignment="0" applyProtection="0"/>
  </cellStyleXfs>
  <cellXfs count="129">
    <xf numFmtId="0" fontId="0" fillId="0" borderId="0" xfId="0"/>
    <xf numFmtId="0" fontId="8" fillId="2" borderId="0" xfId="0" applyFont="1" applyFill="1" applyProtection="1">
      <protection locked="0"/>
    </xf>
    <xf numFmtId="0" fontId="7" fillId="2" borderId="0" xfId="0" applyFont="1" applyFill="1" applyProtection="1">
      <protection locked="0"/>
    </xf>
    <xf numFmtId="0" fontId="3" fillId="0" borderId="0" xfId="3" applyFont="1" applyAlignment="1">
      <alignment horizontal="center"/>
    </xf>
    <xf numFmtId="0" fontId="3" fillId="0" borderId="6" xfId="0" applyFont="1" applyBorder="1" applyAlignment="1">
      <alignment wrapText="1"/>
    </xf>
    <xf numFmtId="0" fontId="3" fillId="0" borderId="0" xfId="0" applyFont="1" applyAlignment="1">
      <alignment wrapText="1"/>
    </xf>
    <xf numFmtId="1" fontId="3" fillId="0" borderId="0" xfId="0" quotePrefix="1" applyNumberFormat="1" applyFont="1" applyAlignment="1">
      <alignment horizontal="center"/>
    </xf>
    <xf numFmtId="166" fontId="3" fillId="0" borderId="0" xfId="0" applyNumberFormat="1" applyFont="1" applyAlignment="1">
      <alignment horizontal="center"/>
    </xf>
    <xf numFmtId="0" fontId="3" fillId="3" borderId="0" xfId="3" applyFont="1" applyFill="1" applyAlignment="1">
      <alignment horizontal="center"/>
    </xf>
    <xf numFmtId="0" fontId="3" fillId="0" borderId="7" xfId="0" applyFont="1" applyBorder="1"/>
    <xf numFmtId="0" fontId="4" fillId="0" borderId="0" xfId="3" applyFont="1" applyAlignment="1" applyProtection="1">
      <alignment horizontal="center" vertical="center"/>
      <protection locked="0"/>
    </xf>
    <xf numFmtId="0" fontId="5" fillId="0" borderId="0" xfId="3" applyFont="1" applyAlignment="1">
      <alignment horizontal="center"/>
    </xf>
    <xf numFmtId="0" fontId="3" fillId="0" borderId="0" xfId="0" applyFont="1" applyAlignment="1">
      <alignment horizontal="center"/>
    </xf>
    <xf numFmtId="167" fontId="3" fillId="0" borderId="0" xfId="2" applyNumberFormat="1" applyFont="1" applyFill="1" applyBorder="1" applyAlignment="1">
      <alignment horizontal="right"/>
    </xf>
    <xf numFmtId="0" fontId="12" fillId="0" borderId="0" xfId="4" applyFont="1" applyFill="1" applyBorder="1" applyAlignment="1">
      <alignment horizontal="center"/>
    </xf>
    <xf numFmtId="168" fontId="3" fillId="0" borderId="0" xfId="1" applyNumberFormat="1" applyFont="1" applyFill="1" applyBorder="1" applyAlignment="1">
      <alignment horizontal="center"/>
    </xf>
    <xf numFmtId="0" fontId="9" fillId="0" borderId="6" xfId="0" applyFont="1" applyBorder="1" applyAlignment="1">
      <alignment horizontal="left" vertical="center"/>
    </xf>
    <xf numFmtId="0" fontId="10" fillId="0" borderId="0" xfId="0" applyFont="1" applyAlignment="1">
      <alignment horizontal="left" vertical="center"/>
    </xf>
    <xf numFmtId="0" fontId="3" fillId="0" borderId="6" xfId="0" applyFont="1" applyBorder="1"/>
    <xf numFmtId="0" fontId="3" fillId="0" borderId="0" xfId="0" applyFont="1"/>
    <xf numFmtId="0" fontId="13" fillId="0" borderId="0" xfId="0" applyFont="1" applyAlignment="1">
      <alignment vertical="top" wrapText="1"/>
    </xf>
    <xf numFmtId="0" fontId="13" fillId="0" borderId="0" xfId="0" applyFont="1" applyAlignment="1">
      <alignment horizontal="left" vertical="top" wrapText="1"/>
    </xf>
    <xf numFmtId="0" fontId="3" fillId="0" borderId="3" xfId="0" applyFont="1" applyBorder="1"/>
    <xf numFmtId="0" fontId="3" fillId="0" borderId="4" xfId="0" applyFont="1" applyBorder="1"/>
    <xf numFmtId="0" fontId="3" fillId="0" borderId="5" xfId="0" applyFont="1" applyBorder="1"/>
    <xf numFmtId="0" fontId="7" fillId="2" borderId="0" xfId="0" applyFont="1" applyFill="1"/>
    <xf numFmtId="0" fontId="14" fillId="0" borderId="0" xfId="0" applyFont="1" applyAlignment="1">
      <alignment vertical="center"/>
    </xf>
    <xf numFmtId="0" fontId="14" fillId="0" borderId="7" xfId="0" applyFont="1" applyBorder="1" applyAlignment="1">
      <alignment vertical="center"/>
    </xf>
    <xf numFmtId="0" fontId="7" fillId="2" borderId="0" xfId="0" applyFont="1" applyFill="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6" fillId="0" borderId="6" xfId="0" applyFont="1" applyBorder="1" applyAlignment="1" applyProtection="1">
      <alignment horizontal="right" vertical="center"/>
      <protection locked="0"/>
    </xf>
    <xf numFmtId="0" fontId="16" fillId="0" borderId="0" xfId="0" applyFont="1" applyAlignment="1" applyProtection="1">
      <alignment horizontal="right" vertical="center"/>
      <protection locked="0"/>
    </xf>
    <xf numFmtId="0" fontId="17" fillId="0" borderId="0" xfId="0" applyFont="1" applyAlignment="1" applyProtection="1">
      <alignment horizontal="center"/>
      <protection locked="0"/>
    </xf>
    <xf numFmtId="15" fontId="17" fillId="0" borderId="7" xfId="0" applyNumberFormat="1" applyFont="1" applyBorder="1" applyAlignment="1" applyProtection="1">
      <alignment horizontal="left"/>
      <protection locked="0"/>
    </xf>
    <xf numFmtId="0" fontId="18" fillId="2" borderId="0" xfId="0" applyFont="1" applyFill="1"/>
    <xf numFmtId="0" fontId="18" fillId="2" borderId="0" xfId="0" applyFont="1" applyFill="1" applyAlignment="1">
      <alignment wrapText="1"/>
    </xf>
    <xf numFmtId="169" fontId="4" fillId="9" borderId="2" xfId="1" applyNumberFormat="1" applyFont="1" applyFill="1" applyBorder="1" applyAlignment="1" applyProtection="1">
      <alignment horizontal="center" vertical="center"/>
      <protection locked="0"/>
    </xf>
    <xf numFmtId="0" fontId="3" fillId="0" borderId="6" xfId="0" applyFont="1" applyBorder="1" applyAlignment="1">
      <alignment horizontal="left"/>
    </xf>
    <xf numFmtId="0" fontId="3" fillId="0" borderId="0" xfId="0" applyFont="1" applyAlignment="1">
      <alignment horizontal="left"/>
    </xf>
    <xf numFmtId="0" fontId="3" fillId="0" borderId="7" xfId="0" applyFont="1" applyBorder="1" applyAlignment="1">
      <alignment horizontal="left"/>
    </xf>
    <xf numFmtId="0" fontId="3" fillId="0" borderId="0" xfId="0" applyFont="1" applyAlignment="1">
      <alignment vertical="top" wrapText="1"/>
    </xf>
    <xf numFmtId="0" fontId="5" fillId="7" borderId="22" xfId="0" applyFont="1" applyFill="1" applyBorder="1" applyAlignment="1">
      <alignment horizontal="center" vertical="center" wrapText="1"/>
    </xf>
    <xf numFmtId="0" fontId="5" fillId="7" borderId="24" xfId="0" applyFont="1" applyFill="1" applyBorder="1" applyAlignment="1">
      <alignment vertical="center" wrapText="1"/>
    </xf>
    <xf numFmtId="0" fontId="3" fillId="6" borderId="23" xfId="0" applyFont="1" applyFill="1" applyBorder="1" applyAlignment="1">
      <alignment vertical="center" wrapText="1"/>
    </xf>
    <xf numFmtId="165" fontId="3" fillId="6" borderId="25" xfId="1" applyFont="1" applyFill="1" applyBorder="1" applyAlignment="1">
      <alignment vertical="center" wrapText="1"/>
    </xf>
    <xf numFmtId="0" fontId="23" fillId="0" borderId="0" xfId="3" applyFont="1" applyAlignment="1">
      <alignment horizontal="left" vertical="center" wrapText="1"/>
    </xf>
    <xf numFmtId="0" fontId="23" fillId="0" borderId="0" xfId="3" applyFont="1" applyAlignment="1">
      <alignment horizontal="left" vertical="center"/>
    </xf>
    <xf numFmtId="0" fontId="17" fillId="0" borderId="0" xfId="3" applyFont="1" applyAlignment="1">
      <alignment horizontal="left"/>
    </xf>
    <xf numFmtId="0" fontId="17" fillId="0" borderId="0" xfId="0" applyFont="1" applyAlignment="1">
      <alignment horizontal="center"/>
    </xf>
    <xf numFmtId="170" fontId="3" fillId="0" borderId="7" xfId="0" applyNumberFormat="1" applyFont="1" applyBorder="1" applyAlignment="1">
      <alignment horizontal="right" vertical="center"/>
    </xf>
    <xf numFmtId="0" fontId="8" fillId="0" borderId="0" xfId="0" applyFont="1" applyAlignment="1">
      <alignment vertical="top" wrapText="1"/>
    </xf>
    <xf numFmtId="170" fontId="3" fillId="0" borderId="7" xfId="0" applyNumberFormat="1" applyFont="1" applyBorder="1" applyAlignment="1">
      <alignment vertical="center"/>
    </xf>
    <xf numFmtId="0" fontId="8" fillId="0" borderId="0" xfId="0" applyFont="1" applyAlignment="1">
      <alignment wrapText="1"/>
    </xf>
    <xf numFmtId="0" fontId="15" fillId="0" borderId="0" xfId="0" applyFont="1" applyAlignment="1">
      <alignment vertical="center" wrapText="1"/>
    </xf>
    <xf numFmtId="0" fontId="16" fillId="0" borderId="6" xfId="0" applyFont="1" applyBorder="1" applyAlignment="1" applyProtection="1">
      <alignment horizontal="left" vertical="center"/>
      <protection locked="0"/>
    </xf>
    <xf numFmtId="0" fontId="17" fillId="0" borderId="0" xfId="0" applyFont="1" applyAlignment="1" applyProtection="1">
      <alignment horizontal="left"/>
      <protection locked="0"/>
    </xf>
    <xf numFmtId="171" fontId="2" fillId="4" borderId="2" xfId="0" applyNumberFormat="1" applyFont="1" applyFill="1" applyBorder="1" applyAlignment="1">
      <alignment vertical="center"/>
    </xf>
    <xf numFmtId="0" fontId="25" fillId="0" borderId="22" xfId="0" applyFont="1" applyBorder="1" applyAlignment="1">
      <alignment horizontal="left"/>
    </xf>
    <xf numFmtId="0" fontId="25" fillId="0" borderId="30" xfId="0" applyFont="1" applyBorder="1" applyAlignment="1">
      <alignment horizontal="left"/>
    </xf>
    <xf numFmtId="0" fontId="25" fillId="0" borderId="24" xfId="0" applyFont="1" applyBorder="1" applyAlignment="1">
      <alignment horizontal="left"/>
    </xf>
    <xf numFmtId="0" fontId="6" fillId="8" borderId="19" xfId="0" applyFont="1" applyFill="1" applyBorder="1" applyAlignment="1">
      <alignment horizontal="left" vertical="center" wrapText="1"/>
    </xf>
    <xf numFmtId="0" fontId="6" fillId="8" borderId="20" xfId="0" applyFont="1" applyFill="1" applyBorder="1" applyAlignment="1">
      <alignment horizontal="left" vertical="center" wrapText="1"/>
    </xf>
    <xf numFmtId="0" fontId="25" fillId="0" borderId="14" xfId="0" applyFont="1" applyBorder="1" applyAlignment="1">
      <alignment horizontal="left" wrapText="1"/>
    </xf>
    <xf numFmtId="0" fontId="25" fillId="0" borderId="1" xfId="0" applyFont="1" applyBorder="1" applyAlignment="1">
      <alignment horizontal="left" wrapText="1"/>
    </xf>
    <xf numFmtId="0" fontId="25" fillId="0" borderId="15" xfId="0" applyFont="1" applyBorder="1" applyAlignment="1">
      <alignment horizontal="left" wrapText="1"/>
    </xf>
    <xf numFmtId="0" fontId="3" fillId="0" borderId="14" xfId="0" applyFont="1" applyBorder="1" applyAlignment="1">
      <alignment wrapText="1"/>
    </xf>
    <xf numFmtId="0" fontId="3" fillId="0" borderId="1" xfId="0" applyFont="1" applyBorder="1" applyAlignment="1">
      <alignment wrapText="1"/>
    </xf>
    <xf numFmtId="0" fontId="3" fillId="0" borderId="15" xfId="0" applyFont="1" applyBorder="1" applyAlignment="1">
      <alignment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25" fillId="0" borderId="23" xfId="0" applyFont="1" applyBorder="1" applyAlignment="1">
      <alignment horizontal="left" wrapText="1"/>
    </xf>
    <xf numFmtId="0" fontId="25" fillId="0" borderId="37" xfId="0" applyFont="1" applyBorder="1" applyAlignment="1">
      <alignment horizontal="left" wrapText="1"/>
    </xf>
    <xf numFmtId="0" fontId="25" fillId="0" borderId="25" xfId="0" applyFont="1" applyBorder="1" applyAlignment="1">
      <alignment horizontal="left" wrapText="1"/>
    </xf>
    <xf numFmtId="0" fontId="3" fillId="0" borderId="31" xfId="0" applyFont="1" applyBorder="1" applyAlignment="1">
      <alignment wrapText="1"/>
    </xf>
    <xf numFmtId="0" fontId="3" fillId="0" borderId="32" xfId="0" applyFont="1" applyBorder="1" applyAlignment="1">
      <alignment wrapText="1"/>
    </xf>
    <xf numFmtId="0" fontId="3" fillId="0" borderId="33" xfId="0" applyFont="1" applyBorder="1" applyAlignment="1">
      <alignment wrapText="1"/>
    </xf>
    <xf numFmtId="0" fontId="3" fillId="0" borderId="34" xfId="0" applyFont="1" applyBorder="1" applyAlignment="1">
      <alignment wrapText="1"/>
    </xf>
    <xf numFmtId="0" fontId="3" fillId="0" borderId="35" xfId="0" applyFont="1" applyBorder="1" applyAlignment="1">
      <alignment wrapText="1"/>
    </xf>
    <xf numFmtId="0" fontId="3" fillId="0" borderId="36" xfId="0" applyFont="1" applyBorder="1" applyAlignment="1">
      <alignment wrapText="1"/>
    </xf>
    <xf numFmtId="0" fontId="3" fillId="0" borderId="31" xfId="0" applyFont="1" applyBorder="1" applyAlignment="1">
      <alignment horizontal="left" wrapText="1"/>
    </xf>
    <xf numFmtId="0" fontId="3" fillId="0" borderId="32" xfId="0" applyFont="1" applyBorder="1" applyAlignment="1">
      <alignment horizontal="left" wrapText="1"/>
    </xf>
    <xf numFmtId="0" fontId="3" fillId="0" borderId="33" xfId="0" applyFont="1" applyBorder="1" applyAlignment="1">
      <alignment horizontal="left" wrapText="1"/>
    </xf>
    <xf numFmtId="0" fontId="3" fillId="0" borderId="6" xfId="0" applyFont="1" applyBorder="1" applyAlignment="1">
      <alignment horizontal="left" wrapText="1"/>
    </xf>
    <xf numFmtId="0" fontId="3" fillId="0" borderId="0" xfId="0" applyFont="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10" xfId="0" applyFont="1" applyBorder="1" applyAlignment="1">
      <alignment horizontal="left" wrapText="1"/>
    </xf>
    <xf numFmtId="0" fontId="13" fillId="0" borderId="0" xfId="0" applyFont="1" applyAlignment="1">
      <alignment horizontal="left" vertical="top" wrapText="1"/>
    </xf>
    <xf numFmtId="0" fontId="3" fillId="0" borderId="0" xfId="0" applyFont="1" applyAlignment="1">
      <alignment horizontal="left" vertical="top" wrapText="1"/>
    </xf>
    <xf numFmtId="0" fontId="14" fillId="8" borderId="21" xfId="0" applyFont="1" applyFill="1" applyBorder="1" applyAlignment="1">
      <alignment horizontal="center" vertical="center" wrapText="1"/>
    </xf>
    <xf numFmtId="0" fontId="14" fillId="8" borderId="26" xfId="0" applyFont="1" applyFill="1" applyBorder="1" applyAlignment="1">
      <alignment horizontal="center" vertical="center" wrapText="1"/>
    </xf>
    <xf numFmtId="0" fontId="8" fillId="0" borderId="0" xfId="0" applyFont="1" applyAlignment="1">
      <alignment horizontal="left" vertical="top" wrapText="1"/>
    </xf>
    <xf numFmtId="0" fontId="19" fillId="6" borderId="3" xfId="0" applyFont="1" applyFill="1" applyBorder="1" applyAlignment="1">
      <alignment horizontal="left" vertical="center" wrapText="1"/>
    </xf>
    <xf numFmtId="0" fontId="19" fillId="6" borderId="4"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8" xfId="0" applyFont="1" applyFill="1" applyBorder="1" applyAlignment="1">
      <alignment horizontal="left" vertical="center" wrapText="1"/>
    </xf>
    <xf numFmtId="0" fontId="19" fillId="6" borderId="9" xfId="0" applyFont="1" applyFill="1" applyBorder="1" applyAlignment="1">
      <alignment horizontal="left" vertical="center" wrapText="1"/>
    </xf>
    <xf numFmtId="0" fontId="19" fillId="6" borderId="10" xfId="0" applyFont="1" applyFill="1" applyBorder="1" applyAlignment="1">
      <alignment horizontal="left" vertical="center" wrapText="1"/>
    </xf>
    <xf numFmtId="0" fontId="3" fillId="0" borderId="9" xfId="0" applyFont="1" applyBorder="1" applyAlignment="1">
      <alignment horizontal="right"/>
    </xf>
    <xf numFmtId="0" fontId="3" fillId="0" borderId="10" xfId="0" applyFont="1" applyBorder="1" applyAlignment="1">
      <alignment horizontal="right"/>
    </xf>
    <xf numFmtId="0" fontId="3" fillId="0" borderId="0" xfId="0" applyFont="1" applyAlignment="1">
      <alignment horizontal="left" vertical="center" wrapText="1"/>
    </xf>
    <xf numFmtId="0" fontId="5" fillId="0" borderId="0" xfId="0" applyFont="1" applyAlignment="1">
      <alignment horizontal="center" wrapText="1"/>
    </xf>
    <xf numFmtId="0" fontId="6" fillId="8" borderId="6" xfId="0" applyFont="1" applyFill="1" applyBorder="1" applyAlignment="1">
      <alignment horizontal="center" vertical="center" wrapText="1"/>
    </xf>
    <xf numFmtId="0" fontId="6" fillId="8" borderId="0" xfId="0" applyFont="1" applyFill="1" applyAlignment="1">
      <alignment horizontal="center" vertical="center" wrapText="1"/>
    </xf>
    <xf numFmtId="0" fontId="6" fillId="8" borderId="7" xfId="0" applyFont="1" applyFill="1" applyBorder="1" applyAlignment="1">
      <alignment horizontal="center" vertical="center" wrapText="1"/>
    </xf>
    <xf numFmtId="0" fontId="14" fillId="8" borderId="11" xfId="0" applyFont="1" applyFill="1" applyBorder="1" applyAlignment="1">
      <alignment horizontal="left" wrapText="1"/>
    </xf>
    <xf numFmtId="0" fontId="14" fillId="8" borderId="12" xfId="0" applyFont="1" applyFill="1" applyBorder="1" applyAlignment="1">
      <alignment horizontal="left" wrapText="1"/>
    </xf>
    <xf numFmtId="0" fontId="14" fillId="8" borderId="14" xfId="0" applyFont="1" applyFill="1" applyBorder="1" applyAlignment="1">
      <alignment horizontal="left" wrapText="1"/>
    </xf>
    <xf numFmtId="0" fontId="14" fillId="8" borderId="1" xfId="0" applyFont="1" applyFill="1" applyBorder="1" applyAlignment="1">
      <alignment horizontal="left" wrapText="1"/>
    </xf>
    <xf numFmtId="0" fontId="4" fillId="5" borderId="12" xfId="0" applyFont="1" applyFill="1" applyBorder="1" applyAlignment="1" applyProtection="1">
      <alignment horizontal="left" vertical="top"/>
      <protection locked="0"/>
    </xf>
    <xf numFmtId="0" fontId="4" fillId="5" borderId="13" xfId="0" applyFont="1" applyFill="1" applyBorder="1" applyAlignment="1" applyProtection="1">
      <alignment horizontal="left" vertical="top"/>
      <protection locked="0"/>
    </xf>
    <xf numFmtId="0" fontId="4" fillId="5" borderId="1" xfId="0" applyFont="1" applyFill="1" applyBorder="1" applyAlignment="1" applyProtection="1">
      <alignment horizontal="left" vertical="top"/>
      <protection locked="0"/>
    </xf>
    <xf numFmtId="0" fontId="4" fillId="5" borderId="15" xfId="0" applyFont="1" applyFill="1" applyBorder="1" applyAlignment="1" applyProtection="1">
      <alignment horizontal="left" vertical="top"/>
      <protection locked="0"/>
    </xf>
    <xf numFmtId="0" fontId="4" fillId="5" borderId="1" xfId="0" applyFont="1" applyFill="1" applyBorder="1" applyAlignment="1" applyProtection="1">
      <alignment horizontal="left"/>
      <protection locked="0"/>
    </xf>
    <xf numFmtId="0" fontId="4" fillId="5" borderId="15" xfId="0" applyFont="1" applyFill="1" applyBorder="1" applyAlignment="1" applyProtection="1">
      <alignment horizontal="left"/>
      <protection locked="0"/>
    </xf>
    <xf numFmtId="0" fontId="14" fillId="8" borderId="16" xfId="0" applyFont="1" applyFill="1" applyBorder="1" applyAlignment="1">
      <alignment horizontal="left"/>
    </xf>
    <xf numFmtId="0" fontId="14" fillId="8" borderId="17" xfId="0" applyFont="1" applyFill="1" applyBorder="1" applyAlignment="1">
      <alignment horizontal="left"/>
    </xf>
    <xf numFmtId="0" fontId="20" fillId="8" borderId="0" xfId="0" applyFont="1" applyFill="1" applyAlignment="1">
      <alignment horizontal="center" vertical="center" wrapText="1"/>
    </xf>
    <xf numFmtId="2" fontId="4" fillId="5" borderId="17" xfId="0" applyNumberFormat="1" applyFont="1" applyFill="1" applyBorder="1" applyAlignment="1" applyProtection="1">
      <alignment horizontal="left"/>
      <protection locked="0"/>
    </xf>
    <xf numFmtId="2" fontId="4" fillId="5" borderId="18" xfId="0" applyNumberFormat="1" applyFont="1" applyFill="1" applyBorder="1" applyAlignment="1" applyProtection="1">
      <alignment horizontal="left"/>
      <protection locked="0"/>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3" fillId="0" borderId="6" xfId="0" applyFont="1" applyBorder="1" applyAlignment="1">
      <alignment horizontal="center" wrapText="1"/>
    </xf>
    <xf numFmtId="0" fontId="3" fillId="0" borderId="0" xfId="0" applyFont="1" applyAlignment="1">
      <alignment horizontal="center" wrapText="1"/>
    </xf>
    <xf numFmtId="0" fontId="3" fillId="0" borderId="7" xfId="0" applyFont="1" applyBorder="1" applyAlignment="1">
      <alignment horizontal="center" wrapText="1"/>
    </xf>
  </cellXfs>
  <cellStyles count="5">
    <cellStyle name="Comma" xfId="1" builtinId="3"/>
    <cellStyle name="Currency" xfId="2" builtinId="4"/>
    <cellStyle name="Hyperlink" xfId="4" builtinId="8"/>
    <cellStyle name="Normal" xfId="0" builtinId="0"/>
    <cellStyle name="Normal 2" xfId="3" xr:uid="{00000000-0005-0000-0000-000003000000}"/>
  </cellStyles>
  <dxfs count="0"/>
  <tableStyles count="0" defaultTableStyle="TableStyleMedium2" defaultPivotStyle="PivotStyleLight16"/>
  <colors>
    <mruColors>
      <color rgb="FF0C9992"/>
      <color rgb="FF9AECEE"/>
      <color rgb="FF199093"/>
      <color rgb="FF1C6D86"/>
      <color rgb="FF1FAFB3"/>
      <color rgb="FF299D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153670</xdr:colOff>
      <xdr:row>0</xdr:row>
      <xdr:rowOff>255905</xdr:rowOff>
    </xdr:from>
    <xdr:to>
      <xdr:col>5</xdr:col>
      <xdr:colOff>1068070</xdr:colOff>
      <xdr:row>3</xdr:row>
      <xdr:rowOff>3810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2203450" y="255905"/>
          <a:ext cx="5128260" cy="464185"/>
        </a:xfrm>
        <a:prstGeom prst="roundRect">
          <a:avLst/>
        </a:prstGeom>
        <a:solidFill>
          <a:srgbClr val="0C999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2000"/>
            <a:t>SEMESTER PRODUCTION REPORT </a:t>
          </a:r>
          <a:endParaRPr lang="en-IN" sz="1600"/>
        </a:p>
      </xdr:txBody>
    </xdr:sp>
    <xdr:clientData/>
  </xdr:twoCellAnchor>
  <xdr:twoCellAnchor editAs="oneCell">
    <xdr:from>
      <xdr:col>1</xdr:col>
      <xdr:colOff>17144</xdr:colOff>
      <xdr:row>0</xdr:row>
      <xdr:rowOff>9521</xdr:rowOff>
    </xdr:from>
    <xdr:to>
      <xdr:col>2</xdr:col>
      <xdr:colOff>19050</xdr:colOff>
      <xdr:row>3</xdr:row>
      <xdr:rowOff>94766</xdr:rowOff>
    </xdr:to>
    <xdr:pic>
      <xdr:nvPicPr>
        <xdr:cNvPr id="2" name="image3.png" descr="A black background with a logo&#10;&#10;Description automatically generated">
          <a:extLst>
            <a:ext uri="{FF2B5EF4-FFF2-40B4-BE49-F238E27FC236}">
              <a16:creationId xmlns:a16="http://schemas.microsoft.com/office/drawing/2014/main" id="{C4F0EF74-A79E-BD8B-719C-8A52F4CA8A92}"/>
            </a:ext>
          </a:extLst>
        </xdr:cNvPr>
        <xdr:cNvPicPr>
          <a:picLocks noChangeAspect="1"/>
        </xdr:cNvPicPr>
      </xdr:nvPicPr>
      <xdr:blipFill rotWithShape="1">
        <a:blip xmlns:r="http://schemas.openxmlformats.org/officeDocument/2006/relationships" r:embed="rId1"/>
        <a:srcRect t="50928" r="31294"/>
        <a:stretch>
          <a:fillRect/>
        </a:stretch>
      </xdr:blipFill>
      <xdr:spPr>
        <a:xfrm>
          <a:off x="112394" y="9521"/>
          <a:ext cx="1954531" cy="799620"/>
        </a:xfrm>
        <a:prstGeom prst="rect">
          <a:avLst/>
        </a:prstGeom>
        <a:ln/>
      </xdr:spPr>
    </xdr:pic>
    <xdr:clientData/>
  </xdr:twoCellAnchor>
  <xdr:twoCellAnchor editAs="oneCell">
    <xdr:from>
      <xdr:col>8</xdr:col>
      <xdr:colOff>64770</xdr:colOff>
      <xdr:row>28</xdr:row>
      <xdr:rowOff>234315</xdr:rowOff>
    </xdr:from>
    <xdr:to>
      <xdr:col>8</xdr:col>
      <xdr:colOff>5658423</xdr:colOff>
      <xdr:row>43</xdr:row>
      <xdr:rowOff>59055</xdr:rowOff>
    </xdr:to>
    <xdr:pic>
      <xdr:nvPicPr>
        <xdr:cNvPr id="6" name="Picture 5">
          <a:extLst>
            <a:ext uri="{FF2B5EF4-FFF2-40B4-BE49-F238E27FC236}">
              <a16:creationId xmlns:a16="http://schemas.microsoft.com/office/drawing/2014/main" id="{5AD14883-83F8-1A9E-5590-BABA5830D201}"/>
            </a:ext>
          </a:extLst>
        </xdr:cNvPr>
        <xdr:cNvPicPr>
          <a:picLocks noChangeAspect="1"/>
        </xdr:cNvPicPr>
      </xdr:nvPicPr>
      <xdr:blipFill>
        <a:blip xmlns:r="http://schemas.openxmlformats.org/officeDocument/2006/relationships" r:embed="rId2"/>
        <a:stretch>
          <a:fillRect/>
        </a:stretch>
      </xdr:blipFill>
      <xdr:spPr>
        <a:xfrm>
          <a:off x="7951470" y="6892290"/>
          <a:ext cx="5589843" cy="4137660"/>
        </a:xfrm>
        <a:prstGeom prst="rect">
          <a:avLst/>
        </a:prstGeom>
        <a:ln>
          <a:solidFill>
            <a:schemeClr val="bg2"/>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B1:N75"/>
  <sheetViews>
    <sheetView showGridLines="0" tabSelected="1" zoomScale="70" zoomScaleNormal="70" workbookViewId="0">
      <selection activeCell="I5" sqref="I5:I8"/>
    </sheetView>
  </sheetViews>
  <sheetFormatPr defaultColWidth="8.73046875" defaultRowHeight="12.75" zeroHeight="1" x14ac:dyDescent="0.35"/>
  <cols>
    <col min="1" max="1" width="1.265625" style="19" customWidth="1"/>
    <col min="2" max="2" width="28.59765625" style="19" customWidth="1"/>
    <col min="3" max="3" width="30.1328125" style="19" customWidth="1"/>
    <col min="4" max="4" width="18" style="19" customWidth="1"/>
    <col min="5" max="5" width="13.265625" style="19" customWidth="1"/>
    <col min="6" max="6" width="34.73046875" style="19" customWidth="1"/>
    <col min="7" max="7" width="1.265625" style="25" customWidth="1"/>
    <col min="8" max="8" width="0.73046875" style="19" customWidth="1"/>
    <col min="9" max="9" width="90.1328125" style="19" customWidth="1"/>
    <col min="10" max="10" width="9.86328125" style="19" customWidth="1"/>
    <col min="11" max="13" width="8.73046875" style="19"/>
    <col min="14" max="14" width="19.265625" style="19" customWidth="1"/>
    <col min="15" max="16384" width="8.73046875" style="19"/>
  </cols>
  <sheetData>
    <row r="1" spans="2:14" ht="24" customHeight="1" thickBot="1" x14ac:dyDescent="0.4">
      <c r="B1" s="22"/>
      <c r="C1" s="23"/>
      <c r="D1" s="23"/>
      <c r="F1" s="24"/>
    </row>
    <row r="2" spans="2:14" ht="16.5" customHeight="1" x14ac:dyDescent="0.4">
      <c r="B2" s="18"/>
      <c r="F2" s="9"/>
      <c r="I2" s="92" t="s">
        <v>0</v>
      </c>
      <c r="K2" s="58" t="s">
        <v>1</v>
      </c>
      <c r="L2" s="59"/>
      <c r="M2" s="59"/>
      <c r="N2" s="60"/>
    </row>
    <row r="3" spans="2:14" ht="16.149999999999999" customHeight="1" thickBot="1" x14ac:dyDescent="0.45">
      <c r="B3" s="18"/>
      <c r="F3" s="9"/>
      <c r="H3" s="5"/>
      <c r="I3" s="93"/>
      <c r="J3" s="5"/>
      <c r="K3" s="63" t="s">
        <v>2</v>
      </c>
      <c r="L3" s="64"/>
      <c r="M3" s="64"/>
      <c r="N3" s="65"/>
    </row>
    <row r="4" spans="2:14" ht="14.65" customHeight="1" x14ac:dyDescent="0.35">
      <c r="B4" s="18"/>
      <c r="C4" s="26"/>
      <c r="D4" s="26"/>
      <c r="E4" s="26"/>
      <c r="F4" s="27"/>
      <c r="G4" s="28"/>
      <c r="H4" s="5"/>
      <c r="J4" s="5"/>
      <c r="K4" s="81" t="s">
        <v>3</v>
      </c>
      <c r="L4" s="82"/>
      <c r="M4" s="82"/>
      <c r="N4" s="83"/>
    </row>
    <row r="5" spans="2:14" ht="13.5" customHeight="1" thickBot="1" x14ac:dyDescent="0.4">
      <c r="B5" s="18"/>
      <c r="E5" s="101"/>
      <c r="F5" s="102"/>
      <c r="H5" s="5"/>
      <c r="I5" s="91"/>
      <c r="J5" s="5"/>
      <c r="K5" s="84"/>
      <c r="L5" s="85"/>
      <c r="M5" s="85"/>
      <c r="N5" s="86"/>
    </row>
    <row r="6" spans="2:14" ht="15" customHeight="1" x14ac:dyDescent="0.35">
      <c r="B6" s="108" t="s">
        <v>4</v>
      </c>
      <c r="C6" s="109"/>
      <c r="D6" s="112"/>
      <c r="E6" s="112"/>
      <c r="F6" s="113"/>
      <c r="H6" s="5"/>
      <c r="I6" s="91"/>
      <c r="J6" s="5"/>
      <c r="K6" s="84"/>
      <c r="L6" s="85"/>
      <c r="M6" s="85"/>
      <c r="N6" s="86"/>
    </row>
    <row r="7" spans="2:14" ht="15.4" thickBot="1" x14ac:dyDescent="0.4">
      <c r="B7" s="110" t="s">
        <v>5</v>
      </c>
      <c r="C7" s="111"/>
      <c r="D7" s="114"/>
      <c r="E7" s="114"/>
      <c r="F7" s="115" t="b">
        <v>1</v>
      </c>
      <c r="H7" s="5"/>
      <c r="I7" s="91"/>
      <c r="J7" s="5"/>
      <c r="K7" s="87"/>
      <c r="L7" s="88"/>
      <c r="M7" s="88"/>
      <c r="N7" s="89"/>
    </row>
    <row r="8" spans="2:14" ht="15" x14ac:dyDescent="0.4">
      <c r="B8" s="110" t="s">
        <v>6</v>
      </c>
      <c r="C8" s="111"/>
      <c r="D8" s="116"/>
      <c r="E8" s="116"/>
      <c r="F8" s="117"/>
      <c r="H8" s="5"/>
      <c r="I8" s="91"/>
      <c r="J8" s="5"/>
      <c r="K8" s="58" t="s">
        <v>7</v>
      </c>
      <c r="L8" s="59"/>
      <c r="M8" s="59"/>
      <c r="N8" s="60"/>
    </row>
    <row r="9" spans="2:14" ht="16.149999999999999" customHeight="1" thickBot="1" x14ac:dyDescent="0.45">
      <c r="B9" s="118" t="s">
        <v>8</v>
      </c>
      <c r="C9" s="119"/>
      <c r="D9" s="121"/>
      <c r="E9" s="121"/>
      <c r="F9" s="122"/>
      <c r="H9" s="5"/>
      <c r="I9" s="21"/>
      <c r="J9" s="5"/>
      <c r="K9" s="63" t="s">
        <v>2</v>
      </c>
      <c r="L9" s="64"/>
      <c r="M9" s="64"/>
      <c r="N9" s="65"/>
    </row>
    <row r="10" spans="2:14" ht="13.5" customHeight="1" thickBot="1" x14ac:dyDescent="0.4">
      <c r="B10" s="38"/>
      <c r="C10" s="39"/>
      <c r="D10" s="39"/>
      <c r="E10" s="39"/>
      <c r="F10" s="40"/>
      <c r="G10" s="2"/>
      <c r="H10" s="5"/>
      <c r="I10" s="53"/>
      <c r="J10" s="5"/>
      <c r="K10" s="66" t="s">
        <v>9</v>
      </c>
      <c r="L10" s="67"/>
      <c r="M10" s="67"/>
      <c r="N10" s="68"/>
    </row>
    <row r="11" spans="2:14" ht="34.9" customHeight="1" thickBot="1" x14ac:dyDescent="0.4">
      <c r="B11" s="16"/>
      <c r="C11" s="17"/>
      <c r="D11" s="120" t="s">
        <v>10</v>
      </c>
      <c r="E11" s="120"/>
      <c r="F11" s="57">
        <f>MIN(F17+F19+F24, 20000) + F26/2 + (F28/2)</f>
        <v>1000</v>
      </c>
      <c r="G11" s="1"/>
      <c r="H11" s="5"/>
      <c r="I11" s="94" t="s">
        <v>11</v>
      </c>
      <c r="J11" s="5"/>
      <c r="K11" s="66"/>
      <c r="L11" s="67"/>
      <c r="M11" s="67"/>
      <c r="N11" s="68"/>
    </row>
    <row r="12" spans="2:14" ht="23.1" customHeight="1" x14ac:dyDescent="0.35">
      <c r="B12" s="95" t="s">
        <v>12</v>
      </c>
      <c r="C12" s="96"/>
      <c r="D12" s="96"/>
      <c r="E12" s="96"/>
      <c r="F12" s="97"/>
      <c r="G12" s="1"/>
      <c r="H12" s="5"/>
      <c r="I12" s="94"/>
      <c r="J12" s="5"/>
      <c r="K12" s="66" t="s">
        <v>13</v>
      </c>
      <c r="L12" s="67"/>
      <c r="M12" s="67"/>
      <c r="N12" s="68"/>
    </row>
    <row r="13" spans="2:14" ht="23.1" customHeight="1" thickBot="1" x14ac:dyDescent="0.4">
      <c r="B13" s="98"/>
      <c r="C13" s="99"/>
      <c r="D13" s="99"/>
      <c r="E13" s="99"/>
      <c r="F13" s="100"/>
      <c r="G13" s="1"/>
      <c r="H13" s="5"/>
      <c r="I13" s="94"/>
      <c r="J13" s="5"/>
      <c r="K13" s="66"/>
      <c r="L13" s="67"/>
      <c r="M13" s="67"/>
      <c r="N13" s="68"/>
    </row>
    <row r="14" spans="2:14" ht="21" customHeight="1" thickBot="1" x14ac:dyDescent="0.4">
      <c r="B14" s="29"/>
      <c r="C14" s="54"/>
      <c r="D14" s="54"/>
      <c r="E14" s="54"/>
      <c r="F14" s="30"/>
      <c r="G14" s="1"/>
      <c r="H14" s="5"/>
      <c r="I14" s="94"/>
      <c r="J14" s="5"/>
      <c r="K14" s="69" t="s">
        <v>14</v>
      </c>
      <c r="L14" s="70"/>
      <c r="M14" s="70"/>
      <c r="N14" s="71"/>
    </row>
    <row r="15" spans="2:14" ht="13.15" customHeight="1" thickBot="1" x14ac:dyDescent="0.45">
      <c r="B15" s="123" t="s">
        <v>15</v>
      </c>
      <c r="C15" s="124"/>
      <c r="D15" s="124"/>
      <c r="E15" s="124"/>
      <c r="F15" s="125"/>
      <c r="G15" s="2" t="b">
        <v>0</v>
      </c>
      <c r="H15" s="5"/>
      <c r="I15" s="94"/>
      <c r="J15" s="5"/>
      <c r="K15" s="58" t="s">
        <v>16</v>
      </c>
      <c r="L15" s="59"/>
      <c r="M15" s="59"/>
      <c r="N15" s="60"/>
    </row>
    <row r="16" spans="2:14" ht="14.65" customHeight="1" thickBot="1" x14ac:dyDescent="0.45">
      <c r="B16" s="31"/>
      <c r="C16" s="33"/>
      <c r="D16" s="33"/>
      <c r="E16" s="32"/>
      <c r="F16" s="34"/>
      <c r="G16" s="2"/>
      <c r="H16" s="5"/>
      <c r="J16" s="5"/>
      <c r="K16" s="72" t="s">
        <v>2</v>
      </c>
      <c r="L16" s="73"/>
      <c r="M16" s="73"/>
      <c r="N16" s="74"/>
    </row>
    <row r="17" spans="2:14" ht="47.25" customHeight="1" thickBot="1" x14ac:dyDescent="0.4">
      <c r="B17" s="61" t="s">
        <v>17</v>
      </c>
      <c r="C17" s="62"/>
      <c r="D17" s="37">
        <v>0</v>
      </c>
      <c r="E17" s="47" t="s">
        <v>18</v>
      </c>
      <c r="F17" s="57">
        <f>MIN(D17*0.1,20000)</f>
        <v>0</v>
      </c>
      <c r="G17" s="2" t="b">
        <v>1</v>
      </c>
      <c r="H17" s="5"/>
      <c r="I17" s="20" t="s">
        <v>19</v>
      </c>
      <c r="J17" s="5"/>
      <c r="K17" s="75" t="s">
        <v>20</v>
      </c>
      <c r="L17" s="76"/>
      <c r="M17" s="76"/>
      <c r="N17" s="77"/>
    </row>
    <row r="18" spans="2:14" ht="14.65" customHeight="1" thickBot="1" x14ac:dyDescent="0.4">
      <c r="B18" s="55"/>
      <c r="C18" s="56"/>
      <c r="D18" s="33"/>
      <c r="E18" s="32"/>
      <c r="F18" s="34"/>
      <c r="G18" s="2"/>
      <c r="H18" s="5"/>
      <c r="J18" s="5"/>
      <c r="K18" s="78"/>
      <c r="L18" s="79"/>
      <c r="M18" s="79"/>
      <c r="N18" s="80"/>
    </row>
    <row r="19" spans="2:14" ht="47.25" customHeight="1" thickBot="1" x14ac:dyDescent="0.4">
      <c r="B19" s="61" t="s">
        <v>21</v>
      </c>
      <c r="C19" s="62"/>
      <c r="D19" s="37">
        <v>0</v>
      </c>
      <c r="E19" s="47" t="s">
        <v>18</v>
      </c>
      <c r="F19" s="57">
        <f>MIN(IF(D19&gt;1000,(((D19-1000))*0.1),0),20000)</f>
        <v>0</v>
      </c>
      <c r="G19" s="2" t="b">
        <v>1</v>
      </c>
      <c r="H19" s="5"/>
      <c r="I19" s="20" t="s">
        <v>22</v>
      </c>
      <c r="J19" s="5"/>
      <c r="K19" s="75" t="s">
        <v>23</v>
      </c>
      <c r="L19" s="76"/>
      <c r="M19" s="76"/>
      <c r="N19" s="77"/>
    </row>
    <row r="20" spans="2:14" ht="12" customHeight="1" thickBot="1" x14ac:dyDescent="0.4">
      <c r="B20" s="38"/>
      <c r="C20" s="39"/>
      <c r="D20" s="3"/>
      <c r="E20" s="48"/>
      <c r="F20" s="52"/>
      <c r="G20" s="2"/>
      <c r="H20" s="5"/>
      <c r="I20" s="41"/>
      <c r="J20" s="5"/>
      <c r="K20" s="78"/>
      <c r="L20" s="79"/>
      <c r="M20" s="79"/>
      <c r="N20" s="80"/>
    </row>
    <row r="21" spans="2:14" ht="13.15" hidden="1" customHeight="1" x14ac:dyDescent="0.35">
      <c r="B21" s="38"/>
      <c r="C21" s="39"/>
      <c r="D21" s="12"/>
      <c r="E21" s="49"/>
      <c r="F21" s="52"/>
      <c r="G21" s="35"/>
      <c r="H21" s="5"/>
      <c r="I21" s="41"/>
      <c r="J21" s="5"/>
      <c r="K21" s="69" t="s">
        <v>14</v>
      </c>
      <c r="L21" s="70"/>
      <c r="M21" s="70"/>
      <c r="N21" s="71"/>
    </row>
    <row r="22" spans="2:14" ht="13.15" hidden="1" customHeight="1" x14ac:dyDescent="0.4">
      <c r="B22" s="38"/>
      <c r="C22" s="39"/>
      <c r="D22" s="12"/>
      <c r="E22" s="49"/>
      <c r="F22" s="52"/>
      <c r="G22" s="35"/>
      <c r="H22" s="5"/>
      <c r="I22" s="41"/>
      <c r="J22" s="5"/>
      <c r="K22" s="58"/>
      <c r="L22" s="59"/>
      <c r="M22" s="59"/>
      <c r="N22" s="60"/>
    </row>
    <row r="23" spans="2:14" ht="13.15" hidden="1" customHeight="1" x14ac:dyDescent="0.4">
      <c r="B23" s="38"/>
      <c r="C23" s="39"/>
      <c r="D23" s="12"/>
      <c r="E23" s="49"/>
      <c r="F23" s="52"/>
      <c r="G23" s="35"/>
      <c r="H23" s="5"/>
      <c r="I23" s="41"/>
      <c r="J23" s="5"/>
      <c r="K23" s="72"/>
      <c r="L23" s="73"/>
      <c r="M23" s="73"/>
      <c r="N23" s="74"/>
    </row>
    <row r="24" spans="2:14" ht="41.25" customHeight="1" thickBot="1" x14ac:dyDescent="0.4">
      <c r="B24" s="61" t="s">
        <v>24</v>
      </c>
      <c r="C24" s="62"/>
      <c r="D24" s="37">
        <v>0</v>
      </c>
      <c r="E24" s="47" t="s">
        <v>25</v>
      </c>
      <c r="F24" s="57">
        <f>MIN(IF(D24&gt;10000,(((D24-10000)/1000)*0.1),0),20000)</f>
        <v>0</v>
      </c>
      <c r="G24" s="35" t="b">
        <v>0</v>
      </c>
      <c r="H24" s="5"/>
      <c r="I24" s="20" t="s">
        <v>26</v>
      </c>
      <c r="J24" s="5"/>
      <c r="K24" s="69" t="s">
        <v>14</v>
      </c>
      <c r="L24" s="70"/>
      <c r="M24" s="70"/>
      <c r="N24" s="71"/>
    </row>
    <row r="25" spans="2:14" ht="13.5" customHeight="1" thickBot="1" x14ac:dyDescent="0.4">
      <c r="B25" s="38"/>
      <c r="C25" s="39"/>
      <c r="D25" s="6"/>
      <c r="E25" s="7"/>
      <c r="F25" s="50"/>
      <c r="G25" s="35" t="b">
        <v>0</v>
      </c>
      <c r="H25" s="5"/>
      <c r="I25" s="20"/>
      <c r="J25" s="5"/>
      <c r="K25" s="5"/>
      <c r="L25" s="5"/>
      <c r="M25" s="5"/>
    </row>
    <row r="26" spans="2:14" s="5" customFormat="1" ht="31.9" customHeight="1" thickBot="1" x14ac:dyDescent="0.4">
      <c r="B26" s="61" t="s">
        <v>27</v>
      </c>
      <c r="C26" s="62"/>
      <c r="D26" s="37">
        <v>0</v>
      </c>
      <c r="E26" s="47" t="s">
        <v>28</v>
      </c>
      <c r="F26" s="57">
        <f>IF(D26&lt;=2,0,((D26-2)*200))</f>
        <v>0</v>
      </c>
      <c r="G26" s="35" t="b">
        <v>1</v>
      </c>
      <c r="I26" s="41" t="s">
        <v>29</v>
      </c>
    </row>
    <row r="27" spans="2:14" ht="13.5" customHeight="1" thickBot="1" x14ac:dyDescent="0.4">
      <c r="B27" s="38"/>
      <c r="C27" s="39"/>
      <c r="D27" s="8"/>
      <c r="F27" s="52"/>
      <c r="G27" s="35" t="b">
        <v>0</v>
      </c>
      <c r="H27" s="5"/>
      <c r="I27" s="41"/>
      <c r="J27" s="5"/>
      <c r="K27" s="5"/>
      <c r="L27" s="5"/>
      <c r="M27" s="5"/>
    </row>
    <row r="28" spans="2:14" ht="30" customHeight="1" thickBot="1" x14ac:dyDescent="0.4">
      <c r="B28" s="61" t="s">
        <v>30</v>
      </c>
      <c r="C28" s="62"/>
      <c r="D28" s="37">
        <v>0</v>
      </c>
      <c r="E28" s="46" t="s">
        <v>31</v>
      </c>
      <c r="F28" s="57">
        <f>LOOKUP(D28, {0,40.001,200.001,2000.001,10000.001,50000.001}, {2000,2500,3000,3500,4000,4500})</f>
        <v>2000</v>
      </c>
      <c r="G28" s="35" t="b">
        <v>1</v>
      </c>
      <c r="H28" s="5"/>
      <c r="I28" s="90" t="s">
        <v>32</v>
      </c>
      <c r="J28" s="5"/>
      <c r="K28" s="5"/>
      <c r="L28" s="5"/>
      <c r="M28" s="5"/>
    </row>
    <row r="29" spans="2:14" ht="20.100000000000001" customHeight="1" x14ac:dyDescent="0.35">
      <c r="B29" s="126"/>
      <c r="C29" s="127"/>
      <c r="D29" s="127"/>
      <c r="E29" s="127"/>
      <c r="F29" s="128"/>
      <c r="G29" s="35" t="b">
        <v>0</v>
      </c>
      <c r="H29" s="5"/>
      <c r="I29" s="90"/>
      <c r="J29" s="5"/>
      <c r="K29" s="5"/>
      <c r="L29" s="5"/>
      <c r="M29" s="5"/>
    </row>
    <row r="30" spans="2:14" ht="30.6" customHeight="1" x14ac:dyDescent="0.35">
      <c r="B30" s="105" t="s">
        <v>33</v>
      </c>
      <c r="C30" s="106"/>
      <c r="D30" s="106"/>
      <c r="E30" s="106"/>
      <c r="F30" s="107"/>
      <c r="G30" s="36" t="b">
        <v>1</v>
      </c>
      <c r="H30" s="5"/>
      <c r="I30" s="51"/>
      <c r="J30" s="5"/>
      <c r="K30" s="5"/>
      <c r="L30" s="5"/>
      <c r="M30" s="5"/>
    </row>
    <row r="31" spans="2:14" ht="15.6" customHeight="1" thickBot="1" x14ac:dyDescent="0.4">
      <c r="B31" s="4"/>
      <c r="C31" s="5"/>
      <c r="D31" s="10"/>
      <c r="E31" s="10"/>
      <c r="F31" s="10"/>
      <c r="G31" s="36"/>
      <c r="H31" s="5"/>
      <c r="J31" s="5"/>
      <c r="K31" s="5"/>
      <c r="L31" s="5"/>
      <c r="M31" s="5"/>
    </row>
    <row r="32" spans="2:14" ht="25.15" customHeight="1" x14ac:dyDescent="0.35">
      <c r="B32" s="42" t="s">
        <v>34</v>
      </c>
      <c r="C32" s="43" t="s">
        <v>35</v>
      </c>
      <c r="D32" s="10"/>
      <c r="E32" s="10"/>
      <c r="F32" s="10"/>
      <c r="G32" s="35"/>
      <c r="H32" s="5"/>
      <c r="J32" s="5"/>
      <c r="K32" s="5"/>
      <c r="L32" s="5"/>
      <c r="M32" s="5"/>
    </row>
    <row r="33" spans="2:13" ht="22.9" customHeight="1" x14ac:dyDescent="0.35">
      <c r="B33" s="44" t="s">
        <v>36</v>
      </c>
      <c r="C33" s="45"/>
      <c r="D33" s="10"/>
      <c r="E33" s="10"/>
      <c r="F33" s="10"/>
      <c r="G33" s="35"/>
      <c r="H33" s="5"/>
      <c r="J33" s="5"/>
      <c r="K33" s="5"/>
      <c r="L33" s="5"/>
      <c r="M33" s="5"/>
    </row>
    <row r="34" spans="2:13" ht="22.9" customHeight="1" x14ac:dyDescent="0.35">
      <c r="B34" s="44" t="s">
        <v>37</v>
      </c>
      <c r="C34" s="45"/>
      <c r="D34" s="10"/>
      <c r="E34" s="10"/>
      <c r="F34" s="10"/>
      <c r="G34" s="35"/>
      <c r="H34" s="5"/>
      <c r="I34" s="5"/>
      <c r="J34" s="5"/>
      <c r="K34" s="5"/>
      <c r="L34" s="5"/>
      <c r="M34" s="5"/>
    </row>
    <row r="35" spans="2:13" ht="22.9" customHeight="1" x14ac:dyDescent="0.35">
      <c r="B35" s="44" t="s">
        <v>38</v>
      </c>
      <c r="C35" s="45"/>
      <c r="D35" s="10"/>
      <c r="E35" s="10"/>
      <c r="F35" s="10"/>
      <c r="G35" s="35"/>
      <c r="H35" s="5"/>
      <c r="I35" s="5"/>
      <c r="J35" s="5"/>
      <c r="K35" s="5"/>
      <c r="L35" s="5"/>
      <c r="M35" s="5"/>
    </row>
    <row r="36" spans="2:13" ht="22.9" customHeight="1" x14ac:dyDescent="0.35">
      <c r="B36" s="44" t="s">
        <v>39</v>
      </c>
      <c r="C36" s="45"/>
      <c r="D36" s="10"/>
      <c r="E36" s="10"/>
      <c r="F36" s="10"/>
      <c r="H36" s="5"/>
      <c r="I36" s="5"/>
      <c r="J36" s="5"/>
      <c r="K36" s="5"/>
      <c r="L36" s="5"/>
      <c r="M36" s="5"/>
    </row>
    <row r="37" spans="2:13" ht="22.9" customHeight="1" x14ac:dyDescent="0.35">
      <c r="B37" s="44" t="s">
        <v>40</v>
      </c>
      <c r="C37" s="45"/>
      <c r="D37" s="10"/>
      <c r="E37" s="10"/>
      <c r="F37" s="10"/>
      <c r="H37" s="5"/>
      <c r="I37" s="5"/>
      <c r="J37" s="5"/>
      <c r="K37" s="5"/>
      <c r="L37" s="5"/>
      <c r="M37" s="5"/>
    </row>
    <row r="38" spans="2:13" ht="22.9" customHeight="1" x14ac:dyDescent="0.35">
      <c r="B38" s="44" t="s">
        <v>41</v>
      </c>
      <c r="C38" s="45"/>
      <c r="D38" s="10"/>
      <c r="E38" s="10"/>
      <c r="F38" s="10"/>
      <c r="H38" s="5"/>
      <c r="I38" s="5"/>
      <c r="J38" s="5"/>
      <c r="K38" s="5"/>
      <c r="L38" s="5"/>
      <c r="M38" s="5"/>
    </row>
    <row r="39" spans="2:13" ht="22.9" customHeight="1" x14ac:dyDescent="0.35">
      <c r="B39" s="44" t="s">
        <v>42</v>
      </c>
      <c r="C39" s="45"/>
      <c r="D39" s="10"/>
      <c r="E39" s="10"/>
      <c r="F39" s="10"/>
      <c r="H39" s="5"/>
      <c r="I39" s="5"/>
      <c r="J39" s="5"/>
      <c r="K39" s="5"/>
      <c r="L39" s="5"/>
      <c r="M39" s="5"/>
    </row>
    <row r="40" spans="2:13" ht="22.9" customHeight="1" x14ac:dyDescent="0.35">
      <c r="B40" s="44" t="s">
        <v>43</v>
      </c>
      <c r="C40" s="45"/>
      <c r="D40" s="10"/>
      <c r="E40" s="10"/>
      <c r="F40" s="10"/>
      <c r="H40" s="5"/>
      <c r="I40" s="5"/>
      <c r="J40" s="5"/>
      <c r="K40" s="5"/>
      <c r="L40" s="5"/>
      <c r="M40" s="5"/>
    </row>
    <row r="41" spans="2:13" ht="22.9" customHeight="1" x14ac:dyDescent="0.35">
      <c r="B41" s="44" t="s">
        <v>44</v>
      </c>
      <c r="C41" s="45"/>
      <c r="D41" s="10"/>
      <c r="E41" s="10"/>
      <c r="F41" s="10"/>
    </row>
    <row r="42" spans="2:13" ht="22.9" customHeight="1" x14ac:dyDescent="0.35">
      <c r="B42" s="44" t="s">
        <v>45</v>
      </c>
      <c r="C42" s="45"/>
      <c r="D42" s="10"/>
      <c r="E42" s="10"/>
      <c r="F42" s="10"/>
    </row>
    <row r="43" spans="2:13" ht="22.9" customHeight="1" x14ac:dyDescent="0.35">
      <c r="B43" s="44" t="s">
        <v>46</v>
      </c>
      <c r="C43" s="45"/>
      <c r="D43" s="10"/>
      <c r="E43" s="10"/>
      <c r="F43" s="10"/>
    </row>
    <row r="44" spans="2:13" ht="22.9" customHeight="1" x14ac:dyDescent="0.35">
      <c r="B44" s="44" t="s">
        <v>47</v>
      </c>
      <c r="C44" s="45"/>
      <c r="D44" s="10"/>
      <c r="E44" s="10"/>
      <c r="F44" s="10"/>
    </row>
    <row r="45" spans="2:13" ht="25.15" customHeight="1" x14ac:dyDescent="0.35">
      <c r="B45" s="10"/>
      <c r="C45" s="10"/>
      <c r="D45" s="10"/>
      <c r="E45" s="10"/>
      <c r="F45" s="13"/>
    </row>
    <row r="46" spans="2:13" ht="25.15" customHeight="1" x14ac:dyDescent="0.35">
      <c r="B46" s="10"/>
      <c r="C46" s="10"/>
      <c r="D46" s="10"/>
      <c r="E46" s="10"/>
      <c r="F46" s="14"/>
    </row>
    <row r="47" spans="2:13" ht="25.15" customHeight="1" x14ac:dyDescent="0.35">
      <c r="B47" s="103"/>
      <c r="C47" s="103"/>
      <c r="D47" s="103"/>
      <c r="E47" s="103"/>
      <c r="F47" s="15"/>
    </row>
    <row r="48" spans="2:13" ht="25.15" customHeight="1" x14ac:dyDescent="0.35">
      <c r="B48" s="103"/>
      <c r="C48" s="103"/>
      <c r="D48" s="103"/>
      <c r="E48" s="103"/>
      <c r="F48" s="13"/>
    </row>
    <row r="49" spans="2:6" ht="25.15" customHeight="1" x14ac:dyDescent="0.35"/>
    <row r="50" spans="2:6" ht="25.15" customHeight="1" x14ac:dyDescent="0.4">
      <c r="B50" s="104"/>
      <c r="C50" s="104"/>
      <c r="D50" s="104"/>
      <c r="E50" s="104"/>
      <c r="F50" s="11"/>
    </row>
    <row r="51" spans="2:6" ht="25.15" customHeight="1" x14ac:dyDescent="0.35">
      <c r="B51" s="103"/>
      <c r="C51" s="103"/>
      <c r="D51" s="103"/>
      <c r="E51" s="103"/>
      <c r="F51" s="12"/>
    </row>
    <row r="52" spans="2:6" ht="25.15" customHeight="1" x14ac:dyDescent="0.35">
      <c r="B52" s="103"/>
      <c r="C52" s="103"/>
      <c r="D52" s="103"/>
      <c r="E52" s="103"/>
      <c r="F52" s="13"/>
    </row>
    <row r="53" spans="2:6" ht="25.15" customHeight="1" x14ac:dyDescent="0.35">
      <c r="B53" s="103"/>
      <c r="C53" s="103"/>
      <c r="D53" s="103"/>
      <c r="E53" s="103"/>
      <c r="F53" s="14"/>
    </row>
    <row r="54" spans="2:6" ht="25.15" customHeight="1" x14ac:dyDescent="0.35">
      <c r="B54" s="103"/>
      <c r="C54" s="103"/>
      <c r="D54" s="103"/>
      <c r="E54" s="103"/>
      <c r="F54" s="15"/>
    </row>
    <row r="55" spans="2:6" ht="25.15" customHeight="1" x14ac:dyDescent="0.35">
      <c r="B55" s="103"/>
      <c r="C55" s="103"/>
      <c r="D55" s="103"/>
      <c r="E55" s="103"/>
      <c r="F55" s="13"/>
    </row>
    <row r="56" spans="2:6" ht="25.15" customHeight="1" x14ac:dyDescent="0.35"/>
    <row r="57" spans="2:6" x14ac:dyDescent="0.35"/>
    <row r="58" spans="2:6" x14ac:dyDescent="0.35"/>
    <row r="59" spans="2:6" x14ac:dyDescent="0.35"/>
    <row r="60" spans="2:6" x14ac:dyDescent="0.35"/>
    <row r="61" spans="2:6" x14ac:dyDescent="0.35"/>
    <row r="62" spans="2:6" x14ac:dyDescent="0.35"/>
    <row r="63" spans="2:6" x14ac:dyDescent="0.35"/>
    <row r="64" spans="2:6"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sheetData>
  <mergeCells count="47">
    <mergeCell ref="K19:N20"/>
    <mergeCell ref="K21:N21"/>
    <mergeCell ref="K22:N22"/>
    <mergeCell ref="K23:N23"/>
    <mergeCell ref="K24:N24"/>
    <mergeCell ref="B30:F30"/>
    <mergeCell ref="B6:C6"/>
    <mergeCell ref="B7:C7"/>
    <mergeCell ref="B8:C8"/>
    <mergeCell ref="D6:F6"/>
    <mergeCell ref="D7:F7"/>
    <mergeCell ref="D8:F8"/>
    <mergeCell ref="B9:C9"/>
    <mergeCell ref="D11:E11"/>
    <mergeCell ref="D9:F9"/>
    <mergeCell ref="B15:F15"/>
    <mergeCell ref="B29:F29"/>
    <mergeCell ref="B53:E53"/>
    <mergeCell ref="B54:E54"/>
    <mergeCell ref="B55:E55"/>
    <mergeCell ref="B47:E47"/>
    <mergeCell ref="B48:E48"/>
    <mergeCell ref="B50:E50"/>
    <mergeCell ref="B51:E51"/>
    <mergeCell ref="B52:E52"/>
    <mergeCell ref="I28:I29"/>
    <mergeCell ref="I5:I8"/>
    <mergeCell ref="I2:I3"/>
    <mergeCell ref="I11:I15"/>
    <mergeCell ref="B12:F13"/>
    <mergeCell ref="B19:C19"/>
    <mergeCell ref="B26:C26"/>
    <mergeCell ref="B28:C28"/>
    <mergeCell ref="B24:C24"/>
    <mergeCell ref="E5:F5"/>
    <mergeCell ref="K2:N2"/>
    <mergeCell ref="K8:N8"/>
    <mergeCell ref="B17:C17"/>
    <mergeCell ref="K3:N3"/>
    <mergeCell ref="K9:N9"/>
    <mergeCell ref="K10:N11"/>
    <mergeCell ref="K12:N13"/>
    <mergeCell ref="K14:N14"/>
    <mergeCell ref="K15:N15"/>
    <mergeCell ref="K16:N16"/>
    <mergeCell ref="K17:N18"/>
    <mergeCell ref="K4:N7"/>
  </mergeCells>
  <phoneticPr fontId="22" type="noConversion"/>
  <printOptions horizontalCentered="1" verticalCentered="1"/>
  <pageMargins left="0.19685039370078741" right="3.937007874015748E-2" top="0" bottom="0"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fb8407ab-3c70-4d53-b46a-8fe3445259a5" xsi:nil="true"/>
    <lcf76f155ced4ddcb4097134ff3c332f xmlns="fb8407ab-3c70-4d53-b46a-8fe3445259a5">
      <Terms xmlns="http://schemas.microsoft.com/office/infopath/2007/PartnerControls"/>
    </lcf76f155ced4ddcb4097134ff3c332f>
    <TaxCatchAll xmlns="a163371b-e103-4c2a-a8a0-3b1bbf3417c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E9B2974266AC4186E57ED32516E44D" ma:contentTypeVersion="19" ma:contentTypeDescription="Create a new document." ma:contentTypeScope="" ma:versionID="a1905c246b1841a2ed54a7e6b3cb496f">
  <xsd:schema xmlns:xsd="http://www.w3.org/2001/XMLSchema" xmlns:xs="http://www.w3.org/2001/XMLSchema" xmlns:p="http://schemas.microsoft.com/office/2006/metadata/properties" xmlns:ns2="fb8407ab-3c70-4d53-b46a-8fe3445259a5" xmlns:ns3="a163371b-e103-4c2a-a8a0-3b1bbf3417c9" targetNamespace="http://schemas.microsoft.com/office/2006/metadata/properties" ma:root="true" ma:fieldsID="46b6c33567b45fcca848ab34cdc2d810" ns2:_="" ns3:_="">
    <xsd:import namespace="fb8407ab-3c70-4d53-b46a-8fe3445259a5"/>
    <xsd:import namespace="a163371b-e103-4c2a-a8a0-3b1bbf3417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8407ab-3c70-4d53-b46a-8fe3445259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1f16148-317e-4253-b137-531ab42b68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63371b-e103-4c2a-a8a0-3b1bbf3417c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d4e3e68-4895-44a8-bfa3-10f9d81faf33}" ma:internalName="TaxCatchAll" ma:showField="CatchAllData" ma:web="a163371b-e103-4c2a-a8a0-3b1bbf3417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07B027-F26A-4EC7-99D9-78BF62001840}">
  <ds:schemaRefs>
    <ds:schemaRef ds:uri="http://schemas.microsoft.com/sharepoint/v3/contenttype/forms"/>
  </ds:schemaRefs>
</ds:datastoreItem>
</file>

<file path=customXml/itemProps2.xml><?xml version="1.0" encoding="utf-8"?>
<ds:datastoreItem xmlns:ds="http://schemas.openxmlformats.org/officeDocument/2006/customXml" ds:itemID="{DDE60EA7-C8FE-4865-895B-7DE24181E1D7}">
  <ds:schemaRefs>
    <ds:schemaRef ds:uri="http://schemas.microsoft.com/office/2006/metadata/properties"/>
    <ds:schemaRef ds:uri="http://schemas.microsoft.com/office/infopath/2007/PartnerControls"/>
    <ds:schemaRef ds:uri="fb8407ab-3c70-4d53-b46a-8fe3445259a5"/>
    <ds:schemaRef ds:uri="a163371b-e103-4c2a-a8a0-3b1bbf3417c9"/>
  </ds:schemaRefs>
</ds:datastoreItem>
</file>

<file path=customXml/itemProps3.xml><?xml version="1.0" encoding="utf-8"?>
<ds:datastoreItem xmlns:ds="http://schemas.openxmlformats.org/officeDocument/2006/customXml" ds:itemID="{8B3451AF-BFB3-4C94-8601-3D13F2BCBE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8407ab-3c70-4d53-b46a-8fe3445259a5"/>
    <ds:schemaRef ds:uri="a163371b-e103-4c2a-a8a0-3b1bbf3417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 Sem Reporting Form _Advanced</vt:lpstr>
      <vt:lpstr>'PO Sem Reporting Form _Advanced'!Print_Area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Radhika maliwal</dc:creator>
  <cp:keywords/>
  <dc:description/>
  <cp:lastModifiedBy>Olea Morris</cp:lastModifiedBy>
  <cp:revision/>
  <dcterms:created xsi:type="dcterms:W3CDTF">2020-06-12T06:59:58Z</dcterms:created>
  <dcterms:modified xsi:type="dcterms:W3CDTF">2026-03-05T14:56:28Z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0x0101009BE9B2974266AC4186E57ED32516E44D</vt:lpwstr>
  </property>
  <property fmtid="{D5CDD505-2E9C-101B-9397-08002B2CF9AE}" pid="3" name="Order">
    <vt:r8>11400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