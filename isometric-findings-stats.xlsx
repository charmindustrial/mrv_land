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olors1.xml" ContentType="application/vnd.ms-office.chartcolorstyle+xml"/>
  <Override PartName="/xl/charts/style2.xml" ContentType="application/vnd.ms-office.chartstyle+xml"/>
  <Override PartName="/xl/charts/chart3.xml" ContentType="application/vnd.openxmlformats-officedocument.drawingml.chart+xml"/>
  <Override PartName="/xl/charts/chart2.xml" ContentType="application/vnd.openxmlformats-officedocument.drawingml.chart+xml"/>
  <Override PartName="/xl/charts/colors2.xml" ContentType="application/vnd.ms-office.chartcolorstyle+xml"/>
  <Override PartName="/xl/charts/style3.xml" ContentType="application/vnd.ms-office.chartstyle+xml"/>
  <Override PartName="/xl/charts/style1.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ts &amp; Charts" sheetId="1" state="visible" r:id="rId3"/>
    <sheet name="Data"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<sst xmlns="http://schemas.openxmlformats.org/spreadsheetml/2006/main" count="208" uniqueCount="83">
  <si>
    <t xml:space="preserve">Isometric Findings Log – Summary Stats &amp; Analysis</t>
  </si>
  <si>
    <t xml:space="preserve">Source: isometric-log-of-issues   |   Findings ISS-16 through ISS-30   |   Generated 2026-04-27</t>
  </si>
  <si>
    <t xml:space="preserve">Total findings</t>
  </si>
  <si>
    <t xml:space="preserve">Legitimate</t>
  </si>
  <si>
    <t xml:space="preserve">Misunderstanding</t>
  </si>
  <si>
    <t xml:space="preserve">Pending FAR</t>
  </si>
  <si>
    <t xml:space="preserve">% Legitimate</t>
  </si>
  <si>
    <t xml:space="preserve">Recurring causes (≥2 hits)</t>
  </si>
  <si>
    <t xml:space="preserve">1. Findings classification (each finding bucketed)</t>
  </si>
  <si>
    <t xml:space="preserve">Code</t>
  </si>
  <si>
    <t xml:space="preserve">Type</t>
  </si>
  <si>
    <t xml:space="preserve">Bucket</t>
  </si>
  <si>
    <t xml:space="preserve">Root cause group</t>
  </si>
  <si>
    <t xml:space="preserve">Post-mortem cause (summary)</t>
  </si>
  <si>
    <t xml:space="preserve">ISS-30</t>
  </si>
  <si>
    <t xml:space="preserve">Omission</t>
  </si>
  <si>
    <t xml:space="preserve">350 misunderstanding</t>
  </si>
  <si>
    <t xml:space="preserve">Erroneous -- 350 misunderstanding (LDENR monthly report not required)</t>
  </si>
  <si>
    <t xml:space="preserve">ISS-29</t>
  </si>
  <si>
    <t xml:space="preserve">Clarification Request</t>
  </si>
  <si>
    <t xml:space="preserve">Erroneous -- 350 misunderstanding (mass discrepancy / conservatism)</t>
  </si>
  <si>
    <t xml:space="preserve">ISS-27</t>
  </si>
  <si>
    <t xml:space="preserve">Error</t>
  </si>
  <si>
    <t xml:space="preserve">EF versioning</t>
  </si>
  <si>
    <t xml:space="preserve">Legitimate -- Deprecated EF version used (railcar embodied)</t>
  </si>
  <si>
    <t xml:space="preserve">ISS-26</t>
  </si>
  <si>
    <t xml:space="preserve">Component evidence</t>
  </si>
  <si>
    <t xml:space="preserve">Legitimate -- Component evidence missing (methanol invoice/delivery)</t>
  </si>
  <si>
    <t xml:space="preserve">ISS-25</t>
  </si>
  <si>
    <t xml:space="preserve">Legitimate -- Source file corrupted/blank on Certify</t>
  </si>
  <si>
    <t xml:space="preserve">ISS-24</t>
  </si>
  <si>
    <t xml:space="preserve">Legitimate -- Deprecated EF version (value mismatch vs source)</t>
  </si>
  <si>
    <t xml:space="preserve">ISS-23</t>
  </si>
  <si>
    <t xml:space="preserve">Legitimate -- Component evidence missing (gasoline tracker not uploaded)</t>
  </si>
  <si>
    <t xml:space="preserve">ISS-22</t>
  </si>
  <si>
    <t xml:space="preserve">BCU quant mismatch</t>
  </si>
  <si>
    <t xml:space="preserve">Legitimate -- BCU kg CO2e mismatch vs RP quant sheet (root cause TBD)</t>
  </si>
  <si>
    <t xml:space="preserve">ISS-21</t>
  </si>
  <si>
    <t xml:space="preserve">New verifier requirement</t>
  </si>
  <si>
    <t xml:space="preserve">Sort of legitimate -- New verifier requirement (BCU tracking sheet upload)</t>
  </si>
  <si>
    <t xml:space="preserve">ISS-20</t>
  </si>
  <si>
    <t xml:space="preserve">Erroneous -- 350 misunderstanding (AECN CI factor incl. uncertainty)</t>
  </si>
  <si>
    <t xml:space="preserve">ISS-19</t>
  </si>
  <si>
    <t xml:space="preserve">Multi-day batch transport leg</t>
  </si>
  <si>
    <t xml:space="preserve">Legitimate -- Missed extra transport leg (multi-day injection batch)</t>
  </si>
  <si>
    <t xml:space="preserve">ISS-18</t>
  </si>
  <si>
    <t xml:space="preserve">Pending FAR -- April bio-oil spill disposal to be accounted next RP</t>
  </si>
  <si>
    <t xml:space="preserve">ISS-17</t>
  </si>
  <si>
    <t xml:space="preserve">Deadhead % (recurring question)</t>
  </si>
  <si>
    <t xml:space="preserve">Mostly misunderstanding -- deadhead % question (recurring)</t>
  </si>
  <si>
    <t xml:space="preserve">ISS-16</t>
  </si>
  <si>
    <t xml:space="preserve">Documentation/labeling human error</t>
  </si>
  <si>
    <t xml:space="preserve">Legitimate -- Human error: spreadsheet header not relabeled (GREET vs GLEC)</t>
  </si>
  <si>
    <t xml:space="preserve">2. By finding type</t>
  </si>
  <si>
    <t xml:space="preserve">Count</t>
  </si>
  <si>
    <t xml:space="preserve">% of total</t>
  </si>
  <si>
    <t xml:space="preserve">Total</t>
  </si>
  <si>
    <t xml:space="preserve">3. Legitimate vs misunderstanding</t>
  </si>
  <si>
    <t xml:space="preserve">4. Root-cause groups within Legitimate findings</t>
  </si>
  <si>
    <t xml:space="preserve">% of legitimate</t>
  </si>
  <si>
    <t xml:space="preserve">Recurring? (≥2)</t>
  </si>
  <si>
    <t xml:space="preserve">5. Notes — what the findings indicate</t>
  </si>
  <si>
    <t xml:space="preserve">Headline read</t>
  </si>
  <si>
    <t xml:space="preserve">9 of 14 findings (64%) were legitimate; 4 of 14 (29%) were 350 misunderstandings; 1 is a pending FAR. Within legitimate findings, two clusters dominate: Certify component-evidence gaps (3) and deprecated emission-factor versions (2). Together these two account for 5 of 9 legitimate findings (~56%) and are the clearest systemic signals.</t>
  </si>
  <si>
    <t xml:space="preserve">Systemic issue #1 — Certify evidence pipeline is fragile</t>
  </si>
  <si>
    <t xml:space="preserve">Three findings (ISS-23, 25, 26) are upload/file-integrity failures: a missing methanol invoice, a corrupted source file on Certify, and a gasoline tracker that was not uploaded. These are not analytical errors — they are workflow/QA hygiene gaps. Pattern of attention: enforce a pre-submission Certify checklist that confirms (a) every component has a non-empty source file, (b) every cited quantity has invoice/delivery evidence, and (c) tracker spreadsheets are uploaded with the certificate.</t>
  </si>
  <si>
    <t xml:space="preserve">Systemic issue #2 — Emission-factor version control</t>
  </si>
  <si>
    <t xml:space="preserve">Two findings (ISS-24, 27) trace to deprecated EF versions persisting in calculations after the canonical Standard Emission Factors file was updated. Pattern of attention: a single source-of-truth EF release process with a version stamp and a downstream dependency check (which calc files / Certify components reference each EF) before each RP submission. ISS-16 is adjacent — a header that still said GREET 2024 while the value was the updated 2025 GLEC — suggesting labels and values can drift independently.</t>
  </si>
  <si>
    <t xml:space="preserve">Recurring verifier question — deadhead %</t>
  </si>
  <si>
    <t xml:space="preserve">ISS-17 is flagged as 'mostly misunderstanding' but Max's PM note explicitly asks: how do we make this stop coming up, and did we ever get mileage tracking telemetry on Charm trucks? Even when the conclusion is 'no change', a recurring clarification request is a documentation gap. Pattern of attention: write a short standing memo on deadhead methodology (default 43.8%, when it would be exceeded, telemetry status) and attach to each RP.</t>
  </si>
  <si>
    <t xml:space="preserve">Sub-issue — multi-day injection batches (ISS-19)</t>
  </si>
  <si>
    <t xml:space="preserve">Extended timeline (delivery 3/6, sample 3/8, injection 3/12) caused a missed transport leg. Pattern of attention: when a batch is not same-day, the transport calc needs an explicit second leg. Worth a short SOP update.</t>
  </si>
  <si>
    <t xml:space="preserve">Sub-issue — new verifier requirement (ISS-21)</t>
  </si>
  <si>
    <t xml:space="preserve">BCU tracking spreadsheet now needs to be uploaded to Certify (not just Drive). Sort-of-legitimate because it had not been previously communicated. Pattern of attention: capture verifier expectation changes in a shared 'verifier requirements' delta log so they propagate to the RP submission checklist immediately.</t>
  </si>
  <si>
    <t xml:space="preserve">On the misunderstanding side</t>
  </si>
  <si>
    <t xml:space="preserve">4 findings (ISS-29, 30, 20, 17) trace to 350 (the VVB) misreading our submission or applying an unfamiliar convention (LDENR monthly report cadence, conservatism rules on small mass discrepancies, AECN CI uncertainty handling, deadhead). These are not zero-cost — they consume cycle time. Pattern of attention: a short 'reading guide' note pinned to each RP that pre-empts the top recurring 350 questions would compound nicely.</t>
  </si>
  <si>
    <t xml:space="preserve">Material vs non-material</t>
  </si>
  <si>
    <t xml:space="preserve">Several findings (ISS-22, 24, 27, 19) note the impact is non-material but should be corrected for traceability/accuracy. None of the legitimate findings are flagged as material per the body text. Risk read: low single-finding materiality, but the cluster of evidence/version issues is what creates verification friction and lengthens the cycle.</t>
  </si>
  <si>
    <t xml:space="preserve">ISS-22 — open thread</t>
  </si>
  <si>
    <t xml:space="preserve">BCU kg CO2e value for Batch 2-155 doesn't match the RP BCU Quant spreadsheet (4845.03 vs 4917). PM says 'let's discuss root cause' — this one is unresolved on cause and is worth landing on a definitive root-cause classification (does it belong in a new bucket, or is it a quant-sheet-vs-Certify version mismatch, which would put it under EF/version control)?</t>
  </si>
  <si>
    <t xml:space="preserve">Where to focus next</t>
  </si>
  <si>
    <t xml:space="preserve">1) Certify pre-submission checklist (evidence completeness). 2) EF version-control SOP with downstream dependency check. 3) Standing deadhead memo + telemetry status update. 4) Multi-day batch transport-leg SOP. 5) Verifier requirements delta log. 6) Close out ISS-22 root cause.</t>
  </si>
  <si>
    <t xml:space="preserve">PM Cause Text</t>
  </si>
</sst>
</file>

<file path=xl/styles.xml><?xml version="1.0" encoding="utf-8"?>
<styleSheet xmlns="http://schemas.openxmlformats.org/spreadsheetml/2006/main">
  <numFmts count="2">
    <numFmt numFmtId="164" formatCode="General"/>
    <numFmt numFmtId="165" formatCode="0%"/>
  </numFmts>
  <fonts count="1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sz val="9"/>
      <color rgb="FF404040"/>
      <name val="Arial"/>
      <family val="0"/>
      <charset val="1"/>
    </font>
    <font>
      <b val="true"/>
      <sz val="18"/>
      <color rgb="FF1F4E79"/>
      <name val="Arial"/>
      <family val="0"/>
      <charset val="1"/>
    </font>
    <font>
      <b val="true"/>
      <sz val="18"/>
      <color rgb="FFC00000"/>
      <name val="Arial"/>
      <family val="0"/>
      <charset val="1"/>
    </font>
    <font>
      <b val="true"/>
      <sz val="18"/>
      <color rgb="FF548235"/>
      <name val="Arial"/>
      <family val="0"/>
      <charset val="1"/>
    </font>
    <font>
      <b val="true"/>
      <sz val="18"/>
      <color rgb="FFBF8F00"/>
      <name val="Arial"/>
      <family val="0"/>
      <charset val="1"/>
    </font>
    <font>
      <b val="true"/>
      <sz val="12"/>
      <color rgb="FFFFFFFF"/>
      <name val="Arial"/>
      <family val="0"/>
      <charset val="1"/>
    </font>
    <font>
      <b val="true"/>
      <sz val="11"/>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s>
  <fills count="9">
    <fill>
      <patternFill patternType="none"/>
    </fill>
    <fill>
      <patternFill patternType="gray125"/>
    </fill>
    <fill>
      <patternFill patternType="solid">
        <fgColor rgb="FF1F4E79"/>
        <bgColor rgb="FF003366"/>
      </patternFill>
    </fill>
    <fill>
      <patternFill patternType="solid">
        <fgColor rgb="FFF2F2F2"/>
        <bgColor rgb="FFE2EFDA"/>
      </patternFill>
    </fill>
    <fill>
      <patternFill patternType="solid">
        <fgColor rgb="FF2E75B6"/>
        <bgColor rgb="FF4F81BD"/>
      </patternFill>
    </fill>
    <fill>
      <patternFill patternType="solid">
        <fgColor rgb="FFD9E1F2"/>
        <bgColor rgb="FFD9D9D9"/>
      </patternFill>
    </fill>
    <fill>
      <patternFill patternType="solid">
        <fgColor rgb="FFE2EFDA"/>
        <bgColor rgb="FFF2F2F2"/>
      </patternFill>
    </fill>
    <fill>
      <patternFill patternType="solid">
        <fgColor rgb="FFFCE4D6"/>
        <bgColor rgb="FFFFF2CC"/>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7" fillId="3" borderId="1" xfId="0" applyFont="true" applyBorder="true" applyAlignment="true" applyProtection="false">
      <alignment horizontal="center"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3" fillId="7" borderId="1" xfId="0" applyFont="true" applyBorder="true" applyAlignment="true" applyProtection="false">
      <alignment horizontal="left" vertical="top" textRotation="0" wrapText="true" indent="0" shrinkToFit="false"/>
      <protection locked="true" hidden="false"/>
    </xf>
    <xf numFmtId="164" fontId="13" fillId="8"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4" fontId="13" fillId="3" borderId="1" xfId="0" applyFont="true" applyBorder="true" applyAlignment="true" applyProtection="false">
      <alignment horizontal="center" vertical="center" textRotation="0" wrapText="true" indent="0" shrinkToFit="false"/>
      <protection locked="true" hidden="false"/>
    </xf>
    <xf numFmtId="165" fontId="13" fillId="3" borderId="1" xfId="0" applyFont="true" applyBorder="true" applyAlignment="true" applyProtection="false">
      <alignment horizontal="center" vertical="center" textRotation="0" wrapText="true" indent="0" shrinkToFit="false"/>
      <protection locked="true" hidden="false"/>
    </xf>
    <xf numFmtId="164" fontId="13" fillId="7"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8"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0" fillId="3" borderId="1" xfId="0" applyFont="fals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left" vertical="top" textRotation="0" wrapText="true" indent="0" shrinkToFit="false"/>
      <protection locked="true" hidden="false"/>
    </xf>
    <xf numFmtId="164" fontId="14" fillId="0" borderId="0" xfId="0" applyFont="true" applyBorder="true" applyAlignment="true" applyProtection="false">
      <alignment horizontal="left" vertical="top" textRotation="0" wrapText="true" indent="0" shrinkToFit="false"/>
      <protection locked="true" hidden="false"/>
    </xf>
    <xf numFmtId="164" fontId="12" fillId="5" borderId="0" xfId="0" applyFont="true" applyBorder="fals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C0504D"/>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1F2"/>
      <rgbColor rgb="FFE2EFDA"/>
      <rgbColor rgb="FFFFFF99"/>
      <rgbColor rgb="FF99CCFF"/>
      <rgbColor rgb="FFFF99CC"/>
      <rgbColor rgb="FFCC99FF"/>
      <rgbColor rgb="FFFCE4D6"/>
      <rgbColor rgb="FF2E75B6"/>
      <rgbColor rgb="FF33CCCC"/>
      <rgbColor rgb="FF9BBB59"/>
      <rgbColor rgb="FFFFCC00"/>
      <rgbColor rgb="FFBF8F00"/>
      <rgbColor rgb="FFFF6600"/>
      <rgbColor rgb="FF4F81BD"/>
      <rgbColor rgb="FF969696"/>
      <rgbColor rgb="FF003366"/>
      <rgbColor rgb="FF339966"/>
      <rgbColor rgb="FF003300"/>
      <rgbColor rgb="FF333300"/>
      <rgbColor rgb="FF993300"/>
      <rgbColor rgb="FF99336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Legitimate vs Misunderstanding (n=14)</a:t>
            </a:r>
          </a:p>
        </c:rich>
      </c:tx>
      <c:overlay val="0"/>
      <c:spPr>
        <a:noFill/>
        <a:ln w="0">
          <a:noFill/>
        </a:ln>
      </c:spPr>
    </c:title>
    <c:autoTitleDeleted val="0"/>
    <c:plotArea>
      <c:pieChart>
        <c:varyColors val="1"/>
        <c:ser>
          <c:idx val="0"/>
          <c:order val="0"/>
          <c:tx>
            <c:strRef>
              <c:f>'Stats &amp; Charts'!B32</c:f>
              <c:strCache>
                <c:ptCount val="1"/>
                <c:pt idx="0">
                  <c:v>Count</c:v>
                </c:pt>
              </c:strCache>
            </c:strRef>
          </c:tx>
          <c:spPr>
            <a:solidFill>
              <a:srgbClr val="4F81BD"/>
            </a:solidFill>
            <a:ln w="12600">
              <a:noFill/>
            </a:ln>
          </c:spPr>
          <c:explosion val="0"/>
          <c:dPt>
            <c:idx val="0"/>
            <c:spPr>
              <a:solidFill>
                <a:srgbClr val="4F81BD"/>
              </a:solidFill>
              <a:ln w="12600">
                <a:noFill/>
              </a:ln>
            </c:spPr>
          </c:dPt>
          <c:dPt>
            <c:idx val="1"/>
            <c:spPr>
              <a:solidFill>
                <a:srgbClr val="C0504D"/>
              </a:solidFill>
              <a:ln w="12600">
                <a:noFill/>
              </a:ln>
            </c:spPr>
          </c:dPt>
          <c:dPt>
            <c:idx val="2"/>
            <c:spPr>
              <a:solidFill>
                <a:srgbClr val="9BBB59"/>
              </a:solidFill>
              <a:ln w="12600">
                <a:noFill/>
              </a:ln>
            </c:spPr>
          </c:dPt>
          <c:dLbls>
            <c:dLbl>
              <c:idx val="0"/>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1"/>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dLbl>
              <c:idx val="2"/>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dLbl>
            <c:txPr>
              <a:bodyPr wrap="square"/>
              <a:lstStyle/>
              <a:p>
                <a:pPr>
                  <a:defRPr sz="1000" b="0" u="none" strike="noStrike">
                    <a:solidFill>
                      <a:srgbClr val="000000"/>
                    </a:solidFill>
                    <a:uFillTx/>
                    <a:latin typeface="Calibri"/>
                  </a:defRPr>
                </a:pPr>
              </a:p>
            </c:txPr>
            <c:dLblPos val="bestFit"/>
            <c:showLegendKey val="1"/>
            <c:showVal val="1"/>
            <c:showCatName val="1"/>
            <c:showSerName val="1"/>
            <c:showPercent val="1"/>
            <c:separator>; </c:separator>
            <c:showLeaderLines val="1"/>
            <c:leaderLines>
              <c:spPr>
                <a:ln w="0">
                  <a:solidFill>
                    <a:srgbClr val="000000"/>
                  </a:solidFill>
                </a:ln>
              </c:spPr>
            </c:leaderLines>
          </c:dLbls>
          <c:cat>
            <c:strRef>
              <c:f>'Stats &amp; Charts'!$A$33:$A$35</c:f>
              <c:strCache>
                <c:ptCount val="3"/>
                <c:pt idx="0">
                  <c:v>Legitimate</c:v>
                </c:pt>
                <c:pt idx="1">
                  <c:v>Misunderstanding</c:v>
                </c:pt>
                <c:pt idx="2">
                  <c:v>Pending FAR</c:v>
                </c:pt>
              </c:strCache>
            </c:strRef>
          </c:cat>
          <c:val>
            <c:numRef>
              <c:f>'Stats &amp; Charts'!$B$33:$B$35</c:f>
              <c:numCache>
                <c:formatCode>General</c:formatCode>
                <c:ptCount val="3"/>
                <c:pt idx="0">
                  <c:v>9</c:v>
                </c:pt>
                <c:pt idx="1">
                  <c:v>4</c:v>
                </c:pt>
                <c:pt idx="2">
                  <c:v>1</c:v>
                </c:pt>
              </c:numCache>
            </c:numRef>
          </c:val>
        </c:ser>
        <c:firstSliceAng val="0"/>
      </c:pieChart>
      <c:spPr>
        <a:solidFill>
          <a:srgbClr val="FFFFFF"/>
        </a:solidFill>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Findings by type (n=14)</a:t>
            </a:r>
          </a:p>
        </c:rich>
      </c:tx>
      <c:overlay val="0"/>
      <c:spPr>
        <a:noFill/>
        <a:ln w="0">
          <a:noFill/>
        </a:ln>
      </c:spPr>
    </c:title>
    <c:autoTitleDeleted val="0"/>
    <c:plotArea>
      <c:barChart>
        <c:barDir val="bar"/>
        <c:grouping val="clustered"/>
        <c:varyColors val="0"/>
        <c:ser>
          <c:idx val="0"/>
          <c:order val="0"/>
          <c:tx>
            <c:strRef>
              <c:f>'Stats &amp; Charts'!B25</c:f>
              <c:strCache>
                <c:ptCount val="1"/>
                <c:pt idx="0">
                  <c:v>Count</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 &amp; Charts'!$A$26:$A$28</c:f>
              <c:strCache>
                <c:ptCount val="3"/>
                <c:pt idx="0">
                  <c:v>Omission</c:v>
                </c:pt>
                <c:pt idx="1">
                  <c:v>Error</c:v>
                </c:pt>
                <c:pt idx="2">
                  <c:v>Clarification Request</c:v>
                </c:pt>
              </c:strCache>
            </c:strRef>
          </c:cat>
          <c:val>
            <c:numRef>
              <c:f>'Stats &amp; Charts'!$B$26:$B$28</c:f>
              <c:numCache>
                <c:formatCode>General</c:formatCode>
                <c:ptCount val="3"/>
                <c:pt idx="0">
                  <c:v>6</c:v>
                </c:pt>
                <c:pt idx="1">
                  <c:v>3</c:v>
                </c:pt>
                <c:pt idx="2">
                  <c:v>5</c:v>
                </c:pt>
              </c:numCache>
            </c:numRef>
          </c:val>
        </c:ser>
        <c:gapWidth val="150"/>
        <c:overlap val="0"/>
        <c:axId val="7353830"/>
        <c:axId val="66357802"/>
      </c:barChart>
      <c:catAx>
        <c:axId val="735383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6357802"/>
        <c:crosses val="autoZero"/>
        <c:auto val="1"/>
        <c:lblAlgn val="ctr"/>
        <c:lblOffset val="100"/>
        <c:noMultiLvlLbl val="0"/>
      </c:catAx>
      <c:valAx>
        <c:axId val="6635780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353830"/>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Root-cause groups within Legitimate findings (n=9)</a:t>
            </a:r>
          </a:p>
        </c:rich>
      </c:tx>
      <c:overlay val="0"/>
      <c:spPr>
        <a:noFill/>
        <a:ln w="0">
          <a:noFill/>
        </a:ln>
      </c:spPr>
    </c:title>
    <c:autoTitleDeleted val="0"/>
    <c:plotArea>
      <c:barChart>
        <c:barDir val="bar"/>
        <c:grouping val="clustered"/>
        <c:varyColors val="0"/>
        <c:ser>
          <c:idx val="0"/>
          <c:order val="0"/>
          <c:tx>
            <c:strRef>
              <c:f>'Stats &amp; Charts'!B39</c:f>
              <c:strCache>
                <c:ptCount val="1"/>
                <c:pt idx="0">
                  <c:v>Count</c:v>
                </c:pt>
              </c:strCache>
            </c:strRef>
          </c:tx>
          <c:spPr>
            <a:solidFill>
              <a:srgbClr val="4F81BD"/>
            </a:solidFill>
            <a:ln w="12600">
              <a:noFill/>
            </a:ln>
          </c:spPr>
          <c:invertIfNegative val="0"/>
          <c:dLbls>
            <c:txPr>
              <a:bodyPr wrap="square"/>
              <a:lstStyle/>
              <a:p>
                <a:pPr>
                  <a:defRPr sz="1000" b="0" u="none" strike="noStrike">
                    <a:solidFill>
                      <a:srgbClr val="000000"/>
                    </a:solidFill>
                    <a:uFillTx/>
                    <a:latin typeface="Calibri"/>
                  </a:defRPr>
                </a:pPr>
              </a:p>
            </c:txPr>
            <c:dLblPos val="outEnd"/>
            <c:showLegendKey val="1"/>
            <c:showVal val="1"/>
            <c:showCatName val="1"/>
            <c:showSerName val="1"/>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'Stats &amp; Charts'!$A$40:$A$45</c:f>
              <c:strCache>
                <c:ptCount val="6"/>
                <c:pt idx="0">
                  <c:v>Component evidence</c:v>
                </c:pt>
                <c:pt idx="1">
                  <c:v>EF versioning</c:v>
                </c:pt>
                <c:pt idx="2">
                  <c:v>BCU quant mismatch</c:v>
                </c:pt>
                <c:pt idx="3">
                  <c:v>New verifier requirement</c:v>
                </c:pt>
                <c:pt idx="4">
                  <c:v>Multi-day batch transport leg</c:v>
                </c:pt>
                <c:pt idx="5">
                  <c:v>Documentation/labeling human error</c:v>
                </c:pt>
              </c:strCache>
            </c:strRef>
          </c:cat>
          <c:val>
            <c:numRef>
              <c:f>'Stats &amp; Charts'!$B$40:$B$45</c:f>
              <c:numCache>
                <c:formatCode>General</c:formatCode>
                <c:ptCount val="6"/>
                <c:pt idx="0">
                  <c:v>3</c:v>
                </c:pt>
                <c:pt idx="1">
                  <c:v>2</c:v>
                </c:pt>
                <c:pt idx="2">
                  <c:v>1</c:v>
                </c:pt>
                <c:pt idx="3">
                  <c:v>1</c:v>
                </c:pt>
                <c:pt idx="4">
                  <c:v>1</c:v>
                </c:pt>
                <c:pt idx="5">
                  <c:v>1</c:v>
                </c:pt>
              </c:numCache>
            </c:numRef>
          </c:val>
        </c:ser>
        <c:gapWidth val="150"/>
        <c:overlap val="0"/>
        <c:axId val="18200117"/>
        <c:axId val="68342592"/>
      </c:barChart>
      <c:catAx>
        <c:axId val="182001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342592"/>
        <c:crosses val="autoZero"/>
        <c:auto val="1"/>
        <c:lblAlgn val="ctr"/>
        <c:lblOffset val="100"/>
        <c:noMultiLvlLbl val="0"/>
      </c:catAx>
      <c:valAx>
        <c:axId val="6834259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200117"/>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30</xdr:row>
      <xdr:rowOff>0</xdr:rowOff>
    </xdr:from>
    <xdr:to>
      <xdr:col>6</xdr:col>
      <xdr:colOff>936360</xdr:colOff>
      <xdr:row>42</xdr:row>
      <xdr:rowOff>106200</xdr:rowOff>
    </xdr:to>
    <xdr:graphicFrame>
      <xdr:nvGraphicFramePr>
        <xdr:cNvPr id="1" name="Chart 1"/>
        <xdr:cNvGraphicFramePr/>
      </xdr:nvGraphicFramePr>
      <xdr:xfrm>
        <a:off x="5356800" y="7221960"/>
        <a:ext cx="431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23</xdr:row>
      <xdr:rowOff>0</xdr:rowOff>
    </xdr:from>
    <xdr:to>
      <xdr:col>6</xdr:col>
      <xdr:colOff>936360</xdr:colOff>
      <xdr:row>36</xdr:row>
      <xdr:rowOff>178200</xdr:rowOff>
    </xdr:to>
    <xdr:graphicFrame>
      <xdr:nvGraphicFramePr>
        <xdr:cNvPr id="2" name="Chart 2"/>
        <xdr:cNvGraphicFramePr/>
      </xdr:nvGraphicFramePr>
      <xdr:xfrm>
        <a:off x="5356800" y="5775840"/>
        <a:ext cx="4319640" cy="287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37</xdr:row>
      <xdr:rowOff>0</xdr:rowOff>
    </xdr:from>
    <xdr:to>
      <xdr:col>12</xdr:col>
      <xdr:colOff>164520</xdr:colOff>
      <xdr:row>48</xdr:row>
      <xdr:rowOff>147240</xdr:rowOff>
    </xdr:to>
    <xdr:graphicFrame>
      <xdr:nvGraphicFramePr>
        <xdr:cNvPr id="3" name="Chart 3"/>
        <xdr:cNvGraphicFramePr/>
      </xdr:nvGraphicFramePr>
      <xdr:xfrm>
        <a:off x="7471440" y="8667720"/>
        <a:ext cx="575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22"/>
    <col collapsed="false" customWidth="true" hidden="false" outlineLevel="0" max="4" min="4" style="0" width="18"/>
    <col collapsed="false" customWidth="true" hidden="false" outlineLevel="0" max="5" min="5" style="0" width="30"/>
    <col collapsed="false" customWidth="true" hidden="false" outlineLevel="0" max="7" min="6" style="0" width="18"/>
  </cols>
  <sheetData>
    <row r="1" customFormat="false" ht="30" hidden="false" customHeight="true" outlineLevel="0" collapsed="false">
      <c r="A1" s="1" t="s">
        <v>0</v>
      </c>
      <c r="B1" s="1"/>
      <c r="C1" s="1"/>
      <c r="D1" s="1"/>
      <c r="E1" s="1"/>
      <c r="F1" s="1"/>
      <c r="G1" s="1"/>
    </row>
    <row r="2" customFormat="false" ht="15" hidden="false" customHeight="true" outlineLevel="0" collapsed="false">
      <c r="A2" s="2" t="s">
        <v>1</v>
      </c>
      <c r="B2" s="2"/>
      <c r="C2" s="2"/>
      <c r="D2" s="2"/>
      <c r="E2" s="2"/>
      <c r="F2" s="2"/>
      <c r="G2" s="2"/>
    </row>
    <row r="4" customFormat="false" ht="19.5" hidden="false" customHeight="true" outlineLevel="0" collapsed="false">
      <c r="A4" s="3" t="s">
        <v>2</v>
      </c>
      <c r="B4" s="3" t="s">
        <v>3</v>
      </c>
      <c r="C4" s="3" t="s">
        <v>4</v>
      </c>
      <c r="D4" s="3" t="s">
        <v>5</v>
      </c>
      <c r="E4" s="3" t="s">
        <v>6</v>
      </c>
      <c r="F4" s="3" t="s">
        <v>7</v>
      </c>
    </row>
    <row r="5" customFormat="false" ht="31.5" hidden="false" customHeight="true" outlineLevel="0" collapsed="false">
      <c r="A5" s="4" t="n">
        <f aca="false">COUNTA(Data!A2:A15)</f>
        <v>14</v>
      </c>
      <c r="B5" s="5" t="n">
        <f aca="false">COUNTIF(Data!D2:D15,"Legitimate")</f>
        <v>9</v>
      </c>
      <c r="C5" s="6" t="n">
        <f aca="false">COUNTIF(Data!D2:D15,"Misunderstanding")</f>
        <v>4</v>
      </c>
      <c r="D5" s="7" t="n">
        <f aca="false">COUNTIF(Data!D2:D15,"Pending FAR")</f>
        <v>1</v>
      </c>
      <c r="E5" s="8" t="n">
        <f aca="false">COUNTIF(Data!D2:D15,"Legitimate")/COUNTA(Data!A2:A15)</f>
        <v>0.642857142857143</v>
      </c>
      <c r="F5" s="4" t="n">
        <f aca="false">COUNTIF(D40:D45,"YES")</f>
        <v>2</v>
      </c>
    </row>
    <row r="7" customFormat="false" ht="15" hidden="false" customHeight="true" outlineLevel="0" collapsed="false">
      <c r="A7" s="9" t="s">
        <v>8</v>
      </c>
      <c r="B7" s="9"/>
      <c r="C7" s="9"/>
      <c r="D7" s="9"/>
      <c r="E7" s="9"/>
      <c r="F7" s="9"/>
      <c r="G7" s="9"/>
    </row>
    <row r="8" customFormat="false" ht="26.85" hidden="false" customHeight="true" outlineLevel="0" collapsed="false">
      <c r="A8" s="10" t="s">
        <v>9</v>
      </c>
      <c r="B8" s="10" t="s">
        <v>10</v>
      </c>
      <c r="C8" s="10" t="s">
        <v>11</v>
      </c>
      <c r="D8" s="10" t="s">
        <v>12</v>
      </c>
      <c r="E8" s="10" t="s">
        <v>13</v>
      </c>
      <c r="F8" s="10"/>
      <c r="G8" s="10"/>
    </row>
    <row r="9" customFormat="false" ht="23.85" hidden="false" customHeight="true" outlineLevel="0" collapsed="false">
      <c r="A9" s="11" t="s">
        <v>14</v>
      </c>
      <c r="B9" s="12" t="s">
        <v>15</v>
      </c>
      <c r="C9" s="13" t="s">
        <v>4</v>
      </c>
      <c r="D9" s="12" t="s">
        <v>16</v>
      </c>
      <c r="E9" s="12" t="s">
        <v>17</v>
      </c>
      <c r="F9" s="12"/>
      <c r="G9" s="12"/>
    </row>
    <row r="10" customFormat="false" ht="23.85" hidden="false" customHeight="true" outlineLevel="0" collapsed="false">
      <c r="A10" s="11" t="s">
        <v>18</v>
      </c>
      <c r="B10" s="12" t="s">
        <v>19</v>
      </c>
      <c r="C10" s="13" t="s">
        <v>4</v>
      </c>
      <c r="D10" s="12" t="s">
        <v>16</v>
      </c>
      <c r="E10" s="12" t="s">
        <v>20</v>
      </c>
      <c r="F10" s="12"/>
      <c r="G10" s="12"/>
    </row>
    <row r="11" customFormat="false" ht="15" hidden="false" customHeight="true" outlineLevel="0" collapsed="false">
      <c r="A11" s="11" t="s">
        <v>21</v>
      </c>
      <c r="B11" s="12" t="s">
        <v>22</v>
      </c>
      <c r="C11" s="14" t="s">
        <v>3</v>
      </c>
      <c r="D11" s="12" t="s">
        <v>23</v>
      </c>
      <c r="E11" s="12" t="s">
        <v>24</v>
      </c>
      <c r="F11" s="12"/>
      <c r="G11" s="12"/>
    </row>
    <row r="12" customFormat="false" ht="15" hidden="false" customHeight="true" outlineLevel="0" collapsed="false">
      <c r="A12" s="11" t="s">
        <v>25</v>
      </c>
      <c r="B12" s="12" t="s">
        <v>15</v>
      </c>
      <c r="C12" s="14" t="s">
        <v>3</v>
      </c>
      <c r="D12" s="12" t="s">
        <v>26</v>
      </c>
      <c r="E12" s="12" t="s">
        <v>27</v>
      </c>
      <c r="F12" s="12"/>
      <c r="G12" s="12"/>
    </row>
    <row r="13" customFormat="false" ht="15" hidden="false" customHeight="true" outlineLevel="0" collapsed="false">
      <c r="A13" s="11" t="s">
        <v>28</v>
      </c>
      <c r="B13" s="12" t="s">
        <v>15</v>
      </c>
      <c r="C13" s="14" t="s">
        <v>3</v>
      </c>
      <c r="D13" s="12" t="s">
        <v>26</v>
      </c>
      <c r="E13" s="12" t="s">
        <v>29</v>
      </c>
      <c r="F13" s="12"/>
      <c r="G13" s="12"/>
    </row>
    <row r="14" customFormat="false" ht="15" hidden="false" customHeight="true" outlineLevel="0" collapsed="false">
      <c r="A14" s="11" t="s">
        <v>30</v>
      </c>
      <c r="B14" s="12" t="s">
        <v>22</v>
      </c>
      <c r="C14" s="14" t="s">
        <v>3</v>
      </c>
      <c r="D14" s="12" t="s">
        <v>23</v>
      </c>
      <c r="E14" s="12" t="s">
        <v>31</v>
      </c>
      <c r="F14" s="12"/>
      <c r="G14" s="12"/>
    </row>
    <row r="15" customFormat="false" ht="15" hidden="false" customHeight="true" outlineLevel="0" collapsed="false">
      <c r="A15" s="11" t="s">
        <v>32</v>
      </c>
      <c r="B15" s="12" t="s">
        <v>15</v>
      </c>
      <c r="C15" s="14" t="s">
        <v>3</v>
      </c>
      <c r="D15" s="12" t="s">
        <v>26</v>
      </c>
      <c r="E15" s="12" t="s">
        <v>33</v>
      </c>
      <c r="F15" s="12"/>
      <c r="G15" s="12"/>
    </row>
    <row r="16" customFormat="false" ht="15" hidden="false" customHeight="true" outlineLevel="0" collapsed="false">
      <c r="A16" s="11" t="s">
        <v>34</v>
      </c>
      <c r="B16" s="12" t="s">
        <v>22</v>
      </c>
      <c r="C16" s="14" t="s">
        <v>3</v>
      </c>
      <c r="D16" s="12" t="s">
        <v>35</v>
      </c>
      <c r="E16" s="12" t="s">
        <v>36</v>
      </c>
      <c r="F16" s="12"/>
      <c r="G16" s="12"/>
    </row>
    <row r="17" customFormat="false" ht="23.85" hidden="false" customHeight="true" outlineLevel="0" collapsed="false">
      <c r="A17" s="11" t="s">
        <v>37</v>
      </c>
      <c r="B17" s="12" t="s">
        <v>15</v>
      </c>
      <c r="C17" s="14" t="s">
        <v>3</v>
      </c>
      <c r="D17" s="12" t="s">
        <v>38</v>
      </c>
      <c r="E17" s="12" t="s">
        <v>39</v>
      </c>
      <c r="F17" s="12"/>
      <c r="G17" s="12"/>
    </row>
    <row r="18" customFormat="false" ht="23.85" hidden="false" customHeight="true" outlineLevel="0" collapsed="false">
      <c r="A18" s="11" t="s">
        <v>40</v>
      </c>
      <c r="B18" s="12" t="s">
        <v>19</v>
      </c>
      <c r="C18" s="13" t="s">
        <v>4</v>
      </c>
      <c r="D18" s="12" t="s">
        <v>16</v>
      </c>
      <c r="E18" s="12" t="s">
        <v>41</v>
      </c>
      <c r="F18" s="12"/>
      <c r="G18" s="12"/>
    </row>
    <row r="19" customFormat="false" ht="23.85" hidden="false" customHeight="true" outlineLevel="0" collapsed="false">
      <c r="A19" s="11" t="s">
        <v>42</v>
      </c>
      <c r="B19" s="12" t="s">
        <v>19</v>
      </c>
      <c r="C19" s="14" t="s">
        <v>3</v>
      </c>
      <c r="D19" s="12" t="s">
        <v>43</v>
      </c>
      <c r="E19" s="12" t="s">
        <v>44</v>
      </c>
      <c r="F19" s="12"/>
      <c r="G19" s="12"/>
    </row>
    <row r="20" customFormat="false" ht="15" hidden="false" customHeight="true" outlineLevel="0" collapsed="false">
      <c r="A20" s="11" t="s">
        <v>45</v>
      </c>
      <c r="B20" s="12" t="s">
        <v>15</v>
      </c>
      <c r="C20" s="15" t="s">
        <v>5</v>
      </c>
      <c r="D20" s="12" t="s">
        <v>5</v>
      </c>
      <c r="E20" s="12" t="s">
        <v>46</v>
      </c>
      <c r="F20" s="12"/>
      <c r="G20" s="12"/>
    </row>
    <row r="21" customFormat="false" ht="23.85" hidden="false" customHeight="true" outlineLevel="0" collapsed="false">
      <c r="A21" s="11" t="s">
        <v>47</v>
      </c>
      <c r="B21" s="12" t="s">
        <v>19</v>
      </c>
      <c r="C21" s="13" t="s">
        <v>4</v>
      </c>
      <c r="D21" s="12" t="s">
        <v>48</v>
      </c>
      <c r="E21" s="12" t="s">
        <v>49</v>
      </c>
      <c r="F21" s="12"/>
      <c r="G21" s="12"/>
    </row>
    <row r="22" customFormat="false" ht="23.85" hidden="false" customHeight="true" outlineLevel="0" collapsed="false">
      <c r="A22" s="11" t="s">
        <v>50</v>
      </c>
      <c r="B22" s="12" t="s">
        <v>19</v>
      </c>
      <c r="C22" s="14" t="s">
        <v>3</v>
      </c>
      <c r="D22" s="12" t="s">
        <v>51</v>
      </c>
      <c r="E22" s="12" t="s">
        <v>52</v>
      </c>
      <c r="F22" s="12"/>
      <c r="G22" s="12"/>
    </row>
    <row r="24" customFormat="false" ht="15" hidden="false" customHeight="true" outlineLevel="0" collapsed="false">
      <c r="A24" s="9" t="s">
        <v>53</v>
      </c>
      <c r="B24" s="9"/>
      <c r="C24" s="9"/>
    </row>
    <row r="25" customFormat="false" ht="15" hidden="false" customHeight="false" outlineLevel="0" collapsed="false">
      <c r="A25" s="10" t="s">
        <v>10</v>
      </c>
      <c r="B25" s="10" t="s">
        <v>54</v>
      </c>
      <c r="C25" s="10" t="s">
        <v>55</v>
      </c>
    </row>
    <row r="26" customFormat="false" ht="15" hidden="false" customHeight="false" outlineLevel="0" collapsed="false">
      <c r="A26" s="16" t="s">
        <v>15</v>
      </c>
      <c r="B26" s="16" t="n">
        <f aca="false">COUNTIF(Data!B2:B15,"Omission")</f>
        <v>6</v>
      </c>
      <c r="C26" s="17" t="n">
        <f aca="false">B26/COUNTA(Data!A2:A15)</f>
        <v>0.428571428571429</v>
      </c>
    </row>
    <row r="27" customFormat="false" ht="15" hidden="false" customHeight="false" outlineLevel="0" collapsed="false">
      <c r="A27" s="16" t="s">
        <v>22</v>
      </c>
      <c r="B27" s="16" t="n">
        <f aca="false">COUNTIF(Data!B2:B15,"Error")</f>
        <v>3</v>
      </c>
      <c r="C27" s="17" t="n">
        <f aca="false">B27/COUNTA(Data!A2:A15)</f>
        <v>0.214285714285714</v>
      </c>
    </row>
    <row r="28" customFormat="false" ht="23.85" hidden="false" customHeight="false" outlineLevel="0" collapsed="false">
      <c r="A28" s="16" t="s">
        <v>19</v>
      </c>
      <c r="B28" s="16" t="n">
        <f aca="false">COUNTIF(Data!B2:B15,"Clarification Request")</f>
        <v>5</v>
      </c>
      <c r="C28" s="17" t="n">
        <f aca="false">B28/COUNTA(Data!A2:A15)</f>
        <v>0.357142857142857</v>
      </c>
    </row>
    <row r="29" customFormat="false" ht="15" hidden="false" customHeight="false" outlineLevel="0" collapsed="false">
      <c r="A29" s="18" t="s">
        <v>56</v>
      </c>
      <c r="B29" s="18" t="n">
        <f aca="false">SUM(B26:B28)</f>
        <v>14</v>
      </c>
      <c r="C29" s="19" t="n">
        <f aca="false">SUM(C26:C28)</f>
        <v>1</v>
      </c>
    </row>
    <row r="31" customFormat="false" ht="15" hidden="false" customHeight="true" outlineLevel="0" collapsed="false">
      <c r="A31" s="9" t="s">
        <v>57</v>
      </c>
      <c r="B31" s="9"/>
      <c r="C31" s="9"/>
    </row>
    <row r="32" customFormat="false" ht="15" hidden="false" customHeight="false" outlineLevel="0" collapsed="false">
      <c r="A32" s="10" t="s">
        <v>11</v>
      </c>
      <c r="B32" s="10" t="s">
        <v>54</v>
      </c>
      <c r="C32" s="10" t="s">
        <v>55</v>
      </c>
    </row>
    <row r="33" customFormat="false" ht="15" hidden="false" customHeight="false" outlineLevel="0" collapsed="false">
      <c r="A33" s="20" t="s">
        <v>3</v>
      </c>
      <c r="B33" s="16" t="n">
        <f aca="false">COUNTIF(Data!D2:D15,"Legitimate")</f>
        <v>9</v>
      </c>
      <c r="C33" s="17" t="n">
        <f aca="false">B33/COUNTA(Data!A2:A15)</f>
        <v>0.642857142857143</v>
      </c>
    </row>
    <row r="34" customFormat="false" ht="23.85" hidden="false" customHeight="false" outlineLevel="0" collapsed="false">
      <c r="A34" s="21" t="s">
        <v>4</v>
      </c>
      <c r="B34" s="16" t="n">
        <f aca="false">COUNTIF(Data!D2:D15,"Misunderstanding")</f>
        <v>4</v>
      </c>
      <c r="C34" s="17" t="n">
        <f aca="false">B34/COUNTA(Data!A2:A15)</f>
        <v>0.285714285714286</v>
      </c>
    </row>
    <row r="35" customFormat="false" ht="15" hidden="false" customHeight="false" outlineLevel="0" collapsed="false">
      <c r="A35" s="22" t="s">
        <v>5</v>
      </c>
      <c r="B35" s="16" t="n">
        <f aca="false">COUNTIF(Data!D2:D15,"Pending FAR")</f>
        <v>1</v>
      </c>
      <c r="C35" s="17" t="n">
        <f aca="false">B35/COUNTA(Data!A2:A15)</f>
        <v>0.0714285714285714</v>
      </c>
    </row>
    <row r="36" customFormat="false" ht="15" hidden="false" customHeight="false" outlineLevel="0" collapsed="false">
      <c r="A36" s="18" t="s">
        <v>56</v>
      </c>
      <c r="B36" s="18" t="n">
        <f aca="false">SUM(B33:B35)</f>
        <v>14</v>
      </c>
      <c r="C36" s="19" t="n">
        <f aca="false">SUM(C33:C35)</f>
        <v>1</v>
      </c>
    </row>
    <row r="38" customFormat="false" ht="15" hidden="false" customHeight="true" outlineLevel="0" collapsed="false">
      <c r="A38" s="9" t="s">
        <v>58</v>
      </c>
      <c r="B38" s="9"/>
      <c r="C38" s="9"/>
      <c r="D38" s="9"/>
    </row>
    <row r="39" customFormat="false" ht="26.85" hidden="false" customHeight="false" outlineLevel="0" collapsed="false">
      <c r="A39" s="10" t="s">
        <v>12</v>
      </c>
      <c r="B39" s="10" t="s">
        <v>54</v>
      </c>
      <c r="C39" s="10" t="s">
        <v>59</v>
      </c>
      <c r="D39" s="10" t="s">
        <v>60</v>
      </c>
    </row>
    <row r="40" customFormat="false" ht="23.85" hidden="false" customHeight="false" outlineLevel="0" collapsed="false">
      <c r="A40" s="16" t="s">
        <v>26</v>
      </c>
      <c r="B40" s="16" t="n">
        <f aca="false">COUNTIFS(Data!D2:D15,"Legitimate",Data!E2:E15,"Component evidence")</f>
        <v>3</v>
      </c>
      <c r="C40" s="17" t="n">
        <f aca="false">B40/COUNTIF(Data!D2:D15,"Legitimate")</f>
        <v>0.333333333333333</v>
      </c>
      <c r="D40" s="23" t="str">
        <f aca="false">IF(B40&gt;=2,"YES","")</f>
        <v>YES</v>
      </c>
    </row>
    <row r="41" customFormat="false" ht="15" hidden="false" customHeight="false" outlineLevel="0" collapsed="false">
      <c r="A41" s="16" t="s">
        <v>23</v>
      </c>
      <c r="B41" s="16" t="n">
        <f aca="false">COUNTIFS(Data!D2:D15,"Legitimate",Data!E2:E15,"EF versioning")</f>
        <v>2</v>
      </c>
      <c r="C41" s="17" t="n">
        <f aca="false">B41/COUNTIF(Data!D2:D15,"Legitimate")</f>
        <v>0.222222222222222</v>
      </c>
      <c r="D41" s="23" t="str">
        <f aca="false">IF(B41&gt;=2,"YES","")</f>
        <v>YES</v>
      </c>
    </row>
    <row r="42" customFormat="false" ht="23.85" hidden="false" customHeight="false" outlineLevel="0" collapsed="false">
      <c r="A42" s="16" t="s">
        <v>35</v>
      </c>
      <c r="B42" s="16" t="n">
        <f aca="false">COUNTIFS(Data!D2:D15,"Legitimate",Data!E2:E15,"BCU quant mismatch")</f>
        <v>1</v>
      </c>
      <c r="C42" s="17" t="n">
        <f aca="false">B42/COUNTIF(Data!D2:D15,"Legitimate")</f>
        <v>0.111111111111111</v>
      </c>
      <c r="D42" s="23" t="str">
        <f aca="false">IF(B42&gt;=2,"YES","")</f>
        <v/>
      </c>
    </row>
    <row r="43" customFormat="false" ht="23.85" hidden="false" customHeight="false" outlineLevel="0" collapsed="false">
      <c r="A43" s="16" t="s">
        <v>38</v>
      </c>
      <c r="B43" s="16" t="n">
        <f aca="false">COUNTIFS(Data!D2:D15,"Legitimate",Data!E2:E15,"New verifier requirement")</f>
        <v>1</v>
      </c>
      <c r="C43" s="17" t="n">
        <f aca="false">B43/COUNTIF(Data!D2:D15,"Legitimate")</f>
        <v>0.111111111111111</v>
      </c>
      <c r="D43" s="23" t="str">
        <f aca="false">IF(B43&gt;=2,"YES","")</f>
        <v/>
      </c>
    </row>
    <row r="44" customFormat="false" ht="35.05" hidden="false" customHeight="false" outlineLevel="0" collapsed="false">
      <c r="A44" s="16" t="s">
        <v>43</v>
      </c>
      <c r="B44" s="16" t="n">
        <f aca="false">COUNTIFS(Data!D2:D15,"Legitimate",Data!E2:E15,"Multi-day batch transport leg")</f>
        <v>1</v>
      </c>
      <c r="C44" s="17" t="n">
        <f aca="false">B44/COUNTIF(Data!D2:D15,"Legitimate")</f>
        <v>0.111111111111111</v>
      </c>
      <c r="D44" s="23" t="str">
        <f aca="false">IF(B44&gt;=2,"YES","")</f>
        <v/>
      </c>
    </row>
    <row r="45" customFormat="false" ht="35.05" hidden="false" customHeight="false" outlineLevel="0" collapsed="false">
      <c r="A45" s="16" t="s">
        <v>51</v>
      </c>
      <c r="B45" s="16" t="n">
        <f aca="false">COUNTIFS(Data!D2:D15,"Legitimate",Data!E2:E15,"Documentation/labeling human error")</f>
        <v>1</v>
      </c>
      <c r="C45" s="17" t="n">
        <f aca="false">B45/COUNTIF(Data!D2:D15,"Legitimate")</f>
        <v>0.111111111111111</v>
      </c>
      <c r="D45" s="23" t="str">
        <f aca="false">IF(B45&gt;=2,"YES","")</f>
        <v/>
      </c>
    </row>
    <row r="46" customFormat="false" ht="15" hidden="false" customHeight="false" outlineLevel="0" collapsed="false">
      <c r="A46" s="18" t="s">
        <v>56</v>
      </c>
      <c r="B46" s="18" t="n">
        <f aca="false">SUM(B40:B45)</f>
        <v>9</v>
      </c>
      <c r="C46" s="19" t="n">
        <f aca="false">SUM(C40:C45)</f>
        <v>1</v>
      </c>
      <c r="D46" s="24"/>
    </row>
    <row r="48" customFormat="false" ht="15" hidden="false" customHeight="true" outlineLevel="0" collapsed="false">
      <c r="A48" s="9" t="s">
        <v>61</v>
      </c>
      <c r="B48" s="9"/>
      <c r="C48" s="9"/>
      <c r="D48" s="9"/>
      <c r="E48" s="9"/>
      <c r="F48" s="9"/>
      <c r="G48" s="9"/>
    </row>
    <row r="49" customFormat="false" ht="55.5" hidden="false" customHeight="true" outlineLevel="0" collapsed="false">
      <c r="A49" s="25" t="s">
        <v>62</v>
      </c>
      <c r="B49" s="26" t="s">
        <v>63</v>
      </c>
      <c r="C49" s="26"/>
      <c r="D49" s="26"/>
      <c r="E49" s="26"/>
      <c r="F49" s="26"/>
      <c r="G49" s="26"/>
    </row>
    <row r="50" customFormat="false" ht="69.75" hidden="false" customHeight="true" outlineLevel="0" collapsed="false">
      <c r="A50" s="25" t="s">
        <v>64</v>
      </c>
      <c r="B50" s="26" t="s">
        <v>65</v>
      </c>
      <c r="C50" s="26"/>
      <c r="D50" s="26"/>
      <c r="E50" s="26"/>
      <c r="F50" s="26"/>
      <c r="G50" s="26"/>
    </row>
    <row r="51" customFormat="false" ht="84" hidden="false" customHeight="true" outlineLevel="0" collapsed="false">
      <c r="A51" s="25" t="s">
        <v>66</v>
      </c>
      <c r="B51" s="26" t="s">
        <v>67</v>
      </c>
      <c r="C51" s="26"/>
      <c r="D51" s="26"/>
      <c r="E51" s="26"/>
      <c r="F51" s="26"/>
      <c r="G51" s="26"/>
    </row>
    <row r="52" customFormat="false" ht="69.75" hidden="false" customHeight="true" outlineLevel="0" collapsed="false">
      <c r="A52" s="25" t="s">
        <v>68</v>
      </c>
      <c r="B52" s="26" t="s">
        <v>69</v>
      </c>
      <c r="C52" s="26"/>
      <c r="D52" s="26"/>
      <c r="E52" s="26"/>
      <c r="F52" s="26"/>
      <c r="G52" s="26"/>
    </row>
    <row r="53" customFormat="false" ht="45" hidden="false" customHeight="true" outlineLevel="0" collapsed="false">
      <c r="A53" s="25" t="s">
        <v>70</v>
      </c>
      <c r="B53" s="26" t="s">
        <v>71</v>
      </c>
      <c r="C53" s="26"/>
      <c r="D53" s="26"/>
      <c r="E53" s="26"/>
      <c r="F53" s="26"/>
      <c r="G53" s="26"/>
    </row>
    <row r="54" customFormat="false" ht="45" hidden="false" customHeight="true" outlineLevel="0" collapsed="false">
      <c r="A54" s="25" t="s">
        <v>72</v>
      </c>
      <c r="B54" s="26" t="s">
        <v>73</v>
      </c>
      <c r="C54" s="26"/>
      <c r="D54" s="26"/>
      <c r="E54" s="26"/>
      <c r="F54" s="26"/>
      <c r="G54" s="26"/>
    </row>
    <row r="55" customFormat="false" ht="69.75" hidden="false" customHeight="true" outlineLevel="0" collapsed="false">
      <c r="A55" s="25" t="s">
        <v>74</v>
      </c>
      <c r="B55" s="26" t="s">
        <v>75</v>
      </c>
      <c r="C55" s="26"/>
      <c r="D55" s="26"/>
      <c r="E55" s="26"/>
      <c r="F55" s="26"/>
      <c r="G55" s="26"/>
    </row>
    <row r="56" customFormat="false" ht="55.5" hidden="false" customHeight="true" outlineLevel="0" collapsed="false">
      <c r="A56" s="25" t="s">
        <v>76</v>
      </c>
      <c r="B56" s="26" t="s">
        <v>77</v>
      </c>
      <c r="C56" s="26"/>
      <c r="D56" s="26"/>
      <c r="E56" s="26"/>
      <c r="F56" s="26"/>
      <c r="G56" s="26"/>
    </row>
    <row r="57" customFormat="false" ht="55.5" hidden="false" customHeight="true" outlineLevel="0" collapsed="false">
      <c r="A57" s="25" t="s">
        <v>78</v>
      </c>
      <c r="B57" s="26" t="s">
        <v>79</v>
      </c>
      <c r="C57" s="26"/>
      <c r="D57" s="26"/>
      <c r="E57" s="26"/>
      <c r="F57" s="26"/>
      <c r="G57" s="26"/>
    </row>
    <row r="58" customFormat="false" ht="45" hidden="false" customHeight="true" outlineLevel="0" collapsed="false">
      <c r="A58" s="25" t="s">
        <v>80</v>
      </c>
      <c r="B58" s="26" t="s">
        <v>81</v>
      </c>
      <c r="C58" s="26"/>
      <c r="D58" s="26"/>
      <c r="E58" s="26"/>
      <c r="F58" s="26"/>
      <c r="G58" s="26"/>
    </row>
  </sheetData>
  <mergeCells count="32">
    <mergeCell ref="A1:G1"/>
    <mergeCell ref="A2:G2"/>
    <mergeCell ref="A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A24:C24"/>
    <mergeCell ref="A31:C31"/>
    <mergeCell ref="A38:D38"/>
    <mergeCell ref="A48:G48"/>
    <mergeCell ref="B49:G49"/>
    <mergeCell ref="B50:G50"/>
    <mergeCell ref="B51:G51"/>
    <mergeCell ref="B52:G52"/>
    <mergeCell ref="B53:G53"/>
    <mergeCell ref="B54:G54"/>
    <mergeCell ref="B55:G55"/>
    <mergeCell ref="B56:G56"/>
    <mergeCell ref="B57:G57"/>
    <mergeCell ref="B58:G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5" min="1" style="0" width="28"/>
  </cols>
  <sheetData>
    <row r="1" customFormat="false" ht="15" hidden="false" customHeight="false" outlineLevel="0" collapsed="false">
      <c r="A1" s="27" t="s">
        <v>9</v>
      </c>
      <c r="B1" s="27" t="s">
        <v>10</v>
      </c>
      <c r="C1" s="27" t="s">
        <v>82</v>
      </c>
      <c r="D1" s="27" t="s">
        <v>11</v>
      </c>
      <c r="E1" s="27" t="s">
        <v>12</v>
      </c>
    </row>
    <row r="2" customFormat="false" ht="15" hidden="false" customHeight="false" outlineLevel="0" collapsed="false">
      <c r="A2" s="0" t="s">
        <v>14</v>
      </c>
      <c r="B2" s="0" t="s">
        <v>15</v>
      </c>
      <c r="C2" s="0" t="s">
        <v>17</v>
      </c>
      <c r="D2" s="0" t="s">
        <v>4</v>
      </c>
      <c r="E2" s="0" t="s">
        <v>16</v>
      </c>
    </row>
    <row r="3" customFormat="false" ht="15" hidden="false" customHeight="false" outlineLevel="0" collapsed="false">
      <c r="A3" s="0" t="s">
        <v>18</v>
      </c>
      <c r="B3" s="0" t="s">
        <v>19</v>
      </c>
      <c r="C3" s="0" t="s">
        <v>20</v>
      </c>
      <c r="D3" s="0" t="s">
        <v>4</v>
      </c>
      <c r="E3" s="0" t="s">
        <v>16</v>
      </c>
    </row>
    <row r="4" customFormat="false" ht="15" hidden="false" customHeight="false" outlineLevel="0" collapsed="false">
      <c r="A4" s="0" t="s">
        <v>21</v>
      </c>
      <c r="B4" s="0" t="s">
        <v>22</v>
      </c>
      <c r="C4" s="0" t="s">
        <v>24</v>
      </c>
      <c r="D4" s="0" t="s">
        <v>3</v>
      </c>
      <c r="E4" s="0" t="s">
        <v>23</v>
      </c>
    </row>
    <row r="5" customFormat="false" ht="15" hidden="false" customHeight="false" outlineLevel="0" collapsed="false">
      <c r="A5" s="0" t="s">
        <v>25</v>
      </c>
      <c r="B5" s="0" t="s">
        <v>15</v>
      </c>
      <c r="C5" s="0" t="s">
        <v>27</v>
      </c>
      <c r="D5" s="0" t="s">
        <v>3</v>
      </c>
      <c r="E5" s="0" t="s">
        <v>26</v>
      </c>
    </row>
    <row r="6" customFormat="false" ht="15" hidden="false" customHeight="false" outlineLevel="0" collapsed="false">
      <c r="A6" s="0" t="s">
        <v>28</v>
      </c>
      <c r="B6" s="0" t="s">
        <v>15</v>
      </c>
      <c r="C6" s="0" t="s">
        <v>29</v>
      </c>
      <c r="D6" s="0" t="s">
        <v>3</v>
      </c>
      <c r="E6" s="0" t="s">
        <v>26</v>
      </c>
    </row>
    <row r="7" customFormat="false" ht="15" hidden="false" customHeight="false" outlineLevel="0" collapsed="false">
      <c r="A7" s="0" t="s">
        <v>30</v>
      </c>
      <c r="B7" s="0" t="s">
        <v>22</v>
      </c>
      <c r="C7" s="0" t="s">
        <v>31</v>
      </c>
      <c r="D7" s="0" t="s">
        <v>3</v>
      </c>
      <c r="E7" s="0" t="s">
        <v>23</v>
      </c>
    </row>
    <row r="8" customFormat="false" ht="15" hidden="false" customHeight="false" outlineLevel="0" collapsed="false">
      <c r="A8" s="0" t="s">
        <v>32</v>
      </c>
      <c r="B8" s="0" t="s">
        <v>15</v>
      </c>
      <c r="C8" s="0" t="s">
        <v>33</v>
      </c>
      <c r="D8" s="0" t="s">
        <v>3</v>
      </c>
      <c r="E8" s="0" t="s">
        <v>26</v>
      </c>
    </row>
    <row r="9" customFormat="false" ht="15" hidden="false" customHeight="false" outlineLevel="0" collapsed="false">
      <c r="A9" s="0" t="s">
        <v>34</v>
      </c>
      <c r="B9" s="0" t="s">
        <v>22</v>
      </c>
      <c r="C9" s="0" t="s">
        <v>36</v>
      </c>
      <c r="D9" s="0" t="s">
        <v>3</v>
      </c>
      <c r="E9" s="0" t="s">
        <v>35</v>
      </c>
    </row>
    <row r="10" customFormat="false" ht="15" hidden="false" customHeight="false" outlineLevel="0" collapsed="false">
      <c r="A10" s="0" t="s">
        <v>37</v>
      </c>
      <c r="B10" s="0" t="s">
        <v>15</v>
      </c>
      <c r="C10" s="0" t="s">
        <v>39</v>
      </c>
      <c r="D10" s="0" t="s">
        <v>3</v>
      </c>
      <c r="E10" s="0" t="s">
        <v>38</v>
      </c>
    </row>
    <row r="11" customFormat="false" ht="15" hidden="false" customHeight="false" outlineLevel="0" collapsed="false">
      <c r="A11" s="0" t="s">
        <v>40</v>
      </c>
      <c r="B11" s="0" t="s">
        <v>19</v>
      </c>
      <c r="C11" s="0" t="s">
        <v>41</v>
      </c>
      <c r="D11" s="0" t="s">
        <v>4</v>
      </c>
      <c r="E11" s="0" t="s">
        <v>16</v>
      </c>
    </row>
    <row r="12" customFormat="false" ht="15" hidden="false" customHeight="false" outlineLevel="0" collapsed="false">
      <c r="A12" s="0" t="s">
        <v>42</v>
      </c>
      <c r="B12" s="0" t="s">
        <v>19</v>
      </c>
      <c r="C12" s="0" t="s">
        <v>44</v>
      </c>
      <c r="D12" s="0" t="s">
        <v>3</v>
      </c>
      <c r="E12" s="0" t="s">
        <v>43</v>
      </c>
    </row>
    <row r="13" customFormat="false" ht="15" hidden="false" customHeight="false" outlineLevel="0" collapsed="false">
      <c r="A13" s="0" t="s">
        <v>45</v>
      </c>
      <c r="B13" s="0" t="s">
        <v>15</v>
      </c>
      <c r="C13" s="0" t="s">
        <v>46</v>
      </c>
      <c r="D13" s="0" t="s">
        <v>5</v>
      </c>
      <c r="E13" s="0" t="s">
        <v>5</v>
      </c>
    </row>
    <row r="14" customFormat="false" ht="15" hidden="false" customHeight="false" outlineLevel="0" collapsed="false">
      <c r="A14" s="0" t="s">
        <v>47</v>
      </c>
      <c r="B14" s="0" t="s">
        <v>19</v>
      </c>
      <c r="C14" s="0" t="s">
        <v>49</v>
      </c>
      <c r="D14" s="0" t="s">
        <v>4</v>
      </c>
      <c r="E14" s="0" t="s">
        <v>48</v>
      </c>
    </row>
    <row r="15" customFormat="false" ht="15" hidden="false" customHeight="false" outlineLevel="0" collapsed="false">
      <c r="A15" s="0" t="s">
        <v>50</v>
      </c>
      <c r="B15" s="0" t="s">
        <v>19</v>
      </c>
      <c r="C15" s="0" t="s">
        <v>52</v>
      </c>
      <c r="D15" s="0" t="s">
        <v>3</v>
      </c>
      <c r="E15" s="0" t="s">
        <v>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2026-04-27T19:03:49Z</dcterms:created>
  <dc:creator>openpyxl</dc:creator>
  <dc:description/>
  <dc:language>en-US</dc:language>
  <cp:lastModifiedBy/>
  <dcterms:modified xsi:type="dcterms:W3CDTF">2026-04-27T19:03:55Z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