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Dashboard" sheetId="1" state="visible" r:id="rId1"/>
    <sheet xmlns:r="http://schemas.openxmlformats.org/officeDocument/2006/relationships" name="Monthly Monitor" sheetId="2" state="visible" r:id="rId2"/>
    <sheet xmlns:r="http://schemas.openxmlformats.org/officeDocument/2006/relationships" name="Projection (Lia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YYYY-MM-DD"/>
    <numFmt numFmtId="166" formatCode="#,##0.0"/>
    <numFmt numFmtId="167" formatCode="0.00000"/>
  </numFmts>
  <fonts count="6">
    <font>
      <name val="Calibri"/>
      <family val="2"/>
      <color theme="1"/>
      <sz val="11"/>
      <scheme val="minor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color rgb="00AAAAAA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EB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E8E8E8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167" fontId="3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4" fontId="3" fillId="5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6" fontId="3" fillId="5" borderId="0" applyAlignment="1" pivotButton="0" quotePrefix="0" xfId="0">
      <alignment horizontal="right" vertical="center"/>
    </xf>
    <xf numFmtId="167" fontId="3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right" vertical="center"/>
    </xf>
    <xf numFmtId="166" fontId="4" fillId="9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5" fontId="3" fillId="3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167" fontId="3" fillId="3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6" fontId="3" fillId="5" borderId="0" applyAlignment="1" pivotButton="0" quotePrefix="0" xfId="0">
      <alignment horizontal="right" vertical="center"/>
    </xf>
    <xf numFmtId="167" fontId="3" fillId="5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6" fontId="4" fillId="9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34" customWidth="1" min="4" max="4"/>
    <col width="14" customWidth="1" min="5" max="5"/>
    <col width="15" customWidth="1" min="6" max="6"/>
    <col width="9" customWidth="1" min="7" max="7"/>
    <col width="14" customWidth="1" min="8" max="8"/>
    <col width="14" customWidth="1" min="9" max="9"/>
    <col width="20" customWidth="1" min="10" max="10"/>
    <col width="13" customWidth="1" min="11" max="11"/>
    <col width="20" customWidth="1" min="12" max="12"/>
  </cols>
  <sheetData>
    <row r="1">
      <c r="A1" s="1" t="inlineStr">
        <is>
          <t>Snapshot: 2026-04-30  |  New schedule start: 2026-05-01  |  Sources: Combined-Amortization-History.csv, Projection.csv, Historical-Actuals.csv  |  Rate = Remaining GWP ÷ projected CDR (2026-05-01 → 5yr cutoff)</t>
        </is>
      </c>
    </row>
    <row r="2" ht="36" customHeight="1">
      <c r="A2" s="2" t="inlineStr">
        <is>
          <t>Asset ID</t>
        </is>
      </c>
      <c r="B2" s="2" t="inlineStr">
        <is>
          <t>Stream</t>
        </is>
      </c>
      <c r="C2" s="2" t="inlineStr">
        <is>
          <t>Site</t>
        </is>
      </c>
      <c r="D2" s="2" t="inlineStr">
        <is>
          <t>Item Name</t>
        </is>
      </c>
      <c r="E2" s="2" t="inlineStr">
        <is>
          <t>Total GWP
(kg)</t>
        </is>
      </c>
      <c r="F2" s="2" t="inlineStr">
        <is>
          <t>Drawn to Date
(kg)</t>
        </is>
      </c>
      <c r="G2" s="2" t="inlineStr">
        <is>
          <t>% Done</t>
        </is>
      </c>
      <c r="H2" s="2" t="inlineStr">
        <is>
          <t>Remaining
(kg)</t>
        </is>
      </c>
      <c r="I2" s="2" t="inlineStr">
        <is>
          <t>5yr Window
Closes</t>
        </is>
      </c>
      <c r="J2" s="2" t="inlineStr">
        <is>
          <t>CDR in Window
(MT projected)</t>
        </is>
      </c>
      <c r="K2" s="2" t="inlineStr">
        <is>
          <t>Rate
(kg/MT CDR)</t>
        </is>
      </c>
      <c r="L2" s="2" t="inlineStr">
        <is>
          <t>Status</t>
        </is>
      </c>
    </row>
    <row r="3">
      <c r="A3" s="3" t="inlineStr">
        <is>
          <t>EE-CO-001</t>
        </is>
      </c>
      <c r="B3" s="4" t="inlineStr">
        <is>
          <t>CO</t>
        </is>
      </c>
      <c r="C3" s="4" t="inlineStr">
        <is>
          <t>Charm CO</t>
        </is>
      </c>
      <c r="D3" s="3" t="inlineStr">
        <is>
          <t>Peanut Wagon</t>
        </is>
      </c>
      <c r="E3" s="5" t="n">
        <v>9742.799999999999</v>
      </c>
      <c r="F3" s="5" t="n">
        <v>923.8</v>
      </c>
      <c r="G3" s="6">
        <f>IF(E3=0,"",F3/E3*100)</f>
        <v/>
      </c>
      <c r="H3" s="5">
        <f>E3-F3</f>
        <v/>
      </c>
      <c r="I3" s="38" t="n">
        <v>47311</v>
      </c>
      <c r="J3" s="39" t="n">
        <v>389219.6999999999</v>
      </c>
      <c r="K3" s="40">
        <f>IF(J3=0,"",H3/J3)</f>
        <v/>
      </c>
      <c r="L3" s="3" t="inlineStr">
        <is>
          <t>Yes — on projection</t>
        </is>
      </c>
    </row>
    <row r="4">
      <c r="A4" s="3" t="inlineStr">
        <is>
          <t>EE-CO-002</t>
        </is>
      </c>
      <c r="B4" s="4" t="inlineStr">
        <is>
          <t>CO</t>
        </is>
      </c>
      <c r="C4" s="4" t="inlineStr">
        <is>
          <t>Charm CO</t>
        </is>
      </c>
      <c r="D4" s="3" t="inlineStr">
        <is>
          <t>JCB Forks Attachment</t>
        </is>
      </c>
      <c r="E4" s="5" t="n">
        <v>158.14</v>
      </c>
      <c r="F4" s="5" t="n">
        <v>14.99</v>
      </c>
      <c r="G4" s="6">
        <f>IF(E4=0,"",F4/E4*100)</f>
        <v/>
      </c>
      <c r="H4" s="5">
        <f>E4-F4</f>
        <v/>
      </c>
      <c r="I4" s="38" t="n">
        <v>47311</v>
      </c>
      <c r="J4" s="39" t="n">
        <v>389219.6999999999</v>
      </c>
      <c r="K4" s="40">
        <f>IF(J4=0,"",H4/J4)</f>
        <v/>
      </c>
      <c r="L4" s="3" t="inlineStr">
        <is>
          <t>Yes — on projection</t>
        </is>
      </c>
    </row>
    <row r="5">
      <c r="A5" s="3" t="inlineStr">
        <is>
          <t>EE-CO-003</t>
        </is>
      </c>
      <c r="B5" s="4" t="inlineStr">
        <is>
          <t>CO</t>
        </is>
      </c>
      <c r="C5" s="4" t="inlineStr">
        <is>
          <t>Charm CO</t>
        </is>
      </c>
      <c r="D5" s="3" t="inlineStr">
        <is>
          <t>275 Gal IBC Tote Plastic Pallet</t>
        </is>
      </c>
      <c r="E5" s="5" t="n">
        <v>15440.19</v>
      </c>
      <c r="F5" s="5" t="n">
        <v>1464.02</v>
      </c>
      <c r="G5" s="6">
        <f>IF(E5=0,"",F5/E5*100)</f>
        <v/>
      </c>
      <c r="H5" s="5">
        <f>E5-F5</f>
        <v/>
      </c>
      <c r="I5" s="38" t="n">
        <v>47311</v>
      </c>
      <c r="J5" s="39" t="n">
        <v>389219.6999999999</v>
      </c>
      <c r="K5" s="40">
        <f>IF(J5=0,"",H5/J5)</f>
        <v/>
      </c>
      <c r="L5" s="3" t="inlineStr">
        <is>
          <t>Yes — on projection</t>
        </is>
      </c>
    </row>
    <row r="6">
      <c r="A6" s="3" t="inlineStr">
        <is>
          <t>EE-CO-004</t>
        </is>
      </c>
      <c r="B6" s="4" t="inlineStr">
        <is>
          <t>CO</t>
        </is>
      </c>
      <c r="C6" s="4" t="inlineStr">
        <is>
          <t>Charm CO</t>
        </is>
      </c>
      <c r="D6" s="3" t="inlineStr">
        <is>
          <t>Blue Boom</t>
        </is>
      </c>
      <c r="E6" s="5" t="n">
        <v>13342.49</v>
      </c>
      <c r="F6" s="5" t="n">
        <v>1265.12</v>
      </c>
      <c r="G6" s="6">
        <f>IF(E6=0,"",F6/E6*100)</f>
        <v/>
      </c>
      <c r="H6" s="5">
        <f>E6-F6</f>
        <v/>
      </c>
      <c r="I6" s="38" t="n">
        <v>47311</v>
      </c>
      <c r="J6" s="39" t="n">
        <v>389219.6999999999</v>
      </c>
      <c r="K6" s="40">
        <f>IF(J6=0,"",H6/J6)</f>
        <v/>
      </c>
      <c r="L6" s="3" t="inlineStr">
        <is>
          <t>Yes — on projection</t>
        </is>
      </c>
    </row>
    <row r="7">
      <c r="A7" s="3" t="inlineStr">
        <is>
          <t>EE-CO-005</t>
        </is>
      </c>
      <c r="B7" s="4" t="inlineStr">
        <is>
          <t>CO</t>
        </is>
      </c>
      <c r="C7" s="4" t="inlineStr">
        <is>
          <t>Charm CO</t>
        </is>
      </c>
      <c r="D7" s="3" t="inlineStr">
        <is>
          <t>Drive Over Unload Conveyor</t>
        </is>
      </c>
      <c r="E7" s="5" t="n">
        <v>3231.94</v>
      </c>
      <c r="F7" s="5" t="n">
        <v>306.45</v>
      </c>
      <c r="G7" s="6">
        <f>IF(E7=0,"",F7/E7*100)</f>
        <v/>
      </c>
      <c r="H7" s="5">
        <f>E7-F7</f>
        <v/>
      </c>
      <c r="I7" s="38" t="n">
        <v>47311</v>
      </c>
      <c r="J7" s="39" t="n">
        <v>389219.6999999999</v>
      </c>
      <c r="K7" s="40">
        <f>IF(J7=0,"",H7/J7)</f>
        <v/>
      </c>
      <c r="L7" s="3" t="inlineStr">
        <is>
          <t>Yes — on projection</t>
        </is>
      </c>
    </row>
    <row r="8">
      <c r="A8" s="3" t="inlineStr">
        <is>
          <t>EE-CO-006</t>
        </is>
      </c>
      <c r="B8" s="4" t="inlineStr">
        <is>
          <t>CO</t>
        </is>
      </c>
      <c r="C8" s="4" t="inlineStr">
        <is>
          <t>Charm CO</t>
        </is>
      </c>
      <c r="D8" s="3" t="inlineStr">
        <is>
          <t>Avant Bucket</t>
        </is>
      </c>
      <c r="E8" s="5" t="n">
        <v>72.01000000000001</v>
      </c>
      <c r="F8" s="5" t="n">
        <v>6.83</v>
      </c>
      <c r="G8" s="6">
        <f>IF(E8=0,"",F8/E8*100)</f>
        <v/>
      </c>
      <c r="H8" s="5">
        <f>E8-F8</f>
        <v/>
      </c>
      <c r="I8" s="38" t="n">
        <v>47311</v>
      </c>
      <c r="J8" s="39" t="n">
        <v>389219.6999999999</v>
      </c>
      <c r="K8" s="40">
        <f>IF(J8=0,"",H8/J8)</f>
        <v/>
      </c>
      <c r="L8" s="3" t="inlineStr">
        <is>
          <t>Yes — on projection</t>
        </is>
      </c>
    </row>
    <row r="9">
      <c r="A9" s="3" t="inlineStr">
        <is>
          <t>EE-CO-007</t>
        </is>
      </c>
      <c r="B9" s="4" t="inlineStr">
        <is>
          <t>CO</t>
        </is>
      </c>
      <c r="C9" s="4" t="inlineStr">
        <is>
          <t>Charm CO</t>
        </is>
      </c>
      <c r="D9" s="3" t="inlineStr">
        <is>
          <t>Global Industrial Attachment</t>
        </is>
      </c>
      <c r="E9" s="5" t="n">
        <v>54.12</v>
      </c>
      <c r="F9" s="5" t="n">
        <v>5.13</v>
      </c>
      <c r="G9" s="6">
        <f>IF(E9=0,"",F9/E9*100)</f>
        <v/>
      </c>
      <c r="H9" s="5">
        <f>E9-F9</f>
        <v/>
      </c>
      <c r="I9" s="38" t="n">
        <v>47311</v>
      </c>
      <c r="J9" s="39" t="n">
        <v>389219.6999999999</v>
      </c>
      <c r="K9" s="40">
        <f>IF(J9=0,"",H9/J9)</f>
        <v/>
      </c>
      <c r="L9" s="3" t="inlineStr">
        <is>
          <t>Yes — on projection</t>
        </is>
      </c>
    </row>
    <row r="10">
      <c r="A10" s="3" t="inlineStr">
        <is>
          <t>EE-CO-009</t>
        </is>
      </c>
      <c r="B10" s="4" t="inlineStr">
        <is>
          <t>CO</t>
        </is>
      </c>
      <c r="C10" s="4" t="inlineStr">
        <is>
          <t>Charm CO</t>
        </is>
      </c>
      <c r="D10" s="3" t="inlineStr">
        <is>
          <t>Black Dumpster</t>
        </is>
      </c>
      <c r="E10" s="5" t="n">
        <v>2118</v>
      </c>
      <c r="F10" s="5" t="n">
        <v>200.83</v>
      </c>
      <c r="G10" s="6">
        <f>IF(E10=0,"",F10/E10*100)</f>
        <v/>
      </c>
      <c r="H10" s="5">
        <f>E10-F10</f>
        <v/>
      </c>
      <c r="I10" s="38" t="n">
        <v>47311</v>
      </c>
      <c r="J10" s="39" t="n">
        <v>389219.6999999999</v>
      </c>
      <c r="K10" s="40">
        <f>IF(J10=0,"",H10/J10)</f>
        <v/>
      </c>
      <c r="L10" s="3" t="inlineStr">
        <is>
          <t>Yes — on projection</t>
        </is>
      </c>
    </row>
    <row r="11">
      <c r="A11" s="3" t="inlineStr">
        <is>
          <t>EE-CO-011</t>
        </is>
      </c>
      <c r="B11" s="4" t="inlineStr">
        <is>
          <t>CO</t>
        </is>
      </c>
      <c r="C11" s="4" t="inlineStr">
        <is>
          <t>Charm CO</t>
        </is>
      </c>
      <c r="D11" s="3" t="inlineStr">
        <is>
          <t>Blue Scale 1</t>
        </is>
      </c>
      <c r="E11" s="5" t="n">
        <v>271.89</v>
      </c>
      <c r="F11" s="5" t="n">
        <v>25.78</v>
      </c>
      <c r="G11" s="6">
        <f>IF(E11=0,"",F11/E11*100)</f>
        <v/>
      </c>
      <c r="H11" s="5">
        <f>E11-F11</f>
        <v/>
      </c>
      <c r="I11" s="38" t="n">
        <v>47311</v>
      </c>
      <c r="J11" s="39" t="n">
        <v>389219.6999999999</v>
      </c>
      <c r="K11" s="40">
        <f>IF(J11=0,"",H11/J11)</f>
        <v/>
      </c>
      <c r="L11" s="3" t="inlineStr">
        <is>
          <t>Yes — on projection</t>
        </is>
      </c>
    </row>
    <row r="12">
      <c r="A12" s="3" t="inlineStr">
        <is>
          <t>EE-CO-012</t>
        </is>
      </c>
      <c r="B12" s="4" t="inlineStr">
        <is>
          <t>CO</t>
        </is>
      </c>
      <c r="C12" s="4" t="inlineStr">
        <is>
          <t>Charm CO</t>
        </is>
      </c>
      <c r="D12" s="3" t="inlineStr">
        <is>
          <t>BM&amp;M Biomass Screener</t>
        </is>
      </c>
      <c r="E12" s="5" t="n">
        <v>9301.5</v>
      </c>
      <c r="F12" s="5" t="n">
        <v>881.96</v>
      </c>
      <c r="G12" s="6">
        <f>IF(E12=0,"",F12/E12*100)</f>
        <v/>
      </c>
      <c r="H12" s="5">
        <f>E12-F12</f>
        <v/>
      </c>
      <c r="I12" s="38" t="n">
        <v>47311</v>
      </c>
      <c r="J12" s="39" t="n">
        <v>389219.6999999999</v>
      </c>
      <c r="K12" s="40">
        <f>IF(J12=0,"",H12/J12)</f>
        <v/>
      </c>
      <c r="L12" s="3" t="inlineStr">
        <is>
          <t>Yes — on projection</t>
        </is>
      </c>
    </row>
    <row r="13">
      <c r="A13" s="3" t="inlineStr">
        <is>
          <t>EE-CO-013</t>
        </is>
      </c>
      <c r="B13" s="4" t="inlineStr">
        <is>
          <t>CO</t>
        </is>
      </c>
      <c r="C13" s="4" t="inlineStr">
        <is>
          <t>Charm CO</t>
        </is>
      </c>
      <c r="D13" s="3" t="inlineStr">
        <is>
          <t>Articulating Boom</t>
        </is>
      </c>
      <c r="E13" s="5" t="n">
        <v>14367.72</v>
      </c>
      <c r="F13" s="5" t="n">
        <v>1362.33</v>
      </c>
      <c r="G13" s="6">
        <f>IF(E13=0,"",F13/E13*100)</f>
        <v/>
      </c>
      <c r="H13" s="5">
        <f>E13-F13</f>
        <v/>
      </c>
      <c r="I13" s="38" t="n">
        <v>47311</v>
      </c>
      <c r="J13" s="39" t="n">
        <v>389219.6999999999</v>
      </c>
      <c r="K13" s="40">
        <f>IF(J13=0,"",H13/J13)</f>
        <v/>
      </c>
      <c r="L13" s="3" t="inlineStr">
        <is>
          <t>Yes — on projection</t>
        </is>
      </c>
    </row>
    <row r="14">
      <c r="A14" s="3" t="inlineStr">
        <is>
          <t>EE-CO-014</t>
        </is>
      </c>
      <c r="B14" s="4" t="inlineStr">
        <is>
          <t>CO</t>
        </is>
      </c>
      <c r="C14" s="4" t="inlineStr">
        <is>
          <t>Charm CO</t>
        </is>
      </c>
      <c r="D14" s="3" t="inlineStr">
        <is>
          <t>JCB Excavator</t>
        </is>
      </c>
      <c r="E14" s="5" t="n">
        <v>17776.2</v>
      </c>
      <c r="F14" s="5" t="n">
        <v>1685.52</v>
      </c>
      <c r="G14" s="6">
        <f>IF(E14=0,"",F14/E14*100)</f>
        <v/>
      </c>
      <c r="H14" s="5">
        <f>E14-F14</f>
        <v/>
      </c>
      <c r="I14" s="38" t="n">
        <v>47311</v>
      </c>
      <c r="J14" s="39" t="n">
        <v>389219.6999999999</v>
      </c>
      <c r="K14" s="40">
        <f>IF(J14=0,"",H14/J14)</f>
        <v/>
      </c>
      <c r="L14" s="3" t="inlineStr">
        <is>
          <t>Yes — on projection</t>
        </is>
      </c>
    </row>
    <row r="15">
      <c r="A15" s="3" t="inlineStr">
        <is>
          <t>EE-CO-015</t>
        </is>
      </c>
      <c r="B15" s="4" t="inlineStr">
        <is>
          <t>CO</t>
        </is>
      </c>
      <c r="C15" s="4" t="inlineStr">
        <is>
          <t>Charm CO</t>
        </is>
      </c>
      <c r="D15" s="3" t="inlineStr">
        <is>
          <t>JCB Telehandler 2</t>
        </is>
      </c>
      <c r="E15" s="5" t="n">
        <v>21765.49</v>
      </c>
      <c r="F15" s="5" t="n">
        <v>2063.78</v>
      </c>
      <c r="G15" s="6">
        <f>IF(E15=0,"",F15/E15*100)</f>
        <v/>
      </c>
      <c r="H15" s="5">
        <f>E15-F15</f>
        <v/>
      </c>
      <c r="I15" s="38" t="n">
        <v>47311</v>
      </c>
      <c r="J15" s="39" t="n">
        <v>389219.6999999999</v>
      </c>
      <c r="K15" s="40">
        <f>IF(J15=0,"",H15/J15)</f>
        <v/>
      </c>
      <c r="L15" s="3" t="inlineStr">
        <is>
          <t>Yes — on projection</t>
        </is>
      </c>
    </row>
    <row r="16">
      <c r="A16" s="3" t="inlineStr">
        <is>
          <t>EE-CO-016</t>
        </is>
      </c>
      <c r="B16" s="4" t="inlineStr">
        <is>
          <t>CO</t>
        </is>
      </c>
      <c r="C16" s="4" t="inlineStr">
        <is>
          <t>Charm CO</t>
        </is>
      </c>
      <c r="D16" s="3" t="inlineStr">
        <is>
          <t>Orange Fooklift</t>
        </is>
      </c>
      <c r="E16" s="5" t="n">
        <v>39262.66</v>
      </c>
      <c r="F16" s="5" t="n">
        <v>3722.84</v>
      </c>
      <c r="G16" s="6">
        <f>IF(E16=0,"",F16/E16*100)</f>
        <v/>
      </c>
      <c r="H16" s="5">
        <f>E16-F16</f>
        <v/>
      </c>
      <c r="I16" s="38" t="n">
        <v>47311</v>
      </c>
      <c r="J16" s="39" t="n">
        <v>389219.6999999999</v>
      </c>
      <c r="K16" s="40">
        <f>IF(J16=0,"",H16/J16)</f>
        <v/>
      </c>
      <c r="L16" s="3" t="inlineStr">
        <is>
          <t>Yes — on projection</t>
        </is>
      </c>
    </row>
    <row r="17">
      <c r="A17" s="3" t="inlineStr">
        <is>
          <t>EE-CO-017</t>
        </is>
      </c>
      <c r="B17" s="4" t="inlineStr">
        <is>
          <t>CO</t>
        </is>
      </c>
      <c r="C17" s="4" t="inlineStr">
        <is>
          <t>Charm CO</t>
        </is>
      </c>
      <c r="D17" s="3" t="inlineStr">
        <is>
          <t>Haugen Attachment</t>
        </is>
      </c>
      <c r="E17" s="5" t="n">
        <v>81.66</v>
      </c>
      <c r="F17" s="5" t="n">
        <v>7.74</v>
      </c>
      <c r="G17" s="6">
        <f>IF(E17=0,"",F17/E17*100)</f>
        <v/>
      </c>
      <c r="H17" s="5">
        <f>E17-F17</f>
        <v/>
      </c>
      <c r="I17" s="38" t="n">
        <v>47311</v>
      </c>
      <c r="J17" s="39" t="n">
        <v>389219.6999999999</v>
      </c>
      <c r="K17" s="40">
        <f>IF(J17=0,"",H17/J17)</f>
        <v/>
      </c>
      <c r="L17" s="3" t="inlineStr">
        <is>
          <t>Yes — on projection</t>
        </is>
      </c>
    </row>
    <row r="18">
      <c r="A18" s="3" t="inlineStr">
        <is>
          <t>EE-CO-018</t>
        </is>
      </c>
      <c r="B18" s="4" t="inlineStr">
        <is>
          <t>CO</t>
        </is>
      </c>
      <c r="C18" s="4" t="inlineStr">
        <is>
          <t>Charm CO</t>
        </is>
      </c>
      <c r="D18" s="3" t="inlineStr">
        <is>
          <t>Peanut Wagon Fan</t>
        </is>
      </c>
      <c r="E18" s="5" t="n">
        <v>1849.52</v>
      </c>
      <c r="F18" s="5" t="n">
        <v>175.37</v>
      </c>
      <c r="G18" s="6">
        <f>IF(E18=0,"",F18/E18*100)</f>
        <v/>
      </c>
      <c r="H18" s="5">
        <f>E18-F18</f>
        <v/>
      </c>
      <c r="I18" s="38" t="n">
        <v>47311</v>
      </c>
      <c r="J18" s="39" t="n">
        <v>389219.6999999999</v>
      </c>
      <c r="K18" s="40">
        <f>IF(J18=0,"",H18/J18)</f>
        <v/>
      </c>
      <c r="L18" s="3" t="inlineStr">
        <is>
          <t>Yes — on projection</t>
        </is>
      </c>
    </row>
    <row r="19">
      <c r="A19" s="3" t="inlineStr">
        <is>
          <t>EE-CO-019</t>
        </is>
      </c>
      <c r="B19" s="4" t="inlineStr">
        <is>
          <t>CO</t>
        </is>
      </c>
      <c r="C19" s="4" t="inlineStr">
        <is>
          <t>Charm CO</t>
        </is>
      </c>
      <c r="D19" s="3" t="inlineStr">
        <is>
          <t>Parts Cleaner</t>
        </is>
      </c>
      <c r="E19" s="5" t="n">
        <v>620.1</v>
      </c>
      <c r="F19" s="5" t="n">
        <v>58.8</v>
      </c>
      <c r="G19" s="6">
        <f>IF(E19=0,"",F19/E19*100)</f>
        <v/>
      </c>
      <c r="H19" s="5">
        <f>E19-F19</f>
        <v/>
      </c>
      <c r="I19" s="38" t="n">
        <v>47311</v>
      </c>
      <c r="J19" s="39" t="n">
        <v>389219.6999999999</v>
      </c>
      <c r="K19" s="40">
        <f>IF(J19=0,"",H19/J19)</f>
        <v/>
      </c>
      <c r="L19" s="3" t="inlineStr">
        <is>
          <t>Yes — on projection</t>
        </is>
      </c>
    </row>
    <row r="20">
      <c r="A20" s="3" t="inlineStr">
        <is>
          <t>EE-CO-020</t>
        </is>
      </c>
      <c r="B20" s="4" t="inlineStr">
        <is>
          <t>CO</t>
        </is>
      </c>
      <c r="C20" s="4" t="inlineStr">
        <is>
          <t>Charm CO</t>
        </is>
      </c>
      <c r="D20" s="3" t="inlineStr">
        <is>
          <t>330 Gal IBC Tote -- Plastic Pallet</t>
        </is>
      </c>
      <c r="E20" s="5" t="n">
        <v>10881.68</v>
      </c>
      <c r="F20" s="5" t="n">
        <v>1031.79</v>
      </c>
      <c r="G20" s="6">
        <f>IF(E20=0,"",F20/E20*100)</f>
        <v/>
      </c>
      <c r="H20" s="5">
        <f>E20-F20</f>
        <v/>
      </c>
      <c r="I20" s="38" t="n">
        <v>47311</v>
      </c>
      <c r="J20" s="39" t="n">
        <v>389219.6999999999</v>
      </c>
      <c r="K20" s="40">
        <f>IF(J20=0,"",H20/J20)</f>
        <v/>
      </c>
      <c r="L20" s="3" t="inlineStr">
        <is>
          <t>Yes — on projection</t>
        </is>
      </c>
    </row>
    <row r="21">
      <c r="A21" s="3" t="inlineStr">
        <is>
          <t>EE-CO-022</t>
        </is>
      </c>
      <c r="B21" s="4" t="inlineStr">
        <is>
          <t>CO</t>
        </is>
      </c>
      <c r="C21" s="4" t="inlineStr">
        <is>
          <t>Charm CO</t>
        </is>
      </c>
      <c r="D21" s="3" t="inlineStr">
        <is>
          <t>Unicarriers Fork Lift</t>
        </is>
      </c>
      <c r="E21" s="5" t="n">
        <v>7688.1</v>
      </c>
      <c r="F21" s="5" t="n">
        <v>728.98</v>
      </c>
      <c r="G21" s="6">
        <f>IF(E21=0,"",F21/E21*100)</f>
        <v/>
      </c>
      <c r="H21" s="5">
        <f>E21-F21</f>
        <v/>
      </c>
      <c r="I21" s="38" t="n">
        <v>47311</v>
      </c>
      <c r="J21" s="39" t="n">
        <v>389219.6999999999</v>
      </c>
      <c r="K21" s="40">
        <f>IF(J21=0,"",H21/J21)</f>
        <v/>
      </c>
      <c r="L21" s="3" t="inlineStr">
        <is>
          <t>Yes — on projection</t>
        </is>
      </c>
    </row>
    <row r="22">
      <c r="A22" s="3" t="inlineStr">
        <is>
          <t>EE-CO-023</t>
        </is>
      </c>
      <c r="B22" s="4" t="inlineStr">
        <is>
          <t>CO</t>
        </is>
      </c>
      <c r="C22" s="4" t="inlineStr">
        <is>
          <t>Charm CO</t>
        </is>
      </c>
      <c r="D22" s="3" t="inlineStr">
        <is>
          <t>Oneida Air System</t>
        </is>
      </c>
      <c r="E22" s="5" t="n">
        <v>5232</v>
      </c>
      <c r="F22" s="5" t="n">
        <v>496.09</v>
      </c>
      <c r="G22" s="6">
        <f>IF(E22=0,"",F22/E22*100)</f>
        <v/>
      </c>
      <c r="H22" s="5">
        <f>E22-F22</f>
        <v/>
      </c>
      <c r="I22" s="38" t="n">
        <v>47311</v>
      </c>
      <c r="J22" s="39" t="n">
        <v>389219.6999999999</v>
      </c>
      <c r="K22" s="40">
        <f>IF(J22=0,"",H22/J22)</f>
        <v/>
      </c>
      <c r="L22" s="3" t="inlineStr">
        <is>
          <t>Yes — on projection</t>
        </is>
      </c>
    </row>
    <row r="23">
      <c r="A23" s="3" t="inlineStr">
        <is>
          <t>EE-CO-024</t>
        </is>
      </c>
      <c r="B23" s="4" t="inlineStr">
        <is>
          <t>CO</t>
        </is>
      </c>
      <c r="C23" s="4" t="inlineStr">
        <is>
          <t>Charm CO</t>
        </is>
      </c>
      <c r="D23" s="3" t="inlineStr">
        <is>
          <t>Site Work Truck</t>
        </is>
      </c>
      <c r="E23" s="5" t="n">
        <v>7183</v>
      </c>
      <c r="F23" s="5" t="n">
        <v>681.08</v>
      </c>
      <c r="G23" s="6">
        <f>IF(E23=0,"",F23/E23*100)</f>
        <v/>
      </c>
      <c r="H23" s="5">
        <f>E23-F23</f>
        <v/>
      </c>
      <c r="I23" s="38" t="n">
        <v>47311</v>
      </c>
      <c r="J23" s="39" t="n">
        <v>389219.6999999999</v>
      </c>
      <c r="K23" s="40">
        <f>IF(J23=0,"",H23/J23)</f>
        <v/>
      </c>
      <c r="L23" s="3" t="inlineStr">
        <is>
          <t>Yes — on projection</t>
        </is>
      </c>
    </row>
    <row r="24">
      <c r="A24" s="3" t="inlineStr">
        <is>
          <t>EE-CO-025</t>
        </is>
      </c>
      <c r="B24" s="4" t="inlineStr">
        <is>
          <t>CO</t>
        </is>
      </c>
      <c r="C24" s="4" t="inlineStr">
        <is>
          <t>Charm CO</t>
        </is>
      </c>
      <c r="D24" s="3" t="inlineStr">
        <is>
          <t>Avant Attachment 1</t>
        </is>
      </c>
      <c r="E24" s="5" t="n">
        <v>134.14</v>
      </c>
      <c r="F24" s="5" t="n">
        <v>12.72</v>
      </c>
      <c r="G24" s="6">
        <f>IF(E24=0,"",F24/E24*100)</f>
        <v/>
      </c>
      <c r="H24" s="5">
        <f>E24-F24</f>
        <v/>
      </c>
      <c r="I24" s="38" t="n">
        <v>47311</v>
      </c>
      <c r="J24" s="39" t="n">
        <v>389219.6999999999</v>
      </c>
      <c r="K24" s="40">
        <f>IF(J24=0,"",H24/J24)</f>
        <v/>
      </c>
      <c r="L24" s="3" t="inlineStr">
        <is>
          <t>Yes — on projection</t>
        </is>
      </c>
    </row>
    <row r="25">
      <c r="A25" s="3" t="inlineStr">
        <is>
          <t>EE-CO-026</t>
        </is>
      </c>
      <c r="B25" s="4" t="inlineStr">
        <is>
          <t>CO</t>
        </is>
      </c>
      <c r="C25" s="4" t="inlineStr">
        <is>
          <t>Charm CO</t>
        </is>
      </c>
      <c r="D25" s="3" t="inlineStr">
        <is>
          <t>Pyrolysis Production Tent</t>
        </is>
      </c>
      <c r="E25" s="5" t="n">
        <v>20915.9</v>
      </c>
      <c r="F25" s="5" t="n">
        <v>1983.22</v>
      </c>
      <c r="G25" s="6">
        <f>IF(E25=0,"",F25/E25*100)</f>
        <v/>
      </c>
      <c r="H25" s="5">
        <f>E25-F25</f>
        <v/>
      </c>
      <c r="I25" s="38" t="n">
        <v>47311</v>
      </c>
      <c r="J25" s="39" t="n">
        <v>389219.6999999999</v>
      </c>
      <c r="K25" s="40">
        <f>IF(J25=0,"",H25/J25)</f>
        <v/>
      </c>
      <c r="L25" s="3" t="inlineStr">
        <is>
          <t>Yes — on projection</t>
        </is>
      </c>
    </row>
    <row r="26">
      <c r="A26" s="3" t="inlineStr">
        <is>
          <t>EE-CO-027</t>
        </is>
      </c>
      <c r="B26" s="4" t="inlineStr">
        <is>
          <t>CO</t>
        </is>
      </c>
      <c r="C26" s="4" t="inlineStr">
        <is>
          <t>Charm CO</t>
        </is>
      </c>
      <c r="D26" s="3" t="inlineStr">
        <is>
          <t>Paladin Attachment</t>
        </is>
      </c>
      <c r="E26" s="5" t="n">
        <v>86.45999999999999</v>
      </c>
      <c r="F26" s="5" t="n">
        <v>8.199999999999999</v>
      </c>
      <c r="G26" s="6">
        <f>IF(E26=0,"",F26/E26*100)</f>
        <v/>
      </c>
      <c r="H26" s="5">
        <f>E26-F26</f>
        <v/>
      </c>
      <c r="I26" s="38" t="n">
        <v>47311</v>
      </c>
      <c r="J26" s="39" t="n">
        <v>389219.6999999999</v>
      </c>
      <c r="K26" s="40">
        <f>IF(J26=0,"",H26/J26)</f>
        <v/>
      </c>
      <c r="L26" s="3" t="inlineStr">
        <is>
          <t>Yes — on projection</t>
        </is>
      </c>
    </row>
    <row r="27">
      <c r="A27" s="3" t="inlineStr">
        <is>
          <t>EE-CO-028</t>
        </is>
      </c>
      <c r="B27" s="4" t="inlineStr">
        <is>
          <t>CO</t>
        </is>
      </c>
      <c r="C27" s="4" t="inlineStr">
        <is>
          <t>Charm CO</t>
        </is>
      </c>
      <c r="D27" s="3" t="inlineStr">
        <is>
          <t>Pro Boxes Roller</t>
        </is>
      </c>
      <c r="E27" s="5" t="n">
        <v>352.36</v>
      </c>
      <c r="F27" s="5" t="n">
        <v>33.41</v>
      </c>
      <c r="G27" s="6">
        <f>IF(E27=0,"",F27/E27*100)</f>
        <v/>
      </c>
      <c r="H27" s="5">
        <f>E27-F27</f>
        <v/>
      </c>
      <c r="I27" s="38" t="n">
        <v>47311</v>
      </c>
      <c r="J27" s="39" t="n">
        <v>389219.6999999999</v>
      </c>
      <c r="K27" s="40">
        <f>IF(J27=0,"",H27/J27)</f>
        <v/>
      </c>
      <c r="L27" s="3" t="inlineStr">
        <is>
          <t>Yes — on projection</t>
        </is>
      </c>
    </row>
    <row r="28">
      <c r="A28" s="3" t="inlineStr">
        <is>
          <t>EE-CO-029</t>
        </is>
      </c>
      <c r="B28" s="4" t="inlineStr">
        <is>
          <t>CO</t>
        </is>
      </c>
      <c r="C28" s="4" t="inlineStr">
        <is>
          <t>Charm CO</t>
        </is>
      </c>
      <c r="D28" s="3" t="inlineStr">
        <is>
          <t>Transformer</t>
        </is>
      </c>
      <c r="E28" s="5" t="n">
        <v>2733.24</v>
      </c>
      <c r="F28" s="5" t="n">
        <v>259.16</v>
      </c>
      <c r="G28" s="6">
        <f>IF(E28=0,"",F28/E28*100)</f>
        <v/>
      </c>
      <c r="H28" s="5">
        <f>E28-F28</f>
        <v/>
      </c>
      <c r="I28" s="38" t="n">
        <v>47311</v>
      </c>
      <c r="J28" s="39" t="n">
        <v>389219.6999999999</v>
      </c>
      <c r="K28" s="40">
        <f>IF(J28=0,"",H28/J28)</f>
        <v/>
      </c>
      <c r="L28" s="3" t="inlineStr">
        <is>
          <t>Yes — on projection</t>
        </is>
      </c>
    </row>
    <row r="29">
      <c r="A29" s="3" t="inlineStr">
        <is>
          <t>EE-CO-031</t>
        </is>
      </c>
      <c r="B29" s="4" t="inlineStr">
        <is>
          <t>CO</t>
        </is>
      </c>
      <c r="C29" s="4" t="inlineStr">
        <is>
          <t>Charm CO</t>
        </is>
      </c>
      <c r="D29" s="3" t="inlineStr">
        <is>
          <t>Green Forklift</t>
        </is>
      </c>
      <c r="E29" s="5" t="n">
        <v>4071.99</v>
      </c>
      <c r="F29" s="5" t="n">
        <v>386.1</v>
      </c>
      <c r="G29" s="6">
        <f>IF(E29=0,"",F29/E29*100)</f>
        <v/>
      </c>
      <c r="H29" s="5">
        <f>E29-F29</f>
        <v/>
      </c>
      <c r="I29" s="38" t="n">
        <v>47311</v>
      </c>
      <c r="J29" s="39" t="n">
        <v>389219.6999999999</v>
      </c>
      <c r="K29" s="40">
        <f>IF(J29=0,"",H29/J29)</f>
        <v/>
      </c>
      <c r="L29" s="3" t="inlineStr">
        <is>
          <t>Yes — on projection</t>
        </is>
      </c>
    </row>
    <row r="30">
      <c r="A30" s="3" t="inlineStr">
        <is>
          <t>EE-CO-032</t>
        </is>
      </c>
      <c r="B30" s="4" t="inlineStr">
        <is>
          <t>CO</t>
        </is>
      </c>
      <c r="C30" s="4" t="inlineStr">
        <is>
          <t>Charm CO</t>
        </is>
      </c>
      <c r="D30" s="3" t="inlineStr">
        <is>
          <t>Linkit Yellow Conveyor</t>
        </is>
      </c>
      <c r="E30" s="5" t="n">
        <v>3184.08</v>
      </c>
      <c r="F30" s="5" t="n">
        <v>301.91</v>
      </c>
      <c r="G30" s="6">
        <f>IF(E30=0,"",F30/E30*100)</f>
        <v/>
      </c>
      <c r="H30" s="5">
        <f>E30-F30</f>
        <v/>
      </c>
      <c r="I30" s="38" t="n">
        <v>47311</v>
      </c>
      <c r="J30" s="39" t="n">
        <v>389219.6999999999</v>
      </c>
      <c r="K30" s="40">
        <f>IF(J30=0,"",H30/J30)</f>
        <v/>
      </c>
      <c r="L30" s="3" t="inlineStr">
        <is>
          <t>Yes — on projection</t>
        </is>
      </c>
    </row>
    <row r="31">
      <c r="A31" s="3" t="inlineStr">
        <is>
          <t>EE-CO-034</t>
        </is>
      </c>
      <c r="B31" s="4" t="inlineStr">
        <is>
          <t>CO</t>
        </is>
      </c>
      <c r="C31" s="4" t="inlineStr">
        <is>
          <t>Charm CO</t>
        </is>
      </c>
      <c r="D31" s="3" t="inlineStr">
        <is>
          <t>PW Red Scale</t>
        </is>
      </c>
      <c r="E31" s="5" t="n">
        <v>8321</v>
      </c>
      <c r="F31" s="5" t="n">
        <v>788.99</v>
      </c>
      <c r="G31" s="6">
        <f>IF(E31=0,"",F31/E31*100)</f>
        <v/>
      </c>
      <c r="H31" s="5">
        <f>E31-F31</f>
        <v/>
      </c>
      <c r="I31" s="38" t="n">
        <v>47311</v>
      </c>
      <c r="J31" s="39" t="n">
        <v>389219.6999999999</v>
      </c>
      <c r="K31" s="40">
        <f>IF(J31=0,"",H31/J31)</f>
        <v/>
      </c>
      <c r="L31" s="3" t="inlineStr">
        <is>
          <t>Yes — on projection</t>
        </is>
      </c>
    </row>
    <row r="32">
      <c r="A32" s="3" t="inlineStr">
        <is>
          <t>EE-CO-035</t>
        </is>
      </c>
      <c r="B32" s="4" t="inlineStr">
        <is>
          <t>CO</t>
        </is>
      </c>
      <c r="C32" s="4" t="inlineStr">
        <is>
          <t>Charm CO</t>
        </is>
      </c>
      <c r="D32" s="3" t="inlineStr">
        <is>
          <t>Air Compressor</t>
        </is>
      </c>
      <c r="E32" s="5" t="n">
        <v>808.8</v>
      </c>
      <c r="F32" s="5" t="n">
        <v>76.69</v>
      </c>
      <c r="G32" s="6">
        <f>IF(E32=0,"",F32/E32*100)</f>
        <v/>
      </c>
      <c r="H32" s="5">
        <f>E32-F32</f>
        <v/>
      </c>
      <c r="I32" s="38" t="n">
        <v>47311</v>
      </c>
      <c r="J32" s="39" t="n">
        <v>389219.6999999999</v>
      </c>
      <c r="K32" s="40">
        <f>IF(J32=0,"",H32/J32)</f>
        <v/>
      </c>
      <c r="L32" s="3" t="inlineStr">
        <is>
          <t>Yes — on projection</t>
        </is>
      </c>
    </row>
    <row r="33">
      <c r="A33" s="3" t="inlineStr">
        <is>
          <t>EE-CO-036</t>
        </is>
      </c>
      <c r="B33" s="4" t="inlineStr">
        <is>
          <t>CO</t>
        </is>
      </c>
      <c r="C33" s="4" t="inlineStr">
        <is>
          <t>Charm CO</t>
        </is>
      </c>
      <c r="D33" s="3" t="inlineStr">
        <is>
          <t>JCB Telehandler 1</t>
        </is>
      </c>
      <c r="E33" s="5" t="n">
        <v>16426.3</v>
      </c>
      <c r="F33" s="5" t="n">
        <v>1557.52</v>
      </c>
      <c r="G33" s="6">
        <f>IF(E33=0,"",F33/E33*100)</f>
        <v/>
      </c>
      <c r="H33" s="5">
        <f>E33-F33</f>
        <v/>
      </c>
      <c r="I33" s="38" t="n">
        <v>47311</v>
      </c>
      <c r="J33" s="39" t="n">
        <v>389219.6999999999</v>
      </c>
      <c r="K33" s="40">
        <f>IF(J33=0,"",H33/J33)</f>
        <v/>
      </c>
      <c r="L33" s="3" t="inlineStr">
        <is>
          <t>Yes — on projection</t>
        </is>
      </c>
    </row>
    <row r="34">
      <c r="A34" s="3" t="inlineStr">
        <is>
          <t>EE-CO-037</t>
        </is>
      </c>
      <c r="B34" s="4" t="inlineStr">
        <is>
          <t>CO</t>
        </is>
      </c>
      <c r="C34" s="4" t="inlineStr">
        <is>
          <t>Charm CO</t>
        </is>
      </c>
      <c r="D34" s="3" t="inlineStr">
        <is>
          <t>USC Conveyor</t>
        </is>
      </c>
      <c r="E34" s="5" t="n">
        <v>45818.04</v>
      </c>
      <c r="F34" s="5" t="n">
        <v>4344.42</v>
      </c>
      <c r="G34" s="6">
        <f>IF(E34=0,"",F34/E34*100)</f>
        <v/>
      </c>
      <c r="H34" s="5">
        <f>E34-F34</f>
        <v/>
      </c>
      <c r="I34" s="38" t="n">
        <v>47311</v>
      </c>
      <c r="J34" s="39" t="n">
        <v>389219.6999999999</v>
      </c>
      <c r="K34" s="40">
        <f>IF(J34=0,"",H34/J34)</f>
        <v/>
      </c>
      <c r="L34" s="3" t="inlineStr">
        <is>
          <t>Yes — on projection</t>
        </is>
      </c>
    </row>
    <row r="35">
      <c r="A35" s="3" t="inlineStr">
        <is>
          <t>EE-CO-038</t>
        </is>
      </c>
      <c r="B35" s="4" t="inlineStr">
        <is>
          <t>CO</t>
        </is>
      </c>
      <c r="C35" s="4" t="inlineStr">
        <is>
          <t>Charm CO</t>
        </is>
      </c>
      <c r="D35" s="3" t="inlineStr">
        <is>
          <t>FBIC Supersack</t>
        </is>
      </c>
      <c r="E35" s="5" t="n">
        <v>2009.7</v>
      </c>
      <c r="F35" s="5" t="n">
        <v>190.56</v>
      </c>
      <c r="G35" s="6">
        <f>IF(E35=0,"",F35/E35*100)</f>
        <v/>
      </c>
      <c r="H35" s="5">
        <f>E35-F35</f>
        <v/>
      </c>
      <c r="I35" s="38" t="n">
        <v>47311</v>
      </c>
      <c r="J35" s="39" t="n">
        <v>389219.6999999999</v>
      </c>
      <c r="K35" s="40">
        <f>IF(J35=0,"",H35/J35)</f>
        <v/>
      </c>
      <c r="L35" s="3" t="inlineStr">
        <is>
          <t>Yes — on projection</t>
        </is>
      </c>
    </row>
    <row r="36">
      <c r="A36" s="3" t="inlineStr">
        <is>
          <t>EE-CO-041</t>
        </is>
      </c>
      <c r="B36" s="4" t="inlineStr">
        <is>
          <t>CO</t>
        </is>
      </c>
      <c r="C36" s="4" t="inlineStr">
        <is>
          <t>Charm CO</t>
        </is>
      </c>
      <c r="D36" s="3" t="inlineStr">
        <is>
          <t>Yellow Pallet Truck</t>
        </is>
      </c>
      <c r="E36" s="5" t="n">
        <v>98.95</v>
      </c>
      <c r="F36" s="5" t="n">
        <v>9.380000000000001</v>
      </c>
      <c r="G36" s="6">
        <f>IF(E36=0,"",F36/E36*100)</f>
        <v/>
      </c>
      <c r="H36" s="5">
        <f>E36-F36</f>
        <v/>
      </c>
      <c r="I36" s="38" t="n">
        <v>47311</v>
      </c>
      <c r="J36" s="39" t="n">
        <v>389219.6999999999</v>
      </c>
      <c r="K36" s="40">
        <f>IF(J36=0,"",H36/J36)</f>
        <v/>
      </c>
      <c r="L36" s="3" t="inlineStr">
        <is>
          <t>Yes — on projection</t>
        </is>
      </c>
    </row>
    <row r="37">
      <c r="A37" s="3" t="inlineStr">
        <is>
          <t>EE-CO-042</t>
        </is>
      </c>
      <c r="B37" s="4" t="inlineStr">
        <is>
          <t>CO</t>
        </is>
      </c>
      <c r="C37" s="4" t="inlineStr">
        <is>
          <t>Charm CO</t>
        </is>
      </c>
      <c r="D37" s="3" t="inlineStr">
        <is>
          <t>Energy Distribution Transformer</t>
        </is>
      </c>
      <c r="E37" s="5" t="n">
        <v>230.2</v>
      </c>
      <c r="F37" s="5" t="n">
        <v>21.83</v>
      </c>
      <c r="G37" s="6">
        <f>IF(E37=0,"",F37/E37*100)</f>
        <v/>
      </c>
      <c r="H37" s="5">
        <f>E37-F37</f>
        <v/>
      </c>
      <c r="I37" s="38" t="n">
        <v>47311</v>
      </c>
      <c r="J37" s="39" t="n">
        <v>389219.6999999999</v>
      </c>
      <c r="K37" s="40">
        <f>IF(J37=0,"",H37/J37)</f>
        <v/>
      </c>
      <c r="L37" s="3" t="inlineStr">
        <is>
          <t>Yes — on projection</t>
        </is>
      </c>
    </row>
    <row r="38">
      <c r="A38" s="3" t="inlineStr">
        <is>
          <t>EE-CO-043</t>
        </is>
      </c>
      <c r="B38" s="4" t="inlineStr">
        <is>
          <t>CO</t>
        </is>
      </c>
      <c r="C38" s="4" t="inlineStr">
        <is>
          <t>Charm CO</t>
        </is>
      </c>
      <c r="D38" s="3" t="inlineStr">
        <is>
          <t>Pinnacle Scale</t>
        </is>
      </c>
      <c r="E38" s="5" t="n">
        <v>393.76</v>
      </c>
      <c r="F38" s="5" t="n">
        <v>37.34</v>
      </c>
      <c r="G38" s="6">
        <f>IF(E38=0,"",F38/E38*100)</f>
        <v/>
      </c>
      <c r="H38" s="5">
        <f>E38-F38</f>
        <v/>
      </c>
      <c r="I38" s="38" t="n">
        <v>47311</v>
      </c>
      <c r="J38" s="39" t="n">
        <v>389219.6999999999</v>
      </c>
      <c r="K38" s="40">
        <f>IF(J38=0,"",H38/J38)</f>
        <v/>
      </c>
      <c r="L38" s="3" t="inlineStr">
        <is>
          <t>Yes — on projection</t>
        </is>
      </c>
    </row>
    <row r="39">
      <c r="A39" s="3" t="inlineStr">
        <is>
          <t>EE-CO-044</t>
        </is>
      </c>
      <c r="B39" s="4" t="inlineStr">
        <is>
          <t>CO</t>
        </is>
      </c>
      <c r="C39" s="4" t="inlineStr">
        <is>
          <t>Charm CO</t>
        </is>
      </c>
      <c r="D39" s="3" t="inlineStr">
        <is>
          <t>Bighorn Pyrolyzers</t>
        </is>
      </c>
      <c r="E39" s="5" t="n">
        <v>59843.76</v>
      </c>
      <c r="F39" s="5" t="n">
        <v>5674.32</v>
      </c>
      <c r="G39" s="6">
        <f>IF(E39=0,"",F39/E39*100)</f>
        <v/>
      </c>
      <c r="H39" s="5">
        <f>E39-F39</f>
        <v/>
      </c>
      <c r="I39" s="38" t="n">
        <v>47311</v>
      </c>
      <c r="J39" s="39" t="n">
        <v>389219.6999999999</v>
      </c>
      <c r="K39" s="40">
        <f>IF(J39=0,"",H39/J39)</f>
        <v/>
      </c>
      <c r="L39" s="3" t="inlineStr">
        <is>
          <t>Yes — on projection</t>
        </is>
      </c>
    </row>
    <row r="40">
      <c r="A40" s="3" t="inlineStr">
        <is>
          <t>EE-CO-045</t>
        </is>
      </c>
      <c r="B40" s="4" t="inlineStr">
        <is>
          <t>CO</t>
        </is>
      </c>
      <c r="C40" s="4" t="inlineStr">
        <is>
          <t>Charm CO</t>
        </is>
      </c>
      <c r="D40" s="3" t="inlineStr">
        <is>
          <t>Orange Boom</t>
        </is>
      </c>
      <c r="E40" s="5" t="n">
        <v>28876</v>
      </c>
      <c r="F40" s="5" t="n">
        <v>2737.99</v>
      </c>
      <c r="G40" s="6">
        <f>IF(E40=0,"",F40/E40*100)</f>
        <v/>
      </c>
      <c r="H40" s="5">
        <f>E40-F40</f>
        <v/>
      </c>
      <c r="I40" s="38" t="n">
        <v>47311</v>
      </c>
      <c r="J40" s="39" t="n">
        <v>389219.6999999999</v>
      </c>
      <c r="K40" s="40">
        <f>IF(J40=0,"",H40/J40)</f>
        <v/>
      </c>
      <c r="L40" s="3" t="inlineStr">
        <is>
          <t>Yes — on projection</t>
        </is>
      </c>
    </row>
    <row r="41">
      <c r="A41" s="3" t="inlineStr">
        <is>
          <t>EE-CO-046</t>
        </is>
      </c>
      <c r="B41" s="4" t="inlineStr">
        <is>
          <t>CO</t>
        </is>
      </c>
      <c r="C41" s="4" t="inlineStr">
        <is>
          <t>Charm CO</t>
        </is>
      </c>
      <c r="D41" s="3" t="inlineStr">
        <is>
          <t>White 1k gal Fuel Tank</t>
        </is>
      </c>
      <c r="E41" s="5" t="n">
        <v>1127.18</v>
      </c>
      <c r="F41" s="5" t="n">
        <v>106.88</v>
      </c>
      <c r="G41" s="6">
        <f>IF(E41=0,"",F41/E41*100)</f>
        <v/>
      </c>
      <c r="H41" s="5">
        <f>E41-F41</f>
        <v/>
      </c>
      <c r="I41" s="38" t="n">
        <v>47311</v>
      </c>
      <c r="J41" s="39" t="n">
        <v>389219.6999999999</v>
      </c>
      <c r="K41" s="40">
        <f>IF(J41=0,"",H41/J41)</f>
        <v/>
      </c>
      <c r="L41" s="3" t="inlineStr">
        <is>
          <t>Yes — on projection</t>
        </is>
      </c>
    </row>
    <row r="42">
      <c r="A42" s="3" t="inlineStr">
        <is>
          <t>EE-CO-047</t>
        </is>
      </c>
      <c r="B42" s="4" t="inlineStr">
        <is>
          <t>CO</t>
        </is>
      </c>
      <c r="C42" s="4" t="inlineStr">
        <is>
          <t>Charm CO</t>
        </is>
      </c>
      <c r="D42" s="3" t="inlineStr">
        <is>
          <t>55 Gal Drum</t>
        </is>
      </c>
      <c r="E42" s="5" t="n">
        <v>653</v>
      </c>
      <c r="F42" s="5" t="n">
        <v>61.92</v>
      </c>
      <c r="G42" s="6">
        <f>IF(E42=0,"",F42/E42*100)</f>
        <v/>
      </c>
      <c r="H42" s="5">
        <f>E42-F42</f>
        <v/>
      </c>
      <c r="I42" s="38" t="n">
        <v>47311</v>
      </c>
      <c r="J42" s="39" t="n">
        <v>389219.6999999999</v>
      </c>
      <c r="K42" s="40">
        <f>IF(J42=0,"",H42/J42)</f>
        <v/>
      </c>
      <c r="L42" s="3" t="inlineStr">
        <is>
          <t>Yes — on projection</t>
        </is>
      </c>
    </row>
    <row r="43">
      <c r="A43" s="3" t="inlineStr">
        <is>
          <t>EE-CO-048</t>
        </is>
      </c>
      <c r="B43" s="4" t="inlineStr">
        <is>
          <t>CO</t>
        </is>
      </c>
      <c r="C43" s="4" t="inlineStr">
        <is>
          <t>Charm CO</t>
        </is>
      </c>
      <c r="D43" s="3" t="inlineStr">
        <is>
          <t>Beast Chipper</t>
        </is>
      </c>
      <c r="E43" s="5" t="n">
        <v>29533.3</v>
      </c>
      <c r="F43" s="5" t="n">
        <v>2800.32</v>
      </c>
      <c r="G43" s="6">
        <f>IF(E43=0,"",F43/E43*100)</f>
        <v/>
      </c>
      <c r="H43" s="5">
        <f>E43-F43</f>
        <v/>
      </c>
      <c r="I43" s="38" t="n">
        <v>47311</v>
      </c>
      <c r="J43" s="39" t="n">
        <v>389219.6999999999</v>
      </c>
      <c r="K43" s="40">
        <f>IF(J43=0,"",H43/J43)</f>
        <v/>
      </c>
      <c r="L43" s="3" t="inlineStr">
        <is>
          <t>Yes — on projection</t>
        </is>
      </c>
    </row>
    <row r="44">
      <c r="A44" s="3" t="inlineStr">
        <is>
          <t>EE-CO-049</t>
        </is>
      </c>
      <c r="B44" s="4" t="inlineStr">
        <is>
          <t>CO</t>
        </is>
      </c>
      <c r="C44" s="4" t="inlineStr">
        <is>
          <t>Charm CO</t>
        </is>
      </c>
      <c r="D44" s="3" t="inlineStr">
        <is>
          <t>Blue Scale 2</t>
        </is>
      </c>
      <c r="E44" s="5" t="n">
        <v>248.45</v>
      </c>
      <c r="F44" s="5" t="n">
        <v>23.56</v>
      </c>
      <c r="G44" s="6">
        <f>IF(E44=0,"",F44/E44*100)</f>
        <v/>
      </c>
      <c r="H44" s="5">
        <f>E44-F44</f>
        <v/>
      </c>
      <c r="I44" s="38" t="n">
        <v>47311</v>
      </c>
      <c r="J44" s="39" t="n">
        <v>389219.6999999999</v>
      </c>
      <c r="K44" s="40">
        <f>IF(J44=0,"",H44/J44)</f>
        <v/>
      </c>
      <c r="L44" s="3" t="inlineStr">
        <is>
          <t>Yes — on projection</t>
        </is>
      </c>
    </row>
    <row r="45">
      <c r="A45" s="10" t="inlineStr">
        <is>
          <t>EE-CO-075</t>
        </is>
      </c>
      <c r="B45" s="11" t="inlineStr">
        <is>
          <t>CO ✕</t>
        </is>
      </c>
      <c r="C45" s="11" t="inlineStr">
        <is>
          <t>Charm KS</t>
        </is>
      </c>
      <c r="D45" s="10" t="inlineStr">
        <is>
          <t>45' Trailer</t>
        </is>
      </c>
      <c r="E45" s="12" t="n">
        <v>2090</v>
      </c>
      <c r="F45" s="12" t="n">
        <v>110.7</v>
      </c>
      <c r="G45" s="13">
        <f>IF(E45=0,"",F45/E45*100)</f>
        <v/>
      </c>
      <c r="H45" s="12">
        <f>E45-F45</f>
        <v/>
      </c>
      <c r="I45" s="41" t="n">
        <v>47313</v>
      </c>
      <c r="J45" s="42" t="n">
        <v>389219.6999999999</v>
      </c>
      <c r="K45" s="43">
        <f>IF(J45=0,"",H45/J45)</f>
        <v/>
      </c>
      <c r="L45" s="10" t="inlineStr">
        <is>
          <t>Disposed</t>
        </is>
      </c>
    </row>
    <row r="46">
      <c r="A46" s="3" t="inlineStr">
        <is>
          <t>EE-CO-062</t>
        </is>
      </c>
      <c r="B46" s="4" t="inlineStr">
        <is>
          <t>CO</t>
        </is>
      </c>
      <c r="C46" s="4" t="inlineStr">
        <is>
          <t>Charm KS</t>
        </is>
      </c>
      <c r="D46" s="3" t="inlineStr">
        <is>
          <t>Deisel Tank</t>
        </is>
      </c>
      <c r="E46" s="5" t="n">
        <v>140.75</v>
      </c>
      <c r="F46" s="5" t="n">
        <v>13.35</v>
      </c>
      <c r="G46" s="6">
        <f>IF(E46=0,"",F46/E46*100)</f>
        <v/>
      </c>
      <c r="H46" s="5">
        <f>E46-F46</f>
        <v/>
      </c>
      <c r="I46" s="38" t="n">
        <v>47314</v>
      </c>
      <c r="J46" s="39" t="n">
        <v>389219.6999999999</v>
      </c>
      <c r="K46" s="40">
        <f>IF(J46=0,"",H46/J46)</f>
        <v/>
      </c>
      <c r="L46" s="3" t="inlineStr">
        <is>
          <t>Yes — on projection</t>
        </is>
      </c>
    </row>
    <row r="47">
      <c r="A47" s="3" t="inlineStr">
        <is>
          <t>EE-CO-058</t>
        </is>
      </c>
      <c r="B47" s="4" t="inlineStr">
        <is>
          <t>CO</t>
        </is>
      </c>
      <c r="C47" s="4" t="inlineStr">
        <is>
          <t>Charm KS</t>
        </is>
      </c>
      <c r="D47" s="3" t="inlineStr">
        <is>
          <t>Site Work Truck</t>
        </is>
      </c>
      <c r="E47" s="5" t="n">
        <v>7183</v>
      </c>
      <c r="F47" s="5" t="n">
        <v>681.08</v>
      </c>
      <c r="G47" s="6">
        <f>IF(E47=0,"",F47/E47*100)</f>
        <v/>
      </c>
      <c r="H47" s="5">
        <f>E47-F47</f>
        <v/>
      </c>
      <c r="I47" s="38" t="n">
        <v>47315</v>
      </c>
      <c r="J47" s="39" t="n">
        <v>389219.6999999999</v>
      </c>
      <c r="K47" s="40">
        <f>IF(J47=0,"",H47/J47)</f>
        <v/>
      </c>
      <c r="L47" s="3" t="inlineStr">
        <is>
          <t>Yes — on projection</t>
        </is>
      </c>
    </row>
    <row r="48">
      <c r="A48" s="3" t="inlineStr">
        <is>
          <t>EE-CO-053</t>
        </is>
      </c>
      <c r="B48" s="4" t="inlineStr">
        <is>
          <t>CO</t>
        </is>
      </c>
      <c r="C48" s="4" t="inlineStr">
        <is>
          <t>Charm KS</t>
        </is>
      </c>
      <c r="D48" s="3" t="inlineStr">
        <is>
          <t>Deisel Tank</t>
        </is>
      </c>
      <c r="E48" s="5" t="n">
        <v>225.2</v>
      </c>
      <c r="F48" s="5" t="n">
        <v>21.35</v>
      </c>
      <c r="G48" s="6">
        <f>IF(E48=0,"",F48/E48*100)</f>
        <v/>
      </c>
      <c r="H48" s="5">
        <f>E48-F48</f>
        <v/>
      </c>
      <c r="I48" s="38" t="n">
        <v>47316</v>
      </c>
      <c r="J48" s="39" t="n">
        <v>389219.6999999999</v>
      </c>
      <c r="K48" s="40">
        <f>IF(J48=0,"",H48/J48)</f>
        <v/>
      </c>
      <c r="L48" s="3" t="inlineStr">
        <is>
          <t>Yes — on projection</t>
        </is>
      </c>
    </row>
    <row r="49">
      <c r="A49" s="3" t="inlineStr">
        <is>
          <t>EE-CO-051</t>
        </is>
      </c>
      <c r="B49" s="4" t="inlineStr">
        <is>
          <t>CO</t>
        </is>
      </c>
      <c r="C49" s="4" t="inlineStr">
        <is>
          <t>Charm KS</t>
        </is>
      </c>
      <c r="D49" s="3" t="inlineStr">
        <is>
          <t>Concrete Blocks</t>
        </is>
      </c>
      <c r="E49" s="5" t="n">
        <v>2538.24</v>
      </c>
      <c r="F49" s="5" t="n">
        <v>240.67</v>
      </c>
      <c r="G49" s="6">
        <f>IF(E49=0,"",F49/E49*100)</f>
        <v/>
      </c>
      <c r="H49" s="5">
        <f>E49-F49</f>
        <v/>
      </c>
      <c r="I49" s="38" t="n">
        <v>47317</v>
      </c>
      <c r="J49" s="39" t="n">
        <v>389219.6999999999</v>
      </c>
      <c r="K49" s="40">
        <f>IF(J49=0,"",H49/J49)</f>
        <v/>
      </c>
      <c r="L49" s="3" t="inlineStr">
        <is>
          <t>Yes — on projection</t>
        </is>
      </c>
    </row>
    <row r="50">
      <c r="A50" s="3" t="inlineStr">
        <is>
          <t>EE-CO-076</t>
        </is>
      </c>
      <c r="B50" s="4" t="inlineStr">
        <is>
          <t>CO</t>
        </is>
      </c>
      <c r="C50" s="4" t="inlineStr">
        <is>
          <t>Charm KS</t>
        </is>
      </c>
      <c r="D50" s="3" t="inlineStr">
        <is>
          <t>2035 Gallon Tank</t>
        </is>
      </c>
      <c r="E50" s="5" t="n">
        <v>1761.56</v>
      </c>
      <c r="F50" s="5" t="n">
        <v>167.03</v>
      </c>
      <c r="G50" s="6">
        <f>IF(E50=0,"",F50/E50*100)</f>
        <v/>
      </c>
      <c r="H50" s="5">
        <f>E50-F50</f>
        <v/>
      </c>
      <c r="I50" s="38" t="n">
        <v>47318</v>
      </c>
      <c r="J50" s="39" t="n">
        <v>389219.6999999999</v>
      </c>
      <c r="K50" s="40">
        <f>IF(J50=0,"",H50/J50)</f>
        <v/>
      </c>
      <c r="L50" s="3" t="inlineStr">
        <is>
          <t>Yes — on projection</t>
        </is>
      </c>
    </row>
    <row r="51">
      <c r="A51" s="3" t="inlineStr">
        <is>
          <t>EE-CO-054</t>
        </is>
      </c>
      <c r="B51" s="4" t="inlineStr">
        <is>
          <t>CO</t>
        </is>
      </c>
      <c r="C51" s="4" t="inlineStr">
        <is>
          <t>Charm KS</t>
        </is>
      </c>
      <c r="D51" s="3" t="inlineStr">
        <is>
          <t>Pre-Fab Shed</t>
        </is>
      </c>
      <c r="E51" s="5" t="n">
        <v>1536.68</v>
      </c>
      <c r="F51" s="5" t="n">
        <v>145.71</v>
      </c>
      <c r="G51" s="6">
        <f>IF(E51=0,"",F51/E51*100)</f>
        <v/>
      </c>
      <c r="H51" s="5">
        <f>E51-F51</f>
        <v/>
      </c>
      <c r="I51" s="38" t="n">
        <v>47319</v>
      </c>
      <c r="J51" s="39" t="n">
        <v>389219.6999999999</v>
      </c>
      <c r="K51" s="40">
        <f>IF(J51=0,"",H51/J51)</f>
        <v/>
      </c>
      <c r="L51" s="3" t="inlineStr">
        <is>
          <t>Yes — on projection</t>
        </is>
      </c>
    </row>
    <row r="52">
      <c r="A52" s="3" t="inlineStr">
        <is>
          <t>EE-CO-065</t>
        </is>
      </c>
      <c r="B52" s="4" t="inlineStr">
        <is>
          <t>CO</t>
        </is>
      </c>
      <c r="C52" s="4" t="inlineStr">
        <is>
          <t>Charm KS</t>
        </is>
      </c>
      <c r="D52" s="3" t="inlineStr">
        <is>
          <t>Steel Dosing Tank</t>
        </is>
      </c>
      <c r="E52" s="5" t="n">
        <v>148.97</v>
      </c>
      <c r="F52" s="5" t="n">
        <v>14.13</v>
      </c>
      <c r="G52" s="6">
        <f>IF(E52=0,"",F52/E52*100)</f>
        <v/>
      </c>
      <c r="H52" s="5">
        <f>E52-F52</f>
        <v/>
      </c>
      <c r="I52" s="38" t="n">
        <v>47320</v>
      </c>
      <c r="J52" s="39" t="n">
        <v>389219.6999999999</v>
      </c>
      <c r="K52" s="40">
        <f>IF(J52=0,"",H52/J52)</f>
        <v/>
      </c>
      <c r="L52" s="3" t="inlineStr">
        <is>
          <t>Yes — on projection</t>
        </is>
      </c>
    </row>
    <row r="53">
      <c r="A53" s="3" t="inlineStr">
        <is>
          <t>EE-CO-069</t>
        </is>
      </c>
      <c r="B53" s="4" t="inlineStr">
        <is>
          <t>CO</t>
        </is>
      </c>
      <c r="C53" s="4" t="inlineStr">
        <is>
          <t>Charm KS</t>
        </is>
      </c>
      <c r="D53" s="3" t="inlineStr">
        <is>
          <t>Ladder</t>
        </is>
      </c>
      <c r="E53" s="5" t="n">
        <v>131.32</v>
      </c>
      <c r="F53" s="5" t="n">
        <v>12.45</v>
      </c>
      <c r="G53" s="6">
        <f>IF(E53=0,"",F53/E53*100)</f>
        <v/>
      </c>
      <c r="H53" s="5">
        <f>E53-F53</f>
        <v/>
      </c>
      <c r="I53" s="38" t="n">
        <v>47321</v>
      </c>
      <c r="J53" s="39" t="n">
        <v>389219.6999999999</v>
      </c>
      <c r="K53" s="40">
        <f>IF(J53=0,"",H53/J53)</f>
        <v/>
      </c>
      <c r="L53" s="3" t="inlineStr">
        <is>
          <t>Yes — on projection</t>
        </is>
      </c>
    </row>
    <row r="54">
      <c r="A54" s="3" t="inlineStr">
        <is>
          <t>EE-CO-068</t>
        </is>
      </c>
      <c r="B54" s="4" t="inlineStr">
        <is>
          <t>CO</t>
        </is>
      </c>
      <c r="C54" s="4" t="inlineStr">
        <is>
          <t>Charm KS</t>
        </is>
      </c>
      <c r="D54" s="3" t="inlineStr">
        <is>
          <t>Pro Black Box</t>
        </is>
      </c>
      <c r="E54" s="5" t="n">
        <v>12085.16</v>
      </c>
      <c r="F54" s="5" t="n">
        <v>1145.9</v>
      </c>
      <c r="G54" s="6">
        <f>IF(E54=0,"",F54/E54*100)</f>
        <v/>
      </c>
      <c r="H54" s="5">
        <f>E54-F54</f>
        <v/>
      </c>
      <c r="I54" s="38" t="n">
        <v>47322</v>
      </c>
      <c r="J54" s="39" t="n">
        <v>389219.6999999999</v>
      </c>
      <c r="K54" s="40">
        <f>IF(J54=0,"",H54/J54)</f>
        <v/>
      </c>
      <c r="L54" s="3" t="inlineStr">
        <is>
          <t>Yes — on projection</t>
        </is>
      </c>
    </row>
    <row r="55">
      <c r="A55" s="3" t="inlineStr">
        <is>
          <t>EE-CO-071</t>
        </is>
      </c>
      <c r="B55" s="4" t="inlineStr">
        <is>
          <t>CO</t>
        </is>
      </c>
      <c r="C55" s="4" t="inlineStr">
        <is>
          <t>Charm KS</t>
        </is>
      </c>
      <c r="D55" s="3" t="inlineStr">
        <is>
          <t>Forklift</t>
        </is>
      </c>
      <c r="E55" s="5" t="n">
        <v>4528.8</v>
      </c>
      <c r="F55" s="5" t="n">
        <v>429.42</v>
      </c>
      <c r="G55" s="6">
        <f>IF(E55=0,"",F55/E55*100)</f>
        <v/>
      </c>
      <c r="H55" s="5">
        <f>E55-F55</f>
        <v/>
      </c>
      <c r="I55" s="38" t="n">
        <v>47323</v>
      </c>
      <c r="J55" s="39" t="n">
        <v>389219.6999999999</v>
      </c>
      <c r="K55" s="40">
        <f>IF(J55=0,"",H55/J55)</f>
        <v/>
      </c>
      <c r="L55" s="3" t="inlineStr">
        <is>
          <t>Yes — on projection</t>
        </is>
      </c>
    </row>
    <row r="56">
      <c r="A56" s="3" t="inlineStr">
        <is>
          <t>EE-CO-063</t>
        </is>
      </c>
      <c r="B56" s="4" t="inlineStr">
        <is>
          <t>CO</t>
        </is>
      </c>
      <c r="C56" s="4" t="inlineStr">
        <is>
          <t>Charm KS</t>
        </is>
      </c>
      <c r="D56" s="3" t="inlineStr">
        <is>
          <t>Steel Fittings and Valves</t>
        </is>
      </c>
      <c r="E56" s="5" t="n">
        <v>11.24</v>
      </c>
      <c r="F56" s="5" t="n">
        <v>1.07</v>
      </c>
      <c r="G56" s="6">
        <f>IF(E56=0,"",F56/E56*100)</f>
        <v/>
      </c>
      <c r="H56" s="5">
        <f>E56-F56</f>
        <v/>
      </c>
      <c r="I56" s="38" t="n">
        <v>47324</v>
      </c>
      <c r="J56" s="39" t="n">
        <v>389219.6999999999</v>
      </c>
      <c r="K56" s="40">
        <f>IF(J56=0,"",H56/J56)</f>
        <v/>
      </c>
      <c r="L56" s="3" t="inlineStr">
        <is>
          <t>Yes — on projection</t>
        </is>
      </c>
    </row>
    <row r="57">
      <c r="A57" s="10" t="inlineStr">
        <is>
          <t>EE-CO-052</t>
        </is>
      </c>
      <c r="B57" s="11" t="inlineStr">
        <is>
          <t>CO ✕</t>
        </is>
      </c>
      <c r="C57" s="11" t="inlineStr">
        <is>
          <t>Charm KS</t>
        </is>
      </c>
      <c r="D57" s="10" t="inlineStr">
        <is>
          <t>North Side ConstructionTrailer</t>
        </is>
      </c>
      <c r="E57" s="12" t="n">
        <v>419.9</v>
      </c>
      <c r="F57" s="12" t="n">
        <v>22.24</v>
      </c>
      <c r="G57" s="13">
        <f>IF(E57=0,"",F57/E57*100)</f>
        <v/>
      </c>
      <c r="H57" s="12">
        <f>E57-F57</f>
        <v/>
      </c>
      <c r="I57" s="41" t="n">
        <v>47325</v>
      </c>
      <c r="J57" s="42" t="n">
        <v>389219.6999999999</v>
      </c>
      <c r="K57" s="43">
        <f>IF(J57=0,"",H57/J57)</f>
        <v/>
      </c>
      <c r="L57" s="10" t="inlineStr">
        <is>
          <t>Disposed</t>
        </is>
      </c>
    </row>
    <row r="58">
      <c r="A58" s="3" t="inlineStr">
        <is>
          <t>EE-CO-073</t>
        </is>
      </c>
      <c r="B58" s="4" t="inlineStr">
        <is>
          <t>CO</t>
        </is>
      </c>
      <c r="C58" s="4" t="inlineStr">
        <is>
          <t>Charm KS</t>
        </is>
      </c>
      <c r="D58" s="3" t="inlineStr">
        <is>
          <t>Electrical Upgrades</t>
        </is>
      </c>
      <c r="E58" s="5" t="n">
        <v>62536</v>
      </c>
      <c r="F58" s="5" t="n">
        <v>5929.59</v>
      </c>
      <c r="G58" s="6">
        <f>IF(E58=0,"",F58/E58*100)</f>
        <v/>
      </c>
      <c r="H58" s="5">
        <f>E58-F58</f>
        <v/>
      </c>
      <c r="I58" s="38" t="n">
        <v>47326</v>
      </c>
      <c r="J58" s="39" t="n">
        <v>389219.6999999999</v>
      </c>
      <c r="K58" s="40">
        <f>IF(J58=0,"",H58/J58)</f>
        <v/>
      </c>
      <c r="L58" s="3" t="inlineStr">
        <is>
          <t>Yes — on projection</t>
        </is>
      </c>
    </row>
    <row r="59">
      <c r="A59" s="3" t="inlineStr">
        <is>
          <t>EE-CO-066</t>
        </is>
      </c>
      <c r="B59" s="4" t="inlineStr">
        <is>
          <t>CO</t>
        </is>
      </c>
      <c r="C59" s="4" t="inlineStr">
        <is>
          <t>Charm KS</t>
        </is>
      </c>
      <c r="D59" s="3" t="inlineStr">
        <is>
          <t>Blower Enclosure</t>
        </is>
      </c>
      <c r="E59" s="5" t="n">
        <v>5291.52</v>
      </c>
      <c r="F59" s="5" t="n">
        <v>501.74</v>
      </c>
      <c r="G59" s="6">
        <f>IF(E59=0,"",F59/E59*100)</f>
        <v/>
      </c>
      <c r="H59" s="5">
        <f>E59-F59</f>
        <v/>
      </c>
      <c r="I59" s="38" t="n">
        <v>47327</v>
      </c>
      <c r="J59" s="39" t="n">
        <v>389219.6999999999</v>
      </c>
      <c r="K59" s="40">
        <f>IF(J59=0,"",H59/J59)</f>
        <v/>
      </c>
      <c r="L59" s="3" t="inlineStr">
        <is>
          <t>Yes — on projection</t>
        </is>
      </c>
    </row>
    <row r="60">
      <c r="A60" s="3" t="inlineStr">
        <is>
          <t>EE-CO-056</t>
        </is>
      </c>
      <c r="B60" s="4" t="inlineStr">
        <is>
          <t>CO</t>
        </is>
      </c>
      <c r="C60" s="4" t="inlineStr">
        <is>
          <t>Charm KS</t>
        </is>
      </c>
      <c r="D60" s="3" t="inlineStr">
        <is>
          <t>Steel - Raw Material</t>
        </is>
      </c>
      <c r="E60" s="5" t="n">
        <v>10138.83</v>
      </c>
      <c r="F60" s="5" t="n">
        <v>949.99</v>
      </c>
      <c r="G60" s="6">
        <f>IF(E60=0,"",F60/E60*100)</f>
        <v/>
      </c>
      <c r="H60" s="5">
        <f>E60-F60</f>
        <v/>
      </c>
      <c r="I60" s="38" t="n">
        <v>47334</v>
      </c>
      <c r="J60" s="39" t="n">
        <v>410490.8</v>
      </c>
      <c r="K60" s="40">
        <f>IF(J60=0,"",H60/J60)</f>
        <v/>
      </c>
      <c r="L60" s="3" t="inlineStr">
        <is>
          <t>Yes — on projection</t>
        </is>
      </c>
    </row>
    <row r="61">
      <c r="A61" s="3" t="inlineStr">
        <is>
          <t>EE-CO-008</t>
        </is>
      </c>
      <c r="B61" s="4" t="inlineStr">
        <is>
          <t>CO</t>
        </is>
      </c>
      <c r="C61" s="4" t="inlineStr">
        <is>
          <t>Charm CO</t>
        </is>
      </c>
      <c r="D61" s="3" t="inlineStr">
        <is>
          <t>Pyrolysis Work Platforms</t>
        </is>
      </c>
      <c r="E61" s="5" t="n">
        <v>2958.14</v>
      </c>
      <c r="F61" s="5" t="n">
        <v>270.77</v>
      </c>
      <c r="G61" s="6">
        <f>IF(E61=0,"",F61/E61*100)</f>
        <v/>
      </c>
      <c r="H61" s="5">
        <f>E61-F61</f>
        <v/>
      </c>
      <c r="I61" s="38" t="n">
        <v>47423</v>
      </c>
      <c r="J61" s="39" t="n">
        <v>474304.0999999999</v>
      </c>
      <c r="K61" s="40">
        <f>IF(J61=0,"",H61/J61)</f>
        <v/>
      </c>
      <c r="L61" s="3" t="inlineStr">
        <is>
          <t>Yes — on projection</t>
        </is>
      </c>
    </row>
    <row r="62">
      <c r="A62" s="3" t="inlineStr">
        <is>
          <t>EE-CO-010</t>
        </is>
      </c>
      <c r="B62" s="4" t="inlineStr">
        <is>
          <t>CO</t>
        </is>
      </c>
      <c r="C62" s="4" t="inlineStr">
        <is>
          <t>Charm CO</t>
        </is>
      </c>
      <c r="D62" s="3" t="inlineStr">
        <is>
          <t>8' Flatbed Trailer</t>
        </is>
      </c>
      <c r="E62" s="5" t="n">
        <v>658.5599999999999</v>
      </c>
      <c r="F62" s="5" t="n">
        <v>60.28</v>
      </c>
      <c r="G62" s="6">
        <f>IF(E62=0,"",F62/E62*100)</f>
        <v/>
      </c>
      <c r="H62" s="5">
        <f>E62-F62</f>
        <v/>
      </c>
      <c r="I62" s="38" t="n">
        <v>47423</v>
      </c>
      <c r="J62" s="39" t="n">
        <v>474304.0999999999</v>
      </c>
      <c r="K62" s="40">
        <f>IF(J62=0,"",H62/J62)</f>
        <v/>
      </c>
      <c r="L62" s="3" t="inlineStr">
        <is>
          <t>Yes — on projection</t>
        </is>
      </c>
    </row>
    <row r="63">
      <c r="A63" s="3" t="inlineStr">
        <is>
          <t>EE-CO-021</t>
        </is>
      </c>
      <c r="B63" s="4" t="inlineStr">
        <is>
          <t>CO</t>
        </is>
      </c>
      <c r="C63" s="4" t="inlineStr">
        <is>
          <t>Charm CO</t>
        </is>
      </c>
      <c r="D63" s="3" t="inlineStr">
        <is>
          <t>Generac Heater</t>
        </is>
      </c>
      <c r="E63" s="5" t="n">
        <v>5139.82</v>
      </c>
      <c r="F63" s="5" t="n">
        <v>470.47</v>
      </c>
      <c r="G63" s="6">
        <f>IF(E63=0,"",F63/E63*100)</f>
        <v/>
      </c>
      <c r="H63" s="5">
        <f>E63-F63</f>
        <v/>
      </c>
      <c r="I63" s="38" t="n">
        <v>47423</v>
      </c>
      <c r="J63" s="39" t="n">
        <v>474304.0999999999</v>
      </c>
      <c r="K63" s="40">
        <f>IF(J63=0,"",H63/J63)</f>
        <v/>
      </c>
      <c r="L63" s="3" t="inlineStr">
        <is>
          <t>Yes — on projection</t>
        </is>
      </c>
    </row>
    <row r="64">
      <c r="A64" s="3" t="inlineStr">
        <is>
          <t>EE-CO-030</t>
        </is>
      </c>
      <c r="B64" s="4" t="inlineStr">
        <is>
          <t>CO</t>
        </is>
      </c>
      <c r="C64" s="4" t="inlineStr">
        <is>
          <t>Charm CO</t>
        </is>
      </c>
      <c r="D64" s="3" t="inlineStr">
        <is>
          <t>Safety Platforms</t>
        </is>
      </c>
      <c r="E64" s="5" t="n">
        <v>99.84</v>
      </c>
      <c r="F64" s="5" t="n">
        <v>9.140000000000001</v>
      </c>
      <c r="G64" s="6">
        <f>IF(E64=0,"",F64/E64*100)</f>
        <v/>
      </c>
      <c r="H64" s="5">
        <f>E64-F64</f>
        <v/>
      </c>
      <c r="I64" s="38" t="n">
        <v>47423</v>
      </c>
      <c r="J64" s="39" t="n">
        <v>474304.0999999999</v>
      </c>
      <c r="K64" s="40">
        <f>IF(J64=0,"",H64/J64)</f>
        <v/>
      </c>
      <c r="L64" s="3" t="inlineStr">
        <is>
          <t>Yes — on projection</t>
        </is>
      </c>
    </row>
    <row r="65">
      <c r="A65" s="3" t="inlineStr">
        <is>
          <t>EE-CO-033</t>
        </is>
      </c>
      <c r="B65" s="4" t="inlineStr">
        <is>
          <t>CO</t>
        </is>
      </c>
      <c r="C65" s="4" t="inlineStr">
        <is>
          <t>Charm CO</t>
        </is>
      </c>
      <c r="D65" s="3" t="inlineStr">
        <is>
          <t>20'x8' Conex Shipping Container</t>
        </is>
      </c>
      <c r="E65" s="5" t="n">
        <v>4871.4</v>
      </c>
      <c r="F65" s="5" t="n">
        <v>445.9</v>
      </c>
      <c r="G65" s="6">
        <f>IF(E65=0,"",F65/E65*100)</f>
        <v/>
      </c>
      <c r="H65" s="5">
        <f>E65-F65</f>
        <v/>
      </c>
      <c r="I65" s="38" t="n">
        <v>47423</v>
      </c>
      <c r="J65" s="39" t="n">
        <v>474304.0999999999</v>
      </c>
      <c r="K65" s="40">
        <f>IF(J65=0,"",H65/J65)</f>
        <v/>
      </c>
      <c r="L65" s="3" t="inlineStr">
        <is>
          <t>Yes — on projection</t>
        </is>
      </c>
    </row>
    <row r="66">
      <c r="A66" s="3" t="inlineStr">
        <is>
          <t>EE-CO-039</t>
        </is>
      </c>
      <c r="B66" s="4" t="inlineStr">
        <is>
          <t>CO</t>
        </is>
      </c>
      <c r="C66" s="4" t="inlineStr">
        <is>
          <t>Charm CO</t>
        </is>
      </c>
      <c r="D66" s="3" t="inlineStr">
        <is>
          <t>Dayton 15 kW Heater</t>
        </is>
      </c>
      <c r="E66" s="5" t="n">
        <v>26.9</v>
      </c>
      <c r="F66" s="5" t="n">
        <v>2.46</v>
      </c>
      <c r="G66" s="6">
        <f>IF(E66=0,"",F66/E66*100)</f>
        <v/>
      </c>
      <c r="H66" s="5">
        <f>E66-F66</f>
        <v/>
      </c>
      <c r="I66" s="38" t="n">
        <v>47423</v>
      </c>
      <c r="J66" s="39" t="n">
        <v>474304.0999999999</v>
      </c>
      <c r="K66" s="40">
        <f>IF(J66=0,"",H66/J66)</f>
        <v/>
      </c>
      <c r="L66" s="3" t="inlineStr">
        <is>
          <t>Yes — on projection</t>
        </is>
      </c>
    </row>
    <row r="67">
      <c r="A67" s="3" t="inlineStr">
        <is>
          <t>EE-CO-040</t>
        </is>
      </c>
      <c r="B67" s="4" t="inlineStr">
        <is>
          <t>CO</t>
        </is>
      </c>
      <c r="C67" s="4" t="inlineStr">
        <is>
          <t>Charm CO</t>
        </is>
      </c>
      <c r="D67" s="3" t="inlineStr">
        <is>
          <t>Car Port Shelter</t>
        </is>
      </c>
      <c r="E67" s="5" t="n">
        <v>190.5</v>
      </c>
      <c r="F67" s="5" t="n">
        <v>17.44</v>
      </c>
      <c r="G67" s="6">
        <f>IF(E67=0,"",F67/E67*100)</f>
        <v/>
      </c>
      <c r="H67" s="5">
        <f>E67-F67</f>
        <v/>
      </c>
      <c r="I67" s="38" t="n">
        <v>47423</v>
      </c>
      <c r="J67" s="39" t="n">
        <v>474304.0999999999</v>
      </c>
      <c r="K67" s="40">
        <f>IF(J67=0,"",H67/J67)</f>
        <v/>
      </c>
      <c r="L67" s="3" t="inlineStr">
        <is>
          <t>Yes — on projection</t>
        </is>
      </c>
    </row>
    <row r="68">
      <c r="A68" s="3" t="inlineStr">
        <is>
          <t>EE-CO-050</t>
        </is>
      </c>
      <c r="B68" s="4" t="inlineStr">
        <is>
          <t>CO</t>
        </is>
      </c>
      <c r="C68" s="4" t="inlineStr">
        <is>
          <t>Charm CO</t>
        </is>
      </c>
      <c r="D68" s="3" t="inlineStr">
        <is>
          <t>East End Canopy</t>
        </is>
      </c>
      <c r="E68" s="5" t="n">
        <v>9870.17</v>
      </c>
      <c r="F68" s="5" t="n">
        <v>810.01</v>
      </c>
      <c r="G68" s="6">
        <f>IF(E68=0,"",F68/E68*100)</f>
        <v/>
      </c>
      <c r="H68" s="5">
        <f>E68-F68</f>
        <v/>
      </c>
      <c r="I68" s="38" t="n">
        <v>47428</v>
      </c>
      <c r="J68" s="39" t="n">
        <v>474304.0999999999</v>
      </c>
      <c r="K68" s="40">
        <f>IF(J68=0,"",H68/J68)</f>
        <v/>
      </c>
      <c r="L68" s="3" t="inlineStr">
        <is>
          <t>Yes — on projection</t>
        </is>
      </c>
    </row>
    <row r="69">
      <c r="A69" s="3" t="inlineStr">
        <is>
          <t>EE-CO-055</t>
        </is>
      </c>
      <c r="B69" s="4" t="inlineStr">
        <is>
          <t>CO</t>
        </is>
      </c>
      <c r="C69" s="4" t="inlineStr">
        <is>
          <t>Charm CO</t>
        </is>
      </c>
      <c r="D69" s="3" t="inlineStr">
        <is>
          <t>Compressor</t>
        </is>
      </c>
      <c r="E69" s="5" t="n">
        <v>495.97</v>
      </c>
      <c r="F69" s="5" t="n">
        <v>40.7</v>
      </c>
      <c r="G69" s="6">
        <f>IF(E69=0,"",F69/E69*100)</f>
        <v/>
      </c>
      <c r="H69" s="5">
        <f>E69-F69</f>
        <v/>
      </c>
      <c r="I69" s="38" t="n">
        <v>47428</v>
      </c>
      <c r="J69" s="39" t="n">
        <v>474304.0999999999</v>
      </c>
      <c r="K69" s="40">
        <f>IF(J69=0,"",H69/J69)</f>
        <v/>
      </c>
      <c r="L69" s="3" t="inlineStr">
        <is>
          <t>Yes — on projection</t>
        </is>
      </c>
    </row>
    <row r="70">
      <c r="A70" s="3" t="inlineStr">
        <is>
          <t>EE-CO-057</t>
        </is>
      </c>
      <c r="B70" s="4" t="inlineStr">
        <is>
          <t>CO</t>
        </is>
      </c>
      <c r="C70" s="4" t="inlineStr">
        <is>
          <t>Charm CO</t>
        </is>
      </c>
      <c r="D70" s="3" t="inlineStr">
        <is>
          <t>Pro Boxes Roller</t>
        </is>
      </c>
      <c r="E70" s="5" t="n">
        <v>2818.88</v>
      </c>
      <c r="F70" s="5" t="n">
        <v>231.33</v>
      </c>
      <c r="G70" s="6">
        <f>IF(E70=0,"",F70/E70*100)</f>
        <v/>
      </c>
      <c r="H70" s="5">
        <f>E70-F70</f>
        <v/>
      </c>
      <c r="I70" s="38" t="n">
        <v>47428</v>
      </c>
      <c r="J70" s="39" t="n">
        <v>474304.0999999999</v>
      </c>
      <c r="K70" s="40">
        <f>IF(J70=0,"",H70/J70)</f>
        <v/>
      </c>
      <c r="L70" s="3" t="inlineStr">
        <is>
          <t>Yes — on projection</t>
        </is>
      </c>
    </row>
    <row r="71">
      <c r="A71" s="3" t="inlineStr">
        <is>
          <t>EE-CO-059</t>
        </is>
      </c>
      <c r="B71" s="4" t="inlineStr">
        <is>
          <t>CO</t>
        </is>
      </c>
      <c r="C71" s="4" t="inlineStr">
        <is>
          <t>Charm CO</t>
        </is>
      </c>
      <c r="D71" s="3" t="inlineStr">
        <is>
          <t>20'x8' Conex Shipping Container</t>
        </is>
      </c>
      <c r="E71" s="5" t="n">
        <v>3247.6</v>
      </c>
      <c r="F71" s="5" t="n">
        <v>266.52</v>
      </c>
      <c r="G71" s="6">
        <f>IF(E71=0,"",F71/E71*100)</f>
        <v/>
      </c>
      <c r="H71" s="5">
        <f>E71-F71</f>
        <v/>
      </c>
      <c r="I71" s="38" t="n">
        <v>47428</v>
      </c>
      <c r="J71" s="39" t="n">
        <v>474304.0999999999</v>
      </c>
      <c r="K71" s="40">
        <f>IF(J71=0,"",H71/J71)</f>
        <v/>
      </c>
      <c r="L71" s="3" t="inlineStr">
        <is>
          <t>Yes — on projection</t>
        </is>
      </c>
    </row>
    <row r="72">
      <c r="A72" s="3" t="inlineStr">
        <is>
          <t>EE-CO-060</t>
        </is>
      </c>
      <c r="B72" s="4" t="inlineStr">
        <is>
          <t>CO</t>
        </is>
      </c>
      <c r="C72" s="4" t="inlineStr">
        <is>
          <t>Charm CO</t>
        </is>
      </c>
      <c r="D72" s="3" t="inlineStr">
        <is>
          <t>Boom Lift</t>
        </is>
      </c>
      <c r="E72" s="5" t="n">
        <v>9714.9</v>
      </c>
      <c r="F72" s="5" t="n">
        <v>797.26</v>
      </c>
      <c r="G72" s="6">
        <f>IF(E72=0,"",F72/E72*100)</f>
        <v/>
      </c>
      <c r="H72" s="5">
        <f>E72-F72</f>
        <v/>
      </c>
      <c r="I72" s="38" t="n">
        <v>47428</v>
      </c>
      <c r="J72" s="39" t="n">
        <v>474304.0999999999</v>
      </c>
      <c r="K72" s="40">
        <f>IF(J72=0,"",H72/J72)</f>
        <v/>
      </c>
      <c r="L72" s="3" t="inlineStr">
        <is>
          <t>Yes — on projection</t>
        </is>
      </c>
    </row>
    <row r="73">
      <c r="A73" s="3" t="inlineStr">
        <is>
          <t>EE-CO-061</t>
        </is>
      </c>
      <c r="B73" s="4" t="inlineStr">
        <is>
          <t>CO</t>
        </is>
      </c>
      <c r="C73" s="4" t="inlineStr">
        <is>
          <t>Charm CO</t>
        </is>
      </c>
      <c r="D73" s="3" t="inlineStr">
        <is>
          <t>Orange Box</t>
        </is>
      </c>
      <c r="E73" s="5" t="n">
        <v>479.72</v>
      </c>
      <c r="F73" s="5" t="n">
        <v>39.37</v>
      </c>
      <c r="G73" s="6">
        <f>IF(E73=0,"",F73/E73*100)</f>
        <v/>
      </c>
      <c r="H73" s="5">
        <f>E73-F73</f>
        <v/>
      </c>
      <c r="I73" s="38" t="n">
        <v>47428</v>
      </c>
      <c r="J73" s="39" t="n">
        <v>474304.0999999999</v>
      </c>
      <c r="K73" s="40">
        <f>IF(J73=0,"",H73/J73)</f>
        <v/>
      </c>
      <c r="L73" s="3" t="inlineStr">
        <is>
          <t>Yes — on projection</t>
        </is>
      </c>
    </row>
    <row r="74">
      <c r="A74" s="10" t="inlineStr">
        <is>
          <t>EE-CO-064</t>
        </is>
      </c>
      <c r="B74" s="11" t="inlineStr">
        <is>
          <t>CO ✕</t>
        </is>
      </c>
      <c r="C74" s="11" t="inlineStr">
        <is>
          <t>Charm CO</t>
        </is>
      </c>
      <c r="D74" s="10" t="inlineStr">
        <is>
          <t>Allmand-Maxi Heat</t>
        </is>
      </c>
      <c r="E74" s="12" t="n">
        <v>5625.44</v>
      </c>
      <c r="F74" s="12" t="n">
        <v>141.57</v>
      </c>
      <c r="G74" s="13">
        <f>IF(E74=0,"",F74/E74*100)</f>
        <v/>
      </c>
      <c r="H74" s="12">
        <f>E74-F74</f>
        <v/>
      </c>
      <c r="I74" s="41" t="n">
        <v>47428</v>
      </c>
      <c r="J74" s="42" t="n">
        <v>474304.0999999999</v>
      </c>
      <c r="K74" s="43">
        <f>IF(J74=0,"",H74/J74)</f>
        <v/>
      </c>
      <c r="L74" s="10" t="inlineStr">
        <is>
          <t>Disposed</t>
        </is>
      </c>
    </row>
    <row r="75">
      <c r="A75" s="3" t="inlineStr">
        <is>
          <t>EE-CO-067</t>
        </is>
      </c>
      <c r="B75" s="4" t="inlineStr">
        <is>
          <t>CO</t>
        </is>
      </c>
      <c r="C75" s="4" t="inlineStr">
        <is>
          <t>Charm CO</t>
        </is>
      </c>
      <c r="D75" s="3" t="inlineStr">
        <is>
          <t>1000' Spool</t>
        </is>
      </c>
      <c r="E75" s="5" t="n">
        <v>387.82</v>
      </c>
      <c r="F75" s="5" t="n">
        <v>31.83</v>
      </c>
      <c r="G75" s="6">
        <f>IF(E75=0,"",F75/E75*100)</f>
        <v/>
      </c>
      <c r="H75" s="5">
        <f>E75-F75</f>
        <v/>
      </c>
      <c r="I75" s="38" t="n">
        <v>47428</v>
      </c>
      <c r="J75" s="39" t="n">
        <v>474304.0999999999</v>
      </c>
      <c r="K75" s="40">
        <f>IF(J75=0,"",H75/J75)</f>
        <v/>
      </c>
      <c r="L75" s="3" t="inlineStr">
        <is>
          <t>Yes — on projection</t>
        </is>
      </c>
    </row>
    <row r="76">
      <c r="A76" s="3" t="inlineStr">
        <is>
          <t>EE-CO-070</t>
        </is>
      </c>
      <c r="B76" s="4" t="inlineStr">
        <is>
          <t>CO</t>
        </is>
      </c>
      <c r="C76" s="4" t="inlineStr">
        <is>
          <t>Charm CO</t>
        </is>
      </c>
      <c r="D76" s="3" t="inlineStr">
        <is>
          <t>Portable Light Fixture</t>
        </is>
      </c>
      <c r="E76" s="5" t="n">
        <v>1500.64</v>
      </c>
      <c r="F76" s="5" t="n">
        <v>123.15</v>
      </c>
      <c r="G76" s="6">
        <f>IF(E76=0,"",F76/E76*100)</f>
        <v/>
      </c>
      <c r="H76" s="5">
        <f>E76-F76</f>
        <v/>
      </c>
      <c r="I76" s="38" t="n">
        <v>47428</v>
      </c>
      <c r="J76" s="39" t="n">
        <v>474304.0999999999</v>
      </c>
      <c r="K76" s="40">
        <f>IF(J76=0,"",H76/J76)</f>
        <v/>
      </c>
      <c r="L76" s="3" t="inlineStr">
        <is>
          <t>Yes — on projection</t>
        </is>
      </c>
    </row>
    <row r="77">
      <c r="A77" s="3" t="inlineStr">
        <is>
          <t>EE-CO-072</t>
        </is>
      </c>
      <c r="B77" s="4" t="inlineStr">
        <is>
          <t>CO</t>
        </is>
      </c>
      <c r="C77" s="4" t="inlineStr">
        <is>
          <t>Charm CO</t>
        </is>
      </c>
      <c r="D77" s="3" t="inlineStr">
        <is>
          <t>Unicarriers Fork Lift</t>
        </is>
      </c>
      <c r="E77" s="5" t="n">
        <v>7688.1</v>
      </c>
      <c r="F77" s="5" t="n">
        <v>630.9299999999999</v>
      </c>
      <c r="G77" s="6">
        <f>IF(E77=0,"",F77/E77*100)</f>
        <v/>
      </c>
      <c r="H77" s="5">
        <f>E77-F77</f>
        <v/>
      </c>
      <c r="I77" s="38" t="n">
        <v>47428</v>
      </c>
      <c r="J77" s="39" t="n">
        <v>474304.0999999999</v>
      </c>
      <c r="K77" s="40">
        <f>IF(J77=0,"",H77/J77)</f>
        <v/>
      </c>
      <c r="L77" s="3" t="inlineStr">
        <is>
          <t>Yes — on projection</t>
        </is>
      </c>
    </row>
    <row r="78">
      <c r="A78" s="3" t="inlineStr">
        <is>
          <t>EE-CO-074</t>
        </is>
      </c>
      <c r="B78" s="4" t="inlineStr">
        <is>
          <t>CO</t>
        </is>
      </c>
      <c r="C78" s="4" t="inlineStr">
        <is>
          <t>Charm CO</t>
        </is>
      </c>
      <c r="D78" s="3" t="inlineStr">
        <is>
          <t>40'x8' Conex Shipping Container</t>
        </is>
      </c>
      <c r="E78" s="5" t="n">
        <v>7413</v>
      </c>
      <c r="F78" s="5" t="n">
        <v>608.36</v>
      </c>
      <c r="G78" s="6">
        <f>IF(E78=0,"",F78/E78*100)</f>
        <v/>
      </c>
      <c r="H78" s="5">
        <f>E78-F78</f>
        <v/>
      </c>
      <c r="I78" s="38" t="n">
        <v>47428</v>
      </c>
      <c r="J78" s="39" t="n">
        <v>474304.0999999999</v>
      </c>
      <c r="K78" s="40">
        <f>IF(J78=0,"",H78/J78)</f>
        <v/>
      </c>
      <c r="L78" s="3" t="inlineStr">
        <is>
          <t>Yes — on projection</t>
        </is>
      </c>
    </row>
    <row r="79">
      <c r="A79" s="3" t="inlineStr">
        <is>
          <t>EE-CO-077</t>
        </is>
      </c>
      <c r="B79" s="4" t="inlineStr">
        <is>
          <t>CO</t>
        </is>
      </c>
      <c r="C79" s="4" t="inlineStr">
        <is>
          <t>Charm CO</t>
        </is>
      </c>
      <c r="D79" s="3" t="inlineStr">
        <is>
          <t>55 Gal Drum</t>
        </is>
      </c>
      <c r="E79" s="5" t="n">
        <v>5537.44</v>
      </c>
      <c r="F79" s="5" t="n">
        <v>454.44</v>
      </c>
      <c r="G79" s="6">
        <f>IF(E79=0,"",F79/E79*100)</f>
        <v/>
      </c>
      <c r="H79" s="5">
        <f>E79-F79</f>
        <v/>
      </c>
      <c r="I79" s="38" t="n">
        <v>47428</v>
      </c>
      <c r="J79" s="39" t="n">
        <v>474304.0999999999</v>
      </c>
      <c r="K79" s="40">
        <f>IF(J79=0,"",H79/J79)</f>
        <v/>
      </c>
      <c r="L79" s="3" t="inlineStr">
        <is>
          <t>Yes — on projection</t>
        </is>
      </c>
    </row>
    <row r="80">
      <c r="A80" s="3" t="inlineStr">
        <is>
          <t>EE-CO-078</t>
        </is>
      </c>
      <c r="B80" s="4" t="inlineStr">
        <is>
          <t>CO</t>
        </is>
      </c>
      <c r="C80" s="4" t="inlineStr">
        <is>
          <t>Charm CO</t>
        </is>
      </c>
      <c r="D80" s="3" t="inlineStr">
        <is>
          <t>Detention Pond</t>
        </is>
      </c>
      <c r="E80" s="5" t="n">
        <v>292145.93</v>
      </c>
      <c r="F80" s="5" t="n">
        <v>20410.43</v>
      </c>
      <c r="G80" s="6">
        <f>IF(E80=0,"",F80/E80*100)</f>
        <v/>
      </c>
      <c r="H80" s="5">
        <f>E80-F80</f>
        <v/>
      </c>
      <c r="I80" s="38" t="n">
        <v>47515</v>
      </c>
      <c r="J80" s="39" t="n">
        <v>565058.7999999999</v>
      </c>
      <c r="K80" s="40">
        <f>IF(J80=0,"",H80/J80)</f>
        <v/>
      </c>
      <c r="L80" s="3" t="inlineStr">
        <is>
          <t>Yes — on projection</t>
        </is>
      </c>
    </row>
    <row r="81">
      <c r="A81" s="3" t="inlineStr">
        <is>
          <t>EE-CO-079</t>
        </is>
      </c>
      <c r="B81" s="4" t="inlineStr">
        <is>
          <t>CO</t>
        </is>
      </c>
      <c r="C81" s="4" t="inlineStr">
        <is>
          <t>Charm CO</t>
        </is>
      </c>
      <c r="D81" s="3" t="inlineStr">
        <is>
          <t>275 Gal IBC Tote Plastic Pallet</t>
        </is>
      </c>
      <c r="E81" s="5" t="n">
        <v>19582.68</v>
      </c>
      <c r="F81" s="5" t="n">
        <v>1236.47</v>
      </c>
      <c r="G81" s="6">
        <f>IF(E81=0,"",F81/E81*100)</f>
        <v/>
      </c>
      <c r="H81" s="5">
        <f>E81-F81</f>
        <v/>
      </c>
      <c r="I81" s="38" t="n">
        <v>47543</v>
      </c>
      <c r="J81" s="39" t="n">
        <v>599800.6</v>
      </c>
      <c r="K81" s="40">
        <f>IF(J81=0,"",H81/J81)</f>
        <v/>
      </c>
      <c r="L81" s="3" t="inlineStr">
        <is>
          <t>Yes — on projection</t>
        </is>
      </c>
    </row>
    <row r="82">
      <c r="A82" s="3" t="inlineStr">
        <is>
          <t>EE-CO-080</t>
        </is>
      </c>
      <c r="B82" s="4" t="inlineStr">
        <is>
          <t>CO</t>
        </is>
      </c>
      <c r="C82" s="4" t="inlineStr">
        <is>
          <t>Charm KS</t>
        </is>
      </c>
      <c r="D82" s="3" t="inlineStr">
        <is>
          <t>5000 Gallon Vertical Tank</t>
        </is>
      </c>
      <c r="E82" s="5" t="n">
        <v>4451.28</v>
      </c>
      <c r="F82" s="5" t="n">
        <v>245.83</v>
      </c>
      <c r="G82" s="6">
        <f>IF(E82=0,"",F82/E82*100)</f>
        <v/>
      </c>
      <c r="H82" s="5">
        <f>E82-F82</f>
        <v/>
      </c>
      <c r="I82" s="38" t="n">
        <v>47574</v>
      </c>
      <c r="J82" s="39" t="n">
        <v>634542.4</v>
      </c>
      <c r="K82" s="40">
        <f>IF(J82=0,"",H82/J82)</f>
        <v/>
      </c>
      <c r="L82" s="3" t="inlineStr">
        <is>
          <t>Yes — on projection</t>
        </is>
      </c>
    </row>
    <row r="83">
      <c r="A83" s="3" t="inlineStr">
        <is>
          <t>EE-CO-082</t>
        </is>
      </c>
      <c r="B83" s="4" t="inlineStr">
        <is>
          <t>CO</t>
        </is>
      </c>
      <c r="C83" s="4" t="inlineStr">
        <is>
          <t>Charm CO</t>
        </is>
      </c>
      <c r="D83" s="3" t="inlineStr">
        <is>
          <t>Pro Boxes Roller</t>
        </is>
      </c>
      <c r="E83" s="5" t="n">
        <v>2114.16</v>
      </c>
      <c r="F83" s="5" t="n">
        <v>116.76</v>
      </c>
      <c r="G83" s="6">
        <f>IF(E83=0,"",F83/E83*100)</f>
        <v/>
      </c>
      <c r="H83" s="5">
        <f>E83-F83</f>
        <v/>
      </c>
      <c r="I83" s="38" t="n">
        <v>47574</v>
      </c>
      <c r="J83" s="39" t="n">
        <v>634542.4</v>
      </c>
      <c r="K83" s="40">
        <f>IF(J83=0,"",H83/J83)</f>
        <v/>
      </c>
      <c r="L83" s="3" t="inlineStr">
        <is>
          <t>Yes — on projection</t>
        </is>
      </c>
    </row>
    <row r="84">
      <c r="A84" s="3" t="inlineStr">
        <is>
          <t>EE-CO-084</t>
        </is>
      </c>
      <c r="B84" s="4" t="inlineStr">
        <is>
          <t>CO</t>
        </is>
      </c>
      <c r="C84" s="4" t="inlineStr">
        <is>
          <t>Charm KS</t>
        </is>
      </c>
      <c r="D84" s="3" t="inlineStr">
        <is>
          <t>3/4" Aggregate</t>
        </is>
      </c>
      <c r="E84" s="5" t="n">
        <v>1117.27</v>
      </c>
      <c r="F84" s="5" t="n">
        <v>61.7</v>
      </c>
      <c r="G84" s="6">
        <f>IF(E84=0,"",F84/E84*100)</f>
        <v/>
      </c>
      <c r="H84" s="5">
        <f>E84-F84</f>
        <v/>
      </c>
      <c r="I84" s="38" t="n">
        <v>47574</v>
      </c>
      <c r="J84" s="39" t="n">
        <v>634542.4</v>
      </c>
      <c r="K84" s="40">
        <f>IF(J84=0,"",H84/J84)</f>
        <v/>
      </c>
      <c r="L84" s="3" t="inlineStr">
        <is>
          <t>Yes — on projection</t>
        </is>
      </c>
    </row>
    <row r="85">
      <c r="A85" s="3" t="inlineStr">
        <is>
          <t>EE-CO-086</t>
        </is>
      </c>
      <c r="B85" s="4" t="inlineStr">
        <is>
          <t>CO</t>
        </is>
      </c>
      <c r="C85" s="4" t="inlineStr">
        <is>
          <t>Charm KS</t>
        </is>
      </c>
      <c r="D85" s="3" t="inlineStr">
        <is>
          <t>Concrete Blocks</t>
        </is>
      </c>
      <c r="E85" s="5" t="n">
        <v>1167.68</v>
      </c>
      <c r="F85" s="5" t="n">
        <v>64.48999999999999</v>
      </c>
      <c r="G85" s="6">
        <f>IF(E85=0,"",F85/E85*100)</f>
        <v/>
      </c>
      <c r="H85" s="5">
        <f>E85-F85</f>
        <v/>
      </c>
      <c r="I85" s="38" t="n">
        <v>47574</v>
      </c>
      <c r="J85" s="39" t="n">
        <v>634542.4</v>
      </c>
      <c r="K85" s="40">
        <f>IF(J85=0,"",H85/J85)</f>
        <v/>
      </c>
      <c r="L85" s="3" t="inlineStr">
        <is>
          <t>Yes — on projection</t>
        </is>
      </c>
    </row>
    <row r="86">
      <c r="A86" s="3" t="inlineStr">
        <is>
          <t>EE-CO-088</t>
        </is>
      </c>
      <c r="B86" s="4" t="inlineStr">
        <is>
          <t>CO</t>
        </is>
      </c>
      <c r="C86" s="4" t="inlineStr">
        <is>
          <t>Charm CO</t>
        </is>
      </c>
      <c r="D86" s="3" t="inlineStr">
        <is>
          <t>Bighorn Pyrolyzers</t>
        </is>
      </c>
      <c r="E86" s="5" t="n">
        <v>7480.47</v>
      </c>
      <c r="F86" s="5" t="n">
        <v>413.12</v>
      </c>
      <c r="G86" s="6">
        <f>IF(E86=0,"",F86/E86*100)</f>
        <v/>
      </c>
      <c r="H86" s="5">
        <f>E86-F86</f>
        <v/>
      </c>
      <c r="I86" s="38" t="n">
        <v>47574</v>
      </c>
      <c r="J86" s="39" t="n">
        <v>634542.4</v>
      </c>
      <c r="K86" s="40">
        <f>IF(J86=0,"",H86/J86)</f>
        <v/>
      </c>
      <c r="L86" s="3" t="inlineStr">
        <is>
          <t>Yes — on projection</t>
        </is>
      </c>
    </row>
    <row r="87">
      <c r="A87" s="3" t="inlineStr">
        <is>
          <t>EE-CO-089</t>
        </is>
      </c>
      <c r="B87" s="4" t="inlineStr">
        <is>
          <t>CO</t>
        </is>
      </c>
      <c r="C87" s="4" t="inlineStr">
        <is>
          <t>Charm CO</t>
        </is>
      </c>
      <c r="D87" s="3" t="inlineStr">
        <is>
          <t>55 Gal Drum</t>
        </is>
      </c>
      <c r="E87" s="5" t="n">
        <v>1306</v>
      </c>
      <c r="F87" s="5" t="n">
        <v>72.13</v>
      </c>
      <c r="G87" s="6">
        <f>IF(E87=0,"",F87/E87*100)</f>
        <v/>
      </c>
      <c r="H87" s="5">
        <f>E87-F87</f>
        <v/>
      </c>
      <c r="I87" s="38" t="n">
        <v>47574</v>
      </c>
      <c r="J87" s="39" t="n">
        <v>634542.4</v>
      </c>
      <c r="K87" s="40">
        <f>IF(J87=0,"",H87/J87)</f>
        <v/>
      </c>
      <c r="L87" s="3" t="inlineStr">
        <is>
          <t>Yes — on projection</t>
        </is>
      </c>
    </row>
    <row r="88">
      <c r="A88" s="3" t="inlineStr">
        <is>
          <t>EE-CO-083</t>
        </is>
      </c>
      <c r="B88" s="4" t="inlineStr">
        <is>
          <t>CO</t>
        </is>
      </c>
      <c r="C88" s="4" t="inlineStr">
        <is>
          <t>Charm KS</t>
        </is>
      </c>
      <c r="D88" s="3" t="inlineStr">
        <is>
          <t>Scale</t>
        </is>
      </c>
      <c r="E88" s="5" t="n">
        <v>543.8</v>
      </c>
      <c r="F88" s="5" t="n">
        <v>30.03</v>
      </c>
      <c r="G88" s="6">
        <f>IF(E88=0,"",F88/E88*100)</f>
        <v/>
      </c>
      <c r="H88" s="5">
        <f>E88-F88</f>
        <v/>
      </c>
      <c r="I88" s="38" t="n">
        <v>47588</v>
      </c>
      <c r="J88" s="39" t="n">
        <v>634542.4</v>
      </c>
      <c r="K88" s="40">
        <f>IF(J88=0,"",H88/J88)</f>
        <v/>
      </c>
      <c r="L88" s="3" t="inlineStr">
        <is>
          <t>Yes — on projection</t>
        </is>
      </c>
    </row>
    <row r="89">
      <c r="A89" s="3" t="inlineStr">
        <is>
          <t>EE-CO-087</t>
        </is>
      </c>
      <c r="B89" s="4" t="inlineStr">
        <is>
          <t>CO</t>
        </is>
      </c>
      <c r="C89" s="4" t="inlineStr">
        <is>
          <t>Charm CO</t>
        </is>
      </c>
      <c r="D89" s="3" t="inlineStr">
        <is>
          <t>Action Monitoring Sensor</t>
        </is>
      </c>
      <c r="E89" s="5" t="n">
        <v>119.31</v>
      </c>
      <c r="F89" s="5" t="n">
        <v>6.59</v>
      </c>
      <c r="G89" s="6">
        <f>IF(E89=0,"",F89/E89*100)</f>
        <v/>
      </c>
      <c r="H89" s="5">
        <f>E89-F89</f>
        <v/>
      </c>
      <c r="I89" s="38" t="n">
        <v>47588</v>
      </c>
      <c r="J89" s="39" t="n">
        <v>634542.4</v>
      </c>
      <c r="K89" s="40">
        <f>IF(J89=0,"",H89/J89)</f>
        <v/>
      </c>
      <c r="L89" s="3" t="inlineStr">
        <is>
          <t>Yes — on projection</t>
        </is>
      </c>
    </row>
    <row r="90">
      <c r="A90" s="3" t="inlineStr">
        <is>
          <t>EE-CO-085</t>
        </is>
      </c>
      <c r="B90" s="4" t="inlineStr">
        <is>
          <t>CO</t>
        </is>
      </c>
      <c r="C90" s="4" t="inlineStr">
        <is>
          <t>Charm CO</t>
        </is>
      </c>
      <c r="D90" s="3" t="inlineStr">
        <is>
          <t>Pump</t>
        </is>
      </c>
      <c r="E90" s="5" t="n">
        <v>47.54</v>
      </c>
      <c r="F90" s="5" t="n">
        <v>2.63</v>
      </c>
      <c r="G90" s="6">
        <f>IF(E90=0,"",F90/E90*100)</f>
        <v/>
      </c>
      <c r="H90" s="5">
        <f>E90-F90</f>
        <v/>
      </c>
      <c r="I90" s="38" t="n">
        <v>47590</v>
      </c>
      <c r="J90" s="39" t="n">
        <v>634542.4</v>
      </c>
      <c r="K90" s="40">
        <f>IF(J90=0,"",H90/J90)</f>
        <v/>
      </c>
      <c r="L90" s="3" t="inlineStr">
        <is>
          <t>Yes — on projection</t>
        </is>
      </c>
    </row>
    <row r="91">
      <c r="A91" s="3" t="inlineStr">
        <is>
          <t>EE-CO-090</t>
        </is>
      </c>
      <c r="B91" s="4" t="inlineStr">
        <is>
          <t>CO</t>
        </is>
      </c>
      <c r="C91" s="4" t="inlineStr">
        <is>
          <t>Charm KS</t>
        </is>
      </c>
      <c r="D91" s="3" t="inlineStr">
        <is>
          <t>Fabricated Steel Hopper</t>
        </is>
      </c>
      <c r="E91" s="5" t="n">
        <v>67.56</v>
      </c>
      <c r="F91" s="5" t="n">
        <v>3.2</v>
      </c>
      <c r="G91" s="6">
        <f>IF(E91=0,"",F91/E91*100)</f>
        <v/>
      </c>
      <c r="H91" s="5">
        <f>E91-F91</f>
        <v/>
      </c>
      <c r="I91" s="38" t="n">
        <v>47604</v>
      </c>
      <c r="J91" s="39" t="n">
        <v>669284.2000000001</v>
      </c>
      <c r="K91" s="40">
        <f>IF(J91=0,"",H91/J91)</f>
        <v/>
      </c>
      <c r="L91" s="3" t="inlineStr">
        <is>
          <t>Yes — on projection</t>
        </is>
      </c>
    </row>
    <row r="92">
      <c r="A92" s="3" t="inlineStr">
        <is>
          <t>EE-CO-091</t>
        </is>
      </c>
      <c r="B92" s="4" t="inlineStr">
        <is>
          <t>CO</t>
        </is>
      </c>
      <c r="C92" s="4" t="inlineStr">
        <is>
          <t>Charm CO</t>
        </is>
      </c>
      <c r="D92" s="3" t="inlineStr">
        <is>
          <t>Pro Boxes Roller</t>
        </is>
      </c>
      <c r="E92" s="5" t="n">
        <v>2466.52</v>
      </c>
      <c r="F92" s="5" t="n">
        <v>116.79</v>
      </c>
      <c r="G92" s="6">
        <f>IF(E92=0,"",F92/E92*100)</f>
        <v/>
      </c>
      <c r="H92" s="5">
        <f>E92-F92</f>
        <v/>
      </c>
      <c r="I92" s="38" t="n">
        <v>47604</v>
      </c>
      <c r="J92" s="39" t="n">
        <v>669284.2000000001</v>
      </c>
      <c r="K92" s="40">
        <f>IF(J92=0,"",H92/J92)</f>
        <v/>
      </c>
      <c r="L92" s="3" t="inlineStr">
        <is>
          <t>Yes — on projection</t>
        </is>
      </c>
    </row>
    <row r="93">
      <c r="A93" s="3" t="inlineStr">
        <is>
          <t>EE-CO-092</t>
        </is>
      </c>
      <c r="B93" s="4" t="inlineStr">
        <is>
          <t>CO</t>
        </is>
      </c>
      <c r="C93" s="4" t="inlineStr">
        <is>
          <t>Charm CO</t>
        </is>
      </c>
      <c r="D93" s="3" t="inlineStr">
        <is>
          <t>550 Gallon MEGATAINER</t>
        </is>
      </c>
      <c r="E93" s="5" t="n">
        <v>526.8099999999999</v>
      </c>
      <c r="F93" s="5" t="n">
        <v>24.95</v>
      </c>
      <c r="G93" s="6">
        <f>IF(E93=0,"",F93/E93*100)</f>
        <v/>
      </c>
      <c r="H93" s="5">
        <f>E93-F93</f>
        <v/>
      </c>
      <c r="I93" s="38" t="n">
        <v>47604</v>
      </c>
      <c r="J93" s="39" t="n">
        <v>669284.2000000001</v>
      </c>
      <c r="K93" s="40">
        <f>IF(J93=0,"",H93/J93)</f>
        <v/>
      </c>
      <c r="L93" s="3" t="inlineStr">
        <is>
          <t>Yes — on projection</t>
        </is>
      </c>
    </row>
    <row r="94">
      <c r="A94" s="3" t="inlineStr">
        <is>
          <t>EE-CO-093</t>
        </is>
      </c>
      <c r="B94" s="4" t="inlineStr">
        <is>
          <t>CO</t>
        </is>
      </c>
      <c r="C94" s="4" t="inlineStr">
        <is>
          <t>Charm CO</t>
        </is>
      </c>
      <c r="D94" s="3" t="inlineStr">
        <is>
          <t>Steel Scaffolds</t>
        </is>
      </c>
      <c r="E94" s="5" t="n">
        <v>181.71</v>
      </c>
      <c r="F94" s="5" t="n">
        <v>8.6</v>
      </c>
      <c r="G94" s="6">
        <f>IF(E94=0,"",F94/E94*100)</f>
        <v/>
      </c>
      <c r="H94" s="5">
        <f>E94-F94</f>
        <v/>
      </c>
      <c r="I94" s="38" t="n">
        <v>47604</v>
      </c>
      <c r="J94" s="39" t="n">
        <v>669284.2000000001</v>
      </c>
      <c r="K94" s="40">
        <f>IF(J94=0,"",H94/J94)</f>
        <v/>
      </c>
      <c r="L94" s="3" t="inlineStr">
        <is>
          <t>Yes — on projection</t>
        </is>
      </c>
    </row>
    <row r="95">
      <c r="A95" s="3" t="inlineStr">
        <is>
          <t>EE-CO-094</t>
        </is>
      </c>
      <c r="B95" s="4" t="inlineStr">
        <is>
          <t>CO</t>
        </is>
      </c>
      <c r="C95" s="4" t="inlineStr">
        <is>
          <t>Charm CO</t>
        </is>
      </c>
      <c r="D95" s="3" t="inlineStr">
        <is>
          <t>Char Wetting Custom Fabrication</t>
        </is>
      </c>
      <c r="E95" s="5" t="n">
        <v>526.79</v>
      </c>
      <c r="F95" s="5" t="n">
        <v>24.94</v>
      </c>
      <c r="G95" s="6">
        <f>IF(E95=0,"",F95/E95*100)</f>
        <v/>
      </c>
      <c r="H95" s="5">
        <f>E95-F95</f>
        <v/>
      </c>
      <c r="I95" s="38" t="n">
        <v>47604</v>
      </c>
      <c r="J95" s="39" t="n">
        <v>669284.2000000001</v>
      </c>
      <c r="K95" s="40">
        <f>IF(J95=0,"",H95/J95)</f>
        <v/>
      </c>
      <c r="L95" s="3" t="inlineStr">
        <is>
          <t>Yes — on projection</t>
        </is>
      </c>
    </row>
    <row r="96">
      <c r="A96" s="3" t="inlineStr">
        <is>
          <t>EE-CO-095</t>
        </is>
      </c>
      <c r="B96" s="4" t="inlineStr">
        <is>
          <t>CO</t>
        </is>
      </c>
      <c r="C96" s="4" t="inlineStr">
        <is>
          <t>Charm KS</t>
        </is>
      </c>
      <c r="D96" s="3" t="inlineStr">
        <is>
          <t>3/4" Aggregate</t>
        </is>
      </c>
      <c r="E96" s="5" t="n">
        <v>8836.59</v>
      </c>
      <c r="F96" s="5" t="n">
        <v>418.43</v>
      </c>
      <c r="G96" s="6">
        <f>IF(E96=0,"",F96/E96*100)</f>
        <v/>
      </c>
      <c r="H96" s="5">
        <f>E96-F96</f>
        <v/>
      </c>
      <c r="I96" s="38" t="n">
        <v>47604</v>
      </c>
      <c r="J96" s="39" t="n">
        <v>669284.2000000001</v>
      </c>
      <c r="K96" s="40">
        <f>IF(J96=0,"",H96/J96)</f>
        <v/>
      </c>
      <c r="L96" s="3" t="inlineStr">
        <is>
          <t>Yes — on projection</t>
        </is>
      </c>
    </row>
    <row r="97">
      <c r="A97" s="3" t="inlineStr">
        <is>
          <t>EE-CO-096</t>
        </is>
      </c>
      <c r="B97" s="4" t="inlineStr">
        <is>
          <t>CO</t>
        </is>
      </c>
      <c r="C97" s="4" t="inlineStr">
        <is>
          <t>Charm KS</t>
        </is>
      </c>
      <c r="D97" s="3" t="inlineStr">
        <is>
          <t>Funk Electrical Work</t>
        </is>
      </c>
      <c r="E97" s="5" t="n">
        <v>7650</v>
      </c>
      <c r="F97" s="5" t="n">
        <v>362.24</v>
      </c>
      <c r="G97" s="6">
        <f>IF(E97=0,"",F97/E97*100)</f>
        <v/>
      </c>
      <c r="H97" s="5">
        <f>E97-F97</f>
        <v/>
      </c>
      <c r="I97" s="38" t="n">
        <v>47604</v>
      </c>
      <c r="J97" s="39" t="n">
        <v>669284.2000000001</v>
      </c>
      <c r="K97" s="40">
        <f>IF(J97=0,"",H97/J97)</f>
        <v/>
      </c>
      <c r="L97" s="3" t="inlineStr">
        <is>
          <t>Yes — on projection</t>
        </is>
      </c>
    </row>
    <row r="98">
      <c r="A98" s="3" t="inlineStr">
        <is>
          <t>EE-CO-097</t>
        </is>
      </c>
      <c r="B98" s="4" t="inlineStr">
        <is>
          <t>CO</t>
        </is>
      </c>
      <c r="C98" s="4" t="inlineStr">
        <is>
          <t>Charm CO</t>
        </is>
      </c>
      <c r="D98" s="3" t="inlineStr">
        <is>
          <t>Linkit Yellow Conveyor</t>
        </is>
      </c>
      <c r="E98" s="5" t="n">
        <v>6368.16</v>
      </c>
      <c r="F98" s="5" t="n">
        <v>301.54</v>
      </c>
      <c r="G98" s="6">
        <f>IF(E98=0,"",F98/E98*100)</f>
        <v/>
      </c>
      <c r="H98" s="5">
        <f>E98-F98</f>
        <v/>
      </c>
      <c r="I98" s="38" t="n">
        <v>47604</v>
      </c>
      <c r="J98" s="39" t="n">
        <v>669284.2000000001</v>
      </c>
      <c r="K98" s="40">
        <f>IF(J98=0,"",H98/J98)</f>
        <v/>
      </c>
      <c r="L98" s="3" t="inlineStr">
        <is>
          <t>Yes — on projection</t>
        </is>
      </c>
    </row>
    <row r="99">
      <c r="A99" s="3" t="inlineStr">
        <is>
          <t>EE-CO-098</t>
        </is>
      </c>
      <c r="B99" s="4" t="inlineStr">
        <is>
          <t>CO</t>
        </is>
      </c>
      <c r="C99" s="4" t="inlineStr">
        <is>
          <t>Charm CO</t>
        </is>
      </c>
      <c r="D99" s="3" t="inlineStr">
        <is>
          <t>275 Gal IBC Tote Plastic Pallet</t>
        </is>
      </c>
      <c r="E99" s="5" t="n">
        <v>6527.56</v>
      </c>
      <c r="F99" s="5" t="n">
        <v>309.09</v>
      </c>
      <c r="G99" s="6">
        <f>IF(E99=0,"",F99/E99*100)</f>
        <v/>
      </c>
      <c r="H99" s="5">
        <f>E99-F99</f>
        <v/>
      </c>
      <c r="I99" s="38" t="n">
        <v>47604</v>
      </c>
      <c r="J99" s="39" t="n">
        <v>669284.2000000001</v>
      </c>
      <c r="K99" s="40">
        <f>IF(J99=0,"",H99/J99)</f>
        <v/>
      </c>
      <c r="L99" s="3" t="inlineStr">
        <is>
          <t>Yes — on projection</t>
        </is>
      </c>
    </row>
    <row r="100">
      <c r="A100" s="3" t="inlineStr">
        <is>
          <t>EE-CO-099</t>
        </is>
      </c>
      <c r="B100" s="4" t="inlineStr">
        <is>
          <t>CO</t>
        </is>
      </c>
      <c r="C100" s="4" t="inlineStr">
        <is>
          <t>Charm KS</t>
        </is>
      </c>
      <c r="D100" s="3" t="inlineStr">
        <is>
          <t>LCS Tank</t>
        </is>
      </c>
      <c r="E100" s="5" t="n">
        <v>169.72</v>
      </c>
      <c r="F100" s="5" t="n">
        <v>8.039999999999999</v>
      </c>
      <c r="G100" s="6">
        <f>IF(E100=0,"",F100/E100*100)</f>
        <v/>
      </c>
      <c r="H100" s="5">
        <f>E100-F100</f>
        <v/>
      </c>
      <c r="I100" s="38" t="n">
        <v>47604</v>
      </c>
      <c r="J100" s="39" t="n">
        <v>669284.2000000001</v>
      </c>
      <c r="K100" s="40">
        <f>IF(J100=0,"",H100/J100)</f>
        <v/>
      </c>
      <c r="L100" s="3" t="inlineStr">
        <is>
          <t>Yes — on projection</t>
        </is>
      </c>
    </row>
    <row r="101">
      <c r="A101" s="3" t="inlineStr">
        <is>
          <t>EE-CO-100</t>
        </is>
      </c>
      <c r="B101" s="4" t="inlineStr">
        <is>
          <t>CO</t>
        </is>
      </c>
      <c r="C101" s="4" t="inlineStr">
        <is>
          <t>Charm CO</t>
        </is>
      </c>
      <c r="D101" s="3" t="inlineStr">
        <is>
          <t>Winch</t>
        </is>
      </c>
      <c r="E101" s="5" t="n">
        <v>222.18</v>
      </c>
      <c r="F101" s="5" t="n">
        <v>10.52</v>
      </c>
      <c r="G101" s="6">
        <f>IF(E101=0,"",F101/E101*100)</f>
        <v/>
      </c>
      <c r="H101" s="5">
        <f>E101-F101</f>
        <v/>
      </c>
      <c r="I101" s="38" t="n">
        <v>47604</v>
      </c>
      <c r="J101" s="39" t="n">
        <v>669284.2000000001</v>
      </c>
      <c r="K101" s="40">
        <f>IF(J101=0,"",H101/J101)</f>
        <v/>
      </c>
      <c r="L101" s="3" t="inlineStr">
        <is>
          <t>Yes — on projection</t>
        </is>
      </c>
    </row>
    <row r="102">
      <c r="A102" s="3" t="inlineStr">
        <is>
          <t>EE-CO-101</t>
        </is>
      </c>
      <c r="B102" s="4" t="inlineStr">
        <is>
          <t>CO</t>
        </is>
      </c>
      <c r="C102" s="4" t="inlineStr">
        <is>
          <t>Charm KS</t>
        </is>
      </c>
      <c r="D102" s="3" t="inlineStr">
        <is>
          <t>Double Wide Trailer</t>
        </is>
      </c>
      <c r="E102" s="5" t="n">
        <v>33366.46</v>
      </c>
      <c r="F102" s="5" t="n">
        <v>1299.29</v>
      </c>
      <c r="G102" s="6">
        <f>IF(E102=0,"",F102/E102*100)</f>
        <v/>
      </c>
      <c r="H102" s="5">
        <f>E102-F102</f>
        <v/>
      </c>
      <c r="I102" s="38" t="n">
        <v>47635</v>
      </c>
      <c r="J102" s="39" t="n">
        <v>704026.0000000001</v>
      </c>
      <c r="K102" s="40">
        <f>IF(J102=0,"",H102/J102)</f>
        <v/>
      </c>
      <c r="L102" s="3" t="inlineStr">
        <is>
          <t>Yes — on projection</t>
        </is>
      </c>
    </row>
    <row r="103">
      <c r="A103" s="3" t="inlineStr">
        <is>
          <t>EE-CO-102</t>
        </is>
      </c>
      <c r="B103" s="4" t="inlineStr">
        <is>
          <t>CO</t>
        </is>
      </c>
      <c r="C103" s="4" t="inlineStr">
        <is>
          <t>Charm KS</t>
        </is>
      </c>
      <c r="D103" s="3" t="inlineStr">
        <is>
          <t>Funk Electrical Work</t>
        </is>
      </c>
      <c r="E103" s="5" t="n">
        <v>7650</v>
      </c>
      <c r="F103" s="5" t="n">
        <v>297.89</v>
      </c>
      <c r="G103" s="6">
        <f>IF(E103=0,"",F103/E103*100)</f>
        <v/>
      </c>
      <c r="H103" s="5">
        <f>E103-F103</f>
        <v/>
      </c>
      <c r="I103" s="38" t="n">
        <v>47635</v>
      </c>
      <c r="J103" s="39" t="n">
        <v>704026.0000000001</v>
      </c>
      <c r="K103" s="40">
        <f>IF(J103=0,"",H103/J103)</f>
        <v/>
      </c>
      <c r="L103" s="3" t="inlineStr">
        <is>
          <t>Yes — on projection</t>
        </is>
      </c>
    </row>
    <row r="104">
      <c r="A104" s="3" t="inlineStr">
        <is>
          <t>EE-CO-103</t>
        </is>
      </c>
      <c r="B104" s="4" t="inlineStr">
        <is>
          <t>CO</t>
        </is>
      </c>
      <c r="C104" s="4" t="inlineStr">
        <is>
          <t>Charm CO</t>
        </is>
      </c>
      <c r="D104" s="3" t="inlineStr">
        <is>
          <t>275 Gal IBC Tote Plastic Pallet</t>
        </is>
      </c>
      <c r="E104" s="5" t="n">
        <v>15063.6</v>
      </c>
      <c r="F104" s="5" t="n">
        <v>586.58</v>
      </c>
      <c r="G104" s="6">
        <f>IF(E104=0,"",F104/E104*100)</f>
        <v/>
      </c>
      <c r="H104" s="5">
        <f>E104-F104</f>
        <v/>
      </c>
      <c r="I104" s="38" t="n">
        <v>47635</v>
      </c>
      <c r="J104" s="39" t="n">
        <v>704026.0000000001</v>
      </c>
      <c r="K104" s="40">
        <f>IF(J104=0,"",H104/J104)</f>
        <v/>
      </c>
      <c r="L104" s="3" t="inlineStr">
        <is>
          <t>Yes — on projection</t>
        </is>
      </c>
    </row>
    <row r="105">
      <c r="A105" s="3" t="inlineStr">
        <is>
          <t>EE-CO-104</t>
        </is>
      </c>
      <c r="B105" s="4" t="inlineStr">
        <is>
          <t>CO</t>
        </is>
      </c>
      <c r="C105" s="4" t="inlineStr">
        <is>
          <t>Charm CO</t>
        </is>
      </c>
      <c r="D105" s="3" t="inlineStr">
        <is>
          <t>Allmand-Maxi Heat</t>
        </is>
      </c>
      <c r="E105" s="5" t="n">
        <v>5625.44</v>
      </c>
      <c r="F105" s="5" t="n">
        <v>219.06</v>
      </c>
      <c r="G105" s="6">
        <f>IF(E105=0,"",F105/E105*100)</f>
        <v/>
      </c>
      <c r="H105" s="5">
        <f>E105-F105</f>
        <v/>
      </c>
      <c r="I105" s="38" t="n">
        <v>47635</v>
      </c>
      <c r="J105" s="39" t="n">
        <v>704026.0000000001</v>
      </c>
      <c r="K105" s="40">
        <f>IF(J105=0,"",H105/J105)</f>
        <v/>
      </c>
      <c r="L105" s="3" t="inlineStr">
        <is>
          <t>Yes — on projection</t>
        </is>
      </c>
    </row>
    <row r="106">
      <c r="A106" s="3" t="inlineStr">
        <is>
          <t>EE-CO-105</t>
        </is>
      </c>
      <c r="B106" s="4" t="inlineStr">
        <is>
          <t>CO</t>
        </is>
      </c>
      <c r="C106" s="4" t="inlineStr">
        <is>
          <t>Charm CO</t>
        </is>
      </c>
      <c r="D106" s="3" t="inlineStr">
        <is>
          <t>275 Gal IBC Tote Plastic Pallet</t>
        </is>
      </c>
      <c r="E106" s="5" t="n">
        <v>7531.8</v>
      </c>
      <c r="F106" s="5" t="n">
        <v>235.5</v>
      </c>
      <c r="G106" s="6">
        <f>IF(E106=0,"",F106/E106*100)</f>
        <v/>
      </c>
      <c r="H106" s="5">
        <f>E106-F106</f>
        <v/>
      </c>
      <c r="I106" s="38" t="n">
        <v>47665</v>
      </c>
      <c r="J106" s="39" t="n">
        <v>738767.8000000002</v>
      </c>
      <c r="K106" s="40">
        <f>IF(J106=0,"",H106/J106)</f>
        <v/>
      </c>
      <c r="L106" s="3" t="inlineStr">
        <is>
          <t>Yes — on projection</t>
        </is>
      </c>
    </row>
    <row r="107">
      <c r="A107" s="17" t="inlineStr">
        <is>
          <t>EE-INJ-001</t>
        </is>
      </c>
      <c r="B107" s="18" t="inlineStr">
        <is>
          <t>INJ</t>
        </is>
      </c>
      <c r="C107" s="18" t="inlineStr">
        <is>
          <t>LA (Basco)</t>
        </is>
      </c>
      <c r="D107" s="17" t="inlineStr">
        <is>
          <t>Work Truck</t>
        </is>
      </c>
      <c r="E107" s="19" t="n">
        <v>7183</v>
      </c>
      <c r="F107" s="19" t="n">
        <v>35.01</v>
      </c>
      <c r="G107" s="20">
        <f>IF(E107=0,"",F107/E107*100)</f>
        <v/>
      </c>
      <c r="H107" s="19">
        <f>E107-F107</f>
        <v/>
      </c>
      <c r="I107" s="44" t="n">
        <v>47675</v>
      </c>
      <c r="J107" s="45" t="n">
        <v>738767.8000000002</v>
      </c>
      <c r="K107" s="46">
        <f>IF(J107=0,"",H107/J107)</f>
        <v/>
      </c>
      <c r="L107" s="17" t="inlineStr">
        <is>
          <t>Yes — on projection</t>
        </is>
      </c>
    </row>
    <row r="108">
      <c r="A108" s="17" t="inlineStr">
        <is>
          <t>EE-INJ-002</t>
        </is>
      </c>
      <c r="B108" s="18" t="inlineStr">
        <is>
          <t>INJ</t>
        </is>
      </c>
      <c r="C108" s="18" t="inlineStr">
        <is>
          <t>LA (Basco)</t>
        </is>
      </c>
      <c r="D108" s="17" t="inlineStr">
        <is>
          <t>Canopy + Hardware</t>
        </is>
      </c>
      <c r="E108" s="19" t="n">
        <v>1482.74</v>
      </c>
      <c r="F108" s="19" t="n">
        <v>7.23</v>
      </c>
      <c r="G108" s="20">
        <f>IF(E108=0,"",F108/E108*100)</f>
        <v/>
      </c>
      <c r="H108" s="19">
        <f>E108-F108</f>
        <v/>
      </c>
      <c r="I108" s="44" t="n">
        <v>47675</v>
      </c>
      <c r="J108" s="45" t="n">
        <v>738767.8000000002</v>
      </c>
      <c r="K108" s="46">
        <f>IF(J108=0,"",H108/J108)</f>
        <v/>
      </c>
      <c r="L108" s="17" t="inlineStr">
        <is>
          <t>Yes — on projection</t>
        </is>
      </c>
    </row>
    <row r="109">
      <c r="A109" s="10" t="inlineStr">
        <is>
          <t>EE-INJ-003</t>
        </is>
      </c>
      <c r="B109" s="11" t="inlineStr">
        <is>
          <t>INJ ✕</t>
        </is>
      </c>
      <c r="C109" s="11" t="inlineStr">
        <is>
          <t>KS</t>
        </is>
      </c>
      <c r="D109" s="10" t="inlineStr">
        <is>
          <t>2035 Gal Agspray Tank</t>
        </is>
      </c>
      <c r="E109" s="12" t="n">
        <v>656</v>
      </c>
      <c r="F109" s="12" t="n">
        <v>1.33</v>
      </c>
      <c r="G109" s="13">
        <f>IF(E109=0,"",F109/E109*100)</f>
        <v/>
      </c>
      <c r="H109" s="12">
        <f>E109-F109</f>
        <v/>
      </c>
      <c r="I109" s="41" t="n">
        <v>47675</v>
      </c>
      <c r="J109" s="42" t="n">
        <v>738767.8000000002</v>
      </c>
      <c r="K109" s="43">
        <f>IF(J109=0,"",H109/J109)</f>
        <v/>
      </c>
      <c r="L109" s="10" t="inlineStr">
        <is>
          <t>Disposed</t>
        </is>
      </c>
    </row>
    <row r="110">
      <c r="A110" s="10" t="inlineStr">
        <is>
          <t>EE-INJ-004</t>
        </is>
      </c>
      <c r="B110" s="11" t="inlineStr">
        <is>
          <t>INJ ✕</t>
        </is>
      </c>
      <c r="C110" s="11" t="inlineStr">
        <is>
          <t>KS</t>
        </is>
      </c>
      <c r="D110" s="10" t="inlineStr">
        <is>
          <t>Site Work Truck</t>
        </is>
      </c>
      <c r="E110" s="12" t="n">
        <v>7183</v>
      </c>
      <c r="F110" s="12" t="n">
        <v>12.13</v>
      </c>
      <c r="G110" s="13">
        <f>IF(E110=0,"",F110/E110*100)</f>
        <v/>
      </c>
      <c r="H110" s="12">
        <f>E110-F110</f>
        <v/>
      </c>
      <c r="I110" s="41" t="n">
        <v>47675</v>
      </c>
      <c r="J110" s="42" t="n">
        <v>738767.8000000002</v>
      </c>
      <c r="K110" s="43">
        <f>IF(J110=0,"",H110/J110)</f>
        <v/>
      </c>
      <c r="L110" s="10" t="inlineStr">
        <is>
          <t>Disposed</t>
        </is>
      </c>
    </row>
    <row r="111">
      <c r="A111" s="10" t="inlineStr">
        <is>
          <t>EE-INJ-005</t>
        </is>
      </c>
      <c r="B111" s="11" t="inlineStr">
        <is>
          <t>INJ ✕</t>
        </is>
      </c>
      <c r="C111" s="11" t="inlineStr">
        <is>
          <t>KS</t>
        </is>
      </c>
      <c r="D111" s="10" t="inlineStr">
        <is>
          <t>May 2025 Aggregates</t>
        </is>
      </c>
      <c r="E111" s="12" t="n">
        <v>1136</v>
      </c>
      <c r="F111" s="12" t="n">
        <v>2.3</v>
      </c>
      <c r="G111" s="13">
        <f>IF(E111=0,"",F111/E111*100)</f>
        <v/>
      </c>
      <c r="H111" s="12">
        <f>E111-F111</f>
        <v/>
      </c>
      <c r="I111" s="41" t="n">
        <v>47675</v>
      </c>
      <c r="J111" s="42" t="n">
        <v>738767.8000000002</v>
      </c>
      <c r="K111" s="43">
        <f>IF(J111=0,"",H111/J111)</f>
        <v/>
      </c>
      <c r="L111" s="10" t="inlineStr">
        <is>
          <t>Disposed</t>
        </is>
      </c>
    </row>
    <row r="112">
      <c r="A112" s="17" t="inlineStr">
        <is>
          <t>EE-INJ-006</t>
        </is>
      </c>
      <c r="B112" s="18" t="inlineStr">
        <is>
          <t>INJ</t>
        </is>
      </c>
      <c r="C112" s="18" t="inlineStr">
        <is>
          <t>KS</t>
        </is>
      </c>
      <c r="D112" s="17" t="inlineStr">
        <is>
          <t>IBC Tote w Steel Pallet (330 Gal) October 24</t>
        </is>
      </c>
      <c r="E112" s="19" t="n">
        <v>9009</v>
      </c>
      <c r="F112" s="19" t="n">
        <v>43.91</v>
      </c>
      <c r="G112" s="20">
        <f>IF(E112=0,"",F112/E112*100)</f>
        <v/>
      </c>
      <c r="H112" s="19">
        <f>E112-F112</f>
        <v/>
      </c>
      <c r="I112" s="44" t="n">
        <v>47675</v>
      </c>
      <c r="J112" s="45" t="n">
        <v>738767.8000000002</v>
      </c>
      <c r="K112" s="46">
        <f>IF(J112=0,"",H112/J112)</f>
        <v/>
      </c>
      <c r="L112" s="17" t="inlineStr">
        <is>
          <t>Yes — on projection</t>
        </is>
      </c>
    </row>
    <row r="113">
      <c r="A113" s="17" t="inlineStr">
        <is>
          <t>EE-INJ-007</t>
        </is>
      </c>
      <c r="B113" s="18" t="inlineStr">
        <is>
          <t>INJ</t>
        </is>
      </c>
      <c r="C113" s="18" t="inlineStr">
        <is>
          <t>KS</t>
        </is>
      </c>
      <c r="D113" s="17" t="inlineStr">
        <is>
          <t>MCM Pumps - Round 1</t>
        </is>
      </c>
      <c r="E113" s="19" t="n">
        <v>7488</v>
      </c>
      <c r="F113" s="19" t="n">
        <v>36.5</v>
      </c>
      <c r="G113" s="20">
        <f>IF(E113=0,"",F113/E113*100)</f>
        <v/>
      </c>
      <c r="H113" s="19">
        <f>E113-F113</f>
        <v/>
      </c>
      <c r="I113" s="44" t="n">
        <v>47675</v>
      </c>
      <c r="J113" s="45" t="n">
        <v>738767.8000000002</v>
      </c>
      <c r="K113" s="46">
        <f>IF(J113=0,"",H113/J113)</f>
        <v/>
      </c>
      <c r="L113" s="17" t="inlineStr">
        <is>
          <t>Yes — on projection</t>
        </is>
      </c>
    </row>
    <row r="114">
      <c r="A114" s="17" t="inlineStr">
        <is>
          <t>EE-INJ-008</t>
        </is>
      </c>
      <c r="B114" s="18" t="inlineStr">
        <is>
          <t>INJ</t>
        </is>
      </c>
      <c r="C114" s="18" t="inlineStr">
        <is>
          <t>KS</t>
        </is>
      </c>
      <c r="D114" s="17" t="inlineStr">
        <is>
          <t>Storage Tank 4</t>
        </is>
      </c>
      <c r="E114" s="19" t="n">
        <v>4452</v>
      </c>
      <c r="F114" s="19" t="n">
        <v>21.7</v>
      </c>
      <c r="G114" s="20">
        <f>IF(E114=0,"",F114/E114*100)</f>
        <v/>
      </c>
      <c r="H114" s="19">
        <f>E114-F114</f>
        <v/>
      </c>
      <c r="I114" s="44" t="n">
        <v>47675</v>
      </c>
      <c r="J114" s="45" t="n">
        <v>738767.8000000002</v>
      </c>
      <c r="K114" s="46">
        <f>IF(J114=0,"",H114/J114)</f>
        <v/>
      </c>
      <c r="L114" s="17" t="inlineStr">
        <is>
          <t>Yes — on projection</t>
        </is>
      </c>
    </row>
    <row r="115">
      <c r="A115" s="17" t="inlineStr">
        <is>
          <t>EE-INJ-009</t>
        </is>
      </c>
      <c r="B115" s="18" t="inlineStr">
        <is>
          <t>INJ</t>
        </is>
      </c>
      <c r="C115" s="18" t="inlineStr">
        <is>
          <t>LA (Basco)</t>
        </is>
      </c>
      <c r="D115" s="17" t="inlineStr">
        <is>
          <t>Water Tank</t>
        </is>
      </c>
      <c r="E115" s="19" t="n">
        <v>2392.7</v>
      </c>
      <c r="F115" s="19" t="n">
        <v>11.66</v>
      </c>
      <c r="G115" s="20">
        <f>IF(E115=0,"",F115/E115*100)</f>
        <v/>
      </c>
      <c r="H115" s="19">
        <f>E115-F115</f>
        <v/>
      </c>
      <c r="I115" s="44" t="n">
        <v>47675</v>
      </c>
      <c r="J115" s="45" t="n">
        <v>738767.8000000002</v>
      </c>
      <c r="K115" s="46">
        <f>IF(J115=0,"",H115/J115)</f>
        <v/>
      </c>
      <c r="L115" s="17" t="inlineStr">
        <is>
          <t>Yes — on projection</t>
        </is>
      </c>
    </row>
    <row r="116">
      <c r="A116" s="17" t="inlineStr">
        <is>
          <t>EE-INJ-010</t>
        </is>
      </c>
      <c r="B116" s="18" t="inlineStr">
        <is>
          <t>INJ</t>
        </is>
      </c>
      <c r="C116" s="18" t="inlineStr">
        <is>
          <t>LA (Basco)</t>
        </is>
      </c>
      <c r="D116" s="17" t="inlineStr">
        <is>
          <t>Generac Generator</t>
        </is>
      </c>
      <c r="E116" s="19" t="n">
        <v>52.5</v>
      </c>
      <c r="F116" s="19" t="n">
        <v>0.26</v>
      </c>
      <c r="G116" s="20">
        <f>IF(E116=0,"",F116/E116*100)</f>
        <v/>
      </c>
      <c r="H116" s="19">
        <f>E116-F116</f>
        <v/>
      </c>
      <c r="I116" s="44" t="n">
        <v>47675</v>
      </c>
      <c r="J116" s="45" t="n">
        <v>738767.8000000002</v>
      </c>
      <c r="K116" s="46">
        <f>IF(J116=0,"",H116/J116)</f>
        <v/>
      </c>
      <c r="L116" s="17" t="inlineStr">
        <is>
          <t>Yes — on projection</t>
        </is>
      </c>
    </row>
    <row r="117">
      <c r="A117" s="17" t="inlineStr">
        <is>
          <t>EE-INJ-011</t>
        </is>
      </c>
      <c r="B117" s="18" t="inlineStr">
        <is>
          <t>INJ</t>
        </is>
      </c>
      <c r="C117" s="18" t="inlineStr">
        <is>
          <t>LA (Basco)</t>
        </is>
      </c>
      <c r="D117" s="17" t="inlineStr">
        <is>
          <t>Office Container</t>
        </is>
      </c>
      <c r="E117" s="19" t="n">
        <v>7413</v>
      </c>
      <c r="F117" s="19" t="n">
        <v>36.13</v>
      </c>
      <c r="G117" s="20">
        <f>IF(E117=0,"",F117/E117*100)</f>
        <v/>
      </c>
      <c r="H117" s="19">
        <f>E117-F117</f>
        <v/>
      </c>
      <c r="I117" s="44" t="n">
        <v>47675</v>
      </c>
      <c r="J117" s="45" t="n">
        <v>738767.8000000002</v>
      </c>
      <c r="K117" s="46">
        <f>IF(J117=0,"",H117/J117)</f>
        <v/>
      </c>
      <c r="L117" s="17" t="inlineStr">
        <is>
          <t>Yes — on projection</t>
        </is>
      </c>
    </row>
    <row r="118">
      <c r="A118" s="17" t="inlineStr">
        <is>
          <t>EE-INJ-012</t>
        </is>
      </c>
      <c r="B118" s="18" t="inlineStr">
        <is>
          <t>INJ</t>
        </is>
      </c>
      <c r="C118" s="18" t="inlineStr">
        <is>
          <t>KS</t>
        </is>
      </c>
      <c r="D118" s="17" t="inlineStr">
        <is>
          <t>IBC Tote w Steel Pallet (275 Gal) Jun 24</t>
        </is>
      </c>
      <c r="E118" s="19" t="n">
        <v>5040</v>
      </c>
      <c r="F118" s="19" t="n">
        <v>24.57</v>
      </c>
      <c r="G118" s="20">
        <f>IF(E118=0,"",F118/E118*100)</f>
        <v/>
      </c>
      <c r="H118" s="19">
        <f>E118-F118</f>
        <v/>
      </c>
      <c r="I118" s="44" t="n">
        <v>47675</v>
      </c>
      <c r="J118" s="45" t="n">
        <v>738767.8000000002</v>
      </c>
      <c r="K118" s="46">
        <f>IF(J118=0,"",H118/J118)</f>
        <v/>
      </c>
      <c r="L118" s="17" t="inlineStr">
        <is>
          <t>Yes — on projection</t>
        </is>
      </c>
    </row>
    <row r="119">
      <c r="A119" s="10" t="inlineStr">
        <is>
          <t>EE-INJ-013</t>
        </is>
      </c>
      <c r="B119" s="11" t="inlineStr">
        <is>
          <t>INJ ✕</t>
        </is>
      </c>
      <c r="C119" s="11" t="inlineStr">
        <is>
          <t>KS</t>
        </is>
      </c>
      <c r="D119" s="10" t="inlineStr">
        <is>
          <t>Storage Tank Stabilizers</t>
        </is>
      </c>
      <c r="E119" s="12" t="n">
        <v>523</v>
      </c>
      <c r="F119" s="12" t="n">
        <v>1.06</v>
      </c>
      <c r="G119" s="13">
        <f>IF(E119=0,"",F119/E119*100)</f>
        <v/>
      </c>
      <c r="H119" s="12">
        <f>E119-F119</f>
        <v/>
      </c>
      <c r="I119" s="41" t="n">
        <v>47675</v>
      </c>
      <c r="J119" s="42" t="n">
        <v>738767.8000000002</v>
      </c>
      <c r="K119" s="43">
        <f>IF(J119=0,"",H119/J119)</f>
        <v/>
      </c>
      <c r="L119" s="10" t="inlineStr">
        <is>
          <t>Disposed</t>
        </is>
      </c>
    </row>
    <row r="120">
      <c r="A120" s="17" t="inlineStr">
        <is>
          <t>EE-INJ-014</t>
        </is>
      </c>
      <c r="B120" s="18" t="inlineStr">
        <is>
          <t>INJ</t>
        </is>
      </c>
      <c r="C120" s="18" t="inlineStr">
        <is>
          <t>KS</t>
        </is>
      </c>
      <c r="D120" s="17" t="inlineStr">
        <is>
          <t>Indiana Scale Company IN7620</t>
        </is>
      </c>
      <c r="E120" s="19" t="n">
        <v>272</v>
      </c>
      <c r="F120" s="19" t="n">
        <v>1.33</v>
      </c>
      <c r="G120" s="20">
        <f>IF(E120=0,"",F120/E120*100)</f>
        <v/>
      </c>
      <c r="H120" s="19">
        <f>E120-F120</f>
        <v/>
      </c>
      <c r="I120" s="44" t="n">
        <v>47675</v>
      </c>
      <c r="J120" s="45" t="n">
        <v>738767.8000000002</v>
      </c>
      <c r="K120" s="46">
        <f>IF(J120=0,"",H120/J120)</f>
        <v/>
      </c>
      <c r="L120" s="17" t="inlineStr">
        <is>
          <t>Yes — on projection</t>
        </is>
      </c>
    </row>
    <row r="121">
      <c r="A121" s="17" t="inlineStr">
        <is>
          <t>EE-INJ-015</t>
        </is>
      </c>
      <c r="B121" s="18" t="inlineStr">
        <is>
          <t>INJ</t>
        </is>
      </c>
      <c r="C121" s="18" t="inlineStr">
        <is>
          <t>KS</t>
        </is>
      </c>
      <c r="D121" s="17" t="inlineStr">
        <is>
          <t>250 Gal Fuel Tank</t>
        </is>
      </c>
      <c r="E121" s="19" t="n">
        <v>141</v>
      </c>
      <c r="F121" s="19" t="n">
        <v>0.6899999999999999</v>
      </c>
      <c r="G121" s="20">
        <f>IF(E121=0,"",F121/E121*100)</f>
        <v/>
      </c>
      <c r="H121" s="19">
        <f>E121-F121</f>
        <v/>
      </c>
      <c r="I121" s="44" t="n">
        <v>47675</v>
      </c>
      <c r="J121" s="45" t="n">
        <v>738767.8000000002</v>
      </c>
      <c r="K121" s="46">
        <f>IF(J121=0,"",H121/J121)</f>
        <v/>
      </c>
      <c r="L121" s="17" t="inlineStr">
        <is>
          <t>Yes — on projection</t>
        </is>
      </c>
    </row>
    <row r="122">
      <c r="A122" s="17" t="inlineStr">
        <is>
          <t>EE-INJ-016</t>
        </is>
      </c>
      <c r="B122" s="18" t="inlineStr">
        <is>
          <t>INJ</t>
        </is>
      </c>
      <c r="C122" s="18" t="inlineStr">
        <is>
          <t>LA (Basco)</t>
        </is>
      </c>
      <c r="D122" s="17" t="inlineStr">
        <is>
          <t>Well Pump</t>
        </is>
      </c>
      <c r="E122" s="19" t="n">
        <v>2179.86</v>
      </c>
      <c r="F122" s="19" t="n">
        <v>10.63</v>
      </c>
      <c r="G122" s="20">
        <f>IF(E122=0,"",F122/E122*100)</f>
        <v/>
      </c>
      <c r="H122" s="19">
        <f>E122-F122</f>
        <v/>
      </c>
      <c r="I122" s="44" t="n">
        <v>47675</v>
      </c>
      <c r="J122" s="45" t="n">
        <v>738767.8000000002</v>
      </c>
      <c r="K122" s="46">
        <f>IF(J122=0,"",H122/J122)</f>
        <v/>
      </c>
      <c r="L122" s="17" t="inlineStr">
        <is>
          <t>Yes — on projection</t>
        </is>
      </c>
    </row>
    <row r="123">
      <c r="A123" s="17" t="inlineStr">
        <is>
          <t>EE-INJ-017</t>
        </is>
      </c>
      <c r="B123" s="18" t="inlineStr">
        <is>
          <t>INJ</t>
        </is>
      </c>
      <c r="C123" s="18" t="inlineStr">
        <is>
          <t>KS</t>
        </is>
      </c>
      <c r="D123" s="17" t="inlineStr">
        <is>
          <t>Tank Plumbing and Manifold System</t>
        </is>
      </c>
      <c r="E123" s="19" t="n">
        <v>1311</v>
      </c>
      <c r="F123" s="19" t="n">
        <v>6.39</v>
      </c>
      <c r="G123" s="20">
        <f>IF(E123=0,"",F123/E123*100)</f>
        <v/>
      </c>
      <c r="H123" s="19">
        <f>E123-F123</f>
        <v/>
      </c>
      <c r="I123" s="44" t="n">
        <v>47675</v>
      </c>
      <c r="J123" s="45" t="n">
        <v>738767.8000000002</v>
      </c>
      <c r="K123" s="46">
        <f>IF(J123=0,"",H123/J123)</f>
        <v/>
      </c>
      <c r="L123" s="17" t="inlineStr">
        <is>
          <t>Yes — on projection</t>
        </is>
      </c>
    </row>
    <row r="124">
      <c r="A124" s="17" t="inlineStr">
        <is>
          <t>EE-INJ-018</t>
        </is>
      </c>
      <c r="B124" s="18" t="inlineStr">
        <is>
          <t>INJ</t>
        </is>
      </c>
      <c r="C124" s="18" t="inlineStr">
        <is>
          <t>KS</t>
        </is>
      </c>
      <c r="D124" s="17" t="inlineStr">
        <is>
          <t>MCM Pumps - Round 2</t>
        </is>
      </c>
      <c r="E124" s="19" t="n">
        <v>4992</v>
      </c>
      <c r="F124" s="19" t="n">
        <v>24.33</v>
      </c>
      <c r="G124" s="20">
        <f>IF(E124=0,"",F124/E124*100)</f>
        <v/>
      </c>
      <c r="H124" s="19">
        <f>E124-F124</f>
        <v/>
      </c>
      <c r="I124" s="44" t="n">
        <v>47675</v>
      </c>
      <c r="J124" s="45" t="n">
        <v>738767.8000000002</v>
      </c>
      <c r="K124" s="46">
        <f>IF(J124=0,"",H124/J124)</f>
        <v/>
      </c>
      <c r="L124" s="17" t="inlineStr">
        <is>
          <t>Yes — on projection</t>
        </is>
      </c>
    </row>
    <row r="125">
      <c r="A125" s="17" t="inlineStr">
        <is>
          <t>EE-INJ-019</t>
        </is>
      </c>
      <c r="B125" s="18" t="inlineStr">
        <is>
          <t>INJ</t>
        </is>
      </c>
      <c r="C125" s="18" t="inlineStr">
        <is>
          <t>KS</t>
        </is>
      </c>
      <c r="D125" s="17" t="inlineStr">
        <is>
          <t>Ballymore Ladder</t>
        </is>
      </c>
      <c r="E125" s="19" t="n">
        <v>131</v>
      </c>
      <c r="F125" s="19" t="n">
        <v>0.64</v>
      </c>
      <c r="G125" s="20">
        <f>IF(E125=0,"",F125/E125*100)</f>
        <v/>
      </c>
      <c r="H125" s="19">
        <f>E125-F125</f>
        <v/>
      </c>
      <c r="I125" s="44" t="n">
        <v>47675</v>
      </c>
      <c r="J125" s="45" t="n">
        <v>738767.8000000002</v>
      </c>
      <c r="K125" s="46">
        <f>IF(J125=0,"",H125/J125)</f>
        <v/>
      </c>
      <c r="L125" s="17" t="inlineStr">
        <is>
          <t>Yes — on projection</t>
        </is>
      </c>
    </row>
    <row r="126">
      <c r="A126" s="17" t="inlineStr">
        <is>
          <t>EE-INJ-020</t>
        </is>
      </c>
      <c r="B126" s="18" t="inlineStr">
        <is>
          <t>INJ</t>
        </is>
      </c>
      <c r="C126" s="18" t="inlineStr">
        <is>
          <t>KS</t>
        </is>
      </c>
      <c r="D126" s="17" t="inlineStr">
        <is>
          <t>Hotsy Pressure Washer</t>
        </is>
      </c>
      <c r="E126" s="19" t="n">
        <v>615</v>
      </c>
      <c r="F126" s="19" t="n">
        <v>3</v>
      </c>
      <c r="G126" s="20">
        <f>IF(E126=0,"",F126/E126*100)</f>
        <v/>
      </c>
      <c r="H126" s="19">
        <f>E126-F126</f>
        <v/>
      </c>
      <c r="I126" s="44" t="n">
        <v>47675</v>
      </c>
      <c r="J126" s="45" t="n">
        <v>738767.8000000002</v>
      </c>
      <c r="K126" s="46">
        <f>IF(J126=0,"",H126/J126)</f>
        <v/>
      </c>
      <c r="L126" s="17" t="inlineStr">
        <is>
          <t>Yes — on projection</t>
        </is>
      </c>
    </row>
    <row r="127">
      <c r="A127" s="10" t="inlineStr">
        <is>
          <t>EE-INJ-021</t>
        </is>
      </c>
      <c r="B127" s="11" t="inlineStr">
        <is>
          <t>INJ ✕</t>
        </is>
      </c>
      <c r="C127" s="11" t="inlineStr">
        <is>
          <t>KS</t>
        </is>
      </c>
      <c r="D127" s="10" t="inlineStr">
        <is>
          <t>400 Gal Fuel Tank</t>
        </is>
      </c>
      <c r="E127" s="12" t="n">
        <v>226</v>
      </c>
      <c r="F127" s="12" t="n">
        <v>0.38</v>
      </c>
      <c r="G127" s="13">
        <f>IF(E127=0,"",F127/E127*100)</f>
        <v/>
      </c>
      <c r="H127" s="12">
        <f>E127-F127</f>
        <v/>
      </c>
      <c r="I127" s="41" t="n">
        <v>47675</v>
      </c>
      <c r="J127" s="42" t="n">
        <v>738767.8000000002</v>
      </c>
      <c r="K127" s="43">
        <f>IF(J127=0,"",H127/J127)</f>
        <v/>
      </c>
      <c r="L127" s="10" t="inlineStr">
        <is>
          <t>Disposed</t>
        </is>
      </c>
    </row>
    <row r="128">
      <c r="A128" s="17" t="inlineStr">
        <is>
          <t>EE-INJ-022</t>
        </is>
      </c>
      <c r="B128" s="18" t="inlineStr">
        <is>
          <t>INJ</t>
        </is>
      </c>
      <c r="C128" s="18" t="inlineStr">
        <is>
          <t>LA (Basco)</t>
        </is>
      </c>
      <c r="D128" s="17" t="inlineStr">
        <is>
          <t>Bio-Oil Tank</t>
        </is>
      </c>
      <c r="E128" s="19" t="n">
        <v>6404.72</v>
      </c>
      <c r="F128" s="19" t="n">
        <v>31.22</v>
      </c>
      <c r="G128" s="20">
        <f>IF(E128=0,"",F128/E128*100)</f>
        <v/>
      </c>
      <c r="H128" s="19">
        <f>E128-F128</f>
        <v/>
      </c>
      <c r="I128" s="44" t="n">
        <v>47675</v>
      </c>
      <c r="J128" s="45" t="n">
        <v>738767.8000000002</v>
      </c>
      <c r="K128" s="46">
        <f>IF(J128=0,"",H128/J128)</f>
        <v/>
      </c>
      <c r="L128" s="17" t="inlineStr">
        <is>
          <t>Yes — on projection</t>
        </is>
      </c>
    </row>
    <row r="129">
      <c r="A129" s="10" t="inlineStr">
        <is>
          <t>EE-INJ-023</t>
        </is>
      </c>
      <c r="B129" s="11" t="inlineStr">
        <is>
          <t>INJ ✕</t>
        </is>
      </c>
      <c r="C129" s="11" t="inlineStr">
        <is>
          <t>KS</t>
        </is>
      </c>
      <c r="D129" s="10" t="inlineStr">
        <is>
          <t>Additional Tank Stabilizers</t>
        </is>
      </c>
      <c r="E129" s="12" t="n">
        <v>279</v>
      </c>
      <c r="F129" s="12" t="n">
        <v>0.5600000000000001</v>
      </c>
      <c r="G129" s="13">
        <f>IF(E129=0,"",F129/E129*100)</f>
        <v/>
      </c>
      <c r="H129" s="12">
        <f>E129-F129</f>
        <v/>
      </c>
      <c r="I129" s="41" t="n">
        <v>47675</v>
      </c>
      <c r="J129" s="42" t="n">
        <v>738767.8000000002</v>
      </c>
      <c r="K129" s="43">
        <f>IF(J129=0,"",H129/J129)</f>
        <v/>
      </c>
      <c r="L129" s="10" t="inlineStr">
        <is>
          <t>Disposed</t>
        </is>
      </c>
    </row>
    <row r="130">
      <c r="A130" s="10" t="inlineStr">
        <is>
          <t>EE-INJ-024</t>
        </is>
      </c>
      <c r="B130" s="11" t="inlineStr">
        <is>
          <t>INJ ✕</t>
        </is>
      </c>
      <c r="C130" s="11" t="inlineStr">
        <is>
          <t>KS</t>
        </is>
      </c>
      <c r="D130" s="10" t="inlineStr">
        <is>
          <t>May 25 Concrete Pads</t>
        </is>
      </c>
      <c r="E130" s="12" t="n">
        <v>11397</v>
      </c>
      <c r="F130" s="12" t="n">
        <v>23.03</v>
      </c>
      <c r="G130" s="13">
        <f>IF(E130=0,"",F130/E130*100)</f>
        <v/>
      </c>
      <c r="H130" s="12">
        <f>E130-F130</f>
        <v/>
      </c>
      <c r="I130" s="41" t="n">
        <v>47675</v>
      </c>
      <c r="J130" s="42" t="n">
        <v>738767.8000000002</v>
      </c>
      <c r="K130" s="43">
        <f>IF(J130=0,"",H130/J130)</f>
        <v/>
      </c>
      <c r="L130" s="10" t="inlineStr">
        <is>
          <t>Disposed</t>
        </is>
      </c>
    </row>
    <row r="131">
      <c r="A131" s="10" t="inlineStr">
        <is>
          <t>EE-INJ-025</t>
        </is>
      </c>
      <c r="B131" s="11" t="inlineStr">
        <is>
          <t>INJ ✕</t>
        </is>
      </c>
      <c r="C131" s="11" t="inlineStr">
        <is>
          <t>KS</t>
        </is>
      </c>
      <c r="D131" s="10" t="inlineStr">
        <is>
          <t>Thermal Oxidizer</t>
        </is>
      </c>
      <c r="E131" s="12" t="n">
        <v>15490</v>
      </c>
      <c r="F131" s="12" t="n">
        <v>26.16</v>
      </c>
      <c r="G131" s="13">
        <f>IF(E131=0,"",F131/E131*100)</f>
        <v/>
      </c>
      <c r="H131" s="12">
        <f>E131-F131</f>
        <v/>
      </c>
      <c r="I131" s="41" t="n">
        <v>47675</v>
      </c>
      <c r="J131" s="42" t="n">
        <v>738767.8000000002</v>
      </c>
      <c r="K131" s="43">
        <f>IF(J131=0,"",H131/J131)</f>
        <v/>
      </c>
      <c r="L131" s="10" t="inlineStr">
        <is>
          <t>Disposed</t>
        </is>
      </c>
    </row>
    <row r="132">
      <c r="A132" s="17" t="inlineStr">
        <is>
          <t>EE-INJ-026</t>
        </is>
      </c>
      <c r="B132" s="18" t="inlineStr">
        <is>
          <t>INJ</t>
        </is>
      </c>
      <c r="C132" s="18" t="inlineStr">
        <is>
          <t>KS</t>
        </is>
      </c>
      <c r="D132" s="17" t="inlineStr">
        <is>
          <t>Steel Fitting and Valve Upgrades</t>
        </is>
      </c>
      <c r="E132" s="19" t="n">
        <v>7034</v>
      </c>
      <c r="F132" s="19" t="n">
        <v>34.29</v>
      </c>
      <c r="G132" s="20">
        <f>IF(E132=0,"",F132/E132*100)</f>
        <v/>
      </c>
      <c r="H132" s="19">
        <f>E132-F132</f>
        <v/>
      </c>
      <c r="I132" s="44" t="n">
        <v>47675</v>
      </c>
      <c r="J132" s="45" t="n">
        <v>738767.8000000002</v>
      </c>
      <c r="K132" s="46">
        <f>IF(J132=0,"",H132/J132)</f>
        <v/>
      </c>
      <c r="L132" s="17" t="inlineStr">
        <is>
          <t>Yes — on projection</t>
        </is>
      </c>
    </row>
    <row r="133">
      <c r="A133" s="17" t="inlineStr">
        <is>
          <t>EE-INJ-027</t>
        </is>
      </c>
      <c r="B133" s="18" t="inlineStr">
        <is>
          <t>INJ</t>
        </is>
      </c>
      <c r="C133" s="18" t="inlineStr">
        <is>
          <t>KS</t>
        </is>
      </c>
      <c r="D133" s="17" t="inlineStr">
        <is>
          <t>Sparge Tank 1</t>
        </is>
      </c>
      <c r="E133" s="19" t="n">
        <v>1068</v>
      </c>
      <c r="F133" s="19" t="n">
        <v>5.21</v>
      </c>
      <c r="G133" s="20">
        <f>IF(E133=0,"",F133/E133*100)</f>
        <v/>
      </c>
      <c r="H133" s="19">
        <f>E133-F133</f>
        <v/>
      </c>
      <c r="I133" s="44" t="n">
        <v>47675</v>
      </c>
      <c r="J133" s="45" t="n">
        <v>738767.8000000002</v>
      </c>
      <c r="K133" s="46">
        <f>IF(J133=0,"",H133/J133)</f>
        <v/>
      </c>
      <c r="L133" s="17" t="inlineStr">
        <is>
          <t>Yes — on projection</t>
        </is>
      </c>
    </row>
    <row r="134">
      <c r="A134" s="17" t="inlineStr">
        <is>
          <t>EE-INJ-028</t>
        </is>
      </c>
      <c r="B134" s="18" t="inlineStr">
        <is>
          <t>INJ</t>
        </is>
      </c>
      <c r="C134" s="18" t="inlineStr">
        <is>
          <t>KS</t>
        </is>
      </c>
      <c r="D134" s="17" t="inlineStr">
        <is>
          <t>Sliding Vane Pump</t>
        </is>
      </c>
      <c r="E134" s="19" t="n">
        <v>4536</v>
      </c>
      <c r="F134" s="19" t="n">
        <v>22.11</v>
      </c>
      <c r="G134" s="20">
        <f>IF(E134=0,"",F134/E134*100)</f>
        <v/>
      </c>
      <c r="H134" s="19">
        <f>E134-F134</f>
        <v/>
      </c>
      <c r="I134" s="44" t="n">
        <v>47675</v>
      </c>
      <c r="J134" s="45" t="n">
        <v>738767.8000000002</v>
      </c>
      <c r="K134" s="46">
        <f>IF(J134=0,"",H134/J134)</f>
        <v/>
      </c>
      <c r="L134" s="17" t="inlineStr">
        <is>
          <t>Yes — on projection</t>
        </is>
      </c>
    </row>
    <row r="135">
      <c r="A135" s="17" t="inlineStr">
        <is>
          <t>EE-INJ-029</t>
        </is>
      </c>
      <c r="B135" s="18" t="inlineStr">
        <is>
          <t>INJ</t>
        </is>
      </c>
      <c r="C135" s="18" t="inlineStr">
        <is>
          <t>KS</t>
        </is>
      </c>
      <c r="D135" s="17" t="inlineStr">
        <is>
          <t>Electrical Infrastructure Installation and Upgrades</t>
        </is>
      </c>
      <c r="E135" s="19" t="n">
        <v>41307</v>
      </c>
      <c r="F135" s="19" t="n">
        <v>201.35</v>
      </c>
      <c r="G135" s="20">
        <f>IF(E135=0,"",F135/E135*100)</f>
        <v/>
      </c>
      <c r="H135" s="19">
        <f>E135-F135</f>
        <v/>
      </c>
      <c r="I135" s="44" t="n">
        <v>47675</v>
      </c>
      <c r="J135" s="45" t="n">
        <v>738767.8000000002</v>
      </c>
      <c r="K135" s="46">
        <f>IF(J135=0,"",H135/J135)</f>
        <v/>
      </c>
      <c r="L135" s="17" t="inlineStr">
        <is>
          <t>Yes — on projection</t>
        </is>
      </c>
    </row>
    <row r="136">
      <c r="A136" s="17" t="inlineStr">
        <is>
          <t>EE-INJ-030</t>
        </is>
      </c>
      <c r="B136" s="18" t="inlineStr">
        <is>
          <t>INJ</t>
        </is>
      </c>
      <c r="C136" s="18" t="inlineStr">
        <is>
          <t>KS</t>
        </is>
      </c>
      <c r="D136" s="17" t="inlineStr">
        <is>
          <t>Tank Piping Upgrade</t>
        </is>
      </c>
      <c r="E136" s="19" t="n">
        <v>604</v>
      </c>
      <c r="F136" s="19" t="n">
        <v>2.94</v>
      </c>
      <c r="G136" s="20">
        <f>IF(E136=0,"",F136/E136*100)</f>
        <v/>
      </c>
      <c r="H136" s="19">
        <f>E136-F136</f>
        <v/>
      </c>
      <c r="I136" s="44" t="n">
        <v>47675</v>
      </c>
      <c r="J136" s="45" t="n">
        <v>738767.8000000002</v>
      </c>
      <c r="K136" s="46">
        <f>IF(J136=0,"",H136/J136)</f>
        <v/>
      </c>
      <c r="L136" s="17" t="inlineStr">
        <is>
          <t>Yes — on projection</t>
        </is>
      </c>
    </row>
    <row r="137">
      <c r="A137" s="10" t="inlineStr">
        <is>
          <t>EE-INJ-031</t>
        </is>
      </c>
      <c r="B137" s="11" t="inlineStr">
        <is>
          <t>INJ ✕</t>
        </is>
      </c>
      <c r="C137" s="11" t="inlineStr">
        <is>
          <t>KS</t>
        </is>
      </c>
      <c r="D137" s="10" t="inlineStr">
        <is>
          <t>LCS Tank 450 Gallon</t>
        </is>
      </c>
      <c r="E137" s="12" t="n">
        <v>170</v>
      </c>
      <c r="F137" s="12" t="n">
        <v>0.34</v>
      </c>
      <c r="G137" s="13">
        <f>IF(E137=0,"",F137/E137*100)</f>
        <v/>
      </c>
      <c r="H137" s="12">
        <f>E137-F137</f>
        <v/>
      </c>
      <c r="I137" s="41" t="n">
        <v>47675</v>
      </c>
      <c r="J137" s="42" t="n">
        <v>738767.8000000002</v>
      </c>
      <c r="K137" s="43">
        <f>IF(J137=0,"",H137/J137)</f>
        <v/>
      </c>
      <c r="L137" s="10" t="inlineStr">
        <is>
          <t>Disposed</t>
        </is>
      </c>
    </row>
    <row r="138">
      <c r="A138" s="10" t="inlineStr">
        <is>
          <t>EE-INJ-032</t>
        </is>
      </c>
      <c r="B138" s="11" t="inlineStr">
        <is>
          <t>INJ ✕</t>
        </is>
      </c>
      <c r="C138" s="11" t="inlineStr">
        <is>
          <t>KS</t>
        </is>
      </c>
      <c r="D138" s="10" t="inlineStr">
        <is>
          <t>Auger System</t>
        </is>
      </c>
      <c r="E138" s="12" t="n">
        <v>302</v>
      </c>
      <c r="F138" s="12" t="n">
        <v>0.61</v>
      </c>
      <c r="G138" s="13">
        <f>IF(E138=0,"",F138/E138*100)</f>
        <v/>
      </c>
      <c r="H138" s="12">
        <f>E138-F138</f>
        <v/>
      </c>
      <c r="I138" s="41" t="n">
        <v>47675</v>
      </c>
      <c r="J138" s="42" t="n">
        <v>738767.8000000002</v>
      </c>
      <c r="K138" s="43">
        <f>IF(J138=0,"",H138/J138)</f>
        <v/>
      </c>
      <c r="L138" s="10" t="inlineStr">
        <is>
          <t>Disposed</t>
        </is>
      </c>
    </row>
    <row r="139">
      <c r="A139" s="10" t="inlineStr">
        <is>
          <t>EE-INJ-033</t>
        </is>
      </c>
      <c r="B139" s="11" t="inlineStr">
        <is>
          <t>INJ ✕</t>
        </is>
      </c>
      <c r="C139" s="11" t="inlineStr">
        <is>
          <t>KS</t>
        </is>
      </c>
      <c r="D139" s="10" t="inlineStr">
        <is>
          <t>Double Wide Trailer</t>
        </is>
      </c>
      <c r="E139" s="12" t="n">
        <v>33366</v>
      </c>
      <c r="F139" s="12" t="n">
        <v>67.41</v>
      </c>
      <c r="G139" s="13">
        <f>IF(E139=0,"",F139/E139*100)</f>
        <v/>
      </c>
      <c r="H139" s="12">
        <f>E139-F139</f>
        <v/>
      </c>
      <c r="I139" s="41" t="n">
        <v>47675</v>
      </c>
      <c r="J139" s="42" t="n">
        <v>738767.8000000002</v>
      </c>
      <c r="K139" s="43">
        <f>IF(J139=0,"",H139/J139)</f>
        <v/>
      </c>
      <c r="L139" s="10" t="inlineStr">
        <is>
          <t>Disposed</t>
        </is>
      </c>
    </row>
    <row r="140">
      <c r="A140" s="17" t="inlineStr">
        <is>
          <t>EE-INJ-034</t>
        </is>
      </c>
      <c r="B140" s="18" t="inlineStr">
        <is>
          <t>INJ</t>
        </is>
      </c>
      <c r="C140" s="18" t="inlineStr">
        <is>
          <t>KS</t>
        </is>
      </c>
      <c r="D140" s="17" t="inlineStr">
        <is>
          <t>Sparging System Air Compressor</t>
        </is>
      </c>
      <c r="E140" s="19" t="n">
        <v>3970</v>
      </c>
      <c r="F140" s="19" t="n">
        <v>19.35</v>
      </c>
      <c r="G140" s="20">
        <f>IF(E140=0,"",F140/E140*100)</f>
        <v/>
      </c>
      <c r="H140" s="19">
        <f>E140-F140</f>
        <v/>
      </c>
      <c r="I140" s="44" t="n">
        <v>47675</v>
      </c>
      <c r="J140" s="45" t="n">
        <v>738767.8000000002</v>
      </c>
      <c r="K140" s="46">
        <f>IF(J140=0,"",H140/J140)</f>
        <v/>
      </c>
      <c r="L140" s="17" t="inlineStr">
        <is>
          <t>Yes — on projection</t>
        </is>
      </c>
    </row>
    <row r="141">
      <c r="A141" s="17" t="inlineStr">
        <is>
          <t>EE-INJ-035</t>
        </is>
      </c>
      <c r="B141" s="18" t="inlineStr">
        <is>
          <t>INJ</t>
        </is>
      </c>
      <c r="C141" s="18" t="inlineStr">
        <is>
          <t>LA (Basco)</t>
        </is>
      </c>
      <c r="D141" s="17" t="inlineStr">
        <is>
          <t>Well Pump Motor+VFD</t>
        </is>
      </c>
      <c r="E141" s="19" t="n">
        <v>1220.43</v>
      </c>
      <c r="F141" s="19" t="n">
        <v>5.95</v>
      </c>
      <c r="G141" s="20">
        <f>IF(E141=0,"",F141/E141*100)</f>
        <v/>
      </c>
      <c r="H141" s="19">
        <f>E141-F141</f>
        <v/>
      </c>
      <c r="I141" s="44" t="n">
        <v>47675</v>
      </c>
      <c r="J141" s="45" t="n">
        <v>738767.8000000002</v>
      </c>
      <c r="K141" s="46">
        <f>IF(J141=0,"",H141/J141)</f>
        <v/>
      </c>
      <c r="L141" s="17" t="inlineStr">
        <is>
          <t>Yes — on projection</t>
        </is>
      </c>
    </row>
    <row r="142">
      <c r="A142" s="17" t="inlineStr">
        <is>
          <t>EE-INJ-036</t>
        </is>
      </c>
      <c r="B142" s="18" t="inlineStr">
        <is>
          <t>INJ</t>
        </is>
      </c>
      <c r="C142" s="18" t="inlineStr">
        <is>
          <t>KS</t>
        </is>
      </c>
      <c r="D142" s="17" t="inlineStr">
        <is>
          <t>Shipping Container 3</t>
        </is>
      </c>
      <c r="E142" s="19" t="n">
        <v>3241</v>
      </c>
      <c r="F142" s="19" t="n">
        <v>15.8</v>
      </c>
      <c r="G142" s="20">
        <f>IF(E142=0,"",F142/E142*100)</f>
        <v/>
      </c>
      <c r="H142" s="19">
        <f>E142-F142</f>
        <v/>
      </c>
      <c r="I142" s="44" t="n">
        <v>47675</v>
      </c>
      <c r="J142" s="45" t="n">
        <v>738767.8000000002</v>
      </c>
      <c r="K142" s="46">
        <f>IF(J142=0,"",H142/J142)</f>
        <v/>
      </c>
      <c r="L142" s="17" t="inlineStr">
        <is>
          <t>Yes — on projection</t>
        </is>
      </c>
    </row>
    <row r="143">
      <c r="A143" s="17" t="inlineStr">
        <is>
          <t>EE-INJ-037</t>
        </is>
      </c>
      <c r="B143" s="18" t="inlineStr">
        <is>
          <t>INJ</t>
        </is>
      </c>
      <c r="C143" s="18" t="inlineStr">
        <is>
          <t>LA (Basco)</t>
        </is>
      </c>
      <c r="D143" s="17" t="inlineStr">
        <is>
          <t>Air Compressor</t>
        </is>
      </c>
      <c r="E143" s="19" t="n">
        <v>1930.58</v>
      </c>
      <c r="F143" s="19" t="n">
        <v>9.41</v>
      </c>
      <c r="G143" s="20">
        <f>IF(E143=0,"",F143/E143*100)</f>
        <v/>
      </c>
      <c r="H143" s="19">
        <f>E143-F143</f>
        <v/>
      </c>
      <c r="I143" s="44" t="n">
        <v>47675</v>
      </c>
      <c r="J143" s="45" t="n">
        <v>738767.8000000002</v>
      </c>
      <c r="K143" s="46">
        <f>IF(J143=0,"",H143/J143)</f>
        <v/>
      </c>
      <c r="L143" s="17" t="inlineStr">
        <is>
          <t>Yes — on projection</t>
        </is>
      </c>
    </row>
    <row r="144">
      <c r="A144" s="17" t="inlineStr">
        <is>
          <t>EE-INJ-038</t>
        </is>
      </c>
      <c r="B144" s="18" t="inlineStr">
        <is>
          <t>INJ</t>
        </is>
      </c>
      <c r="C144" s="18" t="inlineStr">
        <is>
          <t>LA (Basco)</t>
        </is>
      </c>
      <c r="D144" s="17" t="inlineStr">
        <is>
          <t>Telehandler</t>
        </is>
      </c>
      <c r="E144" s="19" t="n">
        <v>28731.3</v>
      </c>
      <c r="F144" s="19" t="n">
        <v>140.05</v>
      </c>
      <c r="G144" s="20">
        <f>IF(E144=0,"",F144/E144*100)</f>
        <v/>
      </c>
      <c r="H144" s="19">
        <f>E144-F144</f>
        <v/>
      </c>
      <c r="I144" s="44" t="n">
        <v>47675</v>
      </c>
      <c r="J144" s="45" t="n">
        <v>738767.8000000002</v>
      </c>
      <c r="K144" s="46">
        <f>IF(J144=0,"",H144/J144)</f>
        <v/>
      </c>
      <c r="L144" s="17" t="inlineStr">
        <is>
          <t>Yes — on projection</t>
        </is>
      </c>
    </row>
    <row r="145">
      <c r="A145" s="17" t="inlineStr">
        <is>
          <t>EE-INJ-039</t>
        </is>
      </c>
      <c r="B145" s="18" t="inlineStr">
        <is>
          <t>INJ</t>
        </is>
      </c>
      <c r="C145" s="18" t="inlineStr">
        <is>
          <t>LA (Basco)</t>
        </is>
      </c>
      <c r="D145" s="17" t="inlineStr">
        <is>
          <t>PIG Spill Containment Berm</t>
        </is>
      </c>
      <c r="E145" s="19" t="n">
        <v>90.81999999999999</v>
      </c>
      <c r="F145" s="19" t="n">
        <v>0.44</v>
      </c>
      <c r="G145" s="20">
        <f>IF(E145=0,"",F145/E145*100)</f>
        <v/>
      </c>
      <c r="H145" s="19">
        <f>E145-F145</f>
        <v/>
      </c>
      <c r="I145" s="44" t="n">
        <v>47675</v>
      </c>
      <c r="J145" s="45" t="n">
        <v>738767.8000000002</v>
      </c>
      <c r="K145" s="46">
        <f>IF(J145=0,"",H145/J145)</f>
        <v/>
      </c>
      <c r="L145" s="17" t="inlineStr">
        <is>
          <t>Yes — on projection</t>
        </is>
      </c>
    </row>
    <row r="146">
      <c r="A146" s="10" t="inlineStr">
        <is>
          <t>EE-INJ-040</t>
        </is>
      </c>
      <c r="B146" s="11" t="inlineStr">
        <is>
          <t>INJ ✕</t>
        </is>
      </c>
      <c r="C146" s="11" t="inlineStr">
        <is>
          <t>KS</t>
        </is>
      </c>
      <c r="D146" s="10" t="inlineStr">
        <is>
          <t>CAT 289D3</t>
        </is>
      </c>
      <c r="E146" s="12" t="n">
        <v>18920</v>
      </c>
      <c r="F146" s="12" t="n">
        <v>31.95</v>
      </c>
      <c r="G146" s="13">
        <f>IF(E146=0,"",F146/E146*100)</f>
        <v/>
      </c>
      <c r="H146" s="12">
        <f>E146-F146</f>
        <v/>
      </c>
      <c r="I146" s="41" t="n">
        <v>47675</v>
      </c>
      <c r="J146" s="42" t="n">
        <v>738767.8000000002</v>
      </c>
      <c r="K146" s="43">
        <f>IF(J146=0,"",H146/J146)</f>
        <v/>
      </c>
      <c r="L146" s="10" t="inlineStr">
        <is>
          <t>Disposed</t>
        </is>
      </c>
    </row>
    <row r="147">
      <c r="A147" s="17" t="inlineStr">
        <is>
          <t>EE-INJ-041</t>
        </is>
      </c>
      <c r="B147" s="18" t="inlineStr">
        <is>
          <t>INJ</t>
        </is>
      </c>
      <c r="C147" s="18" t="inlineStr">
        <is>
          <t>LA (Basco)</t>
        </is>
      </c>
      <c r="D147" s="17" t="inlineStr">
        <is>
          <t>Diaphragm Seal, for Pressure Transducers</t>
        </is>
      </c>
      <c r="E147" s="19" t="n">
        <v>253.4</v>
      </c>
      <c r="F147" s="19" t="n">
        <v>1.24</v>
      </c>
      <c r="G147" s="20">
        <f>IF(E147=0,"",F147/E147*100)</f>
        <v/>
      </c>
      <c r="H147" s="19">
        <f>E147-F147</f>
        <v/>
      </c>
      <c r="I147" s="44" t="n">
        <v>47675</v>
      </c>
      <c r="J147" s="45" t="n">
        <v>738767.8000000002</v>
      </c>
      <c r="K147" s="46">
        <f>IF(J147=0,"",H147/J147)</f>
        <v/>
      </c>
      <c r="L147" s="17" t="inlineStr">
        <is>
          <t>Yes — on projection</t>
        </is>
      </c>
    </row>
    <row r="148">
      <c r="A148" s="17" t="inlineStr">
        <is>
          <t>EE-INJ-042</t>
        </is>
      </c>
      <c r="B148" s="18" t="inlineStr">
        <is>
          <t>INJ</t>
        </is>
      </c>
      <c r="C148" s="18" t="inlineStr">
        <is>
          <t>LA (Basco)</t>
        </is>
      </c>
      <c r="D148" s="17" t="inlineStr">
        <is>
          <t>Frac Tank</t>
        </is>
      </c>
      <c r="E148" s="19" t="n">
        <v>8326.129999999999</v>
      </c>
      <c r="F148" s="19" t="n">
        <v>40.59</v>
      </c>
      <c r="G148" s="20">
        <f>IF(E148=0,"",F148/E148*100)</f>
        <v/>
      </c>
      <c r="H148" s="19">
        <f>E148-F148</f>
        <v/>
      </c>
      <c r="I148" s="44" t="n">
        <v>47675</v>
      </c>
      <c r="J148" s="45" t="n">
        <v>738767.8000000002</v>
      </c>
      <c r="K148" s="46">
        <f>IF(J148=0,"",H148/J148)</f>
        <v/>
      </c>
      <c r="L148" s="17" t="inlineStr">
        <is>
          <t>Yes — on projection</t>
        </is>
      </c>
    </row>
    <row r="149">
      <c r="A149" s="17" t="inlineStr">
        <is>
          <t>EE-INJ-043</t>
        </is>
      </c>
      <c r="B149" s="18" t="inlineStr">
        <is>
          <t>INJ</t>
        </is>
      </c>
      <c r="C149" s="18" t="inlineStr">
        <is>
          <t>KS</t>
        </is>
      </c>
      <c r="D149" s="17" t="inlineStr">
        <is>
          <t>Yale Forklift</t>
        </is>
      </c>
      <c r="E149" s="19" t="n">
        <v>5976</v>
      </c>
      <c r="F149" s="19" t="n">
        <v>29.13</v>
      </c>
      <c r="G149" s="20">
        <f>IF(E149=0,"",F149/E149*100)</f>
        <v/>
      </c>
      <c r="H149" s="19">
        <f>E149-F149</f>
        <v/>
      </c>
      <c r="I149" s="44" t="n">
        <v>47675</v>
      </c>
      <c r="J149" s="45" t="n">
        <v>738767.8000000002</v>
      </c>
      <c r="K149" s="46">
        <f>IF(J149=0,"",H149/J149)</f>
        <v/>
      </c>
      <c r="L149" s="17" t="inlineStr">
        <is>
          <t>Yes — on projection</t>
        </is>
      </c>
    </row>
    <row r="150">
      <c r="A150" s="17" t="inlineStr">
        <is>
          <t>EE-INJ-044</t>
        </is>
      </c>
      <c r="B150" s="18" t="inlineStr">
        <is>
          <t>INJ</t>
        </is>
      </c>
      <c r="C150" s="18" t="inlineStr">
        <is>
          <t>KS</t>
        </is>
      </c>
      <c r="D150" s="17" t="inlineStr">
        <is>
          <t>ProBox</t>
        </is>
      </c>
      <c r="E150" s="19" t="n">
        <v>148</v>
      </c>
      <c r="F150" s="19" t="n">
        <v>0.72</v>
      </c>
      <c r="G150" s="20">
        <f>IF(E150=0,"",F150/E150*100)</f>
        <v/>
      </c>
      <c r="H150" s="19">
        <f>E150-F150</f>
        <v/>
      </c>
      <c r="I150" s="44" t="n">
        <v>47675</v>
      </c>
      <c r="J150" s="45" t="n">
        <v>738767.8000000002</v>
      </c>
      <c r="K150" s="46">
        <f>IF(J150=0,"",H150/J150)</f>
        <v/>
      </c>
      <c r="L150" s="17" t="inlineStr">
        <is>
          <t>Yes — on projection</t>
        </is>
      </c>
    </row>
    <row r="151">
      <c r="A151" s="10" t="inlineStr">
        <is>
          <t>EE-INJ-045</t>
        </is>
      </c>
      <c r="B151" s="11" t="inlineStr">
        <is>
          <t>INJ ✕</t>
        </is>
      </c>
      <c r="C151" s="11" t="inlineStr">
        <is>
          <t>KS</t>
        </is>
      </c>
      <c r="D151" s="10" t="inlineStr">
        <is>
          <t>LCS Chiller</t>
        </is>
      </c>
      <c r="E151" s="12" t="n">
        <v>14160</v>
      </c>
      <c r="F151" s="12" t="n">
        <v>23.91</v>
      </c>
      <c r="G151" s="13">
        <f>IF(E151=0,"",F151/E151*100)</f>
        <v/>
      </c>
      <c r="H151" s="12">
        <f>E151-F151</f>
        <v/>
      </c>
      <c r="I151" s="41" t="n">
        <v>47675</v>
      </c>
      <c r="J151" s="42" t="n">
        <v>738767.8000000002</v>
      </c>
      <c r="K151" s="43">
        <f>IF(J151=0,"",H151/J151)</f>
        <v/>
      </c>
      <c r="L151" s="10" t="inlineStr">
        <is>
          <t>Disposed</t>
        </is>
      </c>
    </row>
    <row r="152">
      <c r="A152" s="10" t="inlineStr">
        <is>
          <t>EE-INJ-046</t>
        </is>
      </c>
      <c r="B152" s="11" t="inlineStr">
        <is>
          <t>INJ ✕</t>
        </is>
      </c>
      <c r="C152" s="11" t="inlineStr">
        <is>
          <t>KS</t>
        </is>
      </c>
      <c r="D152" s="10" t="inlineStr">
        <is>
          <t>CAT TL1055D</t>
        </is>
      </c>
      <c r="E152" s="12" t="n">
        <v>32120</v>
      </c>
      <c r="F152" s="12" t="n">
        <v>54.25</v>
      </c>
      <c r="G152" s="13">
        <f>IF(E152=0,"",F152/E152*100)</f>
        <v/>
      </c>
      <c r="H152" s="12">
        <f>E152-F152</f>
        <v/>
      </c>
      <c r="I152" s="41" t="n">
        <v>47675</v>
      </c>
      <c r="J152" s="42" t="n">
        <v>738767.8000000002</v>
      </c>
      <c r="K152" s="43">
        <f>IF(J152=0,"",H152/J152)</f>
        <v/>
      </c>
      <c r="L152" s="10" t="inlineStr">
        <is>
          <t>Disposed</t>
        </is>
      </c>
    </row>
    <row r="153">
      <c r="A153" s="17" t="inlineStr">
        <is>
          <t>EE-INJ-047</t>
        </is>
      </c>
      <c r="B153" s="18" t="inlineStr">
        <is>
          <t>INJ</t>
        </is>
      </c>
      <c r="C153" s="18" t="inlineStr">
        <is>
          <t>KS</t>
        </is>
      </c>
      <c r="D153" s="17" t="inlineStr">
        <is>
          <t>Storage Tank</t>
        </is>
      </c>
      <c r="E153" s="19" t="n">
        <v>4078</v>
      </c>
      <c r="F153" s="19" t="n">
        <v>19.88</v>
      </c>
      <c r="G153" s="20">
        <f>IF(E153=0,"",F153/E153*100)</f>
        <v/>
      </c>
      <c r="H153" s="19">
        <f>E153-F153</f>
        <v/>
      </c>
      <c r="I153" s="44" t="n">
        <v>47675</v>
      </c>
      <c r="J153" s="45" t="n">
        <v>738767.8000000002</v>
      </c>
      <c r="K153" s="46">
        <f>IF(J153=0,"",H153/J153)</f>
        <v/>
      </c>
      <c r="L153" s="17" t="inlineStr">
        <is>
          <t>Yes — on projection</t>
        </is>
      </c>
    </row>
    <row r="154">
      <c r="A154" s="10" t="inlineStr">
        <is>
          <t>EE-INJ-048</t>
        </is>
      </c>
      <c r="B154" s="11" t="inlineStr">
        <is>
          <t>INJ ✕</t>
        </is>
      </c>
      <c r="C154" s="11" t="inlineStr">
        <is>
          <t>KS</t>
        </is>
      </c>
      <c r="D154" s="10" t="inlineStr">
        <is>
          <t>Pre-Fab Shed</t>
        </is>
      </c>
      <c r="E154" s="12" t="n">
        <v>1352</v>
      </c>
      <c r="F154" s="12" t="n">
        <v>2.73</v>
      </c>
      <c r="G154" s="13">
        <f>IF(E154=0,"",F154/E154*100)</f>
        <v/>
      </c>
      <c r="H154" s="12">
        <f>E154-F154</f>
        <v/>
      </c>
      <c r="I154" s="41" t="n">
        <v>47675</v>
      </c>
      <c r="J154" s="42" t="n">
        <v>738767.8000000002</v>
      </c>
      <c r="K154" s="43">
        <f>IF(J154=0,"",H154/J154)</f>
        <v/>
      </c>
      <c r="L154" s="10" t="inlineStr">
        <is>
          <t>Disposed</t>
        </is>
      </c>
    </row>
    <row r="155">
      <c r="A155" s="17" t="inlineStr">
        <is>
          <t>EE-INJ-049</t>
        </is>
      </c>
      <c r="B155" s="18" t="inlineStr">
        <is>
          <t>INJ</t>
        </is>
      </c>
      <c r="C155" s="18" t="inlineStr">
        <is>
          <t>KS</t>
        </is>
      </c>
      <c r="D155" s="17" t="inlineStr">
        <is>
          <t>Salt-Dosing Auger Motor</t>
        </is>
      </c>
      <c r="E155" s="19" t="n">
        <v>422</v>
      </c>
      <c r="F155" s="19" t="n">
        <v>2.06</v>
      </c>
      <c r="G155" s="20">
        <f>IF(E155=0,"",F155/E155*100)</f>
        <v/>
      </c>
      <c r="H155" s="19">
        <f>E155-F155</f>
        <v/>
      </c>
      <c r="I155" s="44" t="n">
        <v>47675</v>
      </c>
      <c r="J155" s="45" t="n">
        <v>738767.8000000002</v>
      </c>
      <c r="K155" s="46">
        <f>IF(J155=0,"",H155/J155)</f>
        <v/>
      </c>
      <c r="L155" s="17" t="inlineStr">
        <is>
          <t>Yes — on projection</t>
        </is>
      </c>
    </row>
    <row r="156">
      <c r="A156" s="10" t="inlineStr">
        <is>
          <t>EE-INJ-050</t>
        </is>
      </c>
      <c r="B156" s="11" t="inlineStr">
        <is>
          <t>INJ ✕</t>
        </is>
      </c>
      <c r="C156" s="11" t="inlineStr">
        <is>
          <t>KS</t>
        </is>
      </c>
      <c r="D156" s="10" t="inlineStr">
        <is>
          <t>Re-Bar Reinforced Concrete Pad</t>
        </is>
      </c>
      <c r="E156" s="12" t="n">
        <v>7249</v>
      </c>
      <c r="F156" s="12" t="n">
        <v>14.65</v>
      </c>
      <c r="G156" s="13">
        <f>IF(E156=0,"",F156/E156*100)</f>
        <v/>
      </c>
      <c r="H156" s="12">
        <f>E156-F156</f>
        <v/>
      </c>
      <c r="I156" s="41" t="n">
        <v>47675</v>
      </c>
      <c r="J156" s="42" t="n">
        <v>738767.8000000002</v>
      </c>
      <c r="K156" s="43">
        <f>IF(J156=0,"",H156/J156)</f>
        <v/>
      </c>
      <c r="L156" s="10" t="inlineStr">
        <is>
          <t>Disposed</t>
        </is>
      </c>
    </row>
    <row r="157">
      <c r="A157" s="17" t="inlineStr">
        <is>
          <t>EE-INJ-051</t>
        </is>
      </c>
      <c r="B157" s="18" t="inlineStr">
        <is>
          <t>INJ</t>
        </is>
      </c>
      <c r="C157" s="18" t="inlineStr">
        <is>
          <t>KS</t>
        </is>
      </c>
      <c r="D157" s="17" t="inlineStr">
        <is>
          <t>IBC Tote w Steel Pallet (275 Gal) Mar/Apr 24</t>
        </is>
      </c>
      <c r="E157" s="19" t="n">
        <v>5796</v>
      </c>
      <c r="F157" s="19" t="n">
        <v>28.25</v>
      </c>
      <c r="G157" s="20">
        <f>IF(E157=0,"",F157/E157*100)</f>
        <v/>
      </c>
      <c r="H157" s="19">
        <f>E157-F157</f>
        <v/>
      </c>
      <c r="I157" s="44" t="n">
        <v>47675</v>
      </c>
      <c r="J157" s="45" t="n">
        <v>738767.8000000002</v>
      </c>
      <c r="K157" s="46">
        <f>IF(J157=0,"",H157/J157)</f>
        <v/>
      </c>
      <c r="L157" s="17" t="inlineStr">
        <is>
          <t>Yes — on projection</t>
        </is>
      </c>
    </row>
    <row r="158">
      <c r="A158" s="10" t="inlineStr">
        <is>
          <t>EE-INJ-052</t>
        </is>
      </c>
      <c r="B158" s="11" t="inlineStr">
        <is>
          <t>INJ ✕</t>
        </is>
      </c>
      <c r="C158" s="11" t="inlineStr">
        <is>
          <t>KS</t>
        </is>
      </c>
      <c r="D158" s="10" t="inlineStr">
        <is>
          <t>Electrical Infrastructure July</t>
        </is>
      </c>
      <c r="E158" s="12" t="n">
        <v>4687</v>
      </c>
      <c r="F158" s="12" t="n">
        <v>9.470000000000001</v>
      </c>
      <c r="G158" s="13">
        <f>IF(E158=0,"",F158/E158*100)</f>
        <v/>
      </c>
      <c r="H158" s="12">
        <f>E158-F158</f>
        <v/>
      </c>
      <c r="I158" s="41" t="n">
        <v>47675</v>
      </c>
      <c r="J158" s="42" t="n">
        <v>738767.8000000002</v>
      </c>
      <c r="K158" s="43">
        <f>IF(J158=0,"",H158/J158)</f>
        <v/>
      </c>
      <c r="L158" s="10" t="inlineStr">
        <is>
          <t>Disposed</t>
        </is>
      </c>
    </row>
    <row r="159">
      <c r="A159" s="17" t="inlineStr">
        <is>
          <t>EE-INJ-053</t>
        </is>
      </c>
      <c r="B159" s="18" t="inlineStr">
        <is>
          <t>INJ</t>
        </is>
      </c>
      <c r="C159" s="18" t="inlineStr">
        <is>
          <t>LA (Basco)</t>
        </is>
      </c>
      <c r="D159" s="17" t="inlineStr">
        <is>
          <t>Cables and Installation - Down-Hole System</t>
        </is>
      </c>
      <c r="E159" s="19" t="n">
        <v>188.1</v>
      </c>
      <c r="F159" s="19" t="n">
        <v>0.92</v>
      </c>
      <c r="G159" s="20">
        <f>IF(E159=0,"",F159/E159*100)</f>
        <v/>
      </c>
      <c r="H159" s="19">
        <f>E159-F159</f>
        <v/>
      </c>
      <c r="I159" s="44" t="n">
        <v>47675</v>
      </c>
      <c r="J159" s="45" t="n">
        <v>738767.8000000002</v>
      </c>
      <c r="K159" s="46">
        <f>IF(J159=0,"",H159/J159)</f>
        <v/>
      </c>
      <c r="L159" s="17" t="inlineStr">
        <is>
          <t>Yes — on projection</t>
        </is>
      </c>
    </row>
    <row r="160">
      <c r="A160" s="17" t="inlineStr">
        <is>
          <t>EE-INJ-054</t>
        </is>
      </c>
      <c r="B160" s="18" t="inlineStr">
        <is>
          <t>INJ</t>
        </is>
      </c>
      <c r="C160" s="18" t="inlineStr">
        <is>
          <t>KS</t>
        </is>
      </c>
      <c r="D160" s="17" t="inlineStr">
        <is>
          <t>Steel Dosing Tank</t>
        </is>
      </c>
      <c r="E160" s="19" t="n">
        <v>149</v>
      </c>
      <c r="F160" s="19" t="n">
        <v>0.73</v>
      </c>
      <c r="G160" s="20">
        <f>IF(E160=0,"",F160/E160*100)</f>
        <v/>
      </c>
      <c r="H160" s="19">
        <f>E160-F160</f>
        <v/>
      </c>
      <c r="I160" s="44" t="n">
        <v>47675</v>
      </c>
      <c r="J160" s="45" t="n">
        <v>738767.8000000002</v>
      </c>
      <c r="K160" s="46">
        <f>IF(J160=0,"",H160/J160)</f>
        <v/>
      </c>
      <c r="L160" s="17" t="inlineStr">
        <is>
          <t>Yes — on projection</t>
        </is>
      </c>
    </row>
    <row r="161">
      <c r="A161" s="10" t="inlineStr">
        <is>
          <t>EE-INJ-055</t>
        </is>
      </c>
      <c r="B161" s="11" t="inlineStr">
        <is>
          <t>INJ ✕</t>
        </is>
      </c>
      <c r="C161" s="11" t="inlineStr">
        <is>
          <t>KS</t>
        </is>
      </c>
      <c r="D161" s="10" t="inlineStr">
        <is>
          <t>Aggregate For Road</t>
        </is>
      </c>
      <c r="E161" s="12" t="n">
        <v>8871</v>
      </c>
      <c r="F161" s="12" t="n">
        <v>17.92</v>
      </c>
      <c r="G161" s="13">
        <f>IF(E161=0,"",F161/E161*100)</f>
        <v/>
      </c>
      <c r="H161" s="12">
        <f>E161-F161</f>
        <v/>
      </c>
      <c r="I161" s="41" t="n">
        <v>47675</v>
      </c>
      <c r="J161" s="42" t="n">
        <v>738767.8000000002</v>
      </c>
      <c r="K161" s="43">
        <f>IF(J161=0,"",H161/J161)</f>
        <v/>
      </c>
      <c r="L161" s="10" t="inlineStr">
        <is>
          <t>Disposed</t>
        </is>
      </c>
    </row>
    <row r="162">
      <c r="A162" s="10" t="inlineStr">
        <is>
          <t>EE-INJ-056</t>
        </is>
      </c>
      <c r="B162" s="11" t="inlineStr">
        <is>
          <t>INJ ✕</t>
        </is>
      </c>
      <c r="C162" s="11" t="inlineStr">
        <is>
          <t>KS</t>
        </is>
      </c>
      <c r="D162" s="10" t="inlineStr">
        <is>
          <t>Electrical Infrastructure Upgrades June</t>
        </is>
      </c>
      <c r="E162" s="12" t="n">
        <v>7650</v>
      </c>
      <c r="F162" s="12" t="n">
        <v>15.46</v>
      </c>
      <c r="G162" s="13">
        <f>IF(E162=0,"",F162/E162*100)</f>
        <v/>
      </c>
      <c r="H162" s="12">
        <f>E162-F162</f>
        <v/>
      </c>
      <c r="I162" s="41" t="n">
        <v>47675</v>
      </c>
      <c r="J162" s="42" t="n">
        <v>738767.8000000002</v>
      </c>
      <c r="K162" s="43">
        <f>IF(J162=0,"",H162/J162)</f>
        <v/>
      </c>
      <c r="L162" s="10" t="inlineStr">
        <is>
          <t>Disposed</t>
        </is>
      </c>
    </row>
    <row r="163">
      <c r="A163" s="17" t="inlineStr">
        <is>
          <t>EE-INJ-057</t>
        </is>
      </c>
      <c r="B163" s="18" t="inlineStr">
        <is>
          <t>INJ</t>
        </is>
      </c>
      <c r="C163" s="18" t="inlineStr">
        <is>
          <t>KS</t>
        </is>
      </c>
      <c r="D163" s="17" t="inlineStr">
        <is>
          <t>Storage Tank Base</t>
        </is>
      </c>
      <c r="E163" s="19" t="n">
        <v>303</v>
      </c>
      <c r="F163" s="19" t="n">
        <v>1.48</v>
      </c>
      <c r="G163" s="20">
        <f>IF(E163=0,"",F163/E163*100)</f>
        <v/>
      </c>
      <c r="H163" s="19">
        <f>E163-F163</f>
        <v/>
      </c>
      <c r="I163" s="44" t="n">
        <v>47675</v>
      </c>
      <c r="J163" s="45" t="n">
        <v>738767.8000000002</v>
      </c>
      <c r="K163" s="46">
        <f>IF(J163=0,"",H163/J163)</f>
        <v/>
      </c>
      <c r="L163" s="17" t="inlineStr">
        <is>
          <t>Yes — on projection</t>
        </is>
      </c>
    </row>
    <row r="164">
      <c r="A164" s="17" t="inlineStr">
        <is>
          <t>EE-INJ-058</t>
        </is>
      </c>
      <c r="B164" s="18" t="inlineStr">
        <is>
          <t>INJ</t>
        </is>
      </c>
      <c r="C164" s="18" t="inlineStr">
        <is>
          <t>LA (Basco)</t>
        </is>
      </c>
      <c r="D164" s="17" t="inlineStr">
        <is>
          <t>Tractor</t>
        </is>
      </c>
      <c r="E164" s="19" t="n">
        <v>2459.73</v>
      </c>
      <c r="F164" s="19" t="n">
        <v>11.99</v>
      </c>
      <c r="G164" s="20">
        <f>IF(E164=0,"",F164/E164*100)</f>
        <v/>
      </c>
      <c r="H164" s="19">
        <f>E164-F164</f>
        <v/>
      </c>
      <c r="I164" s="44" t="n">
        <v>47675</v>
      </c>
      <c r="J164" s="45" t="n">
        <v>738767.8000000002</v>
      </c>
      <c r="K164" s="46">
        <f>IF(J164=0,"",H164/J164)</f>
        <v/>
      </c>
      <c r="L164" s="17" t="inlineStr">
        <is>
          <t>Yes — on projection</t>
        </is>
      </c>
    </row>
    <row r="165">
      <c r="A165" s="17" t="inlineStr">
        <is>
          <t>EE-INJ-059</t>
        </is>
      </c>
      <c r="B165" s="18" t="inlineStr">
        <is>
          <t>INJ</t>
        </is>
      </c>
      <c r="C165" s="18" t="inlineStr">
        <is>
          <t>LA (Basco)</t>
        </is>
      </c>
      <c r="D165" s="17" t="inlineStr">
        <is>
          <t>Hawk SRO Permanent Down-Hole to Surface Monitoring System</t>
        </is>
      </c>
      <c r="E165" s="19" t="n">
        <v>60.13</v>
      </c>
      <c r="F165" s="19" t="n">
        <v>0.29</v>
      </c>
      <c r="G165" s="20">
        <f>IF(E165=0,"",F165/E165*100)</f>
        <v/>
      </c>
      <c r="H165" s="19">
        <f>E165-F165</f>
        <v/>
      </c>
      <c r="I165" s="44" t="n">
        <v>47675</v>
      </c>
      <c r="J165" s="45" t="n">
        <v>738767.8000000002</v>
      </c>
      <c r="K165" s="46">
        <f>IF(J165=0,"",H165/J165)</f>
        <v/>
      </c>
      <c r="L165" s="17" t="inlineStr">
        <is>
          <t>Yes — on projection</t>
        </is>
      </c>
    </row>
    <row r="166">
      <c r="A166" s="17" t="inlineStr">
        <is>
          <t>EE-INJ-060</t>
        </is>
      </c>
      <c r="B166" s="18" t="inlineStr">
        <is>
          <t>INJ</t>
        </is>
      </c>
      <c r="C166" s="18" t="inlineStr">
        <is>
          <t>LA (Basco)</t>
        </is>
      </c>
      <c r="D166" s="17" t="inlineStr">
        <is>
          <t>Storage Tank Containment</t>
        </is>
      </c>
      <c r="E166" s="19" t="n">
        <v>3791.44</v>
      </c>
      <c r="F166" s="19" t="n">
        <v>18.48</v>
      </c>
      <c r="G166" s="20">
        <f>IF(E166=0,"",F166/E166*100)</f>
        <v/>
      </c>
      <c r="H166" s="19">
        <f>E166-F166</f>
        <v/>
      </c>
      <c r="I166" s="44" t="n">
        <v>47675</v>
      </c>
      <c r="J166" s="45" t="n">
        <v>738767.8000000002</v>
      </c>
      <c r="K166" s="46">
        <f>IF(J166=0,"",H166/J166)</f>
        <v/>
      </c>
      <c r="L166" s="17" t="inlineStr">
        <is>
          <t>Yes — on projection</t>
        </is>
      </c>
    </row>
    <row r="167">
      <c r="A167" s="10" t="inlineStr">
        <is>
          <t>EE-INJ-061</t>
        </is>
      </c>
      <c r="B167" s="11" t="inlineStr">
        <is>
          <t>INJ ✕</t>
        </is>
      </c>
      <c r="C167" s="11" t="inlineStr">
        <is>
          <t>KS</t>
        </is>
      </c>
      <c r="D167" s="10" t="inlineStr">
        <is>
          <t>Blend Tank A</t>
        </is>
      </c>
      <c r="E167" s="12" t="n">
        <v>1068</v>
      </c>
      <c r="F167" s="12" t="n">
        <v>2.16</v>
      </c>
      <c r="G167" s="13">
        <f>IF(E167=0,"",F167/E167*100)</f>
        <v/>
      </c>
      <c r="H167" s="12">
        <f>E167-F167</f>
        <v/>
      </c>
      <c r="I167" s="41" t="n">
        <v>47675</v>
      </c>
      <c r="J167" s="42" t="n">
        <v>738767.8000000002</v>
      </c>
      <c r="K167" s="43">
        <f>IF(J167=0,"",H167/J167)</f>
        <v/>
      </c>
      <c r="L167" s="10" t="inlineStr">
        <is>
          <t>Disposed</t>
        </is>
      </c>
    </row>
    <row r="168">
      <c r="A168" s="17" t="inlineStr">
        <is>
          <t>EE-INJ-062</t>
        </is>
      </c>
      <c r="B168" s="18" t="inlineStr">
        <is>
          <t>INJ</t>
        </is>
      </c>
      <c r="C168" s="18" t="inlineStr">
        <is>
          <t>KS</t>
        </is>
      </c>
      <c r="D168" s="17" t="inlineStr">
        <is>
          <t>Blower</t>
        </is>
      </c>
      <c r="E168" s="19" t="n">
        <v>5292</v>
      </c>
      <c r="F168" s="19" t="n">
        <v>25.8</v>
      </c>
      <c r="G168" s="20">
        <f>IF(E168=0,"",F168/E168*100)</f>
        <v/>
      </c>
      <c r="H168" s="19">
        <f>E168-F168</f>
        <v/>
      </c>
      <c r="I168" s="44" t="n">
        <v>47675</v>
      </c>
      <c r="J168" s="45" t="n">
        <v>738767.8000000002</v>
      </c>
      <c r="K168" s="46">
        <f>IF(J168=0,"",H168/J168)</f>
        <v/>
      </c>
      <c r="L168" s="17" t="inlineStr">
        <is>
          <t>Yes — on projection</t>
        </is>
      </c>
    </row>
    <row r="169">
      <c r="A169" s="17" t="inlineStr">
        <is>
          <t>EE-INJ-063</t>
        </is>
      </c>
      <c r="B169" s="18" t="inlineStr">
        <is>
          <t>INJ</t>
        </is>
      </c>
      <c r="C169" s="18" t="inlineStr">
        <is>
          <t>KS</t>
        </is>
      </c>
      <c r="D169" s="17" t="inlineStr">
        <is>
          <t>IBC Tote w Steel Pallet (275 Gal) Jul 24</t>
        </is>
      </c>
      <c r="E169" s="19" t="n">
        <v>3276</v>
      </c>
      <c r="F169" s="19" t="n">
        <v>15.97</v>
      </c>
      <c r="G169" s="20">
        <f>IF(E169=0,"",F169/E169*100)</f>
        <v/>
      </c>
      <c r="H169" s="19">
        <f>E169-F169</f>
        <v/>
      </c>
      <c r="I169" s="44" t="n">
        <v>47675</v>
      </c>
      <c r="J169" s="45" t="n">
        <v>738767.8000000002</v>
      </c>
      <c r="K169" s="46">
        <f>IF(J169=0,"",H169/J169)</f>
        <v/>
      </c>
      <c r="L169" s="17" t="inlineStr">
        <is>
          <t>Yes — on projection</t>
        </is>
      </c>
    </row>
    <row r="170">
      <c r="A170" s="10" t="inlineStr">
        <is>
          <t>EE-INJ-064</t>
        </is>
      </c>
      <c r="B170" s="11" t="inlineStr">
        <is>
          <t>INJ ✕</t>
        </is>
      </c>
      <c r="C170" s="11" t="inlineStr">
        <is>
          <t>KS</t>
        </is>
      </c>
      <c r="D170" s="10" t="inlineStr">
        <is>
          <t>Fabricated Steel Hopper</t>
        </is>
      </c>
      <c r="E170" s="12" t="n">
        <v>68</v>
      </c>
      <c r="F170" s="12" t="n">
        <v>0.14</v>
      </c>
      <c r="G170" s="13">
        <f>IF(E170=0,"",F170/E170*100)</f>
        <v/>
      </c>
      <c r="H170" s="12">
        <f>E170-F170</f>
        <v/>
      </c>
      <c r="I170" s="41" t="n">
        <v>47675</v>
      </c>
      <c r="J170" s="42" t="n">
        <v>738767.8000000002</v>
      </c>
      <c r="K170" s="43">
        <f>IF(J170=0,"",H170/J170)</f>
        <v/>
      </c>
      <c r="L170" s="10" t="inlineStr">
        <is>
          <t>Disposed</t>
        </is>
      </c>
    </row>
    <row r="171">
      <c r="A171" s="17" t="inlineStr">
        <is>
          <t>EE-INJ-065</t>
        </is>
      </c>
      <c r="B171" s="18" t="inlineStr">
        <is>
          <t>INJ</t>
        </is>
      </c>
      <c r="C171" s="18" t="inlineStr">
        <is>
          <t>KS</t>
        </is>
      </c>
      <c r="D171" s="17" t="inlineStr">
        <is>
          <t>Shipping Container</t>
        </is>
      </c>
      <c r="E171" s="19" t="n">
        <v>6482</v>
      </c>
      <c r="F171" s="19" t="n">
        <v>31.6</v>
      </c>
      <c r="G171" s="20">
        <f>IF(E171=0,"",F171/E171*100)</f>
        <v/>
      </c>
      <c r="H171" s="19">
        <f>E171-F171</f>
        <v/>
      </c>
      <c r="I171" s="44" t="n">
        <v>47675</v>
      </c>
      <c r="J171" s="45" t="n">
        <v>738767.8000000002</v>
      </c>
      <c r="K171" s="46">
        <f>IF(J171=0,"",H171/J171)</f>
        <v/>
      </c>
      <c r="L171" s="17" t="inlineStr">
        <is>
          <t>Yes — on projection</t>
        </is>
      </c>
    </row>
    <row r="172">
      <c r="A172" s="17" t="inlineStr">
        <is>
          <t>EE-INJ-066</t>
        </is>
      </c>
      <c r="B172" s="18" t="inlineStr">
        <is>
          <t>INJ</t>
        </is>
      </c>
      <c r="C172" s="18" t="inlineStr">
        <is>
          <t>LA (Basco)</t>
        </is>
      </c>
      <c r="D172" s="17" t="inlineStr">
        <is>
          <t>Ultrasonic Flowmeter</t>
        </is>
      </c>
      <c r="E172" s="19" t="n">
        <v>336.2</v>
      </c>
      <c r="F172" s="19" t="n">
        <v>1.64</v>
      </c>
      <c r="G172" s="20">
        <f>IF(E172=0,"",F172/E172*100)</f>
        <v/>
      </c>
      <c r="H172" s="19">
        <f>E172-F172</f>
        <v/>
      </c>
      <c r="I172" s="44" t="n">
        <v>47675</v>
      </c>
      <c r="J172" s="45" t="n">
        <v>738767.8000000002</v>
      </c>
      <c r="K172" s="46">
        <f>IF(J172=0,"",H172/J172)</f>
        <v/>
      </c>
      <c r="L172" s="17" t="inlineStr">
        <is>
          <t>Yes — on projection</t>
        </is>
      </c>
    </row>
    <row r="173">
      <c r="A173" s="17" t="inlineStr">
        <is>
          <t>EE-INJ-067</t>
        </is>
      </c>
      <c r="B173" s="18" t="inlineStr">
        <is>
          <t>INJ</t>
        </is>
      </c>
      <c r="C173" s="18" t="inlineStr">
        <is>
          <t>LA (Basco)</t>
        </is>
      </c>
      <c r="D173" s="17" t="inlineStr">
        <is>
          <t>Centrifugal Recirc. Pump</t>
        </is>
      </c>
      <c r="E173" s="19" t="n">
        <v>975.2</v>
      </c>
      <c r="F173" s="19" t="n">
        <v>4.75</v>
      </c>
      <c r="G173" s="20">
        <f>IF(E173=0,"",F173/E173*100)</f>
        <v/>
      </c>
      <c r="H173" s="19">
        <f>E173-F173</f>
        <v/>
      </c>
      <c r="I173" s="44" t="n">
        <v>47675</v>
      </c>
      <c r="J173" s="45" t="n">
        <v>738767.8000000002</v>
      </c>
      <c r="K173" s="46">
        <f>IF(J173=0,"",H173/J173)</f>
        <v/>
      </c>
      <c r="L173" s="17" t="inlineStr">
        <is>
          <t>Yes — on projection</t>
        </is>
      </c>
    </row>
    <row r="174">
      <c r="A174" s="17" t="inlineStr">
        <is>
          <t>EE-INJ-068</t>
        </is>
      </c>
      <c r="B174" s="18" t="inlineStr">
        <is>
          <t>INJ</t>
        </is>
      </c>
      <c r="C174" s="18" t="inlineStr">
        <is>
          <t>KS</t>
        </is>
      </c>
      <c r="D174" s="17" t="inlineStr">
        <is>
          <t>Raw Material--Steel</t>
        </is>
      </c>
      <c r="E174" s="19" t="n">
        <v>10139</v>
      </c>
      <c r="F174" s="19" t="n">
        <v>49.42</v>
      </c>
      <c r="G174" s="20">
        <f>IF(E174=0,"",F174/E174*100)</f>
        <v/>
      </c>
      <c r="H174" s="19">
        <f>E174-F174</f>
        <v/>
      </c>
      <c r="I174" s="44" t="n">
        <v>47675</v>
      </c>
      <c r="J174" s="45" t="n">
        <v>738767.8000000002</v>
      </c>
      <c r="K174" s="46">
        <f>IF(J174=0,"",H174/J174)</f>
        <v/>
      </c>
      <c r="L174" s="17" t="inlineStr">
        <is>
          <t>Yes — on projection</t>
        </is>
      </c>
    </row>
    <row r="175">
      <c r="A175" s="10" t="inlineStr">
        <is>
          <t>EE-INJ-069</t>
        </is>
      </c>
      <c r="B175" s="11" t="inlineStr">
        <is>
          <t>INJ ✕</t>
        </is>
      </c>
      <c r="C175" s="11" t="inlineStr">
        <is>
          <t>KS</t>
        </is>
      </c>
      <c r="D175" s="10" t="inlineStr">
        <is>
          <t>Fuel Cube Diesel Storage Tank</t>
        </is>
      </c>
      <c r="E175" s="12" t="n">
        <v>172</v>
      </c>
      <c r="F175" s="12" t="n">
        <v>0.35</v>
      </c>
      <c r="G175" s="13">
        <f>IF(E175=0,"",F175/E175*100)</f>
        <v/>
      </c>
      <c r="H175" s="12">
        <f>E175-F175</f>
        <v/>
      </c>
      <c r="I175" s="41" t="n">
        <v>47675</v>
      </c>
      <c r="J175" s="42" t="n">
        <v>738767.8000000002</v>
      </c>
      <c r="K175" s="43">
        <f>IF(J175=0,"",H175/J175)</f>
        <v/>
      </c>
      <c r="L175" s="10" t="inlineStr">
        <is>
          <t>Disposed</t>
        </is>
      </c>
    </row>
    <row r="176">
      <c r="A176" s="10" t="inlineStr">
        <is>
          <t>EE-INJ-070</t>
        </is>
      </c>
      <c r="B176" s="11" t="inlineStr">
        <is>
          <t>INJ ✕</t>
        </is>
      </c>
      <c r="C176" s="11" t="inlineStr">
        <is>
          <t>KS</t>
        </is>
      </c>
      <c r="D176" s="10" t="inlineStr">
        <is>
          <t>Genie S-45 XC</t>
        </is>
      </c>
      <c r="E176" s="12" t="n">
        <v>24140</v>
      </c>
      <c r="F176" s="12" t="n">
        <v>40.77</v>
      </c>
      <c r="G176" s="13">
        <f>IF(E176=0,"",F176/E176*100)</f>
        <v/>
      </c>
      <c r="H176" s="12">
        <f>E176-F176</f>
        <v/>
      </c>
      <c r="I176" s="41" t="n">
        <v>47675</v>
      </c>
      <c r="J176" s="42" t="n">
        <v>738767.8000000002</v>
      </c>
      <c r="K176" s="43">
        <f>IF(J176=0,"",H176/J176)</f>
        <v/>
      </c>
      <c r="L176" s="10" t="inlineStr">
        <is>
          <t>Disposed</t>
        </is>
      </c>
    </row>
    <row r="177">
      <c r="A177" s="10" t="inlineStr">
        <is>
          <t>EE-INJ-126</t>
        </is>
      </c>
      <c r="B177" s="11" t="inlineStr">
        <is>
          <t>INJ ✕</t>
        </is>
      </c>
      <c r="C177" s="11" t="inlineStr">
        <is>
          <t>KS</t>
        </is>
      </c>
      <c r="D177" s="10" t="inlineStr">
        <is>
          <t>Storage Tank</t>
        </is>
      </c>
      <c r="E177" s="12" t="n">
        <v>4078</v>
      </c>
      <c r="F177" s="12" t="n">
        <v>8.24</v>
      </c>
      <c r="G177" s="13">
        <f>IF(E177=0,"",F177/E177*100)</f>
        <v/>
      </c>
      <c r="H177" s="12">
        <f>E177-F177</f>
        <v/>
      </c>
      <c r="I177" s="41" t="n">
        <v>47675</v>
      </c>
      <c r="J177" s="42" t="n">
        <v>738767.8000000002</v>
      </c>
      <c r="K177" s="43">
        <f>IF(J177=0,"",H177/J177)</f>
        <v/>
      </c>
      <c r="L177" s="10" t="inlineStr">
        <is>
          <t>Disposed</t>
        </is>
      </c>
    </row>
    <row r="178">
      <c r="A178" s="17" t="inlineStr">
        <is>
          <t>EE-INJ-071</t>
        </is>
      </c>
      <c r="B178" s="18" t="inlineStr">
        <is>
          <t>INJ</t>
        </is>
      </c>
      <c r="C178" s="18" t="inlineStr">
        <is>
          <t>LA (Basco)</t>
        </is>
      </c>
      <c r="D178" s="17" t="inlineStr">
        <is>
          <t>10'x10' Concrete Pad</t>
        </is>
      </c>
      <c r="E178" s="19" t="n">
        <v>4458.36</v>
      </c>
      <c r="F178" s="19" t="n">
        <v>20.77</v>
      </c>
      <c r="G178" s="20">
        <f>IF(E178=0,"",F178/E178*100)</f>
        <v/>
      </c>
      <c r="H178" s="19">
        <f>E178-F178</f>
        <v/>
      </c>
      <c r="I178" s="44" t="n">
        <v>47680</v>
      </c>
      <c r="J178" s="45" t="n">
        <v>738767.8000000002</v>
      </c>
      <c r="K178" s="46">
        <f>IF(J178=0,"",H178/J178)</f>
        <v/>
      </c>
      <c r="L178" s="17" t="inlineStr">
        <is>
          <t>Yes — on projection</t>
        </is>
      </c>
    </row>
    <row r="179">
      <c r="A179" s="17" t="inlineStr">
        <is>
          <t>EE-INJ-072</t>
        </is>
      </c>
      <c r="B179" s="18" t="inlineStr">
        <is>
          <t>INJ</t>
        </is>
      </c>
      <c r="C179" s="18" t="inlineStr">
        <is>
          <t>LA (Basco)</t>
        </is>
      </c>
      <c r="D179" s="17" t="inlineStr">
        <is>
          <t>CLECO Transformer</t>
        </is>
      </c>
      <c r="E179" s="19" t="n">
        <v>16544</v>
      </c>
      <c r="F179" s="19" t="n">
        <v>77.09</v>
      </c>
      <c r="G179" s="20">
        <f>IF(E179=0,"",F179/E179*100)</f>
        <v/>
      </c>
      <c r="H179" s="19">
        <f>E179-F179</f>
        <v/>
      </c>
      <c r="I179" s="44" t="n">
        <v>47680</v>
      </c>
      <c r="J179" s="45" t="n">
        <v>738767.8000000002</v>
      </c>
      <c r="K179" s="46">
        <f>IF(J179=0,"",H179/J179)</f>
        <v/>
      </c>
      <c r="L179" s="17" t="inlineStr">
        <is>
          <t>Yes — on projection</t>
        </is>
      </c>
    </row>
    <row r="180">
      <c r="A180" s="10" t="inlineStr">
        <is>
          <t>EE-INJ-073</t>
        </is>
      </c>
      <c r="B180" s="11" t="inlineStr">
        <is>
          <t>INJ ✕</t>
        </is>
      </c>
      <c r="C180" s="11" t="inlineStr">
        <is>
          <t>KS</t>
        </is>
      </c>
      <c r="D180" s="10" t="inlineStr">
        <is>
          <t>Electrical Infrastructure August</t>
        </is>
      </c>
      <c r="E180" s="12" t="n">
        <v>1799.79</v>
      </c>
      <c r="F180" s="12" t="n">
        <v>3.25</v>
      </c>
      <c r="G180" s="13">
        <f>IF(E180=0,"",F180/E180*100)</f>
        <v/>
      </c>
      <c r="H180" s="12">
        <f>E180-F180</f>
        <v/>
      </c>
      <c r="I180" s="41" t="n">
        <v>47680</v>
      </c>
      <c r="J180" s="42" t="n">
        <v>738767.8000000002</v>
      </c>
      <c r="K180" s="43">
        <f>IF(J180=0,"",H180/J180)</f>
        <v/>
      </c>
      <c r="L180" s="10" t="inlineStr">
        <is>
          <t>Disposed</t>
        </is>
      </c>
    </row>
    <row r="181">
      <c r="A181" s="17" t="inlineStr">
        <is>
          <t>EE-INJ-074</t>
        </is>
      </c>
      <c r="B181" s="18" t="inlineStr">
        <is>
          <t>INJ</t>
        </is>
      </c>
      <c r="C181" s="18" t="inlineStr">
        <is>
          <t>LA (Basco)</t>
        </is>
      </c>
      <c r="D181" s="17" t="inlineStr">
        <is>
          <t>500 Gallon Fuel Storage Tank</t>
        </is>
      </c>
      <c r="E181" s="19" t="n">
        <v>296.54</v>
      </c>
      <c r="F181" s="19" t="n">
        <v>1.38</v>
      </c>
      <c r="G181" s="20">
        <f>IF(E181=0,"",F181/E181*100)</f>
        <v/>
      </c>
      <c r="H181" s="19">
        <f>E181-F181</f>
        <v/>
      </c>
      <c r="I181" s="44" t="n">
        <v>47680</v>
      </c>
      <c r="J181" s="45" t="n">
        <v>738767.8000000002</v>
      </c>
      <c r="K181" s="46">
        <f>IF(J181=0,"",H181/J181)</f>
        <v/>
      </c>
      <c r="L181" s="17" t="inlineStr">
        <is>
          <t>Yes — on projection</t>
        </is>
      </c>
    </row>
    <row r="182">
      <c r="A182" s="17" t="inlineStr">
        <is>
          <t>EE-INJ-075</t>
        </is>
      </c>
      <c r="B182" s="18" t="inlineStr">
        <is>
          <t>INJ</t>
        </is>
      </c>
      <c r="C182" s="18" t="inlineStr">
        <is>
          <t>LA (Basco)</t>
        </is>
      </c>
      <c r="D182" s="17" t="inlineStr">
        <is>
          <t>Welder</t>
        </is>
      </c>
      <c r="E182" s="19" t="n">
        <v>969.4</v>
      </c>
      <c r="F182" s="19" t="n">
        <v>4.52</v>
      </c>
      <c r="G182" s="20">
        <f>IF(E182=0,"",F182/E182*100)</f>
        <v/>
      </c>
      <c r="H182" s="19">
        <f>E182-F182</f>
        <v/>
      </c>
      <c r="I182" s="44" t="n">
        <v>47680</v>
      </c>
      <c r="J182" s="45" t="n">
        <v>738767.8000000002</v>
      </c>
      <c r="K182" s="46">
        <f>IF(J182=0,"",H182/J182)</f>
        <v/>
      </c>
      <c r="L182" s="17" t="inlineStr">
        <is>
          <t>Yes — on projection</t>
        </is>
      </c>
    </row>
    <row r="183">
      <c r="A183" s="17" t="inlineStr">
        <is>
          <t>EE-INJ-076</t>
        </is>
      </c>
      <c r="B183" s="18" t="inlineStr">
        <is>
          <t>INJ</t>
        </is>
      </c>
      <c r="C183" s="18" t="inlineStr">
        <is>
          <t>LA (Basco)</t>
        </is>
      </c>
      <c r="D183" s="17" t="inlineStr">
        <is>
          <t>Pressure Washer</t>
        </is>
      </c>
      <c r="E183" s="19" t="n">
        <v>55.3</v>
      </c>
      <c r="F183" s="19" t="n">
        <v>0.26</v>
      </c>
      <c r="G183" s="20">
        <f>IF(E183=0,"",F183/E183*100)</f>
        <v/>
      </c>
      <c r="H183" s="19">
        <f>E183-F183</f>
        <v/>
      </c>
      <c r="I183" s="44" t="n">
        <v>47680</v>
      </c>
      <c r="J183" s="45" t="n">
        <v>738767.8000000002</v>
      </c>
      <c r="K183" s="46">
        <f>IF(J183=0,"",H183/J183)</f>
        <v/>
      </c>
      <c r="L183" s="17" t="inlineStr">
        <is>
          <t>Yes — on projection</t>
        </is>
      </c>
    </row>
    <row r="184">
      <c r="A184" s="17" t="inlineStr">
        <is>
          <t>EE-INJ-077</t>
        </is>
      </c>
      <c r="B184" s="18" t="inlineStr">
        <is>
          <t>INJ</t>
        </is>
      </c>
      <c r="C184" s="18" t="inlineStr">
        <is>
          <t>LA (Basco)</t>
        </is>
      </c>
      <c r="D184" s="17" t="inlineStr">
        <is>
          <t>PLC Enclosure</t>
        </is>
      </c>
      <c r="E184" s="19" t="n">
        <v>208.79</v>
      </c>
      <c r="F184" s="19" t="n">
        <v>0.97</v>
      </c>
      <c r="G184" s="20">
        <f>IF(E184=0,"",F184/E184*100)</f>
        <v/>
      </c>
      <c r="H184" s="19">
        <f>E184-F184</f>
        <v/>
      </c>
      <c r="I184" s="44" t="n">
        <v>47680</v>
      </c>
      <c r="J184" s="45" t="n">
        <v>738767.8000000002</v>
      </c>
      <c r="K184" s="46">
        <f>IF(J184=0,"",H184/J184)</f>
        <v/>
      </c>
      <c r="L184" s="17" t="inlineStr">
        <is>
          <t>Yes — on projection</t>
        </is>
      </c>
    </row>
    <row r="185">
      <c r="A185" s="17" t="inlineStr">
        <is>
          <t>EE-INJ-078</t>
        </is>
      </c>
      <c r="B185" s="18" t="inlineStr">
        <is>
          <t>INJ</t>
        </is>
      </c>
      <c r="C185" s="18" t="inlineStr">
        <is>
          <t>LA (Basco)</t>
        </is>
      </c>
      <c r="D185" s="17" t="inlineStr">
        <is>
          <t>Slickline Trailer</t>
        </is>
      </c>
      <c r="E185" s="19" t="n">
        <v>1875</v>
      </c>
      <c r="F185" s="19" t="n">
        <v>8.74</v>
      </c>
      <c r="G185" s="20">
        <f>IF(E185=0,"",F185/E185*100)</f>
        <v/>
      </c>
      <c r="H185" s="19">
        <f>E185-F185</f>
        <v/>
      </c>
      <c r="I185" s="44" t="n">
        <v>47680</v>
      </c>
      <c r="J185" s="45" t="n">
        <v>738767.8000000002</v>
      </c>
      <c r="K185" s="46">
        <f>IF(J185=0,"",H185/J185)</f>
        <v/>
      </c>
      <c r="L185" s="17" t="inlineStr">
        <is>
          <t>Yes — on projection</t>
        </is>
      </c>
    </row>
    <row r="186">
      <c r="A186" s="17" t="inlineStr">
        <is>
          <t>EE-INJ-079</t>
        </is>
      </c>
      <c r="B186" s="18" t="inlineStr">
        <is>
          <t>INJ</t>
        </is>
      </c>
      <c r="C186" s="18" t="inlineStr">
        <is>
          <t>LA (Basco)</t>
        </is>
      </c>
      <c r="D186" s="17" t="inlineStr">
        <is>
          <t>Air Compressor Tanks</t>
        </is>
      </c>
      <c r="E186" s="19" t="n">
        <v>500.2</v>
      </c>
      <c r="F186" s="19" t="n">
        <v>2.33</v>
      </c>
      <c r="G186" s="20">
        <f>IF(E186=0,"",F186/E186*100)</f>
        <v/>
      </c>
      <c r="H186" s="19">
        <f>E186-F186</f>
        <v/>
      </c>
      <c r="I186" s="44" t="n">
        <v>47680</v>
      </c>
      <c r="J186" s="45" t="n">
        <v>738767.8000000002</v>
      </c>
      <c r="K186" s="46">
        <f>IF(J186=0,"",H186/J186)</f>
        <v/>
      </c>
      <c r="L186" s="17" t="inlineStr">
        <is>
          <t>Yes — on projection</t>
        </is>
      </c>
    </row>
    <row r="187">
      <c r="A187" s="17" t="inlineStr">
        <is>
          <t>EE-INJ-080</t>
        </is>
      </c>
      <c r="B187" s="18" t="inlineStr">
        <is>
          <t>INJ</t>
        </is>
      </c>
      <c r="C187" s="18" t="inlineStr">
        <is>
          <t>LA (Basco)</t>
        </is>
      </c>
      <c r="D187" s="17" t="inlineStr">
        <is>
          <t>PLC AC</t>
        </is>
      </c>
      <c r="E187" s="19" t="n">
        <v>2549.7</v>
      </c>
      <c r="F187" s="19" t="n">
        <v>11.88</v>
      </c>
      <c r="G187" s="20">
        <f>IF(E187=0,"",F187/E187*100)</f>
        <v/>
      </c>
      <c r="H187" s="19">
        <f>E187-F187</f>
        <v/>
      </c>
      <c r="I187" s="44" t="n">
        <v>47680</v>
      </c>
      <c r="J187" s="45" t="n">
        <v>738767.8000000002</v>
      </c>
      <c r="K187" s="46">
        <f>IF(J187=0,"",H187/J187)</f>
        <v/>
      </c>
      <c r="L187" s="17" t="inlineStr">
        <is>
          <t>Yes — on projection</t>
        </is>
      </c>
    </row>
    <row r="188">
      <c r="A188" s="17" t="inlineStr">
        <is>
          <t>EE-INJ-081</t>
        </is>
      </c>
      <c r="B188" s="18" t="inlineStr">
        <is>
          <t>INJ</t>
        </is>
      </c>
      <c r="C188" s="18" t="inlineStr">
        <is>
          <t>LA (Basco)</t>
        </is>
      </c>
      <c r="D188" s="17" t="inlineStr">
        <is>
          <t>Air Compressor</t>
        </is>
      </c>
      <c r="E188" s="19" t="n">
        <v>930.1</v>
      </c>
      <c r="F188" s="19" t="n">
        <v>4.33</v>
      </c>
      <c r="G188" s="20">
        <f>IF(E188=0,"",F188/E188*100)</f>
        <v/>
      </c>
      <c r="H188" s="19">
        <f>E188-F188</f>
        <v/>
      </c>
      <c r="I188" s="44" t="n">
        <v>47680</v>
      </c>
      <c r="J188" s="45" t="n">
        <v>738767.8000000002</v>
      </c>
      <c r="K188" s="46">
        <f>IF(J188=0,"",H188/J188)</f>
        <v/>
      </c>
      <c r="L188" s="17" t="inlineStr">
        <is>
          <t>Yes — on projection</t>
        </is>
      </c>
    </row>
    <row r="189">
      <c r="A189" s="17" t="inlineStr">
        <is>
          <t>EE-INJ-082</t>
        </is>
      </c>
      <c r="B189" s="18" t="inlineStr">
        <is>
          <t>INJ</t>
        </is>
      </c>
      <c r="C189" s="18" t="inlineStr">
        <is>
          <t>LA (Basco)</t>
        </is>
      </c>
      <c r="D189" s="17" t="inlineStr">
        <is>
          <t>Triplex Pump</t>
        </is>
      </c>
      <c r="E189" s="19" t="n">
        <v>7500.6</v>
      </c>
      <c r="F189" s="19" t="n">
        <v>34.95</v>
      </c>
      <c r="G189" s="20">
        <f>IF(E189=0,"",F189/E189*100)</f>
        <v/>
      </c>
      <c r="H189" s="19">
        <f>E189-F189</f>
        <v/>
      </c>
      <c r="I189" s="44" t="n">
        <v>47680</v>
      </c>
      <c r="J189" s="45" t="n">
        <v>738767.8000000002</v>
      </c>
      <c r="K189" s="46">
        <f>IF(J189=0,"",H189/J189)</f>
        <v/>
      </c>
      <c r="L189" s="17" t="inlineStr">
        <is>
          <t>Yes — on projection</t>
        </is>
      </c>
    </row>
    <row r="190">
      <c r="A190" s="3" t="inlineStr">
        <is>
          <t>EE-CO-107</t>
        </is>
      </c>
      <c r="B190" s="4" t="inlineStr">
        <is>
          <t>CO</t>
        </is>
      </c>
      <c r="C190" s="4" t="inlineStr">
        <is>
          <t>Charm CO</t>
        </is>
      </c>
      <c r="D190" s="3" t="inlineStr">
        <is>
          <t>FBIC Supersack</t>
        </is>
      </c>
      <c r="E190" s="5" t="n">
        <v>1232</v>
      </c>
      <c r="F190" s="5" t="n">
        <v>31.08</v>
      </c>
      <c r="G190" s="6">
        <f>IF(E190=0,"",F190/E190*100)</f>
        <v/>
      </c>
      <c r="H190" s="5">
        <f>E190-F190</f>
        <v/>
      </c>
      <c r="I190" s="38" t="n">
        <v>47696</v>
      </c>
      <c r="J190" s="39" t="n">
        <v>773509.6000000002</v>
      </c>
      <c r="K190" s="40">
        <f>IF(J190=0,"",H190/J190)</f>
        <v/>
      </c>
      <c r="L190" s="3" t="inlineStr">
        <is>
          <t>Yes — on projection</t>
        </is>
      </c>
    </row>
    <row r="191">
      <c r="A191" s="10" t="inlineStr">
        <is>
          <t>EE-INJ-083</t>
        </is>
      </c>
      <c r="B191" s="11" t="inlineStr">
        <is>
          <t>INJ ✕</t>
        </is>
      </c>
      <c r="C191" s="11" t="inlineStr">
        <is>
          <t>KS</t>
        </is>
      </c>
      <c r="D191" s="10" t="inlineStr">
        <is>
          <t>Aggregate For Road</t>
        </is>
      </c>
      <c r="E191" s="12" t="n">
        <v>2103.51</v>
      </c>
      <c r="F191" s="12" t="n">
        <v>2.89</v>
      </c>
      <c r="G191" s="13">
        <f>IF(E191=0,"",F191/E191*100)</f>
        <v/>
      </c>
      <c r="H191" s="12">
        <f>E191-F191</f>
        <v/>
      </c>
      <c r="I191" s="41" t="n">
        <v>47704</v>
      </c>
      <c r="J191" s="42" t="n">
        <v>773509.6000000002</v>
      </c>
      <c r="K191" s="43">
        <f>IF(J191=0,"",H191/J191)</f>
        <v/>
      </c>
      <c r="L191" s="10" t="inlineStr">
        <is>
          <t>Disposed</t>
        </is>
      </c>
    </row>
    <row r="192">
      <c r="A192" s="3" t="inlineStr">
        <is>
          <t>EE-CO-106</t>
        </is>
      </c>
      <c r="B192" s="4" t="inlineStr">
        <is>
          <t>CO</t>
        </is>
      </c>
      <c r="C192" s="4" t="inlineStr">
        <is>
          <t>Charm CO</t>
        </is>
      </c>
      <c r="D192" s="3" t="inlineStr">
        <is>
          <t>3/4" Aggregate</t>
        </is>
      </c>
      <c r="E192" s="5" t="n">
        <v>709.15</v>
      </c>
      <c r="F192" s="5" t="n">
        <v>17.89</v>
      </c>
      <c r="G192" s="6">
        <f>IF(E192=0,"",F192/E192*100)</f>
        <v/>
      </c>
      <c r="H192" s="5">
        <f>E192-F192</f>
        <v/>
      </c>
      <c r="I192" s="38" t="n">
        <v>47720</v>
      </c>
      <c r="J192" s="39" t="n">
        <v>773509.6000000002</v>
      </c>
      <c r="K192" s="40">
        <f>IF(J192=0,"",H192/J192)</f>
        <v/>
      </c>
      <c r="L192" s="3" t="inlineStr">
        <is>
          <t>Yes — on projection</t>
        </is>
      </c>
    </row>
    <row r="193">
      <c r="A193" s="3" t="inlineStr">
        <is>
          <t>EE-CO-108</t>
        </is>
      </c>
      <c r="B193" s="4" t="inlineStr">
        <is>
          <t>CO</t>
        </is>
      </c>
      <c r="C193" s="4" t="inlineStr">
        <is>
          <t>Charm CO</t>
        </is>
      </c>
      <c r="D193" s="3" t="inlineStr">
        <is>
          <t>3/4" Aggregate</t>
        </is>
      </c>
      <c r="E193" s="5" t="n">
        <v>357.76</v>
      </c>
      <c r="F193" s="5" t="n">
        <v>7.38</v>
      </c>
      <c r="G193" s="6">
        <f>IF(E193=0,"",F193/E193*100)</f>
        <v/>
      </c>
      <c r="H193" s="5">
        <f>E193-F193</f>
        <v/>
      </c>
      <c r="I193" s="38" t="n">
        <v>47727</v>
      </c>
      <c r="J193" s="39" t="n">
        <v>808251.4000000003</v>
      </c>
      <c r="K193" s="40">
        <f>IF(J193=0,"",H193/J193)</f>
        <v/>
      </c>
      <c r="L193" s="3" t="inlineStr">
        <is>
          <t>Yes — on projection</t>
        </is>
      </c>
    </row>
    <row r="194">
      <c r="A194" s="3" t="inlineStr">
        <is>
          <t>EE-CO-109</t>
        </is>
      </c>
      <c r="B194" s="4" t="inlineStr">
        <is>
          <t>CO</t>
        </is>
      </c>
      <c r="C194" s="4" t="inlineStr">
        <is>
          <t>Charm CO</t>
        </is>
      </c>
      <c r="D194" s="3" t="inlineStr">
        <is>
          <t>Air Compressor</t>
        </is>
      </c>
      <c r="E194" s="5" t="n">
        <v>808.8</v>
      </c>
      <c r="F194" s="5" t="n">
        <v>16.68</v>
      </c>
      <c r="G194" s="6">
        <f>IF(E194=0,"",F194/E194*100)</f>
        <v/>
      </c>
      <c r="H194" s="5">
        <f>E194-F194</f>
        <v/>
      </c>
      <c r="I194" s="38" t="n">
        <v>47727</v>
      </c>
      <c r="J194" s="39" t="n">
        <v>808251.4000000003</v>
      </c>
      <c r="K194" s="40">
        <f>IF(J194=0,"",H194/J194)</f>
        <v/>
      </c>
      <c r="L194" s="3" t="inlineStr">
        <is>
          <t>Yes — on projection</t>
        </is>
      </c>
    </row>
    <row r="195">
      <c r="A195" s="3" t="inlineStr">
        <is>
          <t>EE-CO-110</t>
        </is>
      </c>
      <c r="B195" s="4" t="inlineStr">
        <is>
          <t>CO</t>
        </is>
      </c>
      <c r="C195" s="4" t="inlineStr">
        <is>
          <t>Charm CO</t>
        </is>
      </c>
      <c r="D195" s="3" t="inlineStr">
        <is>
          <t>FBIC Supersack</t>
        </is>
      </c>
      <c r="E195" s="5" t="n">
        <v>1232</v>
      </c>
      <c r="F195" s="5" t="n">
        <v>25.41</v>
      </c>
      <c r="G195" s="6">
        <f>IF(E195=0,"",F195/E195*100)</f>
        <v/>
      </c>
      <c r="H195" s="5">
        <f>E195-F195</f>
        <v/>
      </c>
      <c r="I195" s="38" t="n">
        <v>47727</v>
      </c>
      <c r="J195" s="39" t="n">
        <v>808251.4000000003</v>
      </c>
      <c r="K195" s="40">
        <f>IF(J195=0,"",H195/J195)</f>
        <v/>
      </c>
      <c r="L195" s="3" t="inlineStr">
        <is>
          <t>Yes — on projection</t>
        </is>
      </c>
    </row>
    <row r="196">
      <c r="A196" s="3" t="inlineStr">
        <is>
          <t>EE-CO-111</t>
        </is>
      </c>
      <c r="B196" s="4" t="inlineStr">
        <is>
          <t>CO</t>
        </is>
      </c>
      <c r="C196" s="4" t="inlineStr">
        <is>
          <t>Charm CO</t>
        </is>
      </c>
      <c r="D196" s="3" t="inlineStr">
        <is>
          <t>Unicarriers Fork Lift</t>
        </is>
      </c>
      <c r="E196" s="5" t="n">
        <v>15376.2</v>
      </c>
      <c r="F196" s="5" t="n">
        <v>317.13</v>
      </c>
      <c r="G196" s="6">
        <f>IF(E196=0,"",F196/E196*100)</f>
        <v/>
      </c>
      <c r="H196" s="5">
        <f>E196-F196</f>
        <v/>
      </c>
      <c r="I196" s="38" t="n">
        <v>47727</v>
      </c>
      <c r="J196" s="39" t="n">
        <v>808251.4000000003</v>
      </c>
      <c r="K196" s="40">
        <f>IF(J196=0,"",H196/J196)</f>
        <v/>
      </c>
      <c r="L196" s="3" t="inlineStr">
        <is>
          <t>Yes — on projection</t>
        </is>
      </c>
    </row>
    <row r="197">
      <c r="A197" s="3" t="inlineStr">
        <is>
          <t>EE-CO-112</t>
        </is>
      </c>
      <c r="B197" s="4" t="inlineStr">
        <is>
          <t>CO</t>
        </is>
      </c>
      <c r="C197" s="4" t="inlineStr">
        <is>
          <t>Charm CO</t>
        </is>
      </c>
      <c r="D197" s="3" t="inlineStr">
        <is>
          <t>55 Gal Drum</t>
        </is>
      </c>
      <c r="E197" s="5" t="n">
        <v>1175.4</v>
      </c>
      <c r="F197" s="5" t="n">
        <v>24.24</v>
      </c>
      <c r="G197" s="6">
        <f>IF(E197=0,"",F197/E197*100)</f>
        <v/>
      </c>
      <c r="H197" s="5">
        <f>E197-F197</f>
        <v/>
      </c>
      <c r="I197" s="38" t="n">
        <v>47727</v>
      </c>
      <c r="J197" s="39" t="n">
        <v>808251.4000000003</v>
      </c>
      <c r="K197" s="40">
        <f>IF(J197=0,"",H197/J197)</f>
        <v/>
      </c>
      <c r="L197" s="3" t="inlineStr">
        <is>
          <t>Yes — on projection</t>
        </is>
      </c>
    </row>
    <row r="198">
      <c r="A198" s="17" t="inlineStr">
        <is>
          <t>EE-INJ-085</t>
        </is>
      </c>
      <c r="B198" s="18" t="inlineStr">
        <is>
          <t>INJ</t>
        </is>
      </c>
      <c r="C198" s="18" t="inlineStr">
        <is>
          <t>LA (Basco)</t>
        </is>
      </c>
      <c r="D198" s="17" t="inlineStr">
        <is>
          <t>October 2025 Sitework</t>
        </is>
      </c>
      <c r="E198" s="19" t="n">
        <v>37887.76</v>
      </c>
      <c r="F198" s="19" t="n">
        <v>132.69</v>
      </c>
      <c r="G198" s="20">
        <f>IF(E198=0,"",F198/E198*100)</f>
        <v/>
      </c>
      <c r="H198" s="19">
        <f>E198-F198</f>
        <v/>
      </c>
      <c r="I198" s="44" t="n">
        <v>47727</v>
      </c>
      <c r="J198" s="45" t="n">
        <v>808251.4000000003</v>
      </c>
      <c r="K198" s="46">
        <f>IF(J198=0,"",H198/J198)</f>
        <v/>
      </c>
      <c r="L198" s="17" t="inlineStr">
        <is>
          <t>Yes — on projection</t>
        </is>
      </c>
    </row>
    <row r="199">
      <c r="A199" s="17" t="inlineStr">
        <is>
          <t>EE-INJ-086</t>
        </is>
      </c>
      <c r="B199" s="18" t="inlineStr">
        <is>
          <t>INJ</t>
        </is>
      </c>
      <c r="C199" s="18" t="inlineStr">
        <is>
          <t>LA (Basco)</t>
        </is>
      </c>
      <c r="D199" s="17" t="inlineStr">
        <is>
          <t>Triplex Pump</t>
        </is>
      </c>
      <c r="E199" s="19" t="n">
        <v>7500.6</v>
      </c>
      <c r="F199" s="19" t="n">
        <v>26.27</v>
      </c>
      <c r="G199" s="20">
        <f>IF(E199=0,"",F199/E199*100)</f>
        <v/>
      </c>
      <c r="H199" s="19">
        <f>E199-F199</f>
        <v/>
      </c>
      <c r="I199" s="44" t="n">
        <v>47727</v>
      </c>
      <c r="J199" s="45" t="n">
        <v>808251.4000000003</v>
      </c>
      <c r="K199" s="46">
        <f>IF(J199=0,"",H199/J199)</f>
        <v/>
      </c>
      <c r="L199" s="17" t="inlineStr">
        <is>
          <t>Yes — on projection</t>
        </is>
      </c>
    </row>
    <row r="200">
      <c r="A200" s="17" t="inlineStr">
        <is>
          <t>EE-INJ-100</t>
        </is>
      </c>
      <c r="B200" s="18" t="inlineStr">
        <is>
          <t>INJ</t>
        </is>
      </c>
      <c r="C200" s="18" t="inlineStr">
        <is>
          <t>LA (Basco)</t>
        </is>
      </c>
      <c r="D200" s="17" t="inlineStr">
        <is>
          <t>Initial Louisiana Sitework</t>
        </is>
      </c>
      <c r="E200" s="19" t="n">
        <v>23009.02</v>
      </c>
      <c r="F200" s="19" t="n">
        <v>80.58</v>
      </c>
      <c r="G200" s="20">
        <f>IF(E200=0,"",F200/E200*100)</f>
        <v/>
      </c>
      <c r="H200" s="19">
        <f>E200-F200</f>
        <v/>
      </c>
      <c r="I200" s="44" t="n">
        <v>47727</v>
      </c>
      <c r="J200" s="45" t="n">
        <v>808251.4000000003</v>
      </c>
      <c r="K200" s="46">
        <f>IF(J200=0,"",H200/J200)</f>
        <v/>
      </c>
      <c r="L200" s="17" t="inlineStr">
        <is>
          <t>Yes — on projection</t>
        </is>
      </c>
    </row>
    <row r="201">
      <c r="A201" s="3" t="inlineStr">
        <is>
          <t>EE-CO-113</t>
        </is>
      </c>
      <c r="B201" s="4" t="inlineStr">
        <is>
          <t>CO</t>
        </is>
      </c>
      <c r="C201" s="4" t="inlineStr">
        <is>
          <t>Charm CO</t>
        </is>
      </c>
      <c r="D201" s="3" t="inlineStr">
        <is>
          <t>FBIC Supersack</t>
        </is>
      </c>
      <c r="E201" s="5" t="n">
        <v>308</v>
      </c>
      <c r="F201" s="5" t="n">
        <v>5.31</v>
      </c>
      <c r="G201" s="6">
        <f>IF(E201=0,"",F201/E201*100)</f>
        <v/>
      </c>
      <c r="H201" s="5">
        <f>E201-F201</f>
        <v/>
      </c>
      <c r="I201" s="38" t="n">
        <v>47757</v>
      </c>
      <c r="J201" s="39" t="n">
        <v>842993.2000000003</v>
      </c>
      <c r="K201" s="40">
        <f>IF(J201=0,"",H201/J201)</f>
        <v/>
      </c>
      <c r="L201" s="3" t="inlineStr">
        <is>
          <t>Yes — on projection</t>
        </is>
      </c>
    </row>
    <row r="202">
      <c r="A202" s="3" t="inlineStr">
        <is>
          <t>EE-CO-114</t>
        </is>
      </c>
      <c r="B202" s="4" t="inlineStr">
        <is>
          <t>CO</t>
        </is>
      </c>
      <c r="C202" s="4" t="inlineStr">
        <is>
          <t>Charm CO</t>
        </is>
      </c>
      <c r="D202" s="3" t="inlineStr">
        <is>
          <t>55 Gal Drum</t>
        </is>
      </c>
      <c r="E202" s="5" t="n">
        <v>1776.16</v>
      </c>
      <c r="F202" s="5" t="n">
        <v>30.63</v>
      </c>
      <c r="G202" s="6">
        <f>IF(E202=0,"",F202/E202*100)</f>
        <v/>
      </c>
      <c r="H202" s="5">
        <f>E202-F202</f>
        <v/>
      </c>
      <c r="I202" s="38" t="n">
        <v>47757</v>
      </c>
      <c r="J202" s="39" t="n">
        <v>842993.2000000003</v>
      </c>
      <c r="K202" s="40">
        <f>IF(J202=0,"",H202/J202)</f>
        <v/>
      </c>
      <c r="L202" s="3" t="inlineStr">
        <is>
          <t>Yes — on projection</t>
        </is>
      </c>
    </row>
    <row r="203">
      <c r="A203" s="17" t="inlineStr">
        <is>
          <t>EE-INJ-087</t>
        </is>
      </c>
      <c r="B203" s="18" t="inlineStr">
        <is>
          <t>INJ</t>
        </is>
      </c>
      <c r="C203" s="18" t="inlineStr">
        <is>
          <t>LA (Basco)</t>
        </is>
      </c>
      <c r="D203" s="17" t="inlineStr">
        <is>
          <t>PD Blowers</t>
        </is>
      </c>
      <c r="E203" s="19" t="n">
        <v>15874.56</v>
      </c>
      <c r="F203" s="19" t="n">
        <v>42.73</v>
      </c>
      <c r="G203" s="20">
        <f>IF(E203=0,"",F203/E203*100)</f>
        <v/>
      </c>
      <c r="H203" s="19">
        <f>E203-F203</f>
        <v/>
      </c>
      <c r="I203" s="44" t="n">
        <v>47763</v>
      </c>
      <c r="J203" s="45" t="n">
        <v>842993.2000000003</v>
      </c>
      <c r="K203" s="46">
        <f>IF(J203=0,"",H203/J203)</f>
        <v/>
      </c>
      <c r="L203" s="17" t="inlineStr">
        <is>
          <t>Yes — on projection</t>
        </is>
      </c>
    </row>
    <row r="204">
      <c r="A204" s="17" t="inlineStr">
        <is>
          <t>EE-INJ-088</t>
        </is>
      </c>
      <c r="B204" s="18" t="inlineStr">
        <is>
          <t>INJ</t>
        </is>
      </c>
      <c r="C204" s="18" t="inlineStr">
        <is>
          <t>LA (Basco)</t>
        </is>
      </c>
      <c r="D204" s="17" t="inlineStr">
        <is>
          <t>Bio-Oil Tank</t>
        </is>
      </c>
      <c r="E204" s="19" t="n">
        <v>6404.72</v>
      </c>
      <c r="F204" s="19" t="n">
        <v>17.24</v>
      </c>
      <c r="G204" s="20">
        <f>IF(E204=0,"",F204/E204*100)</f>
        <v/>
      </c>
      <c r="H204" s="19">
        <f>E204-F204</f>
        <v/>
      </c>
      <c r="I204" s="44" t="n">
        <v>47763</v>
      </c>
      <c r="J204" s="45" t="n">
        <v>842993.2000000003</v>
      </c>
      <c r="K204" s="46">
        <f>IF(J204=0,"",H204/J204)</f>
        <v/>
      </c>
      <c r="L204" s="17" t="inlineStr">
        <is>
          <t>Yes — on projection</t>
        </is>
      </c>
    </row>
    <row r="205">
      <c r="A205" s="17" t="inlineStr">
        <is>
          <t>EE-INJ-089</t>
        </is>
      </c>
      <c r="B205" s="18" t="inlineStr">
        <is>
          <t>INJ</t>
        </is>
      </c>
      <c r="C205" s="18" t="inlineStr">
        <is>
          <t>LA (Basco)</t>
        </is>
      </c>
      <c r="D205" s="17" t="inlineStr">
        <is>
          <t>November 2025 Site Work (Non-BCU Emissions)</t>
        </is>
      </c>
      <c r="E205" s="19" t="n">
        <v>7312.25</v>
      </c>
      <c r="F205" s="19" t="n">
        <v>19.68</v>
      </c>
      <c r="G205" s="20">
        <f>IF(E205=0,"",F205/E205*100)</f>
        <v/>
      </c>
      <c r="H205" s="19">
        <f>E205-F205</f>
        <v/>
      </c>
      <c r="I205" s="44" t="n">
        <v>47763</v>
      </c>
      <c r="J205" s="45" t="n">
        <v>842993.2000000003</v>
      </c>
      <c r="K205" s="46">
        <f>IF(J205=0,"",H205/J205)</f>
        <v/>
      </c>
      <c r="L205" s="17" t="inlineStr">
        <is>
          <t>Yes — on projection</t>
        </is>
      </c>
    </row>
    <row r="206">
      <c r="A206" s="17" t="inlineStr">
        <is>
          <t>EE-INJ-090</t>
        </is>
      </c>
      <c r="B206" s="18" t="inlineStr">
        <is>
          <t>INJ</t>
        </is>
      </c>
      <c r="C206" s="18" t="inlineStr">
        <is>
          <t>LA (Basco)</t>
        </is>
      </c>
      <c r="D206" s="17" t="inlineStr">
        <is>
          <t>Circulation Pump</t>
        </is>
      </c>
      <c r="E206" s="19" t="n">
        <v>1393.24</v>
      </c>
      <c r="F206" s="19" t="n">
        <v>3.75</v>
      </c>
      <c r="G206" s="20">
        <f>IF(E206=0,"",F206/E206*100)</f>
        <v/>
      </c>
      <c r="H206" s="19">
        <f>E206-F206</f>
        <v/>
      </c>
      <c r="I206" s="44" t="n">
        <v>47763</v>
      </c>
      <c r="J206" s="45" t="n">
        <v>842993.2000000003</v>
      </c>
      <c r="K206" s="46">
        <f>IF(J206=0,"",H206/J206)</f>
        <v/>
      </c>
      <c r="L206" s="17" t="inlineStr">
        <is>
          <t>Yes — on projection</t>
        </is>
      </c>
    </row>
    <row r="207">
      <c r="A207" s="17" t="inlineStr">
        <is>
          <t>EE-INJ-091</t>
        </is>
      </c>
      <c r="B207" s="18" t="inlineStr">
        <is>
          <t>INJ</t>
        </is>
      </c>
      <c r="C207" s="18" t="inlineStr">
        <is>
          <t>LA (Basco)</t>
        </is>
      </c>
      <c r="D207" s="17" t="inlineStr">
        <is>
          <t>Air Compressor</t>
        </is>
      </c>
      <c r="E207" s="19" t="n">
        <v>1930.58</v>
      </c>
      <c r="F207" s="19" t="n">
        <v>5.2</v>
      </c>
      <c r="G207" s="20">
        <f>IF(E207=0,"",F207/E207*100)</f>
        <v/>
      </c>
      <c r="H207" s="19">
        <f>E207-F207</f>
        <v/>
      </c>
      <c r="I207" s="44" t="n">
        <v>47763</v>
      </c>
      <c r="J207" s="45" t="n">
        <v>842993.2000000003</v>
      </c>
      <c r="K207" s="46">
        <f>IF(J207=0,"",H207/J207)</f>
        <v/>
      </c>
      <c r="L207" s="17" t="inlineStr">
        <is>
          <t>Yes — on projection</t>
        </is>
      </c>
    </row>
    <row r="208">
      <c r="A208" s="17" t="inlineStr">
        <is>
          <t>EE-INJ-092</t>
        </is>
      </c>
      <c r="B208" s="18" t="inlineStr">
        <is>
          <t>INJ</t>
        </is>
      </c>
      <c r="C208" s="18" t="inlineStr">
        <is>
          <t>LA (Basco)</t>
        </is>
      </c>
      <c r="D208" s="17" t="inlineStr">
        <is>
          <t>Storage Tank Containment</t>
        </is>
      </c>
      <c r="E208" s="19" t="n">
        <v>3791.44</v>
      </c>
      <c r="F208" s="19" t="n">
        <v>10.21</v>
      </c>
      <c r="G208" s="20">
        <f>IF(E208=0,"",F208/E208*100)</f>
        <v/>
      </c>
      <c r="H208" s="19">
        <f>E208-F208</f>
        <v/>
      </c>
      <c r="I208" s="44" t="n">
        <v>47763</v>
      </c>
      <c r="J208" s="45" t="n">
        <v>842993.2000000003</v>
      </c>
      <c r="K208" s="46">
        <f>IF(J208=0,"",H208/J208)</f>
        <v/>
      </c>
      <c r="L208" s="17" t="inlineStr">
        <is>
          <t>Yes — on projection</t>
        </is>
      </c>
    </row>
    <row r="209">
      <c r="A209" s="17" t="inlineStr">
        <is>
          <t>EE-INJ-093</t>
        </is>
      </c>
      <c r="B209" s="18" t="inlineStr">
        <is>
          <t>INJ</t>
        </is>
      </c>
      <c r="C209" s="18" t="inlineStr">
        <is>
          <t>LA (Basco)</t>
        </is>
      </c>
      <c r="D209" s="17" t="inlineStr">
        <is>
          <t>Well Pump</t>
        </is>
      </c>
      <c r="E209" s="19" t="n">
        <v>726.62</v>
      </c>
      <c r="F209" s="19" t="n">
        <v>1.96</v>
      </c>
      <c r="G209" s="20">
        <f>IF(E209=0,"",F209/E209*100)</f>
        <v/>
      </c>
      <c r="H209" s="19">
        <f>E209-F209</f>
        <v/>
      </c>
      <c r="I209" s="44" t="n">
        <v>47763</v>
      </c>
      <c r="J209" s="45" t="n">
        <v>842993.2000000003</v>
      </c>
      <c r="K209" s="46">
        <f>IF(J209=0,"",H209/J209)</f>
        <v/>
      </c>
      <c r="L209" s="17" t="inlineStr">
        <is>
          <t>Yes — on projection</t>
        </is>
      </c>
    </row>
    <row r="210">
      <c r="A210" s="17" t="inlineStr">
        <is>
          <t>EE-INJ-094</t>
        </is>
      </c>
      <c r="B210" s="18" t="inlineStr">
        <is>
          <t>INJ</t>
        </is>
      </c>
      <c r="C210" s="18" t="inlineStr">
        <is>
          <t>LA (Basco)</t>
        </is>
      </c>
      <c r="D210" s="17" t="inlineStr">
        <is>
          <t>Steel Dosing Tank</t>
        </is>
      </c>
      <c r="E210" s="19" t="n">
        <v>297.82</v>
      </c>
      <c r="F210" s="19" t="n">
        <v>0.8</v>
      </c>
      <c r="G210" s="20">
        <f>IF(E210=0,"",F210/E210*100)</f>
        <v/>
      </c>
      <c r="H210" s="19">
        <f>E210-F210</f>
        <v/>
      </c>
      <c r="I210" s="44" t="n">
        <v>47763</v>
      </c>
      <c r="J210" s="45" t="n">
        <v>842993.2000000003</v>
      </c>
      <c r="K210" s="46">
        <f>IF(J210=0,"",H210/J210)</f>
        <v/>
      </c>
      <c r="L210" s="17" t="inlineStr">
        <is>
          <t>Yes — on projection</t>
        </is>
      </c>
    </row>
    <row r="211">
      <c r="A211" s="17" t="inlineStr">
        <is>
          <t>EE-INJ-095</t>
        </is>
      </c>
      <c r="B211" s="18" t="inlineStr">
        <is>
          <t>INJ</t>
        </is>
      </c>
      <c r="C211" s="18" t="inlineStr">
        <is>
          <t>LA (Basco)</t>
        </is>
      </c>
      <c r="D211" s="17" t="inlineStr">
        <is>
          <t>UHMWPE Hoses</t>
        </is>
      </c>
      <c r="E211" s="19" t="n">
        <v>446.96</v>
      </c>
      <c r="F211" s="19" t="n">
        <v>1.2</v>
      </c>
      <c r="G211" s="20">
        <f>IF(E211=0,"",F211/E211*100)</f>
        <v/>
      </c>
      <c r="H211" s="19">
        <f>E211-F211</f>
        <v/>
      </c>
      <c r="I211" s="44" t="n">
        <v>47763</v>
      </c>
      <c r="J211" s="45" t="n">
        <v>842993.2000000003</v>
      </c>
      <c r="K211" s="46">
        <f>IF(J211=0,"",H211/J211)</f>
        <v/>
      </c>
      <c r="L211" s="17" t="inlineStr">
        <is>
          <t>Yes — on projection</t>
        </is>
      </c>
    </row>
    <row r="212">
      <c r="A212" s="17" t="inlineStr">
        <is>
          <t>EE-INJ-096</t>
        </is>
      </c>
      <c r="B212" s="18" t="inlineStr">
        <is>
          <t>INJ</t>
        </is>
      </c>
      <c r="C212" s="18" t="inlineStr">
        <is>
          <t>LA (Basco)</t>
        </is>
      </c>
      <c r="D212" s="17" t="inlineStr">
        <is>
          <t>Well Pump Motor+VFD</t>
        </is>
      </c>
      <c r="E212" s="19" t="n">
        <v>406.81</v>
      </c>
      <c r="F212" s="19" t="n">
        <v>1.1</v>
      </c>
      <c r="G212" s="20">
        <f>IF(E212=0,"",F212/E212*100)</f>
        <v/>
      </c>
      <c r="H212" s="19">
        <f>E212-F212</f>
        <v/>
      </c>
      <c r="I212" s="44" t="n">
        <v>47763</v>
      </c>
      <c r="J212" s="45" t="n">
        <v>842993.2000000003</v>
      </c>
      <c r="K212" s="46">
        <f>IF(J212=0,"",H212/J212)</f>
        <v/>
      </c>
      <c r="L212" s="17" t="inlineStr">
        <is>
          <t>Yes — on projection</t>
        </is>
      </c>
    </row>
    <row r="213">
      <c r="A213" s="17" t="inlineStr">
        <is>
          <t>EE-INJ-097</t>
        </is>
      </c>
      <c r="B213" s="18" t="inlineStr">
        <is>
          <t>INJ</t>
        </is>
      </c>
      <c r="C213" s="18" t="inlineStr">
        <is>
          <t>LA (Basco)</t>
        </is>
      </c>
      <c r="D213" s="17" t="inlineStr">
        <is>
          <t>Raw Steel for Phase 4</t>
        </is>
      </c>
      <c r="E213" s="19" t="n">
        <v>385.81</v>
      </c>
      <c r="F213" s="19" t="n">
        <v>1.04</v>
      </c>
      <c r="G213" s="20">
        <f>IF(E213=0,"",F213/E213*100)</f>
        <v/>
      </c>
      <c r="H213" s="19">
        <f>E213-F213</f>
        <v/>
      </c>
      <c r="I213" s="44" t="n">
        <v>47763</v>
      </c>
      <c r="J213" s="45" t="n">
        <v>842993.2000000003</v>
      </c>
      <c r="K213" s="46">
        <f>IF(J213=0,"",H213/J213)</f>
        <v/>
      </c>
      <c r="L213" s="17" t="inlineStr">
        <is>
          <t>Yes — on projection</t>
        </is>
      </c>
    </row>
    <row r="214">
      <c r="A214" s="17" t="inlineStr">
        <is>
          <t>EE-INJ-098</t>
        </is>
      </c>
      <c r="B214" s="18" t="inlineStr">
        <is>
          <t>INJ</t>
        </is>
      </c>
      <c r="C214" s="18" t="inlineStr">
        <is>
          <t>LA (Basco)</t>
        </is>
      </c>
      <c r="D214" s="17" t="inlineStr">
        <is>
          <t>Steel Sheets for Tank Base</t>
        </is>
      </c>
      <c r="E214" s="19" t="n">
        <v>4764.47</v>
      </c>
      <c r="F214" s="19" t="n">
        <v>12.82</v>
      </c>
      <c r="G214" s="20">
        <f>IF(E214=0,"",F214/E214*100)</f>
        <v/>
      </c>
      <c r="H214" s="19">
        <f>E214-F214</f>
        <v/>
      </c>
      <c r="I214" s="44" t="n">
        <v>47763</v>
      </c>
      <c r="J214" s="45" t="n">
        <v>842993.2000000003</v>
      </c>
      <c r="K214" s="46">
        <f>IF(J214=0,"",H214/J214)</f>
        <v/>
      </c>
      <c r="L214" s="17" t="inlineStr">
        <is>
          <t>Yes — on projection</t>
        </is>
      </c>
    </row>
    <row r="215">
      <c r="A215" s="17" t="inlineStr">
        <is>
          <t>EE-INJ-099</t>
        </is>
      </c>
      <c r="B215" s="18" t="inlineStr">
        <is>
          <t>INJ</t>
        </is>
      </c>
      <c r="C215" s="18" t="inlineStr">
        <is>
          <t>LA (Basco)</t>
        </is>
      </c>
      <c r="D215" s="17" t="inlineStr">
        <is>
          <t>Frac Tank</t>
        </is>
      </c>
      <c r="E215" s="19" t="n">
        <v>8326.129999999999</v>
      </c>
      <c r="F215" s="19" t="n">
        <v>22.41</v>
      </c>
      <c r="G215" s="20">
        <f>IF(E215=0,"",F215/E215*100)</f>
        <v/>
      </c>
      <c r="H215" s="19">
        <f>E215-F215</f>
        <v/>
      </c>
      <c r="I215" s="44" t="n">
        <v>47763</v>
      </c>
      <c r="J215" s="45" t="n">
        <v>842993.2000000003</v>
      </c>
      <c r="K215" s="46">
        <f>IF(J215=0,"",H215/J215)</f>
        <v/>
      </c>
      <c r="L215" s="17" t="inlineStr">
        <is>
          <t>Yes — on projection</t>
        </is>
      </c>
    </row>
    <row r="216">
      <c r="A216" s="3" t="inlineStr">
        <is>
          <t>EE-CO-115</t>
        </is>
      </c>
      <c r="B216" s="4" t="inlineStr">
        <is>
          <t>CO</t>
        </is>
      </c>
      <c r="C216" s="4" t="inlineStr">
        <is>
          <t>Charm CO</t>
        </is>
      </c>
      <c r="D216" s="3" t="inlineStr">
        <is>
          <t>FBIC Supersack</t>
        </is>
      </c>
      <c r="E216" s="5" t="n">
        <v>1232</v>
      </c>
      <c r="F216" s="5" t="n">
        <v>19.05</v>
      </c>
      <c r="G216" s="6">
        <f>IF(E216=0,"",F216/E216*100)</f>
        <v/>
      </c>
      <c r="H216" s="5">
        <f>E216-F216</f>
        <v/>
      </c>
      <c r="I216" s="38" t="n">
        <v>47788</v>
      </c>
      <c r="J216" s="39" t="n">
        <v>877735.0000000003</v>
      </c>
      <c r="K216" s="40">
        <f>IF(J216=0,"",H216/J216)</f>
        <v/>
      </c>
      <c r="L216" s="3" t="inlineStr">
        <is>
          <t>Yes — on projection</t>
        </is>
      </c>
    </row>
    <row r="217">
      <c r="A217" s="3" t="inlineStr">
        <is>
          <t>EE-CO-116</t>
        </is>
      </c>
      <c r="B217" s="4" t="inlineStr">
        <is>
          <t>CO</t>
        </is>
      </c>
      <c r="C217" s="4" t="inlineStr">
        <is>
          <t>Charm CO</t>
        </is>
      </c>
      <c r="D217" s="3" t="inlineStr">
        <is>
          <t>275 Gal IBC Tote Plastic Pallet</t>
        </is>
      </c>
      <c r="E217" s="5" t="n">
        <v>3765.9</v>
      </c>
      <c r="F217" s="5" t="n">
        <v>58.24</v>
      </c>
      <c r="G217" s="6">
        <f>IF(E217=0,"",F217/E217*100)</f>
        <v/>
      </c>
      <c r="H217" s="5">
        <f>E217-F217</f>
        <v/>
      </c>
      <c r="I217" s="38" t="n">
        <v>47788</v>
      </c>
      <c r="J217" s="39" t="n">
        <v>877735.0000000003</v>
      </c>
      <c r="K217" s="40">
        <f>IF(J217=0,"",H217/J217)</f>
        <v/>
      </c>
      <c r="L217" s="3" t="inlineStr">
        <is>
          <t>Yes — on projection</t>
        </is>
      </c>
    </row>
    <row r="218">
      <c r="A218" s="3" t="inlineStr">
        <is>
          <t>EE-CO-117</t>
        </is>
      </c>
      <c r="B218" s="4" t="inlineStr">
        <is>
          <t>CO</t>
        </is>
      </c>
      <c r="C218" s="4" t="inlineStr">
        <is>
          <t>Charm CO</t>
        </is>
      </c>
      <c r="D218" s="3" t="inlineStr">
        <is>
          <t>Pro Boxes Roller</t>
        </is>
      </c>
      <c r="E218" s="5" t="n">
        <v>352.36</v>
      </c>
      <c r="F218" s="5" t="n">
        <v>4.72</v>
      </c>
      <c r="G218" s="6">
        <f>IF(E218=0,"",F218/E218*100)</f>
        <v/>
      </c>
      <c r="H218" s="5">
        <f>E218-F218</f>
        <v/>
      </c>
      <c r="I218" s="38" t="n">
        <v>47818</v>
      </c>
      <c r="J218" s="39" t="n">
        <v>912476.8</v>
      </c>
      <c r="K218" s="40">
        <f>IF(J218=0,"",H218/J218)</f>
        <v/>
      </c>
      <c r="L218" s="3" t="inlineStr">
        <is>
          <t>Yes — on projection</t>
        </is>
      </c>
    </row>
    <row r="219">
      <c r="A219" s="3" t="inlineStr">
        <is>
          <t>EE-CO-123</t>
        </is>
      </c>
      <c r="B219" s="4" t="inlineStr">
        <is>
          <t>CO</t>
        </is>
      </c>
      <c r="C219" s="4" t="inlineStr">
        <is>
          <t>Charm CO</t>
        </is>
      </c>
      <c r="D219" s="3" t="inlineStr">
        <is>
          <t>55 Gal Drum</t>
        </is>
      </c>
      <c r="E219" s="5" t="n">
        <v>391.8</v>
      </c>
      <c r="F219" s="5" t="n">
        <v>5.25</v>
      </c>
      <c r="G219" s="6">
        <f>IF(E219=0,"",F219/E219*100)</f>
        <v/>
      </c>
      <c r="H219" s="5">
        <f>E219-F219</f>
        <v/>
      </c>
      <c r="I219" s="38" t="n">
        <v>47818</v>
      </c>
      <c r="J219" s="39" t="n">
        <v>912476.8</v>
      </c>
      <c r="K219" s="40">
        <f>IF(J219=0,"",H219/J219)</f>
        <v/>
      </c>
      <c r="L219" s="3" t="inlineStr">
        <is>
          <t>Yes — on projection</t>
        </is>
      </c>
    </row>
    <row r="220">
      <c r="A220" s="3" t="inlineStr">
        <is>
          <t>EE-CO-120</t>
        </is>
      </c>
      <c r="B220" s="4" t="inlineStr">
        <is>
          <t>CO</t>
        </is>
      </c>
      <c r="C220" s="4" t="inlineStr">
        <is>
          <t>Charm CO</t>
        </is>
      </c>
      <c r="D220" s="3" t="inlineStr">
        <is>
          <t>TM-2000 Series Rail Car Mixer</t>
        </is>
      </c>
      <c r="E220" s="5" t="n">
        <v>68.44</v>
      </c>
      <c r="F220" s="5" t="n">
        <v>0.92</v>
      </c>
      <c r="G220" s="6">
        <f>IF(E220=0,"",F220/E220*100)</f>
        <v/>
      </c>
      <c r="H220" s="5">
        <f>E220-F220</f>
        <v/>
      </c>
      <c r="I220" s="38" t="n">
        <v>47834</v>
      </c>
      <c r="J220" s="39" t="n">
        <v>912476.8</v>
      </c>
      <c r="K220" s="40">
        <f>IF(J220=0,"",H220/J220)</f>
        <v/>
      </c>
      <c r="L220" s="3" t="inlineStr">
        <is>
          <t>Yes — on projection</t>
        </is>
      </c>
    </row>
    <row r="221">
      <c r="A221" s="3" t="inlineStr">
        <is>
          <t>EE-CO-121</t>
        </is>
      </c>
      <c r="B221" s="4" t="inlineStr">
        <is>
          <t>CO</t>
        </is>
      </c>
      <c r="C221" s="4" t="inlineStr">
        <is>
          <t>Charm CO</t>
        </is>
      </c>
      <c r="D221" s="3" t="inlineStr">
        <is>
          <t>Model A-1700-P-Series - Pressure Relief Valves - Top Style</t>
        </is>
      </c>
      <c r="E221" s="5" t="n">
        <v>28.18</v>
      </c>
      <c r="F221" s="5" t="n">
        <v>0.38</v>
      </c>
      <c r="G221" s="6">
        <f>IF(E221=0,"",F221/E221*100)</f>
        <v/>
      </c>
      <c r="H221" s="5">
        <f>E221-F221</f>
        <v/>
      </c>
      <c r="I221" s="38" t="n">
        <v>47837</v>
      </c>
      <c r="J221" s="39" t="n">
        <v>912476.8</v>
      </c>
      <c r="K221" s="40">
        <f>IF(J221=0,"",H221/J221)</f>
        <v/>
      </c>
      <c r="L221" s="3" t="inlineStr">
        <is>
          <t>Yes — on projection</t>
        </is>
      </c>
    </row>
    <row r="222">
      <c r="A222" s="3" t="inlineStr">
        <is>
          <t>EE-CO-118</t>
        </is>
      </c>
      <c r="B222" s="4" t="inlineStr">
        <is>
          <t>CO</t>
        </is>
      </c>
      <c r="C222" s="4" t="inlineStr">
        <is>
          <t>Charm CO</t>
        </is>
      </c>
      <c r="D222" s="3" t="inlineStr">
        <is>
          <t>Vestil QIT Quick Install Manual Trolley, 10,0000 Lbb Capacity</t>
        </is>
      </c>
      <c r="E222" s="5" t="n">
        <v>21.74</v>
      </c>
      <c r="F222" s="5" t="n">
        <v>0.29</v>
      </c>
      <c r="G222" s="6">
        <f>IF(E222=0,"",F222/E222*100)</f>
        <v/>
      </c>
      <c r="H222" s="5">
        <f>E222-F222</f>
        <v/>
      </c>
      <c r="I222" s="38" t="n">
        <v>47847</v>
      </c>
      <c r="J222" s="39" t="n">
        <v>912476.8</v>
      </c>
      <c r="K222" s="40">
        <f>IF(J222=0,"",H222/J222)</f>
        <v/>
      </c>
      <c r="L222" s="3" t="inlineStr">
        <is>
          <t>Yes — on projection</t>
        </is>
      </c>
    </row>
    <row r="223">
      <c r="A223" s="3" t="inlineStr">
        <is>
          <t>EE-CO-119</t>
        </is>
      </c>
      <c r="B223" s="4" t="inlineStr">
        <is>
          <t>CO</t>
        </is>
      </c>
      <c r="C223" s="4" t="inlineStr">
        <is>
          <t>Charm CO</t>
        </is>
      </c>
      <c r="D223" s="3" t="inlineStr">
        <is>
          <t>Global Industrial Manual Chain Hoist</t>
        </is>
      </c>
      <c r="E223" s="5" t="n">
        <v>26.26</v>
      </c>
      <c r="F223" s="5" t="n">
        <v>0.35</v>
      </c>
      <c r="G223" s="6">
        <f>IF(E223=0,"",F223/E223*100)</f>
        <v/>
      </c>
      <c r="H223" s="5">
        <f>E223-F223</f>
        <v/>
      </c>
      <c r="I223" s="38" t="n">
        <v>47847</v>
      </c>
      <c r="J223" s="39" t="n">
        <v>912476.8</v>
      </c>
      <c r="K223" s="40">
        <f>IF(J223=0,"",H223/J223)</f>
        <v/>
      </c>
      <c r="L223" s="3" t="inlineStr">
        <is>
          <t>Yes — on projection</t>
        </is>
      </c>
    </row>
    <row r="224">
      <c r="A224" s="3" t="inlineStr">
        <is>
          <t>EE-CO-122</t>
        </is>
      </c>
      <c r="B224" s="4" t="inlineStr">
        <is>
          <t>CO</t>
        </is>
      </c>
      <c r="C224" s="4" t="inlineStr">
        <is>
          <t>Charm CO</t>
        </is>
      </c>
      <c r="D224" s="3" t="inlineStr">
        <is>
          <t>Adjustable Height Steel Gantry Crane</t>
        </is>
      </c>
      <c r="E224" s="5" t="n">
        <v>386.85</v>
      </c>
      <c r="F224" s="5" t="n">
        <v>5.18</v>
      </c>
      <c r="G224" s="6">
        <f>IF(E224=0,"",F224/E224*100)</f>
        <v/>
      </c>
      <c r="H224" s="5">
        <f>E224-F224</f>
        <v/>
      </c>
      <c r="I224" s="38" t="n">
        <v>47847</v>
      </c>
      <c r="J224" s="39" t="n">
        <v>912476.8</v>
      </c>
      <c r="K224" s="40">
        <f>IF(J224=0,"",H224/J224)</f>
        <v/>
      </c>
      <c r="L224" s="3" t="inlineStr">
        <is>
          <t>Yes — on projection</t>
        </is>
      </c>
    </row>
    <row r="225">
      <c r="A225" s="3" t="inlineStr">
        <is>
          <t>EE-CO-124</t>
        </is>
      </c>
      <c r="B225" s="4" t="inlineStr">
        <is>
          <t>CO</t>
        </is>
      </c>
      <c r="C225" s="4" t="inlineStr">
        <is>
          <t>Charm CO</t>
        </is>
      </c>
      <c r="D225" s="3" t="inlineStr">
        <is>
          <t>FBIC Supersack</t>
        </is>
      </c>
      <c r="E225" s="5" t="n">
        <v>1232</v>
      </c>
      <c r="F225" s="5" t="n">
        <v>13.97</v>
      </c>
      <c r="G225" s="6">
        <f>IF(E225=0,"",F225/E225*100)</f>
        <v/>
      </c>
      <c r="H225" s="5">
        <f>E225-F225</f>
        <v/>
      </c>
      <c r="I225" s="38" t="n">
        <v>47849</v>
      </c>
      <c r="J225" s="39" t="n">
        <v>912476.8</v>
      </c>
      <c r="K225" s="40">
        <f>IF(J225=0,"",H225/J225)</f>
        <v/>
      </c>
      <c r="L225" s="3" t="inlineStr">
        <is>
          <t>Yes — on projection</t>
        </is>
      </c>
    </row>
    <row r="226">
      <c r="A226" s="3" t="inlineStr">
        <is>
          <t>EE-CO-128</t>
        </is>
      </c>
      <c r="B226" s="4" t="inlineStr">
        <is>
          <t>CO</t>
        </is>
      </c>
      <c r="C226" s="4" t="inlineStr">
        <is>
          <t>Charm CO</t>
        </is>
      </c>
      <c r="D226" s="3" t="inlineStr">
        <is>
          <t>55 Gal Drum</t>
        </is>
      </c>
      <c r="E226" s="5" t="n">
        <v>1384.36</v>
      </c>
      <c r="F226" s="5" t="n">
        <v>15.7</v>
      </c>
      <c r="G226" s="6">
        <f>IF(E226=0,"",F226/E226*100)</f>
        <v/>
      </c>
      <c r="H226" s="5">
        <f>E226-F226</f>
        <v/>
      </c>
      <c r="I226" s="38" t="n">
        <v>47849</v>
      </c>
      <c r="J226" s="39" t="n">
        <v>912476.8</v>
      </c>
      <c r="K226" s="40">
        <f>IF(J226=0,"",H226/J226)</f>
        <v/>
      </c>
      <c r="L226" s="3" t="inlineStr">
        <is>
          <t>Yes — on projection</t>
        </is>
      </c>
    </row>
    <row r="227">
      <c r="A227" s="17" t="inlineStr">
        <is>
          <t>EE-INJ-101</t>
        </is>
      </c>
      <c r="B227" s="18" t="inlineStr">
        <is>
          <t>INJ</t>
        </is>
      </c>
      <c r="C227" s="18" t="inlineStr">
        <is>
          <t>LA (Basco)</t>
        </is>
      </c>
      <c r="D227" s="17" t="inlineStr">
        <is>
          <t>Sparge Tank 1</t>
        </is>
      </c>
      <c r="E227" s="19" t="n">
        <v>766</v>
      </c>
      <c r="F227" s="19" t="n">
        <v>1.79</v>
      </c>
      <c r="G227" s="20">
        <f>IF(E227=0,"",F227/E227*100)</f>
        <v/>
      </c>
      <c r="H227" s="19">
        <f>E227-F227</f>
        <v/>
      </c>
      <c r="I227" s="44" t="n">
        <v>47849</v>
      </c>
      <c r="J227" s="45" t="n">
        <v>912476.8</v>
      </c>
      <c r="K227" s="46">
        <f>IF(J227=0,"",H227/J227)</f>
        <v/>
      </c>
      <c r="L227" s="17" t="inlineStr">
        <is>
          <t>Yes — on projection</t>
        </is>
      </c>
    </row>
    <row r="228">
      <c r="A228" s="17" t="inlineStr">
        <is>
          <t>EE-INJ-102</t>
        </is>
      </c>
      <c r="B228" s="18" t="inlineStr">
        <is>
          <t>INJ</t>
        </is>
      </c>
      <c r="C228" s="18" t="inlineStr">
        <is>
          <t>LA (Basco)</t>
        </is>
      </c>
      <c r="D228" s="17" t="inlineStr">
        <is>
          <t>Double Wide Trailer</t>
        </is>
      </c>
      <c r="E228" s="19" t="n">
        <v>33366</v>
      </c>
      <c r="F228" s="19" t="n">
        <v>77.79000000000001</v>
      </c>
      <c r="G228" s="20">
        <f>IF(E228=0,"",F228/E228*100)</f>
        <v/>
      </c>
      <c r="H228" s="19">
        <f>E228-F228</f>
        <v/>
      </c>
      <c r="I228" s="44" t="n">
        <v>47849</v>
      </c>
      <c r="J228" s="45" t="n">
        <v>912476.8</v>
      </c>
      <c r="K228" s="46">
        <f>IF(J228=0,"",H228/J228)</f>
        <v/>
      </c>
      <c r="L228" s="17" t="inlineStr">
        <is>
          <t>Yes — on projection</t>
        </is>
      </c>
    </row>
    <row r="229">
      <c r="A229" s="17" t="inlineStr">
        <is>
          <t>EE-INJ-103</t>
        </is>
      </c>
      <c r="B229" s="18" t="inlineStr">
        <is>
          <t>INJ</t>
        </is>
      </c>
      <c r="C229" s="18" t="inlineStr">
        <is>
          <t>LA (Basco)</t>
        </is>
      </c>
      <c r="D229" s="17" t="inlineStr">
        <is>
          <t>MCM Pumps - Round 1</t>
        </is>
      </c>
      <c r="E229" s="19" t="n">
        <v>5367</v>
      </c>
      <c r="F229" s="19" t="n">
        <v>12.51</v>
      </c>
      <c r="G229" s="20">
        <f>IF(E229=0,"",F229/E229*100)</f>
        <v/>
      </c>
      <c r="H229" s="19">
        <f>E229-F229</f>
        <v/>
      </c>
      <c r="I229" s="44" t="n">
        <v>47849</v>
      </c>
      <c r="J229" s="45" t="n">
        <v>912476.8</v>
      </c>
      <c r="K229" s="46">
        <f>IF(J229=0,"",H229/J229)</f>
        <v/>
      </c>
      <c r="L229" s="17" t="inlineStr">
        <is>
          <t>Yes — on projection</t>
        </is>
      </c>
    </row>
    <row r="230">
      <c r="A230" s="17" t="inlineStr">
        <is>
          <t>EE-INJ-104</t>
        </is>
      </c>
      <c r="B230" s="18" t="inlineStr">
        <is>
          <t>INJ</t>
        </is>
      </c>
      <c r="C230" s="18" t="inlineStr">
        <is>
          <t>LA (Basco)</t>
        </is>
      </c>
      <c r="D230" s="17" t="inlineStr">
        <is>
          <t>IBC Tote w Steel Pallet (275 Gal) Jun 24</t>
        </is>
      </c>
      <c r="E230" s="19" t="n">
        <v>3920</v>
      </c>
      <c r="F230" s="19" t="n">
        <v>9.140000000000001</v>
      </c>
      <c r="G230" s="20">
        <f>IF(E230=0,"",F230/E230*100)</f>
        <v/>
      </c>
      <c r="H230" s="19">
        <f>E230-F230</f>
        <v/>
      </c>
      <c r="I230" s="44" t="n">
        <v>47849</v>
      </c>
      <c r="J230" s="45" t="n">
        <v>912476.8</v>
      </c>
      <c r="K230" s="46">
        <f>IF(J230=0,"",H230/J230)</f>
        <v/>
      </c>
      <c r="L230" s="17" t="inlineStr">
        <is>
          <t>Yes — on projection</t>
        </is>
      </c>
    </row>
    <row r="231">
      <c r="A231" s="17" t="inlineStr">
        <is>
          <t>EE-INJ-105</t>
        </is>
      </c>
      <c r="B231" s="18" t="inlineStr">
        <is>
          <t>INJ</t>
        </is>
      </c>
      <c r="C231" s="18" t="inlineStr">
        <is>
          <t>LA (Basco)</t>
        </is>
      </c>
      <c r="D231" s="17" t="inlineStr">
        <is>
          <t>Tank Plumbing and Manifold System</t>
        </is>
      </c>
      <c r="E231" s="19" t="n">
        <v>940</v>
      </c>
      <c r="F231" s="19" t="n">
        <v>2.19</v>
      </c>
      <c r="G231" s="20">
        <f>IF(E231=0,"",F231/E231*100)</f>
        <v/>
      </c>
      <c r="H231" s="19">
        <f>E231-F231</f>
        <v/>
      </c>
      <c r="I231" s="44" t="n">
        <v>47849</v>
      </c>
      <c r="J231" s="45" t="n">
        <v>912476.8</v>
      </c>
      <c r="K231" s="46">
        <f>IF(J231=0,"",H231/J231)</f>
        <v/>
      </c>
      <c r="L231" s="17" t="inlineStr">
        <is>
          <t>Yes — on projection</t>
        </is>
      </c>
    </row>
    <row r="232">
      <c r="A232" s="17" t="inlineStr">
        <is>
          <t>EE-INJ-106</t>
        </is>
      </c>
      <c r="B232" s="18" t="inlineStr">
        <is>
          <t>INJ</t>
        </is>
      </c>
      <c r="C232" s="18" t="inlineStr">
        <is>
          <t>LA (Basco)</t>
        </is>
      </c>
      <c r="D232" s="17" t="inlineStr">
        <is>
          <t>ProBox</t>
        </is>
      </c>
      <c r="E232" s="19" t="n">
        <v>134</v>
      </c>
      <c r="F232" s="19" t="n">
        <v>0.31</v>
      </c>
      <c r="G232" s="20">
        <f>IF(E232=0,"",F232/E232*100)</f>
        <v/>
      </c>
      <c r="H232" s="19">
        <f>E232-F232</f>
        <v/>
      </c>
      <c r="I232" s="44" t="n">
        <v>47849</v>
      </c>
      <c r="J232" s="45" t="n">
        <v>912476.8</v>
      </c>
      <c r="K232" s="46">
        <f>IF(J232=0,"",H232/J232)</f>
        <v/>
      </c>
      <c r="L232" s="17" t="inlineStr">
        <is>
          <t>Yes — on projection</t>
        </is>
      </c>
    </row>
    <row r="233">
      <c r="A233" s="17" t="inlineStr">
        <is>
          <t>EE-INJ-107</t>
        </is>
      </c>
      <c r="B233" s="18" t="inlineStr">
        <is>
          <t>INJ</t>
        </is>
      </c>
      <c r="C233" s="18" t="inlineStr">
        <is>
          <t>LA (Basco)</t>
        </is>
      </c>
      <c r="D233" s="17" t="inlineStr">
        <is>
          <t>February 2025 Site Work (Non-BCU Emissions)</t>
        </is>
      </c>
      <c r="E233" s="19" t="n">
        <v>1693</v>
      </c>
      <c r="F233" s="19" t="n">
        <v>3.95</v>
      </c>
      <c r="G233" s="20">
        <f>IF(E233=0,"",F233/E233*100)</f>
        <v/>
      </c>
      <c r="H233" s="19">
        <f>E233-F233</f>
        <v/>
      </c>
      <c r="I233" s="44" t="n">
        <v>47849</v>
      </c>
      <c r="J233" s="45" t="n">
        <v>912476.8</v>
      </c>
      <c r="K233" s="46">
        <f>IF(J233=0,"",H233/J233)</f>
        <v/>
      </c>
      <c r="L233" s="17" t="inlineStr">
        <is>
          <t>Yes — on projection</t>
        </is>
      </c>
    </row>
    <row r="234">
      <c r="A234" s="17" t="inlineStr">
        <is>
          <t>EE-INJ-108</t>
        </is>
      </c>
      <c r="B234" s="18" t="inlineStr">
        <is>
          <t>INJ</t>
        </is>
      </c>
      <c r="C234" s="18" t="inlineStr">
        <is>
          <t>LA (Basco)</t>
        </is>
      </c>
      <c r="D234" s="17" t="inlineStr">
        <is>
          <t>Storage Tank Base</t>
        </is>
      </c>
      <c r="E234" s="19" t="n">
        <v>258</v>
      </c>
      <c r="F234" s="19" t="n">
        <v>0.6</v>
      </c>
      <c r="G234" s="20">
        <f>IF(E234=0,"",F234/E234*100)</f>
        <v/>
      </c>
      <c r="H234" s="19">
        <f>E234-F234</f>
        <v/>
      </c>
      <c r="I234" s="44" t="n">
        <v>47849</v>
      </c>
      <c r="J234" s="45" t="n">
        <v>912476.8</v>
      </c>
      <c r="K234" s="46">
        <f>IF(J234=0,"",H234/J234)</f>
        <v/>
      </c>
      <c r="L234" s="17" t="inlineStr">
        <is>
          <t>Yes — on projection</t>
        </is>
      </c>
    </row>
    <row r="235">
      <c r="A235" s="17" t="inlineStr">
        <is>
          <t>EE-INJ-109</t>
        </is>
      </c>
      <c r="B235" s="18" t="inlineStr">
        <is>
          <t>INJ</t>
        </is>
      </c>
      <c r="C235" s="18" t="inlineStr">
        <is>
          <t>LA (Basco)</t>
        </is>
      </c>
      <c r="D235" s="17" t="inlineStr">
        <is>
          <t>Storage Tank</t>
        </is>
      </c>
      <c r="E235" s="19" t="n">
        <v>3464</v>
      </c>
      <c r="F235" s="19" t="n">
        <v>8.08</v>
      </c>
      <c r="G235" s="20">
        <f>IF(E235=0,"",F235/E235*100)</f>
        <v/>
      </c>
      <c r="H235" s="19">
        <f>E235-F235</f>
        <v/>
      </c>
      <c r="I235" s="44" t="n">
        <v>47849</v>
      </c>
      <c r="J235" s="45" t="n">
        <v>912476.8</v>
      </c>
      <c r="K235" s="46">
        <f>IF(J235=0,"",H235/J235)</f>
        <v/>
      </c>
      <c r="L235" s="17" t="inlineStr">
        <is>
          <t>Yes — on projection</t>
        </is>
      </c>
    </row>
    <row r="236">
      <c r="A236" s="17" t="inlineStr">
        <is>
          <t>EE-INJ-110</t>
        </is>
      </c>
      <c r="B236" s="18" t="inlineStr">
        <is>
          <t>INJ</t>
        </is>
      </c>
      <c r="C236" s="18" t="inlineStr">
        <is>
          <t>LA (Basco)</t>
        </is>
      </c>
      <c r="D236" s="17" t="inlineStr">
        <is>
          <t>Sparging System Air Compressor</t>
        </is>
      </c>
      <c r="E236" s="19" t="n">
        <v>2846</v>
      </c>
      <c r="F236" s="19" t="n">
        <v>6.64</v>
      </c>
      <c r="G236" s="20">
        <f>IF(E236=0,"",F236/E236*100)</f>
        <v/>
      </c>
      <c r="H236" s="19">
        <f>E236-F236</f>
        <v/>
      </c>
      <c r="I236" s="44" t="n">
        <v>47849</v>
      </c>
      <c r="J236" s="45" t="n">
        <v>912476.8</v>
      </c>
      <c r="K236" s="46">
        <f>IF(J236=0,"",H236/J236)</f>
        <v/>
      </c>
      <c r="L236" s="17" t="inlineStr">
        <is>
          <t>Yes — on projection</t>
        </is>
      </c>
    </row>
    <row r="237">
      <c r="A237" s="17" t="inlineStr">
        <is>
          <t>EE-INJ-111</t>
        </is>
      </c>
      <c r="B237" s="18" t="inlineStr">
        <is>
          <t>INJ</t>
        </is>
      </c>
      <c r="C237" s="18" t="inlineStr">
        <is>
          <t>LA (Basco)</t>
        </is>
      </c>
      <c r="D237" s="17" t="inlineStr">
        <is>
          <t>MCM Pumps - Round 2</t>
        </is>
      </c>
      <c r="E237" s="19" t="n">
        <v>3746</v>
      </c>
      <c r="F237" s="19" t="n">
        <v>8.73</v>
      </c>
      <c r="G237" s="20">
        <f>IF(E237=0,"",F237/E237*100)</f>
        <v/>
      </c>
      <c r="H237" s="19">
        <f>E237-F237</f>
        <v/>
      </c>
      <c r="I237" s="44" t="n">
        <v>47849</v>
      </c>
      <c r="J237" s="45" t="n">
        <v>912476.8</v>
      </c>
      <c r="K237" s="46">
        <f>IF(J237=0,"",H237/J237)</f>
        <v/>
      </c>
      <c r="L237" s="17" t="inlineStr">
        <is>
          <t>Yes — on projection</t>
        </is>
      </c>
    </row>
    <row r="238">
      <c r="A238" s="17" t="inlineStr">
        <is>
          <t>EE-INJ-112</t>
        </is>
      </c>
      <c r="B238" s="18" t="inlineStr">
        <is>
          <t>INJ</t>
        </is>
      </c>
      <c r="C238" s="18" t="inlineStr">
        <is>
          <t>LA (Basco)</t>
        </is>
      </c>
      <c r="D238" s="17" t="inlineStr">
        <is>
          <t>IBC Tote w Steel Pallet (275 Gal) Jul 24</t>
        </is>
      </c>
      <c r="E238" s="19" t="n">
        <v>2600</v>
      </c>
      <c r="F238" s="19" t="n">
        <v>6.06</v>
      </c>
      <c r="G238" s="20">
        <f>IF(E238=0,"",F238/E238*100)</f>
        <v/>
      </c>
      <c r="H238" s="19">
        <f>E238-F238</f>
        <v/>
      </c>
      <c r="I238" s="44" t="n">
        <v>47849</v>
      </c>
      <c r="J238" s="45" t="n">
        <v>912476.8</v>
      </c>
      <c r="K238" s="46">
        <f>IF(J238=0,"",H238/J238)</f>
        <v/>
      </c>
      <c r="L238" s="17" t="inlineStr">
        <is>
          <t>Yes — on projection</t>
        </is>
      </c>
    </row>
    <row r="239">
      <c r="A239" s="17" t="inlineStr">
        <is>
          <t>EE-INJ-113</t>
        </is>
      </c>
      <c r="B239" s="18" t="inlineStr">
        <is>
          <t>INJ</t>
        </is>
      </c>
      <c r="C239" s="18" t="inlineStr">
        <is>
          <t>LA (Basco)</t>
        </is>
      </c>
      <c r="D239" s="17" t="inlineStr">
        <is>
          <t>Steel Fitting and Valve Upgrades</t>
        </is>
      </c>
      <c r="E239" s="19" t="n">
        <v>6341</v>
      </c>
      <c r="F239" s="19" t="n">
        <v>14.78</v>
      </c>
      <c r="G239" s="20">
        <f>IF(E239=0,"",F239/E239*100)</f>
        <v/>
      </c>
      <c r="H239" s="19">
        <f>E239-F239</f>
        <v/>
      </c>
      <c r="I239" s="44" t="n">
        <v>47849</v>
      </c>
      <c r="J239" s="45" t="n">
        <v>912476.8</v>
      </c>
      <c r="K239" s="46">
        <f>IF(J239=0,"",H239/J239)</f>
        <v/>
      </c>
      <c r="L239" s="17" t="inlineStr">
        <is>
          <t>Yes — on projection</t>
        </is>
      </c>
    </row>
    <row r="240">
      <c r="A240" s="17" t="inlineStr">
        <is>
          <t>EE-INJ-114</t>
        </is>
      </c>
      <c r="B240" s="18" t="inlineStr">
        <is>
          <t>INJ</t>
        </is>
      </c>
      <c r="C240" s="18" t="inlineStr">
        <is>
          <t>LA (Basco)</t>
        </is>
      </c>
      <c r="D240" s="17" t="inlineStr">
        <is>
          <t>Salt-Dosing Auger Motor</t>
        </is>
      </c>
      <c r="E240" s="19" t="n">
        <v>324</v>
      </c>
      <c r="F240" s="19" t="n">
        <v>0.76</v>
      </c>
      <c r="G240" s="20">
        <f>IF(E240=0,"",F240/E240*100)</f>
        <v/>
      </c>
      <c r="H240" s="19">
        <f>E240-F240</f>
        <v/>
      </c>
      <c r="I240" s="44" t="n">
        <v>47849</v>
      </c>
      <c r="J240" s="45" t="n">
        <v>912476.8</v>
      </c>
      <c r="K240" s="46">
        <f>IF(J240=0,"",H240/J240)</f>
        <v/>
      </c>
      <c r="L240" s="17" t="inlineStr">
        <is>
          <t>Yes — on projection</t>
        </is>
      </c>
    </row>
    <row r="241">
      <c r="A241" s="17" t="inlineStr">
        <is>
          <t>EE-INJ-115</t>
        </is>
      </c>
      <c r="B241" s="18" t="inlineStr">
        <is>
          <t>INJ</t>
        </is>
      </c>
      <c r="C241" s="18" t="inlineStr">
        <is>
          <t>LA (Basco)</t>
        </is>
      </c>
      <c r="D241" s="17" t="inlineStr">
        <is>
          <t>Well Pump</t>
        </is>
      </c>
      <c r="E241" s="19" t="n">
        <v>726.62</v>
      </c>
      <c r="F241" s="19" t="n">
        <v>1.69</v>
      </c>
      <c r="G241" s="20">
        <f>IF(E241=0,"",F241/E241*100)</f>
        <v/>
      </c>
      <c r="H241" s="19">
        <f>E241-F241</f>
        <v/>
      </c>
      <c r="I241" s="44" t="n">
        <v>47849</v>
      </c>
      <c r="J241" s="45" t="n">
        <v>912476.8</v>
      </c>
      <c r="K241" s="46">
        <f>IF(J241=0,"",H241/J241)</f>
        <v/>
      </c>
      <c r="L241" s="17" t="inlineStr">
        <is>
          <t>Yes — on projection</t>
        </is>
      </c>
    </row>
    <row r="242">
      <c r="A242" s="17" t="inlineStr">
        <is>
          <t>EE-INJ-116</t>
        </is>
      </c>
      <c r="B242" s="18" t="inlineStr">
        <is>
          <t>INJ</t>
        </is>
      </c>
      <c r="C242" s="18" t="inlineStr">
        <is>
          <t>LA (Basco)</t>
        </is>
      </c>
      <c r="D242" s="17" t="inlineStr">
        <is>
          <t>Steel Dosing Tank</t>
        </is>
      </c>
      <c r="E242" s="19" t="n">
        <v>148.91</v>
      </c>
      <c r="F242" s="19" t="n">
        <v>0.35</v>
      </c>
      <c r="G242" s="20">
        <f>IF(E242=0,"",F242/E242*100)</f>
        <v/>
      </c>
      <c r="H242" s="19">
        <f>E242-F242</f>
        <v/>
      </c>
      <c r="I242" s="44" t="n">
        <v>47849</v>
      </c>
      <c r="J242" s="45" t="n">
        <v>912476.8</v>
      </c>
      <c r="K242" s="46">
        <f>IF(J242=0,"",H242/J242)</f>
        <v/>
      </c>
      <c r="L242" s="17" t="inlineStr">
        <is>
          <t>Yes — on projection</t>
        </is>
      </c>
    </row>
    <row r="243">
      <c r="A243" s="17" t="inlineStr">
        <is>
          <t>EE-INJ-117</t>
        </is>
      </c>
      <c r="B243" s="18" t="inlineStr">
        <is>
          <t>INJ</t>
        </is>
      </c>
      <c r="C243" s="18" t="inlineStr">
        <is>
          <t>LA (Basco)</t>
        </is>
      </c>
      <c r="D243" s="17" t="inlineStr">
        <is>
          <t>250 Gal Fuel Tank</t>
        </is>
      </c>
      <c r="E243" s="19" t="n">
        <v>128</v>
      </c>
      <c r="F243" s="19" t="n">
        <v>0.3</v>
      </c>
      <c r="G243" s="20">
        <f>IF(E243=0,"",F243/E243*100)</f>
        <v/>
      </c>
      <c r="H243" s="19">
        <f>E243-F243</f>
        <v/>
      </c>
      <c r="I243" s="44" t="n">
        <v>47849</v>
      </c>
      <c r="J243" s="45" t="n">
        <v>912476.8</v>
      </c>
      <c r="K243" s="46">
        <f>IF(J243=0,"",H243/J243)</f>
        <v/>
      </c>
      <c r="L243" s="17" t="inlineStr">
        <is>
          <t>Yes — on projection</t>
        </is>
      </c>
    </row>
    <row r="244">
      <c r="A244" s="17" t="inlineStr">
        <is>
          <t>EE-INJ-118</t>
        </is>
      </c>
      <c r="B244" s="18" t="inlineStr">
        <is>
          <t>INJ</t>
        </is>
      </c>
      <c r="C244" s="18" t="inlineStr">
        <is>
          <t>LA (Basco)</t>
        </is>
      </c>
      <c r="D244" s="17" t="inlineStr">
        <is>
          <t>Blower</t>
        </is>
      </c>
      <c r="E244" s="19" t="n">
        <v>4771</v>
      </c>
      <c r="F244" s="19" t="n">
        <v>11.12</v>
      </c>
      <c r="G244" s="20">
        <f>IF(E244=0,"",F244/E244*100)</f>
        <v/>
      </c>
      <c r="H244" s="19">
        <f>E244-F244</f>
        <v/>
      </c>
      <c r="I244" s="44" t="n">
        <v>47849</v>
      </c>
      <c r="J244" s="45" t="n">
        <v>912476.8</v>
      </c>
      <c r="K244" s="46">
        <f>IF(J244=0,"",H244/J244)</f>
        <v/>
      </c>
      <c r="L244" s="17" t="inlineStr">
        <is>
          <t>Yes — on projection</t>
        </is>
      </c>
    </row>
    <row r="245">
      <c r="A245" s="17" t="inlineStr">
        <is>
          <t>EE-INJ-119</t>
        </is>
      </c>
      <c r="B245" s="18" t="inlineStr">
        <is>
          <t>INJ</t>
        </is>
      </c>
      <c r="C245" s="18" t="inlineStr">
        <is>
          <t>LA (Basco)</t>
        </is>
      </c>
      <c r="D245" s="17" t="inlineStr">
        <is>
          <t>Raw Material--Steel</t>
        </is>
      </c>
      <c r="E245" s="19" t="n">
        <v>9139</v>
      </c>
      <c r="F245" s="19" t="n">
        <v>21.31</v>
      </c>
      <c r="G245" s="20">
        <f>IF(E245=0,"",F245/E245*100)</f>
        <v/>
      </c>
      <c r="H245" s="19">
        <f>E245-F245</f>
        <v/>
      </c>
      <c r="I245" s="44" t="n">
        <v>47849</v>
      </c>
      <c r="J245" s="45" t="n">
        <v>912476.8</v>
      </c>
      <c r="K245" s="46">
        <f>IF(J245=0,"",H245/J245)</f>
        <v/>
      </c>
      <c r="L245" s="17" t="inlineStr">
        <is>
          <t>Yes — on projection</t>
        </is>
      </c>
    </row>
    <row r="246">
      <c r="A246" s="17" t="inlineStr">
        <is>
          <t>EE-INJ-120</t>
        </is>
      </c>
      <c r="B246" s="18" t="inlineStr">
        <is>
          <t>INJ</t>
        </is>
      </c>
      <c r="C246" s="18" t="inlineStr">
        <is>
          <t>LA (Basco)</t>
        </is>
      </c>
      <c r="D246" s="17" t="inlineStr">
        <is>
          <t>Phase 4 Electrical Infrastructure</t>
        </is>
      </c>
      <c r="E246" s="19" t="n">
        <v>12090.91</v>
      </c>
      <c r="F246" s="19" t="n">
        <v>28.19</v>
      </c>
      <c r="G246" s="20">
        <f>IF(E246=0,"",F246/E246*100)</f>
        <v/>
      </c>
      <c r="H246" s="19">
        <f>E246-F246</f>
        <v/>
      </c>
      <c r="I246" s="44" t="n">
        <v>47849</v>
      </c>
      <c r="J246" s="45" t="n">
        <v>912476.8</v>
      </c>
      <c r="K246" s="46">
        <f>IF(J246=0,"",H246/J246)</f>
        <v/>
      </c>
      <c r="L246" s="17" t="inlineStr">
        <is>
          <t>Yes — on projection</t>
        </is>
      </c>
    </row>
    <row r="247">
      <c r="A247" s="17" t="inlineStr">
        <is>
          <t>EE-INJ-121</t>
        </is>
      </c>
      <c r="B247" s="18" t="inlineStr">
        <is>
          <t>INJ</t>
        </is>
      </c>
      <c r="C247" s="18" t="inlineStr">
        <is>
          <t>LA (Basco)</t>
        </is>
      </c>
      <c r="D247" s="17" t="inlineStr">
        <is>
          <t>Shipping Container</t>
        </is>
      </c>
      <c r="E247" s="19" t="n">
        <v>9723</v>
      </c>
      <c r="F247" s="19" t="n">
        <v>22.67</v>
      </c>
      <c r="G247" s="20">
        <f>IF(E247=0,"",F247/E247*100)</f>
        <v/>
      </c>
      <c r="H247" s="19">
        <f>E247-F247</f>
        <v/>
      </c>
      <c r="I247" s="44" t="n">
        <v>47849</v>
      </c>
      <c r="J247" s="45" t="n">
        <v>912476.8</v>
      </c>
      <c r="K247" s="46">
        <f>IF(J247=0,"",H247/J247)</f>
        <v/>
      </c>
      <c r="L247" s="17" t="inlineStr">
        <is>
          <t>Yes — on projection</t>
        </is>
      </c>
    </row>
    <row r="248">
      <c r="A248" s="17" t="inlineStr">
        <is>
          <t>EE-INJ-122</t>
        </is>
      </c>
      <c r="B248" s="18" t="inlineStr">
        <is>
          <t>INJ</t>
        </is>
      </c>
      <c r="C248" s="18" t="inlineStr">
        <is>
          <t>LA (Basco)</t>
        </is>
      </c>
      <c r="D248" s="17" t="inlineStr">
        <is>
          <t>Indiana Scale Company IN7620</t>
        </is>
      </c>
      <c r="E248" s="19" t="n">
        <v>254</v>
      </c>
      <c r="F248" s="19" t="n">
        <v>0.59</v>
      </c>
      <c r="G248" s="20">
        <f>IF(E248=0,"",F248/E248*100)</f>
        <v/>
      </c>
      <c r="H248" s="19">
        <f>E248-F248</f>
        <v/>
      </c>
      <c r="I248" s="44" t="n">
        <v>47849</v>
      </c>
      <c r="J248" s="45" t="n">
        <v>912476.8</v>
      </c>
      <c r="K248" s="46">
        <f>IF(J248=0,"",H248/J248)</f>
        <v/>
      </c>
      <c r="L248" s="17" t="inlineStr">
        <is>
          <t>Yes — on projection</t>
        </is>
      </c>
    </row>
    <row r="249">
      <c r="A249" s="17" t="inlineStr">
        <is>
          <t>EE-INJ-123</t>
        </is>
      </c>
      <c r="B249" s="18" t="inlineStr">
        <is>
          <t>INJ</t>
        </is>
      </c>
      <c r="C249" s="18" t="inlineStr">
        <is>
          <t>LA (Basco)</t>
        </is>
      </c>
      <c r="D249" s="17" t="inlineStr">
        <is>
          <t>Air Compressor Tanks</t>
        </is>
      </c>
      <c r="E249" s="19" t="n">
        <v>250.1</v>
      </c>
      <c r="F249" s="19" t="n">
        <v>0.58</v>
      </c>
      <c r="G249" s="20">
        <f>IF(E249=0,"",F249/E249*100)</f>
        <v/>
      </c>
      <c r="H249" s="19">
        <f>E249-F249</f>
        <v/>
      </c>
      <c r="I249" s="44" t="n">
        <v>47849</v>
      </c>
      <c r="J249" s="45" t="n">
        <v>912476.8</v>
      </c>
      <c r="K249" s="46">
        <f>IF(J249=0,"",H249/J249)</f>
        <v/>
      </c>
      <c r="L249" s="17" t="inlineStr">
        <is>
          <t>Yes — on projection</t>
        </is>
      </c>
    </row>
    <row r="250">
      <c r="A250" s="17" t="inlineStr">
        <is>
          <t>EE-INJ-124</t>
        </is>
      </c>
      <c r="B250" s="18" t="inlineStr">
        <is>
          <t>INJ</t>
        </is>
      </c>
      <c r="C250" s="18" t="inlineStr">
        <is>
          <t>LA (Basco)</t>
        </is>
      </c>
      <c r="D250" s="17" t="inlineStr">
        <is>
          <t>IBC Tote w Steel Pallet (275 Gal) Mar/Apr 24</t>
        </is>
      </c>
      <c r="E250" s="19" t="n">
        <v>4186</v>
      </c>
      <c r="F250" s="19" t="n">
        <v>9.76</v>
      </c>
      <c r="G250" s="20">
        <f>IF(E250=0,"",F250/E250*100)</f>
        <v/>
      </c>
      <c r="H250" s="19">
        <f>E250-F250</f>
        <v/>
      </c>
      <c r="I250" s="44" t="n">
        <v>47849</v>
      </c>
      <c r="J250" s="45" t="n">
        <v>912476.8</v>
      </c>
      <c r="K250" s="46">
        <f>IF(J250=0,"",H250/J250)</f>
        <v/>
      </c>
      <c r="L250" s="17" t="inlineStr">
        <is>
          <t>Yes — on projection</t>
        </is>
      </c>
    </row>
    <row r="251">
      <c r="A251" s="17" t="inlineStr">
        <is>
          <t>EE-INJ-125</t>
        </is>
      </c>
      <c r="B251" s="18" t="inlineStr">
        <is>
          <t>INJ</t>
        </is>
      </c>
      <c r="C251" s="18" t="inlineStr">
        <is>
          <t>LA (Basco)</t>
        </is>
      </c>
      <c r="D251" s="17" t="inlineStr">
        <is>
          <t>Storage Tank 4</t>
        </is>
      </c>
      <c r="E251" s="19" t="n">
        <v>4231</v>
      </c>
      <c r="F251" s="19" t="n">
        <v>9.859999999999999</v>
      </c>
      <c r="G251" s="20">
        <f>IF(E251=0,"",F251/E251*100)</f>
        <v/>
      </c>
      <c r="H251" s="19">
        <f>E251-F251</f>
        <v/>
      </c>
      <c r="I251" s="44" t="n">
        <v>47849</v>
      </c>
      <c r="J251" s="45" t="n">
        <v>912476.8</v>
      </c>
      <c r="K251" s="46">
        <f>IF(J251=0,"",H251/J251)</f>
        <v/>
      </c>
      <c r="L251" s="17" t="inlineStr">
        <is>
          <t>Yes — on projection</t>
        </is>
      </c>
    </row>
    <row r="252">
      <c r="A252" s="17" t="inlineStr">
        <is>
          <t>EE-INJ-127</t>
        </is>
      </c>
      <c r="B252" s="18" t="inlineStr">
        <is>
          <t>INJ</t>
        </is>
      </c>
      <c r="C252" s="18" t="inlineStr">
        <is>
          <t>LA (Basco)</t>
        </is>
      </c>
      <c r="D252" s="17" t="inlineStr">
        <is>
          <t>Shipping Container 3</t>
        </is>
      </c>
      <c r="E252" s="19" t="n">
        <v>2922</v>
      </c>
      <c r="F252" s="19" t="n">
        <v>6.81</v>
      </c>
      <c r="G252" s="20">
        <f>IF(E252=0,"",F252/E252*100)</f>
        <v/>
      </c>
      <c r="H252" s="19">
        <f>E252-F252</f>
        <v/>
      </c>
      <c r="I252" s="44" t="n">
        <v>47849</v>
      </c>
      <c r="J252" s="45" t="n">
        <v>912476.8</v>
      </c>
      <c r="K252" s="46">
        <f>IF(J252=0,"",H252/J252)</f>
        <v/>
      </c>
      <c r="L252" s="17" t="inlineStr">
        <is>
          <t>Yes — on projection</t>
        </is>
      </c>
    </row>
    <row r="253">
      <c r="A253" s="17" t="inlineStr">
        <is>
          <t>EE-INJ-128</t>
        </is>
      </c>
      <c r="B253" s="18" t="inlineStr">
        <is>
          <t>INJ</t>
        </is>
      </c>
      <c r="C253" s="18" t="inlineStr">
        <is>
          <t>LA (Basco)</t>
        </is>
      </c>
      <c r="D253" s="17" t="inlineStr">
        <is>
          <t>Yale Forklift</t>
        </is>
      </c>
      <c r="E253" s="19" t="n">
        <v>5387</v>
      </c>
      <c r="F253" s="19" t="n">
        <v>12.56</v>
      </c>
      <c r="G253" s="20">
        <f>IF(E253=0,"",F253/E253*100)</f>
        <v/>
      </c>
      <c r="H253" s="19">
        <f>E253-F253</f>
        <v/>
      </c>
      <c r="I253" s="44" t="n">
        <v>47849</v>
      </c>
      <c r="J253" s="45" t="n">
        <v>912476.8</v>
      </c>
      <c r="K253" s="46">
        <f>IF(J253=0,"",H253/J253)</f>
        <v/>
      </c>
      <c r="L253" s="17" t="inlineStr">
        <is>
          <t>Yes — on projection</t>
        </is>
      </c>
    </row>
    <row r="254">
      <c r="A254" s="17" t="inlineStr">
        <is>
          <t>EE-INJ-129</t>
        </is>
      </c>
      <c r="B254" s="18" t="inlineStr">
        <is>
          <t>INJ</t>
        </is>
      </c>
      <c r="C254" s="18" t="inlineStr">
        <is>
          <t>LA (Basco)</t>
        </is>
      </c>
      <c r="D254" s="17" t="inlineStr">
        <is>
          <t>Ballymore Ladder</t>
        </is>
      </c>
      <c r="E254" s="19" t="n">
        <v>119</v>
      </c>
      <c r="F254" s="19" t="n">
        <v>0.28</v>
      </c>
      <c r="G254" s="20">
        <f>IF(E254=0,"",F254/E254*100)</f>
        <v/>
      </c>
      <c r="H254" s="19">
        <f>E254-F254</f>
        <v/>
      </c>
      <c r="I254" s="44" t="n">
        <v>47849</v>
      </c>
      <c r="J254" s="45" t="n">
        <v>912476.8</v>
      </c>
      <c r="K254" s="46">
        <f>IF(J254=0,"",H254/J254)</f>
        <v/>
      </c>
      <c r="L254" s="17" t="inlineStr">
        <is>
          <t>Yes — on projection</t>
        </is>
      </c>
    </row>
    <row r="255">
      <c r="A255" s="17" t="inlineStr">
        <is>
          <t>EE-INJ-130</t>
        </is>
      </c>
      <c r="B255" s="18" t="inlineStr">
        <is>
          <t>INJ</t>
        </is>
      </c>
      <c r="C255" s="18" t="inlineStr">
        <is>
          <t>LA (Basco)</t>
        </is>
      </c>
      <c r="D255" s="17" t="inlineStr">
        <is>
          <t>Hotsy Pressure Washer</t>
        </is>
      </c>
      <c r="E255" s="19" t="n">
        <v>472</v>
      </c>
      <c r="F255" s="19" t="n">
        <v>1.1</v>
      </c>
      <c r="G255" s="20">
        <f>IF(E255=0,"",F255/E255*100)</f>
        <v/>
      </c>
      <c r="H255" s="19">
        <f>E255-F255</f>
        <v/>
      </c>
      <c r="I255" s="44" t="n">
        <v>47849</v>
      </c>
      <c r="J255" s="45" t="n">
        <v>912476.8</v>
      </c>
      <c r="K255" s="46">
        <f>IF(J255=0,"",H255/J255)</f>
        <v/>
      </c>
      <c r="L255" s="17" t="inlineStr">
        <is>
          <t>Yes — on projection</t>
        </is>
      </c>
    </row>
    <row r="256">
      <c r="A256" s="17" t="inlineStr">
        <is>
          <t>EE-INJ-131</t>
        </is>
      </c>
      <c r="B256" s="18" t="inlineStr">
        <is>
          <t>INJ</t>
        </is>
      </c>
      <c r="C256" s="18" t="inlineStr">
        <is>
          <t>LA (Basco)</t>
        </is>
      </c>
      <c r="D256" s="17" t="inlineStr">
        <is>
          <t>IBC Tote w Steel Pallet (330 Gal) October 24</t>
        </is>
      </c>
      <c r="E256" s="19" t="n">
        <v>7623</v>
      </c>
      <c r="F256" s="19" t="n">
        <v>17.77</v>
      </c>
      <c r="G256" s="20">
        <f>IF(E256=0,"",F256/E256*100)</f>
        <v/>
      </c>
      <c r="H256" s="19">
        <f>E256-F256</f>
        <v/>
      </c>
      <c r="I256" s="44" t="n">
        <v>47849</v>
      </c>
      <c r="J256" s="45" t="n">
        <v>912476.8</v>
      </c>
      <c r="K256" s="46">
        <f>IF(J256=0,"",H256/J256)</f>
        <v/>
      </c>
      <c r="L256" s="17" t="inlineStr">
        <is>
          <t>Yes — on projection</t>
        </is>
      </c>
    </row>
    <row r="257">
      <c r="A257" s="17" t="inlineStr">
        <is>
          <t>EE-INJ-132</t>
        </is>
      </c>
      <c r="B257" s="18" t="inlineStr">
        <is>
          <t>INJ</t>
        </is>
      </c>
      <c r="C257" s="18" t="inlineStr">
        <is>
          <t>LA (Basco)</t>
        </is>
      </c>
      <c r="D257" s="17" t="inlineStr">
        <is>
          <t>Sliding Vane Pump</t>
        </is>
      </c>
      <c r="E257" s="19" t="n">
        <v>3856</v>
      </c>
      <c r="F257" s="19" t="n">
        <v>8.99</v>
      </c>
      <c r="G257" s="20">
        <f>IF(E257=0,"",F257/E257*100)</f>
        <v/>
      </c>
      <c r="H257" s="19">
        <f>E257-F257</f>
        <v/>
      </c>
      <c r="I257" s="44" t="n">
        <v>47849</v>
      </c>
      <c r="J257" s="45" t="n">
        <v>912476.8</v>
      </c>
      <c r="K257" s="46">
        <f>IF(J257=0,"",H257/J257)</f>
        <v/>
      </c>
      <c r="L257" s="17" t="inlineStr">
        <is>
          <t>Yes — on projection</t>
        </is>
      </c>
    </row>
    <row r="258">
      <c r="A258" s="17" t="inlineStr">
        <is>
          <t>EE-INJ-133</t>
        </is>
      </c>
      <c r="B258" s="18" t="inlineStr">
        <is>
          <t>INJ</t>
        </is>
      </c>
      <c r="C258" s="18" t="inlineStr">
        <is>
          <t>LA (Basco)</t>
        </is>
      </c>
      <c r="D258" s="17" t="inlineStr">
        <is>
          <t>Tank Piping Upgrade</t>
        </is>
      </c>
      <c r="E258" s="19" t="n">
        <v>454</v>
      </c>
      <c r="F258" s="19" t="n">
        <v>1.06</v>
      </c>
      <c r="G258" s="20">
        <f>IF(E258=0,"",F258/E258*100)</f>
        <v/>
      </c>
      <c r="H258" s="19">
        <f>E258-F258</f>
        <v/>
      </c>
      <c r="I258" s="44" t="n">
        <v>47849</v>
      </c>
      <c r="J258" s="45" t="n">
        <v>912476.8</v>
      </c>
      <c r="K258" s="46">
        <f>IF(J258=0,"",H258/J258)</f>
        <v/>
      </c>
      <c r="L258" s="17" t="inlineStr">
        <is>
          <t>Yes — on projection</t>
        </is>
      </c>
    </row>
    <row r="259">
      <c r="A259" s="3" t="inlineStr">
        <is>
          <t>EE-CO-126</t>
        </is>
      </c>
      <c r="B259" s="4" t="inlineStr">
        <is>
          <t>CO</t>
        </is>
      </c>
      <c r="C259" s="4" t="inlineStr">
        <is>
          <t>Charm CO</t>
        </is>
      </c>
      <c r="D259" s="3" t="inlineStr">
        <is>
          <t>55 Gal Drum</t>
        </is>
      </c>
      <c r="E259" s="5" t="n">
        <v>391.8</v>
      </c>
      <c r="F259" s="5" t="n">
        <v>4.44</v>
      </c>
      <c r="G259" s="6">
        <f>IF(E259=0,"",F259/E259*100)</f>
        <v/>
      </c>
      <c r="H259" s="5">
        <f>E259-F259</f>
        <v/>
      </c>
      <c r="I259" s="38" t="n">
        <v>47874</v>
      </c>
      <c r="J259" s="39" t="n">
        <v>912476.8</v>
      </c>
      <c r="K259" s="40">
        <f>IF(J259=0,"",H259/J259)</f>
        <v/>
      </c>
      <c r="L259" s="3" t="inlineStr">
        <is>
          <t>Yes — on projection</t>
        </is>
      </c>
    </row>
    <row r="260">
      <c r="A260" s="3" t="inlineStr">
        <is>
          <t>EE-CO-127</t>
        </is>
      </c>
      <c r="B260" s="4" t="inlineStr">
        <is>
          <t>CO</t>
        </is>
      </c>
      <c r="C260" s="4" t="inlineStr">
        <is>
          <t>Charm CO</t>
        </is>
      </c>
      <c r="D260" s="3" t="inlineStr">
        <is>
          <t>55 Gal Drum</t>
        </is>
      </c>
      <c r="E260" s="5" t="n">
        <v>522.4</v>
      </c>
      <c r="F260" s="5" t="n">
        <v>5.92</v>
      </c>
      <c r="G260" s="6">
        <f>IF(E260=0,"",F260/E260*100)</f>
        <v/>
      </c>
      <c r="H260" s="5">
        <f>E260-F260</f>
        <v/>
      </c>
      <c r="I260" s="38" t="n">
        <v>47874</v>
      </c>
      <c r="J260" s="39" t="n">
        <v>912476.8</v>
      </c>
      <c r="K260" s="40">
        <f>IF(J260=0,"",H260/J260)</f>
        <v/>
      </c>
      <c r="L260" s="3" t="inlineStr">
        <is>
          <t>Yes — on projection</t>
        </is>
      </c>
    </row>
    <row r="261">
      <c r="A261" s="3" t="inlineStr">
        <is>
          <t>EE-CO-125</t>
        </is>
      </c>
      <c r="B261" s="4" t="inlineStr">
        <is>
          <t>CO</t>
        </is>
      </c>
      <c r="C261" s="4" t="inlineStr">
        <is>
          <t>Charm CO</t>
        </is>
      </c>
      <c r="D261" s="3" t="inlineStr">
        <is>
          <t>Reactor Armour</t>
        </is>
      </c>
      <c r="E261" s="5" t="n">
        <v>54.76</v>
      </c>
      <c r="F261" s="5" t="n">
        <v>0.62</v>
      </c>
      <c r="G261" s="6">
        <f>IF(E261=0,"",F261/E261*100)</f>
        <v/>
      </c>
      <c r="H261" s="5">
        <f>E261-F261</f>
        <v/>
      </c>
      <c r="I261" s="38" t="n">
        <v>47875</v>
      </c>
      <c r="J261" s="39" t="n">
        <v>912476.8</v>
      </c>
      <c r="K261" s="40">
        <f>IF(J261=0,"",H261/J261)</f>
        <v/>
      </c>
      <c r="L261" s="3" t="inlineStr">
        <is>
          <t>Yes — on projection</t>
        </is>
      </c>
    </row>
    <row r="262">
      <c r="A262" s="17" t="inlineStr">
        <is>
          <t>EE-INJ-134</t>
        </is>
      </c>
      <c r="B262" s="18" t="inlineStr">
        <is>
          <t>INJ</t>
        </is>
      </c>
      <c r="C262" s="18" t="inlineStr">
        <is>
          <t>LA (Basco)</t>
        </is>
      </c>
      <c r="D262" s="17" t="inlineStr">
        <is>
          <t>Ready Mix Concrete (80lb bags)</t>
        </is>
      </c>
      <c r="E262" s="19" t="n">
        <v>13.8</v>
      </c>
      <c r="F262" s="19" t="n">
        <v>0.02</v>
      </c>
      <c r="G262" s="20">
        <f>IF(E262=0,"",F262/E262*100)</f>
        <v/>
      </c>
      <c r="H262" s="19">
        <f>E262-F262</f>
        <v/>
      </c>
      <c r="I262" s="44" t="n">
        <v>47882</v>
      </c>
      <c r="J262" s="45" t="n">
        <v>912476.8</v>
      </c>
      <c r="K262" s="46">
        <f>IF(J262=0,"",H262/J262)</f>
        <v/>
      </c>
      <c r="L262" s="17" t="inlineStr">
        <is>
          <t>Yes — on projection</t>
        </is>
      </c>
    </row>
    <row r="263">
      <c r="A263" s="17" t="inlineStr">
        <is>
          <t>EE-INJ-135</t>
        </is>
      </c>
      <c r="B263" s="18" t="inlineStr">
        <is>
          <t>INJ</t>
        </is>
      </c>
      <c r="C263" s="18" t="inlineStr">
        <is>
          <t>LA (Basco)</t>
        </is>
      </c>
      <c r="D263" s="17" t="inlineStr">
        <is>
          <t>Radiant Tower Heater</t>
        </is>
      </c>
      <c r="E263" s="19" t="n">
        <v>67.98</v>
      </c>
      <c r="F263" s="19" t="n">
        <v>0.1</v>
      </c>
      <c r="G263" s="20">
        <f>IF(E263=0,"",F263/E263*100)</f>
        <v/>
      </c>
      <c r="H263" s="19">
        <f>E263-F263</f>
        <v/>
      </c>
      <c r="I263" s="44" t="n">
        <v>47882</v>
      </c>
      <c r="J263" s="45" t="n">
        <v>912476.8</v>
      </c>
      <c r="K263" s="46">
        <f>IF(J263=0,"",H263/J263)</f>
        <v/>
      </c>
      <c r="L263" s="17" t="inlineStr">
        <is>
          <t>Yes — on projection</t>
        </is>
      </c>
    </row>
    <row r="264">
      <c r="A264" s="17" t="inlineStr">
        <is>
          <t>EE-INJ-136</t>
        </is>
      </c>
      <c r="B264" s="18" t="inlineStr">
        <is>
          <t>INJ</t>
        </is>
      </c>
      <c r="C264" s="18" t="inlineStr">
        <is>
          <t>LA (Basco)</t>
        </is>
      </c>
      <c r="D264" s="17" t="inlineStr">
        <is>
          <t>6'x8' Corner Post Treated</t>
        </is>
      </c>
      <c r="E264" s="19" t="n">
        <v>16.83</v>
      </c>
      <c r="F264" s="19" t="n">
        <v>0.02</v>
      </c>
      <c r="G264" s="20">
        <f>IF(E264=0,"",F264/E264*100)</f>
        <v/>
      </c>
      <c r="H264" s="19">
        <f>E264-F264</f>
        <v/>
      </c>
      <c r="I264" s="44" t="n">
        <v>47882</v>
      </c>
      <c r="J264" s="45" t="n">
        <v>912476.8</v>
      </c>
      <c r="K264" s="46">
        <f>IF(J264=0,"",H264/J264)</f>
        <v/>
      </c>
      <c r="L264" s="17" t="inlineStr">
        <is>
          <t>Yes — on projection</t>
        </is>
      </c>
    </row>
    <row r="265">
      <c r="A265" s="17" t="inlineStr">
        <is>
          <t>EE-INJ-137</t>
        </is>
      </c>
      <c r="B265" s="18" t="inlineStr">
        <is>
          <t>INJ</t>
        </is>
      </c>
      <c r="C265" s="18" t="inlineStr">
        <is>
          <t>LA (Basco)</t>
        </is>
      </c>
      <c r="D265" s="17" t="inlineStr">
        <is>
          <t>Wire Filled Gate 12' Black (WFGBL12)</t>
        </is>
      </c>
      <c r="E265" s="19" t="n">
        <v>172.1</v>
      </c>
      <c r="F265" s="19" t="n">
        <v>0.24</v>
      </c>
      <c r="G265" s="20">
        <f>IF(E265=0,"",F265/E265*100)</f>
        <v/>
      </c>
      <c r="H265" s="19">
        <f>E265-F265</f>
        <v/>
      </c>
      <c r="I265" s="44" t="n">
        <v>47882</v>
      </c>
      <c r="J265" s="45" t="n">
        <v>912476.8</v>
      </c>
      <c r="K265" s="46">
        <f>IF(J265=0,"",H265/J265)</f>
        <v/>
      </c>
      <c r="L265" s="17" t="inlineStr">
        <is>
          <t>Yes — on projection</t>
        </is>
      </c>
    </row>
    <row r="266">
      <c r="A266" s="17" t="inlineStr">
        <is>
          <t>EE-INJ-138</t>
        </is>
      </c>
      <c r="B266" s="18" t="inlineStr">
        <is>
          <t>INJ</t>
        </is>
      </c>
      <c r="C266" s="18" t="inlineStr">
        <is>
          <t>LA (Basco)</t>
        </is>
      </c>
      <c r="D266" s="17" t="inlineStr">
        <is>
          <t>Duplex Basket Strainer</t>
        </is>
      </c>
      <c r="E266" s="19" t="n">
        <v>87.42</v>
      </c>
      <c r="F266" s="19" t="n">
        <v>0.06</v>
      </c>
      <c r="G266" s="20">
        <f>IF(E266=0,"",F266/E266*100)</f>
        <v/>
      </c>
      <c r="H266" s="19">
        <f>E266-F266</f>
        <v/>
      </c>
      <c r="I266" s="44" t="n">
        <v>47908</v>
      </c>
      <c r="J266" s="45" t="n">
        <v>912476.8</v>
      </c>
      <c r="K266" s="46">
        <f>IF(J266=0,"",H266/J266)</f>
        <v/>
      </c>
      <c r="L266" s="17" t="inlineStr">
        <is>
          <t>Yes — on projection</t>
        </is>
      </c>
    </row>
    <row r="267">
      <c r="A267" s="17" t="inlineStr">
        <is>
          <t>EE-INJ-139</t>
        </is>
      </c>
      <c r="B267" s="18" t="inlineStr">
        <is>
          <t>INJ</t>
        </is>
      </c>
      <c r="C267" s="18" t="inlineStr">
        <is>
          <t>LA (Basco)</t>
        </is>
      </c>
      <c r="D267" s="17" t="inlineStr">
        <is>
          <t>3-panel Triton Shale Shaker</t>
        </is>
      </c>
      <c r="E267" s="19" t="n">
        <v>3750.3</v>
      </c>
      <c r="F267" s="19" t="n">
        <v>2.37</v>
      </c>
      <c r="G267" s="20">
        <f>IF(E267=0,"",F267/E267*100)</f>
        <v/>
      </c>
      <c r="H267" s="19">
        <f>E267-F267</f>
        <v/>
      </c>
      <c r="I267" s="44" t="n">
        <v>47908</v>
      </c>
      <c r="J267" s="45" t="n">
        <v>912476.8</v>
      </c>
      <c r="K267" s="46">
        <f>IF(J267=0,"",H267/J267)</f>
        <v/>
      </c>
      <c r="L267" s="17" t="inlineStr">
        <is>
          <t>Yes — on projection</t>
        </is>
      </c>
    </row>
    <row r="268">
      <c r="A268" s="17" t="inlineStr">
        <is>
          <t>EE-INJ-140</t>
        </is>
      </c>
      <c r="B268" s="18" t="inlineStr">
        <is>
          <t>INJ</t>
        </is>
      </c>
      <c r="C268" s="18" t="inlineStr">
        <is>
          <t>LA (Basco)</t>
        </is>
      </c>
      <c r="D268" s="17" t="inlineStr">
        <is>
          <t>65 bbl Catch Tank</t>
        </is>
      </c>
      <c r="E268" s="19" t="n">
        <v>5354.19</v>
      </c>
      <c r="F268" s="19" t="n">
        <v>3.38</v>
      </c>
      <c r="G268" s="20">
        <f>IF(E268=0,"",F268/E268*100)</f>
        <v/>
      </c>
      <c r="H268" s="19">
        <f>E268-F268</f>
        <v/>
      </c>
      <c r="I268" s="44" t="n">
        <v>47908</v>
      </c>
      <c r="J268" s="45" t="n">
        <v>912476.8</v>
      </c>
      <c r="K268" s="46">
        <f>IF(J268=0,"",H268/J268)</f>
        <v/>
      </c>
      <c r="L268" s="17" t="inlineStr">
        <is>
          <t>Yes — on projection</t>
        </is>
      </c>
    </row>
    <row r="269">
      <c r="A269" s="17" t="inlineStr">
        <is>
          <t>EE-INJ-141</t>
        </is>
      </c>
      <c r="B269" s="18" t="inlineStr">
        <is>
          <t>INJ</t>
        </is>
      </c>
      <c r="C269" s="18" t="inlineStr">
        <is>
          <t>LA (Basco)</t>
        </is>
      </c>
      <c r="D269" s="17" t="inlineStr">
        <is>
          <t>316 SS Air-Powered Double Diaphragm Pump, 150 GPM</t>
        </is>
      </c>
      <c r="E269" s="19" t="n">
        <v>126.5</v>
      </c>
      <c r="F269" s="19" t="n">
        <v>0.08</v>
      </c>
      <c r="G269" s="20">
        <f>IF(E269=0,"",F269/E269*100)</f>
        <v/>
      </c>
      <c r="H269" s="19">
        <f>E269-F269</f>
        <v/>
      </c>
      <c r="I269" s="44" t="n">
        <v>47908</v>
      </c>
      <c r="J269" s="45" t="n">
        <v>912476.8</v>
      </c>
      <c r="K269" s="46">
        <f>IF(J269=0,"",H269/J269)</f>
        <v/>
      </c>
      <c r="L269" s="17" t="inlineStr">
        <is>
          <t>Yes — on projection</t>
        </is>
      </c>
    </row>
    <row r="270">
      <c r="A270" s="17" t="inlineStr">
        <is>
          <t>EE-INJ-142</t>
        </is>
      </c>
      <c r="B270" s="18" t="inlineStr">
        <is>
          <t>INJ</t>
        </is>
      </c>
      <c r="C270" s="18" t="inlineStr">
        <is>
          <t>LA (Basco)</t>
        </is>
      </c>
      <c r="D270" s="17" t="inlineStr">
        <is>
          <t>Kerry Tank (6,000 Gal Stainless Steel)</t>
        </is>
      </c>
      <c r="E270" s="19" t="n">
        <v>1801.86</v>
      </c>
      <c r="F270" s="19" t="n">
        <v>1.14</v>
      </c>
      <c r="G270" s="20">
        <f>IF(E270=0,"",F270/E270*100)</f>
        <v/>
      </c>
      <c r="H270" s="19">
        <f>E270-F270</f>
        <v/>
      </c>
      <c r="I270" s="44" t="n">
        <v>47908</v>
      </c>
      <c r="J270" s="45" t="n">
        <v>912476.8</v>
      </c>
      <c r="K270" s="46">
        <f>IF(J270=0,"",H270/J270)</f>
        <v/>
      </c>
      <c r="L270" s="17" t="inlineStr">
        <is>
          <t>Yes — on projection</t>
        </is>
      </c>
    </row>
    <row r="271">
      <c r="A271" s="17" t="inlineStr">
        <is>
          <t>EE-INJ-143</t>
        </is>
      </c>
      <c r="B271" s="18" t="inlineStr">
        <is>
          <t>INJ</t>
        </is>
      </c>
      <c r="C271" s="18" t="inlineStr">
        <is>
          <t>LA (Basco)</t>
        </is>
      </c>
      <c r="D271" s="17" t="inlineStr">
        <is>
          <t>60kW Diesel Generator</t>
        </is>
      </c>
      <c r="E271" s="19" t="n">
        <v>3187.75</v>
      </c>
      <c r="F271" s="19" t="n">
        <v>2.01</v>
      </c>
      <c r="G271" s="20">
        <f>IF(E271=0,"",F271/E271*100)</f>
        <v/>
      </c>
      <c r="H271" s="19">
        <f>E271-F271</f>
        <v/>
      </c>
      <c r="I271" s="44" t="n">
        <v>47908</v>
      </c>
      <c r="J271" s="45" t="n">
        <v>912476.8</v>
      </c>
      <c r="K271" s="46">
        <f>IF(J271=0,"",H271/J271)</f>
        <v/>
      </c>
      <c r="L271" s="17" t="inlineStr">
        <is>
          <t>Yes — on projection</t>
        </is>
      </c>
    </row>
    <row r="272">
      <c r="A272" s="17" t="inlineStr">
        <is>
          <t>EE-INJ-144</t>
        </is>
      </c>
      <c r="B272" s="18" t="inlineStr">
        <is>
          <t>INJ</t>
        </is>
      </c>
      <c r="C272" s="18" t="inlineStr">
        <is>
          <t>LA (Basco)</t>
        </is>
      </c>
      <c r="D272" s="17" t="inlineStr">
        <is>
          <t>Kerr T30M Horizontal Triplex Plunger Pump</t>
        </is>
      </c>
      <c r="E272" s="19" t="n">
        <v>365.65</v>
      </c>
      <c r="F272" s="19" t="n">
        <v>0.23</v>
      </c>
      <c r="G272" s="20">
        <f>IF(E272=0,"",F272/E272*100)</f>
        <v/>
      </c>
      <c r="H272" s="19">
        <f>E272-F272</f>
        <v/>
      </c>
      <c r="I272" s="44" t="n">
        <v>47908</v>
      </c>
      <c r="J272" s="45" t="n">
        <v>912476.8</v>
      </c>
      <c r="K272" s="46">
        <f>IF(J272=0,"",H272/J272)</f>
        <v/>
      </c>
      <c r="L272" s="17" t="inlineStr">
        <is>
          <t>Yes — on projection</t>
        </is>
      </c>
    </row>
    <row r="273">
      <c r="A273" s="17" t="inlineStr">
        <is>
          <t>EE-INJ-145</t>
        </is>
      </c>
      <c r="B273" s="18" t="inlineStr">
        <is>
          <t>INJ</t>
        </is>
      </c>
      <c r="C273" s="18" t="inlineStr">
        <is>
          <t>LA (Basco)</t>
        </is>
      </c>
      <c r="D273" s="17" t="inlineStr">
        <is>
          <t>GASO 3364 Triplex Plunger Pump</t>
        </is>
      </c>
      <c r="E273" s="19" t="n">
        <v>675.08</v>
      </c>
      <c r="F273" s="19" t="n">
        <v>0.43</v>
      </c>
      <c r="G273" s="20">
        <f>IF(E273=0,"",F273/E273*100)</f>
        <v/>
      </c>
      <c r="H273" s="19">
        <f>E273-F273</f>
        <v/>
      </c>
      <c r="I273" s="44" t="n">
        <v>47908</v>
      </c>
      <c r="J273" s="45" t="n">
        <v>912476.8</v>
      </c>
      <c r="K273" s="46">
        <f>IF(J273=0,"",H273/J273)</f>
        <v/>
      </c>
      <c r="L273" s="17" t="inlineStr">
        <is>
          <t>Yes — on projection</t>
        </is>
      </c>
    </row>
    <row r="274">
      <c r="A274" s="17" t="inlineStr">
        <is>
          <t>EE-INJ-146</t>
        </is>
      </c>
      <c r="B274" s="18" t="inlineStr">
        <is>
          <t>INJ</t>
        </is>
      </c>
      <c r="C274" s="18" t="inlineStr">
        <is>
          <t>LA (Basco)</t>
        </is>
      </c>
      <c r="D274" s="17" t="inlineStr">
        <is>
          <t>April 2025 Site Work (Non-BCU Emissions)</t>
        </is>
      </c>
      <c r="E274" s="19" t="n">
        <v>518.26</v>
      </c>
      <c r="F274" s="19" t="n">
        <v>0.33</v>
      </c>
      <c r="G274" s="20">
        <f>IF(E274=0,"",F274/E274*100)</f>
        <v/>
      </c>
      <c r="H274" s="19">
        <f>E274-F274</f>
        <v/>
      </c>
      <c r="I274" s="44" t="n">
        <v>47908</v>
      </c>
      <c r="J274" s="45" t="n">
        <v>912476.8</v>
      </c>
      <c r="K274" s="46">
        <f>IF(J274=0,"",H274/J274)</f>
        <v/>
      </c>
      <c r="L274" s="17" t="inlineStr">
        <is>
          <t>Yes — on projection</t>
        </is>
      </c>
    </row>
    <row r="275">
      <c r="A275" s="17" t="inlineStr">
        <is>
          <t>EE-INJ-147</t>
        </is>
      </c>
      <c r="B275" s="18" t="inlineStr">
        <is>
          <t>INJ</t>
        </is>
      </c>
      <c r="C275" s="18" t="inlineStr">
        <is>
          <t>LA (Basco)</t>
        </is>
      </c>
      <c r="D275" s="17" t="inlineStr">
        <is>
          <t>Raw Structural Steel (D&amp;R Supply May 2026)</t>
        </is>
      </c>
      <c r="E275" s="19" t="n">
        <v>1137.88</v>
      </c>
      <c r="F275" s="19" t="n">
        <v>0</v>
      </c>
      <c r="G275" s="20">
        <f>IF(E275=0,"",F275/E275*100)</f>
        <v/>
      </c>
      <c r="H275" s="19">
        <f>E275-F275</f>
        <v/>
      </c>
      <c r="I275" s="44" t="n">
        <v>47939</v>
      </c>
      <c r="J275" s="45" t="n">
        <v>912476.8</v>
      </c>
      <c r="K275" s="46">
        <f>IF(J275=0,"",H275/J275)</f>
        <v/>
      </c>
      <c r="L275" s="17" t="inlineStr">
        <is>
          <t>Yes — on projection</t>
        </is>
      </c>
    </row>
    <row r="276">
      <c r="A276" s="17" t="inlineStr">
        <is>
          <t>EE-INJ-148</t>
        </is>
      </c>
      <c r="B276" s="18" t="inlineStr">
        <is>
          <t>INJ</t>
        </is>
      </c>
      <c r="C276" s="18" t="inlineStr">
        <is>
          <t>LA (Basco)</t>
        </is>
      </c>
      <c r="D276" s="17" t="inlineStr">
        <is>
          <t>3" Sch40 316SS Triple-Action Static Mixer</t>
        </is>
      </c>
      <c r="E276" s="19" t="n">
        <v>14.41</v>
      </c>
      <c r="F276" s="19" t="n">
        <v>0</v>
      </c>
      <c r="G276" s="20">
        <f>IF(E276=0,"",F276/E276*100)</f>
        <v/>
      </c>
      <c r="H276" s="19">
        <f>E276-F276</f>
        <v/>
      </c>
      <c r="I276" s="44" t="n">
        <v>47939</v>
      </c>
      <c r="J276" s="45" t="n">
        <v>912476.8</v>
      </c>
      <c r="K276" s="46">
        <f>IF(J276=0,"",H276/J276)</f>
        <v/>
      </c>
      <c r="L276" s="17" t="inlineStr">
        <is>
          <t>Yes — on projection</t>
        </is>
      </c>
    </row>
    <row r="277">
      <c r="A277" s="17" t="inlineStr">
        <is>
          <t>EE-INJ-149</t>
        </is>
      </c>
      <c r="B277" s="18" t="inlineStr">
        <is>
          <t>INJ</t>
        </is>
      </c>
      <c r="C277" s="18" t="inlineStr">
        <is>
          <t>LA (Basco)</t>
        </is>
      </c>
      <c r="D277" s="17" t="inlineStr">
        <is>
          <t>Electrical Wire (8/18/20/22 AWG)</t>
        </is>
      </c>
      <c r="E277" s="19" t="n">
        <v>47.3</v>
      </c>
      <c r="F277" s="19" t="n">
        <v>0</v>
      </c>
      <c r="G277" s="20">
        <f>IF(E277=0,"",F277/E277*100)</f>
        <v/>
      </c>
      <c r="H277" s="19">
        <f>E277-F277</f>
        <v/>
      </c>
      <c r="I277" s="44" t="n">
        <v>47939</v>
      </c>
      <c r="J277" s="45" t="n">
        <v>912476.8</v>
      </c>
      <c r="K277" s="46">
        <f>IF(J277=0,"",H277/J277)</f>
        <v/>
      </c>
      <c r="L277" s="17" t="inlineStr">
        <is>
          <t>Yes — on projection</t>
        </is>
      </c>
    </row>
    <row r="278">
      <c r="A278" s="17" t="inlineStr">
        <is>
          <t>EE-INJ-150</t>
        </is>
      </c>
      <c r="B278" s="18" t="inlineStr">
        <is>
          <t>INJ</t>
        </is>
      </c>
      <c r="C278" s="18" t="inlineStr">
        <is>
          <t>LA (Basco)</t>
        </is>
      </c>
      <c r="D278" s="17" t="inlineStr">
        <is>
          <t>Metal RV Carport (14x25x13 ft, Galvanized Steel)</t>
        </is>
      </c>
      <c r="E278" s="19" t="n">
        <v>369.42</v>
      </c>
      <c r="F278" s="19" t="n">
        <v>0</v>
      </c>
      <c r="G278" s="20">
        <f>IF(E278=0,"",F278/E278*100)</f>
        <v/>
      </c>
      <c r="H278" s="19">
        <f>E278-F278</f>
        <v/>
      </c>
      <c r="I278" s="44" t="n">
        <v>47939</v>
      </c>
      <c r="J278" s="45" t="n">
        <v>912476.8</v>
      </c>
      <c r="K278" s="46">
        <f>IF(J278=0,"",H278/J278)</f>
        <v/>
      </c>
      <c r="L278" s="17" t="inlineStr">
        <is>
          <t>Yes — on projection</t>
        </is>
      </c>
    </row>
    <row r="279"/>
    <row r="280">
      <c r="A280" s="24" t="inlineStr">
        <is>
          <t>TOTAL — CO</t>
        </is>
      </c>
      <c r="B280" s="25" t="inlineStr"/>
      <c r="C280" s="25" t="inlineStr"/>
      <c r="D280" s="25" t="inlineStr"/>
      <c r="E280" s="26" t="n">
        <v>1043355.83</v>
      </c>
      <c r="F280" s="26" t="n">
        <v>81587.13</v>
      </c>
      <c r="G280" s="27">
        <f>IF(E280=0,"",F280/E280*100)</f>
        <v/>
      </c>
      <c r="H280" s="26">
        <f>E280-F280</f>
        <v/>
      </c>
      <c r="I280" s="25" t="n"/>
      <c r="J280" s="47" t="n">
        <v>68127241.29999998</v>
      </c>
      <c r="K280" s="25">
        <f>IF(J280=0,"",H280/J280)</f>
        <v/>
      </c>
      <c r="L280" s="25" t="inlineStr"/>
    </row>
    <row r="281">
      <c r="A281" s="24" t="inlineStr">
        <is>
          <t>TOTAL — INJ</t>
        </is>
      </c>
      <c r="B281" s="25" t="inlineStr"/>
      <c r="C281" s="25" t="inlineStr"/>
      <c r="D281" s="25" t="inlineStr"/>
      <c r="E281" s="26" t="n">
        <v>519044.03</v>
      </c>
      <c r="F281" s="26" t="n">
        <v>1902.67</v>
      </c>
      <c r="G281" s="27">
        <f>IF(E281=0,"",F281/E281*100)</f>
        <v/>
      </c>
      <c r="H281" s="26">
        <f>E281-F281</f>
        <v/>
      </c>
      <c r="I281" s="25" t="n"/>
      <c r="J281" s="47" t="n">
        <v>100943561.4</v>
      </c>
      <c r="K281" s="25">
        <f>IF(J281=0,"",H281/J281)</f>
        <v/>
      </c>
      <c r="L281" s="25" t="inlineStr"/>
    </row>
    <row r="282">
      <c r="A282" s="24" t="inlineStr">
        <is>
          <t>TOTAL — ALL ACTIVE</t>
        </is>
      </c>
      <c r="B282" s="25" t="inlineStr"/>
      <c r="C282" s="25" t="inlineStr"/>
      <c r="D282" s="25" t="inlineStr"/>
      <c r="E282" s="26" t="n">
        <v>1562399.86</v>
      </c>
      <c r="F282" s="26" t="n">
        <v>83489.8</v>
      </c>
      <c r="G282" s="27">
        <f>IF(E282=0,"",F282/E282*100)</f>
        <v/>
      </c>
      <c r="H282" s="26">
        <f>E282-F282</f>
        <v/>
      </c>
      <c r="I282" s="25" t="n"/>
      <c r="J282" s="47" t="n">
        <v>169070802.7</v>
      </c>
      <c r="K282" s="25">
        <f>IF(J282=0,"",H282/J282)</f>
        <v/>
      </c>
      <c r="L282" s="25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6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Opening balance: 1,478,910 kg remaining as of 2026-04-30  |  Portfolio rate: 2.6815 kg/MT CDR  |  CDR actuals from 8 closed RPs (Historical-Actuals.csv, last: 2026-04-30)  |  Schedule from Projection.csv</t>
        </is>
      </c>
      <c r="L1" t="inlineStr">
        <is>
          <t>Opening GWP Balance (kg) — snapshot 2026-04-30</t>
        </is>
      </c>
      <c r="M1" t="n">
        <v>1478910</v>
      </c>
    </row>
    <row r="2" ht="16" customHeight="1">
      <c r="A2" s="29" t="n"/>
      <c r="B2" s="29" t="n"/>
      <c r="C2" s="30" t="inlineStr">
        <is>
          <t>GROSS CDR  (MT bio-oil)</t>
        </is>
      </c>
      <c r="H2" s="2" t="inlineStr">
        <is>
          <t>GWP AMORTIZATION  (kg)</t>
        </is>
      </c>
      <c r="L2" t="inlineStr">
        <is>
          <t>Portfolio Rate (kg/MT CDR) — snapshot 2026-04-30</t>
        </is>
      </c>
      <c r="M2" t="n">
        <v>2.6815</v>
      </c>
    </row>
    <row r="3" ht="30" customHeight="1">
      <c r="A3" s="2" t="inlineStr">
        <is>
          <t>Month</t>
        </is>
      </c>
      <c r="B3" s="2" t="inlineStr">
        <is>
          <t>Year</t>
        </is>
      </c>
      <c r="C3" s="2" t="inlineStr">
        <is>
          <t>Scheduled</t>
        </is>
      </c>
      <c r="D3" s="2" t="inlineStr">
        <is>
          <t>Actual</t>
        </is>
      </c>
      <c r="E3" s="2" t="inlineStr">
        <is>
          <t>Delta</t>
        </is>
      </c>
      <c r="F3" s="2" t="inlineStr">
        <is>
          <t>Cumul. Scheduled</t>
        </is>
      </c>
      <c r="G3" s="2" t="inlineStr">
        <is>
          <t>Cumul. Delta</t>
        </is>
      </c>
      <c r="H3" s="2" t="inlineStr">
        <is>
          <t>Expected Draw</t>
        </is>
      </c>
      <c r="I3" s="2" t="inlineStr">
        <is>
          <t>Actual Draw</t>
        </is>
      </c>
      <c r="J3" s="2" t="inlineStr">
        <is>
          <t>GWP Delta</t>
        </is>
      </c>
      <c r="K3" s="2" t="inlineStr">
        <is>
          <t>GWP Remaining</t>
        </is>
      </c>
    </row>
    <row r="4" ht="13" customHeight="1">
      <c r="A4" s="31" t="inlineStr">
        <is>
          <t>2026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</row>
    <row r="5">
      <c r="A5" s="33" t="inlineStr">
        <is>
          <t>May 2026</t>
        </is>
      </c>
      <c r="B5" s="34" t="n"/>
      <c r="C5" s="48" t="n">
        <v>3884.3</v>
      </c>
      <c r="D5" s="34" t="n"/>
      <c r="E5" s="34">
        <f>IF(D5="","",D5-C5)</f>
        <v/>
      </c>
      <c r="F5" s="48">
        <f>C5</f>
        <v/>
      </c>
      <c r="G5" s="34">
        <f>IF(E5="","",E5)</f>
        <v/>
      </c>
      <c r="H5" s="48">
        <f>C5*$M$2</f>
        <v/>
      </c>
      <c r="I5" s="34">
        <f>IF(D5="","",D5*$M$2)</f>
        <v/>
      </c>
      <c r="J5" s="34">
        <f>IF(I5="","",I5-H5)</f>
        <v/>
      </c>
      <c r="K5" s="48">
        <f>$M$1-IF(I5&lt;&gt;"",I5,H5)</f>
        <v/>
      </c>
    </row>
    <row r="6">
      <c r="A6" s="33" t="inlineStr">
        <is>
          <t>Jun 2026</t>
        </is>
      </c>
      <c r="B6" s="34" t="n"/>
      <c r="C6" s="48" t="n">
        <v>3884.3</v>
      </c>
      <c r="D6" s="34" t="n"/>
      <c r="E6" s="34">
        <f>IF(D6="","",D6-C6)</f>
        <v/>
      </c>
      <c r="F6" s="48">
        <f>F5+C6</f>
        <v/>
      </c>
      <c r="G6" s="34">
        <f>IF(G5="",IF(E6="","",E6),G5+IF(E6="",0,E6))</f>
        <v/>
      </c>
      <c r="H6" s="48">
        <f>C6*$M$2</f>
        <v/>
      </c>
      <c r="I6" s="34">
        <f>IF(D6="","",D6*$M$2)</f>
        <v/>
      </c>
      <c r="J6" s="34">
        <f>IF(I6="","",I6-H6)</f>
        <v/>
      </c>
      <c r="K6" s="48">
        <f>K5-IF(I6&lt;&gt;"",I6,H6)</f>
        <v/>
      </c>
    </row>
    <row r="7">
      <c r="A7" s="33" t="inlineStr">
        <is>
          <t>Jul 2026</t>
        </is>
      </c>
      <c r="B7" s="34" t="n"/>
      <c r="C7" s="48" t="n">
        <v>3884.3</v>
      </c>
      <c r="D7" s="34" t="n"/>
      <c r="E7" s="34">
        <f>IF(D7="","",D7-C7)</f>
        <v/>
      </c>
      <c r="F7" s="48">
        <f>F6+C7</f>
        <v/>
      </c>
      <c r="G7" s="34">
        <f>IF(G6="",IF(E7="","",E7),G6+IF(E7="",0,E7))</f>
        <v/>
      </c>
      <c r="H7" s="48">
        <f>C7*$M$2</f>
        <v/>
      </c>
      <c r="I7" s="34">
        <f>IF(D7="","",D7*$M$2)</f>
        <v/>
      </c>
      <c r="J7" s="34">
        <f>IF(I7="","",I7-H7)</f>
        <v/>
      </c>
      <c r="K7" s="48">
        <f>K6-IF(I7&lt;&gt;"",I7,H7)</f>
        <v/>
      </c>
    </row>
    <row r="8">
      <c r="A8" s="33" t="inlineStr">
        <is>
          <t>Aug 2026</t>
        </is>
      </c>
      <c r="B8" s="34" t="n"/>
      <c r="C8" s="48" t="n">
        <v>3884.3</v>
      </c>
      <c r="D8" s="34" t="n"/>
      <c r="E8" s="34">
        <f>IF(D8="","",D8-C8)</f>
        <v/>
      </c>
      <c r="F8" s="48">
        <f>F7+C8</f>
        <v/>
      </c>
      <c r="G8" s="34">
        <f>IF(G7="",IF(E8="","",E8),G7+IF(E8="",0,E8))</f>
        <v/>
      </c>
      <c r="H8" s="48">
        <f>C8*$M$2</f>
        <v/>
      </c>
      <c r="I8" s="34">
        <f>IF(D8="","",D8*$M$2)</f>
        <v/>
      </c>
      <c r="J8" s="34">
        <f>IF(I8="","",I8-H8)</f>
        <v/>
      </c>
      <c r="K8" s="48">
        <f>K7-IF(I8&lt;&gt;"",I8,H8)</f>
        <v/>
      </c>
    </row>
    <row r="9">
      <c r="A9" s="33" t="inlineStr">
        <is>
          <t>Sep 2026</t>
        </is>
      </c>
      <c r="B9" s="34" t="n"/>
      <c r="C9" s="48" t="n">
        <v>3884.3</v>
      </c>
      <c r="D9" s="34" t="n"/>
      <c r="E9" s="34">
        <f>IF(D9="","",D9-C9)</f>
        <v/>
      </c>
      <c r="F9" s="48">
        <f>F8+C9</f>
        <v/>
      </c>
      <c r="G9" s="34">
        <f>IF(G8="",IF(E9="","",E9),G8+IF(E9="",0,E9))</f>
        <v/>
      </c>
      <c r="H9" s="48">
        <f>C9*$M$2</f>
        <v/>
      </c>
      <c r="I9" s="34">
        <f>IF(D9="","",D9*$M$2)</f>
        <v/>
      </c>
      <c r="J9" s="34">
        <f>IF(I9="","",I9-H9)</f>
        <v/>
      </c>
      <c r="K9" s="48">
        <f>K8-IF(I9&lt;&gt;"",I9,H9)</f>
        <v/>
      </c>
    </row>
    <row r="10">
      <c r="A10" s="33" t="inlineStr">
        <is>
          <t>Oct 2026</t>
        </is>
      </c>
      <c r="B10" s="34" t="n"/>
      <c r="C10" s="48" t="n">
        <v>3884.3</v>
      </c>
      <c r="D10" s="34" t="n"/>
      <c r="E10" s="34">
        <f>IF(D10="","",D10-C10)</f>
        <v/>
      </c>
      <c r="F10" s="48">
        <f>F9+C10</f>
        <v/>
      </c>
      <c r="G10" s="34">
        <f>IF(G9="",IF(E10="","",E10),G9+IF(E10="",0,E10))</f>
        <v/>
      </c>
      <c r="H10" s="48">
        <f>C10*$M$2</f>
        <v/>
      </c>
      <c r="I10" s="34">
        <f>IF(D10="","",D10*$M$2)</f>
        <v/>
      </c>
      <c r="J10" s="34">
        <f>IF(I10="","",I10-H10)</f>
        <v/>
      </c>
      <c r="K10" s="48">
        <f>K9-IF(I10&lt;&gt;"",I10,H10)</f>
        <v/>
      </c>
    </row>
    <row r="11">
      <c r="A11" s="33" t="inlineStr">
        <is>
          <t>Nov 2026</t>
        </is>
      </c>
      <c r="B11" s="34" t="n"/>
      <c r="C11" s="48" t="n">
        <v>3884.3</v>
      </c>
      <c r="D11" s="34" t="n"/>
      <c r="E11" s="34">
        <f>IF(D11="","",D11-C11)</f>
        <v/>
      </c>
      <c r="F11" s="48">
        <f>F10+C11</f>
        <v/>
      </c>
      <c r="G11" s="34">
        <f>IF(G10="",IF(E11="","",E11),G10+IF(E11="",0,E11))</f>
        <v/>
      </c>
      <c r="H11" s="48">
        <f>C11*$M$2</f>
        <v/>
      </c>
      <c r="I11" s="34">
        <f>IF(D11="","",D11*$M$2)</f>
        <v/>
      </c>
      <c r="J11" s="34">
        <f>IF(I11="","",I11-H11)</f>
        <v/>
      </c>
      <c r="K11" s="48">
        <f>K10-IF(I11&lt;&gt;"",I11,H11)</f>
        <v/>
      </c>
    </row>
    <row r="12">
      <c r="A12" s="33" t="inlineStr">
        <is>
          <t>Dec 2026</t>
        </is>
      </c>
      <c r="B12" s="34" t="n"/>
      <c r="C12" s="48" t="n">
        <v>3884.3</v>
      </c>
      <c r="D12" s="34" t="n"/>
      <c r="E12" s="34">
        <f>IF(D12="","",D12-C12)</f>
        <v/>
      </c>
      <c r="F12" s="48">
        <f>F11+C12</f>
        <v/>
      </c>
      <c r="G12" s="34">
        <f>IF(G11="",IF(E12="","",E12),G11+IF(E12="",0,E12))</f>
        <v/>
      </c>
      <c r="H12" s="48">
        <f>C12*$M$2</f>
        <v/>
      </c>
      <c r="I12" s="34">
        <f>IF(D12="","",D12*$M$2)</f>
        <v/>
      </c>
      <c r="J12" s="34">
        <f>IF(I12="","",I12-H12)</f>
        <v/>
      </c>
      <c r="K12" s="48">
        <f>K11-IF(I12&lt;&gt;"",I12,H12)</f>
        <v/>
      </c>
    </row>
    <row r="13" ht="13" customHeight="1">
      <c r="A13" s="31" t="inlineStr">
        <is>
          <t>2027</t>
        </is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</row>
    <row r="14">
      <c r="A14" s="33" t="inlineStr">
        <is>
          <t>Jan 2027</t>
        </is>
      </c>
      <c r="B14" s="34" t="n"/>
      <c r="C14" s="48" t="n">
        <v>5798.2</v>
      </c>
      <c r="D14" s="34" t="n"/>
      <c r="E14" s="34">
        <f>IF(D14="","",D14-C14)</f>
        <v/>
      </c>
      <c r="F14" s="48">
        <f>F12+C14</f>
        <v/>
      </c>
      <c r="G14" s="34">
        <f>IF(G12="",IF(E14="","",E14),G12+IF(E14="",0,E14))</f>
        <v/>
      </c>
      <c r="H14" s="48">
        <f>C14*$M$2</f>
        <v/>
      </c>
      <c r="I14" s="34">
        <f>IF(D14="","",D14*$M$2)</f>
        <v/>
      </c>
      <c r="J14" s="34">
        <f>IF(I14="","",I14-H14)</f>
        <v/>
      </c>
      <c r="K14" s="48">
        <f>K12-IF(I14&lt;&gt;"",I14,H14)</f>
        <v/>
      </c>
    </row>
    <row r="15">
      <c r="A15" s="33" t="inlineStr">
        <is>
          <t>Feb 2027</t>
        </is>
      </c>
      <c r="B15" s="34" t="n"/>
      <c r="C15" s="48" t="n">
        <v>5798.2</v>
      </c>
      <c r="D15" s="34" t="n"/>
      <c r="E15" s="34">
        <f>IF(D15="","",D15-C15)</f>
        <v/>
      </c>
      <c r="F15" s="48">
        <f>F14+C15</f>
        <v/>
      </c>
      <c r="G15" s="34">
        <f>IF(G14="",IF(E15="","",E15),G14+IF(E15="",0,E15))</f>
        <v/>
      </c>
      <c r="H15" s="48">
        <f>C15*$M$2</f>
        <v/>
      </c>
      <c r="I15" s="34">
        <f>IF(D15="","",D15*$M$2)</f>
        <v/>
      </c>
      <c r="J15" s="34">
        <f>IF(I15="","",I15-H15)</f>
        <v/>
      </c>
      <c r="K15" s="48">
        <f>K14-IF(I15&lt;&gt;"",I15,H15)</f>
        <v/>
      </c>
    </row>
    <row r="16">
      <c r="A16" s="33" t="inlineStr">
        <is>
          <t>Mar 2027</t>
        </is>
      </c>
      <c r="B16" s="34" t="n"/>
      <c r="C16" s="48" t="n">
        <v>5798.2</v>
      </c>
      <c r="D16" s="34" t="n"/>
      <c r="E16" s="34">
        <f>IF(D16="","",D16-C16)</f>
        <v/>
      </c>
      <c r="F16" s="48">
        <f>F15+C16</f>
        <v/>
      </c>
      <c r="G16" s="34">
        <f>IF(G15="",IF(E16="","",E16),G15+IF(E16="",0,E16))</f>
        <v/>
      </c>
      <c r="H16" s="48">
        <f>C16*$M$2</f>
        <v/>
      </c>
      <c r="I16" s="34">
        <f>IF(D16="","",D16*$M$2)</f>
        <v/>
      </c>
      <c r="J16" s="34">
        <f>IF(I16="","",I16-H16)</f>
        <v/>
      </c>
      <c r="K16" s="48">
        <f>K15-IF(I16&lt;&gt;"",I16,H16)</f>
        <v/>
      </c>
    </row>
    <row r="17">
      <c r="A17" s="33" t="inlineStr">
        <is>
          <t>Apr 2027</t>
        </is>
      </c>
      <c r="B17" s="34" t="n"/>
      <c r="C17" s="48" t="n">
        <v>5798.2</v>
      </c>
      <c r="D17" s="34" t="n"/>
      <c r="E17" s="34">
        <f>IF(D17="","",D17-C17)</f>
        <v/>
      </c>
      <c r="F17" s="48">
        <f>F16+C17</f>
        <v/>
      </c>
      <c r="G17" s="34">
        <f>IF(G16="",IF(E17="","",E17),G16+IF(E17="",0,E17))</f>
        <v/>
      </c>
      <c r="H17" s="48">
        <f>C17*$M$2</f>
        <v/>
      </c>
      <c r="I17" s="34">
        <f>IF(D17="","",D17*$M$2)</f>
        <v/>
      </c>
      <c r="J17" s="34">
        <f>IF(I17="","",I17-H17)</f>
        <v/>
      </c>
      <c r="K17" s="48">
        <f>K16-IF(I17&lt;&gt;"",I17,H17)</f>
        <v/>
      </c>
    </row>
    <row r="18">
      <c r="A18" s="33" t="inlineStr">
        <is>
          <t>May 2027</t>
        </is>
      </c>
      <c r="B18" s="34" t="n"/>
      <c r="C18" s="48" t="n">
        <v>5798.2</v>
      </c>
      <c r="D18" s="34" t="n"/>
      <c r="E18" s="34">
        <f>IF(D18="","",D18-C18)</f>
        <v/>
      </c>
      <c r="F18" s="48">
        <f>F17+C18</f>
        <v/>
      </c>
      <c r="G18" s="34">
        <f>IF(G17="",IF(E18="","",E18),G17+IF(E18="",0,E18))</f>
        <v/>
      </c>
      <c r="H18" s="48">
        <f>C18*$M$2</f>
        <v/>
      </c>
      <c r="I18" s="34">
        <f>IF(D18="","",D18*$M$2)</f>
        <v/>
      </c>
      <c r="J18" s="34">
        <f>IF(I18="","",I18-H18)</f>
        <v/>
      </c>
      <c r="K18" s="48">
        <f>K17-IF(I18&lt;&gt;"",I18,H18)</f>
        <v/>
      </c>
    </row>
    <row r="19">
      <c r="A19" s="33" t="inlineStr">
        <is>
          <t>Jun 2027</t>
        </is>
      </c>
      <c r="B19" s="34" t="n"/>
      <c r="C19" s="48" t="n">
        <v>5798.2</v>
      </c>
      <c r="D19" s="34" t="n"/>
      <c r="E19" s="34">
        <f>IF(D19="","",D19-C19)</f>
        <v/>
      </c>
      <c r="F19" s="48">
        <f>F18+C19</f>
        <v/>
      </c>
      <c r="G19" s="34">
        <f>IF(G18="",IF(E19="","",E19),G18+IF(E19="",0,E19))</f>
        <v/>
      </c>
      <c r="H19" s="48">
        <f>C19*$M$2</f>
        <v/>
      </c>
      <c r="I19" s="34">
        <f>IF(D19="","",D19*$M$2)</f>
        <v/>
      </c>
      <c r="J19" s="34">
        <f>IF(I19="","",I19-H19)</f>
        <v/>
      </c>
      <c r="K19" s="48">
        <f>K18-IF(I19&lt;&gt;"",I19,H19)</f>
        <v/>
      </c>
    </row>
    <row r="20">
      <c r="A20" s="33" t="inlineStr">
        <is>
          <t>Jul 2027</t>
        </is>
      </c>
      <c r="B20" s="34" t="n"/>
      <c r="C20" s="48" t="n">
        <v>5798.2</v>
      </c>
      <c r="D20" s="34" t="n"/>
      <c r="E20" s="34">
        <f>IF(D20="","",D20-C20)</f>
        <v/>
      </c>
      <c r="F20" s="48">
        <f>F19+C20</f>
        <v/>
      </c>
      <c r="G20" s="34">
        <f>IF(G19="",IF(E20="","",E20),G19+IF(E20="",0,E20))</f>
        <v/>
      </c>
      <c r="H20" s="48">
        <f>C20*$M$2</f>
        <v/>
      </c>
      <c r="I20" s="34">
        <f>IF(D20="","",D20*$M$2)</f>
        <v/>
      </c>
      <c r="J20" s="34">
        <f>IF(I20="","",I20-H20)</f>
        <v/>
      </c>
      <c r="K20" s="48">
        <f>K19-IF(I20&lt;&gt;"",I20,H20)</f>
        <v/>
      </c>
    </row>
    <row r="21">
      <c r="A21" s="33" t="inlineStr">
        <is>
          <t>Aug 2027</t>
        </is>
      </c>
      <c r="B21" s="34" t="n"/>
      <c r="C21" s="48" t="n">
        <v>5798.2</v>
      </c>
      <c r="D21" s="34" t="n"/>
      <c r="E21" s="34">
        <f>IF(D21="","",D21-C21)</f>
        <v/>
      </c>
      <c r="F21" s="48">
        <f>F20+C21</f>
        <v/>
      </c>
      <c r="G21" s="34">
        <f>IF(G20="",IF(E21="","",E21),G20+IF(E21="",0,E21))</f>
        <v/>
      </c>
      <c r="H21" s="48">
        <f>C21*$M$2</f>
        <v/>
      </c>
      <c r="I21" s="34">
        <f>IF(D21="","",D21*$M$2)</f>
        <v/>
      </c>
      <c r="J21" s="34">
        <f>IF(I21="","",I21-H21)</f>
        <v/>
      </c>
      <c r="K21" s="48">
        <f>K20-IF(I21&lt;&gt;"",I21,H21)</f>
        <v/>
      </c>
    </row>
    <row r="22">
      <c r="A22" s="33" t="inlineStr">
        <is>
          <t>Sep 2027</t>
        </is>
      </c>
      <c r="B22" s="34" t="n"/>
      <c r="C22" s="48" t="n">
        <v>5798.2</v>
      </c>
      <c r="D22" s="34" t="n"/>
      <c r="E22" s="34">
        <f>IF(D22="","",D22-C22)</f>
        <v/>
      </c>
      <c r="F22" s="48">
        <f>F21+C22</f>
        <v/>
      </c>
      <c r="G22" s="34">
        <f>IF(G21="",IF(E22="","",E22),G21+IF(E22="",0,E22))</f>
        <v/>
      </c>
      <c r="H22" s="48">
        <f>C22*$M$2</f>
        <v/>
      </c>
      <c r="I22" s="34">
        <f>IF(D22="","",D22*$M$2)</f>
        <v/>
      </c>
      <c r="J22" s="34">
        <f>IF(I22="","",I22-H22)</f>
        <v/>
      </c>
      <c r="K22" s="48">
        <f>K21-IF(I22&lt;&gt;"",I22,H22)</f>
        <v/>
      </c>
    </row>
    <row r="23">
      <c r="A23" s="33" t="inlineStr">
        <is>
          <t>Oct 2027</t>
        </is>
      </c>
      <c r="B23" s="34" t="n"/>
      <c r="C23" s="48" t="n">
        <v>5798.2</v>
      </c>
      <c r="D23" s="34" t="n"/>
      <c r="E23" s="34">
        <f>IF(D23="","",D23-C23)</f>
        <v/>
      </c>
      <c r="F23" s="48">
        <f>F22+C23</f>
        <v/>
      </c>
      <c r="G23" s="34">
        <f>IF(G22="",IF(E23="","",E23),G22+IF(E23="",0,E23))</f>
        <v/>
      </c>
      <c r="H23" s="48">
        <f>C23*$M$2</f>
        <v/>
      </c>
      <c r="I23" s="34">
        <f>IF(D23="","",D23*$M$2)</f>
        <v/>
      </c>
      <c r="J23" s="34">
        <f>IF(I23="","",I23-H23)</f>
        <v/>
      </c>
      <c r="K23" s="48">
        <f>K22-IF(I23&lt;&gt;"",I23,H23)</f>
        <v/>
      </c>
    </row>
    <row r="24">
      <c r="A24" s="33" t="inlineStr">
        <is>
          <t>Nov 2027</t>
        </is>
      </c>
      <c r="B24" s="34" t="n"/>
      <c r="C24" s="48" t="n">
        <v>5798.2</v>
      </c>
      <c r="D24" s="34" t="n"/>
      <c r="E24" s="34">
        <f>IF(D24="","",D24-C24)</f>
        <v/>
      </c>
      <c r="F24" s="48">
        <f>F23+C24</f>
        <v/>
      </c>
      <c r="G24" s="34">
        <f>IF(G23="",IF(E24="","",E24),G23+IF(E24="",0,E24))</f>
        <v/>
      </c>
      <c r="H24" s="48">
        <f>C24*$M$2</f>
        <v/>
      </c>
      <c r="I24" s="34">
        <f>IF(D24="","",D24*$M$2)</f>
        <v/>
      </c>
      <c r="J24" s="34">
        <f>IF(I24="","",I24-H24)</f>
        <v/>
      </c>
      <c r="K24" s="48">
        <f>K23-IF(I24&lt;&gt;"",I24,H24)</f>
        <v/>
      </c>
    </row>
    <row r="25">
      <c r="A25" s="33" t="inlineStr">
        <is>
          <t>Dec 2027</t>
        </is>
      </c>
      <c r="B25" s="34" t="n"/>
      <c r="C25" s="48" t="n">
        <v>5798.2</v>
      </c>
      <c r="D25" s="34" t="n"/>
      <c r="E25" s="34">
        <f>IF(D25="","",D25-C25)</f>
        <v/>
      </c>
      <c r="F25" s="48">
        <f>F24+C25</f>
        <v/>
      </c>
      <c r="G25" s="34">
        <f>IF(G24="",IF(E25="","",E25),G24+IF(E25="",0,E25))</f>
        <v/>
      </c>
      <c r="H25" s="48">
        <f>C25*$M$2</f>
        <v/>
      </c>
      <c r="I25" s="34">
        <f>IF(D25="","",D25*$M$2)</f>
        <v/>
      </c>
      <c r="J25" s="34">
        <f>IF(I25="","",I25-H25)</f>
        <v/>
      </c>
      <c r="K25" s="48">
        <f>K24-IF(I25&lt;&gt;"",I25,H25)</f>
        <v/>
      </c>
    </row>
    <row r="26" ht="13" customHeight="1">
      <c r="A26" s="31" t="inlineStr">
        <is>
          <t>2028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>
      <c r="A27" s="33" t="inlineStr">
        <is>
          <t>Jan 2028</t>
        </is>
      </c>
      <c r="B27" s="34" t="n"/>
      <c r="C27" s="48" t="n">
        <v>11639.1</v>
      </c>
      <c r="D27" s="34" t="n"/>
      <c r="E27" s="34">
        <f>IF(D27="","",D27-C27)</f>
        <v/>
      </c>
      <c r="F27" s="48">
        <f>F25+C27</f>
        <v/>
      </c>
      <c r="G27" s="34">
        <f>IF(G25="",IF(E27="","",E27),G25+IF(E27="",0,E27))</f>
        <v/>
      </c>
      <c r="H27" s="48">
        <f>C27*$M$2</f>
        <v/>
      </c>
      <c r="I27" s="34">
        <f>IF(D27="","",D27*$M$2)</f>
        <v/>
      </c>
      <c r="J27" s="34">
        <f>IF(I27="","",I27-H27)</f>
        <v/>
      </c>
      <c r="K27" s="48">
        <f>K25-IF(I27&lt;&gt;"",I27,H27)</f>
        <v/>
      </c>
    </row>
    <row r="28">
      <c r="A28" s="33" t="inlineStr">
        <is>
          <t>Feb 2028</t>
        </is>
      </c>
      <c r="B28" s="34" t="n"/>
      <c r="C28" s="48" t="n">
        <v>11639.1</v>
      </c>
      <c r="D28" s="34" t="n"/>
      <c r="E28" s="34">
        <f>IF(D28="","",D28-C28)</f>
        <v/>
      </c>
      <c r="F28" s="48">
        <f>F27+C28</f>
        <v/>
      </c>
      <c r="G28" s="34">
        <f>IF(G27="",IF(E28="","",E28),G27+IF(E28="",0,E28))</f>
        <v/>
      </c>
      <c r="H28" s="48">
        <f>C28*$M$2</f>
        <v/>
      </c>
      <c r="I28" s="34">
        <f>IF(D28="","",D28*$M$2)</f>
        <v/>
      </c>
      <c r="J28" s="34">
        <f>IF(I28="","",I28-H28)</f>
        <v/>
      </c>
      <c r="K28" s="48">
        <f>K27-IF(I28&lt;&gt;"",I28,H28)</f>
        <v/>
      </c>
    </row>
    <row r="29">
      <c r="A29" s="33" t="inlineStr">
        <is>
          <t>Mar 2028</t>
        </is>
      </c>
      <c r="B29" s="34" t="n"/>
      <c r="C29" s="48" t="n">
        <v>11639.1</v>
      </c>
      <c r="D29" s="34" t="n"/>
      <c r="E29" s="34">
        <f>IF(D29="","",D29-C29)</f>
        <v/>
      </c>
      <c r="F29" s="48">
        <f>F28+C29</f>
        <v/>
      </c>
      <c r="G29" s="34">
        <f>IF(G28="",IF(E29="","",E29),G28+IF(E29="",0,E29))</f>
        <v/>
      </c>
      <c r="H29" s="48">
        <f>C29*$M$2</f>
        <v/>
      </c>
      <c r="I29" s="34">
        <f>IF(D29="","",D29*$M$2)</f>
        <v/>
      </c>
      <c r="J29" s="34">
        <f>IF(I29="","",I29-H29)</f>
        <v/>
      </c>
      <c r="K29" s="48">
        <f>K28-IF(I29&lt;&gt;"",I29,H29)</f>
        <v/>
      </c>
    </row>
    <row r="30">
      <c r="A30" s="33" t="inlineStr">
        <is>
          <t>Apr 2028</t>
        </is>
      </c>
      <c r="B30" s="34" t="n"/>
      <c r="C30" s="48" t="n">
        <v>11639.1</v>
      </c>
      <c r="D30" s="34" t="n"/>
      <c r="E30" s="34">
        <f>IF(D30="","",D30-C30)</f>
        <v/>
      </c>
      <c r="F30" s="48">
        <f>F29+C30</f>
        <v/>
      </c>
      <c r="G30" s="34">
        <f>IF(G29="",IF(E30="","",E30),G29+IF(E30="",0,E30))</f>
        <v/>
      </c>
      <c r="H30" s="48">
        <f>C30*$M$2</f>
        <v/>
      </c>
      <c r="I30" s="34">
        <f>IF(D30="","",D30*$M$2)</f>
        <v/>
      </c>
      <c r="J30" s="34">
        <f>IF(I30="","",I30-H30)</f>
        <v/>
      </c>
      <c r="K30" s="48">
        <f>K29-IF(I30&lt;&gt;"",I30,H30)</f>
        <v/>
      </c>
    </row>
    <row r="31">
      <c r="A31" s="33" t="inlineStr">
        <is>
          <t>May 2028</t>
        </is>
      </c>
      <c r="B31" s="34" t="n"/>
      <c r="C31" s="48" t="n">
        <v>11639.1</v>
      </c>
      <c r="D31" s="34" t="n"/>
      <c r="E31" s="34">
        <f>IF(D31="","",D31-C31)</f>
        <v/>
      </c>
      <c r="F31" s="48">
        <f>F30+C31</f>
        <v/>
      </c>
      <c r="G31" s="34">
        <f>IF(G30="",IF(E31="","",E31),G30+IF(E31="",0,E31))</f>
        <v/>
      </c>
      <c r="H31" s="48">
        <f>C31*$M$2</f>
        <v/>
      </c>
      <c r="I31" s="34">
        <f>IF(D31="","",D31*$M$2)</f>
        <v/>
      </c>
      <c r="J31" s="34">
        <f>IF(I31="","",I31-H31)</f>
        <v/>
      </c>
      <c r="K31" s="48">
        <f>K30-IF(I31&lt;&gt;"",I31,H31)</f>
        <v/>
      </c>
    </row>
    <row r="32">
      <c r="A32" s="33" t="inlineStr">
        <is>
          <t>Jun 2028</t>
        </is>
      </c>
      <c r="B32" s="34" t="n"/>
      <c r="C32" s="48" t="n">
        <v>11639.1</v>
      </c>
      <c r="D32" s="34" t="n"/>
      <c r="E32" s="34">
        <f>IF(D32="","",D32-C32)</f>
        <v/>
      </c>
      <c r="F32" s="48">
        <f>F31+C32</f>
        <v/>
      </c>
      <c r="G32" s="34">
        <f>IF(G31="",IF(E32="","",E32),G31+IF(E32="",0,E32))</f>
        <v/>
      </c>
      <c r="H32" s="48">
        <f>C32*$M$2</f>
        <v/>
      </c>
      <c r="I32" s="34">
        <f>IF(D32="","",D32*$M$2)</f>
        <v/>
      </c>
      <c r="J32" s="34">
        <f>IF(I32="","",I32-H32)</f>
        <v/>
      </c>
      <c r="K32" s="48">
        <f>K31-IF(I32&lt;&gt;"",I32,H32)</f>
        <v/>
      </c>
    </row>
    <row r="33">
      <c r="A33" s="33" t="inlineStr">
        <is>
          <t>Jul 2028</t>
        </is>
      </c>
      <c r="B33" s="34" t="n"/>
      <c r="C33" s="48" t="n">
        <v>11639.1</v>
      </c>
      <c r="D33" s="34" t="n"/>
      <c r="E33" s="34">
        <f>IF(D33="","",D33-C33)</f>
        <v/>
      </c>
      <c r="F33" s="48">
        <f>F32+C33</f>
        <v/>
      </c>
      <c r="G33" s="34">
        <f>IF(G32="",IF(E33="","",E33),G32+IF(E33="",0,E33))</f>
        <v/>
      </c>
      <c r="H33" s="48">
        <f>C33*$M$2</f>
        <v/>
      </c>
      <c r="I33" s="34">
        <f>IF(D33="","",D33*$M$2)</f>
        <v/>
      </c>
      <c r="J33" s="34">
        <f>IF(I33="","",I33-H33)</f>
        <v/>
      </c>
      <c r="K33" s="48">
        <f>K32-IF(I33&lt;&gt;"",I33,H33)</f>
        <v/>
      </c>
    </row>
    <row r="34">
      <c r="A34" s="33" t="inlineStr">
        <is>
          <t>Aug 2028</t>
        </is>
      </c>
      <c r="B34" s="34" t="n"/>
      <c r="C34" s="48" t="n">
        <v>11639.1</v>
      </c>
      <c r="D34" s="34" t="n"/>
      <c r="E34" s="34">
        <f>IF(D34="","",D34-C34)</f>
        <v/>
      </c>
      <c r="F34" s="48">
        <f>F33+C34</f>
        <v/>
      </c>
      <c r="G34" s="34">
        <f>IF(G33="",IF(E34="","",E34),G33+IF(E34="",0,E34))</f>
        <v/>
      </c>
      <c r="H34" s="48">
        <f>C34*$M$2</f>
        <v/>
      </c>
      <c r="I34" s="34">
        <f>IF(D34="","",D34*$M$2)</f>
        <v/>
      </c>
      <c r="J34" s="34">
        <f>IF(I34="","",I34-H34)</f>
        <v/>
      </c>
      <c r="K34" s="48">
        <f>K33-IF(I34&lt;&gt;"",I34,H34)</f>
        <v/>
      </c>
    </row>
    <row r="35">
      <c r="A35" s="33" t="inlineStr">
        <is>
          <t>Sep 2028</t>
        </is>
      </c>
      <c r="B35" s="34" t="n"/>
      <c r="C35" s="48" t="n">
        <v>11639.1</v>
      </c>
      <c r="D35" s="34" t="n"/>
      <c r="E35" s="34">
        <f>IF(D35="","",D35-C35)</f>
        <v/>
      </c>
      <c r="F35" s="48">
        <f>F34+C35</f>
        <v/>
      </c>
      <c r="G35" s="34">
        <f>IF(G34="",IF(E35="","",E35),G34+IF(E35="",0,E35))</f>
        <v/>
      </c>
      <c r="H35" s="48">
        <f>C35*$M$2</f>
        <v/>
      </c>
      <c r="I35" s="34">
        <f>IF(D35="","",D35*$M$2)</f>
        <v/>
      </c>
      <c r="J35" s="34">
        <f>IF(I35="","",I35-H35)</f>
        <v/>
      </c>
      <c r="K35" s="48">
        <f>K34-IF(I35&lt;&gt;"",I35,H35)</f>
        <v/>
      </c>
    </row>
    <row r="36">
      <c r="A36" s="33" t="inlineStr">
        <is>
          <t>Oct 2028</t>
        </is>
      </c>
      <c r="B36" s="34" t="n"/>
      <c r="C36" s="48" t="n">
        <v>11639.1</v>
      </c>
      <c r="D36" s="34" t="n"/>
      <c r="E36" s="34">
        <f>IF(D36="","",D36-C36)</f>
        <v/>
      </c>
      <c r="F36" s="48">
        <f>F35+C36</f>
        <v/>
      </c>
      <c r="G36" s="34">
        <f>IF(G35="",IF(E36="","",E36),G35+IF(E36="",0,E36))</f>
        <v/>
      </c>
      <c r="H36" s="48">
        <f>C36*$M$2</f>
        <v/>
      </c>
      <c r="I36" s="34">
        <f>IF(D36="","",D36*$M$2)</f>
        <v/>
      </c>
      <c r="J36" s="34">
        <f>IF(I36="","",I36-H36)</f>
        <v/>
      </c>
      <c r="K36" s="48">
        <f>K35-IF(I36&lt;&gt;"",I36,H36)</f>
        <v/>
      </c>
    </row>
    <row r="37">
      <c r="A37" s="33" t="inlineStr">
        <is>
          <t>Nov 2028</t>
        </is>
      </c>
      <c r="B37" s="34" t="n"/>
      <c r="C37" s="48" t="n">
        <v>11639.1</v>
      </c>
      <c r="D37" s="34" t="n"/>
      <c r="E37" s="34">
        <f>IF(D37="","",D37-C37)</f>
        <v/>
      </c>
      <c r="F37" s="48">
        <f>F36+C37</f>
        <v/>
      </c>
      <c r="G37" s="34">
        <f>IF(G36="",IF(E37="","",E37),G36+IF(E37="",0,E37))</f>
        <v/>
      </c>
      <c r="H37" s="48">
        <f>C37*$M$2</f>
        <v/>
      </c>
      <c r="I37" s="34">
        <f>IF(D37="","",D37*$M$2)</f>
        <v/>
      </c>
      <c r="J37" s="34">
        <f>IF(I37="","",I37-H37)</f>
        <v/>
      </c>
      <c r="K37" s="48">
        <f>K36-IF(I37&lt;&gt;"",I37,H37)</f>
        <v/>
      </c>
    </row>
    <row r="38">
      <c r="A38" s="33" t="inlineStr">
        <is>
          <t>Dec 2028</t>
        </is>
      </c>
      <c r="B38" s="34" t="n"/>
      <c r="C38" s="48" t="n">
        <v>11639.1</v>
      </c>
      <c r="D38" s="34" t="n"/>
      <c r="E38" s="34">
        <f>IF(D38="","",D38-C38)</f>
        <v/>
      </c>
      <c r="F38" s="48">
        <f>F37+C38</f>
        <v/>
      </c>
      <c r="G38" s="34">
        <f>IF(G37="",IF(E38="","",E38),G37+IF(E38="",0,E38))</f>
        <v/>
      </c>
      <c r="H38" s="48">
        <f>C38*$M$2</f>
        <v/>
      </c>
      <c r="I38" s="34">
        <f>IF(D38="","",D38*$M$2)</f>
        <v/>
      </c>
      <c r="J38" s="34">
        <f>IF(I38="","",I38-H38)</f>
        <v/>
      </c>
      <c r="K38" s="48">
        <f>K37-IF(I38&lt;&gt;"",I38,H38)</f>
        <v/>
      </c>
    </row>
    <row r="39" ht="13" customHeight="1">
      <c r="A39" s="31" t="inlineStr">
        <is>
          <t>2029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</row>
    <row r="40">
      <c r="A40" s="33" t="inlineStr">
        <is>
          <t>Jan 2029</t>
        </is>
      </c>
      <c r="B40" s="34" t="n"/>
      <c r="C40" s="48" t="n">
        <v>21271.1</v>
      </c>
      <c r="D40" s="34" t="n"/>
      <c r="E40" s="34">
        <f>IF(D40="","",D40-C40)</f>
        <v/>
      </c>
      <c r="F40" s="48">
        <f>F38+C40</f>
        <v/>
      </c>
      <c r="G40" s="34">
        <f>IF(G38="",IF(E40="","",E40),G38+IF(E40="",0,E40))</f>
        <v/>
      </c>
      <c r="H40" s="48">
        <f>C40*$M$2</f>
        <v/>
      </c>
      <c r="I40" s="34">
        <f>IF(D40="","",D40*$M$2)</f>
        <v/>
      </c>
      <c r="J40" s="34">
        <f>IF(I40="","",I40-H40)</f>
        <v/>
      </c>
      <c r="K40" s="48">
        <f>K38-IF(I40&lt;&gt;"",I40,H40)</f>
        <v/>
      </c>
    </row>
    <row r="41">
      <c r="A41" s="33" t="inlineStr">
        <is>
          <t>Feb 2029</t>
        </is>
      </c>
      <c r="B41" s="34" t="n"/>
      <c r="C41" s="48" t="n">
        <v>21271.1</v>
      </c>
      <c r="D41" s="34" t="n"/>
      <c r="E41" s="34">
        <f>IF(D41="","",D41-C41)</f>
        <v/>
      </c>
      <c r="F41" s="48">
        <f>F40+C41</f>
        <v/>
      </c>
      <c r="G41" s="34">
        <f>IF(G40="",IF(E41="","",E41),G40+IF(E41="",0,E41))</f>
        <v/>
      </c>
      <c r="H41" s="48">
        <f>C41*$M$2</f>
        <v/>
      </c>
      <c r="I41" s="34">
        <f>IF(D41="","",D41*$M$2)</f>
        <v/>
      </c>
      <c r="J41" s="34">
        <f>IF(I41="","",I41-H41)</f>
        <v/>
      </c>
      <c r="K41" s="48">
        <f>K40-IF(I41&lt;&gt;"",I41,H41)</f>
        <v/>
      </c>
    </row>
    <row r="42">
      <c r="A42" s="33" t="inlineStr">
        <is>
          <t>Mar 2029</t>
        </is>
      </c>
      <c r="B42" s="34" t="n"/>
      <c r="C42" s="48" t="n">
        <v>21271.1</v>
      </c>
      <c r="D42" s="34" t="n"/>
      <c r="E42" s="34">
        <f>IF(D42="","",D42-C42)</f>
        <v/>
      </c>
      <c r="F42" s="48">
        <f>F41+C42</f>
        <v/>
      </c>
      <c r="G42" s="34">
        <f>IF(G41="",IF(E42="","",E42),G41+IF(E42="",0,E42))</f>
        <v/>
      </c>
      <c r="H42" s="48">
        <f>C42*$M$2</f>
        <v/>
      </c>
      <c r="I42" s="34">
        <f>IF(D42="","",D42*$M$2)</f>
        <v/>
      </c>
      <c r="J42" s="34">
        <f>IF(I42="","",I42-H42)</f>
        <v/>
      </c>
      <c r="K42" s="48">
        <f>K41-IF(I42&lt;&gt;"",I42,H42)</f>
        <v/>
      </c>
    </row>
    <row r="43">
      <c r="A43" s="33" t="inlineStr">
        <is>
          <t>Apr 2029</t>
        </is>
      </c>
      <c r="B43" s="34" t="n"/>
      <c r="C43" s="48" t="n">
        <v>21271.1</v>
      </c>
      <c r="D43" s="34" t="n"/>
      <c r="E43" s="34">
        <f>IF(D43="","",D43-C43)</f>
        <v/>
      </c>
      <c r="F43" s="48">
        <f>F42+C43</f>
        <v/>
      </c>
      <c r="G43" s="34">
        <f>IF(G42="",IF(E43="","",E43),G42+IF(E43="",0,E43))</f>
        <v/>
      </c>
      <c r="H43" s="48">
        <f>C43*$M$2</f>
        <v/>
      </c>
      <c r="I43" s="34">
        <f>IF(D43="","",D43*$M$2)</f>
        <v/>
      </c>
      <c r="J43" s="34">
        <f>IF(I43="","",I43-H43)</f>
        <v/>
      </c>
      <c r="K43" s="48">
        <f>K42-IF(I43&lt;&gt;"",I43,H43)</f>
        <v/>
      </c>
    </row>
    <row r="44">
      <c r="A44" s="33" t="inlineStr">
        <is>
          <t>May 2029</t>
        </is>
      </c>
      <c r="B44" s="34" t="n"/>
      <c r="C44" s="48" t="n">
        <v>21271.1</v>
      </c>
      <c r="D44" s="34" t="n"/>
      <c r="E44" s="34">
        <f>IF(D44="","",D44-C44)</f>
        <v/>
      </c>
      <c r="F44" s="48">
        <f>F43+C44</f>
        <v/>
      </c>
      <c r="G44" s="34">
        <f>IF(G43="",IF(E44="","",E44),G43+IF(E44="",0,E44))</f>
        <v/>
      </c>
      <c r="H44" s="48">
        <f>C44*$M$2</f>
        <v/>
      </c>
      <c r="I44" s="34">
        <f>IF(D44="","",D44*$M$2)</f>
        <v/>
      </c>
      <c r="J44" s="34">
        <f>IF(I44="","",I44-H44)</f>
        <v/>
      </c>
      <c r="K44" s="48">
        <f>K43-IF(I44&lt;&gt;"",I44,H44)</f>
        <v/>
      </c>
    </row>
    <row r="45">
      <c r="A45" s="33" t="inlineStr">
        <is>
          <t>Jun 2029</t>
        </is>
      </c>
      <c r="B45" s="34" t="n"/>
      <c r="C45" s="48" t="n">
        <v>21271.1</v>
      </c>
      <c r="D45" s="34" t="n"/>
      <c r="E45" s="34">
        <f>IF(D45="","",D45-C45)</f>
        <v/>
      </c>
      <c r="F45" s="48">
        <f>F44+C45</f>
        <v/>
      </c>
      <c r="G45" s="34">
        <f>IF(G44="",IF(E45="","",E45),G44+IF(E45="",0,E45))</f>
        <v/>
      </c>
      <c r="H45" s="48">
        <f>C45*$M$2</f>
        <v/>
      </c>
      <c r="I45" s="34">
        <f>IF(D45="","",D45*$M$2)</f>
        <v/>
      </c>
      <c r="J45" s="34">
        <f>IF(I45="","",I45-H45)</f>
        <v/>
      </c>
      <c r="K45" s="48">
        <f>K44-IF(I45&lt;&gt;"",I45,H45)</f>
        <v/>
      </c>
    </row>
    <row r="46">
      <c r="A46" s="33" t="inlineStr">
        <is>
          <t>Jul 2029</t>
        </is>
      </c>
      <c r="B46" s="34" t="n"/>
      <c r="C46" s="48" t="n">
        <v>21271.1</v>
      </c>
      <c r="D46" s="34" t="n"/>
      <c r="E46" s="34">
        <f>IF(D46="","",D46-C46)</f>
        <v/>
      </c>
      <c r="F46" s="48">
        <f>F45+C46</f>
        <v/>
      </c>
      <c r="G46" s="34">
        <f>IF(G45="",IF(E46="","",E46),G45+IF(E46="",0,E46))</f>
        <v/>
      </c>
      <c r="H46" s="48">
        <f>C46*$M$2</f>
        <v/>
      </c>
      <c r="I46" s="34">
        <f>IF(D46="","",D46*$M$2)</f>
        <v/>
      </c>
      <c r="J46" s="34">
        <f>IF(I46="","",I46-H46)</f>
        <v/>
      </c>
      <c r="K46" s="48">
        <f>K45-IF(I46&lt;&gt;"",I46,H46)</f>
        <v/>
      </c>
    </row>
    <row r="47">
      <c r="A47" s="33" t="inlineStr">
        <is>
          <t>Aug 2029</t>
        </is>
      </c>
      <c r="B47" s="34" t="n"/>
      <c r="C47" s="48" t="n">
        <v>21271.1</v>
      </c>
      <c r="D47" s="34" t="n"/>
      <c r="E47" s="34">
        <f>IF(D47="","",D47-C47)</f>
        <v/>
      </c>
      <c r="F47" s="48">
        <f>F46+C47</f>
        <v/>
      </c>
      <c r="G47" s="34">
        <f>IF(G46="",IF(E47="","",E47),G46+IF(E47="",0,E47))</f>
        <v/>
      </c>
      <c r="H47" s="48">
        <f>C47*$M$2</f>
        <v/>
      </c>
      <c r="I47" s="34">
        <f>IF(D47="","",D47*$M$2)</f>
        <v/>
      </c>
      <c r="J47" s="34">
        <f>IF(I47="","",I47-H47)</f>
        <v/>
      </c>
      <c r="K47" s="48">
        <f>K46-IF(I47&lt;&gt;"",I47,H47)</f>
        <v/>
      </c>
    </row>
    <row r="48">
      <c r="A48" s="33" t="inlineStr">
        <is>
          <t>Sep 2029</t>
        </is>
      </c>
      <c r="B48" s="34" t="n"/>
      <c r="C48" s="48" t="n">
        <v>21271.1</v>
      </c>
      <c r="D48" s="34" t="n"/>
      <c r="E48" s="34">
        <f>IF(D48="","",D48-C48)</f>
        <v/>
      </c>
      <c r="F48" s="48">
        <f>F47+C48</f>
        <v/>
      </c>
      <c r="G48" s="34">
        <f>IF(G47="",IF(E48="","",E48),G47+IF(E48="",0,E48))</f>
        <v/>
      </c>
      <c r="H48" s="48">
        <f>C48*$M$2</f>
        <v/>
      </c>
      <c r="I48" s="34">
        <f>IF(D48="","",D48*$M$2)</f>
        <v/>
      </c>
      <c r="J48" s="34">
        <f>IF(I48="","",I48-H48)</f>
        <v/>
      </c>
      <c r="K48" s="48">
        <f>K47-IF(I48&lt;&gt;"",I48,H48)</f>
        <v/>
      </c>
    </row>
    <row r="49">
      <c r="A49" s="33" t="inlineStr">
        <is>
          <t>Oct 2029</t>
        </is>
      </c>
      <c r="B49" s="34" t="n"/>
      <c r="C49" s="48" t="n">
        <v>21271.1</v>
      </c>
      <c r="D49" s="34" t="n"/>
      <c r="E49" s="34">
        <f>IF(D49="","",D49-C49)</f>
        <v/>
      </c>
      <c r="F49" s="48">
        <f>F48+C49</f>
        <v/>
      </c>
      <c r="G49" s="34">
        <f>IF(G48="",IF(E49="","",E49),G48+IF(E49="",0,E49))</f>
        <v/>
      </c>
      <c r="H49" s="48">
        <f>C49*$M$2</f>
        <v/>
      </c>
      <c r="I49" s="34">
        <f>IF(D49="","",D49*$M$2)</f>
        <v/>
      </c>
      <c r="J49" s="34">
        <f>IF(I49="","",I49-H49)</f>
        <v/>
      </c>
      <c r="K49" s="48">
        <f>K48-IF(I49&lt;&gt;"",I49,H49)</f>
        <v/>
      </c>
    </row>
    <row r="50">
      <c r="A50" s="33" t="inlineStr">
        <is>
          <t>Nov 2029</t>
        </is>
      </c>
      <c r="B50" s="34" t="n"/>
      <c r="C50" s="48" t="n">
        <v>21271.1</v>
      </c>
      <c r="D50" s="34" t="n"/>
      <c r="E50" s="34">
        <f>IF(D50="","",D50-C50)</f>
        <v/>
      </c>
      <c r="F50" s="48">
        <f>F49+C50</f>
        <v/>
      </c>
      <c r="G50" s="34">
        <f>IF(G49="",IF(E50="","",E50),G49+IF(E50="",0,E50))</f>
        <v/>
      </c>
      <c r="H50" s="48">
        <f>C50*$M$2</f>
        <v/>
      </c>
      <c r="I50" s="34">
        <f>IF(D50="","",D50*$M$2)</f>
        <v/>
      </c>
      <c r="J50" s="34">
        <f>IF(I50="","",I50-H50)</f>
        <v/>
      </c>
      <c r="K50" s="48">
        <f>K49-IF(I50&lt;&gt;"",I50,H50)</f>
        <v/>
      </c>
    </row>
    <row r="51">
      <c r="A51" s="33" t="inlineStr">
        <is>
          <t>Dec 2029</t>
        </is>
      </c>
      <c r="B51" s="34" t="n"/>
      <c r="C51" s="48" t="n">
        <v>21271.1</v>
      </c>
      <c r="D51" s="34" t="n"/>
      <c r="E51" s="34">
        <f>IF(D51="","",D51-C51)</f>
        <v/>
      </c>
      <c r="F51" s="48">
        <f>F50+C51</f>
        <v/>
      </c>
      <c r="G51" s="34">
        <f>IF(G50="",IF(E51="","",E51),G50+IF(E51="",0,E51))</f>
        <v/>
      </c>
      <c r="H51" s="48">
        <f>C51*$M$2</f>
        <v/>
      </c>
      <c r="I51" s="34">
        <f>IF(D51="","",D51*$M$2)</f>
        <v/>
      </c>
      <c r="J51" s="34">
        <f>IF(I51="","",I51-H51)</f>
        <v/>
      </c>
      <c r="K51" s="48">
        <f>K50-IF(I51&lt;&gt;"",I51,H51)</f>
        <v/>
      </c>
    </row>
    <row r="52" ht="13" customHeight="1">
      <c r="A52" s="31" t="inlineStr">
        <is>
          <t>2030</t>
        </is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>
      <c r="A53" s="33" t="inlineStr">
        <is>
          <t>Jan 2030</t>
        </is>
      </c>
      <c r="B53" s="34" t="n"/>
      <c r="C53" s="48" t="n">
        <v>34741.8</v>
      </c>
      <c r="D53" s="34" t="n"/>
      <c r="E53" s="34">
        <f>IF(D53="","",D53-C53)</f>
        <v/>
      </c>
      <c r="F53" s="48">
        <f>F51+C53</f>
        <v/>
      </c>
      <c r="G53" s="34">
        <f>IF(G51="",IF(E53="","",E53),G51+IF(E53="",0,E53))</f>
        <v/>
      </c>
      <c r="H53" s="48">
        <f>C53*$M$2</f>
        <v/>
      </c>
      <c r="I53" s="34">
        <f>IF(D53="","",D53*$M$2)</f>
        <v/>
      </c>
      <c r="J53" s="34">
        <f>IF(I53="","",I53-H53)</f>
        <v/>
      </c>
      <c r="K53" s="48">
        <f>K51-IF(I53&lt;&gt;"",I53,H53)</f>
        <v/>
      </c>
    </row>
    <row r="54">
      <c r="A54" s="33" t="inlineStr">
        <is>
          <t>Feb 2030</t>
        </is>
      </c>
      <c r="B54" s="34" t="n"/>
      <c r="C54" s="48" t="n">
        <v>34741.8</v>
      </c>
      <c r="D54" s="34" t="n"/>
      <c r="E54" s="34">
        <f>IF(D54="","",D54-C54)</f>
        <v/>
      </c>
      <c r="F54" s="48">
        <f>F53+C54</f>
        <v/>
      </c>
      <c r="G54" s="34">
        <f>IF(G53="",IF(E54="","",E54),G53+IF(E54="",0,E54))</f>
        <v/>
      </c>
      <c r="H54" s="48">
        <f>C54*$M$2</f>
        <v/>
      </c>
      <c r="I54" s="34">
        <f>IF(D54="","",D54*$M$2)</f>
        <v/>
      </c>
      <c r="J54" s="34">
        <f>IF(I54="","",I54-H54)</f>
        <v/>
      </c>
      <c r="K54" s="48">
        <f>K53-IF(I54&lt;&gt;"",I54,H54)</f>
        <v/>
      </c>
    </row>
    <row r="55">
      <c r="A55" s="33" t="inlineStr">
        <is>
          <t>Mar 2030</t>
        </is>
      </c>
      <c r="B55" s="34" t="n"/>
      <c r="C55" s="48" t="n">
        <v>34741.8</v>
      </c>
      <c r="D55" s="34" t="n"/>
      <c r="E55" s="34">
        <f>IF(D55="","",D55-C55)</f>
        <v/>
      </c>
      <c r="F55" s="48">
        <f>F54+C55</f>
        <v/>
      </c>
      <c r="G55" s="34">
        <f>IF(G54="",IF(E55="","",E55),G54+IF(E55="",0,E55))</f>
        <v/>
      </c>
      <c r="H55" s="48">
        <f>C55*$M$2</f>
        <v/>
      </c>
      <c r="I55" s="34">
        <f>IF(D55="","",D55*$M$2)</f>
        <v/>
      </c>
      <c r="J55" s="34">
        <f>IF(I55="","",I55-H55)</f>
        <v/>
      </c>
      <c r="K55" s="48">
        <f>K54-IF(I55&lt;&gt;"",I55,H55)</f>
        <v/>
      </c>
    </row>
    <row r="56">
      <c r="A56" s="33" t="inlineStr">
        <is>
          <t>Apr 2030</t>
        </is>
      </c>
      <c r="B56" s="34" t="n"/>
      <c r="C56" s="48" t="n">
        <v>34741.8</v>
      </c>
      <c r="D56" s="34" t="n"/>
      <c r="E56" s="34">
        <f>IF(D56="","",D56-C56)</f>
        <v/>
      </c>
      <c r="F56" s="48">
        <f>F55+C56</f>
        <v/>
      </c>
      <c r="G56" s="34">
        <f>IF(G55="",IF(E56="","",E56),G55+IF(E56="",0,E56))</f>
        <v/>
      </c>
      <c r="H56" s="48">
        <f>C56*$M$2</f>
        <v/>
      </c>
      <c r="I56" s="34">
        <f>IF(D56="","",D56*$M$2)</f>
        <v/>
      </c>
      <c r="J56" s="34">
        <f>IF(I56="","",I56-H56)</f>
        <v/>
      </c>
      <c r="K56" s="48">
        <f>K55-IF(I56&lt;&gt;"",I56,H56)</f>
        <v/>
      </c>
    </row>
    <row r="57">
      <c r="A57" s="33" t="inlineStr">
        <is>
          <t>May 2030</t>
        </is>
      </c>
      <c r="B57" s="34" t="n"/>
      <c r="C57" s="48" t="n">
        <v>34741.8</v>
      </c>
      <c r="D57" s="34" t="n"/>
      <c r="E57" s="34">
        <f>IF(D57="","",D57-C57)</f>
        <v/>
      </c>
      <c r="F57" s="48">
        <f>F56+C57</f>
        <v/>
      </c>
      <c r="G57" s="34">
        <f>IF(G56="",IF(E57="","",E57),G56+IF(E57="",0,E57))</f>
        <v/>
      </c>
      <c r="H57" s="48">
        <f>C57*$M$2</f>
        <v/>
      </c>
      <c r="I57" s="34">
        <f>IF(D57="","",D57*$M$2)</f>
        <v/>
      </c>
      <c r="J57" s="34">
        <f>IF(I57="","",I57-H57)</f>
        <v/>
      </c>
      <c r="K57" s="48">
        <f>K56-IF(I57&lt;&gt;"",I57,H57)</f>
        <v/>
      </c>
    </row>
    <row r="58">
      <c r="A58" s="33" t="inlineStr">
        <is>
          <t>Jun 2030</t>
        </is>
      </c>
      <c r="B58" s="34" t="n"/>
      <c r="C58" s="48" t="n">
        <v>34741.8</v>
      </c>
      <c r="D58" s="34" t="n"/>
      <c r="E58" s="34">
        <f>IF(D58="","",D58-C58)</f>
        <v/>
      </c>
      <c r="F58" s="48">
        <f>F57+C58</f>
        <v/>
      </c>
      <c r="G58" s="34">
        <f>IF(G57="",IF(E58="","",E58),G57+IF(E58="",0,E58))</f>
        <v/>
      </c>
      <c r="H58" s="48">
        <f>C58*$M$2</f>
        <v/>
      </c>
      <c r="I58" s="34">
        <f>IF(D58="","",D58*$M$2)</f>
        <v/>
      </c>
      <c r="J58" s="34">
        <f>IF(I58="","",I58-H58)</f>
        <v/>
      </c>
      <c r="K58" s="48">
        <f>K57-IF(I58&lt;&gt;"",I58,H58)</f>
        <v/>
      </c>
    </row>
    <row r="59">
      <c r="A59" s="33" t="inlineStr">
        <is>
          <t>Jul 2030</t>
        </is>
      </c>
      <c r="B59" s="34" t="n"/>
      <c r="C59" s="48" t="n">
        <v>34741.8</v>
      </c>
      <c r="D59" s="34" t="n"/>
      <c r="E59" s="34">
        <f>IF(D59="","",D59-C59)</f>
        <v/>
      </c>
      <c r="F59" s="48">
        <f>F58+C59</f>
        <v/>
      </c>
      <c r="G59" s="34">
        <f>IF(G58="",IF(E59="","",E59),G58+IF(E59="",0,E59))</f>
        <v/>
      </c>
      <c r="H59" s="48">
        <f>C59*$M$2</f>
        <v/>
      </c>
      <c r="I59" s="34">
        <f>IF(D59="","",D59*$M$2)</f>
        <v/>
      </c>
      <c r="J59" s="34">
        <f>IF(I59="","",I59-H59)</f>
        <v/>
      </c>
      <c r="K59" s="48">
        <f>K58-IF(I59&lt;&gt;"",I59,H59)</f>
        <v/>
      </c>
    </row>
    <row r="60">
      <c r="A60" s="33" t="inlineStr">
        <is>
          <t>Aug 2030</t>
        </is>
      </c>
      <c r="B60" s="34" t="n"/>
      <c r="C60" s="48" t="n">
        <v>34741.8</v>
      </c>
      <c r="D60" s="34" t="n"/>
      <c r="E60" s="34">
        <f>IF(D60="","",D60-C60)</f>
        <v/>
      </c>
      <c r="F60" s="48">
        <f>F59+C60</f>
        <v/>
      </c>
      <c r="G60" s="34">
        <f>IF(G59="",IF(E60="","",E60),G59+IF(E60="",0,E60))</f>
        <v/>
      </c>
      <c r="H60" s="48">
        <f>C60*$M$2</f>
        <v/>
      </c>
      <c r="I60" s="34">
        <f>IF(D60="","",D60*$M$2)</f>
        <v/>
      </c>
      <c r="J60" s="34">
        <f>IF(I60="","",I60-H60)</f>
        <v/>
      </c>
      <c r="K60" s="48">
        <f>K59-IF(I60&lt;&gt;"",I60,H60)</f>
        <v/>
      </c>
    </row>
    <row r="61">
      <c r="A61" s="33" t="inlineStr">
        <is>
          <t>Sep 2030</t>
        </is>
      </c>
      <c r="B61" s="34" t="n"/>
      <c r="C61" s="48" t="n">
        <v>34741.8</v>
      </c>
      <c r="D61" s="34" t="n"/>
      <c r="E61" s="34">
        <f>IF(D61="","",D61-C61)</f>
        <v/>
      </c>
      <c r="F61" s="48">
        <f>F60+C61</f>
        <v/>
      </c>
      <c r="G61" s="34">
        <f>IF(G60="",IF(E61="","",E61),G60+IF(E61="",0,E61))</f>
        <v/>
      </c>
      <c r="H61" s="48">
        <f>C61*$M$2</f>
        <v/>
      </c>
      <c r="I61" s="34">
        <f>IF(D61="","",D61*$M$2)</f>
        <v/>
      </c>
      <c r="J61" s="34">
        <f>IF(I61="","",I61-H61)</f>
        <v/>
      </c>
      <c r="K61" s="48">
        <f>K60-IF(I61&lt;&gt;"",I61,H61)</f>
        <v/>
      </c>
    </row>
    <row r="62">
      <c r="A62" s="33" t="inlineStr">
        <is>
          <t>Oct 2030</t>
        </is>
      </c>
      <c r="B62" s="34" t="n"/>
      <c r="C62" s="48" t="n">
        <v>34741.8</v>
      </c>
      <c r="D62" s="34" t="n"/>
      <c r="E62" s="34">
        <f>IF(D62="","",D62-C62)</f>
        <v/>
      </c>
      <c r="F62" s="48">
        <f>F61+C62</f>
        <v/>
      </c>
      <c r="G62" s="34">
        <f>IF(G61="",IF(E62="","",E62),G61+IF(E62="",0,E62))</f>
        <v/>
      </c>
      <c r="H62" s="48">
        <f>C62*$M$2</f>
        <v/>
      </c>
      <c r="I62" s="34">
        <f>IF(D62="","",D62*$M$2)</f>
        <v/>
      </c>
      <c r="J62" s="34">
        <f>IF(I62="","",I62-H62)</f>
        <v/>
      </c>
      <c r="K62" s="48">
        <f>K61-IF(I62&lt;&gt;"",I62,H62)</f>
        <v/>
      </c>
    </row>
    <row r="63">
      <c r="A63" s="33" t="inlineStr">
        <is>
          <t>Nov 2030</t>
        </is>
      </c>
      <c r="B63" s="34" t="n"/>
      <c r="C63" s="48" t="n">
        <v>34741.8</v>
      </c>
      <c r="D63" s="34" t="n"/>
      <c r="E63" s="34">
        <f>IF(D63="","",D63-C63)</f>
        <v/>
      </c>
      <c r="F63" s="48">
        <f>F62+C63</f>
        <v/>
      </c>
      <c r="G63" s="34">
        <f>IF(G62="",IF(E63="","",E63),G62+IF(E63="",0,E63))</f>
        <v/>
      </c>
      <c r="H63" s="48">
        <f>C63*$M$2</f>
        <v/>
      </c>
      <c r="I63" s="34">
        <f>IF(D63="","",D63*$M$2)</f>
        <v/>
      </c>
      <c r="J63" s="34">
        <f>IF(I63="","",I63-H63)</f>
        <v/>
      </c>
      <c r="K63" s="48">
        <f>K62-IF(I63&lt;&gt;"",I63,H63)</f>
        <v/>
      </c>
    </row>
    <row r="64">
      <c r="A64" s="33" t="inlineStr">
        <is>
          <t>Dec 2030</t>
        </is>
      </c>
      <c r="B64" s="34" t="n"/>
      <c r="C64" s="48" t="n">
        <v>34741.8</v>
      </c>
      <c r="D64" s="34" t="n"/>
      <c r="E64" s="34">
        <f>IF(D64="","",D64-C64)</f>
        <v/>
      </c>
      <c r="F64" s="48">
        <f>F63+C64</f>
        <v/>
      </c>
      <c r="G64" s="34">
        <f>IF(G63="",IF(E64="","",E64),G63+IF(E64="",0,E64))</f>
        <v/>
      </c>
      <c r="H64" s="48">
        <f>C64*$M$2</f>
        <v/>
      </c>
      <c r="I64" s="34">
        <f>IF(D64="","",D64*$M$2)</f>
        <v/>
      </c>
      <c r="J64" s="34">
        <f>IF(I64="","",I64-H64)</f>
        <v/>
      </c>
      <c r="K64" s="48">
        <f>K63-IF(I64&lt;&gt;"",I64,H64)</f>
        <v/>
      </c>
    </row>
    <row r="65" ht="13" customHeight="1">
      <c r="A65" s="31" t="inlineStr">
        <is>
          <t>2031</t>
        </is>
      </c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</row>
    <row r="66">
      <c r="A66" s="33" t="inlineStr">
        <is>
          <t>Jan 2031</t>
        </is>
      </c>
      <c r="B66" s="34" t="n"/>
      <c r="C66" s="48" t="n">
        <v>0</v>
      </c>
      <c r="D66" s="34" t="n"/>
      <c r="E66" s="34">
        <f>IF(D66="","",D66-C66)</f>
        <v/>
      </c>
      <c r="F66" s="48">
        <f>F64+C66</f>
        <v/>
      </c>
      <c r="G66" s="34">
        <f>IF(G64="",IF(E66="","",E66),G64+IF(E66="",0,E66))</f>
        <v/>
      </c>
      <c r="H66" s="48">
        <f>C66*$M$2</f>
        <v/>
      </c>
      <c r="I66" s="34">
        <f>IF(D66="","",D66*$M$2)</f>
        <v/>
      </c>
      <c r="J66" s="34">
        <f>IF(I66="","",I66-H66)</f>
        <v/>
      </c>
      <c r="K66" s="48">
        <f>K64-IF(I66&lt;&gt;"",I66,H66)</f>
        <v/>
      </c>
    </row>
    <row r="67">
      <c r="A67" s="33" t="inlineStr">
        <is>
          <t>Feb 2031</t>
        </is>
      </c>
      <c r="B67" s="34" t="n"/>
      <c r="C67" s="48" t="n">
        <v>0</v>
      </c>
      <c r="D67" s="34" t="n"/>
      <c r="E67" s="34">
        <f>IF(D67="","",D67-C67)</f>
        <v/>
      </c>
      <c r="F67" s="48">
        <f>F66+C67</f>
        <v/>
      </c>
      <c r="G67" s="34">
        <f>IF(G66="",IF(E67="","",E67),G66+IF(E67="",0,E67))</f>
        <v/>
      </c>
      <c r="H67" s="48">
        <f>C67*$M$2</f>
        <v/>
      </c>
      <c r="I67" s="34">
        <f>IF(D67="","",D67*$M$2)</f>
        <v/>
      </c>
      <c r="J67" s="34">
        <f>IF(I67="","",I67-H67)</f>
        <v/>
      </c>
      <c r="K67" s="48">
        <f>K66-IF(I67&lt;&gt;"",I67,H67)</f>
        <v/>
      </c>
    </row>
    <row r="68">
      <c r="A68" s="33" t="inlineStr">
        <is>
          <t>Mar 2031</t>
        </is>
      </c>
      <c r="B68" s="34" t="n"/>
      <c r="C68" s="48" t="n">
        <v>0</v>
      </c>
      <c r="D68" s="34" t="n"/>
      <c r="E68" s="34">
        <f>IF(D68="","",D68-C68)</f>
        <v/>
      </c>
      <c r="F68" s="48">
        <f>F67+C68</f>
        <v/>
      </c>
      <c r="G68" s="34">
        <f>IF(G67="",IF(E68="","",E68),G67+IF(E68="",0,E68))</f>
        <v/>
      </c>
      <c r="H68" s="48">
        <f>C68*$M$2</f>
        <v/>
      </c>
      <c r="I68" s="34">
        <f>IF(D68="","",D68*$M$2)</f>
        <v/>
      </c>
      <c r="J68" s="34">
        <f>IF(I68="","",I68-H68)</f>
        <v/>
      </c>
      <c r="K68" s="48">
        <f>K67-IF(I68&lt;&gt;"",I68,H68)</f>
        <v/>
      </c>
    </row>
    <row r="69">
      <c r="A69" s="33" t="inlineStr">
        <is>
          <t>Apr 2031</t>
        </is>
      </c>
      <c r="B69" s="34" t="n"/>
      <c r="C69" s="48" t="n">
        <v>0</v>
      </c>
      <c r="D69" s="34" t="n"/>
      <c r="E69" s="34">
        <f>IF(D69="","",D69-C69)</f>
        <v/>
      </c>
      <c r="F69" s="48">
        <f>F68+C69</f>
        <v/>
      </c>
      <c r="G69" s="34">
        <f>IF(G68="",IF(E69="","",E69),G68+IF(E69="",0,E69))</f>
        <v/>
      </c>
      <c r="H69" s="48">
        <f>C69*$M$2</f>
        <v/>
      </c>
      <c r="I69" s="34">
        <f>IF(D69="","",D69*$M$2)</f>
        <v/>
      </c>
      <c r="J69" s="34">
        <f>IF(I69="","",I69-H69)</f>
        <v/>
      </c>
      <c r="K69" s="48">
        <f>K68-IF(I69&lt;&gt;"",I69,H69)</f>
        <v/>
      </c>
    </row>
  </sheetData>
  <mergeCells count="3">
    <mergeCell ref="H2:K2"/>
    <mergeCell ref="C2:G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Month</t>
        </is>
      </c>
      <c r="B1" s="2" t="inlineStr">
        <is>
          <t>Projected Gross CDR (MT bio-oil)</t>
        </is>
      </c>
    </row>
    <row r="2">
      <c r="A2" s="49" t="n">
        <v>45292</v>
      </c>
      <c r="B2" s="50" t="n">
        <v>0</v>
      </c>
    </row>
    <row r="3">
      <c r="A3" s="49" t="n">
        <v>45323</v>
      </c>
      <c r="B3" s="50" t="n">
        <v>0</v>
      </c>
    </row>
    <row r="4">
      <c r="A4" s="49" t="n">
        <v>45352</v>
      </c>
      <c r="B4" s="50" t="n">
        <v>0</v>
      </c>
    </row>
    <row r="5">
      <c r="A5" s="49" t="n">
        <v>45383</v>
      </c>
      <c r="B5" s="50" t="n">
        <v>0</v>
      </c>
    </row>
    <row r="6">
      <c r="A6" s="49" t="n">
        <v>45413</v>
      </c>
      <c r="B6" s="50" t="n">
        <v>0</v>
      </c>
    </row>
    <row r="7">
      <c r="A7" s="49" t="n">
        <v>45444</v>
      </c>
      <c r="B7" s="50" t="n">
        <v>0</v>
      </c>
    </row>
    <row r="8">
      <c r="A8" s="49" t="n">
        <v>45474</v>
      </c>
      <c r="B8" s="50" t="n">
        <v>0</v>
      </c>
    </row>
    <row r="9">
      <c r="A9" s="49" t="n">
        <v>45505</v>
      </c>
      <c r="B9" s="50" t="n">
        <v>0</v>
      </c>
    </row>
    <row r="10">
      <c r="A10" s="49" t="n">
        <v>45536</v>
      </c>
      <c r="B10" s="50" t="n">
        <v>0</v>
      </c>
    </row>
    <row r="11">
      <c r="A11" s="49" t="n">
        <v>45566</v>
      </c>
      <c r="B11" s="50" t="n">
        <v>0</v>
      </c>
    </row>
    <row r="12">
      <c r="A12" s="49" t="n">
        <v>45597</v>
      </c>
      <c r="B12" s="50" t="n">
        <v>0</v>
      </c>
    </row>
    <row r="13">
      <c r="A13" s="49" t="n">
        <v>45627</v>
      </c>
      <c r="B13" s="50" t="n">
        <v>0</v>
      </c>
    </row>
    <row r="14">
      <c r="A14" s="49" t="n">
        <v>45658</v>
      </c>
      <c r="B14" s="50" t="n">
        <v>122.4</v>
      </c>
    </row>
    <row r="15">
      <c r="A15" s="49" t="n">
        <v>45689</v>
      </c>
      <c r="B15" s="50" t="n">
        <v>122.4</v>
      </c>
    </row>
    <row r="16">
      <c r="A16" s="49" t="n">
        <v>45717</v>
      </c>
      <c r="B16" s="50" t="n">
        <v>122.4</v>
      </c>
    </row>
    <row r="17">
      <c r="A17" s="49" t="n">
        <v>45748</v>
      </c>
      <c r="B17" s="50" t="n">
        <v>122.4</v>
      </c>
    </row>
    <row r="18">
      <c r="A18" s="49" t="n">
        <v>45778</v>
      </c>
      <c r="B18" s="50" t="n">
        <v>122.4</v>
      </c>
    </row>
    <row r="19">
      <c r="A19" s="49" t="n">
        <v>45809</v>
      </c>
      <c r="B19" s="50" t="n">
        <v>122.4</v>
      </c>
    </row>
    <row r="20">
      <c r="A20" s="49" t="n">
        <v>45839</v>
      </c>
      <c r="B20" s="50" t="n">
        <v>122.4</v>
      </c>
    </row>
    <row r="21">
      <c r="A21" s="49" t="n">
        <v>45870</v>
      </c>
      <c r="B21" s="50" t="n">
        <v>122.4</v>
      </c>
    </row>
    <row r="22">
      <c r="A22" s="49" t="n">
        <v>45901</v>
      </c>
      <c r="B22" s="50" t="n">
        <v>122.4</v>
      </c>
    </row>
    <row r="23">
      <c r="A23" s="49" t="n">
        <v>45931</v>
      </c>
      <c r="B23" s="50" t="n">
        <v>122.4</v>
      </c>
    </row>
    <row r="24">
      <c r="A24" s="49" t="n">
        <v>45962</v>
      </c>
      <c r="B24" s="50" t="n">
        <v>122.4</v>
      </c>
    </row>
    <row r="25">
      <c r="A25" s="49" t="n">
        <v>45992</v>
      </c>
      <c r="B25" s="50" t="n">
        <v>122.4</v>
      </c>
    </row>
    <row r="26">
      <c r="A26" s="49" t="n">
        <v>46023</v>
      </c>
      <c r="B26" s="50" t="n">
        <v>3884.3</v>
      </c>
    </row>
    <row r="27">
      <c r="A27" s="49" t="n">
        <v>46054</v>
      </c>
      <c r="B27" s="50" t="n">
        <v>3884.3</v>
      </c>
    </row>
    <row r="28">
      <c r="A28" s="49" t="n">
        <v>46082</v>
      </c>
      <c r="B28" s="50" t="n">
        <v>3884.3</v>
      </c>
    </row>
    <row r="29">
      <c r="A29" s="49" t="n">
        <v>46113</v>
      </c>
      <c r="B29" s="50" t="n">
        <v>3884.3</v>
      </c>
    </row>
    <row r="30">
      <c r="A30" s="49" t="n">
        <v>46143</v>
      </c>
      <c r="B30" s="50" t="n">
        <v>3884.3</v>
      </c>
    </row>
    <row r="31">
      <c r="A31" s="49" t="n">
        <v>46174</v>
      </c>
      <c r="B31" s="50" t="n">
        <v>3884.3</v>
      </c>
    </row>
    <row r="32">
      <c r="A32" s="49" t="n">
        <v>46204</v>
      </c>
      <c r="B32" s="50" t="n">
        <v>3884.3</v>
      </c>
    </row>
    <row r="33">
      <c r="A33" s="49" t="n">
        <v>46235</v>
      </c>
      <c r="B33" s="50" t="n">
        <v>3884.3</v>
      </c>
    </row>
    <row r="34">
      <c r="A34" s="49" t="n">
        <v>46266</v>
      </c>
      <c r="B34" s="50" t="n">
        <v>3884.3</v>
      </c>
    </row>
    <row r="35">
      <c r="A35" s="49" t="n">
        <v>46296</v>
      </c>
      <c r="B35" s="50" t="n">
        <v>3884.3</v>
      </c>
    </row>
    <row r="36">
      <c r="A36" s="49" t="n">
        <v>46327</v>
      </c>
      <c r="B36" s="50" t="n">
        <v>3884.3</v>
      </c>
    </row>
    <row r="37">
      <c r="A37" s="49" t="n">
        <v>46357</v>
      </c>
      <c r="B37" s="50" t="n">
        <v>3884.3</v>
      </c>
    </row>
    <row r="38">
      <c r="A38" s="49" t="n">
        <v>46388</v>
      </c>
      <c r="B38" s="50" t="n">
        <v>5798.2</v>
      </c>
    </row>
    <row r="39">
      <c r="A39" s="49" t="n">
        <v>46419</v>
      </c>
      <c r="B39" s="50" t="n">
        <v>5798.2</v>
      </c>
    </row>
    <row r="40">
      <c r="A40" s="49" t="n">
        <v>46447</v>
      </c>
      <c r="B40" s="50" t="n">
        <v>5798.2</v>
      </c>
    </row>
    <row r="41">
      <c r="A41" s="49" t="n">
        <v>46478</v>
      </c>
      <c r="B41" s="50" t="n">
        <v>5798.2</v>
      </c>
    </row>
    <row r="42">
      <c r="A42" s="49" t="n">
        <v>46508</v>
      </c>
      <c r="B42" s="50" t="n">
        <v>5798.2</v>
      </c>
    </row>
    <row r="43">
      <c r="A43" s="49" t="n">
        <v>46539</v>
      </c>
      <c r="B43" s="50" t="n">
        <v>5798.2</v>
      </c>
    </row>
    <row r="44">
      <c r="A44" s="49" t="n">
        <v>46569</v>
      </c>
      <c r="B44" s="50" t="n">
        <v>5798.2</v>
      </c>
    </row>
    <row r="45">
      <c r="A45" s="49" t="n">
        <v>46600</v>
      </c>
      <c r="B45" s="50" t="n">
        <v>5798.2</v>
      </c>
    </row>
    <row r="46">
      <c r="A46" s="49" t="n">
        <v>46631</v>
      </c>
      <c r="B46" s="50" t="n">
        <v>5798.2</v>
      </c>
    </row>
    <row r="47">
      <c r="A47" s="49" t="n">
        <v>46661</v>
      </c>
      <c r="B47" s="50" t="n">
        <v>5798.2</v>
      </c>
    </row>
    <row r="48">
      <c r="A48" s="49" t="n">
        <v>46692</v>
      </c>
      <c r="B48" s="50" t="n">
        <v>5798.2</v>
      </c>
    </row>
    <row r="49">
      <c r="A49" s="49" t="n">
        <v>46722</v>
      </c>
      <c r="B49" s="50" t="n">
        <v>5798.2</v>
      </c>
    </row>
    <row r="50">
      <c r="A50" s="49" t="n">
        <v>46753</v>
      </c>
      <c r="B50" s="50" t="n">
        <v>11639.1</v>
      </c>
    </row>
    <row r="51">
      <c r="A51" s="49" t="n">
        <v>46784</v>
      </c>
      <c r="B51" s="50" t="n">
        <v>11639.1</v>
      </c>
    </row>
    <row r="52">
      <c r="A52" s="49" t="n">
        <v>46813</v>
      </c>
      <c r="B52" s="50" t="n">
        <v>11639.1</v>
      </c>
    </row>
    <row r="53">
      <c r="A53" s="49" t="n">
        <v>46844</v>
      </c>
      <c r="B53" s="50" t="n">
        <v>11639.1</v>
      </c>
    </row>
    <row r="54">
      <c r="A54" s="49" t="n">
        <v>46874</v>
      </c>
      <c r="B54" s="50" t="n">
        <v>11639.1</v>
      </c>
    </row>
    <row r="55">
      <c r="A55" s="49" t="n">
        <v>46905</v>
      </c>
      <c r="B55" s="50" t="n">
        <v>11639.1</v>
      </c>
    </row>
    <row r="56">
      <c r="A56" s="49" t="n">
        <v>46935</v>
      </c>
      <c r="B56" s="50" t="n">
        <v>11639.1</v>
      </c>
    </row>
    <row r="57">
      <c r="A57" s="49" t="n">
        <v>46966</v>
      </c>
      <c r="B57" s="50" t="n">
        <v>11639.1</v>
      </c>
    </row>
    <row r="58">
      <c r="A58" s="49" t="n">
        <v>46997</v>
      </c>
      <c r="B58" s="50" t="n">
        <v>11639.1</v>
      </c>
    </row>
    <row r="59">
      <c r="A59" s="49" t="n">
        <v>47027</v>
      </c>
      <c r="B59" s="50" t="n">
        <v>11639.1</v>
      </c>
    </row>
    <row r="60">
      <c r="A60" s="49" t="n">
        <v>47058</v>
      </c>
      <c r="B60" s="50" t="n">
        <v>11639.1</v>
      </c>
    </row>
    <row r="61">
      <c r="A61" s="49" t="n">
        <v>47088</v>
      </c>
      <c r="B61" s="50" t="n">
        <v>11639.1</v>
      </c>
    </row>
    <row r="62">
      <c r="A62" s="49" t="n">
        <v>47119</v>
      </c>
      <c r="B62" s="50" t="n">
        <v>21271.1</v>
      </c>
    </row>
    <row r="63">
      <c r="A63" s="49" t="n">
        <v>47150</v>
      </c>
      <c r="B63" s="50" t="n">
        <v>21271.1</v>
      </c>
    </row>
    <row r="64">
      <c r="A64" s="49" t="n">
        <v>47178</v>
      </c>
      <c r="B64" s="50" t="n">
        <v>21271.1</v>
      </c>
    </row>
    <row r="65">
      <c r="A65" s="49" t="n">
        <v>47209</v>
      </c>
      <c r="B65" s="50" t="n">
        <v>21271.1</v>
      </c>
    </row>
    <row r="66">
      <c r="A66" s="49" t="n">
        <v>47239</v>
      </c>
      <c r="B66" s="50" t="n">
        <v>21271.1</v>
      </c>
    </row>
    <row r="67">
      <c r="A67" s="49" t="n">
        <v>47270</v>
      </c>
      <c r="B67" s="50" t="n">
        <v>21271.1</v>
      </c>
    </row>
    <row r="68">
      <c r="A68" s="49" t="n">
        <v>47300</v>
      </c>
      <c r="B68" s="50" t="n">
        <v>21271.1</v>
      </c>
    </row>
    <row r="69">
      <c r="A69" s="49" t="n">
        <v>47331</v>
      </c>
      <c r="B69" s="50" t="n">
        <v>21271.1</v>
      </c>
    </row>
    <row r="70">
      <c r="A70" s="49" t="n">
        <v>47362</v>
      </c>
      <c r="B70" s="50" t="n">
        <v>21271.1</v>
      </c>
    </row>
    <row r="71">
      <c r="A71" s="49" t="n">
        <v>47392</v>
      </c>
      <c r="B71" s="50" t="n">
        <v>21271.1</v>
      </c>
    </row>
    <row r="72">
      <c r="A72" s="49" t="n">
        <v>47423</v>
      </c>
      <c r="B72" s="50" t="n">
        <v>21271.1</v>
      </c>
    </row>
    <row r="73">
      <c r="A73" s="49" t="n">
        <v>47453</v>
      </c>
      <c r="B73" s="50" t="n">
        <v>21271.1</v>
      </c>
    </row>
    <row r="74">
      <c r="A74" s="49" t="n">
        <v>47484</v>
      </c>
      <c r="B74" s="50" t="n">
        <v>34741.8</v>
      </c>
    </row>
    <row r="75">
      <c r="A75" s="49" t="n">
        <v>47515</v>
      </c>
      <c r="B75" s="50" t="n">
        <v>34741.8</v>
      </c>
    </row>
    <row r="76">
      <c r="A76" s="49" t="n">
        <v>47543</v>
      </c>
      <c r="B76" s="50" t="n">
        <v>34741.8</v>
      </c>
    </row>
    <row r="77">
      <c r="A77" s="49" t="n">
        <v>47574</v>
      </c>
      <c r="B77" s="50" t="n">
        <v>34741.8</v>
      </c>
    </row>
    <row r="78">
      <c r="A78" s="49" t="n">
        <v>47604</v>
      </c>
      <c r="B78" s="50" t="n">
        <v>34741.8</v>
      </c>
    </row>
    <row r="79">
      <c r="A79" s="49" t="n">
        <v>47635</v>
      </c>
      <c r="B79" s="50" t="n">
        <v>34741.8</v>
      </c>
    </row>
    <row r="80">
      <c r="A80" s="49" t="n">
        <v>47665</v>
      </c>
      <c r="B80" s="50" t="n">
        <v>34741.8</v>
      </c>
    </row>
    <row r="81">
      <c r="A81" s="49" t="n">
        <v>47696</v>
      </c>
      <c r="B81" s="50" t="n">
        <v>34741.8</v>
      </c>
    </row>
    <row r="82">
      <c r="A82" s="49" t="n">
        <v>47727</v>
      </c>
      <c r="B82" s="50" t="n">
        <v>34741.8</v>
      </c>
    </row>
    <row r="83">
      <c r="A83" s="49" t="n">
        <v>47757</v>
      </c>
      <c r="B83" s="50" t="n">
        <v>34741.8</v>
      </c>
    </row>
    <row r="84">
      <c r="A84" s="49" t="n">
        <v>47788</v>
      </c>
      <c r="B84" s="50" t="n">
        <v>34741.8</v>
      </c>
    </row>
    <row r="85">
      <c r="A85" s="49" t="n">
        <v>47818</v>
      </c>
      <c r="B85" s="50" t="n">
        <v>34741.8</v>
      </c>
    </row>
    <row r="86">
      <c r="A86" s="49" t="n">
        <v>47849</v>
      </c>
      <c r="B86" s="50" t="n">
        <v>0</v>
      </c>
    </row>
    <row r="87">
      <c r="A87" s="49" t="n">
        <v>47880</v>
      </c>
      <c r="B87" s="50" t="n">
        <v>0</v>
      </c>
    </row>
    <row r="88">
      <c r="A88" s="49" t="n">
        <v>47908</v>
      </c>
      <c r="B88" s="50" t="n">
        <v>0</v>
      </c>
    </row>
    <row r="89">
      <c r="A89" s="49" t="n">
        <v>47939</v>
      </c>
      <c r="B89" s="50" t="n">
        <v>0</v>
      </c>
    </row>
    <row r="90">
      <c r="A90" s="49" t="n">
        <v>47969</v>
      </c>
      <c r="B90" s="50" t="n">
        <v>0</v>
      </c>
    </row>
    <row r="91">
      <c r="A91" s="49" t="n">
        <v>48000</v>
      </c>
      <c r="B91" s="50" t="n">
        <v>0</v>
      </c>
    </row>
    <row r="92">
      <c r="A92" s="49" t="n">
        <v>48030</v>
      </c>
      <c r="B92" s="50" t="n">
        <v>0</v>
      </c>
    </row>
    <row r="93">
      <c r="A93" s="49" t="n">
        <v>48061</v>
      </c>
      <c r="B93" s="50" t="n">
        <v>0</v>
      </c>
    </row>
    <row r="94">
      <c r="A94" s="49" t="n">
        <v>48092</v>
      </c>
      <c r="B94" s="50" t="n">
        <v>0</v>
      </c>
    </row>
    <row r="95">
      <c r="A95" s="49" t="n">
        <v>48122</v>
      </c>
      <c r="B95" s="50" t="n">
        <v>0</v>
      </c>
    </row>
    <row r="96">
      <c r="A96" s="49" t="n">
        <v>48153</v>
      </c>
      <c r="B96" s="50" t="n">
        <v>0</v>
      </c>
    </row>
    <row r="97">
      <c r="A97" s="49" t="n">
        <v>48183</v>
      </c>
      <c r="B97" s="50" t="n">
        <v>0</v>
      </c>
    </row>
    <row r="98">
      <c r="A98" s="49" t="n">
        <v>48214</v>
      </c>
      <c r="B98" s="50" t="n">
        <v>0</v>
      </c>
    </row>
    <row r="99">
      <c r="A99" s="49" t="n">
        <v>48245</v>
      </c>
      <c r="B99" s="50" t="n">
        <v>0</v>
      </c>
    </row>
    <row r="100">
      <c r="A100" s="49" t="n">
        <v>48274</v>
      </c>
      <c r="B100" s="50" t="n">
        <v>0</v>
      </c>
    </row>
    <row r="101">
      <c r="A101" s="49" t="n">
        <v>48305</v>
      </c>
      <c r="B101" s="50" t="n">
        <v>0</v>
      </c>
    </row>
    <row r="102">
      <c r="A102" s="49" t="n">
        <v>48335</v>
      </c>
      <c r="B102" s="50" t="n">
        <v>0</v>
      </c>
    </row>
    <row r="103">
      <c r="A103" s="49" t="n">
        <v>48366</v>
      </c>
      <c r="B103" s="50" t="n">
        <v>0</v>
      </c>
    </row>
    <row r="104">
      <c r="A104" s="49" t="n">
        <v>48396</v>
      </c>
      <c r="B104" s="50" t="n">
        <v>0</v>
      </c>
    </row>
    <row r="105">
      <c r="A105" s="49" t="n">
        <v>48427</v>
      </c>
      <c r="B105" s="50" t="n">
        <v>0</v>
      </c>
    </row>
    <row r="106">
      <c r="A106" s="49" t="n">
        <v>48458</v>
      </c>
      <c r="B106" s="50" t="n">
        <v>0</v>
      </c>
    </row>
    <row r="107">
      <c r="A107" s="49" t="n">
        <v>48488</v>
      </c>
      <c r="B107" s="50" t="n">
        <v>0</v>
      </c>
    </row>
    <row r="108">
      <c r="A108" s="49" t="n">
        <v>48519</v>
      </c>
      <c r="B108" s="50" t="n">
        <v>0</v>
      </c>
    </row>
    <row r="109">
      <c r="A109" s="49" t="n">
        <v>48549</v>
      </c>
      <c r="B109" s="50" t="n">
        <v>0</v>
      </c>
    </row>
    <row r="110">
      <c r="A110" s="49" t="n">
        <v>48580</v>
      </c>
      <c r="B110" s="50" t="n">
        <v>0</v>
      </c>
    </row>
    <row r="111">
      <c r="A111" s="49" t="n">
        <v>48611</v>
      </c>
      <c r="B111" s="50" t="n">
        <v>0</v>
      </c>
    </row>
    <row r="112">
      <c r="A112" s="49" t="n">
        <v>48639</v>
      </c>
      <c r="B112" s="50" t="n">
        <v>0</v>
      </c>
    </row>
    <row r="113">
      <c r="A113" s="49" t="n">
        <v>48670</v>
      </c>
      <c r="B113" s="50" t="n">
        <v>0</v>
      </c>
    </row>
    <row r="114">
      <c r="A114" s="49" t="n">
        <v>48700</v>
      </c>
      <c r="B114" s="50" t="n">
        <v>0</v>
      </c>
    </row>
    <row r="115">
      <c r="A115" s="49" t="n">
        <v>48731</v>
      </c>
      <c r="B115" s="50" t="n">
        <v>0</v>
      </c>
    </row>
    <row r="116">
      <c r="A116" s="49" t="n">
        <v>48761</v>
      </c>
      <c r="B116" s="50" t="n">
        <v>0</v>
      </c>
    </row>
    <row r="117">
      <c r="A117" s="49" t="n">
        <v>48792</v>
      </c>
      <c r="B117" s="50" t="n">
        <v>0</v>
      </c>
    </row>
    <row r="118">
      <c r="A118" s="49" t="n">
        <v>48823</v>
      </c>
      <c r="B118" s="50" t="n">
        <v>0</v>
      </c>
    </row>
    <row r="119">
      <c r="A119" s="49" t="n">
        <v>48853</v>
      </c>
      <c r="B119" s="50" t="n">
        <v>0</v>
      </c>
    </row>
    <row r="120">
      <c r="A120" s="49" t="n">
        <v>48884</v>
      </c>
      <c r="B120" s="50" t="n">
        <v>0</v>
      </c>
    </row>
    <row r="121">
      <c r="A121" s="49" t="n">
        <v>48914</v>
      </c>
      <c r="B121" s="50" t="n">
        <v>0</v>
      </c>
    </row>
    <row r="122">
      <c r="A122" s="49" t="n">
        <v>48945</v>
      </c>
      <c r="B122" s="50" t="n">
        <v>0</v>
      </c>
    </row>
    <row r="123">
      <c r="A123" s="49" t="n">
        <v>48976</v>
      </c>
      <c r="B123" s="50" t="n">
        <v>0</v>
      </c>
    </row>
    <row r="124">
      <c r="A124" s="49" t="n">
        <v>49004</v>
      </c>
      <c r="B124" s="50" t="n">
        <v>0</v>
      </c>
    </row>
    <row r="125">
      <c r="A125" s="49" t="n">
        <v>49035</v>
      </c>
      <c r="B125" s="50" t="n">
        <v>0</v>
      </c>
    </row>
    <row r="126">
      <c r="A126" s="49" t="n">
        <v>49065</v>
      </c>
      <c r="B126" s="50" t="n">
        <v>0</v>
      </c>
    </row>
    <row r="127">
      <c r="A127" s="49" t="n">
        <v>49096</v>
      </c>
      <c r="B127" s="50" t="n">
        <v>0</v>
      </c>
    </row>
    <row r="128">
      <c r="A128" s="49" t="n">
        <v>49126</v>
      </c>
      <c r="B128" s="50" t="n">
        <v>0</v>
      </c>
    </row>
    <row r="129">
      <c r="A129" s="49" t="n">
        <v>49157</v>
      </c>
      <c r="B129" s="50" t="n">
        <v>0</v>
      </c>
    </row>
    <row r="130">
      <c r="A130" s="49" t="n">
        <v>49188</v>
      </c>
      <c r="B130" s="50" t="n">
        <v>0</v>
      </c>
    </row>
    <row r="131">
      <c r="A131" s="49" t="n">
        <v>49218</v>
      </c>
      <c r="B131" s="50" t="n">
        <v>0</v>
      </c>
    </row>
    <row r="132">
      <c r="A132" s="49" t="n">
        <v>49249</v>
      </c>
      <c r="B132" s="50" t="n">
        <v>0</v>
      </c>
    </row>
    <row r="133">
      <c r="A133" s="49" t="n">
        <v>49279</v>
      </c>
      <c r="B133" s="50" t="n">
        <v>0</v>
      </c>
    </row>
    <row r="134">
      <c r="A134" s="49" t="n">
        <v>49310</v>
      </c>
      <c r="B134" s="50" t="n">
        <v>0</v>
      </c>
    </row>
    <row r="135">
      <c r="A135" s="49" t="n">
        <v>49341</v>
      </c>
      <c r="B135" s="50" t="n">
        <v>0</v>
      </c>
    </row>
    <row r="136">
      <c r="A136" s="49" t="n">
        <v>49369</v>
      </c>
      <c r="B136" s="50" t="n">
        <v>0</v>
      </c>
    </row>
    <row r="137">
      <c r="A137" s="49" t="n">
        <v>49400</v>
      </c>
      <c r="B137" s="50" t="n">
        <v>0</v>
      </c>
    </row>
    <row r="138">
      <c r="A138" s="49" t="n">
        <v>49430</v>
      </c>
      <c r="B138" s="50" t="n">
        <v>0</v>
      </c>
    </row>
    <row r="139">
      <c r="A139" s="49" t="n">
        <v>49461</v>
      </c>
      <c r="B139" s="50" t="n">
        <v>0</v>
      </c>
    </row>
    <row r="140">
      <c r="A140" s="49" t="n">
        <v>49491</v>
      </c>
      <c r="B140" s="50" t="n">
        <v>0</v>
      </c>
    </row>
    <row r="141">
      <c r="A141" s="49" t="n">
        <v>49522</v>
      </c>
      <c r="B141" s="50" t="n">
        <v>0</v>
      </c>
    </row>
    <row r="142">
      <c r="A142" s="49" t="n">
        <v>49553</v>
      </c>
      <c r="B142" s="50" t="n">
        <v>0</v>
      </c>
    </row>
    <row r="143">
      <c r="A143" s="49" t="n">
        <v>49583</v>
      </c>
      <c r="B143" s="50" t="n">
        <v>0</v>
      </c>
    </row>
    <row r="144">
      <c r="A144" s="49" t="n">
        <v>49614</v>
      </c>
      <c r="B144" s="50" t="n">
        <v>0</v>
      </c>
    </row>
    <row r="145">
      <c r="A145" s="49" t="n">
        <v>49644</v>
      </c>
      <c r="B145" s="50" t="n">
        <v>0</v>
      </c>
    </row>
    <row r="146">
      <c r="A146" s="49" t="n">
        <v>49675</v>
      </c>
      <c r="B146" s="50" t="n">
        <v>0</v>
      </c>
    </row>
    <row r="147">
      <c r="A147" s="49" t="n">
        <v>49706</v>
      </c>
      <c r="B147" s="50" t="n">
        <v>0</v>
      </c>
    </row>
    <row r="148">
      <c r="A148" s="49" t="n">
        <v>49735</v>
      </c>
      <c r="B148" s="50" t="n">
        <v>0</v>
      </c>
    </row>
    <row r="149">
      <c r="A149" s="49" t="n">
        <v>49766</v>
      </c>
      <c r="B149" s="50" t="n">
        <v>0</v>
      </c>
    </row>
    <row r="150">
      <c r="A150" s="49" t="n">
        <v>49796</v>
      </c>
      <c r="B150" s="50" t="n">
        <v>0</v>
      </c>
    </row>
    <row r="151">
      <c r="A151" s="49" t="n">
        <v>49827</v>
      </c>
      <c r="B151" s="50" t="n">
        <v>0</v>
      </c>
    </row>
    <row r="152">
      <c r="A152" s="49" t="n">
        <v>49857</v>
      </c>
      <c r="B152" s="50" t="n">
        <v>0</v>
      </c>
    </row>
    <row r="153">
      <c r="A153" s="49" t="n">
        <v>49888</v>
      </c>
      <c r="B153" s="50" t="n">
        <v>0</v>
      </c>
    </row>
    <row r="154">
      <c r="A154" s="49" t="n">
        <v>49919</v>
      </c>
      <c r="B154" s="50" t="n">
        <v>0</v>
      </c>
    </row>
    <row r="155">
      <c r="A155" s="49" t="n">
        <v>49949</v>
      </c>
      <c r="B155" s="50" t="n">
        <v>0</v>
      </c>
    </row>
    <row r="156">
      <c r="A156" s="49" t="n">
        <v>49980</v>
      </c>
      <c r="B156" s="50" t="n">
        <v>0</v>
      </c>
    </row>
    <row r="157">
      <c r="A157" s="49" t="n">
        <v>50010</v>
      </c>
      <c r="B157" s="50" t="n">
        <v>0</v>
      </c>
    </row>
    <row r="158">
      <c r="A158" s="49" t="n">
        <v>50041</v>
      </c>
      <c r="B158" s="50" t="n">
        <v>0</v>
      </c>
    </row>
    <row r="159">
      <c r="A159" s="49" t="n">
        <v>50072</v>
      </c>
      <c r="B159" s="50" t="n">
        <v>0</v>
      </c>
    </row>
    <row r="160">
      <c r="A160" s="49" t="n">
        <v>50100</v>
      </c>
      <c r="B160" s="50" t="n">
        <v>0</v>
      </c>
    </row>
    <row r="161">
      <c r="A161" s="49" t="n">
        <v>50131</v>
      </c>
      <c r="B161" s="50" t="n">
        <v>0</v>
      </c>
    </row>
    <row r="162">
      <c r="A162" s="49" t="n">
        <v>50161</v>
      </c>
      <c r="B162" s="50" t="n">
        <v>0</v>
      </c>
    </row>
    <row r="163">
      <c r="A163" s="49" t="n">
        <v>50192</v>
      </c>
      <c r="B163" s="50" t="n">
        <v>0</v>
      </c>
    </row>
    <row r="164">
      <c r="A164" s="49" t="n">
        <v>50222</v>
      </c>
      <c r="B164" s="50" t="n">
        <v>0</v>
      </c>
    </row>
    <row r="165">
      <c r="A165" s="49" t="n">
        <v>50253</v>
      </c>
      <c r="B165" s="50" t="n">
        <v>0</v>
      </c>
    </row>
    <row r="166">
      <c r="A166" s="49" t="n">
        <v>50284</v>
      </c>
      <c r="B166" s="50" t="n">
        <v>0</v>
      </c>
    </row>
    <row r="167">
      <c r="A167" s="49" t="n">
        <v>50314</v>
      </c>
      <c r="B167" s="50" t="n">
        <v>0</v>
      </c>
    </row>
    <row r="168">
      <c r="A168" s="49" t="n">
        <v>50345</v>
      </c>
      <c r="B168" s="50" t="n">
        <v>0</v>
      </c>
    </row>
    <row r="169">
      <c r="A169" s="49" t="n">
        <v>50375</v>
      </c>
      <c r="B169" s="50" t="n">
        <v>0</v>
      </c>
    </row>
    <row r="170">
      <c r="A170" s="49" t="n">
        <v>50406</v>
      </c>
      <c r="B170" s="50" t="n">
        <v>0</v>
      </c>
    </row>
    <row r="171">
      <c r="A171" s="49" t="n">
        <v>50437</v>
      </c>
      <c r="B171" s="50" t="n">
        <v>0</v>
      </c>
    </row>
    <row r="172">
      <c r="A172" s="49" t="n">
        <v>50465</v>
      </c>
      <c r="B172" s="50" t="n">
        <v>0</v>
      </c>
    </row>
    <row r="173">
      <c r="A173" s="49" t="n">
        <v>50496</v>
      </c>
      <c r="B173" s="50" t="n">
        <v>0</v>
      </c>
    </row>
    <row r="174">
      <c r="A174" s="49" t="n">
        <v>50526</v>
      </c>
      <c r="B174" s="50" t="n">
        <v>0</v>
      </c>
    </row>
    <row r="175">
      <c r="A175" s="49" t="n">
        <v>50557</v>
      </c>
      <c r="B175" s="50" t="n">
        <v>0</v>
      </c>
    </row>
    <row r="176">
      <c r="A176" s="49" t="n">
        <v>50587</v>
      </c>
      <c r="B176" s="50" t="n">
        <v>0</v>
      </c>
    </row>
    <row r="177">
      <c r="A177" s="49" t="n">
        <v>50618</v>
      </c>
      <c r="B177" s="50" t="n">
        <v>0</v>
      </c>
    </row>
    <row r="178">
      <c r="A178" s="49" t="n">
        <v>50649</v>
      </c>
      <c r="B178" s="50" t="n">
        <v>0</v>
      </c>
    </row>
    <row r="179">
      <c r="A179" s="49" t="n">
        <v>50679</v>
      </c>
      <c r="B179" s="50" t="n">
        <v>0</v>
      </c>
    </row>
    <row r="180">
      <c r="A180" s="49" t="n">
        <v>50710</v>
      </c>
      <c r="B180" s="50" t="n">
        <v>0</v>
      </c>
    </row>
    <row r="181">
      <c r="A181" s="49" t="n">
        <v>50740</v>
      </c>
      <c r="B181" s="50" t="n">
        <v>0</v>
      </c>
    </row>
    <row r="182">
      <c r="A182" s="49" t="n">
        <v>50771</v>
      </c>
      <c r="B182" s="50" t="n">
        <v>0</v>
      </c>
    </row>
    <row r="183">
      <c r="A183" s="49" t="n">
        <v>50802</v>
      </c>
      <c r="B183" s="50" t="n">
        <v>0</v>
      </c>
    </row>
    <row r="184">
      <c r="A184" s="49" t="n">
        <v>50830</v>
      </c>
      <c r="B184" s="50" t="n">
        <v>0</v>
      </c>
    </row>
    <row r="185">
      <c r="A185" s="49" t="n">
        <v>50861</v>
      </c>
      <c r="B185" s="50" t="n">
        <v>0</v>
      </c>
    </row>
    <row r="186">
      <c r="A186" s="49" t="n">
        <v>50891</v>
      </c>
      <c r="B186" s="50" t="n">
        <v>0</v>
      </c>
    </row>
    <row r="187">
      <c r="A187" s="49" t="n">
        <v>50922</v>
      </c>
      <c r="B187" s="50" t="n">
        <v>0</v>
      </c>
    </row>
    <row r="188">
      <c r="A188" s="49" t="n">
        <v>50952</v>
      </c>
      <c r="B188" s="50" t="n">
        <v>0</v>
      </c>
    </row>
    <row r="189">
      <c r="A189" s="49" t="n">
        <v>50983</v>
      </c>
      <c r="B189" s="50" t="n">
        <v>0</v>
      </c>
    </row>
    <row r="190">
      <c r="A190" s="49" t="n">
        <v>51014</v>
      </c>
      <c r="B190" s="50" t="n">
        <v>0</v>
      </c>
    </row>
    <row r="191">
      <c r="A191" s="49" t="n">
        <v>51044</v>
      </c>
      <c r="B191" s="50" t="n">
        <v>0</v>
      </c>
    </row>
    <row r="192">
      <c r="A192" s="49" t="n">
        <v>51075</v>
      </c>
      <c r="B192" s="50" t="n">
        <v>0</v>
      </c>
    </row>
    <row r="193">
      <c r="A193" s="49" t="n">
        <v>51105</v>
      </c>
      <c r="B193" s="50" t="n">
        <v>0</v>
      </c>
    </row>
    <row r="194">
      <c r="A194" s="49" t="n">
        <v>51136</v>
      </c>
      <c r="B194" s="50" t="n">
        <v>0</v>
      </c>
    </row>
    <row r="195">
      <c r="A195" s="49" t="n">
        <v>51167</v>
      </c>
      <c r="B195" s="50" t="n">
        <v>0</v>
      </c>
    </row>
    <row r="196">
      <c r="A196" s="49" t="n">
        <v>51196</v>
      </c>
      <c r="B196" s="50" t="n">
        <v>0</v>
      </c>
    </row>
    <row r="197">
      <c r="A197" s="49" t="n">
        <v>51227</v>
      </c>
      <c r="B197" s="50" t="n">
        <v>0</v>
      </c>
    </row>
    <row r="198">
      <c r="A198" s="49" t="n">
        <v>51257</v>
      </c>
      <c r="B198" s="50" t="n">
        <v>0</v>
      </c>
    </row>
    <row r="199">
      <c r="A199" s="49" t="n">
        <v>51288</v>
      </c>
      <c r="B199" s="50" t="n">
        <v>0</v>
      </c>
    </row>
    <row r="200">
      <c r="A200" s="49" t="n">
        <v>51318</v>
      </c>
      <c r="B200" s="50" t="n">
        <v>0</v>
      </c>
    </row>
    <row r="201">
      <c r="A201" s="49" t="n">
        <v>51349</v>
      </c>
      <c r="B201" s="50" t="n">
        <v>0</v>
      </c>
    </row>
    <row r="202">
      <c r="A202" s="49" t="n">
        <v>51380</v>
      </c>
      <c r="B202" s="50" t="n">
        <v>0</v>
      </c>
    </row>
    <row r="203">
      <c r="A203" s="49" t="n">
        <v>51410</v>
      </c>
      <c r="B203" s="50" t="n">
        <v>0</v>
      </c>
    </row>
    <row r="204">
      <c r="A204" s="49" t="n">
        <v>51441</v>
      </c>
      <c r="B204" s="50" t="n">
        <v>0</v>
      </c>
    </row>
    <row r="205">
      <c r="A205" s="49" t="n">
        <v>51471</v>
      </c>
      <c r="B205" s="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2026-06-16T23:00:40Z</dcterms:created>
  <dcterms:modified xmlns:dcterms="http://purl.org/dc/terms/" xmlns:xsi="http://www.w3.org/2001/XMLSchema-instance" xsi:type="dcterms:W3CDTF">2026-06-17T19:57:17Z</dcterms:modified>
</cp:coreProperties>
</file>