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 Calculation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00000"/>
    <numFmt numFmtId="166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165" fontId="3" fillId="0" borderId="1" pivotButton="0" quotePrefix="0" xfId="0"/>
    <xf numFmtId="166" fontId="4" fillId="0" borderId="1" pivotButton="0" quotePrefix="0" xfId="0"/>
    <xf numFmtId="165" fontId="0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20" customWidth="1" min="3" max="3"/>
    <col width="20" customWidth="1" min="4" max="4"/>
    <col width="20" customWidth="1" min="5" max="5"/>
    <col width="16" customWidth="1" min="6" max="6"/>
    <col width="20" customWidth="1" min="7" max="7"/>
    <col width="14" customWidth="1" min="8" max="8"/>
    <col width="18" customWidth="1" min="9" max="9"/>
    <col width="12" customWidth="1" min="10" max="10"/>
  </cols>
  <sheetData>
    <row r="1">
      <c r="A1" s="1" t="inlineStr">
        <is>
          <t>Charm Bio-Oil Mass-Weighted Carbon Intensity — Jan–Jun 2026</t>
        </is>
      </c>
    </row>
    <row r="2">
      <c r="A2" s="2" t="inlineStr">
        <is>
          <t>Method: sum the emissions allocated to each product across the six monthly Production Period Summaries, divide by that product's total output mass over the same period.</t>
        </is>
      </c>
    </row>
    <row r="3">
      <c r="A3" s="2" t="inlineStr">
        <is>
          <t>Source values read 2026-08-11 from the Production Period Summary in each month's subfolder of the H1 2026 Charm CI folder. Totals and CI cells are live formulas.</t>
        </is>
      </c>
    </row>
    <row r="5">
      <c r="A5" s="3" t="inlineStr">
        <is>
          <t>SOURCE DATA — allocation table of each month's Production Period Summary</t>
        </is>
      </c>
    </row>
    <row r="6" ht="42" customHeight="1">
      <c r="A6" s="4" t="inlineStr">
        <is>
          <t>Month</t>
        </is>
      </c>
      <c r="B6" s="4" t="inlineStr">
        <is>
          <t>WODO mass (kg)</t>
        </is>
      </c>
      <c r="C6" s="4" t="inlineStr">
        <is>
          <t>WODO emissions (MT)</t>
        </is>
      </c>
      <c r="D6" s="4" t="inlineStr">
        <is>
          <t>QOWV/Aqueous mass (kg)</t>
        </is>
      </c>
      <c r="E6" s="4" t="inlineStr">
        <is>
          <t>QOWV emissions (MT)</t>
        </is>
      </c>
      <c r="F6" s="4" t="inlineStr">
        <is>
          <t>Biochar mass (kg)</t>
        </is>
      </c>
      <c r="G6" s="4" t="inlineStr">
        <is>
          <t>Biochar emissions (MT)</t>
        </is>
      </c>
      <c r="H6" s="4" t="inlineStr">
        <is>
          <t>Row sum (MT)</t>
        </is>
      </c>
      <c r="I6" s="4" t="inlineStr">
        <is>
          <t>Sheet stated total (MT)</t>
        </is>
      </c>
      <c r="J6" s="4" t="inlineStr">
        <is>
          <t>Check</t>
        </is>
      </c>
    </row>
    <row r="7">
      <c r="A7" s="5" t="inlineStr">
        <is>
          <t>Jan 2026</t>
        </is>
      </c>
      <c r="B7" s="6" t="n">
        <v>8888.200000000001</v>
      </c>
      <c r="C7" s="7" t="n">
        <v>7.340293398</v>
      </c>
      <c r="D7" s="6" t="n">
        <v>30830.4</v>
      </c>
      <c r="E7" s="7" t="n">
        <v>4.28455461</v>
      </c>
      <c r="F7" s="6" t="n">
        <v>6559.5</v>
      </c>
      <c r="G7" s="7" t="n">
        <v>7.461421736</v>
      </c>
      <c r="H7" s="7">
        <f>C7+E7+G7</f>
        <v/>
      </c>
      <c r="I7" s="7" t="n">
        <v>19.08626974</v>
      </c>
      <c r="J7" s="5">
        <f>IF(ABS(H7-I7)&lt;=0.0000001,"OK","DIFF")</f>
        <v/>
      </c>
    </row>
    <row r="8">
      <c r="A8" s="5" t="inlineStr">
        <is>
          <t>Feb 2026</t>
        </is>
      </c>
      <c r="B8" s="6" t="n">
        <v>10966</v>
      </c>
      <c r="C8" s="7" t="n">
        <v>8.596250039999999</v>
      </c>
      <c r="D8" s="6" t="n">
        <v>37125.6</v>
      </c>
      <c r="E8" s="7" t="n">
        <v>4.55598869</v>
      </c>
      <c r="F8" s="6" t="n">
        <v>6766.26</v>
      </c>
      <c r="G8" s="7" t="n">
        <v>7.823456813</v>
      </c>
      <c r="H8" s="7">
        <f>C8+E8+G8</f>
        <v/>
      </c>
      <c r="I8" s="7" t="n">
        <v>20.97569554</v>
      </c>
      <c r="J8" s="5">
        <f>IF(ABS(H8-I8)&lt;=0.0000001,"OK","DIFF")</f>
        <v/>
      </c>
    </row>
    <row r="9">
      <c r="A9" s="5" t="inlineStr">
        <is>
          <t>Mar 2026</t>
        </is>
      </c>
      <c r="B9" s="6" t="n">
        <v>16307</v>
      </c>
      <c r="C9" s="7" t="n">
        <v>12.74273386</v>
      </c>
      <c r="D9" s="6" t="n">
        <v>46683.2</v>
      </c>
      <c r="E9" s="7" t="n">
        <v>5.4427961</v>
      </c>
      <c r="F9" s="6" t="n">
        <v>6259.3</v>
      </c>
      <c r="G9" s="7" t="n">
        <v>7.4882613</v>
      </c>
      <c r="H9" s="7">
        <f>C9+E9+G9</f>
        <v/>
      </c>
      <c r="I9" s="7" t="n">
        <v>25.67379126</v>
      </c>
      <c r="J9" s="5">
        <f>IF(ABS(H9-I9)&lt;=0.0000001,"OK","DIFF")</f>
        <v/>
      </c>
    </row>
    <row r="10">
      <c r="A10" s="5" t="inlineStr">
        <is>
          <t>Apr 2026</t>
        </is>
      </c>
      <c r="B10" s="6" t="n">
        <v>17580.4</v>
      </c>
      <c r="C10" s="7" t="n">
        <v>13.30751782</v>
      </c>
      <c r="D10" s="6" t="n">
        <v>43912</v>
      </c>
      <c r="E10" s="7" t="n">
        <v>5.565843396</v>
      </c>
      <c r="F10" s="6" t="n">
        <v>4721.4</v>
      </c>
      <c r="G10" s="7" t="n">
        <v>5.937928103</v>
      </c>
      <c r="H10" s="7">
        <f>C10+E10+G10</f>
        <v/>
      </c>
      <c r="I10" s="7" t="n">
        <v>24.81128931</v>
      </c>
      <c r="J10" s="5">
        <f>IF(ABS(H10-I10)&lt;=0.0000001,"OK","DIFF")</f>
        <v/>
      </c>
    </row>
    <row r="11">
      <c r="A11" s="5" t="inlineStr">
        <is>
          <t>May 2026</t>
        </is>
      </c>
      <c r="B11" s="6" t="n">
        <v>11130</v>
      </c>
      <c r="C11" s="7" t="n">
        <v>6.822934489</v>
      </c>
      <c r="D11" s="6" t="n">
        <v>36523.2</v>
      </c>
      <c r="E11" s="7" t="n">
        <v>3.915108003</v>
      </c>
      <c r="F11" s="6" t="n">
        <v>8568.9</v>
      </c>
      <c r="G11" s="7" t="n">
        <v>9.758382619000001</v>
      </c>
      <c r="H11" s="7">
        <f>C11+E11+G11</f>
        <v/>
      </c>
      <c r="I11" s="7" t="n">
        <v>20.49642511</v>
      </c>
      <c r="J11" s="5">
        <f>IF(ABS(H11-I11)&lt;=0.0000001,"OK","DIFF")</f>
        <v/>
      </c>
    </row>
    <row r="12">
      <c r="A12" s="5" t="inlineStr">
        <is>
          <t>Jun 2026</t>
        </is>
      </c>
      <c r="B12" s="6" t="n">
        <v>10778</v>
      </c>
      <c r="C12" s="7" t="n">
        <v>11.34993841</v>
      </c>
      <c r="D12" s="6" t="n">
        <v>46616.2</v>
      </c>
      <c r="E12" s="7" t="n">
        <v>5.467554803</v>
      </c>
      <c r="F12" s="6" t="n">
        <v>6247.5</v>
      </c>
      <c r="G12" s="7" t="n">
        <v>9.157026476</v>
      </c>
      <c r="H12" s="7">
        <f>C12+E12+G12</f>
        <v/>
      </c>
      <c r="I12" s="7" t="n">
        <v>25.97451969</v>
      </c>
      <c r="J12" s="5">
        <f>IF(ABS(H12-I12)&lt;=0.0000001,"OK","DIFF")</f>
        <v/>
      </c>
    </row>
    <row r="13">
      <c r="A13" s="8" t="inlineStr">
        <is>
          <t>TOTAL Jan–Jun</t>
        </is>
      </c>
      <c r="B13" s="9">
        <f>SUM(B7:B12)</f>
        <v/>
      </c>
      <c r="C13" s="10">
        <f>SUM(C7:C12)</f>
        <v/>
      </c>
      <c r="D13" s="9">
        <f>SUM(D7:D12)</f>
        <v/>
      </c>
      <c r="E13" s="10">
        <f>SUM(E7:E12)</f>
        <v/>
      </c>
      <c r="F13" s="9">
        <f>SUM(F7:F12)</f>
        <v/>
      </c>
      <c r="G13" s="10">
        <f>SUM(G7:G12)</f>
        <v/>
      </c>
    </row>
    <row r="16">
      <c r="A16" s="3" t="inlineStr">
        <is>
          <t>RESULT — mass-weighted carbon intensity over the full six-month period</t>
        </is>
      </c>
    </row>
    <row r="17" ht="42" customHeight="1">
      <c r="A17" s="4" t="inlineStr">
        <is>
          <t>Product</t>
        </is>
      </c>
      <c r="B17" s="4" t="inlineStr">
        <is>
          <t>Σ Output mass (kg)</t>
        </is>
      </c>
      <c r="C17" s="4" t="inlineStr">
        <is>
          <t>Σ Allocated emissions (MT CO2e)</t>
        </is>
      </c>
      <c r="D17" s="4" t="inlineStr">
        <is>
          <t>Mass-weighted CI (kg CO2e / kg product)</t>
        </is>
      </c>
    </row>
    <row r="18">
      <c r="A18" s="8" t="inlineStr">
        <is>
          <t>WODO</t>
        </is>
      </c>
      <c r="B18" s="6">
        <f>B13</f>
        <v/>
      </c>
      <c r="C18" s="7">
        <f>C13</f>
        <v/>
      </c>
      <c r="D18" s="11">
        <f>C18*1000/B18</f>
        <v/>
      </c>
    </row>
    <row r="19">
      <c r="A19" s="8" t="inlineStr">
        <is>
          <t>QOWV (Aqueous)</t>
        </is>
      </c>
      <c r="B19" s="6">
        <f>D13</f>
        <v/>
      </c>
      <c r="C19" s="7">
        <f>E13</f>
        <v/>
      </c>
      <c r="D19" s="11">
        <f>C19*1000/B19</f>
        <v/>
      </c>
    </row>
    <row r="20">
      <c r="A20" s="8" t="inlineStr">
        <is>
          <t>Biochar</t>
        </is>
      </c>
      <c r="B20" s="6">
        <f>F13</f>
        <v/>
      </c>
      <c r="C20" s="7">
        <f>G13</f>
        <v/>
      </c>
      <c r="D20" s="11">
        <f>C20*1000/B20</f>
        <v/>
      </c>
    </row>
    <row r="21">
      <c r="A21" s="8" t="inlineStr">
        <is>
          <t>All products</t>
        </is>
      </c>
      <c r="B21" s="6">
        <f>SUM(B18:B20)</f>
        <v/>
      </c>
      <c r="C21" s="7">
        <f>SUM(C18:C20)</f>
        <v/>
      </c>
    </row>
    <row r="23">
      <c r="A23" s="3" t="inlineStr">
        <is>
          <t>Sum of the six monthly stated totals (MT):</t>
        </is>
      </c>
      <c r="C23" s="12">
        <f>SUM(I7:I12)</f>
        <v/>
      </c>
      <c r="D23">
        <f>IF(ABS(C23-C21)&lt;=0.000001,"OK — full period footprint accounted for","DIFF")</f>
        <v/>
      </c>
    </row>
  </sheetData>
  <mergeCells count="2">
    <mergeCell ref="A3:J3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42" customWidth="1" min="3" max="3"/>
    <col width="24" customWidth="1" min="4" max="4"/>
  </cols>
  <sheetData>
    <row r="1">
      <c r="A1" s="1" t="inlineStr">
        <is>
          <t>Source documents — downloaded and read 2026-08-11</t>
        </is>
      </c>
    </row>
    <row r="3">
      <c r="A3" s="13" t="inlineStr">
        <is>
          <t>Month</t>
        </is>
      </c>
      <c r="B3" s="13" t="inlineStr">
        <is>
          <t>Source file</t>
        </is>
      </c>
      <c r="C3" s="13" t="inlineStr">
        <is>
          <t>Google Drive file ID</t>
        </is>
      </c>
      <c r="D3" s="13" t="inlineStr">
        <is>
          <t>Tab read</t>
        </is>
      </c>
    </row>
    <row r="4">
      <c r="A4" s="14" t="inlineStr">
        <is>
          <t>Jan 2026</t>
        </is>
      </c>
      <c r="B4" s="14" t="inlineStr">
        <is>
          <t>January 2026 Production Period Summary.xlsx</t>
        </is>
      </c>
      <c r="C4" s="14" t="inlineStr">
        <is>
          <t>1D07oKMClJBm0ZEgdsuN_APdGrhzoLw9L</t>
        </is>
      </c>
      <c r="D4" s="14" t="inlineStr">
        <is>
          <t>Jan 26 PP Summary</t>
        </is>
      </c>
    </row>
    <row r="5">
      <c r="A5" s="14" t="inlineStr">
        <is>
          <t>Feb 2026</t>
        </is>
      </c>
      <c r="B5" s="14" t="inlineStr">
        <is>
          <t>Feb 26 Production Period Summary.xlsx</t>
        </is>
      </c>
      <c r="C5" s="14" t="inlineStr">
        <is>
          <t>1wFC1c4DWZZqLXeS422lgThPu23quOJTT</t>
        </is>
      </c>
      <c r="D5" s="14" t="inlineStr">
        <is>
          <t>Feb 26 PP Summary</t>
        </is>
      </c>
    </row>
    <row r="6">
      <c r="A6" s="14" t="inlineStr">
        <is>
          <t>Mar 2026</t>
        </is>
      </c>
      <c r="B6" s="14" t="inlineStr">
        <is>
          <t>March 2026 Production Period Summary.xlsx</t>
        </is>
      </c>
      <c r="C6" s="14" t="inlineStr">
        <is>
          <t>160LXWi92KCgonrEbY4omp8QmXpQAGXlX</t>
        </is>
      </c>
      <c r="D6" s="14" t="inlineStr">
        <is>
          <t>Mar 26 PP Summary</t>
        </is>
      </c>
    </row>
    <row r="7">
      <c r="A7" s="14" t="inlineStr">
        <is>
          <t>Apr 2026</t>
        </is>
      </c>
      <c r="B7" s="14" t="inlineStr">
        <is>
          <t>April 2026 Production Period Summary.xlsx</t>
        </is>
      </c>
      <c r="C7" s="14" t="inlineStr">
        <is>
          <t>1pmsqSW2toU5KAxYin82KfaF_BzcKYQ0y</t>
        </is>
      </c>
      <c r="D7" s="14" t="inlineStr">
        <is>
          <t>Apr 26 PP Summary</t>
        </is>
      </c>
    </row>
    <row r="8">
      <c r="A8" s="14" t="inlineStr">
        <is>
          <t>May 2026</t>
        </is>
      </c>
      <c r="B8" s="14" t="inlineStr">
        <is>
          <t>May 26 Production Period Summary.xlsx</t>
        </is>
      </c>
      <c r="C8" s="14" t="inlineStr">
        <is>
          <t>1XU3CTs0HKjAOXmo7H6LzJQhPzyYeT1N6</t>
        </is>
      </c>
      <c r="D8" s="14" t="inlineStr">
        <is>
          <t>May 26 PP Summary</t>
        </is>
      </c>
    </row>
    <row r="9">
      <c r="A9" s="14" t="inlineStr">
        <is>
          <t>Jun 2026</t>
        </is>
      </c>
      <c r="B9" s="14" t="inlineStr">
        <is>
          <t>Jun 26 Production Period Summary.xlsx</t>
        </is>
      </c>
      <c r="C9" s="14" t="inlineStr">
        <is>
          <t>1c9objRn_ahdCwpHWX8kIYL8PWe1l77Ci</t>
        </is>
      </c>
      <c r="D9" s="14" t="inlineStr">
        <is>
          <t>Jun 26 PP Summary</t>
        </is>
      </c>
    </row>
    <row r="11">
      <c r="A11" s="2" t="inlineStr">
        <is>
          <t>Values taken per month: Mass of Output (kg) and Total Emissions Allocated to Fraction (MT CO2e), for WODO, Biochar and Aqueous.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2026-08-11T22:58:03Z</dcterms:created>
  <dcterms:modified xmlns:dcterms="http://purl.org/dc/terms/" xmlns:xsi="http://www.w3.org/2001/XMLSchema-instance" xsi:type="dcterms:W3CDTF">2026-08-11T22:58:03Z</dcterms:modified>
</cp:coreProperties>
</file>