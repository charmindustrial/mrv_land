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xlavine/Desktop/Claude/Skills/MRV Expert/outputs/data-analysis/"/>
    </mc:Choice>
  </mc:AlternateContent>
  <xr:revisionPtr revIDLastSave="0" documentId="13_ncr:1_{A3171510-26CD-7249-8BFD-3807471EC3DD}" xr6:coauthVersionLast="47" xr6:coauthVersionMax="47" xr10:uidLastSave="{00000000-0000-0000-0000-000000000000}"/>
  <bookViews>
    <workbookView minimized="1" xWindow="0" yWindow="740" windowWidth="29400" windowHeight="17080" xr2:uid="{00000000-000D-0000-FFFF-FFFF00000000}"/>
  </bookViews>
  <sheets>
    <sheet name="D-Series Estim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34" i="1"/>
  <c r="B33" i="1"/>
  <c r="B35" i="1" s="1"/>
  <c r="B32" i="1"/>
  <c r="B27" i="1"/>
  <c r="B30" i="1" l="1"/>
  <c r="B31" i="1" s="1"/>
  <c r="B36" i="1" s="1"/>
  <c r="B37" i="1" s="1"/>
</calcChain>
</file>

<file path=xl/sharedStrings.xml><?xml version="1.0" encoding="utf-8"?>
<sst xmlns="http://schemas.openxmlformats.org/spreadsheetml/2006/main" count="49" uniqueCount="49">
  <si>
    <t>D-Series WODO Whole Oil — tCDR/tBO Quick Estimate</t>
  </si>
  <si>
    <t>INPUTS — fill in</t>
  </si>
  <si>
    <t>Whole Oil Mass (metric tons)</t>
  </si>
  <si>
    <t>Fill in with the D-Series batch mass.</t>
  </si>
  <si>
    <t>Whole Oil %C — actual lab COA (optional)</t>
  </si>
  <si>
    <t>Leave blank to use the Dream Cloud sample mean (Section C) as a proxy; overwrite once the batch's own COA is back.</t>
  </si>
  <si>
    <t>REFERENCE VALUES</t>
  </si>
  <si>
    <t>Bio-Oil CI — WODO, H1 2026 mass-weighted (t CO2e / t bio-oil)</t>
  </si>
  <si>
    <t>V2_Charm_BioOil_Mass_Weighted_CI_Jan-Jun_2026.xlsx (Drive id 1J1_DxRBIbYTa3o65q_zEv_GSB6Ci6Pt8), 'CI Calculation' tab. Formula cells in the file return blank (Sheets-export gotcha); value recomputed this session from the file's own raw monthly WODO mass/emissions data: (Sum of C7:C12 MT CO2e x1000) / Sum(B7:B12 kg) = 60.159668 MT CO2e x1000 / 75649.60 kg = 0.795241 kg CO2e/kg.</t>
  </si>
  <si>
    <t>CO to LA Distance — WODO flatbed truck (mi)</t>
  </si>
  <si>
    <t>Certify, Charm Bio-oil Geologic Storage project, GHG entry rmv_1KYWMYBJ51S0HH3N (GHG Statement ggs_1KZBX6AX41S029JS, 01-04 Jul 2026), datapoints 'Distance from Miniforge CO to Basco' and 'Aggregate Distance Transported CO to LA - WODO' (2 sources) — both 1,201 mi.</t>
  </si>
  <si>
    <t>Flatbed Truck Transport — Process EF (kg CO2e / t·mi)</t>
  </si>
  <si>
    <t>Certify, same GHG entry, component 'CO to LA Flatbed Truck Transport Process Emissions - WODO' -&gt; input 'Emissions Factor - Truck Transport Fuel Use (Well to Wheel) - Flatbed Truck'.</t>
  </si>
  <si>
    <t>Flatbed Truck Transport — Embodied EF (kg CO2e / mi)</t>
  </si>
  <si>
    <t>Certify, same GHG entry, component 'CO to LA Flatbed Truck Transport Embodied Emissions - WODO' -&gt; input 'Emissions Factor - Vehicle Embodied Emissions - Non-Tanker Truck'.</t>
  </si>
  <si>
    <t>Carbon -&gt; CO2 molar mass ratio</t>
  </si>
  <si>
    <t>44/12. Per skills/qa/batch-qa-charm/SKILL.md 'Key Formulas &amp; Values (Charm WODO/Aqueous)': Gross CO2e = Total Oil in Batch (tonnes) x C wt% (decimal) x 3.667.</t>
  </si>
  <si>
    <t>DREAM CLOUD WHOLE OIL %C — 10 MOST RECENT SAMPLES</t>
  </si>
  <si>
    <t>CAR-624 CHN Summary, analyzed 9/1/2026, posted to #chemical-analysis-notifs by kelly.orton 9/2/2026 08:08 PDT. Sheet: docs.google.com/spreadsheets/d/1fxZkbGMs9-hCi3i1-70SdNpM6KytJhV4oNz5WwB3Plg (tab: CHN CAR-624 FILTERED WHOLE OIL). "Carbon Average" column per sample.</t>
  </si>
  <si>
    <t>Sample ID</t>
  </si>
  <si>
    <t>%C</t>
  </si>
  <si>
    <t>CAR-624-301320-WHOLE OIL 1L</t>
  </si>
  <si>
    <t>CAR-624-301313-WHOLE OIL 1L</t>
  </si>
  <si>
    <t>CAR-624-301352-WHOLE OIL 1L</t>
  </si>
  <si>
    <t>CAR-624-301334-WHOLE 1L</t>
  </si>
  <si>
    <t>CAR-624-301334-WHOLE OIL</t>
  </si>
  <si>
    <t>CAR-624-301313 WHOLE OIL 1L</t>
  </si>
  <si>
    <t>CAR-624-301313-WHOLE OIL</t>
  </si>
  <si>
    <t>CAR-624-301330-WHOLE OIL</t>
  </si>
  <si>
    <t>CAR-624-301307-WHOLE OIL</t>
  </si>
  <si>
    <t>CAR-624-301352-WHOLE OIL</t>
  </si>
  <si>
    <t>Mean</t>
  </si>
  <si>
    <t>CALCULATION</t>
  </si>
  <si>
    <t>%C used in calculation</t>
  </si>
  <si>
    <t>Uses the actual COA %C (B5) if filled in; otherwise defaults to the Dream Cloud sample mean (B27).</t>
  </si>
  <si>
    <t>Gross CO2e (t)</t>
  </si>
  <si>
    <t>Mass x %C (decimal) x 3.667.</t>
  </si>
  <si>
    <t>Production Emissions (t CO2e)</t>
  </si>
  <si>
    <t>Mass x Bio-Oil CI.</t>
  </si>
  <si>
    <t>Transport Emissions — Process (t CO2e)</t>
  </si>
  <si>
    <t>Mass x Distance x Process EF, converted kg-&gt;t.</t>
  </si>
  <si>
    <t>Transport Emissions — Embodied (t CO2e)</t>
  </si>
  <si>
    <t>Distance x Embodied EF (mass-independent), converted kg-&gt;t.</t>
  </si>
  <si>
    <t>Transport Emissions — Total (t CO2e)</t>
  </si>
  <si>
    <t>Net CO2e Removed (t)</t>
  </si>
  <si>
    <t>Gross CO2e - Production Emissions - Transport Emissions (Total).</t>
  </si>
  <si>
    <t>tCDR / tBO</t>
  </si>
  <si>
    <t>NOTE</t>
  </si>
  <si>
    <t>This is a simplified quick estimate, not the full Isometric GHG accounting calculation — it excludes the uncertainty discount, buffer pool allocation, and BCU/REC adjustments applied in an actual GHG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</si>
</sst>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0.00000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2" fillId="0" borderId="0" xfId="0" applyFont="1"/>
    <xf numFmtId="165" fontId="2" fillId="2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46" customWidth="1"/>
    <col min="2" max="2" width="16" customWidth="1"/>
    <col min="3" max="3" width="70" customWidth="1"/>
  </cols>
  <sheetData>
    <row r="1" spans="1:3" ht="17" x14ac:dyDescent="0.2">
      <c r="A1" s="1" t="s">
        <v>0</v>
      </c>
    </row>
    <row r="3" spans="1:3" x14ac:dyDescent="0.2">
      <c r="A3" s="2" t="s">
        <v>1</v>
      </c>
      <c r="B3" s="3"/>
      <c r="C3" s="3"/>
    </row>
    <row r="4" spans="1:3" x14ac:dyDescent="0.2">
      <c r="A4" t="s">
        <v>2</v>
      </c>
      <c r="B4" s="4">
        <v>17.5</v>
      </c>
      <c r="C4" t="s">
        <v>3</v>
      </c>
    </row>
    <row r="5" spans="1:3" x14ac:dyDescent="0.2">
      <c r="A5" t="s">
        <v>4</v>
      </c>
      <c r="B5" s="15">
        <f>B27</f>
        <v>34.251999999999995</v>
      </c>
      <c r="C5" t="s">
        <v>5</v>
      </c>
    </row>
    <row r="7" spans="1:3" x14ac:dyDescent="0.2">
      <c r="A7" s="2" t="s">
        <v>6</v>
      </c>
      <c r="B7" s="3"/>
      <c r="C7" s="3"/>
    </row>
    <row r="8" spans="1:3" x14ac:dyDescent="0.2">
      <c r="A8" t="s">
        <v>7</v>
      </c>
      <c r="B8" s="5">
        <v>0.79524099999999998</v>
      </c>
      <c r="C8" t="s">
        <v>8</v>
      </c>
    </row>
    <row r="9" spans="1:3" x14ac:dyDescent="0.2">
      <c r="A9" t="s">
        <v>9</v>
      </c>
      <c r="B9" s="6">
        <v>1201</v>
      </c>
      <c r="C9" t="s">
        <v>10</v>
      </c>
    </row>
    <row r="10" spans="1:3" x14ac:dyDescent="0.2">
      <c r="A10" t="s">
        <v>11</v>
      </c>
      <c r="B10" s="7">
        <v>0.1384</v>
      </c>
      <c r="C10" t="s">
        <v>12</v>
      </c>
    </row>
    <row r="11" spans="1:3" x14ac:dyDescent="0.2">
      <c r="A11" t="s">
        <v>13</v>
      </c>
      <c r="B11" s="8">
        <v>0.19278999999999999</v>
      </c>
      <c r="C11" t="s">
        <v>14</v>
      </c>
    </row>
    <row r="12" spans="1:3" x14ac:dyDescent="0.2">
      <c r="A12" t="s">
        <v>15</v>
      </c>
      <c r="B12" s="9">
        <v>3.6669999999999998</v>
      </c>
      <c r="C12" t="s">
        <v>16</v>
      </c>
    </row>
    <row r="14" spans="1:3" x14ac:dyDescent="0.2">
      <c r="A14" s="2" t="s">
        <v>17</v>
      </c>
      <c r="B14" s="3"/>
      <c r="C14" s="3"/>
    </row>
    <row r="15" spans="1:3" x14ac:dyDescent="0.2">
      <c r="C15" t="s">
        <v>18</v>
      </c>
    </row>
    <row r="16" spans="1:3" x14ac:dyDescent="0.2">
      <c r="A16" s="2" t="s">
        <v>19</v>
      </c>
      <c r="B16" s="2" t="s">
        <v>20</v>
      </c>
    </row>
    <row r="17" spans="1:3" x14ac:dyDescent="0.2">
      <c r="A17" t="s">
        <v>21</v>
      </c>
      <c r="B17" s="10">
        <v>29.59</v>
      </c>
    </row>
    <row r="18" spans="1:3" x14ac:dyDescent="0.2">
      <c r="A18" t="s">
        <v>22</v>
      </c>
      <c r="B18" s="10">
        <v>33.75</v>
      </c>
    </row>
    <row r="19" spans="1:3" x14ac:dyDescent="0.2">
      <c r="A19" t="s">
        <v>23</v>
      </c>
      <c r="B19" s="10">
        <v>32.22</v>
      </c>
    </row>
    <row r="20" spans="1:3" x14ac:dyDescent="0.2">
      <c r="A20" t="s">
        <v>24</v>
      </c>
      <c r="B20" s="10">
        <v>29.79</v>
      </c>
    </row>
    <row r="21" spans="1:3" x14ac:dyDescent="0.2">
      <c r="A21" t="s">
        <v>25</v>
      </c>
      <c r="B21" s="10">
        <v>30.68</v>
      </c>
    </row>
    <row r="22" spans="1:3" x14ac:dyDescent="0.2">
      <c r="A22" t="s">
        <v>26</v>
      </c>
      <c r="B22" s="10">
        <v>37.26</v>
      </c>
    </row>
    <row r="23" spans="1:3" x14ac:dyDescent="0.2">
      <c r="A23" t="s">
        <v>27</v>
      </c>
      <c r="B23" s="10">
        <v>36.64</v>
      </c>
    </row>
    <row r="24" spans="1:3" x14ac:dyDescent="0.2">
      <c r="A24" t="s">
        <v>28</v>
      </c>
      <c r="B24" s="10">
        <v>42.02</v>
      </c>
    </row>
    <row r="25" spans="1:3" x14ac:dyDescent="0.2">
      <c r="A25" t="s">
        <v>29</v>
      </c>
      <c r="B25" s="10">
        <v>37.15</v>
      </c>
    </row>
    <row r="26" spans="1:3" x14ac:dyDescent="0.2">
      <c r="A26" t="s">
        <v>30</v>
      </c>
      <c r="B26" s="10">
        <v>33.42</v>
      </c>
    </row>
    <row r="27" spans="1:3" x14ac:dyDescent="0.2">
      <c r="A27" s="11" t="s">
        <v>31</v>
      </c>
      <c r="B27" s="10">
        <f>AVERAGE(B17:B26)</f>
        <v>34.251999999999995</v>
      </c>
    </row>
    <row r="29" spans="1:3" x14ac:dyDescent="0.2">
      <c r="A29" s="2" t="s">
        <v>32</v>
      </c>
      <c r="B29" s="3"/>
      <c r="C29" s="3"/>
    </row>
    <row r="30" spans="1:3" x14ac:dyDescent="0.2">
      <c r="A30" t="s">
        <v>33</v>
      </c>
      <c r="B30" s="10">
        <f>IF(B5="",B27,B5)</f>
        <v>34.251999999999995</v>
      </c>
      <c r="C30" t="s">
        <v>34</v>
      </c>
    </row>
    <row r="31" spans="1:3" x14ac:dyDescent="0.2">
      <c r="A31" t="s">
        <v>35</v>
      </c>
      <c r="B31" s="9">
        <f>B4*(B30/100)*B12</f>
        <v>21.980364699999996</v>
      </c>
      <c r="C31" t="s">
        <v>36</v>
      </c>
    </row>
    <row r="32" spans="1:3" x14ac:dyDescent="0.2">
      <c r="A32" t="s">
        <v>37</v>
      </c>
      <c r="B32" s="9">
        <f>B4*B8</f>
        <v>13.916717499999999</v>
      </c>
      <c r="C32" t="s">
        <v>38</v>
      </c>
    </row>
    <row r="33" spans="1:3" x14ac:dyDescent="0.2">
      <c r="A33" t="s">
        <v>39</v>
      </c>
      <c r="B33" s="9">
        <f>(B4*B9*B10)/1000</f>
        <v>2.9088220000000002</v>
      </c>
      <c r="C33" t="s">
        <v>40</v>
      </c>
    </row>
    <row r="34" spans="1:3" x14ac:dyDescent="0.2">
      <c r="A34" t="s">
        <v>41</v>
      </c>
      <c r="B34" s="9">
        <f>(B9*B11)/1000</f>
        <v>0.23154079</v>
      </c>
      <c r="C34" t="s">
        <v>42</v>
      </c>
    </row>
    <row r="35" spans="1:3" x14ac:dyDescent="0.2">
      <c r="A35" t="s">
        <v>43</v>
      </c>
      <c r="B35" s="9">
        <f>B33+B34</f>
        <v>3.1403627900000002</v>
      </c>
    </row>
    <row r="36" spans="1:3" x14ac:dyDescent="0.2">
      <c r="A36" t="s">
        <v>44</v>
      </c>
      <c r="B36" s="9">
        <f>B31-B32-B35</f>
        <v>4.9232844099999964</v>
      </c>
      <c r="C36" t="s">
        <v>45</v>
      </c>
    </row>
    <row r="37" spans="1:3" x14ac:dyDescent="0.2">
      <c r="A37" s="2" t="s">
        <v>46</v>
      </c>
      <c r="B37" s="12">
        <f>IF(B4="","[fill in mass]",B36/B4)</f>
        <v>0.28133053771428551</v>
      </c>
    </row>
    <row r="39" spans="1:3" x14ac:dyDescent="0.2">
      <c r="A39" s="11" t="s">
        <v>47</v>
      </c>
    </row>
    <row r="40" spans="1:3" ht="30" customHeight="1" x14ac:dyDescent="0.2">
      <c r="A40" s="13" t="s">
        <v>48</v>
      </c>
      <c r="B40" s="14"/>
      <c r="C40" s="14"/>
    </row>
  </sheetData>
  <mergeCells count="1">
    <mergeCell ref="A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D-Series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Bernard Lavine</cp:lastModifiedBy>
  <dcterms:created xsi:type="dcterms:W3CDTF">2026-09-08T17:18:24Z</dcterms:created>
  <dcterms:modified xsi:type="dcterms:W3CDTF">2026-09-09T16:08:54Z</dcterms:modified>
</cp:coreProperties>
</file>