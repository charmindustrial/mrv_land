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maxlavine/Desktop/Claude/Skills/MRV Expert/outputs/deliverables/isometric/"/>
    </mc:Choice>
  </mc:AlternateContent>
  <xr:revisionPtr revIDLastSave="0" documentId="13_ncr:20001_{81CB0C0C-AAB5-3042-9DA7-256CD629BEE0}" xr6:coauthVersionLast="47" xr6:coauthVersionMax="47" xr10:uidLastSave="{00000000-0000-0000-0000-000000000000}"/>
  <bookViews>
    <workbookView xWindow="20" yWindow="740" windowWidth="29400" windowHeight="17040" xr2:uid="{00000000-000D-0000-FFFF-FFFF00000000}"/>
  </bookViews>
  <sheets>
    <sheet name="Materiality Analysis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8" i="1" l="1"/>
  <c r="G58" i="1"/>
  <c r="F58" i="1"/>
  <c r="G57" i="1"/>
  <c r="F57" i="1"/>
  <c r="G56" i="1"/>
  <c r="F56" i="1"/>
  <c r="G55" i="1"/>
  <c r="F55" i="1"/>
  <c r="H55" i="1" s="1"/>
  <c r="G54" i="1"/>
  <c r="F54" i="1"/>
  <c r="G53" i="1"/>
  <c r="F53" i="1"/>
  <c r="H53" i="1" s="1"/>
  <c r="G52" i="1"/>
  <c r="F52" i="1"/>
  <c r="G51" i="1"/>
  <c r="I51" i="1" s="1"/>
  <c r="F51" i="1"/>
  <c r="H51" i="1" s="1"/>
  <c r="G50" i="1"/>
  <c r="F50" i="1"/>
  <c r="G49" i="1"/>
  <c r="F49" i="1"/>
  <c r="H49" i="1" s="1"/>
  <c r="G48" i="1"/>
  <c r="F48" i="1"/>
  <c r="G47" i="1"/>
  <c r="I47" i="1" s="1"/>
  <c r="F47" i="1"/>
  <c r="H47" i="1" s="1"/>
  <c r="G46" i="1"/>
  <c r="F46" i="1"/>
  <c r="G45" i="1"/>
  <c r="I45" i="1" s="1"/>
  <c r="F45" i="1"/>
  <c r="H45" i="1" s="1"/>
  <c r="G44" i="1"/>
  <c r="F44" i="1"/>
  <c r="G43" i="1"/>
  <c r="I43" i="1" s="1"/>
  <c r="F43" i="1"/>
  <c r="H43" i="1" s="1"/>
  <c r="G42" i="1"/>
  <c r="F42" i="1"/>
  <c r="G41" i="1"/>
  <c r="I41" i="1" s="1"/>
  <c r="F41" i="1"/>
  <c r="H41" i="1" s="1"/>
  <c r="G40" i="1"/>
  <c r="F40" i="1"/>
  <c r="G39" i="1"/>
  <c r="I39" i="1" s="1"/>
  <c r="F39" i="1"/>
  <c r="H39" i="1" s="1"/>
  <c r="G38" i="1"/>
  <c r="F38" i="1"/>
  <c r="G37" i="1"/>
  <c r="I37" i="1" s="1"/>
  <c r="F37" i="1"/>
  <c r="H37" i="1" s="1"/>
  <c r="G36" i="1"/>
  <c r="F36" i="1"/>
  <c r="G35" i="1"/>
  <c r="I35" i="1" s="1"/>
  <c r="F35" i="1"/>
  <c r="H35" i="1" s="1"/>
  <c r="G34" i="1"/>
  <c r="F34" i="1"/>
  <c r="G33" i="1"/>
  <c r="I33" i="1" s="1"/>
  <c r="F33" i="1"/>
  <c r="H33" i="1" s="1"/>
  <c r="G32" i="1"/>
  <c r="F32" i="1"/>
  <c r="G31" i="1"/>
  <c r="I31" i="1" s="1"/>
  <c r="F31" i="1"/>
  <c r="H31" i="1" s="1"/>
  <c r="G30" i="1"/>
  <c r="F30" i="1"/>
  <c r="G29" i="1"/>
  <c r="I29" i="1" s="1"/>
  <c r="F29" i="1"/>
  <c r="H29" i="1" s="1"/>
  <c r="G28" i="1"/>
  <c r="F28" i="1"/>
  <c r="G27" i="1"/>
  <c r="I27" i="1" s="1"/>
  <c r="F27" i="1"/>
  <c r="H27" i="1" s="1"/>
  <c r="G26" i="1"/>
  <c r="F26" i="1"/>
  <c r="G25" i="1"/>
  <c r="I25" i="1" s="1"/>
  <c r="F25" i="1"/>
  <c r="H25" i="1" s="1"/>
  <c r="G24" i="1"/>
  <c r="F24" i="1"/>
  <c r="G23" i="1"/>
  <c r="I23" i="1" s="1"/>
  <c r="F23" i="1"/>
  <c r="H23" i="1" s="1"/>
  <c r="G22" i="1"/>
  <c r="F22" i="1"/>
  <c r="G21" i="1"/>
  <c r="I21" i="1" s="1"/>
  <c r="F21" i="1"/>
  <c r="H21" i="1" s="1"/>
  <c r="G20" i="1"/>
  <c r="F20" i="1"/>
  <c r="G19" i="1"/>
  <c r="I19" i="1" s="1"/>
  <c r="F19" i="1"/>
  <c r="H19" i="1" s="1"/>
  <c r="G18" i="1"/>
  <c r="F18" i="1"/>
  <c r="G17" i="1"/>
  <c r="I17" i="1" s="1"/>
  <c r="F17" i="1"/>
  <c r="H17" i="1" s="1"/>
  <c r="B6" i="1"/>
  <c r="I58" i="1" s="1"/>
  <c r="I55" i="1" l="1"/>
  <c r="J31" i="1"/>
  <c r="K31" i="1" s="1"/>
  <c r="H57" i="1"/>
  <c r="I57" i="1"/>
  <c r="J57" i="1" s="1"/>
  <c r="K57" i="1" s="1"/>
  <c r="I53" i="1"/>
  <c r="I49" i="1"/>
  <c r="B61" i="1"/>
  <c r="B64" i="1" s="1"/>
  <c r="J19" i="1"/>
  <c r="K19" i="1" s="1"/>
  <c r="J23" i="1"/>
  <c r="K23" i="1" s="1"/>
  <c r="J27" i="1"/>
  <c r="K27" i="1" s="1"/>
  <c r="B62" i="1"/>
  <c r="J21" i="1"/>
  <c r="K21" i="1" s="1"/>
  <c r="J33" i="1"/>
  <c r="K33" i="1" s="1"/>
  <c r="J41" i="1"/>
  <c r="K41" i="1" s="1"/>
  <c r="J49" i="1"/>
  <c r="K49" i="1" s="1"/>
  <c r="J17" i="1"/>
  <c r="K17" i="1" s="1"/>
  <c r="J29" i="1"/>
  <c r="K29" i="1" s="1"/>
  <c r="J37" i="1"/>
  <c r="K37" i="1" s="1"/>
  <c r="J45" i="1"/>
  <c r="K45" i="1" s="1"/>
  <c r="J53" i="1"/>
  <c r="K53" i="1" s="1"/>
  <c r="J58" i="1"/>
  <c r="K58" i="1" s="1"/>
  <c r="J25" i="1"/>
  <c r="K25" i="1" s="1"/>
  <c r="J35" i="1"/>
  <c r="K35" i="1" s="1"/>
  <c r="J39" i="1"/>
  <c r="K39" i="1" s="1"/>
  <c r="J43" i="1"/>
  <c r="K43" i="1" s="1"/>
  <c r="J47" i="1"/>
  <c r="K47" i="1" s="1"/>
  <c r="J51" i="1"/>
  <c r="K51" i="1" s="1"/>
  <c r="J55" i="1"/>
  <c r="K55" i="1" s="1"/>
  <c r="B63" i="1"/>
  <c r="I24" i="1"/>
  <c r="J24" i="1" s="1"/>
  <c r="K24" i="1" s="1"/>
  <c r="I32" i="1"/>
  <c r="I44" i="1"/>
  <c r="I52" i="1"/>
  <c r="H18" i="1"/>
  <c r="H22" i="1"/>
  <c r="H26" i="1"/>
  <c r="H30" i="1"/>
  <c r="H34" i="1"/>
  <c r="H42" i="1"/>
  <c r="H46" i="1"/>
  <c r="H50" i="1"/>
  <c r="H54" i="1"/>
  <c r="H58" i="1"/>
  <c r="I18" i="1"/>
  <c r="J18" i="1" s="1"/>
  <c r="K18" i="1" s="1"/>
  <c r="I22" i="1"/>
  <c r="J22" i="1" s="1"/>
  <c r="K22" i="1" s="1"/>
  <c r="I26" i="1"/>
  <c r="J26" i="1" s="1"/>
  <c r="K26" i="1" s="1"/>
  <c r="I30" i="1"/>
  <c r="I34" i="1"/>
  <c r="I38" i="1"/>
  <c r="I42" i="1"/>
  <c r="I46" i="1"/>
  <c r="H20" i="1"/>
  <c r="H24" i="1"/>
  <c r="H28" i="1"/>
  <c r="H32" i="1"/>
  <c r="H36" i="1"/>
  <c r="H40" i="1"/>
  <c r="H44" i="1"/>
  <c r="H48" i="1"/>
  <c r="H52" i="1"/>
  <c r="H56" i="1"/>
  <c r="I20" i="1"/>
  <c r="J20" i="1" s="1"/>
  <c r="K20" i="1" s="1"/>
  <c r="I28" i="1"/>
  <c r="I36" i="1"/>
  <c r="J36" i="1" s="1"/>
  <c r="K36" i="1" s="1"/>
  <c r="I40" i="1"/>
  <c r="J40" i="1" s="1"/>
  <c r="K40" i="1" s="1"/>
  <c r="I48" i="1"/>
  <c r="I56" i="1"/>
  <c r="H38" i="1"/>
  <c r="I50" i="1"/>
  <c r="J50" i="1" s="1"/>
  <c r="K50" i="1" s="1"/>
  <c r="I54" i="1"/>
  <c r="J54" i="1" s="1"/>
  <c r="K54" i="1" s="1"/>
  <c r="B65" i="1" l="1"/>
  <c r="J34" i="1"/>
  <c r="K34" i="1" s="1"/>
  <c r="J44" i="1"/>
  <c r="K44" i="1" s="1"/>
  <c r="J28" i="1"/>
  <c r="K28" i="1" s="1"/>
  <c r="J30" i="1"/>
  <c r="K30" i="1" s="1"/>
  <c r="J56" i="1"/>
  <c r="K56" i="1" s="1"/>
  <c r="J32" i="1"/>
  <c r="K32" i="1" s="1"/>
  <c r="B66" i="1"/>
  <c r="J48" i="1"/>
  <c r="K48" i="1" s="1"/>
  <c r="J42" i="1"/>
  <c r="K42" i="1" s="1"/>
  <c r="J46" i="1"/>
  <c r="K46" i="1" s="1"/>
  <c r="J38" i="1"/>
  <c r="K38" i="1" s="1"/>
  <c r="J52" i="1"/>
  <c r="K52" i="1" s="1"/>
  <c r="B71" i="1" l="1"/>
  <c r="B72" i="1" s="1"/>
  <c r="B67" i="1"/>
</calcChain>
</file>

<file path=xl/sharedStrings.xml><?xml version="1.0" encoding="utf-8"?>
<sst xmlns="http://schemas.openxmlformats.org/spreadsheetml/2006/main" count="165" uniqueCount="142">
  <si>
    <t>Direct-Trucked AECN BOLs (Feb–Mar 2026) — Materiality Analysis: BOL-Only vs Current MIN(BOL,Scale) Policy</t>
  </si>
  <si>
    <t>Dataset: 42 direct-trucked AECN batches across the Feb–Mar 2026 RPs. Excluded: 2-174 (bio-oil spill, accounted for separately); 2-155 (fuel-tank-weight artifact, accounted for in-sheet); 2-128 (separate hydrostatic-loss event from damaged fitting); 2-179 (multi-BOL combined batch, not a standard single-truck delivery).</t>
  </si>
  <si>
    <t>ASSUMPTIONS / CONSTANTS</t>
  </si>
  <si>
    <t>C content (mass fraction of bio-oil)</t>
  </si>
  <si>
    <t>CO₂e per C (kg CO₂e per kg C, = 44/12)</t>
  </si>
  <si>
    <t>Materiality threshold (% of net CO₂e removals; GHG Acct v1.0 §5.0)</t>
  </si>
  <si>
    <t>FORMULAS APPLIED PER ROW</t>
  </si>
  <si>
    <t>MIN Mass (col F)</t>
  </si>
  <si>
    <t>BOL-Only Mass (col G)</t>
  </si>
  <si>
    <t>Gross CDR — Current / Proposed (cols H, I)</t>
  </si>
  <si>
    <t>ΔCDR (col J)</t>
  </si>
  <si>
    <t>ΔCDR % (col K)</t>
  </si>
  <si>
    <t>Date</t>
  </si>
  <si>
    <t>Batch</t>
  </si>
  <si>
    <t>BOL #</t>
  </si>
  <si>
    <t>BOL Mass (kg)
[SOURCE]</t>
  </si>
  <si>
    <t>Scale Mass (kg)
[SOURCE]</t>
  </si>
  <si>
    <t>MIN Mass (kg)</t>
  </si>
  <si>
    <t>BOL-Only Mass (kg)</t>
  </si>
  <si>
    <t>Gross CDR — Current (tCO₂e)</t>
  </si>
  <si>
    <t>Gross CDR — Proposed (tCO₂e)</t>
  </si>
  <si>
    <t>ΔCDR (tCO₂e)</t>
  </si>
  <si>
    <t>ΔCDR (%)</t>
  </si>
  <si>
    <t>2/9/2026</t>
  </si>
  <si>
    <t>2-123</t>
  </si>
  <si>
    <t>2286T</t>
  </si>
  <si>
    <t>2/10/2026</t>
  </si>
  <si>
    <t>2-124</t>
  </si>
  <si>
    <t>2287T</t>
  </si>
  <si>
    <t>2/11/2026</t>
  </si>
  <si>
    <t>2-125</t>
  </si>
  <si>
    <t>2288T</t>
  </si>
  <si>
    <t>2/12/2026</t>
  </si>
  <si>
    <t>2-126</t>
  </si>
  <si>
    <t>2290T</t>
  </si>
  <si>
    <t>2-127</t>
  </si>
  <si>
    <t>2293T</t>
  </si>
  <si>
    <t>2/20/2026</t>
  </si>
  <si>
    <t>2-129</t>
  </si>
  <si>
    <t>2295T</t>
  </si>
  <si>
    <t>2/19/2026</t>
  </si>
  <si>
    <t>2-131</t>
  </si>
  <si>
    <t>2296T</t>
  </si>
  <si>
    <t>2/23/2026</t>
  </si>
  <si>
    <t>2-133</t>
  </si>
  <si>
    <t>2297T</t>
  </si>
  <si>
    <t>2/24/2026</t>
  </si>
  <si>
    <t>2-134</t>
  </si>
  <si>
    <t>2298T</t>
  </si>
  <si>
    <t>2-135</t>
  </si>
  <si>
    <t>2299T</t>
  </si>
  <si>
    <t>2/25/2026</t>
  </si>
  <si>
    <t>2-136</t>
  </si>
  <si>
    <t>2300T</t>
  </si>
  <si>
    <t>2-137</t>
  </si>
  <si>
    <t>2301T</t>
  </si>
  <si>
    <t>2-140</t>
  </si>
  <si>
    <t>2302T</t>
  </si>
  <si>
    <t>2/26/2026</t>
  </si>
  <si>
    <t>2-143</t>
  </si>
  <si>
    <t>2303T</t>
  </si>
  <si>
    <t>3/1/2026</t>
  </si>
  <si>
    <t>2-146</t>
  </si>
  <si>
    <t>2304T</t>
  </si>
  <si>
    <t>2-147</t>
  </si>
  <si>
    <t>2305T</t>
  </si>
  <si>
    <t>2-148</t>
  </si>
  <si>
    <t>2306T</t>
  </si>
  <si>
    <t>2-149</t>
  </si>
  <si>
    <t>2307T</t>
  </si>
  <si>
    <t>2-150</t>
  </si>
  <si>
    <t>2308T</t>
  </si>
  <si>
    <t>3/2/2026</t>
  </si>
  <si>
    <t>2-151</t>
  </si>
  <si>
    <t>2311T</t>
  </si>
  <si>
    <t>2-152</t>
  </si>
  <si>
    <t>2309T</t>
  </si>
  <si>
    <t>3/12/2026</t>
  </si>
  <si>
    <t>2-154</t>
  </si>
  <si>
    <t>2315T</t>
  </si>
  <si>
    <t>3/13/2026</t>
  </si>
  <si>
    <t>2-156</t>
  </si>
  <si>
    <t>2319T</t>
  </si>
  <si>
    <t>2-157</t>
  </si>
  <si>
    <t>2320T</t>
  </si>
  <si>
    <t>2-158</t>
  </si>
  <si>
    <t>2321T</t>
  </si>
  <si>
    <t>2-159</t>
  </si>
  <si>
    <t>2322T</t>
  </si>
  <si>
    <t>3/19/2026</t>
  </si>
  <si>
    <t>2-160</t>
  </si>
  <si>
    <t>2323T</t>
  </si>
  <si>
    <t>2-161</t>
  </si>
  <si>
    <t>2326T</t>
  </si>
  <si>
    <t>2-162</t>
  </si>
  <si>
    <t>2331T</t>
  </si>
  <si>
    <t>3/20/2026</t>
  </si>
  <si>
    <t>2-163</t>
  </si>
  <si>
    <t>2330T</t>
  </si>
  <si>
    <t>2-164</t>
  </si>
  <si>
    <t>2329T</t>
  </si>
  <si>
    <t>2-165</t>
  </si>
  <si>
    <t>2324T</t>
  </si>
  <si>
    <t>2-166</t>
  </si>
  <si>
    <t>2325T</t>
  </si>
  <si>
    <t>3/21/2026</t>
  </si>
  <si>
    <t>2-167</t>
  </si>
  <si>
    <t>2327T</t>
  </si>
  <si>
    <t>2-169</t>
  </si>
  <si>
    <t>2332T</t>
  </si>
  <si>
    <t>2-170</t>
  </si>
  <si>
    <t>2333T</t>
  </si>
  <si>
    <t>2-171</t>
  </si>
  <si>
    <t>2334T</t>
  </si>
  <si>
    <t>2-172</t>
  </si>
  <si>
    <t>2335T</t>
  </si>
  <si>
    <t>2-173</t>
  </si>
  <si>
    <t>2337T</t>
  </si>
  <si>
    <t>3/25/2026</t>
  </si>
  <si>
    <t>2-175</t>
  </si>
  <si>
    <t>2336T</t>
  </si>
  <si>
    <t>2-177</t>
  </si>
  <si>
    <t>2342T</t>
  </si>
  <si>
    <t>2-178</t>
  </si>
  <si>
    <t>2341T</t>
  </si>
  <si>
    <t>AGGREGATE TOTALS (clean dataset, n=42)</t>
  </si>
  <si>
    <t>Total mass — current MIN(BOL, scale) policy (kg)</t>
  </si>
  <si>
    <t>Total mass — proposed BOL-only policy (kg)</t>
  </si>
  <si>
    <t>Δ mass (kg)</t>
  </si>
  <si>
    <t>Δ mass (%)</t>
  </si>
  <si>
    <t>Total gross CDR — current policy (tCO₂e)</t>
  </si>
  <si>
    <t>Total gross CDR — proposed policy (tCO₂e)</t>
  </si>
  <si>
    <t>Δ gross CDR (tCO₂e)</t>
  </si>
  <si>
    <t>Δ gross CDR (%)</t>
  </si>
  <si>
    <t>MATERIALITY TEST — GHG Accounting v1.0 §5.0</t>
  </si>
  <si>
    <t>Aggregate ΔCDR / current gross CDR (%)</t>
  </si>
  <si>
    <t>Below threshold?</t>
  </si>
  <si>
    <t>MIN(BOL Mass, Scale Mass)</t>
  </si>
  <si>
    <t>BOL Mass</t>
  </si>
  <si>
    <t>ΔCDR /@ Gross CDR current * 100</t>
  </si>
  <si>
    <t>Mass × C content × (CO2e per C) / 1000   [tCO2e]</t>
  </si>
  <si>
    <t>Gross CDR proposed − Gross CDR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</si>
</sst>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#,##0.0000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i/>
      <sz val="11"/>
      <color rgb="FF595959"/>
      <name val="Calibri"/>
      <family val="2"/>
    </font>
    <font>
      <b/>
      <sz val="10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7E6E6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DEEBF7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3" borderId="1" xfId="0" applyFont="1" applyFill="1" applyBorder="1"/>
    <xf numFmtId="164" fontId="0" fillId="3" borderId="1" xfId="0" applyNumberFormat="1" applyFill="1" applyBorder="1" applyAlignment="1">
      <alignment horizontal="right" vertical="center"/>
    </xf>
    <xf numFmtId="165" fontId="0" fillId="3" borderId="1" xfId="0" applyNumberFormat="1" applyFill="1" applyBorder="1" applyAlignment="1">
      <alignment horizontal="right" vertical="center"/>
    </xf>
    <xf numFmtId="166" fontId="0" fillId="3" borderId="1" xfId="0" applyNumberFormat="1" applyFill="1" applyBorder="1" applyAlignment="1">
      <alignment horizontal="right" vertical="center"/>
    </xf>
    <xf numFmtId="0" fontId="5" fillId="0" borderId="0" xfId="0" applyFont="1"/>
    <xf numFmtId="0" fontId="7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" fontId="0" fillId="5" borderId="1" xfId="0" applyNumberFormat="1" applyFill="1" applyBorder="1"/>
    <xf numFmtId="4" fontId="0" fillId="0" borderId="1" xfId="0" applyNumberFormat="1" applyBorder="1"/>
    <xf numFmtId="167" fontId="0" fillId="0" borderId="1" xfId="0" applyNumberFormat="1" applyBorder="1"/>
    <xf numFmtId="165" fontId="0" fillId="0" borderId="1" xfId="0" applyNumberFormat="1" applyBorder="1"/>
    <xf numFmtId="0" fontId="4" fillId="6" borderId="1" xfId="0" applyFont="1" applyFill="1" applyBorder="1"/>
    <xf numFmtId="4" fontId="0" fillId="6" borderId="1" xfId="0" applyNumberFormat="1" applyFill="1" applyBorder="1" applyAlignment="1">
      <alignment horizontal="right" vertical="center"/>
    </xf>
    <xf numFmtId="165" fontId="0" fillId="6" borderId="1" xfId="0" applyNumberFormat="1" applyFill="1" applyBorder="1" applyAlignment="1">
      <alignment horizontal="right" vertical="center"/>
    </xf>
    <xf numFmtId="167" fontId="0" fillId="6" borderId="1" xfId="0" applyNumberForma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/>
    <xf numFmtId="0" fontId="6" fillId="0" borderId="0" xfId="0" applyFont="1"/>
    <xf numFmtId="0" fontId="3" fillId="2" borderId="0" xfId="0" applyFont="1" applyFill="1"/>
    <xf numFmtId="0" fontId="1" fillId="0" borderId="0" xfId="0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workbookViewId="0">
      <pane xSplit="3" ySplit="16" topLeftCell="D54" activePane="bottomRight" state="frozen"/>
      <selection pane="topRight"/>
      <selection pane="bottomLeft"/>
      <selection pane="bottomRight" activeCell="C66" sqref="C66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12" customWidth="1"/>
    <col min="4" max="5" width="18" customWidth="1"/>
    <col min="6" max="6" width="16" customWidth="1"/>
    <col min="7" max="7" width="18" customWidth="1"/>
    <col min="8" max="9" width="22" customWidth="1"/>
    <col min="10" max="10" width="16" customWidth="1"/>
    <col min="11" max="11" width="14" customWidth="1"/>
  </cols>
  <sheetData>
    <row r="1" spans="1:11" ht="24" customHeight="1" x14ac:dyDescent="0.25">
      <c r="A1" s="21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36" customHeight="1" x14ac:dyDescent="0.2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4" spans="1:11" x14ac:dyDescent="0.2">
      <c r="A4" s="20" t="s">
        <v>2</v>
      </c>
      <c r="B4" s="18"/>
      <c r="C4" s="18"/>
      <c r="D4" s="18"/>
      <c r="E4" s="18"/>
      <c r="F4" s="18"/>
      <c r="G4" s="18"/>
      <c r="H4" s="18"/>
      <c r="I4" s="18"/>
      <c r="J4" s="18"/>
      <c r="K4" s="18"/>
    </row>
    <row r="5" spans="1:11" x14ac:dyDescent="0.2">
      <c r="A5" s="1" t="s">
        <v>3</v>
      </c>
      <c r="B5" s="2">
        <v>0.4</v>
      </c>
    </row>
    <row r="6" spans="1:11" x14ac:dyDescent="0.2">
      <c r="A6" s="1" t="s">
        <v>4</v>
      </c>
      <c r="B6" s="3">
        <f>44/12</f>
        <v>3.6666666666666665</v>
      </c>
    </row>
    <row r="7" spans="1:11" x14ac:dyDescent="0.2">
      <c r="A7" s="1" t="s">
        <v>5</v>
      </c>
      <c r="B7" s="4">
        <v>1</v>
      </c>
    </row>
    <row r="9" spans="1:11" x14ac:dyDescent="0.2">
      <c r="A9" s="20" t="s">
        <v>6</v>
      </c>
      <c r="B9" s="18"/>
      <c r="C9" s="18"/>
      <c r="D9" s="18"/>
      <c r="E9" s="18"/>
      <c r="F9" s="18"/>
      <c r="G9" s="18"/>
      <c r="H9" s="18"/>
      <c r="I9" s="18"/>
      <c r="J9" s="18"/>
      <c r="K9" s="18"/>
    </row>
    <row r="10" spans="1:11" x14ac:dyDescent="0.2">
      <c r="A10" s="5" t="s">
        <v>7</v>
      </c>
      <c r="B10" s="19" t="s">
        <v>137</v>
      </c>
      <c r="C10" s="18"/>
      <c r="D10" s="18"/>
      <c r="E10" s="18"/>
      <c r="F10" s="18"/>
    </row>
    <row r="11" spans="1:11" x14ac:dyDescent="0.2">
      <c r="A11" s="5" t="s">
        <v>8</v>
      </c>
      <c r="B11" s="19" t="s">
        <v>138</v>
      </c>
      <c r="C11" s="18"/>
      <c r="D11" s="18"/>
      <c r="E11" s="18"/>
      <c r="F11" s="18"/>
    </row>
    <row r="12" spans="1:11" x14ac:dyDescent="0.2">
      <c r="A12" s="5" t="s">
        <v>9</v>
      </c>
      <c r="B12" s="19" t="s">
        <v>140</v>
      </c>
      <c r="C12" s="18"/>
      <c r="D12" s="18"/>
      <c r="E12" s="18"/>
      <c r="F12" s="18"/>
    </row>
    <row r="13" spans="1:11" x14ac:dyDescent="0.2">
      <c r="A13" s="5" t="s">
        <v>10</v>
      </c>
      <c r="B13" s="19" t="s">
        <v>141</v>
      </c>
      <c r="C13" s="18"/>
      <c r="D13" s="18"/>
      <c r="E13" s="18"/>
      <c r="F13" s="18"/>
    </row>
    <row r="14" spans="1:11" x14ac:dyDescent="0.2">
      <c r="A14" s="5" t="s">
        <v>11</v>
      </c>
      <c r="B14" s="19" t="s">
        <v>139</v>
      </c>
      <c r="C14" s="18"/>
      <c r="D14" s="18"/>
      <c r="E14" s="18"/>
      <c r="F14" s="18"/>
    </row>
    <row r="16" spans="1:11" ht="32" customHeight="1" x14ac:dyDescent="0.2">
      <c r="A16" s="6" t="s">
        <v>12</v>
      </c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18</v>
      </c>
      <c r="H16" s="6" t="s">
        <v>19</v>
      </c>
      <c r="I16" s="6" t="s">
        <v>20</v>
      </c>
      <c r="J16" s="6" t="s">
        <v>21</v>
      </c>
      <c r="K16" s="6" t="s">
        <v>22</v>
      </c>
    </row>
    <row r="17" spans="1:11" x14ac:dyDescent="0.2">
      <c r="A17" s="7" t="s">
        <v>23</v>
      </c>
      <c r="B17" s="7" t="s">
        <v>24</v>
      </c>
      <c r="C17" s="7" t="s">
        <v>25</v>
      </c>
      <c r="D17" s="8">
        <v>19710</v>
      </c>
      <c r="E17" s="8">
        <v>19379.14</v>
      </c>
      <c r="F17" s="9">
        <f t="shared" ref="F17:F58" si="0">MIN(D17,E17)</f>
        <v>19379.14</v>
      </c>
      <c r="G17" s="9">
        <f t="shared" ref="G17:G58" si="1">D17</f>
        <v>19710</v>
      </c>
      <c r="H17" s="10">
        <f t="shared" ref="H17:H58" si="2">F17*$B$5*$B$6/1000</f>
        <v>28.422738666666664</v>
      </c>
      <c r="I17" s="10">
        <f t="shared" ref="I17:I58" si="3">G17*$B$5*$B$6/1000</f>
        <v>28.908000000000001</v>
      </c>
      <c r="J17" s="10">
        <f t="shared" ref="J17:J58" si="4">I17-H17</f>
        <v>0.48526133333333732</v>
      </c>
      <c r="K17" s="11">
        <f t="shared" ref="K17:K58" si="5">(J17/H17)*100</f>
        <v>1.7072997047340734</v>
      </c>
    </row>
    <row r="18" spans="1:11" x14ac:dyDescent="0.2">
      <c r="A18" s="7" t="s">
        <v>26</v>
      </c>
      <c r="B18" s="7" t="s">
        <v>27</v>
      </c>
      <c r="C18" s="7" t="s">
        <v>28</v>
      </c>
      <c r="D18" s="8">
        <v>19940</v>
      </c>
      <c r="E18" s="8">
        <v>19958.05</v>
      </c>
      <c r="F18" s="9">
        <f t="shared" si="0"/>
        <v>19940</v>
      </c>
      <c r="G18" s="9">
        <f t="shared" si="1"/>
        <v>19940</v>
      </c>
      <c r="H18" s="10">
        <f t="shared" si="2"/>
        <v>29.245333333333331</v>
      </c>
      <c r="I18" s="10">
        <f t="shared" si="3"/>
        <v>29.245333333333331</v>
      </c>
      <c r="J18" s="10">
        <f t="shared" si="4"/>
        <v>0</v>
      </c>
      <c r="K18" s="11">
        <f t="shared" si="5"/>
        <v>0</v>
      </c>
    </row>
    <row r="19" spans="1:11" x14ac:dyDescent="0.2">
      <c r="A19" s="7" t="s">
        <v>29</v>
      </c>
      <c r="B19" s="7" t="s">
        <v>30</v>
      </c>
      <c r="C19" s="7" t="s">
        <v>31</v>
      </c>
      <c r="D19" s="8">
        <v>19750</v>
      </c>
      <c r="E19" s="8">
        <v>19767.54</v>
      </c>
      <c r="F19" s="9">
        <f t="shared" si="0"/>
        <v>19750</v>
      </c>
      <c r="G19" s="9">
        <f t="shared" si="1"/>
        <v>19750</v>
      </c>
      <c r="H19" s="10">
        <f t="shared" si="2"/>
        <v>28.966666666666665</v>
      </c>
      <c r="I19" s="10">
        <f t="shared" si="3"/>
        <v>28.966666666666665</v>
      </c>
      <c r="J19" s="10">
        <f t="shared" si="4"/>
        <v>0</v>
      </c>
      <c r="K19" s="11">
        <f t="shared" si="5"/>
        <v>0</v>
      </c>
    </row>
    <row r="20" spans="1:11" x14ac:dyDescent="0.2">
      <c r="A20" s="7" t="s">
        <v>32</v>
      </c>
      <c r="B20" s="7" t="s">
        <v>33</v>
      </c>
      <c r="C20" s="7" t="s">
        <v>34</v>
      </c>
      <c r="D20" s="8">
        <v>19900</v>
      </c>
      <c r="E20" s="8">
        <v>19921.759999999998</v>
      </c>
      <c r="F20" s="9">
        <f t="shared" si="0"/>
        <v>19900</v>
      </c>
      <c r="G20" s="9">
        <f t="shared" si="1"/>
        <v>19900</v>
      </c>
      <c r="H20" s="10">
        <f t="shared" si="2"/>
        <v>29.186666666666664</v>
      </c>
      <c r="I20" s="10">
        <f t="shared" si="3"/>
        <v>29.186666666666664</v>
      </c>
      <c r="J20" s="10">
        <f t="shared" si="4"/>
        <v>0</v>
      </c>
      <c r="K20" s="11">
        <f t="shared" si="5"/>
        <v>0</v>
      </c>
    </row>
    <row r="21" spans="1:11" x14ac:dyDescent="0.2">
      <c r="A21" s="7" t="s">
        <v>32</v>
      </c>
      <c r="B21" s="7" t="s">
        <v>35</v>
      </c>
      <c r="C21" s="7" t="s">
        <v>36</v>
      </c>
      <c r="D21" s="8">
        <v>19650</v>
      </c>
      <c r="E21" s="8">
        <v>19685.89</v>
      </c>
      <c r="F21" s="9">
        <f t="shared" si="0"/>
        <v>19650</v>
      </c>
      <c r="G21" s="9">
        <f t="shared" si="1"/>
        <v>19650</v>
      </c>
      <c r="H21" s="10">
        <f t="shared" si="2"/>
        <v>28.82</v>
      </c>
      <c r="I21" s="10">
        <f t="shared" si="3"/>
        <v>28.82</v>
      </c>
      <c r="J21" s="10">
        <f t="shared" si="4"/>
        <v>0</v>
      </c>
      <c r="K21" s="11">
        <f t="shared" si="5"/>
        <v>0</v>
      </c>
    </row>
    <row r="22" spans="1:11" x14ac:dyDescent="0.2">
      <c r="A22" s="7" t="s">
        <v>37</v>
      </c>
      <c r="B22" s="7" t="s">
        <v>38</v>
      </c>
      <c r="C22" s="7" t="s">
        <v>39</v>
      </c>
      <c r="D22" s="8">
        <v>20640</v>
      </c>
      <c r="E22" s="8">
        <v>20584</v>
      </c>
      <c r="F22" s="9">
        <f t="shared" si="0"/>
        <v>20584</v>
      </c>
      <c r="G22" s="9">
        <f t="shared" si="1"/>
        <v>20640</v>
      </c>
      <c r="H22" s="10">
        <f t="shared" si="2"/>
        <v>30.189866666666664</v>
      </c>
      <c r="I22" s="10">
        <f t="shared" si="3"/>
        <v>30.271999999999998</v>
      </c>
      <c r="J22" s="10">
        <f t="shared" si="4"/>
        <v>8.2133333333334946E-2</v>
      </c>
      <c r="K22" s="11">
        <f t="shared" si="5"/>
        <v>0.27205596579868396</v>
      </c>
    </row>
    <row r="23" spans="1:11" x14ac:dyDescent="0.2">
      <c r="A23" s="7" t="s">
        <v>40</v>
      </c>
      <c r="B23" s="7" t="s">
        <v>41</v>
      </c>
      <c r="C23" s="7" t="s">
        <v>42</v>
      </c>
      <c r="D23" s="8">
        <v>20450</v>
      </c>
      <c r="E23" s="8">
        <v>20411.64</v>
      </c>
      <c r="F23" s="9">
        <f t="shared" si="0"/>
        <v>20411.64</v>
      </c>
      <c r="G23" s="9">
        <f t="shared" si="1"/>
        <v>20450</v>
      </c>
      <c r="H23" s="10">
        <f t="shared" si="2"/>
        <v>29.937072000000001</v>
      </c>
      <c r="I23" s="10">
        <f t="shared" si="3"/>
        <v>29.993333333333332</v>
      </c>
      <c r="J23" s="10">
        <f t="shared" si="4"/>
        <v>5.626133333333172E-2</v>
      </c>
      <c r="K23" s="11">
        <f t="shared" si="5"/>
        <v>0.18793198390721619</v>
      </c>
    </row>
    <row r="24" spans="1:11" x14ac:dyDescent="0.2">
      <c r="A24" s="7" t="s">
        <v>43</v>
      </c>
      <c r="B24" s="7" t="s">
        <v>44</v>
      </c>
      <c r="C24" s="7" t="s">
        <v>45</v>
      </c>
      <c r="D24" s="8">
        <v>20040</v>
      </c>
      <c r="E24" s="8">
        <v>20094.13</v>
      </c>
      <c r="F24" s="9">
        <f t="shared" si="0"/>
        <v>20040</v>
      </c>
      <c r="G24" s="9">
        <f t="shared" si="1"/>
        <v>20040</v>
      </c>
      <c r="H24" s="10">
        <f t="shared" si="2"/>
        <v>29.391999999999999</v>
      </c>
      <c r="I24" s="10">
        <f t="shared" si="3"/>
        <v>29.391999999999999</v>
      </c>
      <c r="J24" s="10">
        <f t="shared" si="4"/>
        <v>0</v>
      </c>
      <c r="K24" s="11">
        <f t="shared" si="5"/>
        <v>0</v>
      </c>
    </row>
    <row r="25" spans="1:11" x14ac:dyDescent="0.2">
      <c r="A25" s="7" t="s">
        <v>46</v>
      </c>
      <c r="B25" s="7" t="s">
        <v>47</v>
      </c>
      <c r="C25" s="7" t="s">
        <v>48</v>
      </c>
      <c r="D25" s="8">
        <v>20110</v>
      </c>
      <c r="E25" s="8">
        <v>20121.34</v>
      </c>
      <c r="F25" s="9">
        <f t="shared" si="0"/>
        <v>20110</v>
      </c>
      <c r="G25" s="9">
        <f t="shared" si="1"/>
        <v>20110</v>
      </c>
      <c r="H25" s="10">
        <f t="shared" si="2"/>
        <v>29.494666666666664</v>
      </c>
      <c r="I25" s="10">
        <f t="shared" si="3"/>
        <v>29.494666666666664</v>
      </c>
      <c r="J25" s="10">
        <f t="shared" si="4"/>
        <v>0</v>
      </c>
      <c r="K25" s="11">
        <f t="shared" si="5"/>
        <v>0</v>
      </c>
    </row>
    <row r="26" spans="1:11" x14ac:dyDescent="0.2">
      <c r="A26" s="7" t="s">
        <v>46</v>
      </c>
      <c r="B26" s="7" t="s">
        <v>49</v>
      </c>
      <c r="C26" s="7" t="s">
        <v>50</v>
      </c>
      <c r="D26" s="8">
        <v>19530</v>
      </c>
      <c r="E26" s="8">
        <v>19567.96</v>
      </c>
      <c r="F26" s="9">
        <f t="shared" si="0"/>
        <v>19530</v>
      </c>
      <c r="G26" s="9">
        <f t="shared" si="1"/>
        <v>19530</v>
      </c>
      <c r="H26" s="10">
        <f t="shared" si="2"/>
        <v>28.643999999999998</v>
      </c>
      <c r="I26" s="10">
        <f t="shared" si="3"/>
        <v>28.643999999999998</v>
      </c>
      <c r="J26" s="10">
        <f t="shared" si="4"/>
        <v>0</v>
      </c>
      <c r="K26" s="11">
        <f t="shared" si="5"/>
        <v>0</v>
      </c>
    </row>
    <row r="27" spans="1:11" x14ac:dyDescent="0.2">
      <c r="A27" s="7" t="s">
        <v>51</v>
      </c>
      <c r="B27" s="7" t="s">
        <v>52</v>
      </c>
      <c r="C27" s="7" t="s">
        <v>53</v>
      </c>
      <c r="D27" s="8">
        <v>18590</v>
      </c>
      <c r="E27" s="8">
        <v>18588.2</v>
      </c>
      <c r="F27" s="9">
        <f t="shared" si="0"/>
        <v>18588.2</v>
      </c>
      <c r="G27" s="9">
        <f t="shared" si="1"/>
        <v>18590</v>
      </c>
      <c r="H27" s="10">
        <f t="shared" si="2"/>
        <v>27.262693333333335</v>
      </c>
      <c r="I27" s="10">
        <f t="shared" si="3"/>
        <v>27.265333333333331</v>
      </c>
      <c r="J27" s="10">
        <f t="shared" si="4"/>
        <v>2.6399999999959789E-3</v>
      </c>
      <c r="K27" s="11">
        <f t="shared" si="5"/>
        <v>9.6835626902941566E-3</v>
      </c>
    </row>
    <row r="28" spans="1:11" x14ac:dyDescent="0.2">
      <c r="A28" s="7" t="s">
        <v>51</v>
      </c>
      <c r="B28" s="7" t="s">
        <v>54</v>
      </c>
      <c r="C28" s="7" t="s">
        <v>55</v>
      </c>
      <c r="D28" s="8">
        <v>19840</v>
      </c>
      <c r="E28" s="8">
        <v>19849.189999999999</v>
      </c>
      <c r="F28" s="9">
        <f t="shared" si="0"/>
        <v>19840</v>
      </c>
      <c r="G28" s="9">
        <f t="shared" si="1"/>
        <v>19840</v>
      </c>
      <c r="H28" s="10">
        <f t="shared" si="2"/>
        <v>29.098666666666663</v>
      </c>
      <c r="I28" s="10">
        <f t="shared" si="3"/>
        <v>29.098666666666663</v>
      </c>
      <c r="J28" s="10">
        <f t="shared" si="4"/>
        <v>0</v>
      </c>
      <c r="K28" s="11">
        <f t="shared" si="5"/>
        <v>0</v>
      </c>
    </row>
    <row r="29" spans="1:11" x14ac:dyDescent="0.2">
      <c r="A29" s="7" t="s">
        <v>51</v>
      </c>
      <c r="B29" s="7" t="s">
        <v>56</v>
      </c>
      <c r="C29" s="7" t="s">
        <v>57</v>
      </c>
      <c r="D29" s="8">
        <v>19120</v>
      </c>
      <c r="E29" s="8">
        <v>19268.59</v>
      </c>
      <c r="F29" s="9">
        <f t="shared" si="0"/>
        <v>19120</v>
      </c>
      <c r="G29" s="9">
        <f t="shared" si="1"/>
        <v>19120</v>
      </c>
      <c r="H29" s="10">
        <f t="shared" si="2"/>
        <v>28.042666666666666</v>
      </c>
      <c r="I29" s="10">
        <f t="shared" si="3"/>
        <v>28.042666666666666</v>
      </c>
      <c r="J29" s="10">
        <f t="shared" si="4"/>
        <v>0</v>
      </c>
      <c r="K29" s="11">
        <f t="shared" si="5"/>
        <v>0</v>
      </c>
    </row>
    <row r="30" spans="1:11" x14ac:dyDescent="0.2">
      <c r="A30" s="7" t="s">
        <v>58</v>
      </c>
      <c r="B30" s="7" t="s">
        <v>59</v>
      </c>
      <c r="C30" s="7" t="s">
        <v>60</v>
      </c>
      <c r="D30" s="8">
        <v>18890</v>
      </c>
      <c r="E30" s="8">
        <v>18942</v>
      </c>
      <c r="F30" s="9">
        <f t="shared" si="0"/>
        <v>18890</v>
      </c>
      <c r="G30" s="9">
        <f t="shared" si="1"/>
        <v>18890</v>
      </c>
      <c r="H30" s="10">
        <f t="shared" si="2"/>
        <v>27.705333333333332</v>
      </c>
      <c r="I30" s="10">
        <f t="shared" si="3"/>
        <v>27.705333333333332</v>
      </c>
      <c r="J30" s="10">
        <f t="shared" si="4"/>
        <v>0</v>
      </c>
      <c r="K30" s="11">
        <f t="shared" si="5"/>
        <v>0</v>
      </c>
    </row>
    <row r="31" spans="1:11" x14ac:dyDescent="0.2">
      <c r="A31" s="7" t="s">
        <v>61</v>
      </c>
      <c r="B31" s="7" t="s">
        <v>62</v>
      </c>
      <c r="C31" s="7" t="s">
        <v>63</v>
      </c>
      <c r="D31" s="8">
        <v>19940</v>
      </c>
      <c r="E31" s="8">
        <v>19948.98</v>
      </c>
      <c r="F31" s="9">
        <f t="shared" si="0"/>
        <v>19940</v>
      </c>
      <c r="G31" s="9">
        <f t="shared" si="1"/>
        <v>19940</v>
      </c>
      <c r="H31" s="10">
        <f t="shared" si="2"/>
        <v>29.245333333333331</v>
      </c>
      <c r="I31" s="10">
        <f t="shared" si="3"/>
        <v>29.245333333333331</v>
      </c>
      <c r="J31" s="10">
        <f t="shared" si="4"/>
        <v>0</v>
      </c>
      <c r="K31" s="11">
        <f t="shared" si="5"/>
        <v>0</v>
      </c>
    </row>
    <row r="32" spans="1:11" x14ac:dyDescent="0.2">
      <c r="A32" s="7" t="s">
        <v>61</v>
      </c>
      <c r="B32" s="7" t="s">
        <v>64</v>
      </c>
      <c r="C32" s="7" t="s">
        <v>65</v>
      </c>
      <c r="D32" s="8">
        <v>19970</v>
      </c>
      <c r="E32" s="8">
        <v>19994.34</v>
      </c>
      <c r="F32" s="9">
        <f t="shared" si="0"/>
        <v>19970</v>
      </c>
      <c r="G32" s="9">
        <f t="shared" si="1"/>
        <v>19970</v>
      </c>
      <c r="H32" s="10">
        <f t="shared" si="2"/>
        <v>29.289333333333332</v>
      </c>
      <c r="I32" s="10">
        <f t="shared" si="3"/>
        <v>29.289333333333332</v>
      </c>
      <c r="J32" s="10">
        <f t="shared" si="4"/>
        <v>0</v>
      </c>
      <c r="K32" s="11">
        <f t="shared" si="5"/>
        <v>0</v>
      </c>
    </row>
    <row r="33" spans="1:11" x14ac:dyDescent="0.2">
      <c r="A33" s="7" t="s">
        <v>61</v>
      </c>
      <c r="B33" s="7" t="s">
        <v>66</v>
      </c>
      <c r="C33" s="7" t="s">
        <v>67</v>
      </c>
      <c r="D33" s="8">
        <v>19900</v>
      </c>
      <c r="E33" s="8">
        <v>19921.759999999998</v>
      </c>
      <c r="F33" s="9">
        <f t="shared" si="0"/>
        <v>19900</v>
      </c>
      <c r="G33" s="9">
        <f t="shared" si="1"/>
        <v>19900</v>
      </c>
      <c r="H33" s="10">
        <f t="shared" si="2"/>
        <v>29.186666666666664</v>
      </c>
      <c r="I33" s="10">
        <f t="shared" si="3"/>
        <v>29.186666666666664</v>
      </c>
      <c r="J33" s="10">
        <f t="shared" si="4"/>
        <v>0</v>
      </c>
      <c r="K33" s="11">
        <f t="shared" si="5"/>
        <v>0</v>
      </c>
    </row>
    <row r="34" spans="1:11" x14ac:dyDescent="0.2">
      <c r="A34" s="7" t="s">
        <v>61</v>
      </c>
      <c r="B34" s="7" t="s">
        <v>68</v>
      </c>
      <c r="C34" s="7" t="s">
        <v>69</v>
      </c>
      <c r="D34" s="8">
        <v>19690</v>
      </c>
      <c r="E34" s="8">
        <v>19731.25</v>
      </c>
      <c r="F34" s="9">
        <f t="shared" si="0"/>
        <v>19690</v>
      </c>
      <c r="G34" s="9">
        <f t="shared" si="1"/>
        <v>19690</v>
      </c>
      <c r="H34" s="10">
        <f t="shared" si="2"/>
        <v>28.878666666666664</v>
      </c>
      <c r="I34" s="10">
        <f t="shared" si="3"/>
        <v>28.878666666666664</v>
      </c>
      <c r="J34" s="10">
        <f t="shared" si="4"/>
        <v>0</v>
      </c>
      <c r="K34" s="11">
        <f t="shared" si="5"/>
        <v>0</v>
      </c>
    </row>
    <row r="35" spans="1:11" x14ac:dyDescent="0.2">
      <c r="A35" s="7" t="s">
        <v>61</v>
      </c>
      <c r="B35" s="7" t="s">
        <v>70</v>
      </c>
      <c r="C35" s="7" t="s">
        <v>71</v>
      </c>
      <c r="D35" s="8">
        <v>18770</v>
      </c>
      <c r="E35" s="8">
        <v>18914.79</v>
      </c>
      <c r="F35" s="9">
        <f t="shared" si="0"/>
        <v>18770</v>
      </c>
      <c r="G35" s="9">
        <f t="shared" si="1"/>
        <v>18770</v>
      </c>
      <c r="H35" s="10">
        <f t="shared" si="2"/>
        <v>27.529333333333334</v>
      </c>
      <c r="I35" s="10">
        <f t="shared" si="3"/>
        <v>27.529333333333334</v>
      </c>
      <c r="J35" s="10">
        <f t="shared" si="4"/>
        <v>0</v>
      </c>
      <c r="K35" s="11">
        <f t="shared" si="5"/>
        <v>0</v>
      </c>
    </row>
    <row r="36" spans="1:11" x14ac:dyDescent="0.2">
      <c r="A36" s="7" t="s">
        <v>72</v>
      </c>
      <c r="B36" s="7" t="s">
        <v>73</v>
      </c>
      <c r="C36" s="7" t="s">
        <v>74</v>
      </c>
      <c r="D36" s="8">
        <v>20050</v>
      </c>
      <c r="E36" s="8">
        <v>19649.61</v>
      </c>
      <c r="F36" s="9">
        <f t="shared" si="0"/>
        <v>19649.61</v>
      </c>
      <c r="G36" s="9">
        <f t="shared" si="1"/>
        <v>20050</v>
      </c>
      <c r="H36" s="10">
        <f t="shared" si="2"/>
        <v>28.819428000000002</v>
      </c>
      <c r="I36" s="10">
        <f t="shared" si="3"/>
        <v>29.406666666666663</v>
      </c>
      <c r="J36" s="10">
        <f t="shared" si="4"/>
        <v>0.58723866666666069</v>
      </c>
      <c r="K36" s="11">
        <f t="shared" si="5"/>
        <v>2.037648584373918</v>
      </c>
    </row>
    <row r="37" spans="1:11" x14ac:dyDescent="0.2">
      <c r="A37" s="7" t="s">
        <v>72</v>
      </c>
      <c r="B37" s="7" t="s">
        <v>75</v>
      </c>
      <c r="C37" s="7" t="s">
        <v>76</v>
      </c>
      <c r="D37" s="8">
        <v>19340</v>
      </c>
      <c r="E37" s="8">
        <v>19377.45</v>
      </c>
      <c r="F37" s="9">
        <f t="shared" si="0"/>
        <v>19340</v>
      </c>
      <c r="G37" s="9">
        <f t="shared" si="1"/>
        <v>19340</v>
      </c>
      <c r="H37" s="10">
        <f t="shared" si="2"/>
        <v>28.365333333333332</v>
      </c>
      <c r="I37" s="10">
        <f t="shared" si="3"/>
        <v>28.365333333333332</v>
      </c>
      <c r="J37" s="10">
        <f t="shared" si="4"/>
        <v>0</v>
      </c>
      <c r="K37" s="11">
        <f t="shared" si="5"/>
        <v>0</v>
      </c>
    </row>
    <row r="38" spans="1:11" x14ac:dyDescent="0.2">
      <c r="A38" s="7" t="s">
        <v>77</v>
      </c>
      <c r="B38" s="7" t="s">
        <v>78</v>
      </c>
      <c r="C38" s="7" t="s">
        <v>79</v>
      </c>
      <c r="D38" s="8">
        <v>19590</v>
      </c>
      <c r="E38" s="8">
        <v>19649.61</v>
      </c>
      <c r="F38" s="9">
        <f t="shared" si="0"/>
        <v>19590</v>
      </c>
      <c r="G38" s="9">
        <f t="shared" si="1"/>
        <v>19590</v>
      </c>
      <c r="H38" s="10">
        <f t="shared" si="2"/>
        <v>28.731999999999999</v>
      </c>
      <c r="I38" s="10">
        <f t="shared" si="3"/>
        <v>28.731999999999999</v>
      </c>
      <c r="J38" s="10">
        <f t="shared" si="4"/>
        <v>0</v>
      </c>
      <c r="K38" s="11">
        <f t="shared" si="5"/>
        <v>0</v>
      </c>
    </row>
    <row r="39" spans="1:11" x14ac:dyDescent="0.2">
      <c r="A39" s="7" t="s">
        <v>80</v>
      </c>
      <c r="B39" s="7" t="s">
        <v>81</v>
      </c>
      <c r="C39" s="7" t="s">
        <v>82</v>
      </c>
      <c r="D39" s="8">
        <v>20630</v>
      </c>
      <c r="E39" s="8">
        <v>20593.080000000002</v>
      </c>
      <c r="F39" s="9">
        <f t="shared" si="0"/>
        <v>20593.080000000002</v>
      </c>
      <c r="G39" s="9">
        <f t="shared" si="1"/>
        <v>20630</v>
      </c>
      <c r="H39" s="10">
        <f t="shared" si="2"/>
        <v>30.203184000000004</v>
      </c>
      <c r="I39" s="10">
        <f t="shared" si="3"/>
        <v>30.257333333333332</v>
      </c>
      <c r="J39" s="10">
        <f t="shared" si="4"/>
        <v>5.4149333333327831E-2</v>
      </c>
      <c r="K39" s="11">
        <f t="shared" si="5"/>
        <v>0.17928352631076189</v>
      </c>
    </row>
    <row r="40" spans="1:11" x14ac:dyDescent="0.2">
      <c r="A40" s="7" t="s">
        <v>80</v>
      </c>
      <c r="B40" s="7" t="s">
        <v>83</v>
      </c>
      <c r="C40" s="7" t="s">
        <v>84</v>
      </c>
      <c r="D40" s="8">
        <v>19970</v>
      </c>
      <c r="E40" s="8">
        <v>20094.13</v>
      </c>
      <c r="F40" s="9">
        <f t="shared" si="0"/>
        <v>19970</v>
      </c>
      <c r="G40" s="9">
        <f t="shared" si="1"/>
        <v>19970</v>
      </c>
      <c r="H40" s="10">
        <f t="shared" si="2"/>
        <v>29.289333333333332</v>
      </c>
      <c r="I40" s="10">
        <f t="shared" si="3"/>
        <v>29.289333333333332</v>
      </c>
      <c r="J40" s="10">
        <f t="shared" si="4"/>
        <v>0</v>
      </c>
      <c r="K40" s="11">
        <f t="shared" si="5"/>
        <v>0</v>
      </c>
    </row>
    <row r="41" spans="1:11" x14ac:dyDescent="0.2">
      <c r="A41" s="7" t="s">
        <v>80</v>
      </c>
      <c r="B41" s="7" t="s">
        <v>85</v>
      </c>
      <c r="C41" s="7" t="s">
        <v>86</v>
      </c>
      <c r="D41" s="8">
        <v>20480</v>
      </c>
      <c r="E41" s="8">
        <v>20484.21</v>
      </c>
      <c r="F41" s="9">
        <f t="shared" si="0"/>
        <v>20480</v>
      </c>
      <c r="G41" s="9">
        <f t="shared" si="1"/>
        <v>20480</v>
      </c>
      <c r="H41" s="10">
        <f t="shared" si="2"/>
        <v>30.037333333333333</v>
      </c>
      <c r="I41" s="10">
        <f t="shared" si="3"/>
        <v>30.037333333333333</v>
      </c>
      <c r="J41" s="10">
        <f t="shared" si="4"/>
        <v>0</v>
      </c>
      <c r="K41" s="11">
        <f t="shared" si="5"/>
        <v>0</v>
      </c>
    </row>
    <row r="42" spans="1:11" x14ac:dyDescent="0.2">
      <c r="A42" s="7" t="s">
        <v>80</v>
      </c>
      <c r="B42" s="7" t="s">
        <v>87</v>
      </c>
      <c r="C42" s="7" t="s">
        <v>88</v>
      </c>
      <c r="D42" s="8">
        <v>19520</v>
      </c>
      <c r="E42" s="8">
        <v>19577.03</v>
      </c>
      <c r="F42" s="9">
        <f t="shared" si="0"/>
        <v>19520</v>
      </c>
      <c r="G42" s="9">
        <f t="shared" si="1"/>
        <v>19520</v>
      </c>
      <c r="H42" s="10">
        <f t="shared" si="2"/>
        <v>28.629333333333332</v>
      </c>
      <c r="I42" s="10">
        <f t="shared" si="3"/>
        <v>28.629333333333332</v>
      </c>
      <c r="J42" s="10">
        <f t="shared" si="4"/>
        <v>0</v>
      </c>
      <c r="K42" s="11">
        <f t="shared" si="5"/>
        <v>0</v>
      </c>
    </row>
    <row r="43" spans="1:11" x14ac:dyDescent="0.2">
      <c r="A43" s="7" t="s">
        <v>89</v>
      </c>
      <c r="B43" s="7" t="s">
        <v>90</v>
      </c>
      <c r="C43" s="7" t="s">
        <v>91</v>
      </c>
      <c r="D43" s="8">
        <v>19990</v>
      </c>
      <c r="E43" s="8">
        <v>19994.34</v>
      </c>
      <c r="F43" s="9">
        <f t="shared" si="0"/>
        <v>19990</v>
      </c>
      <c r="G43" s="9">
        <f t="shared" si="1"/>
        <v>19990</v>
      </c>
      <c r="H43" s="10">
        <f t="shared" si="2"/>
        <v>29.318666666666665</v>
      </c>
      <c r="I43" s="10">
        <f t="shared" si="3"/>
        <v>29.318666666666665</v>
      </c>
      <c r="J43" s="10">
        <f t="shared" si="4"/>
        <v>0</v>
      </c>
      <c r="K43" s="11">
        <f t="shared" si="5"/>
        <v>0</v>
      </c>
    </row>
    <row r="44" spans="1:11" x14ac:dyDescent="0.2">
      <c r="A44" s="7" t="s">
        <v>89</v>
      </c>
      <c r="B44" s="7" t="s">
        <v>92</v>
      </c>
      <c r="C44" s="7" t="s">
        <v>93</v>
      </c>
      <c r="D44" s="8">
        <v>19880</v>
      </c>
      <c r="E44" s="8">
        <v>19976.189999999999</v>
      </c>
      <c r="F44" s="9">
        <f t="shared" si="0"/>
        <v>19880</v>
      </c>
      <c r="G44" s="9">
        <f t="shared" si="1"/>
        <v>19880</v>
      </c>
      <c r="H44" s="10">
        <f t="shared" si="2"/>
        <v>29.157333333333334</v>
      </c>
      <c r="I44" s="10">
        <f t="shared" si="3"/>
        <v>29.157333333333334</v>
      </c>
      <c r="J44" s="10">
        <f t="shared" si="4"/>
        <v>0</v>
      </c>
      <c r="K44" s="11">
        <f t="shared" si="5"/>
        <v>0</v>
      </c>
    </row>
    <row r="45" spans="1:11" x14ac:dyDescent="0.2">
      <c r="A45" s="7" t="s">
        <v>89</v>
      </c>
      <c r="B45" s="7" t="s">
        <v>94</v>
      </c>
      <c r="C45" s="7" t="s">
        <v>95</v>
      </c>
      <c r="D45" s="8">
        <v>19370</v>
      </c>
      <c r="E45" s="8">
        <v>19377.45</v>
      </c>
      <c r="F45" s="9">
        <f t="shared" si="0"/>
        <v>19370</v>
      </c>
      <c r="G45" s="9">
        <f t="shared" si="1"/>
        <v>19370</v>
      </c>
      <c r="H45" s="10">
        <f t="shared" si="2"/>
        <v>28.409333333333333</v>
      </c>
      <c r="I45" s="10">
        <f t="shared" si="3"/>
        <v>28.409333333333333</v>
      </c>
      <c r="J45" s="10">
        <f t="shared" si="4"/>
        <v>0</v>
      </c>
      <c r="K45" s="11">
        <f t="shared" si="5"/>
        <v>0</v>
      </c>
    </row>
    <row r="46" spans="1:11" x14ac:dyDescent="0.2">
      <c r="A46" s="7" t="s">
        <v>96</v>
      </c>
      <c r="B46" s="7" t="s">
        <v>97</v>
      </c>
      <c r="C46" s="7" t="s">
        <v>98</v>
      </c>
      <c r="D46" s="8">
        <v>18410</v>
      </c>
      <c r="E46" s="8">
        <v>18461.189999999999</v>
      </c>
      <c r="F46" s="9">
        <f t="shared" si="0"/>
        <v>18410</v>
      </c>
      <c r="G46" s="9">
        <f t="shared" si="1"/>
        <v>18410</v>
      </c>
      <c r="H46" s="10">
        <f t="shared" si="2"/>
        <v>27.001333333333331</v>
      </c>
      <c r="I46" s="10">
        <f t="shared" si="3"/>
        <v>27.001333333333331</v>
      </c>
      <c r="J46" s="10">
        <f t="shared" si="4"/>
        <v>0</v>
      </c>
      <c r="K46" s="11">
        <f t="shared" si="5"/>
        <v>0</v>
      </c>
    </row>
    <row r="47" spans="1:11" x14ac:dyDescent="0.2">
      <c r="A47" s="7" t="s">
        <v>96</v>
      </c>
      <c r="B47" s="7" t="s">
        <v>99</v>
      </c>
      <c r="C47" s="7" t="s">
        <v>100</v>
      </c>
      <c r="D47" s="8">
        <v>19800</v>
      </c>
      <c r="E47" s="8">
        <v>19876.400000000001</v>
      </c>
      <c r="F47" s="9">
        <f t="shared" si="0"/>
        <v>19800</v>
      </c>
      <c r="G47" s="9">
        <f t="shared" si="1"/>
        <v>19800</v>
      </c>
      <c r="H47" s="10">
        <f t="shared" si="2"/>
        <v>29.04</v>
      </c>
      <c r="I47" s="10">
        <f t="shared" si="3"/>
        <v>29.04</v>
      </c>
      <c r="J47" s="10">
        <f t="shared" si="4"/>
        <v>0</v>
      </c>
      <c r="K47" s="11">
        <f t="shared" si="5"/>
        <v>0</v>
      </c>
    </row>
    <row r="48" spans="1:11" x14ac:dyDescent="0.2">
      <c r="A48" s="7" t="s">
        <v>89</v>
      </c>
      <c r="B48" s="7" t="s">
        <v>101</v>
      </c>
      <c r="C48" s="7" t="s">
        <v>102</v>
      </c>
      <c r="D48" s="8">
        <v>19760</v>
      </c>
      <c r="E48" s="8">
        <v>19840.11</v>
      </c>
      <c r="F48" s="9">
        <f t="shared" si="0"/>
        <v>19760</v>
      </c>
      <c r="G48" s="9">
        <f t="shared" si="1"/>
        <v>19760</v>
      </c>
      <c r="H48" s="10">
        <f t="shared" si="2"/>
        <v>28.981333333333332</v>
      </c>
      <c r="I48" s="10">
        <f t="shared" si="3"/>
        <v>28.981333333333332</v>
      </c>
      <c r="J48" s="10">
        <f t="shared" si="4"/>
        <v>0</v>
      </c>
      <c r="K48" s="11">
        <f t="shared" si="5"/>
        <v>0</v>
      </c>
    </row>
    <row r="49" spans="1:11" x14ac:dyDescent="0.2">
      <c r="A49" s="7" t="s">
        <v>96</v>
      </c>
      <c r="B49" s="7" t="s">
        <v>103</v>
      </c>
      <c r="C49" s="7" t="s">
        <v>104</v>
      </c>
      <c r="D49" s="8">
        <v>20110</v>
      </c>
      <c r="E49" s="8">
        <v>20148.560000000001</v>
      </c>
      <c r="F49" s="9">
        <f t="shared" si="0"/>
        <v>20110</v>
      </c>
      <c r="G49" s="9">
        <f t="shared" si="1"/>
        <v>20110</v>
      </c>
      <c r="H49" s="10">
        <f t="shared" si="2"/>
        <v>29.494666666666664</v>
      </c>
      <c r="I49" s="10">
        <f t="shared" si="3"/>
        <v>29.494666666666664</v>
      </c>
      <c r="J49" s="10">
        <f t="shared" si="4"/>
        <v>0</v>
      </c>
      <c r="K49" s="11">
        <f t="shared" si="5"/>
        <v>0</v>
      </c>
    </row>
    <row r="50" spans="1:11" x14ac:dyDescent="0.2">
      <c r="A50" s="7" t="s">
        <v>105</v>
      </c>
      <c r="B50" s="7" t="s">
        <v>106</v>
      </c>
      <c r="C50" s="7" t="s">
        <v>107</v>
      </c>
      <c r="D50" s="8">
        <v>19800</v>
      </c>
      <c r="E50" s="8">
        <v>19867.330000000002</v>
      </c>
      <c r="F50" s="9">
        <f t="shared" si="0"/>
        <v>19800</v>
      </c>
      <c r="G50" s="9">
        <f t="shared" si="1"/>
        <v>19800</v>
      </c>
      <c r="H50" s="10">
        <f t="shared" si="2"/>
        <v>29.04</v>
      </c>
      <c r="I50" s="10">
        <f t="shared" si="3"/>
        <v>29.04</v>
      </c>
      <c r="J50" s="10">
        <f t="shared" si="4"/>
        <v>0</v>
      </c>
      <c r="K50" s="11">
        <f t="shared" si="5"/>
        <v>0</v>
      </c>
    </row>
    <row r="51" spans="1:11" x14ac:dyDescent="0.2">
      <c r="A51" s="7"/>
      <c r="B51" s="7" t="s">
        <v>108</v>
      </c>
      <c r="C51" s="7" t="s">
        <v>109</v>
      </c>
      <c r="D51" s="8">
        <v>19190</v>
      </c>
      <c r="E51" s="8">
        <v>19214.16</v>
      </c>
      <c r="F51" s="9">
        <f t="shared" si="0"/>
        <v>19190</v>
      </c>
      <c r="G51" s="9">
        <f t="shared" si="1"/>
        <v>19190</v>
      </c>
      <c r="H51" s="10">
        <f t="shared" si="2"/>
        <v>28.145333333333333</v>
      </c>
      <c r="I51" s="10">
        <f t="shared" si="3"/>
        <v>28.145333333333333</v>
      </c>
      <c r="J51" s="10">
        <f t="shared" si="4"/>
        <v>0</v>
      </c>
      <c r="K51" s="11">
        <f t="shared" si="5"/>
        <v>0</v>
      </c>
    </row>
    <row r="52" spans="1:11" x14ac:dyDescent="0.2">
      <c r="A52" s="7" t="s">
        <v>105</v>
      </c>
      <c r="B52" s="7" t="s">
        <v>110</v>
      </c>
      <c r="C52" s="7" t="s">
        <v>111</v>
      </c>
      <c r="D52" s="8">
        <v>19760</v>
      </c>
      <c r="E52" s="8">
        <v>19785.68</v>
      </c>
      <c r="F52" s="9">
        <f t="shared" si="0"/>
        <v>19760</v>
      </c>
      <c r="G52" s="9">
        <f t="shared" si="1"/>
        <v>19760</v>
      </c>
      <c r="H52" s="10">
        <f t="shared" si="2"/>
        <v>28.981333333333332</v>
      </c>
      <c r="I52" s="10">
        <f t="shared" si="3"/>
        <v>28.981333333333332</v>
      </c>
      <c r="J52" s="10">
        <f t="shared" si="4"/>
        <v>0</v>
      </c>
      <c r="K52" s="11">
        <f t="shared" si="5"/>
        <v>0</v>
      </c>
    </row>
    <row r="53" spans="1:11" x14ac:dyDescent="0.2">
      <c r="A53" s="7" t="s">
        <v>105</v>
      </c>
      <c r="B53" s="7" t="s">
        <v>112</v>
      </c>
      <c r="C53" s="7" t="s">
        <v>113</v>
      </c>
      <c r="D53" s="8">
        <v>19660</v>
      </c>
      <c r="E53" s="8">
        <v>19577.03</v>
      </c>
      <c r="F53" s="9">
        <f t="shared" si="0"/>
        <v>19577.03</v>
      </c>
      <c r="G53" s="9">
        <f t="shared" si="1"/>
        <v>19660</v>
      </c>
      <c r="H53" s="10">
        <f t="shared" si="2"/>
        <v>28.712977333333331</v>
      </c>
      <c r="I53" s="10">
        <f t="shared" si="3"/>
        <v>28.834666666666664</v>
      </c>
      <c r="J53" s="10">
        <f t="shared" si="4"/>
        <v>0.12168933333333243</v>
      </c>
      <c r="K53" s="11">
        <f t="shared" si="5"/>
        <v>0.42381300942992572</v>
      </c>
    </row>
    <row r="54" spans="1:11" x14ac:dyDescent="0.2">
      <c r="A54" s="7" t="s">
        <v>105</v>
      </c>
      <c r="B54" s="7" t="s">
        <v>114</v>
      </c>
      <c r="C54" s="7" t="s">
        <v>115</v>
      </c>
      <c r="D54" s="8">
        <v>20180</v>
      </c>
      <c r="E54" s="8">
        <v>20039.689999999999</v>
      </c>
      <c r="F54" s="9">
        <f t="shared" si="0"/>
        <v>20039.689999999999</v>
      </c>
      <c r="G54" s="9">
        <f t="shared" si="1"/>
        <v>20180</v>
      </c>
      <c r="H54" s="10">
        <f t="shared" si="2"/>
        <v>29.391545333333333</v>
      </c>
      <c r="I54" s="10">
        <f t="shared" si="3"/>
        <v>29.597333333333331</v>
      </c>
      <c r="J54" s="10">
        <f t="shared" si="4"/>
        <v>0.20578799999999831</v>
      </c>
      <c r="K54" s="11">
        <f t="shared" si="5"/>
        <v>0.70016053142538059</v>
      </c>
    </row>
    <row r="55" spans="1:11" x14ac:dyDescent="0.2">
      <c r="A55" s="7" t="s">
        <v>105</v>
      </c>
      <c r="B55" s="7" t="s">
        <v>116</v>
      </c>
      <c r="C55" s="7" t="s">
        <v>117</v>
      </c>
      <c r="D55" s="8">
        <v>19980</v>
      </c>
      <c r="E55" s="8">
        <v>19939.900000000001</v>
      </c>
      <c r="F55" s="9">
        <f t="shared" si="0"/>
        <v>19939.900000000001</v>
      </c>
      <c r="G55" s="9">
        <f t="shared" si="1"/>
        <v>19980</v>
      </c>
      <c r="H55" s="10">
        <f t="shared" si="2"/>
        <v>29.245186666666669</v>
      </c>
      <c r="I55" s="10">
        <f t="shared" si="3"/>
        <v>29.303999999999998</v>
      </c>
      <c r="J55" s="10">
        <f t="shared" si="4"/>
        <v>5.8813333333329609E-2</v>
      </c>
      <c r="K55" s="11">
        <f t="shared" si="5"/>
        <v>0.20110431847701069</v>
      </c>
    </row>
    <row r="56" spans="1:11" x14ac:dyDescent="0.2">
      <c r="A56" s="7" t="s">
        <v>118</v>
      </c>
      <c r="B56" s="7" t="s">
        <v>119</v>
      </c>
      <c r="C56" s="7" t="s">
        <v>120</v>
      </c>
      <c r="D56" s="8">
        <v>19690</v>
      </c>
      <c r="E56" s="8">
        <v>19767.54</v>
      </c>
      <c r="F56" s="9">
        <f t="shared" si="0"/>
        <v>19690</v>
      </c>
      <c r="G56" s="9">
        <f t="shared" si="1"/>
        <v>19690</v>
      </c>
      <c r="H56" s="10">
        <f t="shared" si="2"/>
        <v>28.878666666666664</v>
      </c>
      <c r="I56" s="10">
        <f t="shared" si="3"/>
        <v>28.878666666666664</v>
      </c>
      <c r="J56" s="10">
        <f t="shared" si="4"/>
        <v>0</v>
      </c>
      <c r="K56" s="11">
        <f t="shared" si="5"/>
        <v>0</v>
      </c>
    </row>
    <row r="57" spans="1:11" x14ac:dyDescent="0.2">
      <c r="A57" s="7" t="s">
        <v>118</v>
      </c>
      <c r="B57" s="7" t="s">
        <v>121</v>
      </c>
      <c r="C57" s="7" t="s">
        <v>122</v>
      </c>
      <c r="D57" s="8">
        <v>20510</v>
      </c>
      <c r="E57" s="8">
        <v>20511.43</v>
      </c>
      <c r="F57" s="9">
        <f t="shared" si="0"/>
        <v>20510</v>
      </c>
      <c r="G57" s="9">
        <f t="shared" si="1"/>
        <v>20510</v>
      </c>
      <c r="H57" s="10">
        <f t="shared" si="2"/>
        <v>30.081333333333333</v>
      </c>
      <c r="I57" s="10">
        <f t="shared" si="3"/>
        <v>30.081333333333333</v>
      </c>
      <c r="J57" s="10">
        <f t="shared" si="4"/>
        <v>0</v>
      </c>
      <c r="K57" s="11">
        <f t="shared" si="5"/>
        <v>0</v>
      </c>
    </row>
    <row r="58" spans="1:11" x14ac:dyDescent="0.2">
      <c r="A58" s="7" t="s">
        <v>118</v>
      </c>
      <c r="B58" s="7" t="s">
        <v>123</v>
      </c>
      <c r="C58" s="7" t="s">
        <v>124</v>
      </c>
      <c r="D58" s="8">
        <v>19750</v>
      </c>
      <c r="E58" s="8">
        <v>19731.25</v>
      </c>
      <c r="F58" s="9">
        <f t="shared" si="0"/>
        <v>19731.25</v>
      </c>
      <c r="G58" s="9">
        <f t="shared" si="1"/>
        <v>19750</v>
      </c>
      <c r="H58" s="10">
        <f t="shared" si="2"/>
        <v>28.939166666666665</v>
      </c>
      <c r="I58" s="10">
        <f t="shared" si="3"/>
        <v>28.966666666666665</v>
      </c>
      <c r="J58" s="10">
        <f t="shared" si="4"/>
        <v>2.7499999999999858E-2</v>
      </c>
      <c r="K58" s="11">
        <f t="shared" si="5"/>
        <v>9.5026924295216489E-2</v>
      </c>
    </row>
    <row r="60" spans="1:11" x14ac:dyDescent="0.2">
      <c r="A60" s="20" t="s">
        <v>125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</row>
    <row r="61" spans="1:11" x14ac:dyDescent="0.2">
      <c r="A61" s="12" t="s">
        <v>126</v>
      </c>
      <c r="B61" s="13">
        <f>SUM(F17:F58)</f>
        <v>828703.53999999992</v>
      </c>
    </row>
    <row r="62" spans="1:11" x14ac:dyDescent="0.2">
      <c r="A62" s="12" t="s">
        <v>127</v>
      </c>
      <c r="B62" s="13">
        <f>SUM(G17:G58)</f>
        <v>829850</v>
      </c>
    </row>
    <row r="63" spans="1:11" x14ac:dyDescent="0.2">
      <c r="A63" s="12" t="s">
        <v>128</v>
      </c>
      <c r="B63" s="13">
        <f>B62-B61</f>
        <v>1146.4600000000792</v>
      </c>
    </row>
    <row r="64" spans="1:11" x14ac:dyDescent="0.2">
      <c r="A64" s="12" t="s">
        <v>129</v>
      </c>
      <c r="B64" s="14">
        <f>(B62-B61)/B61*100</f>
        <v>0.13834380386502021</v>
      </c>
    </row>
    <row r="65" spans="1:11" x14ac:dyDescent="0.2">
      <c r="A65" s="12" t="s">
        <v>130</v>
      </c>
      <c r="B65" s="15">
        <f>SUM(H17:H58)</f>
        <v>1215.4318586666668</v>
      </c>
    </row>
    <row r="66" spans="1:11" x14ac:dyDescent="0.2">
      <c r="A66" s="12" t="s">
        <v>131</v>
      </c>
      <c r="B66" s="15">
        <f>SUM(I17:I58)</f>
        <v>1217.1133333333332</v>
      </c>
      <c r="D66" s="22"/>
    </row>
    <row r="67" spans="1:11" x14ac:dyDescent="0.2">
      <c r="A67" s="12" t="s">
        <v>132</v>
      </c>
      <c r="B67" s="15">
        <f>B66-B65</f>
        <v>1.6814746666664178</v>
      </c>
    </row>
    <row r="68" spans="1:11" x14ac:dyDescent="0.2">
      <c r="A68" s="12" t="s">
        <v>133</v>
      </c>
      <c r="B68" s="14">
        <f>(B66-B65)/B65*100</f>
        <v>0.13834380386499015</v>
      </c>
    </row>
    <row r="70" spans="1:11" x14ac:dyDescent="0.2">
      <c r="A70" s="20" t="s">
        <v>134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</row>
    <row r="71" spans="1:11" x14ac:dyDescent="0.2">
      <c r="A71" s="12" t="s">
        <v>135</v>
      </c>
      <c r="B71" s="14">
        <f>B68</f>
        <v>0.13834380386499015</v>
      </c>
    </row>
    <row r="72" spans="1:11" x14ac:dyDescent="0.2">
      <c r="A72" s="12" t="s">
        <v>136</v>
      </c>
      <c r="B72" s="16" t="str">
        <f>IF(ABS(B71)&lt;$B$7,"YES — Below 1% threshold","NO — Exceeds threshold")</f>
        <v>YES — Below 1% threshold</v>
      </c>
    </row>
  </sheetData>
  <mergeCells count="11">
    <mergeCell ref="A1:K1"/>
    <mergeCell ref="A9:K9"/>
    <mergeCell ref="B14:F14"/>
    <mergeCell ref="A70:K70"/>
    <mergeCell ref="B13:F13"/>
    <mergeCell ref="A4:K4"/>
    <mergeCell ref="A2:K2"/>
    <mergeCell ref="B12:F12"/>
    <mergeCell ref="A60:K60"/>
    <mergeCell ref="B10:F10"/>
    <mergeCell ref="B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Bernard Lavine</cp:lastModifiedBy>
  <dcterms:created xsi:type="dcterms:W3CDTF">2026-05-08T18:39:42Z</dcterms:created>
  <dcterms:modified xsi:type="dcterms:W3CDTF">2026-05-08T21:36:32Z</dcterms:modified>
</cp:coreProperties>
</file>