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Embodied Emissions Model"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<sst xmlns="http://schemas.openxmlformats.org/spreadsheetml/2006/main" count="465" uniqueCount="362">
  <si>
    <t xml:space="preserve">DOT-111 Tank Car — Cradle-to-Grave Embodied Emissions</t>
  </si>
  <si>
    <t xml:space="preserve">Materials-Based Quantification V16 (replacing cost-based EEIO)</t>
  </si>
  <si>
    <t xml:space="preserve">Charm Industrial — MRV Team | April 2026</t>
  </si>
  <si>
    <t xml:space="preserve">Blue = source-backed  |  Red = estimate  |  Purple = GREET2 ref  |  Amber = component input</t>
  </si>
  <si>
    <t xml:space="preserve">1. DOT-111 PHYSICAL SPECIFICATIONS</t>
  </si>
  <si>
    <t xml:space="preserve">Parameter</t>
  </si>
  <si>
    <t xml:space="preserve">Value</t>
  </si>
  <si>
    <t xml:space="preserve">Unit</t>
  </si>
  <si>
    <t xml:space="preserve">Source / Reference</t>
  </si>
  <si>
    <t xml:space="preserve">Verified?</t>
  </si>
  <si>
    <t xml:space="preserve">URL</t>
  </si>
  <si>
    <t xml:space="preserve">Tare weight (light weight)</t>
  </si>
  <si>
    <t xml:space="preserve">kg (86,350 lbs)</t>
  </si>
  <si>
    <t xml:space="preserve">GBRX spec sheet (Jan 2021): 29,000-gal DOT 111A100W1, C&amp;I. Quote: "Light weight: 86,350 lbs." Conversion: 86350/2.20462 = 39168 kg.</t>
  </si>
  <si>
    <t xml:space="preserve">YES</t>
  </si>
  <si>
    <t xml:space="preserve">https://www.gbrx.com/wp-content/uploads/2021/06/29000-Gallon-DOT-111-Tank-Car.pdf</t>
  </si>
  <si>
    <t xml:space="preserve">Configuration</t>
  </si>
  <si>
    <t xml:space="preserve">Coiled &amp; insulated (C&amp;I)</t>
  </si>
  <si>
    <t xml:space="preserve">GBRX spec sheet. Quote: "coiled and insulated tank car...DOT 111A100W1 specification."</t>
  </si>
  <si>
    <t xml:space="preserve">Shell material</t>
  </si>
  <si>
    <t xml:space="preserve">ASTM A516 Gr 70 carbon steel</t>
  </si>
  <si>
    <t xml:space="preserve">49 CFR 179.200-7: permits carbon steel. A516 Gr 70 is industry standard, not regulatory mandate.</t>
  </si>
  <si>
    <t xml:space="preserve">PARTIAL</t>
  </si>
  <si>
    <t xml:space="preserve">https://www.ecfr.gov/current/title-49/part-179/subpart-D</t>
  </si>
  <si>
    <t xml:space="preserve">Min shell thickness</t>
  </si>
  <si>
    <t xml:space="preserve">mm (7/16 in)</t>
  </si>
  <si>
    <t xml:space="preserve">49 CFR 179.201-1: "not less than 7/16 inch."</t>
  </si>
  <si>
    <t xml:space="preserve">Useful service life</t>
  </si>
  <si>
    <t xml:space="preserve">years</t>
  </si>
  <si>
    <t xml:space="preserve">AAR Interchange Rule 88 / OT-24: 50-year condemning limit.</t>
  </si>
  <si>
    <t xml:space="preserve">https://public.railinc.com/sites/default/files/documents/OT-24.pdf</t>
  </si>
  <si>
    <t xml:space="preserve">2A. COMPONENT UNIT WEIGHTS &amp; GEOMETRY INPUTS</t>
  </si>
  <si>
    <t xml:space="preserve">Input Parameter</t>
  </si>
  <si>
    <t xml:space="preserve">Raw Value</t>
  </si>
  <si>
    <t xml:space="preserve">Raw Unit</t>
  </si>
  <si>
    <t xml:space="preserve">Converted (kg)</t>
  </si>
  <si>
    <t xml:space="preserve">Source</t>
  </si>
  <si>
    <t xml:space="preserve">Number of trucks</t>
  </si>
  <si>
    <t xml:space="preserve">Standard 2-truck freight car. GBRX spec shows truck centers dimension, confirming 2-truck configuration. See also Wikipedia "DOT-111 tank car."</t>
  </si>
  <si>
    <t xml:space="preserve">https://en.wikipedia.org/wiki/DOT-111_tank_car</t>
  </si>
  <si>
    <t xml:space="preserve">Number of axles (= trucks x 2)</t>
  </si>
  <si>
    <t xml:space="preserve">DERIVED. =B16*2. 2 axles per truck is universal for standard North American freight trucks.</t>
  </si>
  <si>
    <t xml:space="preserve">Number of wheels (= axles x 2)</t>
  </si>
  <si>
    <t xml:space="preserve">DERIVED. =B17*2. 2 wheels per axle.</t>
  </si>
  <si>
    <t xml:space="preserve">Wheel unit weight (36" freight, new) (est.)</t>
  </si>
  <si>
    <t xml:space="preserve">lbs</t>
  </si>
  <si>
    <t xml:space="preserve">ESTIMATE. No authoritative public source found. 900 lbs (~408 kg) is a widely cited value for new 36-inch one-wear freight car wheels in 286K GRL service. AAR M-107/M-208 specifies wheel designs and dimensions but is not publicly available. Standard Steel (major US manufacturer) publishes load capacity (35,750 lbs/wheel at 286K per Lonsdale et al. 2001) but not wheel mass. 900 lbs is an unsourced engineering estimate.</t>
  </si>
  <si>
    <t xml:space="preserve">Complete truck assembly per truck (est.)</t>
  </si>
  <si>
    <t xml:space="preserve">ESTIMATE. No authoritative public source found. 10,000 lbs (~4,536 kg) per complete 100-ton truck assembly (including wheelsets, bearings, springs, friction shoes, brake beams). AAR S-286 specifies approved truck types for 286K GRL service but is not publicly available. Amsted Rail and ASF-Keystone publish product lines but not assembly weights. 10,000 lbs is an unsourced engineering estimate.</t>
  </si>
  <si>
    <t xml:space="preserve">Wheelset weight (est.)</t>
  </si>
  <si>
    <t xml:space="preserve">ESTIMATE. No authoritative public source found. 2,300 lbs (~1,043 kg) per wheelset (2 wheels + 1 axle) for 36-inch one-wear wheels in 286K GRL service. AAR MSRP Section G covers wheels and axles but is not publicly available. 2,300 lbs is an unsourced engineering estimate.</t>
  </si>
  <si>
    <t xml:space="preserve">Axle unit weight (derived: wheelset − 2 wheels)</t>
  </si>
  <si>
    <t xml:space="preserve">DERIVED from estimates. =B21-2*B19. Wheelset (2,300 lbs, est.) minus 2 wheels (2 x 900 lbs, est.) = 500 lbs (~227 kg). Note: both parent values are unsourced estimates; axle weight inherits that uncertainty.</t>
  </si>
  <si>
    <t xml:space="preserve">Truck frame/bolster/springs/bearings per truck</t>
  </si>
  <si>
    <t xml:space="preserve">DERIVED from estimates. =B20-2*B21. Total truck (10,000 lbs, est.) minus 2 wheelsets (2 x 2,300 lbs, est.) = 5,400 lbs (~2,449 kg). Both parent values are unsourced estimates. The result is consistent with known cast steel components (2 sideframes + 1 bolster typically ~3,000-3,500 lbs) plus springs, bearings, and brake beams.</t>
  </si>
  <si>
    <t xml:space="preserve">Coupler body weight (AAR Type E) (est.)</t>
  </si>
  <si>
    <t xml:space="preserve">kg</t>
  </si>
  <si>
    <t xml:space="preserve">ESTIMATE. No authoritative public source found. 200 kg (~441 lbs) for an AAR Type E bottom-shelf coupler body (cast steel). AAR MSRP Section S specifies coupler designs but is not publicly available. 200 kg is an unsourced engineering estimate.</t>
  </si>
  <si>
    <t xml:space="preserve">Draft gear weight (Wabtec Mark 50)</t>
  </si>
  <si>
    <t xml:space="preserve">Wabtec Mark 50 product spec: "Weight = 386 lbs."</t>
  </si>
  <si>
    <t xml:space="preserve">https://www.wabteccorp.com/freight-car/end-of-car-systems/draft-gears/mark-50</t>
  </si>
  <si>
    <t xml:space="preserve">Tank outer diameter (GBRX)</t>
  </si>
  <si>
    <t xml:space="preserve">m</t>
  </si>
  <si>
    <t xml:space="preserve">GBRX spec: "Tank, outside diameter: 9'-10 3/4"" = 118.75 in x 0.0254 = 3.016 m.</t>
  </si>
  <si>
    <t xml:space="preserve">Tank outside length (GBRX)</t>
  </si>
  <si>
    <t xml:space="preserve">GBRX spec: "Tank, outside length: 53'-4 7/8"" = 640.875 in x 0.0254 = 16.278 m. This is the tank vessel length (head-to-head), not overall car length (59'-3 1/2" over pulling faces).</t>
  </si>
  <si>
    <t xml:space="preserve">Shell thickness (49 CFR min)</t>
  </si>
  <si>
    <t xml:space="preserve">49 CFR 179.201-1: "not less than 7/16 inch." 7/16 = 0.4375 in = 11.11 mm = 0.0111 m.</t>
  </si>
  <si>
    <t xml:space="preserve">Steel density (A516 Gr 70)</t>
  </si>
  <si>
    <t xml:space="preserve">kg/m³</t>
  </si>
  <si>
    <t xml:space="preserve">eFunda: ASTM A516 Gr 70 density range 7,700–8,030 kg/m³ (UNS K02700). 7,850 is the standard nominal value for carbon steel plate.</t>
  </si>
  <si>
    <t xml:space="preserve">https://www.efunda.com/materials/alloys/carbon_steels/show_carbon.cfm?ID=ASTM_A516_Grade70&amp;show_prop=all&amp;Page_Title=ASTM+A516+Grade+70</t>
  </si>
  <si>
    <t xml:space="preserve">Insulation thickness (est.)</t>
  </si>
  <si>
    <t xml:space="preserve">ENGINEERING ESTIMATE. 70 mm (2.75 in). Mineral wool pipe/tank insulation commercially available in 1–4 in thicknesses (JM MinWool-1200, Distribution International catalogs). 2.75 in is mid-range. No public specification for DOT-111 insulation thickness identified. 49 CFR 179.200-4 sets thermal conductance limit (0.225 Btu/hr/ft²/°F) but not a thickness.</t>
  </si>
  <si>
    <t xml:space="preserve">https://shop.distributioninternational.com/insulation/mineral-wool/mineral-wool-pipe-and-tank/mwpt303620ff</t>
  </si>
  <si>
    <t xml:space="preserve">Jacket outer diameter (= tank OD + 2 x insul.)</t>
  </si>
  <si>
    <t xml:space="preserve">DERIVED. =B26+2*B30. Tank OD + 2 x insulation thickness.</t>
  </si>
  <si>
    <t xml:space="preserve">Jacket thickness (49 CFR minimum)</t>
  </si>
  <si>
    <t xml:space="preserve">49 CFR 179.200-4: jacket "not less than 11 gauge (0.1196 inch) nominal." 11 gauge = 0.1196 in x 25.4 = 3.038 mm = 0.00304 m (Manufacturers' Standard Gauge). V15 incorrectly used 14 gauge (0.0019 m).</t>
  </si>
  <si>
    <t xml:space="preserve">https://www.govregs.com/regulations/expand/title49_chapterI-i1_part179_subpartD_section179.200-4</t>
  </si>
  <si>
    <t xml:space="preserve">Stub-sill underframe fraction of tare (est.)</t>
  </si>
  <si>
    <t xml:space="preserve">(fraction)</t>
  </si>
  <si>
    <t xml:space="preserve">ESTIMATE. Tank is structural member per 49 CFR 179.200-9 (stub-sill design). No public weight breakdown for tank car stub sills identified. Full underframes for boxcars = 8–12% of tare (no single public source; this range appears in railroad engineering references). Stub-sill carries ~half those loads since the tank shell itself transmits longitudinal forces. 4% = half of 8% (lower bound). Direction: likely conservative (overstates underframe).</t>
  </si>
  <si>
    <t xml:space="preserve">https://railroads.dot.gov/sites/fra.dot.gov/files/fra_net/16289/1989_STUB%20SKILLS%20ON%20TANK%20CARS.PDF</t>
  </si>
  <si>
    <t xml:space="preserve">AB control valve weight (est.)</t>
  </si>
  <si>
    <t xml:space="preserve">ESTIMATE. No public weight spec for ABDW valve found. SDRM.info states AB-type control valve system pieces weigh "about 65 pounds" each; the service portion (one of three pieces) is ~30 kg. Manufacturer (Wabtec) specs are not publicly listed.</t>
  </si>
  <si>
    <t xml:space="preserve">http://www.sdrm.info/faqs/brakes/history/</t>
  </si>
  <si>
    <t xml:space="preserve">Brake cylinder count</t>
  </si>
  <si>
    <t xml:space="preserve">ESTIMATE. 1 cylinder per truck side x 2 sides x 2 trucks = 4. Wabtec truck-mounted brake product line uses this configuration (see URL). No public document found specifying exact count for DOT-111; 4 is an unsourced engineering estimate based on standard truck-mounted brake architecture.</t>
  </si>
  <si>
    <t xml:space="preserve">https://www.wabteccorp.com/freight-car/braking-systems/truck-mounted-brake-systems</t>
  </si>
  <si>
    <t xml:space="preserve">Brake cylinder unit weight (est.)</t>
  </si>
  <si>
    <t xml:space="preserve">ESTIMATE. No public weight spec found for Wabtec 10-inch brake cylinders. 50 kg (~110 lbs) is an unsourced engineering estimate for a truck-mounted cast iron cylinder body with push rod assembly.</t>
  </si>
  <si>
    <t xml:space="preserve">Brake cylinders total (= count x unit wt)</t>
  </si>
  <si>
    <t xml:space="preserve">DERIVED. =B35*B36.</t>
  </si>
  <si>
    <t xml:space="preserve">Air reservoir weight (est.)</t>
  </si>
  <si>
    <t xml:space="preserve">ESTIMATE. No public weight spec found. Auxiliary reservoir for ABDW brake system. 40 kg (~88 lbs) is an unsourced engineering estimate.</t>
  </si>
  <si>
    <t xml:space="preserve">Brake piping + hoses (est.)</t>
  </si>
  <si>
    <t xml:space="preserve">ESTIMATE. No public weight spec found. Brake pipe, branch pipes, angle cocks, hoses, fittings. 50 kg (~110 lbs) is an unsourced engineering estimate.</t>
  </si>
  <si>
    <t xml:space="preserve">Hand brake assembly (est.)</t>
  </si>
  <si>
    <t xml:space="preserve">ESTIMATE. No public weight spec found. Vertical wheel hand brake per AAR S-475. 30 kg (~66 lbs) is an unsourced engineering estimate.</t>
  </si>
  <si>
    <t xml:space="preserve">Brake shoes + beams (est.)</t>
  </si>
  <si>
    <t xml:space="preserve">ESTIMATE. No public weight spec found. 8 composition brake shoes + 4 brake beams for 2-truck car. 50 kg (~110 lbs) is an unsourced engineering estimate.</t>
  </si>
  <si>
    <t xml:space="preserve">Manway cover + ring (20" hinge, est.)</t>
  </si>
  <si>
    <t xml:space="preserve">ESTIMATE. No public weight spec found. 20" hinged manway per Salco Products TMC2065 (carbon steel, 1/2" thick dome, 6-bolt). 125 kg (~275 lbs) is an unsourced engineering estimate for cover plate + bolting ring + hinges + gasket seat.</t>
  </si>
  <si>
    <t xml:space="preserve">https://www.wabteccorp.com/freight-car/specialty-components/tank-car-parts/manway-covers</t>
  </si>
  <si>
    <t xml:space="preserve">PRD + safety valve (est.)</t>
  </si>
  <si>
    <t xml:space="preserve">ESTIMATE. No public weight spec found. Pressure relief device + spring-loaded safety valve per 49 CFR 179.200-18. 35 kg (~77 lbs) is an unsourced engineering estimate.</t>
  </si>
  <si>
    <t xml:space="preserve">Gauging device + sample/thermo wells (est.)</t>
  </si>
  <si>
    <t xml:space="preserve">ESTIMATE. No public weight spec found. Magnetic gauging device, sample valve, thermometer well, nozzles. 80 kg (~176 lbs) is an unsourced engineering estimate.</t>
  </si>
  <si>
    <t xml:space="preserve">Misc top fittings hardware (est.)</t>
  </si>
  <si>
    <t xml:space="preserve">ESTIMATE. No public weight spec found. Air inlet valve, vacuum relief, nozzle flanges, protective housing. 110 kg (~242 lbs) is an unsourced engineering estimate.</t>
  </si>
  <si>
    <t xml:space="preserve">Bottom outlet: internal valve (est.)</t>
  </si>
  <si>
    <t xml:space="preserve">ESTIMATE. No public weight spec found. 4" internal self-closing valve per 49 CFR 179.200-17. 60 kg (~132 lbs) is an unsourced engineering estimate.</t>
  </si>
  <si>
    <t xml:space="preserve">Bottom outlet: external valve (est.)</t>
  </si>
  <si>
    <t xml:space="preserve">ESTIMATE. No public weight spec found. External gate/ball valve with manual operator. 50 kg (~110 lbs) is an unsourced engineering estimate.</t>
  </si>
  <si>
    <t xml:space="preserve">Bottom outlet: adapter + housing (est.)</t>
  </si>
  <si>
    <t xml:space="preserve">ESTIMATE. No public weight spec found. Outlet nozzle, sump, protective skid plate. 50 kg (~110 lbs) is an unsourced engineering estimate.</t>
  </si>
  <si>
    <t xml:space="preserve">Insulation density, mineral wool batts (est.)</t>
  </si>
  <si>
    <t xml:space="preserve">ESTIMATE. Industrial mineral wool for pipe/tank applications: 80–200 kg/m³ (Engineering Toolbox; sinoinsulation.com specs). 125 kg/m³ is mid-range for compressed blanket insulation in an installed state. No railcar-specific density standard identified.</t>
  </si>
  <si>
    <t xml:space="preserve">https://www.engineeringtoolbox.com/mineral-wool-insulation-k-values-d_815.html</t>
  </si>
  <si>
    <t xml:space="preserve">Insulation overlap/support factor (est.)</t>
  </si>
  <si>
    <t xml:space="preserve">ESTIMATE. No public source. Accounts for batt overlaps, metal support bands, vapor barrier, and installation wastage. 1.45 is an unsourced engineering estimate. Reasonable range 1.2–1.6.</t>
  </si>
  <si>
    <t xml:space="preserve">Number of coil banks (est.)</t>
  </si>
  <si>
    <t xml:space="preserve">ESTIMATE. No public source found for coil bank count. GBRX spec confirms coils are present ("coiled and insulated"). 4 banks selected as unsourced engineering estimate for high-viscosity 29,000-gal service.</t>
  </si>
  <si>
    <t xml:space="preserve">Coil pipe length per bank (est.)</t>
  </si>
  <si>
    <t xml:space="preserve">ESTIMATE. No public source. ~50 m of pipe per coil bank for 29,000-gal cylinder. Unsourced engineering estimate based on tank internal geometry.</t>
  </si>
  <si>
    <t xml:space="preserve">Coil pipe total length (= banks x length)</t>
  </si>
  <si>
    <t xml:space="preserve">DERIVED. =B51*B52.</t>
  </si>
  <si>
    <t xml:space="preserve">Coil pipe unit weight (3" Sch 40)</t>
  </si>
  <si>
    <t xml:space="preserve">kg/m</t>
  </si>
  <si>
    <t xml:space="preserve">Engineering Toolbox: 3" NPS Sch 40 steel pipe = 7.58 kg/m. Per ASME B36.10M standard pipe dimensions.</t>
  </si>
  <si>
    <t xml:space="preserve">https://www.engineeringtoolbox.com/steel-pipes-dimensions-d_43.html</t>
  </si>
  <si>
    <t xml:space="preserve">Coil headers/supports factor (est.)</t>
  </si>
  <si>
    <t xml:space="preserve">ESTIMATE. No public source. Accounts for inlet/outlet headers, return bends, support clips, steam connections. 1.65 is an unsourced engineering estimate. Reasonable range 1.3–2.0.</t>
  </si>
  <si>
    <t xml:space="preserve">Underframe/truck primer area allowance (est.)</t>
  </si>
  <si>
    <t xml:space="preserve">m²</t>
  </si>
  <si>
    <t xml:space="preserve">ESTIMATE. No public source. Stub sills, trucks, and exposed structural surfaces receiving primer. 23 m² is an unsourced engineering estimate.</t>
  </si>
  <si>
    <t xml:space="preserve">Paintable surface area (= jacket ext. + underframe)</t>
  </si>
  <si>
    <t xml:space="preserve">DERIVED. Jacket exterior cylinder + 2 heads + underframe allowance. =PI()*B31*B27+2*PI()*(B31/2)^2+B56.</t>
  </si>
  <si>
    <t xml:space="preserve">Coating coverage rate (est.)</t>
  </si>
  <si>
    <t xml:space="preserve">kg/m²</t>
  </si>
  <si>
    <t xml:space="preserve">ESTIMATE. Industrial multi-coat systems (primer + topcoat) typically specify 75–150 µm DFT per coat. At ~1.3–1.5 g/cm³ coating density, 2-coat system = ~0.3–0.5 kg/m² total. 0.50 = upper bound. No railcar-specific coverage data found.</t>
  </si>
  <si>
    <t xml:space="preserve">2B. MATERIAL BILL OF MATERIALS (BOM)</t>
  </si>
  <si>
    <t xml:space="preserve">Component</t>
  </si>
  <si>
    <t xml:space="preserve">Mass (kg)</t>
  </si>
  <si>
    <t xml:space="preserve">% of Tare</t>
  </si>
  <si>
    <t xml:space="preserve">Primary Material</t>
  </si>
  <si>
    <t xml:space="preserve">Formula / Basis</t>
  </si>
  <si>
    <t xml:space="preserve">Source Classification</t>
  </si>
  <si>
    <t xml:space="preserve">Tank shell (cylinder + 2 heads)</t>
  </si>
  <si>
    <t xml:space="preserve">HR carbon steel plate (A516 Gr 70)</t>
  </si>
  <si>
    <t xml:space="preserve">PI()*B26*B27*B28*B29 + 2*PI()*(B26/2)^2*B28*B29. Cylinder shell + heads (flat plate approx; actual 2:1 ellipsoidal heads have ~8% more area, so this understates shell mass by ~105 kg; absorbed by plug at same EF).</t>
  </si>
  <si>
    <t xml:space="preserve">DERIVED — geometry from GBRX dims (2A) + 49 CFR thickness + steel density.</t>
  </si>
  <si>
    <t xml:space="preserve">Wheels — forged 36"</t>
  </si>
  <si>
    <t xml:space="preserve">Forged carbon steel (AAR M-107/M-208)</t>
  </si>
  <si>
    <t xml:space="preserve">B18 x D19 (8 wheels x ~408 kg/wheel).</t>
  </si>
  <si>
    <t xml:space="preserve">ESTIMATE — wheel weight is an unsourced engineering estimate (2A).</t>
  </si>
  <si>
    <t xml:space="preserve">Axles — forged</t>
  </si>
  <si>
    <t xml:space="preserve">Forged carbon steel</t>
  </si>
  <si>
    <t xml:space="preserve">B17 x D22 (4 axles x derived axle wt from 2A).</t>
  </si>
  <si>
    <t xml:space="preserve">DERIVED from estimates — axle weight derived from estimated wheelset and wheel weights (2A).</t>
  </si>
  <si>
    <t xml:space="preserve">Truck assemblies (frames, springs, bearings)</t>
  </si>
  <si>
    <t xml:space="preserve">Cast steel</t>
  </si>
  <si>
    <t xml:space="preserve">B16*D20 − B63 − B64. Total truck mass (sourced) minus already-counted wheels and axles.</t>
  </si>
  <si>
    <t xml:space="preserve">DERIVED from estimates — estimated truck assembly total minus estimated wheel and derived axle components.</t>
  </si>
  <si>
    <t xml:space="preserve">Underframe / stub sills / draft sills</t>
  </si>
  <si>
    <t xml:space="preserve">Structural steel</t>
  </si>
  <si>
    <t xml:space="preserve">B$8 x B33. Stub-sill design per 49 CFR 179.200-9; 4% of tare is an unsourced estimate.</t>
  </si>
  <si>
    <t xml:space="preserve">ESTIMATE — formula: tare x stub-sill fraction (2A)</t>
  </si>
  <si>
    <t xml:space="preserve">Coupler bodies (2 x AAR Type E)</t>
  </si>
  <si>
    <t xml:space="preserve">2 x D24. AAR Type E couplers are castings.</t>
  </si>
  <si>
    <t xml:space="preserve">ESTIMATE — coupler weight is an unsourced engineering estimate (2A). Cast steel per standard AAR Type E design.</t>
  </si>
  <si>
    <t xml:space="preserve">Draft gear (2 x Wabtec Mark 50)</t>
  </si>
  <si>
    <t xml:space="preserve">Forged/rolled steel</t>
  </si>
  <si>
    <t xml:space="preserve">2 x D25. Springs and friction elements, predominantly forged/rolled.</t>
  </si>
  <si>
    <t xml:space="preserve">SOURCED — Wabtec (2A).</t>
  </si>
  <si>
    <t xml:space="preserve">Brake system (air + hand)</t>
  </si>
  <si>
    <t xml:space="preserve">Steel + iron</t>
  </si>
  <si>
    <t xml:space="preserve">B34+B37+B38+B39+B40+B41. Sub-component build-up from 2A. All sub-components are unsourced estimates.</t>
  </si>
  <si>
    <t xml:space="preserve">ESTIMATE — sum of unsourced sub-component estimates (2A)</t>
  </si>
  <si>
    <t xml:space="preserve">Top fittings (manway, PRD, valves)</t>
  </si>
  <si>
    <t xml:space="preserve">Steel + brass/bronze</t>
  </si>
  <si>
    <t xml:space="preserve">B42+B43+B44+B45. Sub-component build-up from 2A. All sub-components are unsourced estimates.</t>
  </si>
  <si>
    <t xml:space="preserve">Bottom outlet valve assembly</t>
  </si>
  <si>
    <t xml:space="preserve">Steel + elastomers</t>
  </si>
  <si>
    <t xml:space="preserve">B46+B47+B48. Sub-component build-up from 2A. All sub-components are unsourced estimates.</t>
  </si>
  <si>
    <t xml:space="preserve">Steel outer jacket (insulation cladding)</t>
  </si>
  <si>
    <t xml:space="preserve">Carbon steel sheet</t>
  </si>
  <si>
    <t xml:space="preserve">Same geometry as shell but with jacket OD (B31) and jacket thickness (B32). Jacket thickness per 49 CFR 179.200-4 (11 gauge min).</t>
  </si>
  <si>
    <t xml:space="preserve">DERIVED — geometry from 2A inputs + 49 CFR jacket thickness.</t>
  </si>
  <si>
    <t xml:space="preserve">Thermal insulation (mineral wool)</t>
  </si>
  <si>
    <t xml:space="preserve">Mineral wool</t>
  </si>
  <si>
    <t xml:space="preserve">PI()/4*(B31^2-B26^2)*B27*B49*B50. Annular volume x density x overlap/support factor. Cylinder only; head insulation (~181 kg) absorbed by plug at different EF — see Section 7.</t>
  </si>
  <si>
    <t xml:space="preserve">ESTIMATE — formula: geometry x estimated density x estimated factor (2A)</t>
  </si>
  <si>
    <t xml:space="preserve">Heating coils (internal steam/hot water)</t>
  </si>
  <si>
    <t xml:space="preserve">Carbon steel pipe</t>
  </si>
  <si>
    <t xml:space="preserve">B53*B54*B55. Pipe length x unit wt x headers/supports factor. GBRX confirms coils present. Length and factor are unsourced; pipe unit weight is sourced.</t>
  </si>
  <si>
    <t xml:space="preserve">ESTIMATE — formula: estimated pipe length x sourced wt x estimated factor (2A)</t>
  </si>
  <si>
    <t xml:space="preserve">Coatings + lining</t>
  </si>
  <si>
    <t xml:space="preserve">Epoxy/polyurethane</t>
  </si>
  <si>
    <t xml:space="preserve">B57*B58. Paintable area x coverage rate. Non-metallic; excluded from EoL recycling.</t>
  </si>
  <si>
    <t xml:space="preserve">ESTIMATE — formula: derived area x estimated rate (2A)</t>
  </si>
  <si>
    <t xml:space="preserve">Miscellaneous (placards, hardware)</t>
  </si>
  <si>
    <t xml:space="preserve">Structural steel (assumed)</t>
  </si>
  <si>
    <t xml:space="preserve">B8 − SUM(B62:B75). Plug to reconcile with GBRX tare. Covers ladders, walkways, platforms, handrails, grab irons, tank saddles/anchors, stiffening rings, piping connections, safety appliances.</t>
  </si>
  <si>
    <t xml:space="preserve">PLUG — see note on plug size in Section 7</t>
  </si>
  <si>
    <t xml:space="preserve">TOTAL BOM</t>
  </si>
  <si>
    <t xml:space="preserve">Residual (tare − BOM)</t>
  </si>
  <si>
    <t xml:space="preserve">3A. GREET2 2025 REFERENCE VALUES (Argonne National Lab)</t>
  </si>
  <si>
    <t xml:space="preserve">Material / Parameter</t>
  </si>
  <si>
    <t xml:space="preserve">Raw GREET Value</t>
  </si>
  <si>
    <t xml:space="preserve">Converted EF (formula)</t>
  </si>
  <si>
    <t xml:space="preserve">kgCO₂e/kg</t>
  </si>
  <si>
    <t xml:space="preserve">GREET2 Cell Reference</t>
  </si>
  <si>
    <t xml:space="preserve">Virgin Steel (BF-BOF)</t>
  </si>
  <si>
    <t xml:space="preserve">g/lb</t>
  </si>
  <si>
    <t xml:space="preserve">Mat_Sum, row 65, col B</t>
  </si>
  <si>
    <t xml:space="preserve">https://greet.anl.gov/</t>
  </si>
  <si>
    <t xml:space="preserve">Recycled Steel (EAF)</t>
  </si>
  <si>
    <t xml:space="preserve">Mat_Sum, row 65, col C</t>
  </si>
  <si>
    <t xml:space="preserve">Cast Iron (cupola furnace)</t>
  </si>
  <si>
    <t xml:space="preserve">C.Iron, row 81, col G (per-lb)</t>
  </si>
  <si>
    <t xml:space="preserve">Forged Iron (open-die forging)</t>
  </si>
  <si>
    <t xml:space="preserve">C.Iron, row 81, col I (per-lb)</t>
  </si>
  <si>
    <t xml:space="preserve">Copper</t>
  </si>
  <si>
    <t xml:space="preserve">Mat_Sum, row 65, col BE</t>
  </si>
  <si>
    <t xml:space="preserve">Zinc</t>
  </si>
  <si>
    <t xml:space="preserve">Mat_Sum, row 65, col BF</t>
  </si>
  <si>
    <t xml:space="preserve">Steel EoL recycling rate</t>
  </si>
  <si>
    <t xml:space="preserve">(no conversion needed)</t>
  </si>
  <si>
    <t xml:space="preserve">Mat_Sum, cell B19</t>
  </si>
  <si>
    <t xml:space="preserve">3B. DERIVATION ASSUMPTIONS</t>
  </si>
  <si>
    <t xml:space="preserve">Assumption</t>
  </si>
  <si>
    <t xml:space="preserve">US steel: BF-BOF share</t>
  </si>
  <si>
    <t xml:space="preserve">Hasanbeigi &amp; Springer 2019. US 2018: 33% BF-BOF, 67% EAF. Data is 8 years old; EAF share has likely increased, making this conservative (overstates weighted EF).</t>
  </si>
  <si>
    <t xml:space="preserve">https://www.bluegreenalliance.org/wp-content/uploads/2021/04/HowCleanistheU.S.SteelIndustry.pdf</t>
  </si>
  <si>
    <t xml:space="preserve">US steel: EAF share</t>
  </si>
  <si>
    <t xml:space="preserve">1 − B92.</t>
  </si>
  <si>
    <t xml:space="preserve">Brass: Cu share (C26000)</t>
  </si>
  <si>
    <t xml:space="preserve">UNS C26000 per ASTM B927: Cu 68.5–71.5%, bal Zn. Nominal 70/30.</t>
  </si>
  <si>
    <t xml:space="preserve">https://alloys.copper.org/alloy/C26000</t>
  </si>
  <si>
    <t xml:space="preserve">Brass: Zn share</t>
  </si>
  <si>
    <t xml:space="preserve">1 − B94.</t>
  </si>
  <si>
    <t xml:space="preserve">Fabrication energy intensity (est.)</t>
  </si>
  <si>
    <t xml:space="preserve">GJ/t</t>
  </si>
  <si>
    <t xml:space="preserve">ENGINEERING ESTIMATE. Heavy plate fabrication: rolling/forming 0.1–0.3 GJ/t, welding 0.2–0.5 GJ/t, stress relief heat treatment 0.5–1.0 GJ/t, assembly 0.1–0.3 GJ/t. Sum: 1.0–2.0 GJ/t. 2.0 = conservative upper bound. No public database for tank car fabrication energy.</t>
  </si>
  <si>
    <t xml:space="preserve">US grid EF (eGRID 2023)</t>
  </si>
  <si>
    <t xml:space="preserve">kgCO₂e/kWh</t>
  </si>
  <si>
    <t xml:space="preserve">EPA eGRID 2023 (Jan 2025). US avg: 0.81 lbs CO₂/kWh. 0.81 / 2.20462 = 0.367 kg. (V15 rounded to 0.368; corrected.)</t>
  </si>
  <si>
    <t xml:space="preserve">https://www.epa.gov/egrid</t>
  </si>
  <si>
    <t xml:space="preserve">US grid EF (converted to GJ)</t>
  </si>
  <si>
    <t xml:space="preserve">tCO₂e/GJ</t>
  </si>
  <si>
    <t xml:space="preserve">B97 x 277.78 kWh/GJ / 1000.</t>
  </si>
  <si>
    <t xml:space="preserve">3C. APPLIED EMISSION FACTORS (derived from 3A + 3B)</t>
  </si>
  <si>
    <t xml:space="preserve">Material Category</t>
  </si>
  <si>
    <t xml:space="preserve">EF (kgCO₂e/kg)</t>
  </si>
  <si>
    <t xml:space="preserve">Formula</t>
  </si>
  <si>
    <t xml:space="preserve">Notes</t>
  </si>
  <si>
    <t xml:space="preserve">HR steel plate — US weighted</t>
  </si>
  <si>
    <t xml:space="preserve">B92*D82 + B93*D83</t>
  </si>
  <si>
    <t xml:space="preserve">DERIVED</t>
  </si>
  <si>
    <t xml:space="preserve">Cast iron</t>
  </si>
  <si>
    <t xml:space="preserve">D84</t>
  </si>
  <si>
    <t xml:space="preserve">DIRECT — GREET2</t>
  </si>
  <si>
    <t xml:space="preserve">Forged iron (GREET2 proxy for forged steel)</t>
  </si>
  <si>
    <t xml:space="preserve">D85</t>
  </si>
  <si>
    <t xml:space="preserve">PROXY — GREET2</t>
  </si>
  <si>
    <t xml:space="preserve">GREET2 "Forged Iron" used as proxy for forged steel components (wheels, axles, draft gear). Forged iron production pathway differs from forged steel; direction of bias is uncertain. No GREET2 pathway exists for forged steel.</t>
  </si>
  <si>
    <t xml:space="preserve">B102</t>
  </si>
  <si>
    <t xml:space="preserve">DERIVED — same as plate</t>
  </si>
  <si>
    <t xml:space="preserve">Mineral wool insulation</t>
  </si>
  <si>
    <t xml:space="preserve">ICE v2.0: 1.20. GREET has no insulation.</t>
  </si>
  <si>
    <t xml:space="preserve">DIRECT — ICE v2.0</t>
  </si>
  <si>
    <t xml:space="preserve">https://kps.fsv.cvut.cz/upload/files/icev2.0summarytables.pdf</t>
  </si>
  <si>
    <t xml:space="preserve">Brass/bronze (Cu-Zn)</t>
  </si>
  <si>
    <t xml:space="preserve">B94*D86 + B95*D87</t>
  </si>
  <si>
    <t xml:space="preserve">DERIVED — GREET2 Cu+Zn weighted by C26000</t>
  </si>
  <si>
    <t xml:space="preserve">Coatings (waterborne paint)</t>
  </si>
  <si>
    <t xml:space="preserve">ICE v2.0: 2.12. GREET has no coatings.</t>
  </si>
  <si>
    <t xml:space="preserve">Manufacturing energy</t>
  </si>
  <si>
    <t xml:space="preserve">B96 x B98</t>
  </si>
  <si>
    <t xml:space="preserve">ESTIMATE</t>
  </si>
  <si>
    <t xml:space="preserve">4. CRADLE-TO-GATE EMISSIONS BY COMPONENT</t>
  </si>
  <si>
    <t xml:space="preserve">Emissions (kgCO₂e)</t>
  </si>
  <si>
    <t xml:space="preserve">Emissions (MTCO₂e)</t>
  </si>
  <si>
    <t xml:space="preserve">% of Total</t>
  </si>
  <si>
    <t xml:space="preserve">Tank shell + heads</t>
  </si>
  <si>
    <t xml:space="preserve">Wheels (forged)</t>
  </si>
  <si>
    <t xml:space="preserve">Axles (forged)</t>
  </si>
  <si>
    <t xml:space="preserve">Truck frames (cast)</t>
  </si>
  <si>
    <t xml:space="preserve">Underframe / sills</t>
  </si>
  <si>
    <t xml:space="preserve">Coupler bodies (cast)</t>
  </si>
  <si>
    <t xml:space="preserve">Draft gear (forged)</t>
  </si>
  <si>
    <t xml:space="preserve">Brake system</t>
  </si>
  <si>
    <t xml:space="preserve">Top fittings</t>
  </si>
  <si>
    <t xml:space="preserve">Bottom outlet valve</t>
  </si>
  <si>
    <t xml:space="preserve">Steel outer jacket</t>
  </si>
  <si>
    <t xml:space="preserve">Thermal insulation</t>
  </si>
  <si>
    <t xml:space="preserve">Heating coils</t>
  </si>
  <si>
    <t xml:space="preserve">Miscellaneous hardware</t>
  </si>
  <si>
    <t xml:space="preserve">Manufacturing / fabrication energy</t>
  </si>
  <si>
    <t xml:space="preserve">SUBTOTAL: Cradle-to-Gate</t>
  </si>
  <si>
    <t xml:space="preserve">5. END-OF-LIFE RECYCLING CREDIT &amp; CRADLE-TO-GRAVE TOTAL</t>
  </si>
  <si>
    <t xml:space="preserve">Derivation</t>
  </si>
  <si>
    <t xml:space="preserve">Steel recycling rate at EoL</t>
  </si>
  <si>
    <t xml:space="preserve">D88 (GREET2 3A)</t>
  </si>
  <si>
    <t xml:space="preserve">EoL recycling credit rate</t>
  </si>
  <si>
    <t xml:space="preserve">tCO₂e/t steel</t>
  </si>
  <si>
    <t xml:space="preserve">Neg of B102 (US-weighted steel EF, 3C). Same route mix as production.</t>
  </si>
  <si>
    <t xml:space="preserve">Recyclable steel mass</t>
  </si>
  <si>
    <t xml:space="preserve">(B77 - B75 - B73) x B134. Note: top fittings (350 kg, brass EF in Sec 4) are included in steel recyclable mass. Brass has a different recycling pathway; this is a simplification that slightly overstates the steel recycling credit (~0.49 MT). See Section 7.</t>
  </si>
  <si>
    <t xml:space="preserve">End-of-life recycling credit</t>
  </si>
  <si>
    <t xml:space="preserve">tCO₂e (negative = credit)</t>
  </si>
  <si>
    <t xml:space="preserve">(B136/1000) x B135</t>
  </si>
  <si>
    <t xml:space="preserve">CRADLE-TO-GRAVE TOTAL (with EoL credit)</t>
  </si>
  <si>
    <t xml:space="preserve">MT CO₂e</t>
  </si>
  <si>
    <t xml:space="preserve">CRADLE-TO-GATE TOTAL (no EoL credit)</t>
  </si>
  <si>
    <t xml:space="preserve">6. COMPARISON WITH CURRENT METHODOLOGY (INTERNAL ONLY)</t>
  </si>
  <si>
    <t xml:space="preserve">Metric</t>
  </si>
  <si>
    <t xml:space="preserve">Current value (cost-based EEIO, v8)</t>
  </si>
  <si>
    <t xml:space="preserve">From KB: v8, eGRID 2023 at 0.350 kgCO₂e/kWh</t>
  </si>
  <si>
    <t xml:space="preserve">New: cradle-to-grave</t>
  </si>
  <si>
    <t xml:space="preserve">New: cradle-to-gate</t>
  </si>
  <si>
    <t xml:space="preserve">Delta: CTGrave vs current</t>
  </si>
  <si>
    <t xml:space="preserve">% change</t>
  </si>
  <si>
    <t xml:space="preserve">7. METHODOLOGY NOTES</t>
  </si>
  <si>
    <t xml:space="preserve">V16 STRUCTURE: Section 2A holds all configuration counts, raw unit weights, geometry inputs, and sub-component estimates. All counts (wheels, axles) and composite weights (wheelset, truck assembly, jacket OD) are Excel formulas referencing atomic inputs. Section 2B computes BOM masses via formulas referencing 2A. Section 3A holds raw GREET2 values with conversion formulas. Section 3B holds derivation assumptions. Section 3C computes applied EFs via formulas referencing 3A/3B. Every derived value in the model is an auditable Excel formula.</t>
  </si>
  <si>
    <t xml:space="preserve">V16 CHANGES FROM V15: (1) Jacket thickness corrected from 14 gauge (0.0019 m) to 11 gauge (0.00304 m) per 49 CFR 179.200-4 regulatory minimum. (2) Stub-sill underframe fraction corrected from 0.038 to 0.04 (consistent with "half of 8%" note). (3) Tank length note corrected: dimension is "Tank, outside length" per GBRX spec, not "overall car length." (4) eGRID value corrected from 0.368 to 0.367 kg/kWh (exact: 0.81/2.20462). (5) Truck component weights (wheel 900 lbs, wheelset 2,300 lbs, truck assembly 10,000 lbs, coupler 200 kg) reclassified as unsourced engineering estimates. No authoritative public sources found; AAR MSRP standards cover these components but are not publicly available. Axle and frame weights derived from these estimates. (6) Steel density URL corrected (MatWeb link broken, replaced with eFunda). (7) All unsourced estimates relabeled: "No public source found" or "unsourced engineering estimate" instead of "standard" or "typical" without citation. (8) Insulation geometry note added: cylinder-only formula omits ~181 kg of head insulation, absorbed by plug at steel EF. (9) Brass EoL note added: top fittings (350 kg) use brass EF for production but are in steel recyclable mass for EoL credit.</t>
  </si>
  <si>
    <t xml:space="preserve">SOURCE CLASSIFICATIONS: SOURCED = value directly from cited document. DERIVED = formula from sourced inputs. ESTIMATE = engineering estimate with stated basis. PROXY = emission factor from analogous material. PLUG = residual to reconcile with sourced tare weight.</t>
  </si>
  <si>
    <t xml:space="preserve">SOURCING STANDARD: Every claimed value must be verifiable by following the cited URL or reference. Where no public source exists, the note states "no public source found" and the value is marked as an unsourced engineering estimate (red). Claims like "standard" or "typical" are only used when accompanied by a verifiable source.</t>
  </si>
  <si>
    <t xml:space="preserve">EF HIERARCHY: (1) GREET2 2025 for metals (direct or derived). (2) ICE v2.0 for insulation and paint (GREET has no equivalent). (3) Engineering estimate for manufacturing/fabrication energy only.</t>
  </si>
  <si>
    <t xml:space="preserve">EF ASSIGNMENTS — KEY CHOICES: Coupler bodies use CAST IRON EF (they are castings). Draft gear uses FORGED IRON EF (springs and forged elements). Brake system uses CAST IRON EF (cylinders dominate mass; non-conservative for piping/reservoir which are steel with higher EF, but piping is ~12% of brake mass — immaterial). Top fittings use BRASS EF (overstates: most mass is steel, but brass EF is higher; non-material at 0.9% of tare). Bottom outlet uses CAST IRON EF. Miscellaneous plug uses STRUCTURAL STEEL EF (predominantly steel structural items).</t>
  </si>
  <si>
    <t xml:space="preserve">GREET2 PROXY NOTE: "Forged Iron" (C.Iron sheet, per-lb col I) is used as a proxy for forged steel components (wheels, axles, draft gear). The forged iron production pathway differs from forged steel; the direction of bias is uncertain. No GREET2 pathway exists for forged steel. This is the closest available proxy in the GREET2 model.</t>
  </si>
  <si>
    <t xml:space="preserve">GREET2 "Average Steel" uses vehicle manufacturing mix (73.6% BF-BOF / 26.4% EAF), not representative of US steel production. Excluded from model. We apply Hasanbeigi US production mix (33/67) to GREET Virgin/Recycled values instead. Note: Hasanbeigi data is from 2018 (8 years old); EAF share has likely increased, making the current weighted EF conservative (overstated).</t>
  </si>
  <si>
    <t xml:space="preserve">GREET2 CONVERSIONS: All values converted from g/lb via x 2.20462/1000 = kgCO₂e/kg. Mat_Sum row 65 (steel, copper, zinc) and C.Iron row 81 per-lb columns (cast iron col G, forged iron col I). Note: C.Iron per-ton columns use short tons (2000 lbs), not metric tons — per-lb values used to avoid ambiguity.</t>
  </si>
  <si>
    <t xml:space="preserve">BOM GEOMETRY: Tank shell and jacket masses computed from sourced dimensions (GBRX tank OD and tank outside length, 49 CFR shell and jacket thicknesses) via surface area x thickness x density. Head approximation uses flat circular plates; actual 2:1 ellipsoidal heads have ~8% more area, so shell mass is understated by ~105 kg. This difference is absorbed by the plug category at the same EF, so total emissions are unaffected. Tank outside length (53'-4 7/8") is the actual tank vessel dimension per GBRX spec, not overall car length.</t>
  </si>
  <si>
    <t xml:space="preserve">INSULATION COVERAGE: The insulation formula computes the annular cylinder volume only. Head insulation (two blanket discs covering the tank heads) would add ~181 kg of mineral wool. This mass is currently absorbed by the plug category, which applies structural steel EF (1.457) instead of mineral wool EF (1.20). The CTG impact is negligible (−0.047 MT), but at EoL the 181 kg moves from recyclable steel to non-recyclable insulation, increasing CTGrave by ~0.21 MT (1.4% of total). This is within the model uncertainty envelope.</t>
  </si>
  <si>
    <t xml:space="preserve">BRASS EOL NOTE: Top fittings (350 kg) use brass EF for production in Section 4 but are included in "recyclable steel mass" for EoL credit in Section 5. Brass is recyclable through copper/zinc scrap pathways, not steel recycling. The GREET2 96% recycling rate (Mat_Sum B19) is for steel. Including brass in the steel pool overstates the EoL credit by ~0.49 MT if brass should be excluded, or understates it by ~0.65 MT if brass gets its own (higher) recycling credit. Conservative treatment would exclude brass entirely.</t>
  </si>
  <si>
    <t xml:space="preserve">BOM PLUG: The miscellaneous/plug category reconciles the BOM to the GBRX tare weight. It covers ladders, walkways, platforms, handrails, grab irons, tank saddles/anchors, stiffening rings, piping connections, and safety appliances — items for which no individual mass data is publicly available. Structural steel EF is applied. V16 plug is ~8.6% of tare (reduced from V15 ~12.8% due to jacket thickness correction).</t>
  </si>
  <si>
    <t xml:space="preserve">ENGINEERING ESTIMATES: Atomic estimates include insulation thickness, sub-component weights (brake, fittings, outlet), insulation density, insulation overlap factor, coil pipe parameters, coil headers factor, underframe fraction, and coating inputs. Every estimate is labeled "no public source found" or "unsourced engineering estimate" where applicable. Where arithmetic is described, it is computed as an Excel formula. AAR M-1001 is the authoritative source for running-gear weights but is proprietary.</t>
  </si>
  <si>
    <t xml:space="preserve">END-OF-LIFE: Avoided burden method (ISO 14044 system expansion). EoL credit = recyclable mass x negative of US-weighted production EF. Single end-of-life event at 50-year condemning limit (AAR Rule 88). This is conservative: components replaced during service life generate additional recycling credits not captured here. Recycling rate (96%) and methodology from GREET2 2025.</t>
  </si>
  <si>
    <t xml:space="preserve">FABRICATION ENERGY: No public database publishes tank car fabrication energy intensity. The 2.0 GJ/t estimate is the conservative upper bound of the range 1.0–2.0 GJ/t, based on process engineering estimates for heavy plate fabrication (forming, welding, stress relief heat treatment, assembly). Applied to total BOM mass as a simplification; this overstates for purchased components (castings, forgings, fittings, insulation) that arrive pre-manufactured and undergo only assembly at the car builder. Conservative. Converted to emissions via eGRID US grid factor; grid EF (0.102 tCO₂e/GJ) exceeds natural gas EF (~0.056), so treating all energy as electric is also conservative.</t>
  </si>
  <si>
    <t xml:space="preserve">UNCERTAINTY: This model relies on engineering estimates for ~25% of BOM mass (by count of estimated items) and for all sub-component breakdowns below the tare level. The plug category represents ~8.6% of tare (V16). Key sensitivities: fabrication energy intensity, insulation mass, and coil mass. Results should be interpreted with appropriate uncertainty recognition.</t>
  </si>
  <si>
    <t xml:space="preserve">8. KEY SOURCES</t>
  </si>
  <si>
    <t xml:space="preserve">Argonne National Lab. R&amp;D GREET2 2025. Metal EFs in Section 3A.</t>
  </si>
  <si>
    <t xml:space="preserve">EPA. eGRID 2023. US avg: 0.367 kgCO₂/kWh (0.81 lbs / 2.20462).</t>
  </si>
  <si>
    <t xml:space="preserve">GBRX. DOT-111 spec (Jan 2021): tare 86,350 lbs; tank OD 9'-10 3/4"; tank length 53'-4 7/8".</t>
  </si>
  <si>
    <t xml:space="preserve">U.S. DOT. 49 CFR 179 Subpart D. Shell: 7/16" min (179.201-1). Jacket: 11 gauge min (179.200-4).</t>
  </si>
  <si>
    <t xml:space="preserve">AAR. Rule 88 / OT-24: 50-year condemning limit.</t>
  </si>
  <si>
    <t xml:space="preserve">Hasanbeigi &amp; Springer. 2019. US mix: 33% BF-BOF, 67% EAF (2018 data).</t>
  </si>
  <si>
    <t xml:space="preserve">Copper Dev. Assn.. C26000 per ASTM B927: Cu 68.5-71.5%, bal Zn.</t>
  </si>
  <si>
    <t xml:space="preserve">ICE v2.0. Mineral wool 1.20, waterborne paint 2.12 kgCO₂/kg.</t>
  </si>
  <si>
    <t xml:space="preserve">Wabtec. Mark 50 Draft Gear: "386 lbs."</t>
  </si>
  <si>
    <t xml:space="preserve">NOTE. Wheel (900 lbs), wheelset (2,300 lbs), truck assembly (10,000 lbs), and coupler (200 kg) are unsourced engineering estimates. AAR MSRP Sections G and S contain authoritative specs but are proprietary and not publicly available.</t>
  </si>
  <si>
    <t xml:space="preserve">AAR. M-1001 Manual of Standards &amp; Recommended Practices. Authoritative for component weights. Proprietary; not publicly available.</t>
  </si>
  <si>
    <t xml:space="preserve">eFunda. ASTM A516 Gr 70: density 7,700–8,030 kg/m³ (nominal 7,850).</t>
  </si>
  <si>
    <t xml:space="preserve">Engineering Toolbox. 3" Sch 40 steel pipe: 7.58 kg/m (ASME B36.10M).</t>
  </si>
  <si>
    <t xml:space="preserve">LBNL. Best Practice Energy: hot rolling 1.28 GJ/t.</t>
  </si>
  <si>
    <t xml:space="preserve">https://eta-publications.lbl.gov/sites/default/files/industrial_best_practice_en.pdf</t>
  </si>
  <si>
    <t xml:space="preserve">Metal Supermarkets. Sheet Metal Gauge Chart: 11 gauge = 0.1196 in (3.038 mm).</t>
  </si>
  <si>
    <t xml:space="preserve">https://www.metalsupermarkets.com/sheet-metal-gauge-chart/</t>
  </si>
  <si>
    <t xml:space="preserve">FRA. Stub Sills on Tank Cars (1989). Tank car structural design reference.</t>
  </si>
</sst>
</file>

<file path=xl/styles.xml><?xml version="1.0" encoding="utf-8"?>
<styleSheet xmlns="http://schemas.openxmlformats.org/spreadsheetml/2006/main">
  <numFmts count="12">
    <numFmt numFmtId="164" formatCode="General"/>
    <numFmt numFmtId="165" formatCode="0"/>
    <numFmt numFmtId="166" formatCode="#,##0"/>
    <numFmt numFmtId="167" formatCode="0.0"/>
    <numFmt numFmtId="168" formatCode="0.000"/>
    <numFmt numFmtId="169" formatCode="0.00"/>
    <numFmt numFmtId="170" formatCode="0.0000"/>
    <numFmt numFmtId="171" formatCode="0.00000"/>
    <numFmt numFmtId="172" formatCode="0.0%"/>
    <numFmt numFmtId="173" formatCode="0%"/>
    <numFmt numFmtId="174" formatCode="\+0.000;\-0.000;\-"/>
    <numFmt numFmtId="175" formatCode="\+0.0%;\-0.0%"/>
  </numFmts>
  <fonts count="22">
    <font>
      <sz val="11"/>
      <color theme="1"/>
      <name val="Calibri"/>
      <family val="2"/>
      <charset val="1"/>
    </font>
    <font>
      <sz val="10"/>
      <name val="Arial"/>
      <family val="0"/>
    </font>
    <font>
      <sz val="10"/>
      <name val="Arial"/>
      <family val="0"/>
    </font>
    <font>
      <sz val="10"/>
      <name val="Arial"/>
      <family val="0"/>
    </font>
    <font>
      <b val="true"/>
      <sz val="14"/>
      <color rgb="FF2F5496"/>
      <name val="Arial"/>
      <family val="0"/>
      <charset val="1"/>
    </font>
    <font>
      <i val="true"/>
      <sz val="11"/>
      <color rgb="FF666666"/>
      <name val="Arial"/>
      <family val="0"/>
      <charset val="1"/>
    </font>
    <font>
      <sz val="10"/>
      <color rgb="FF666666"/>
      <name val="Arial"/>
      <family val="0"/>
      <charset val="1"/>
    </font>
    <font>
      <i val="true"/>
      <sz val="9"/>
      <color rgb="FF888888"/>
      <name val="Arial"/>
      <family val="0"/>
      <charset val="1"/>
    </font>
    <font>
      <b val="true"/>
      <sz val="11"/>
      <color rgb="FFFFFFFF"/>
      <name val="Arial"/>
      <family val="0"/>
      <charset val="1"/>
    </font>
    <font>
      <b val="true"/>
      <sz val="10"/>
      <name val="Arial"/>
      <family val="0"/>
      <charset val="1"/>
    </font>
    <font>
      <sz val="10"/>
      <name val="Arial"/>
      <family val="0"/>
      <charset val="1"/>
    </font>
    <font>
      <sz val="10"/>
      <color rgb="FF0000FF"/>
      <name val="Arial"/>
      <family val="0"/>
      <charset val="1"/>
    </font>
    <font>
      <i val="true"/>
      <sz val="9"/>
      <color rgb="FF444444"/>
      <name val="Arial"/>
      <family val="0"/>
      <charset val="1"/>
    </font>
    <font>
      <b val="true"/>
      <sz val="10"/>
      <color rgb="FF2F5496"/>
      <name val="Arial"/>
      <family val="0"/>
      <charset val="1"/>
    </font>
    <font>
      <sz val="10"/>
      <color rgb="FFE65100"/>
      <name val="Arial"/>
      <family val="0"/>
      <charset val="1"/>
    </font>
    <font>
      <sz val="10"/>
      <color rgb="FFCC0000"/>
      <name val="Arial"/>
      <family val="0"/>
      <charset val="1"/>
    </font>
    <font>
      <i val="true"/>
      <sz val="9"/>
      <color rgb="FFCC0000"/>
      <name val="Arial"/>
      <family val="0"/>
      <charset val="1"/>
    </font>
    <font>
      <i val="true"/>
      <sz val="9"/>
      <color rgb="FF666666"/>
      <name val="Arial"/>
      <family val="0"/>
      <charset val="1"/>
    </font>
    <font>
      <sz val="10"/>
      <color rgb="FF4A148C"/>
      <name val="Arial"/>
      <family val="0"/>
      <charset val="1"/>
    </font>
    <font>
      <b val="true"/>
      <sz val="11"/>
      <color rgb="FF006100"/>
      <name val="Arial"/>
      <family val="0"/>
      <charset val="1"/>
    </font>
    <font>
      <b val="true"/>
      <sz val="14"/>
      <color rgb="FF006100"/>
      <name val="Arial"/>
      <family val="0"/>
      <charset val="1"/>
    </font>
    <font>
      <b val="true"/>
      <sz val="11"/>
      <color rgb="FF2F5496"/>
      <name val="Arial"/>
      <family val="0"/>
      <charset val="1"/>
    </font>
  </fonts>
  <fills count="10">
    <fill>
      <patternFill patternType="none"/>
    </fill>
    <fill>
      <patternFill patternType="gray125"/>
    </fill>
    <fill>
      <patternFill patternType="solid">
        <fgColor rgb="FF2F5496"/>
        <bgColor rgb="FF444444"/>
      </patternFill>
    </fill>
    <fill>
      <patternFill patternType="solid">
        <fgColor rgb="FFD6E4F0"/>
        <bgColor rgb="FFE8EAF6"/>
      </patternFill>
    </fill>
    <fill>
      <patternFill patternType="solid">
        <fgColor rgb="FFFFF2CC"/>
        <bgColor rgb="FFFFF8E1"/>
      </patternFill>
    </fill>
    <fill>
      <patternFill patternType="solid">
        <fgColor rgb="FFE8EAF6"/>
        <bgColor rgb="FFE2EFDA"/>
      </patternFill>
    </fill>
    <fill>
      <patternFill patternType="solid">
        <fgColor rgb="FFFFF8E1"/>
        <bgColor rgb="FFFFF2CC"/>
      </patternFill>
    </fill>
    <fill>
      <patternFill patternType="solid">
        <fgColor rgb="FFFCE4EC"/>
        <bgColor rgb="FFE8EAF6"/>
      </patternFill>
    </fill>
    <fill>
      <patternFill patternType="solid">
        <fgColor rgb="FFC6EFCE"/>
        <bgColor rgb="FFE2EFDA"/>
      </patternFill>
    </fill>
    <fill>
      <patternFill patternType="solid">
        <fgColor rgb="FFE2EFDA"/>
        <bgColor rgb="FFE8EAF6"/>
      </patternFill>
    </fill>
  </fills>
  <borders count="2">
    <border diagonalUp="false" diagonalDown="false">
      <left/>
      <right/>
      <top/>
      <bottom/>
      <diagonal/>
    </border>
    <border diagonalUp="false" diagonalDown="false">
      <left/>
      <right/>
      <top/>
      <bottom style="medium">
        <color rgb="FF2F5496"/>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9" fillId="3"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4"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3" fillId="5" borderId="0" xfId="0" applyFont="true" applyBorder="false" applyAlignment="false" applyProtection="false">
      <alignment horizontal="general" vertical="bottom" textRotation="0" wrapText="false" indent="0" shrinkToFit="false"/>
      <protection locked="true" hidden="false"/>
    </xf>
    <xf numFmtId="164" fontId="0" fillId="5" borderId="0" xfId="0" applyFont="false" applyBorder="false" applyAlignment="false" applyProtection="false">
      <alignment horizontal="general" vertical="bottom" textRotation="0" wrapText="false" indent="0" shrinkToFit="false"/>
      <protection locked="true" hidden="false"/>
    </xf>
    <xf numFmtId="165" fontId="14" fillId="6" borderId="0" xfId="0" applyFont="true" applyBorder="false" applyAlignment="false" applyProtection="false">
      <alignment horizontal="general" vertical="bottom" textRotation="0" wrapText="false" indent="0" shrinkToFit="false"/>
      <protection locked="true" hidden="false"/>
    </xf>
    <xf numFmtId="165" fontId="10" fillId="0" borderId="0" xfId="0" applyFont="true" applyBorder="false" applyAlignment="false" applyProtection="false">
      <alignment horizontal="general" vertical="bottom" textRotation="0" wrapText="false" indent="0" shrinkToFit="false"/>
      <protection locked="true" hidden="false"/>
    </xf>
    <xf numFmtId="166" fontId="15" fillId="7" borderId="0" xfId="0" applyFont="true" applyBorder="false" applyAlignment="false" applyProtection="false">
      <alignment horizontal="general" vertical="bottom" textRotation="0" wrapText="false" indent="0" shrinkToFit="false"/>
      <protection locked="true" hidden="false"/>
    </xf>
    <xf numFmtId="167" fontId="10" fillId="0" borderId="0" xfId="0" applyFont="true" applyBorder="false" applyAlignment="false" applyProtection="false">
      <alignment horizontal="general" vertical="bottom" textRotation="0" wrapText="fals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6" fontId="10" fillId="0" borderId="0" xfId="0" applyFont="true" applyBorder="false" applyAlignment="false" applyProtection="false">
      <alignment horizontal="general" vertical="bottom" textRotation="0" wrapText="false" indent="0" shrinkToFit="false"/>
      <protection locked="true" hidden="false"/>
    </xf>
    <xf numFmtId="166" fontId="14" fillId="6" borderId="0" xfId="0" applyFont="true" applyBorder="false" applyAlignment="false" applyProtection="false">
      <alignment horizontal="general" vertical="bottom" textRotation="0" wrapText="false" indent="0" shrinkToFit="false"/>
      <protection locked="true" hidden="false"/>
    </xf>
    <xf numFmtId="168" fontId="14" fillId="6" borderId="0" xfId="0" applyFont="true" applyBorder="false" applyAlignment="false" applyProtection="false">
      <alignment horizontal="general" vertical="bottom" textRotation="0" wrapText="false" indent="0" shrinkToFit="false"/>
      <protection locked="true" hidden="false"/>
    </xf>
    <xf numFmtId="169" fontId="14" fillId="6" borderId="0" xfId="0" applyFont="true" applyBorder="false" applyAlignment="false" applyProtection="false">
      <alignment horizontal="general" vertical="bottom" textRotation="0" wrapText="false" indent="0" shrinkToFit="false"/>
      <protection locked="true" hidden="false"/>
    </xf>
    <xf numFmtId="170" fontId="14" fillId="6" borderId="0" xfId="0" applyFont="true" applyBorder="false" applyAlignment="false" applyProtection="false">
      <alignment horizontal="general" vertical="bottom" textRotation="0" wrapText="false" indent="0" shrinkToFit="false"/>
      <protection locked="true" hidden="false"/>
    </xf>
    <xf numFmtId="168" fontId="15" fillId="7" borderId="0" xfId="0" applyFont="true" applyBorder="false" applyAlignment="false" applyProtection="false">
      <alignment horizontal="general" vertical="bottom" textRotation="0" wrapText="false" indent="0" shrinkToFit="false"/>
      <protection locked="true" hidden="false"/>
    </xf>
    <xf numFmtId="168" fontId="10" fillId="0" borderId="0" xfId="0" applyFont="true" applyBorder="false" applyAlignment="false" applyProtection="false">
      <alignment horizontal="general" vertical="bottom" textRotation="0" wrapText="false" indent="0" shrinkToFit="false"/>
      <protection locked="true" hidden="false"/>
    </xf>
    <xf numFmtId="171" fontId="14" fillId="6" borderId="0" xfId="0" applyFont="true" applyBorder="false" applyAlignment="false" applyProtection="false">
      <alignment horizontal="general" vertical="bottom" textRotation="0" wrapText="false" indent="0" shrinkToFit="false"/>
      <protection locked="true" hidden="false"/>
    </xf>
    <xf numFmtId="169" fontId="15" fillId="7" borderId="0" xfId="0" applyFont="true" applyBorder="false" applyAlignment="false" applyProtection="false">
      <alignment horizontal="general" vertical="bottom" textRotation="0" wrapText="false" indent="0" shrinkToFit="false"/>
      <protection locked="true" hidden="false"/>
    </xf>
    <xf numFmtId="165" fontId="15" fillId="7" borderId="0" xfId="0" applyFont="true" applyBorder="false" applyAlignment="false" applyProtection="false">
      <alignment horizontal="general" vertical="bottom" textRotation="0" wrapText="false" indent="0" shrinkToFit="false"/>
      <protection locked="true" hidden="false"/>
    </xf>
    <xf numFmtId="172" fontId="10" fillId="0" borderId="0" xfId="0" applyFont="true" applyBorder="false" applyAlignment="false" applyProtection="false">
      <alignment horizontal="general" vertical="bottom"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6" fontId="9" fillId="0" borderId="1" xfId="0" applyFont="true" applyBorder="true" applyAlignment="false" applyProtection="false">
      <alignment horizontal="general" vertical="bottom" textRotation="0" wrapText="false" indent="0" shrinkToFit="false"/>
      <protection locked="true" hidden="false"/>
    </xf>
    <xf numFmtId="172" fontId="9" fillId="0" borderId="1" xfId="0" applyFont="tru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6" fontId="17" fillId="0" borderId="0" xfId="0" applyFont="true" applyBorder="false" applyAlignment="false" applyProtection="false">
      <alignment horizontal="general" vertical="bottom" textRotation="0" wrapText="false" indent="0" shrinkToFit="false"/>
      <protection locked="true" hidden="false"/>
    </xf>
    <xf numFmtId="169" fontId="18" fillId="5" borderId="0" xfId="0" applyFont="true" applyBorder="false" applyAlignment="false" applyProtection="false">
      <alignment horizontal="general" vertical="bottom" textRotation="0" wrapText="false" indent="0" shrinkToFit="false"/>
      <protection locked="true" hidden="false"/>
    </xf>
    <xf numFmtId="170" fontId="18" fillId="5" borderId="0" xfId="0" applyFont="true" applyBorder="false" applyAlignment="false" applyProtection="false">
      <alignment horizontal="general" vertical="bottom" textRotation="0" wrapText="false" indent="0" shrinkToFit="false"/>
      <protection locked="true" hidden="false"/>
    </xf>
    <xf numFmtId="169" fontId="11" fillId="4" borderId="0" xfId="0" applyFont="true" applyBorder="false" applyAlignment="false" applyProtection="false">
      <alignment horizontal="general" vertical="bottom" textRotation="0" wrapText="false" indent="0" shrinkToFit="false"/>
      <protection locked="true" hidden="false"/>
    </xf>
    <xf numFmtId="169" fontId="10" fillId="0" borderId="0" xfId="0" applyFont="true" applyBorder="false" applyAlignment="false" applyProtection="false">
      <alignment horizontal="general" vertical="bottom" textRotation="0" wrapText="false" indent="0" shrinkToFit="false"/>
      <protection locked="true" hidden="false"/>
    </xf>
    <xf numFmtId="168" fontId="11" fillId="4" borderId="0" xfId="0" applyFont="true" applyBorder="false" applyAlignment="false" applyProtection="false">
      <alignment horizontal="general" vertical="bottom" textRotation="0" wrapText="false" indent="0" shrinkToFit="false"/>
      <protection locked="true" hidden="false"/>
    </xf>
    <xf numFmtId="170" fontId="10" fillId="0" borderId="0" xfId="0" applyFont="true" applyBorder="false" applyAlignment="false" applyProtection="false">
      <alignment horizontal="general" vertical="bottom" textRotation="0" wrapText="false" indent="0" shrinkToFit="false"/>
      <protection locked="true" hidden="false"/>
    </xf>
    <xf numFmtId="170" fontId="11" fillId="4" borderId="0" xfId="0" applyFont="true" applyBorder="false" applyAlignment="false" applyProtection="false">
      <alignment horizontal="general" vertical="bottom" textRotation="0" wrapText="false" indent="0" shrinkToFit="false"/>
      <protection locked="true" hidden="false"/>
    </xf>
    <xf numFmtId="164" fontId="13" fillId="0" borderId="1" xfId="0" applyFont="true" applyBorder="true" applyAlignment="false" applyProtection="false">
      <alignment horizontal="general" vertical="bottom" textRotation="0" wrapText="false" indent="0" shrinkToFit="false"/>
      <protection locked="true" hidden="false"/>
    </xf>
    <xf numFmtId="166" fontId="13" fillId="0" borderId="1" xfId="0" applyFont="true" applyBorder="true" applyAlignment="false" applyProtection="false">
      <alignment horizontal="general" vertical="bottom" textRotation="0" wrapText="false" indent="0" shrinkToFit="false"/>
      <protection locked="true" hidden="false"/>
    </xf>
    <xf numFmtId="168" fontId="13" fillId="0" borderId="1" xfId="0" applyFont="true" applyBorder="true" applyAlignment="false" applyProtection="false">
      <alignment horizontal="general" vertical="bottom" textRotation="0" wrapText="false" indent="0" shrinkToFit="false"/>
      <protection locked="true" hidden="false"/>
    </xf>
    <xf numFmtId="173" fontId="10" fillId="0" borderId="0" xfId="0" applyFont="true" applyBorder="false" applyAlignment="false" applyProtection="false">
      <alignment horizontal="general" vertical="bottom" textRotation="0" wrapText="false" indent="0" shrinkToFit="false"/>
      <protection locked="true" hidden="false"/>
    </xf>
    <xf numFmtId="164" fontId="19" fillId="0" borderId="1" xfId="0" applyFont="true" applyBorder="true" applyAlignment="false" applyProtection="false">
      <alignment horizontal="general" vertical="bottom" textRotation="0" wrapText="false" indent="0" shrinkToFit="false"/>
      <protection locked="true" hidden="false"/>
    </xf>
    <xf numFmtId="168" fontId="20" fillId="8" borderId="1" xfId="0" applyFont="true" applyBorder="true" applyAlignment="false" applyProtection="false">
      <alignment horizontal="general" vertical="bottom" textRotation="0" wrapText="false" indent="0" shrinkToFit="false"/>
      <protection locked="true" hidden="false"/>
    </xf>
    <xf numFmtId="164" fontId="21" fillId="0" borderId="0" xfId="0" applyFont="true" applyBorder="false" applyAlignment="false" applyProtection="false">
      <alignment horizontal="general" vertical="bottom" textRotation="0" wrapText="false" indent="0" shrinkToFit="false"/>
      <protection locked="true" hidden="false"/>
    </xf>
    <xf numFmtId="168" fontId="4" fillId="9" borderId="0" xfId="0" applyFont="true" applyBorder="false" applyAlignment="false" applyProtection="false">
      <alignment horizontal="general" vertical="bottom" textRotation="0" wrapText="false" indent="0" shrinkToFit="false"/>
      <protection locked="true" hidden="false"/>
    </xf>
    <xf numFmtId="168" fontId="9" fillId="0" borderId="0" xfId="0" applyFont="true" applyBorder="false" applyAlignment="false" applyProtection="false">
      <alignment horizontal="general" vertical="bottom" textRotation="0" wrapText="false" indent="0" shrinkToFit="false"/>
      <protection locked="true" hidden="false"/>
    </xf>
    <xf numFmtId="174" fontId="9" fillId="0" borderId="0" xfId="0" applyFont="true" applyBorder="false" applyAlignment="false" applyProtection="false">
      <alignment horizontal="general" vertical="bottom" textRotation="0" wrapText="false" indent="0" shrinkToFit="false"/>
      <protection locked="true" hidden="false"/>
    </xf>
    <xf numFmtId="175" fontId="9"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C0000"/>
      <rgbColor rgb="FF00FF00"/>
      <rgbColor rgb="FF0000FF"/>
      <rgbColor rgb="FFFFFF00"/>
      <rgbColor rgb="FFFF00FF"/>
      <rgbColor rgb="FF00FFFF"/>
      <rgbColor rgb="FF800000"/>
      <rgbColor rgb="FF006100"/>
      <rgbColor rgb="FF000080"/>
      <rgbColor rgb="FF808000"/>
      <rgbColor rgb="FF800080"/>
      <rgbColor rgb="FF008080"/>
      <rgbColor rgb="FFC0C0C0"/>
      <rgbColor rgb="FF888888"/>
      <rgbColor rgb="FF9999FF"/>
      <rgbColor rgb="FF993366"/>
      <rgbColor rgb="FFFFF8E1"/>
      <rgbColor rgb="FFE2EFDA"/>
      <rgbColor rgb="FF4A148C"/>
      <rgbColor rgb="FFFF8080"/>
      <rgbColor rgb="FF0066CC"/>
      <rgbColor rgb="FFD6E4F0"/>
      <rgbColor rgb="FF000080"/>
      <rgbColor rgb="FFFF00FF"/>
      <rgbColor rgb="FFFFFF00"/>
      <rgbColor rgb="FF00FFFF"/>
      <rgbColor rgb="FF800080"/>
      <rgbColor rgb="FF800000"/>
      <rgbColor rgb="FF008080"/>
      <rgbColor rgb="FF0000FF"/>
      <rgbColor rgb="FF00CCFF"/>
      <rgbColor rgb="FFE8EAF6"/>
      <rgbColor rgb="FFC6EFCE"/>
      <rgbColor rgb="FFFFF2CC"/>
      <rgbColor rgb="FF99CCFF"/>
      <rgbColor rgb="FFFF99CC"/>
      <rgbColor rgb="FFCC99FF"/>
      <rgbColor rgb="FFFCE4EC"/>
      <rgbColor rgb="FF3366FF"/>
      <rgbColor rgb="FF33CCCC"/>
      <rgbColor rgb="FF99CC00"/>
      <rgbColor rgb="FFFFCC00"/>
      <rgbColor rgb="FFFF9900"/>
      <rgbColor rgb="FFE65100"/>
      <rgbColor rgb="FF666666"/>
      <rgbColor rgb="FF969696"/>
      <rgbColor rgb="FF003366"/>
      <rgbColor rgb="FF339966"/>
      <rgbColor rgb="FF003300"/>
      <rgbColor rgb="FF333300"/>
      <rgbColor rgb="FF993300"/>
      <rgbColor rgb="FF993366"/>
      <rgbColor rgb="FF2F5496"/>
      <rgbColor rgb="FF44444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0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 collapsed="false" customWidth="true" hidden="false" outlineLevel="0" max="2" min="2" style="0" width="20"/>
    <col collapsed="false" customWidth="true" hidden="false" outlineLevel="0" max="3" min="3" style="0" width="16"/>
    <col collapsed="false" customWidth="true" hidden="false" outlineLevel="0" max="4" min="4" style="0" width="22"/>
    <col collapsed="false" customWidth="true" hidden="false" outlineLevel="0" max="5" min="5" style="0" width="18"/>
    <col collapsed="false" customWidth="true" hidden="false" outlineLevel="0" max="6" min="6" style="0" width="32"/>
    <col collapsed="false" customWidth="true" hidden="false" outlineLevel="0" max="7" min="7" style="0" width="75"/>
  </cols>
  <sheetData>
    <row r="1" customFormat="false" ht="17.35"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3" t="s">
        <v>2</v>
      </c>
    </row>
    <row r="4" customFormat="false" ht="15" hidden="false" customHeight="false" outlineLevel="0" collapsed="false">
      <c r="A4" s="4" t="s">
        <v>3</v>
      </c>
    </row>
    <row r="6" customFormat="false" ht="15" hidden="false" customHeight="false" outlineLevel="0" collapsed="false">
      <c r="A6" s="5" t="s">
        <v>4</v>
      </c>
      <c r="B6" s="6"/>
      <c r="C6" s="6"/>
      <c r="D6" s="6"/>
      <c r="E6" s="6"/>
      <c r="F6" s="6"/>
      <c r="G6" s="6"/>
    </row>
    <row r="7" customFormat="false" ht="15" hidden="false" customHeight="false" outlineLevel="0" collapsed="false">
      <c r="A7" s="7" t="s">
        <v>5</v>
      </c>
      <c r="B7" s="7" t="s">
        <v>6</v>
      </c>
      <c r="C7" s="7" t="s">
        <v>7</v>
      </c>
      <c r="D7" s="7" t="s">
        <v>8</v>
      </c>
      <c r="E7" s="7" t="s">
        <v>9</v>
      </c>
      <c r="F7" s="7"/>
      <c r="G7" s="7" t="s">
        <v>10</v>
      </c>
    </row>
    <row r="8" customFormat="false" ht="15" hidden="false" customHeight="false" outlineLevel="0" collapsed="false">
      <c r="A8" s="8" t="s">
        <v>11</v>
      </c>
      <c r="B8" s="9" t="n">
        <v>39168</v>
      </c>
      <c r="C8" s="8" t="s">
        <v>12</v>
      </c>
      <c r="D8" s="10" t="s">
        <v>13</v>
      </c>
      <c r="E8" s="10" t="s">
        <v>14</v>
      </c>
      <c r="G8" s="10" t="s">
        <v>15</v>
      </c>
    </row>
    <row r="9" customFormat="false" ht="15" hidden="false" customHeight="false" outlineLevel="0" collapsed="false">
      <c r="A9" s="8" t="s">
        <v>16</v>
      </c>
      <c r="B9" s="9" t="s">
        <v>17</v>
      </c>
      <c r="C9" s="8"/>
      <c r="D9" s="10" t="s">
        <v>18</v>
      </c>
      <c r="E9" s="10" t="s">
        <v>14</v>
      </c>
      <c r="G9" s="10" t="s">
        <v>15</v>
      </c>
    </row>
    <row r="10" customFormat="false" ht="15" hidden="false" customHeight="false" outlineLevel="0" collapsed="false">
      <c r="A10" s="8" t="s">
        <v>19</v>
      </c>
      <c r="B10" s="9" t="s">
        <v>20</v>
      </c>
      <c r="C10" s="8"/>
      <c r="D10" s="10" t="s">
        <v>21</v>
      </c>
      <c r="E10" s="10" t="s">
        <v>22</v>
      </c>
      <c r="G10" s="10" t="s">
        <v>23</v>
      </c>
    </row>
    <row r="11" customFormat="false" ht="15" hidden="false" customHeight="false" outlineLevel="0" collapsed="false">
      <c r="A11" s="8" t="s">
        <v>24</v>
      </c>
      <c r="B11" s="9" t="n">
        <v>11.1</v>
      </c>
      <c r="C11" s="8" t="s">
        <v>25</v>
      </c>
      <c r="D11" s="10" t="s">
        <v>26</v>
      </c>
      <c r="E11" s="10" t="s">
        <v>14</v>
      </c>
      <c r="G11" s="10" t="s">
        <v>23</v>
      </c>
    </row>
    <row r="12" customFormat="false" ht="15" hidden="false" customHeight="false" outlineLevel="0" collapsed="false">
      <c r="A12" s="8" t="s">
        <v>27</v>
      </c>
      <c r="B12" s="9" t="n">
        <v>50</v>
      </c>
      <c r="C12" s="8" t="s">
        <v>28</v>
      </c>
      <c r="D12" s="10" t="s">
        <v>29</v>
      </c>
      <c r="E12" s="10" t="s">
        <v>14</v>
      </c>
      <c r="G12" s="10" t="s">
        <v>30</v>
      </c>
    </row>
    <row r="14" customFormat="false" ht="15" hidden="false" customHeight="false" outlineLevel="0" collapsed="false">
      <c r="A14" s="11" t="s">
        <v>31</v>
      </c>
      <c r="B14" s="12"/>
      <c r="C14" s="12"/>
      <c r="D14" s="12"/>
      <c r="E14" s="12"/>
      <c r="F14" s="12"/>
      <c r="G14" s="12"/>
    </row>
    <row r="15" customFormat="false" ht="15" hidden="false" customHeight="false" outlineLevel="0" collapsed="false">
      <c r="A15" s="7" t="s">
        <v>32</v>
      </c>
      <c r="B15" s="7" t="s">
        <v>33</v>
      </c>
      <c r="C15" s="7" t="s">
        <v>34</v>
      </c>
      <c r="D15" s="7" t="s">
        <v>35</v>
      </c>
      <c r="E15" s="7"/>
      <c r="F15" s="7" t="s">
        <v>36</v>
      </c>
      <c r="G15" s="7" t="s">
        <v>10</v>
      </c>
    </row>
    <row r="16" customFormat="false" ht="15" hidden="false" customHeight="false" outlineLevel="0" collapsed="false">
      <c r="A16" s="8" t="s">
        <v>37</v>
      </c>
      <c r="B16" s="13" t="n">
        <v>2</v>
      </c>
      <c r="F16" s="10" t="s">
        <v>38</v>
      </c>
      <c r="G16" s="10" t="s">
        <v>39</v>
      </c>
    </row>
    <row r="17" customFormat="false" ht="15" hidden="false" customHeight="false" outlineLevel="0" collapsed="false">
      <c r="A17" s="8" t="s">
        <v>40</v>
      </c>
      <c r="B17" s="14" t="n">
        <f aca="false">B16*2</f>
        <v>4</v>
      </c>
      <c r="F17" s="10" t="s">
        <v>41</v>
      </c>
    </row>
    <row r="18" customFormat="false" ht="15" hidden="false" customHeight="false" outlineLevel="0" collapsed="false">
      <c r="A18" s="8" t="s">
        <v>42</v>
      </c>
      <c r="B18" s="14" t="n">
        <f aca="false">B17*2</f>
        <v>8</v>
      </c>
      <c r="F18" s="10" t="s">
        <v>43</v>
      </c>
    </row>
    <row r="19" customFormat="false" ht="15" hidden="false" customHeight="false" outlineLevel="0" collapsed="false">
      <c r="A19" s="8" t="s">
        <v>44</v>
      </c>
      <c r="B19" s="15" t="n">
        <v>900</v>
      </c>
      <c r="C19" s="8" t="s">
        <v>45</v>
      </c>
      <c r="D19" s="16" t="n">
        <f aca="false">B19/2.20462</f>
        <v>408.233618492076</v>
      </c>
      <c r="F19" s="17" t="s">
        <v>46</v>
      </c>
    </row>
    <row r="20" customFormat="false" ht="15" hidden="false" customHeight="false" outlineLevel="0" collapsed="false">
      <c r="A20" s="8" t="s">
        <v>47</v>
      </c>
      <c r="B20" s="15" t="n">
        <v>10000</v>
      </c>
      <c r="C20" s="8" t="s">
        <v>45</v>
      </c>
      <c r="D20" s="16" t="n">
        <f aca="false">B20/2.20462</f>
        <v>4535.9290943564</v>
      </c>
      <c r="F20" s="17" t="s">
        <v>48</v>
      </c>
    </row>
    <row r="21" customFormat="false" ht="15" hidden="false" customHeight="false" outlineLevel="0" collapsed="false">
      <c r="A21" s="8" t="s">
        <v>49</v>
      </c>
      <c r="B21" s="15" t="n">
        <v>2300</v>
      </c>
      <c r="C21" s="8" t="s">
        <v>45</v>
      </c>
      <c r="D21" s="16" t="n">
        <f aca="false">B21/2.20462</f>
        <v>1043.26369170197</v>
      </c>
      <c r="F21" s="17" t="s">
        <v>50</v>
      </c>
    </row>
    <row r="22" customFormat="false" ht="15" hidden="false" customHeight="false" outlineLevel="0" collapsed="false">
      <c r="A22" s="8" t="s">
        <v>51</v>
      </c>
      <c r="B22" s="18" t="n">
        <f aca="false">B21-2*B19</f>
        <v>500</v>
      </c>
      <c r="C22" s="8" t="s">
        <v>45</v>
      </c>
      <c r="D22" s="16" t="n">
        <f aca="false">B22/2.20462</f>
        <v>226.79645471782</v>
      </c>
      <c r="F22" s="17" t="s">
        <v>52</v>
      </c>
    </row>
    <row r="23" customFormat="false" ht="15" hidden="false" customHeight="false" outlineLevel="0" collapsed="false">
      <c r="A23" s="8" t="s">
        <v>53</v>
      </c>
      <c r="B23" s="18" t="n">
        <f aca="false">B20-2*B21</f>
        <v>5400</v>
      </c>
      <c r="C23" s="8" t="s">
        <v>45</v>
      </c>
      <c r="D23" s="16" t="n">
        <f aca="false">B23/2.20462</f>
        <v>2449.40171095246</v>
      </c>
      <c r="F23" s="17" t="s">
        <v>54</v>
      </c>
    </row>
    <row r="24" customFormat="false" ht="15" hidden="false" customHeight="false" outlineLevel="0" collapsed="false">
      <c r="A24" s="8" t="s">
        <v>55</v>
      </c>
      <c r="B24" s="15" t="n">
        <v>200</v>
      </c>
      <c r="C24" s="8" t="s">
        <v>56</v>
      </c>
      <c r="D24" s="16" t="n">
        <f aca="false">B24</f>
        <v>200</v>
      </c>
      <c r="F24" s="17" t="s">
        <v>57</v>
      </c>
    </row>
    <row r="25" customFormat="false" ht="15" hidden="false" customHeight="false" outlineLevel="0" collapsed="false">
      <c r="A25" s="8" t="s">
        <v>58</v>
      </c>
      <c r="B25" s="19" t="n">
        <v>386</v>
      </c>
      <c r="C25" s="8" t="s">
        <v>45</v>
      </c>
      <c r="D25" s="16" t="n">
        <f aca="false">B25/2.20462</f>
        <v>175.086863042157</v>
      </c>
      <c r="F25" s="10" t="s">
        <v>59</v>
      </c>
      <c r="G25" s="10" t="s">
        <v>60</v>
      </c>
    </row>
    <row r="26" customFormat="false" ht="15" hidden="false" customHeight="false" outlineLevel="0" collapsed="false">
      <c r="A26" s="8" t="s">
        <v>61</v>
      </c>
      <c r="B26" s="20" t="n">
        <v>3.016</v>
      </c>
      <c r="C26" s="8" t="s">
        <v>62</v>
      </c>
      <c r="F26" s="10" t="s">
        <v>63</v>
      </c>
      <c r="G26" s="10" t="s">
        <v>15</v>
      </c>
    </row>
    <row r="27" customFormat="false" ht="15" hidden="false" customHeight="false" outlineLevel="0" collapsed="false">
      <c r="A27" s="8" t="s">
        <v>64</v>
      </c>
      <c r="B27" s="21" t="n">
        <v>16.28</v>
      </c>
      <c r="C27" s="8" t="s">
        <v>62</v>
      </c>
      <c r="F27" s="10" t="s">
        <v>65</v>
      </c>
      <c r="G27" s="10" t="s">
        <v>15</v>
      </c>
    </row>
    <row r="28" customFormat="false" ht="15" hidden="false" customHeight="false" outlineLevel="0" collapsed="false">
      <c r="A28" s="8" t="s">
        <v>66</v>
      </c>
      <c r="B28" s="22" t="n">
        <v>0.0111</v>
      </c>
      <c r="C28" s="8" t="s">
        <v>62</v>
      </c>
      <c r="F28" s="10" t="s">
        <v>67</v>
      </c>
      <c r="G28" s="10" t="s">
        <v>23</v>
      </c>
    </row>
    <row r="29" customFormat="false" ht="15" hidden="false" customHeight="false" outlineLevel="0" collapsed="false">
      <c r="A29" s="8" t="s">
        <v>68</v>
      </c>
      <c r="B29" s="19" t="n">
        <v>7850</v>
      </c>
      <c r="C29" s="8" t="s">
        <v>69</v>
      </c>
      <c r="F29" s="10" t="s">
        <v>70</v>
      </c>
      <c r="G29" s="10" t="s">
        <v>71</v>
      </c>
    </row>
    <row r="30" customFormat="false" ht="15" hidden="false" customHeight="false" outlineLevel="0" collapsed="false">
      <c r="A30" s="8" t="s">
        <v>72</v>
      </c>
      <c r="B30" s="23" t="n">
        <v>0.07</v>
      </c>
      <c r="C30" s="8" t="s">
        <v>62</v>
      </c>
      <c r="F30" s="17" t="s">
        <v>73</v>
      </c>
      <c r="G30" s="10" t="s">
        <v>74</v>
      </c>
    </row>
    <row r="31" customFormat="false" ht="15" hidden="false" customHeight="false" outlineLevel="0" collapsed="false">
      <c r="A31" s="8" t="s">
        <v>75</v>
      </c>
      <c r="B31" s="24" t="n">
        <f aca="false">B26+2*B30</f>
        <v>3.156</v>
      </c>
      <c r="C31" s="8" t="s">
        <v>62</v>
      </c>
      <c r="F31" s="10" t="s">
        <v>76</v>
      </c>
    </row>
    <row r="32" customFormat="false" ht="15" hidden="false" customHeight="false" outlineLevel="0" collapsed="false">
      <c r="A32" s="8" t="s">
        <v>77</v>
      </c>
      <c r="B32" s="25" t="n">
        <v>0.00304</v>
      </c>
      <c r="C32" s="8" t="s">
        <v>62</v>
      </c>
      <c r="F32" s="10" t="s">
        <v>78</v>
      </c>
      <c r="G32" s="10" t="s">
        <v>79</v>
      </c>
    </row>
    <row r="33" customFormat="false" ht="15" hidden="false" customHeight="false" outlineLevel="0" collapsed="false">
      <c r="A33" s="8" t="s">
        <v>80</v>
      </c>
      <c r="B33" s="23" t="n">
        <v>0.04</v>
      </c>
      <c r="C33" s="8" t="s">
        <v>81</v>
      </c>
      <c r="F33" s="17" t="s">
        <v>82</v>
      </c>
      <c r="G33" s="10" t="s">
        <v>83</v>
      </c>
    </row>
    <row r="34" customFormat="false" ht="15" hidden="false" customHeight="false" outlineLevel="0" collapsed="false">
      <c r="A34" s="8" t="s">
        <v>84</v>
      </c>
      <c r="B34" s="15" t="n">
        <v>30</v>
      </c>
      <c r="C34" s="8" t="s">
        <v>56</v>
      </c>
      <c r="F34" s="17" t="s">
        <v>85</v>
      </c>
      <c r="G34" s="10" t="s">
        <v>86</v>
      </c>
    </row>
    <row r="35" customFormat="false" ht="15" hidden="false" customHeight="false" outlineLevel="0" collapsed="false">
      <c r="A35" s="8" t="s">
        <v>87</v>
      </c>
      <c r="B35" s="13" t="n">
        <v>4</v>
      </c>
      <c r="F35" s="17" t="s">
        <v>88</v>
      </c>
      <c r="G35" s="10" t="s">
        <v>89</v>
      </c>
    </row>
    <row r="36" customFormat="false" ht="15" hidden="false" customHeight="false" outlineLevel="0" collapsed="false">
      <c r="A36" s="8" t="s">
        <v>90</v>
      </c>
      <c r="B36" s="15" t="n">
        <v>50</v>
      </c>
      <c r="C36" s="8" t="s">
        <v>56</v>
      </c>
      <c r="F36" s="17" t="s">
        <v>91</v>
      </c>
    </row>
    <row r="37" customFormat="false" ht="15" hidden="false" customHeight="false" outlineLevel="0" collapsed="false">
      <c r="A37" s="8" t="s">
        <v>92</v>
      </c>
      <c r="B37" s="18" t="n">
        <f aca="false">B35*B36</f>
        <v>200</v>
      </c>
      <c r="C37" s="8" t="s">
        <v>56</v>
      </c>
      <c r="F37" s="10" t="s">
        <v>93</v>
      </c>
    </row>
    <row r="38" customFormat="false" ht="15" hidden="false" customHeight="false" outlineLevel="0" collapsed="false">
      <c r="A38" s="8" t="s">
        <v>94</v>
      </c>
      <c r="B38" s="15" t="n">
        <v>40</v>
      </c>
      <c r="C38" s="8" t="s">
        <v>56</v>
      </c>
      <c r="F38" s="17" t="s">
        <v>95</v>
      </c>
    </row>
    <row r="39" customFormat="false" ht="15" hidden="false" customHeight="false" outlineLevel="0" collapsed="false">
      <c r="A39" s="8" t="s">
        <v>96</v>
      </c>
      <c r="B39" s="15" t="n">
        <v>50</v>
      </c>
      <c r="C39" s="8" t="s">
        <v>56</v>
      </c>
      <c r="F39" s="17" t="s">
        <v>97</v>
      </c>
    </row>
    <row r="40" customFormat="false" ht="15" hidden="false" customHeight="false" outlineLevel="0" collapsed="false">
      <c r="A40" s="8" t="s">
        <v>98</v>
      </c>
      <c r="B40" s="15" t="n">
        <v>30</v>
      </c>
      <c r="C40" s="8" t="s">
        <v>56</v>
      </c>
      <c r="F40" s="17" t="s">
        <v>99</v>
      </c>
    </row>
    <row r="41" customFormat="false" ht="15" hidden="false" customHeight="false" outlineLevel="0" collapsed="false">
      <c r="A41" s="8" t="s">
        <v>100</v>
      </c>
      <c r="B41" s="15" t="n">
        <v>50</v>
      </c>
      <c r="C41" s="8" t="s">
        <v>56</v>
      </c>
      <c r="F41" s="17" t="s">
        <v>101</v>
      </c>
    </row>
    <row r="42" customFormat="false" ht="15" hidden="false" customHeight="false" outlineLevel="0" collapsed="false">
      <c r="A42" s="8" t="s">
        <v>102</v>
      </c>
      <c r="B42" s="15" t="n">
        <v>125</v>
      </c>
      <c r="C42" s="8" t="s">
        <v>56</v>
      </c>
      <c r="F42" s="17" t="s">
        <v>103</v>
      </c>
      <c r="G42" s="10" t="s">
        <v>104</v>
      </c>
    </row>
    <row r="43" customFormat="false" ht="15" hidden="false" customHeight="false" outlineLevel="0" collapsed="false">
      <c r="A43" s="8" t="s">
        <v>105</v>
      </c>
      <c r="B43" s="15" t="n">
        <v>35</v>
      </c>
      <c r="C43" s="8" t="s">
        <v>56</v>
      </c>
      <c r="F43" s="17" t="s">
        <v>106</v>
      </c>
    </row>
    <row r="44" customFormat="false" ht="15" hidden="false" customHeight="false" outlineLevel="0" collapsed="false">
      <c r="A44" s="8" t="s">
        <v>107</v>
      </c>
      <c r="B44" s="15" t="n">
        <v>80</v>
      </c>
      <c r="C44" s="8" t="s">
        <v>56</v>
      </c>
      <c r="F44" s="17" t="s">
        <v>108</v>
      </c>
    </row>
    <row r="45" customFormat="false" ht="15" hidden="false" customHeight="false" outlineLevel="0" collapsed="false">
      <c r="A45" s="8" t="s">
        <v>109</v>
      </c>
      <c r="B45" s="15" t="n">
        <v>110</v>
      </c>
      <c r="C45" s="8" t="s">
        <v>56</v>
      </c>
      <c r="F45" s="17" t="s">
        <v>110</v>
      </c>
    </row>
    <row r="46" customFormat="false" ht="15" hidden="false" customHeight="false" outlineLevel="0" collapsed="false">
      <c r="A46" s="8" t="s">
        <v>111</v>
      </c>
      <c r="B46" s="15" t="n">
        <v>60</v>
      </c>
      <c r="C46" s="8" t="s">
        <v>56</v>
      </c>
      <c r="F46" s="17" t="s">
        <v>112</v>
      </c>
    </row>
    <row r="47" customFormat="false" ht="15" hidden="false" customHeight="false" outlineLevel="0" collapsed="false">
      <c r="A47" s="8" t="s">
        <v>113</v>
      </c>
      <c r="B47" s="15" t="n">
        <v>50</v>
      </c>
      <c r="C47" s="8" t="s">
        <v>56</v>
      </c>
      <c r="F47" s="17" t="s">
        <v>114</v>
      </c>
    </row>
    <row r="48" customFormat="false" ht="15" hidden="false" customHeight="false" outlineLevel="0" collapsed="false">
      <c r="A48" s="8" t="s">
        <v>115</v>
      </c>
      <c r="B48" s="15" t="n">
        <v>50</v>
      </c>
      <c r="C48" s="8" t="s">
        <v>56</v>
      </c>
      <c r="F48" s="17" t="s">
        <v>116</v>
      </c>
    </row>
    <row r="49" customFormat="false" ht="15" hidden="false" customHeight="false" outlineLevel="0" collapsed="false">
      <c r="A49" s="8" t="s">
        <v>117</v>
      </c>
      <c r="B49" s="15" t="n">
        <v>125</v>
      </c>
      <c r="C49" s="8" t="s">
        <v>69</v>
      </c>
      <c r="F49" s="17" t="s">
        <v>118</v>
      </c>
      <c r="G49" s="10" t="s">
        <v>119</v>
      </c>
    </row>
    <row r="50" customFormat="false" ht="15" hidden="false" customHeight="false" outlineLevel="0" collapsed="false">
      <c r="A50" s="8" t="s">
        <v>120</v>
      </c>
      <c r="B50" s="26" t="n">
        <v>1.45</v>
      </c>
      <c r="F50" s="17" t="s">
        <v>121</v>
      </c>
    </row>
    <row r="51" customFormat="false" ht="15" hidden="false" customHeight="false" outlineLevel="0" collapsed="false">
      <c r="A51" s="8" t="s">
        <v>122</v>
      </c>
      <c r="B51" s="27" t="n">
        <v>4</v>
      </c>
      <c r="F51" s="17" t="s">
        <v>123</v>
      </c>
    </row>
    <row r="52" customFormat="false" ht="15" hidden="false" customHeight="false" outlineLevel="0" collapsed="false">
      <c r="A52" s="8" t="s">
        <v>124</v>
      </c>
      <c r="B52" s="15" t="n">
        <v>50</v>
      </c>
      <c r="C52" s="8" t="s">
        <v>62</v>
      </c>
      <c r="F52" s="17" t="s">
        <v>125</v>
      </c>
    </row>
    <row r="53" customFormat="false" ht="15" hidden="false" customHeight="false" outlineLevel="0" collapsed="false">
      <c r="A53" s="8" t="s">
        <v>126</v>
      </c>
      <c r="B53" s="18" t="n">
        <f aca="false">B51*B52</f>
        <v>200</v>
      </c>
      <c r="C53" s="8" t="s">
        <v>62</v>
      </c>
      <c r="F53" s="10" t="s">
        <v>127</v>
      </c>
    </row>
    <row r="54" customFormat="false" ht="15" hidden="false" customHeight="false" outlineLevel="0" collapsed="false">
      <c r="A54" s="8" t="s">
        <v>128</v>
      </c>
      <c r="B54" s="21" t="n">
        <v>7.58</v>
      </c>
      <c r="C54" s="8" t="s">
        <v>129</v>
      </c>
      <c r="F54" s="10" t="s">
        <v>130</v>
      </c>
      <c r="G54" s="10" t="s">
        <v>131</v>
      </c>
    </row>
    <row r="55" customFormat="false" ht="15" hidden="false" customHeight="false" outlineLevel="0" collapsed="false">
      <c r="A55" s="8" t="s">
        <v>132</v>
      </c>
      <c r="B55" s="26" t="n">
        <v>1.65</v>
      </c>
      <c r="F55" s="17" t="s">
        <v>133</v>
      </c>
    </row>
    <row r="56" customFormat="false" ht="15" hidden="false" customHeight="false" outlineLevel="0" collapsed="false">
      <c r="A56" s="8" t="s">
        <v>134</v>
      </c>
      <c r="B56" s="15" t="n">
        <v>23</v>
      </c>
      <c r="C56" s="8" t="s">
        <v>135</v>
      </c>
      <c r="F56" s="17" t="s">
        <v>136</v>
      </c>
    </row>
    <row r="57" customFormat="false" ht="15" hidden="false" customHeight="false" outlineLevel="0" collapsed="false">
      <c r="A57" s="8" t="s">
        <v>137</v>
      </c>
      <c r="B57" s="18" t="n">
        <f aca="false">ROUND(PI()*B31*B27+2*PI()*(B31/2)^2+B56, 0)</f>
        <v>200</v>
      </c>
      <c r="C57" s="8" t="s">
        <v>135</v>
      </c>
      <c r="F57" s="10" t="s">
        <v>138</v>
      </c>
    </row>
    <row r="58" customFormat="false" ht="15" hidden="false" customHeight="false" outlineLevel="0" collapsed="false">
      <c r="A58" s="8" t="s">
        <v>139</v>
      </c>
      <c r="B58" s="26" t="n">
        <v>0.5</v>
      </c>
      <c r="C58" s="8" t="s">
        <v>140</v>
      </c>
      <c r="F58" s="17" t="s">
        <v>141</v>
      </c>
    </row>
    <row r="60" customFormat="false" ht="15" hidden="false" customHeight="false" outlineLevel="0" collapsed="false">
      <c r="A60" s="5" t="s">
        <v>142</v>
      </c>
      <c r="B60" s="6"/>
      <c r="C60" s="6"/>
      <c r="D60" s="6"/>
      <c r="E60" s="6"/>
      <c r="F60" s="6"/>
      <c r="G60" s="6"/>
    </row>
    <row r="61" customFormat="false" ht="15" hidden="false" customHeight="false" outlineLevel="0" collapsed="false">
      <c r="A61" s="7" t="s">
        <v>143</v>
      </c>
      <c r="B61" s="7" t="s">
        <v>144</v>
      </c>
      <c r="C61" s="7" t="s">
        <v>145</v>
      </c>
      <c r="D61" s="7" t="s">
        <v>146</v>
      </c>
      <c r="E61" s="7" t="s">
        <v>147</v>
      </c>
      <c r="F61" s="7" t="s">
        <v>148</v>
      </c>
      <c r="G61" s="7" t="s">
        <v>10</v>
      </c>
    </row>
    <row r="62" customFormat="false" ht="15" hidden="false" customHeight="false" outlineLevel="0" collapsed="false">
      <c r="A62" s="8" t="s">
        <v>149</v>
      </c>
      <c r="B62" s="18" t="n">
        <f aca="false">ROUND(PI()*B26*B27*B28*B29 + 2*PI()*(B26/2)^2*B28*B29, 0)</f>
        <v>14686</v>
      </c>
      <c r="C62" s="28" t="n">
        <f aca="false">B62/B$8</f>
        <v>0.374948937908497</v>
      </c>
      <c r="D62" s="8" t="s">
        <v>150</v>
      </c>
      <c r="E62" s="10" t="s">
        <v>151</v>
      </c>
      <c r="F62" s="10" t="s">
        <v>152</v>
      </c>
    </row>
    <row r="63" customFormat="false" ht="15" hidden="false" customHeight="false" outlineLevel="0" collapsed="false">
      <c r="A63" s="8" t="s">
        <v>153</v>
      </c>
      <c r="B63" s="18" t="n">
        <f aca="false">ROUND(B18*D19, 0)</f>
        <v>3266</v>
      </c>
      <c r="C63" s="28" t="n">
        <f aca="false">B63/B$8</f>
        <v>0.0833843954248366</v>
      </c>
      <c r="D63" s="8" t="s">
        <v>154</v>
      </c>
      <c r="E63" s="10" t="s">
        <v>155</v>
      </c>
      <c r="F63" s="17" t="s">
        <v>156</v>
      </c>
    </row>
    <row r="64" customFormat="false" ht="15" hidden="false" customHeight="false" outlineLevel="0" collapsed="false">
      <c r="A64" s="8" t="s">
        <v>157</v>
      </c>
      <c r="B64" s="18" t="n">
        <f aca="false">ROUND(B17*D22, 0)</f>
        <v>907</v>
      </c>
      <c r="C64" s="28" t="n">
        <f aca="false">B64/B$8</f>
        <v>0.023156658496732</v>
      </c>
      <c r="D64" s="8" t="s">
        <v>158</v>
      </c>
      <c r="E64" s="10" t="s">
        <v>159</v>
      </c>
      <c r="F64" s="17" t="s">
        <v>160</v>
      </c>
    </row>
    <row r="65" customFormat="false" ht="15" hidden="false" customHeight="false" outlineLevel="0" collapsed="false">
      <c r="A65" s="8" t="s">
        <v>161</v>
      </c>
      <c r="B65" s="18" t="n">
        <f aca="false">ROUND(B16*D20 - B63 - B64, 0)</f>
        <v>4899</v>
      </c>
      <c r="C65" s="28" t="n">
        <f aca="false">B65/B$8</f>
        <v>0.125076593137255</v>
      </c>
      <c r="D65" s="8" t="s">
        <v>162</v>
      </c>
      <c r="E65" s="10" t="s">
        <v>163</v>
      </c>
      <c r="F65" s="17" t="s">
        <v>164</v>
      </c>
    </row>
    <row r="66" customFormat="false" ht="15" hidden="false" customHeight="false" outlineLevel="0" collapsed="false">
      <c r="A66" s="8" t="s">
        <v>165</v>
      </c>
      <c r="B66" s="18" t="n">
        <f aca="false">ROUND(B$8*B33, 0)</f>
        <v>1567</v>
      </c>
      <c r="C66" s="28" t="n">
        <f aca="false">B66/B$8</f>
        <v>0.0400071486928105</v>
      </c>
      <c r="D66" s="8" t="s">
        <v>166</v>
      </c>
      <c r="E66" s="17" t="s">
        <v>167</v>
      </c>
      <c r="F66" s="17" t="s">
        <v>168</v>
      </c>
    </row>
    <row r="67" customFormat="false" ht="15" hidden="false" customHeight="false" outlineLevel="0" collapsed="false">
      <c r="A67" s="8" t="s">
        <v>169</v>
      </c>
      <c r="B67" s="18" t="n">
        <f aca="false">ROUND(2*D24, 0)</f>
        <v>400</v>
      </c>
      <c r="C67" s="28" t="n">
        <f aca="false">B67/B$8</f>
        <v>0.0102124183006536</v>
      </c>
      <c r="D67" s="8" t="s">
        <v>162</v>
      </c>
      <c r="E67" s="10" t="s">
        <v>170</v>
      </c>
      <c r="F67" s="17" t="s">
        <v>171</v>
      </c>
    </row>
    <row r="68" customFormat="false" ht="15" hidden="false" customHeight="false" outlineLevel="0" collapsed="false">
      <c r="A68" s="8" t="s">
        <v>172</v>
      </c>
      <c r="B68" s="18" t="n">
        <f aca="false">ROUND(2*D25, 0)</f>
        <v>350</v>
      </c>
      <c r="C68" s="28" t="n">
        <f aca="false">B68/B$8</f>
        <v>0.0089358660130719</v>
      </c>
      <c r="D68" s="8" t="s">
        <v>173</v>
      </c>
      <c r="E68" s="10" t="s">
        <v>174</v>
      </c>
      <c r="F68" s="10" t="s">
        <v>175</v>
      </c>
    </row>
    <row r="69" customFormat="false" ht="15" hidden="false" customHeight="false" outlineLevel="0" collapsed="false">
      <c r="A69" s="8" t="s">
        <v>176</v>
      </c>
      <c r="B69" s="18" t="n">
        <f aca="false">B34+B37+B38+B39+B40+B41</f>
        <v>400</v>
      </c>
      <c r="C69" s="28" t="n">
        <f aca="false">B69/B$8</f>
        <v>0.0102124183006536</v>
      </c>
      <c r="D69" s="8" t="s">
        <v>177</v>
      </c>
      <c r="E69" s="17" t="s">
        <v>178</v>
      </c>
      <c r="F69" s="17" t="s">
        <v>179</v>
      </c>
    </row>
    <row r="70" customFormat="false" ht="15" hidden="false" customHeight="false" outlineLevel="0" collapsed="false">
      <c r="A70" s="8" t="s">
        <v>180</v>
      </c>
      <c r="B70" s="18" t="n">
        <f aca="false">B42+B43+B44+B45</f>
        <v>350</v>
      </c>
      <c r="C70" s="28" t="n">
        <f aca="false">B70/B$8</f>
        <v>0.0089358660130719</v>
      </c>
      <c r="D70" s="8" t="s">
        <v>181</v>
      </c>
      <c r="E70" s="17" t="s">
        <v>182</v>
      </c>
      <c r="F70" s="17" t="s">
        <v>179</v>
      </c>
    </row>
    <row r="71" customFormat="false" ht="15" hidden="false" customHeight="false" outlineLevel="0" collapsed="false">
      <c r="A71" s="8" t="s">
        <v>183</v>
      </c>
      <c r="B71" s="18" t="n">
        <f aca="false">B46+B47+B48</f>
        <v>160</v>
      </c>
      <c r="C71" s="28" t="n">
        <f aca="false">B71/B$8</f>
        <v>0.00408496732026144</v>
      </c>
      <c r="D71" s="8" t="s">
        <v>184</v>
      </c>
      <c r="E71" s="17" t="s">
        <v>185</v>
      </c>
      <c r="F71" s="17" t="s">
        <v>179</v>
      </c>
    </row>
    <row r="72" customFormat="false" ht="15" hidden="false" customHeight="false" outlineLevel="0" collapsed="false">
      <c r="A72" s="8" t="s">
        <v>186</v>
      </c>
      <c r="B72" s="18" t="n">
        <f aca="false">ROUND(PI()*B31*B27*B32*B29 + 2*PI()*(B31/2)^2*B32*B29, 0)</f>
        <v>4225</v>
      </c>
      <c r="C72" s="28" t="n">
        <f aca="false">B72/B$8</f>
        <v>0.107868668300654</v>
      </c>
      <c r="D72" s="8" t="s">
        <v>187</v>
      </c>
      <c r="E72" s="10" t="s">
        <v>188</v>
      </c>
      <c r="F72" s="10" t="s">
        <v>189</v>
      </c>
    </row>
    <row r="73" customFormat="false" ht="15" hidden="false" customHeight="false" outlineLevel="0" collapsed="false">
      <c r="A73" s="8" t="s">
        <v>190</v>
      </c>
      <c r="B73" s="18" t="n">
        <f aca="false">ROUND(PI()/4*(B31^2-B26^2)*B27*B49*B50, 0)</f>
        <v>2003</v>
      </c>
      <c r="C73" s="28" t="n">
        <f aca="false">B73/B$8</f>
        <v>0.0511386846405229</v>
      </c>
      <c r="D73" s="8" t="s">
        <v>191</v>
      </c>
      <c r="E73" s="17" t="s">
        <v>192</v>
      </c>
      <c r="F73" s="17" t="s">
        <v>193</v>
      </c>
    </row>
    <row r="74" customFormat="false" ht="15" hidden="false" customHeight="false" outlineLevel="0" collapsed="false">
      <c r="A74" s="8" t="s">
        <v>194</v>
      </c>
      <c r="B74" s="18" t="n">
        <f aca="false">ROUND(B53*B54*B55, 0)</f>
        <v>2501</v>
      </c>
      <c r="C74" s="28" t="n">
        <f aca="false">B74/B$8</f>
        <v>0.0638531454248366</v>
      </c>
      <c r="D74" s="8" t="s">
        <v>195</v>
      </c>
      <c r="E74" s="17" t="s">
        <v>196</v>
      </c>
      <c r="F74" s="17" t="s">
        <v>197</v>
      </c>
    </row>
    <row r="75" customFormat="false" ht="15" hidden="false" customHeight="false" outlineLevel="0" collapsed="false">
      <c r="A75" s="8" t="s">
        <v>198</v>
      </c>
      <c r="B75" s="18" t="n">
        <f aca="false">ROUND(B57*B58, 0)</f>
        <v>100</v>
      </c>
      <c r="C75" s="28" t="n">
        <f aca="false">B75/B$8</f>
        <v>0.0025531045751634</v>
      </c>
      <c r="D75" s="8" t="s">
        <v>199</v>
      </c>
      <c r="E75" s="17" t="s">
        <v>200</v>
      </c>
      <c r="F75" s="17" t="s">
        <v>201</v>
      </c>
    </row>
    <row r="76" customFormat="false" ht="15" hidden="false" customHeight="false" outlineLevel="0" collapsed="false">
      <c r="A76" s="8" t="s">
        <v>202</v>
      </c>
      <c r="B76" s="18" t="n">
        <f aca="false">B8-SUM(B62:B75)</f>
        <v>3354</v>
      </c>
      <c r="C76" s="28" t="n">
        <f aca="false">B76/B$8</f>
        <v>0.0856311274509804</v>
      </c>
      <c r="D76" s="8" t="s">
        <v>203</v>
      </c>
      <c r="E76" s="10" t="s">
        <v>204</v>
      </c>
      <c r="F76" s="10" t="s">
        <v>205</v>
      </c>
    </row>
    <row r="77" customFormat="false" ht="15" hidden="false" customHeight="false" outlineLevel="0" collapsed="false">
      <c r="A77" s="29" t="s">
        <v>206</v>
      </c>
      <c r="B77" s="30" t="n">
        <f aca="false">SUM(B62:B76)</f>
        <v>39168</v>
      </c>
      <c r="C77" s="31" t="n">
        <f aca="false">B77/B$8</f>
        <v>1</v>
      </c>
      <c r="D77" s="32"/>
      <c r="E77" s="32"/>
      <c r="F77" s="32"/>
      <c r="G77" s="32"/>
    </row>
    <row r="78" customFormat="false" ht="15" hidden="false" customHeight="false" outlineLevel="0" collapsed="false">
      <c r="A78" s="33" t="s">
        <v>207</v>
      </c>
      <c r="B78" s="34" t="n">
        <f aca="false">B$8-B77</f>
        <v>0</v>
      </c>
    </row>
    <row r="80" customFormat="false" ht="15" hidden="false" customHeight="false" outlineLevel="0" collapsed="false">
      <c r="A80" s="5" t="s">
        <v>208</v>
      </c>
      <c r="B80" s="6"/>
      <c r="C80" s="6"/>
      <c r="D80" s="6"/>
      <c r="E80" s="6"/>
      <c r="F80" s="6"/>
      <c r="G80" s="6"/>
    </row>
    <row r="81" customFormat="false" ht="15" hidden="false" customHeight="false" outlineLevel="0" collapsed="false">
      <c r="A81" s="7" t="s">
        <v>209</v>
      </c>
      <c r="B81" s="7" t="s">
        <v>210</v>
      </c>
      <c r="C81" s="7" t="s">
        <v>34</v>
      </c>
      <c r="D81" s="7" t="s">
        <v>211</v>
      </c>
      <c r="E81" s="7" t="s">
        <v>212</v>
      </c>
      <c r="F81" s="7" t="s">
        <v>213</v>
      </c>
      <c r="G81" s="7" t="s">
        <v>10</v>
      </c>
    </row>
    <row r="82" customFormat="false" ht="15" hidden="false" customHeight="false" outlineLevel="0" collapsed="false">
      <c r="A82" s="8" t="s">
        <v>214</v>
      </c>
      <c r="B82" s="35" t="n">
        <v>1408.8</v>
      </c>
      <c r="C82" s="8" t="s">
        <v>215</v>
      </c>
      <c r="D82" s="36" t="n">
        <f aca="false">B82*2.20462/1000</f>
        <v>3.105868656</v>
      </c>
      <c r="E82" s="8" t="s">
        <v>212</v>
      </c>
      <c r="F82" s="10" t="s">
        <v>216</v>
      </c>
      <c r="G82" s="10" t="s">
        <v>217</v>
      </c>
    </row>
    <row r="83" customFormat="false" ht="15" hidden="false" customHeight="false" outlineLevel="0" collapsed="false">
      <c r="A83" s="8" t="s">
        <v>218</v>
      </c>
      <c r="B83" s="35" t="n">
        <v>292.68</v>
      </c>
      <c r="C83" s="8" t="s">
        <v>215</v>
      </c>
      <c r="D83" s="36" t="n">
        <f aca="false">B83*2.20462/1000</f>
        <v>0.6452481816</v>
      </c>
      <c r="E83" s="8" t="s">
        <v>212</v>
      </c>
      <c r="F83" s="10" t="s">
        <v>219</v>
      </c>
      <c r="G83" s="10" t="s">
        <v>217</v>
      </c>
    </row>
    <row r="84" customFormat="false" ht="15" hidden="false" customHeight="false" outlineLevel="0" collapsed="false">
      <c r="A84" s="8" t="s">
        <v>220</v>
      </c>
      <c r="B84" s="35" t="n">
        <v>247.14</v>
      </c>
      <c r="C84" s="8" t="s">
        <v>215</v>
      </c>
      <c r="D84" s="36" t="n">
        <f aca="false">B84*2.20462/1000</f>
        <v>0.5448497868</v>
      </c>
      <c r="E84" s="8" t="s">
        <v>212</v>
      </c>
      <c r="F84" s="10" t="s">
        <v>221</v>
      </c>
      <c r="G84" s="10" t="s">
        <v>217</v>
      </c>
    </row>
    <row r="85" customFormat="false" ht="15" hidden="false" customHeight="false" outlineLevel="0" collapsed="false">
      <c r="A85" s="8" t="s">
        <v>222</v>
      </c>
      <c r="B85" s="35" t="n">
        <v>1287.6</v>
      </c>
      <c r="C85" s="8" t="s">
        <v>215</v>
      </c>
      <c r="D85" s="36" t="n">
        <f aca="false">B85*2.20462/1000</f>
        <v>2.838668712</v>
      </c>
      <c r="E85" s="8" t="s">
        <v>212</v>
      </c>
      <c r="F85" s="10" t="s">
        <v>223</v>
      </c>
      <c r="G85" s="10" t="s">
        <v>217</v>
      </c>
    </row>
    <row r="86" customFormat="false" ht="15" hidden="false" customHeight="false" outlineLevel="0" collapsed="false">
      <c r="A86" s="8" t="s">
        <v>224</v>
      </c>
      <c r="B86" s="35" t="n">
        <v>1742.3</v>
      </c>
      <c r="C86" s="8" t="s">
        <v>215</v>
      </c>
      <c r="D86" s="36" t="n">
        <f aca="false">B86*2.20462/1000</f>
        <v>3.841109426</v>
      </c>
      <c r="E86" s="8" t="s">
        <v>212</v>
      </c>
      <c r="F86" s="10" t="s">
        <v>225</v>
      </c>
      <c r="G86" s="10" t="s">
        <v>217</v>
      </c>
    </row>
    <row r="87" customFormat="false" ht="15" hidden="false" customHeight="false" outlineLevel="0" collapsed="false">
      <c r="A87" s="8" t="s">
        <v>226</v>
      </c>
      <c r="B87" s="35" t="n">
        <v>1062.57</v>
      </c>
      <c r="C87" s="8" t="s">
        <v>215</v>
      </c>
      <c r="D87" s="36" t="n">
        <f aca="false">B87*2.20462/1000</f>
        <v>2.3425630734</v>
      </c>
      <c r="E87" s="8" t="s">
        <v>212</v>
      </c>
      <c r="F87" s="10" t="s">
        <v>227</v>
      </c>
      <c r="G87" s="10" t="s">
        <v>217</v>
      </c>
    </row>
    <row r="88" customFormat="false" ht="15" hidden="false" customHeight="false" outlineLevel="0" collapsed="false">
      <c r="A88" s="8" t="s">
        <v>228</v>
      </c>
      <c r="B88" s="35" t="n">
        <v>0.96</v>
      </c>
      <c r="C88" s="8" t="s">
        <v>81</v>
      </c>
      <c r="D88" s="35" t="n">
        <f aca="false">B88</f>
        <v>0.96</v>
      </c>
      <c r="E88" s="8" t="s">
        <v>229</v>
      </c>
      <c r="F88" s="10" t="s">
        <v>230</v>
      </c>
      <c r="G88" s="10" t="s">
        <v>217</v>
      </c>
    </row>
    <row r="90" customFormat="false" ht="15" hidden="false" customHeight="false" outlineLevel="0" collapsed="false">
      <c r="A90" s="11" t="s">
        <v>231</v>
      </c>
      <c r="B90" s="12"/>
      <c r="C90" s="12"/>
      <c r="D90" s="12"/>
      <c r="E90" s="12"/>
      <c r="F90" s="12"/>
      <c r="G90" s="12"/>
    </row>
    <row r="91" customFormat="false" ht="15" hidden="false" customHeight="false" outlineLevel="0" collapsed="false">
      <c r="A91" s="7" t="s">
        <v>232</v>
      </c>
      <c r="B91" s="7" t="s">
        <v>6</v>
      </c>
      <c r="C91" s="7" t="s">
        <v>7</v>
      </c>
      <c r="D91" s="7" t="s">
        <v>36</v>
      </c>
      <c r="E91" s="7" t="s">
        <v>10</v>
      </c>
    </row>
    <row r="92" customFormat="false" ht="15" hidden="false" customHeight="false" outlineLevel="0" collapsed="false">
      <c r="A92" s="8" t="s">
        <v>233</v>
      </c>
      <c r="B92" s="37" t="n">
        <v>0.33</v>
      </c>
      <c r="C92" s="8" t="s">
        <v>81</v>
      </c>
      <c r="D92" s="10" t="s">
        <v>234</v>
      </c>
      <c r="E92" s="10" t="s">
        <v>235</v>
      </c>
    </row>
    <row r="93" customFormat="false" ht="15" hidden="false" customHeight="false" outlineLevel="0" collapsed="false">
      <c r="A93" s="8" t="s">
        <v>236</v>
      </c>
      <c r="B93" s="38" t="n">
        <f aca="false">1-B92</f>
        <v>0.67</v>
      </c>
      <c r="C93" s="8" t="s">
        <v>81</v>
      </c>
      <c r="D93" s="10" t="s">
        <v>237</v>
      </c>
    </row>
    <row r="94" customFormat="false" ht="15" hidden="false" customHeight="false" outlineLevel="0" collapsed="false">
      <c r="A94" s="8" t="s">
        <v>238</v>
      </c>
      <c r="B94" s="37" t="n">
        <v>0.7</v>
      </c>
      <c r="C94" s="8" t="s">
        <v>81</v>
      </c>
      <c r="D94" s="10" t="s">
        <v>239</v>
      </c>
      <c r="E94" s="10" t="s">
        <v>240</v>
      </c>
    </row>
    <row r="95" customFormat="false" ht="15" hidden="false" customHeight="false" outlineLevel="0" collapsed="false">
      <c r="A95" s="8" t="s">
        <v>241</v>
      </c>
      <c r="B95" s="38" t="n">
        <f aca="false">1-B94</f>
        <v>0.3</v>
      </c>
      <c r="C95" s="8" t="s">
        <v>81</v>
      </c>
      <c r="D95" s="10" t="s">
        <v>242</v>
      </c>
    </row>
    <row r="96" customFormat="false" ht="15" hidden="false" customHeight="false" outlineLevel="0" collapsed="false">
      <c r="A96" s="8" t="s">
        <v>243</v>
      </c>
      <c r="B96" s="26" t="n">
        <v>2</v>
      </c>
      <c r="C96" s="8" t="s">
        <v>244</v>
      </c>
      <c r="D96" s="17" t="s">
        <v>245</v>
      </c>
    </row>
    <row r="97" customFormat="false" ht="15" hidden="false" customHeight="false" outlineLevel="0" collapsed="false">
      <c r="A97" s="8" t="s">
        <v>246</v>
      </c>
      <c r="B97" s="39" t="n">
        <v>0.367</v>
      </c>
      <c r="C97" s="8" t="s">
        <v>247</v>
      </c>
      <c r="D97" s="10" t="s">
        <v>248</v>
      </c>
      <c r="E97" s="10" t="s">
        <v>249</v>
      </c>
    </row>
    <row r="98" customFormat="false" ht="15" hidden="false" customHeight="false" outlineLevel="0" collapsed="false">
      <c r="A98" s="8" t="s">
        <v>250</v>
      </c>
      <c r="B98" s="40" t="n">
        <f aca="false">B97*277.78/1000</f>
        <v>0.10194526</v>
      </c>
      <c r="C98" s="8" t="s">
        <v>251</v>
      </c>
      <c r="D98" s="10" t="s">
        <v>252</v>
      </c>
    </row>
    <row r="100" customFormat="false" ht="15" hidden="false" customHeight="false" outlineLevel="0" collapsed="false">
      <c r="A100" s="5" t="s">
        <v>253</v>
      </c>
      <c r="B100" s="6"/>
      <c r="C100" s="6"/>
      <c r="D100" s="6"/>
      <c r="E100" s="6"/>
      <c r="F100" s="6"/>
      <c r="G100" s="6"/>
    </row>
    <row r="101" customFormat="false" ht="15" hidden="false" customHeight="false" outlineLevel="0" collapsed="false">
      <c r="A101" s="7" t="s">
        <v>254</v>
      </c>
      <c r="B101" s="7" t="s">
        <v>255</v>
      </c>
      <c r="C101" s="7" t="s">
        <v>256</v>
      </c>
      <c r="D101" s="7" t="s">
        <v>148</v>
      </c>
      <c r="E101" s="7" t="s">
        <v>257</v>
      </c>
    </row>
    <row r="102" customFormat="false" ht="15" hidden="false" customHeight="false" outlineLevel="0" collapsed="false">
      <c r="A102" s="8" t="s">
        <v>258</v>
      </c>
      <c r="B102" s="40" t="n">
        <f aca="false">B$92*D$82+B$93*D$83</f>
        <v>1.457252938152</v>
      </c>
      <c r="C102" s="10" t="s">
        <v>259</v>
      </c>
      <c r="D102" s="10" t="s">
        <v>260</v>
      </c>
    </row>
    <row r="103" customFormat="false" ht="15" hidden="false" customHeight="false" outlineLevel="0" collapsed="false">
      <c r="A103" s="8" t="s">
        <v>261</v>
      </c>
      <c r="B103" s="40" t="n">
        <f aca="false">D$84</f>
        <v>0.5448497868</v>
      </c>
      <c r="C103" s="10" t="s">
        <v>262</v>
      </c>
      <c r="D103" s="10" t="s">
        <v>263</v>
      </c>
    </row>
    <row r="104" customFormat="false" ht="15" hidden="false" customHeight="false" outlineLevel="0" collapsed="false">
      <c r="A104" s="8" t="s">
        <v>264</v>
      </c>
      <c r="B104" s="40" t="n">
        <f aca="false">D$85</f>
        <v>2.838668712</v>
      </c>
      <c r="C104" s="10" t="s">
        <v>265</v>
      </c>
      <c r="D104" s="10" t="s">
        <v>266</v>
      </c>
      <c r="E104" s="10" t="s">
        <v>267</v>
      </c>
    </row>
    <row r="105" customFormat="false" ht="15" hidden="false" customHeight="false" outlineLevel="0" collapsed="false">
      <c r="A105" s="8" t="s">
        <v>166</v>
      </c>
      <c r="B105" s="40" t="n">
        <f aca="false">B$102</f>
        <v>1.457252938152</v>
      </c>
      <c r="C105" s="10" t="s">
        <v>268</v>
      </c>
      <c r="D105" s="10" t="s">
        <v>269</v>
      </c>
    </row>
    <row r="106" customFormat="false" ht="15" hidden="false" customHeight="false" outlineLevel="0" collapsed="false">
      <c r="A106" s="8" t="s">
        <v>270</v>
      </c>
      <c r="B106" s="41" t="n">
        <v>1.2</v>
      </c>
      <c r="C106" s="10" t="s">
        <v>271</v>
      </c>
      <c r="D106" s="10" t="s">
        <v>272</v>
      </c>
      <c r="E106" s="10" t="s">
        <v>273</v>
      </c>
    </row>
    <row r="107" customFormat="false" ht="15" hidden="false" customHeight="false" outlineLevel="0" collapsed="false">
      <c r="A107" s="8" t="s">
        <v>274</v>
      </c>
      <c r="B107" s="40" t="n">
        <f aca="false">B$94*D$86+B$95*D$87</f>
        <v>3.39154552022</v>
      </c>
      <c r="C107" s="10" t="s">
        <v>275</v>
      </c>
      <c r="D107" s="10" t="s">
        <v>276</v>
      </c>
    </row>
    <row r="108" customFormat="false" ht="15" hidden="false" customHeight="false" outlineLevel="0" collapsed="false">
      <c r="A108" s="8" t="s">
        <v>277</v>
      </c>
      <c r="B108" s="41" t="n">
        <v>2.12</v>
      </c>
      <c r="C108" s="10" t="s">
        <v>278</v>
      </c>
      <c r="D108" s="10" t="s">
        <v>272</v>
      </c>
      <c r="E108" s="10" t="s">
        <v>273</v>
      </c>
    </row>
    <row r="109" customFormat="false" ht="15" hidden="false" customHeight="false" outlineLevel="0" collapsed="false">
      <c r="A109" s="8" t="s">
        <v>279</v>
      </c>
      <c r="B109" s="40" t="n">
        <f aca="false">B$96*B$98</f>
        <v>0.20389052</v>
      </c>
      <c r="C109" s="17" t="s">
        <v>280</v>
      </c>
      <c r="D109" s="17" t="s">
        <v>281</v>
      </c>
    </row>
    <row r="111" customFormat="false" ht="15" hidden="false" customHeight="false" outlineLevel="0" collapsed="false">
      <c r="A111" s="5" t="s">
        <v>282</v>
      </c>
      <c r="B111" s="6"/>
      <c r="C111" s="6"/>
      <c r="D111" s="6"/>
      <c r="E111" s="6"/>
      <c r="F111" s="6"/>
      <c r="G111" s="6"/>
    </row>
    <row r="112" customFormat="false" ht="15" hidden="false" customHeight="false" outlineLevel="0" collapsed="false">
      <c r="A112" s="7" t="s">
        <v>143</v>
      </c>
      <c r="B112" s="7" t="s">
        <v>144</v>
      </c>
      <c r="C112" s="7" t="s">
        <v>255</v>
      </c>
      <c r="D112" s="7" t="s">
        <v>283</v>
      </c>
      <c r="E112" s="7" t="s">
        <v>284</v>
      </c>
      <c r="F112" s="7" t="s">
        <v>285</v>
      </c>
    </row>
    <row r="113" customFormat="false" ht="15" hidden="false" customHeight="false" outlineLevel="0" collapsed="false">
      <c r="A113" s="8" t="s">
        <v>286</v>
      </c>
      <c r="B113" s="18" t="n">
        <f aca="false">B62</f>
        <v>14686</v>
      </c>
      <c r="C113" s="40" t="n">
        <f aca="false">B102</f>
        <v>1.457252938152</v>
      </c>
      <c r="D113" s="18" t="n">
        <f aca="false">B113*C113</f>
        <v>21401.2166497003</v>
      </c>
      <c r="E113" s="24" t="n">
        <f aca="false">D113/1000</f>
        <v>21.4012166497003</v>
      </c>
      <c r="F113" s="28" t="n">
        <f aca="false">D113/D$129</f>
        <v>0.32331032633661</v>
      </c>
    </row>
    <row r="114" customFormat="false" ht="15" hidden="false" customHeight="false" outlineLevel="0" collapsed="false">
      <c r="A114" s="8" t="s">
        <v>287</v>
      </c>
      <c r="B114" s="18" t="n">
        <f aca="false">B63</f>
        <v>3266</v>
      </c>
      <c r="C114" s="40" t="n">
        <f aca="false">B104</f>
        <v>2.838668712</v>
      </c>
      <c r="D114" s="18" t="n">
        <f aca="false">B114*C114</f>
        <v>9271.092013392</v>
      </c>
      <c r="E114" s="24" t="n">
        <f aca="false">D114/1000</f>
        <v>9.271092013392</v>
      </c>
      <c r="F114" s="28" t="n">
        <f aca="false">D114/D$129</f>
        <v>0.140059316879467</v>
      </c>
    </row>
    <row r="115" customFormat="false" ht="15" hidden="false" customHeight="false" outlineLevel="0" collapsed="false">
      <c r="A115" s="8" t="s">
        <v>288</v>
      </c>
      <c r="B115" s="18" t="n">
        <f aca="false">B64</f>
        <v>907</v>
      </c>
      <c r="C115" s="40" t="n">
        <f aca="false">B104</f>
        <v>2.838668712</v>
      </c>
      <c r="D115" s="18" t="n">
        <f aca="false">B115*C115</f>
        <v>2574.672521784</v>
      </c>
      <c r="E115" s="24" t="n">
        <f aca="false">D115/1000</f>
        <v>2.574672521784</v>
      </c>
      <c r="F115" s="28" t="n">
        <f aca="false">D115/D$129</f>
        <v>0.0388958360103113</v>
      </c>
    </row>
    <row r="116" customFormat="false" ht="15" hidden="false" customHeight="false" outlineLevel="0" collapsed="false">
      <c r="A116" s="8" t="s">
        <v>289</v>
      </c>
      <c r="B116" s="18" t="n">
        <f aca="false">B65</f>
        <v>4899</v>
      </c>
      <c r="C116" s="40" t="n">
        <f aca="false">B103</f>
        <v>0.5448497868</v>
      </c>
      <c r="D116" s="18" t="n">
        <f aca="false">B116*C116</f>
        <v>2669.2191055332</v>
      </c>
      <c r="E116" s="24" t="n">
        <f aca="false">D116/1000</f>
        <v>2.6692191055332</v>
      </c>
      <c r="F116" s="28" t="n">
        <f aca="false">D116/D$129</f>
        <v>0.0403241607334477</v>
      </c>
    </row>
    <row r="117" customFormat="false" ht="15" hidden="false" customHeight="false" outlineLevel="0" collapsed="false">
      <c r="A117" s="8" t="s">
        <v>290</v>
      </c>
      <c r="B117" s="18" t="n">
        <f aca="false">B66</f>
        <v>1567</v>
      </c>
      <c r="C117" s="40" t="n">
        <f aca="false">B105</f>
        <v>1.457252938152</v>
      </c>
      <c r="D117" s="18" t="n">
        <f aca="false">B117*C117</f>
        <v>2283.51535408418</v>
      </c>
      <c r="E117" s="24" t="n">
        <f aca="false">D117/1000</f>
        <v>2.28351535408418</v>
      </c>
      <c r="F117" s="28" t="n">
        <f aca="false">D117/D$129</f>
        <v>0.0344972954766081</v>
      </c>
    </row>
    <row r="118" customFormat="false" ht="15" hidden="false" customHeight="false" outlineLevel="0" collapsed="false">
      <c r="A118" s="8" t="s">
        <v>291</v>
      </c>
      <c r="B118" s="18" t="n">
        <f aca="false">B67</f>
        <v>400</v>
      </c>
      <c r="C118" s="40" t="n">
        <f aca="false">B103</f>
        <v>0.5448497868</v>
      </c>
      <c r="D118" s="18" t="n">
        <f aca="false">B118*C118</f>
        <v>217.93991472</v>
      </c>
      <c r="E118" s="24" t="n">
        <f aca="false">D118/1000</f>
        <v>0.21793991472</v>
      </c>
      <c r="F118" s="28" t="n">
        <f aca="false">D118/D$129</f>
        <v>0.00329244014969976</v>
      </c>
    </row>
    <row r="119" customFormat="false" ht="15" hidden="false" customHeight="false" outlineLevel="0" collapsed="false">
      <c r="A119" s="8" t="s">
        <v>292</v>
      </c>
      <c r="B119" s="18" t="n">
        <f aca="false">B68</f>
        <v>350</v>
      </c>
      <c r="C119" s="40" t="n">
        <f aca="false">B104</f>
        <v>2.838668712</v>
      </c>
      <c r="D119" s="18" t="n">
        <f aca="false">B119*C119</f>
        <v>993.5340492</v>
      </c>
      <c r="E119" s="24" t="n">
        <f aca="false">D119/1000</f>
        <v>0.9935340492</v>
      </c>
      <c r="F119" s="28" t="n">
        <f aca="false">D119/D$129</f>
        <v>0.015009418526581</v>
      </c>
    </row>
    <row r="120" customFormat="false" ht="15" hidden="false" customHeight="false" outlineLevel="0" collapsed="false">
      <c r="A120" s="8" t="s">
        <v>293</v>
      </c>
      <c r="B120" s="18" t="n">
        <f aca="false">B69</f>
        <v>400</v>
      </c>
      <c r="C120" s="40" t="n">
        <f aca="false">B103</f>
        <v>0.5448497868</v>
      </c>
      <c r="D120" s="18" t="n">
        <f aca="false">B120*C120</f>
        <v>217.93991472</v>
      </c>
      <c r="E120" s="24" t="n">
        <f aca="false">D120/1000</f>
        <v>0.21793991472</v>
      </c>
      <c r="F120" s="28" t="n">
        <f aca="false">D120/D$129</f>
        <v>0.00329244014969976</v>
      </c>
    </row>
    <row r="121" customFormat="false" ht="15" hidden="false" customHeight="false" outlineLevel="0" collapsed="false">
      <c r="A121" s="8" t="s">
        <v>294</v>
      </c>
      <c r="B121" s="18" t="n">
        <f aca="false">B70</f>
        <v>350</v>
      </c>
      <c r="C121" s="40" t="n">
        <f aca="false">B107</f>
        <v>3.39154552022</v>
      </c>
      <c r="D121" s="18" t="n">
        <f aca="false">B121*C121</f>
        <v>1187.040932077</v>
      </c>
      <c r="E121" s="24" t="n">
        <f aca="false">D121/1000</f>
        <v>1.187040932077</v>
      </c>
      <c r="F121" s="28" t="n">
        <f aca="false">D121/D$129</f>
        <v>0.0179327464137467</v>
      </c>
    </row>
    <row r="122" customFormat="false" ht="15" hidden="false" customHeight="false" outlineLevel="0" collapsed="false">
      <c r="A122" s="8" t="s">
        <v>295</v>
      </c>
      <c r="B122" s="18" t="n">
        <f aca="false">B71</f>
        <v>160</v>
      </c>
      <c r="C122" s="40" t="n">
        <f aca="false">B103</f>
        <v>0.5448497868</v>
      </c>
      <c r="D122" s="18" t="n">
        <f aca="false">B122*C122</f>
        <v>87.175965888</v>
      </c>
      <c r="E122" s="24" t="n">
        <f aca="false">D122/1000</f>
        <v>0.087175965888</v>
      </c>
      <c r="F122" s="28" t="n">
        <f aca="false">D122/D$129</f>
        <v>0.0013169760598799</v>
      </c>
    </row>
    <row r="123" customFormat="false" ht="15" hidden="false" customHeight="false" outlineLevel="0" collapsed="false">
      <c r="A123" s="8" t="s">
        <v>296</v>
      </c>
      <c r="B123" s="18" t="n">
        <f aca="false">B72</f>
        <v>4225</v>
      </c>
      <c r="C123" s="40" t="n">
        <f aca="false">B102</f>
        <v>1.457252938152</v>
      </c>
      <c r="D123" s="18" t="n">
        <f aca="false">B123*C123</f>
        <v>6156.8936636922</v>
      </c>
      <c r="E123" s="24" t="n">
        <f aca="false">D123/1000</f>
        <v>6.1568936636922</v>
      </c>
      <c r="F123" s="28" t="n">
        <f aca="false">D123/D$129</f>
        <v>0.0930128100757303</v>
      </c>
    </row>
    <row r="124" customFormat="false" ht="15" hidden="false" customHeight="false" outlineLevel="0" collapsed="false">
      <c r="A124" s="8" t="s">
        <v>297</v>
      </c>
      <c r="B124" s="18" t="n">
        <f aca="false">B73</f>
        <v>2003</v>
      </c>
      <c r="C124" s="40" t="n">
        <f aca="false">B106</f>
        <v>1.2</v>
      </c>
      <c r="D124" s="18" t="n">
        <f aca="false">B124*C124</f>
        <v>2403.6</v>
      </c>
      <c r="E124" s="24" t="n">
        <f aca="false">D124/1000</f>
        <v>2.4036</v>
      </c>
      <c r="F124" s="28" t="n">
        <f aca="false">D124/D$129</f>
        <v>0.0363114262662052</v>
      </c>
    </row>
    <row r="125" customFormat="false" ht="15" hidden="false" customHeight="false" outlineLevel="0" collapsed="false">
      <c r="A125" s="8" t="s">
        <v>298</v>
      </c>
      <c r="B125" s="18" t="n">
        <f aca="false">B74</f>
        <v>2501</v>
      </c>
      <c r="C125" s="40" t="n">
        <f aca="false">B102</f>
        <v>1.457252938152</v>
      </c>
      <c r="D125" s="18" t="n">
        <f aca="false">B125*C125</f>
        <v>3644.58959831815</v>
      </c>
      <c r="E125" s="24" t="n">
        <f aca="false">D125/1000</f>
        <v>3.64458959831815</v>
      </c>
      <c r="F125" s="28" t="n">
        <f aca="false">D125/D$129</f>
        <v>0.0550591805915743</v>
      </c>
    </row>
    <row r="126" customFormat="false" ht="15" hidden="false" customHeight="false" outlineLevel="0" collapsed="false">
      <c r="A126" s="8" t="s">
        <v>198</v>
      </c>
      <c r="B126" s="18" t="n">
        <f aca="false">B75</f>
        <v>100</v>
      </c>
      <c r="C126" s="40" t="n">
        <f aca="false">B108</f>
        <v>2.12</v>
      </c>
      <c r="D126" s="18" t="n">
        <f aca="false">B126*C126</f>
        <v>212</v>
      </c>
      <c r="E126" s="24" t="n">
        <f aca="false">D126/1000</f>
        <v>0.212</v>
      </c>
      <c r="F126" s="28" t="n">
        <f aca="false">D126/D$129</f>
        <v>0.00320270526228803</v>
      </c>
    </row>
    <row r="127" customFormat="false" ht="15" hidden="false" customHeight="false" outlineLevel="0" collapsed="false">
      <c r="A127" s="8" t="s">
        <v>299</v>
      </c>
      <c r="B127" s="18" t="n">
        <f aca="false">B76</f>
        <v>3354</v>
      </c>
      <c r="C127" s="40" t="n">
        <f aca="false">B105</f>
        <v>1.457252938152</v>
      </c>
      <c r="D127" s="18" t="n">
        <f aca="false">B127*C127</f>
        <v>4887.62635456181</v>
      </c>
      <c r="E127" s="24" t="n">
        <f aca="false">D127/1000</f>
        <v>4.88762635456181</v>
      </c>
      <c r="F127" s="28" t="n">
        <f aca="false">D127/D$129</f>
        <v>0.0738378615370413</v>
      </c>
    </row>
    <row r="128" customFormat="false" ht="15" hidden="false" customHeight="false" outlineLevel="0" collapsed="false">
      <c r="A128" s="8" t="s">
        <v>300</v>
      </c>
      <c r="B128" s="18" t="n">
        <f aca="false">B77</f>
        <v>39168</v>
      </c>
      <c r="C128" s="40" t="n">
        <f aca="false">B109</f>
        <v>0.20389052</v>
      </c>
      <c r="D128" s="18" t="n">
        <f aca="false">B128*C128</f>
        <v>7985.98388736</v>
      </c>
      <c r="E128" s="24" t="n">
        <f aca="false">D128/1000</f>
        <v>7.98598388736</v>
      </c>
      <c r="F128" s="28" t="n">
        <f aca="false">D128/D$129</f>
        <v>0.12064505953111</v>
      </c>
    </row>
    <row r="129" customFormat="false" ht="15" hidden="false" customHeight="false" outlineLevel="0" collapsed="false">
      <c r="A129" s="42" t="s">
        <v>301</v>
      </c>
      <c r="B129" s="32"/>
      <c r="C129" s="32"/>
      <c r="D129" s="43" t="n">
        <f aca="false">SUM(D113:D128)</f>
        <v>66194.0399250308</v>
      </c>
      <c r="E129" s="44" t="n">
        <f aca="false">D129/1000</f>
        <v>66.1940399250308</v>
      </c>
      <c r="F129" s="32"/>
    </row>
    <row r="132" customFormat="false" ht="15" hidden="false" customHeight="false" outlineLevel="0" collapsed="false">
      <c r="A132" s="5" t="s">
        <v>302</v>
      </c>
      <c r="B132" s="6"/>
      <c r="C132" s="6"/>
      <c r="D132" s="6"/>
      <c r="E132" s="6"/>
      <c r="F132" s="6"/>
      <c r="G132" s="6"/>
    </row>
    <row r="133" customFormat="false" ht="15" hidden="false" customHeight="false" outlineLevel="0" collapsed="false">
      <c r="A133" s="7" t="s">
        <v>5</v>
      </c>
      <c r="B133" s="7" t="s">
        <v>6</v>
      </c>
      <c r="C133" s="7" t="s">
        <v>7</v>
      </c>
      <c r="D133" s="7" t="s">
        <v>303</v>
      </c>
      <c r="E133" s="7" t="s">
        <v>36</v>
      </c>
    </row>
    <row r="134" customFormat="false" ht="15" hidden="false" customHeight="false" outlineLevel="0" collapsed="false">
      <c r="A134" s="8" t="s">
        <v>304</v>
      </c>
      <c r="B134" s="45" t="n">
        <f aca="false">D$88</f>
        <v>0.96</v>
      </c>
      <c r="C134" s="8" t="s">
        <v>81</v>
      </c>
      <c r="D134" s="10" t="s">
        <v>305</v>
      </c>
    </row>
    <row r="135" customFormat="false" ht="15" hidden="false" customHeight="false" outlineLevel="0" collapsed="false">
      <c r="A135" s="8" t="s">
        <v>306</v>
      </c>
      <c r="B135" s="40" t="n">
        <f aca="false">-B$102</f>
        <v>-1.457252938152</v>
      </c>
      <c r="C135" s="8" t="s">
        <v>307</v>
      </c>
      <c r="D135" s="10" t="s">
        <v>308</v>
      </c>
    </row>
    <row r="136" customFormat="false" ht="15" hidden="false" customHeight="false" outlineLevel="0" collapsed="false">
      <c r="A136" s="8" t="s">
        <v>309</v>
      </c>
      <c r="B136" s="18" t="n">
        <f aca="false">(B77-B75-B73)*B134</f>
        <v>35582.4</v>
      </c>
      <c r="C136" s="8" t="s">
        <v>56</v>
      </c>
      <c r="D136" s="10" t="s">
        <v>310</v>
      </c>
    </row>
    <row r="137" customFormat="false" ht="15" hidden="false" customHeight="false" outlineLevel="0" collapsed="false">
      <c r="A137" s="8" t="s">
        <v>311</v>
      </c>
      <c r="B137" s="24" t="n">
        <f aca="false">(B136/1000)*B135</f>
        <v>-51.8525569464997</v>
      </c>
      <c r="C137" s="8" t="s">
        <v>312</v>
      </c>
      <c r="D137" s="10" t="s">
        <v>313</v>
      </c>
    </row>
    <row r="139" customFormat="false" ht="17.35" hidden="false" customHeight="false" outlineLevel="0" collapsed="false">
      <c r="A139" s="46" t="s">
        <v>314</v>
      </c>
      <c r="B139" s="47" t="n">
        <f aca="false">E129+B137</f>
        <v>14.3414829785311</v>
      </c>
      <c r="C139" s="46" t="s">
        <v>315</v>
      </c>
      <c r="D139" s="32"/>
    </row>
    <row r="140" customFormat="false" ht="17.35" hidden="false" customHeight="false" outlineLevel="0" collapsed="false">
      <c r="A140" s="48" t="s">
        <v>316</v>
      </c>
      <c r="B140" s="49" t="n">
        <f aca="false">E129</f>
        <v>66.1940399250308</v>
      </c>
      <c r="C140" s="48" t="s">
        <v>315</v>
      </c>
    </row>
    <row r="143" customFormat="false" ht="15" hidden="false" customHeight="false" outlineLevel="0" collapsed="false">
      <c r="A143" s="5" t="s">
        <v>317</v>
      </c>
      <c r="B143" s="6"/>
      <c r="C143" s="6"/>
      <c r="D143" s="6"/>
      <c r="E143" s="6"/>
      <c r="F143" s="6"/>
      <c r="G143" s="6"/>
    </row>
    <row r="144" customFormat="false" ht="15" hidden="false" customHeight="false" outlineLevel="0" collapsed="false">
      <c r="A144" s="7" t="s">
        <v>318</v>
      </c>
      <c r="B144" s="7" t="s">
        <v>6</v>
      </c>
      <c r="C144" s="7" t="s">
        <v>7</v>
      </c>
      <c r="D144" s="7" t="s">
        <v>257</v>
      </c>
    </row>
    <row r="145" customFormat="false" ht="15" hidden="false" customHeight="false" outlineLevel="0" collapsed="false">
      <c r="A145" s="8" t="s">
        <v>319</v>
      </c>
      <c r="B145" s="39" t="n">
        <v>23.958</v>
      </c>
      <c r="C145" s="8" t="s">
        <v>315</v>
      </c>
      <c r="D145" s="10" t="s">
        <v>320</v>
      </c>
    </row>
    <row r="146" customFormat="false" ht="15" hidden="false" customHeight="false" outlineLevel="0" collapsed="false">
      <c r="A146" s="8" t="s">
        <v>321</v>
      </c>
      <c r="B146" s="50" t="n">
        <f aca="false">B139</f>
        <v>14.3414829785311</v>
      </c>
      <c r="C146" s="8" t="s">
        <v>315</v>
      </c>
    </row>
    <row r="147" customFormat="false" ht="15" hidden="false" customHeight="false" outlineLevel="0" collapsed="false">
      <c r="A147" s="8" t="s">
        <v>322</v>
      </c>
      <c r="B147" s="50" t="n">
        <f aca="false">B140</f>
        <v>66.1940399250308</v>
      </c>
      <c r="C147" s="8" t="s">
        <v>315</v>
      </c>
    </row>
    <row r="148" customFormat="false" ht="15" hidden="false" customHeight="false" outlineLevel="0" collapsed="false">
      <c r="A148" s="8" t="s">
        <v>323</v>
      </c>
      <c r="B148" s="51" t="n">
        <f aca="false">B146-B145</f>
        <v>-9.61651702146891</v>
      </c>
      <c r="C148" s="8" t="s">
        <v>315</v>
      </c>
    </row>
    <row r="149" customFormat="false" ht="15" hidden="false" customHeight="false" outlineLevel="0" collapsed="false">
      <c r="A149" s="8" t="s">
        <v>324</v>
      </c>
      <c r="B149" s="52" t="n">
        <f aca="false">(B146-B145)/B145</f>
        <v>-0.401390642852864</v>
      </c>
    </row>
    <row r="152" customFormat="false" ht="15" hidden="false" customHeight="false" outlineLevel="0" collapsed="false">
      <c r="A152" s="5" t="s">
        <v>325</v>
      </c>
      <c r="B152" s="6"/>
      <c r="C152" s="6"/>
      <c r="D152" s="6"/>
      <c r="E152" s="6"/>
      <c r="F152" s="6"/>
      <c r="G152" s="6"/>
    </row>
    <row r="153" customFormat="false" ht="15" hidden="false" customHeight="false" outlineLevel="0" collapsed="false">
      <c r="A153" s="33" t="s">
        <v>326</v>
      </c>
    </row>
    <row r="154" customFormat="false" ht="15" hidden="false" customHeight="false" outlineLevel="0" collapsed="false">
      <c r="A154" s="33"/>
    </row>
    <row r="155" customFormat="false" ht="15" hidden="false" customHeight="false" outlineLevel="0" collapsed="false">
      <c r="A155" s="33" t="s">
        <v>327</v>
      </c>
    </row>
    <row r="156" customFormat="false" ht="15" hidden="false" customHeight="false" outlineLevel="0" collapsed="false">
      <c r="A156" s="33"/>
    </row>
    <row r="157" customFormat="false" ht="15" hidden="false" customHeight="false" outlineLevel="0" collapsed="false">
      <c r="A157" s="33" t="s">
        <v>328</v>
      </c>
    </row>
    <row r="158" customFormat="false" ht="15" hidden="false" customHeight="false" outlineLevel="0" collapsed="false">
      <c r="A158" s="33"/>
    </row>
    <row r="159" customFormat="false" ht="15" hidden="false" customHeight="false" outlineLevel="0" collapsed="false">
      <c r="A159" s="33" t="s">
        <v>329</v>
      </c>
    </row>
    <row r="160" customFormat="false" ht="15" hidden="false" customHeight="false" outlineLevel="0" collapsed="false">
      <c r="A160" s="33"/>
    </row>
    <row r="161" customFormat="false" ht="15" hidden="false" customHeight="false" outlineLevel="0" collapsed="false">
      <c r="A161" s="33" t="s">
        <v>330</v>
      </c>
    </row>
    <row r="162" customFormat="false" ht="15" hidden="false" customHeight="false" outlineLevel="0" collapsed="false">
      <c r="A162" s="33"/>
    </row>
    <row r="163" customFormat="false" ht="15" hidden="false" customHeight="false" outlineLevel="0" collapsed="false">
      <c r="A163" s="33" t="s">
        <v>331</v>
      </c>
    </row>
    <row r="164" customFormat="false" ht="15" hidden="false" customHeight="false" outlineLevel="0" collapsed="false">
      <c r="A164" s="33"/>
    </row>
    <row r="165" customFormat="false" ht="15" hidden="false" customHeight="false" outlineLevel="0" collapsed="false">
      <c r="A165" s="33" t="s">
        <v>332</v>
      </c>
    </row>
    <row r="166" customFormat="false" ht="15" hidden="false" customHeight="false" outlineLevel="0" collapsed="false">
      <c r="A166" s="33"/>
    </row>
    <row r="167" customFormat="false" ht="15" hidden="false" customHeight="false" outlineLevel="0" collapsed="false">
      <c r="A167" s="33" t="s">
        <v>333</v>
      </c>
    </row>
    <row r="168" customFormat="false" ht="15" hidden="false" customHeight="false" outlineLevel="0" collapsed="false">
      <c r="A168" s="33" t="s">
        <v>334</v>
      </c>
    </row>
    <row r="169" customFormat="false" ht="15" hidden="false" customHeight="false" outlineLevel="0" collapsed="false">
      <c r="A169" s="33"/>
    </row>
    <row r="170" customFormat="false" ht="15" hidden="false" customHeight="false" outlineLevel="0" collapsed="false">
      <c r="A170" s="33" t="s">
        <v>335</v>
      </c>
    </row>
    <row r="171" customFormat="false" ht="15" hidden="false" customHeight="false" outlineLevel="0" collapsed="false">
      <c r="A171" s="33"/>
    </row>
    <row r="172" customFormat="false" ht="15" hidden="false" customHeight="false" outlineLevel="0" collapsed="false">
      <c r="A172" s="33" t="s">
        <v>336</v>
      </c>
    </row>
    <row r="173" customFormat="false" ht="15" hidden="false" customHeight="false" outlineLevel="0" collapsed="false">
      <c r="A173" s="33"/>
    </row>
    <row r="174" customFormat="false" ht="15" hidden="false" customHeight="false" outlineLevel="0" collapsed="false">
      <c r="A174" s="33" t="s">
        <v>337</v>
      </c>
    </row>
    <row r="175" customFormat="false" ht="15" hidden="false" customHeight="false" outlineLevel="0" collapsed="false">
      <c r="A175" s="33"/>
    </row>
    <row r="176" customFormat="false" ht="15" hidden="false" customHeight="false" outlineLevel="0" collapsed="false">
      <c r="A176" s="33" t="s">
        <v>338</v>
      </c>
    </row>
    <row r="177" customFormat="false" ht="15" hidden="false" customHeight="false" outlineLevel="0" collapsed="false">
      <c r="A177" s="33"/>
    </row>
    <row r="178" customFormat="false" ht="15" hidden="false" customHeight="false" outlineLevel="0" collapsed="false">
      <c r="A178" s="33" t="s">
        <v>339</v>
      </c>
    </row>
    <row r="179" customFormat="false" ht="15" hidden="false" customHeight="false" outlineLevel="0" collapsed="false">
      <c r="A179" s="33"/>
    </row>
    <row r="180" customFormat="false" ht="15" hidden="false" customHeight="false" outlineLevel="0" collapsed="false">
      <c r="A180" s="33" t="s">
        <v>340</v>
      </c>
    </row>
    <row r="181" customFormat="false" ht="15" hidden="false" customHeight="false" outlineLevel="0" collapsed="false">
      <c r="A181" s="33"/>
    </row>
    <row r="182" customFormat="false" ht="15" hidden="false" customHeight="false" outlineLevel="0" collapsed="false">
      <c r="A182" s="33" t="s">
        <v>341</v>
      </c>
    </row>
    <row r="183" customFormat="false" ht="15" hidden="false" customHeight="false" outlineLevel="0" collapsed="false">
      <c r="A183" s="33"/>
    </row>
    <row r="184" customFormat="false" ht="15" hidden="false" customHeight="false" outlineLevel="0" collapsed="false">
      <c r="A184" s="33" t="s">
        <v>342</v>
      </c>
    </row>
    <row r="186" customFormat="false" ht="15" hidden="false" customHeight="false" outlineLevel="0" collapsed="false">
      <c r="A186" s="5" t="s">
        <v>343</v>
      </c>
      <c r="B186" s="6"/>
      <c r="C186" s="6"/>
      <c r="D186" s="6"/>
      <c r="E186" s="6"/>
      <c r="F186" s="6"/>
      <c r="G186" s="6"/>
    </row>
    <row r="187" customFormat="false" ht="15" hidden="false" customHeight="false" outlineLevel="0" collapsed="false">
      <c r="A187" s="33" t="s">
        <v>344</v>
      </c>
      <c r="G187" s="10" t="s">
        <v>217</v>
      </c>
    </row>
    <row r="188" customFormat="false" ht="15" hidden="false" customHeight="false" outlineLevel="0" collapsed="false">
      <c r="A188" s="33" t="s">
        <v>345</v>
      </c>
      <c r="G188" s="10" t="s">
        <v>249</v>
      </c>
    </row>
    <row r="189" customFormat="false" ht="15" hidden="false" customHeight="false" outlineLevel="0" collapsed="false">
      <c r="A189" s="33" t="s">
        <v>346</v>
      </c>
      <c r="G189" s="10" t="s">
        <v>15</v>
      </c>
    </row>
    <row r="190" customFormat="false" ht="15" hidden="false" customHeight="false" outlineLevel="0" collapsed="false">
      <c r="A190" s="33" t="s">
        <v>347</v>
      </c>
      <c r="G190" s="10" t="s">
        <v>23</v>
      </c>
    </row>
    <row r="191" customFormat="false" ht="15" hidden="false" customHeight="false" outlineLevel="0" collapsed="false">
      <c r="A191" s="33" t="s">
        <v>348</v>
      </c>
      <c r="G191" s="10" t="s">
        <v>30</v>
      </c>
    </row>
    <row r="192" customFormat="false" ht="15" hidden="false" customHeight="false" outlineLevel="0" collapsed="false">
      <c r="A192" s="33" t="s">
        <v>349</v>
      </c>
      <c r="G192" s="10" t="s">
        <v>235</v>
      </c>
    </row>
    <row r="193" customFormat="false" ht="15" hidden="false" customHeight="false" outlineLevel="0" collapsed="false">
      <c r="A193" s="33" t="s">
        <v>350</v>
      </c>
      <c r="G193" s="10" t="s">
        <v>240</v>
      </c>
    </row>
    <row r="194" customFormat="false" ht="15" hidden="false" customHeight="false" outlineLevel="0" collapsed="false">
      <c r="A194" s="33" t="s">
        <v>351</v>
      </c>
      <c r="G194" s="10" t="s">
        <v>273</v>
      </c>
    </row>
    <row r="195" customFormat="false" ht="15" hidden="false" customHeight="false" outlineLevel="0" collapsed="false">
      <c r="A195" s="33" t="s">
        <v>352</v>
      </c>
      <c r="G195" s="10" t="s">
        <v>60</v>
      </c>
    </row>
    <row r="196" customFormat="false" ht="15" hidden="false" customHeight="false" outlineLevel="0" collapsed="false">
      <c r="A196" s="33" t="s">
        <v>353</v>
      </c>
      <c r="G196" s="10"/>
    </row>
    <row r="197" customFormat="false" ht="15" hidden="false" customHeight="false" outlineLevel="0" collapsed="false">
      <c r="A197" s="33" t="s">
        <v>354</v>
      </c>
      <c r="G197" s="10"/>
    </row>
    <row r="198" customFormat="false" ht="15" hidden="false" customHeight="false" outlineLevel="0" collapsed="false">
      <c r="A198" s="33" t="s">
        <v>355</v>
      </c>
      <c r="G198" s="10" t="s">
        <v>71</v>
      </c>
    </row>
    <row r="199" customFormat="false" ht="15" hidden="false" customHeight="false" outlineLevel="0" collapsed="false">
      <c r="A199" s="33" t="s">
        <v>356</v>
      </c>
      <c r="G199" s="10" t="s">
        <v>131</v>
      </c>
    </row>
    <row r="200" customFormat="false" ht="15" hidden="false" customHeight="false" outlineLevel="0" collapsed="false">
      <c r="A200" s="33" t="s">
        <v>357</v>
      </c>
      <c r="G200" s="10" t="s">
        <v>358</v>
      </c>
    </row>
    <row r="201" customFormat="false" ht="15" hidden="false" customHeight="false" outlineLevel="0" collapsed="false">
      <c r="A201" s="33" t="s">
        <v>359</v>
      </c>
      <c r="G201" s="10" t="s">
        <v>360</v>
      </c>
    </row>
    <row r="202" customFormat="false" ht="15" hidden="false" customHeight="false" outlineLevel="0" collapsed="false">
      <c r="A202" s="33" t="s">
        <v>361</v>
      </c>
      <c r="G202" s="10" t="s">
        <v>83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LibreOffice/26.2.2.2$Linux_AARCH64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2026-04-08T18:55:56Z</dcterms:created>
  <dc:creator>openpyxl</dc:creator>
  <dc:description/>
  <dc:language>en-US</dc:language>
  <cp:lastModifiedBy/>
  <dcterms:modified xsi:type="dcterms:W3CDTF">2026-04-08T18:55:56Z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