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bodied Emissions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"/>
    <numFmt numFmtId="166" formatCode="0.00000"/>
    <numFmt numFmtId="167" formatCode="0.0%"/>
    <numFmt numFmtId="168" formatCode="0.000000"/>
    <numFmt numFmtId="169" formatCode="#,##0.0"/>
  </numFmts>
  <fonts count="1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11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1F4E79"/>
      <sz val="11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FF0000"/>
      <sz val="10"/>
    </font>
    <font>
      <name val="Arial"/>
      <b val="1"/>
      <color rgb="000000FF"/>
      <sz val="10"/>
    </font>
    <font>
      <name val="Arial"/>
      <b val="1"/>
      <color rgb="007030A0"/>
      <sz val="10"/>
    </font>
    <font>
      <name val="Arial"/>
      <color rgb="007030A0"/>
      <sz val="10"/>
    </font>
    <font>
      <name val="Arial"/>
      <b val="1"/>
      <color rgb="001F4E79"/>
      <sz val="12"/>
    </font>
    <font>
      <name val="Arial"/>
      <b val="1"/>
      <sz val="11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0B0B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3" fillId="0" borderId="1" pivotButton="0" quotePrefix="0" xfId="0"/>
    <xf numFmtId="3" fontId="7" fillId="0" borderId="1" pivotButton="0" quotePrefix="0" xfId="0"/>
    <xf numFmtId="0" fontId="0" fillId="0" borderId="1" pivotButton="0" quotePrefix="0" xfId="0"/>
    <xf numFmtId="0" fontId="7" fillId="0" borderId="1" pivotButton="0" quotePrefix="0" xfId="0"/>
    <xf numFmtId="2" fontId="7" fillId="0" borderId="1" pivotButton="0" quotePrefix="0" xfId="0"/>
    <xf numFmtId="2" fontId="8" fillId="0" borderId="1" pivotButton="0" quotePrefix="0" xfId="0"/>
    <xf numFmtId="164" fontId="8" fillId="0" borderId="1" pivotButton="0" quotePrefix="0" xfId="0"/>
    <xf numFmtId="165" fontId="7" fillId="0" borderId="1" pivotButton="0" quotePrefix="0" xfId="0"/>
    <xf numFmtId="165" fontId="8" fillId="0" borderId="1" pivotButton="0" quotePrefix="0" xfId="0"/>
    <xf numFmtId="166" fontId="8" fillId="0" borderId="1" pivotButton="0" quotePrefix="0" xfId="0"/>
    <xf numFmtId="164" fontId="7" fillId="0" borderId="1" pivotButton="0" quotePrefix="0" xfId="0"/>
    <xf numFmtId="3" fontId="9" fillId="0" borderId="1" pivotButton="0" quotePrefix="0" xfId="0"/>
    <xf numFmtId="2" fontId="9" fillId="0" borderId="1" pivotButton="0" quotePrefix="0" xfId="0"/>
    <xf numFmtId="3" fontId="8" fillId="0" borderId="1" pivotButton="0" quotePrefix="0" xfId="0"/>
    <xf numFmtId="0" fontId="9" fillId="0" borderId="1" pivotButton="0" quotePrefix="0" xfId="0"/>
    <xf numFmtId="167" fontId="8" fillId="0" borderId="1" pivotButton="0" quotePrefix="0" xfId="0"/>
    <xf numFmtId="0" fontId="6" fillId="4" borderId="1" pivotButton="0" quotePrefix="0" xfId="0"/>
    <xf numFmtId="3" fontId="6" fillId="4" borderId="1" pivotButton="0" quotePrefix="0" xfId="0"/>
    <xf numFmtId="167" fontId="6" fillId="4" borderId="1" pivotButton="0" quotePrefix="0" xfId="0"/>
    <xf numFmtId="0" fontId="3" fillId="4" borderId="1" pivotButton="0" quotePrefix="0" xfId="0"/>
    <xf numFmtId="0" fontId="0" fillId="4" borderId="1" pivotButton="0" quotePrefix="0" xfId="0"/>
    <xf numFmtId="3" fontId="10" fillId="4" borderId="1" pivotButton="0" quotePrefix="0" xfId="0"/>
    <xf numFmtId="3" fontId="3" fillId="0" borderId="0" pivotButton="0" quotePrefix="0" xfId="0"/>
    <xf numFmtId="0" fontId="11" fillId="0" borderId="0" pivotButton="0" quotePrefix="0" xfId="0"/>
    <xf numFmtId="0" fontId="12" fillId="0" borderId="1" pivotButton="0" quotePrefix="0" xfId="0"/>
    <xf numFmtId="168" fontId="12" fillId="0" borderId="1" pivotButton="0" quotePrefix="0" xfId="0"/>
    <xf numFmtId="0" fontId="6" fillId="0" borderId="0" pivotButton="0" quotePrefix="0" xfId="0"/>
    <xf numFmtId="168" fontId="8" fillId="0" borderId="1" pivotButton="0" quotePrefix="0" xfId="0"/>
    <xf numFmtId="168" fontId="7" fillId="0" borderId="1" pivotButton="0" quotePrefix="0" xfId="0"/>
    <xf numFmtId="169" fontId="8" fillId="0" borderId="1" pivotButton="0" quotePrefix="0" xfId="0"/>
    <xf numFmtId="169" fontId="6" fillId="4" borderId="1" pivotButton="0" quotePrefix="0" xfId="0"/>
    <xf numFmtId="165" fontId="6" fillId="4" borderId="1" pivotButton="0" quotePrefix="0" xfId="0"/>
    <xf numFmtId="0" fontId="6" fillId="0" borderId="1" pivotButton="0" quotePrefix="0" xfId="0"/>
    <xf numFmtId="0" fontId="3" fillId="0" borderId="1" applyAlignment="1" pivotButton="0" quotePrefix="0" xfId="0">
      <alignment wrapText="1"/>
    </xf>
    <xf numFmtId="0" fontId="13" fillId="5" borderId="0" pivotButton="0" quotePrefix="0" xfId="0"/>
    <xf numFmtId="2" fontId="13" fillId="5" borderId="0" pivotButton="0" quotePrefix="0" xfId="0"/>
    <xf numFmtId="0" fontId="3" fillId="5" borderId="0" pivotButton="0" quotePrefix="0" xfId="0"/>
    <xf numFmtId="0" fontId="0" fillId="5" borderId="0" pivotButton="0" quotePrefix="0" xfId="0"/>
    <xf numFmtId="2" fontId="14" fillId="5" borderId="0" pivotButton="0" quotePrefix="0" xfId="0"/>
    <xf numFmtId="0" fontId="14" fillId="5" borderId="0" pivotButton="0" quotePrefix="0" xfId="0"/>
    <xf numFmtId="0" fontId="1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6" customWidth="1" min="3" max="3"/>
    <col width="60" customWidth="1" min="4" max="4"/>
    <col width="14" customWidth="1" min="5" max="5"/>
    <col width="14" customWidth="1" min="6" max="6"/>
    <col width="65" customWidth="1" min="7" max="7"/>
  </cols>
  <sheetData>
    <row r="1">
      <c r="A1" s="1" t="inlineStr">
        <is>
          <t>DOT-111 Tank Car — Cradle-to-Grave Embodied Emissions</t>
        </is>
      </c>
    </row>
    <row r="2">
      <c r="A2" s="2" t="inlineStr">
        <is>
          <t>Materials-Based Quantification V17 — Simplified (replacing V16 component-level BOM)</t>
        </is>
      </c>
    </row>
    <row r="3">
      <c r="A3" s="3" t="inlineStr">
        <is>
          <t>Charm Industrial — MRV Team | April 2026</t>
        </is>
      </c>
    </row>
    <row r="4">
      <c r="A4" s="4" t="inlineStr">
        <is>
          <t>Blue = source-backed  |  Red = estimate  |  Purple = GREET2 ref  |  Black = formula/derived</t>
        </is>
      </c>
    </row>
    <row r="6">
      <c r="A6" s="5" t="inlineStr">
        <is>
          <t>1. DOT-111 PHYSICAL SPECIFICATIONS</t>
        </is>
      </c>
      <c r="B6" s="5" t="n"/>
      <c r="C6" s="5" t="n"/>
      <c r="D6" s="5" t="n"/>
      <c r="E6" s="5" t="n"/>
      <c r="F6" s="5" t="n"/>
      <c r="G6" s="5" t="n"/>
    </row>
    <row r="7">
      <c r="A7" s="6" t="inlineStr">
        <is>
          <t>Parameter</t>
        </is>
      </c>
      <c r="B7" s="6" t="inlineStr">
        <is>
          <t>Value</t>
        </is>
      </c>
      <c r="C7" s="6" t="inlineStr">
        <is>
          <t>Unit</t>
        </is>
      </c>
      <c r="D7" s="6" t="inlineStr">
        <is>
          <t>Source / Reference</t>
        </is>
      </c>
      <c r="E7" s="6" t="inlineStr">
        <is>
          <t>Classification</t>
        </is>
      </c>
      <c r="F7" s="6" t="inlineStr"/>
      <c r="G7" s="6" t="inlineStr">
        <is>
          <t>URL</t>
        </is>
      </c>
    </row>
    <row r="8">
      <c r="A8" s="7" t="inlineStr">
        <is>
          <t>Tare weight (light weight)</t>
        </is>
      </c>
      <c r="B8" s="8" t="n">
        <v>39168</v>
      </c>
      <c r="C8" s="7" t="inlineStr">
        <is>
          <t>kg (86,350 lbs)</t>
        </is>
      </c>
      <c r="D8" s="7" t="inlineStr">
        <is>
          <t>GBRX spec sheet (Jan 2021): 29,000-gal DOT 111A100W1, C&amp;I. Quote: "Light weight: 86,350 lbs." Conversion: 86350/2.20462 = 39168 kg.</t>
        </is>
      </c>
      <c r="E8" s="7" t="inlineStr">
        <is>
          <t>SOURCED</t>
        </is>
      </c>
      <c r="F8" s="9" t="n"/>
      <c r="G8" s="7" t="inlineStr">
        <is>
          <t>https://www.gbrx.com/wp-content/uploads/2021/06/29000-Gallon-DOT-111-Tank-Car.pdf</t>
        </is>
      </c>
    </row>
    <row r="9">
      <c r="A9" s="7" t="inlineStr">
        <is>
          <t>Configuration</t>
        </is>
      </c>
      <c r="B9" s="10" t="inlineStr">
        <is>
          <t>Coiled &amp; insulated (C&amp;I)</t>
        </is>
      </c>
      <c r="C9" s="9" t="n"/>
      <c r="D9" s="7" t="inlineStr">
        <is>
          <t>GBRX spec sheet. Quote: "coiled and insulated tank car...DOT 111A100W1 specification."</t>
        </is>
      </c>
      <c r="E9" s="7" t="inlineStr">
        <is>
          <t>SOURCED</t>
        </is>
      </c>
      <c r="F9" s="9" t="n"/>
      <c r="G9" s="7" t="inlineStr">
        <is>
          <t>https://www.gbrx.com/wp-content/uploads/2021/06/29000-Gallon-DOT-111-Tank-Car.pdf</t>
        </is>
      </c>
    </row>
    <row r="10">
      <c r="A10" s="7" t="inlineStr">
        <is>
          <t>Shell material</t>
        </is>
      </c>
      <c r="B10" s="10" t="inlineStr">
        <is>
          <t>ASTM A516 Gr 70 carbon steel</t>
        </is>
      </c>
      <c r="C10" s="9" t="n"/>
      <c r="D10" s="7" t="inlineStr">
        <is>
          <t>49 CFR 179.200-7: permits carbon steel. A516 Gr 70 is industry standard, not regulatory mandate.</t>
        </is>
      </c>
      <c r="E10" s="7" t="inlineStr">
        <is>
          <t>PARTIAL</t>
        </is>
      </c>
      <c r="F10" s="9" t="n"/>
      <c r="G10" s="7" t="inlineStr">
        <is>
          <t>https://www.ecfr.gov/current/title-49/part-179/subpart-D</t>
        </is>
      </c>
    </row>
    <row r="11">
      <c r="A11" s="7" t="inlineStr">
        <is>
          <t>Tank outer diameter — feet component (GBRX: 9'-10 3/4")</t>
        </is>
      </c>
      <c r="B11" s="10" t="n">
        <v>9</v>
      </c>
      <c r="C11" s="7" t="inlineStr">
        <is>
          <t>feet</t>
        </is>
      </c>
      <c r="D11" s="7" t="inlineStr">
        <is>
          <t>GBRX spec: "Tank, outside diameter: 9'-10 3/4"." Feet component = 9.</t>
        </is>
      </c>
      <c r="E11" s="7" t="inlineStr">
        <is>
          <t>SOURCED</t>
        </is>
      </c>
      <c r="F11" s="9" t="n"/>
      <c r="G11" s="7" t="inlineStr">
        <is>
          <t>https://www.gbrx.com/wp-content/uploads/2021/06/29000-Gallon-DOT-111-Tank-Car.pdf</t>
        </is>
      </c>
    </row>
    <row r="12">
      <c r="A12" s="7" t="inlineStr">
        <is>
          <t>Tank outer diameter — inches component (GBRX: 10 3/4")</t>
        </is>
      </c>
      <c r="B12" s="11" t="n">
        <v>10.75</v>
      </c>
      <c r="C12" s="7" t="inlineStr">
        <is>
          <t>inches</t>
        </is>
      </c>
      <c r="D12" s="7" t="inlineStr">
        <is>
          <t>GBRX spec: inches component = 10 3/4 = 10.75 in.</t>
        </is>
      </c>
      <c r="E12" s="7" t="inlineStr">
        <is>
          <t>SOURCED</t>
        </is>
      </c>
      <c r="F12" s="9" t="n"/>
      <c r="G12" s="9" t="n"/>
    </row>
    <row r="13">
      <c r="A13" s="7" t="inlineStr">
        <is>
          <t>Tank outer diameter — total inches</t>
        </is>
      </c>
      <c r="B13" s="12">
        <f>B11*12+B12</f>
        <v/>
      </c>
      <c r="C13" s="7" t="inlineStr">
        <is>
          <t>inches</t>
        </is>
      </c>
      <c r="D13" s="7" t="inlineStr">
        <is>
          <t>DERIVED. =B11*12 + B12.</t>
        </is>
      </c>
      <c r="E13" s="7" t="inlineStr">
        <is>
          <t>DERIVED</t>
        </is>
      </c>
      <c r="F13" s="9" t="n"/>
      <c r="G13" s="9" t="n"/>
    </row>
    <row r="14">
      <c r="A14" s="7" t="inlineStr">
        <is>
          <t>Tank outer diameter — meters</t>
        </is>
      </c>
      <c r="B14" s="13">
        <f>B13*0.0254</f>
        <v/>
      </c>
      <c r="C14" s="7" t="inlineStr">
        <is>
          <t>m</t>
        </is>
      </c>
      <c r="D14" s="7" t="inlineStr">
        <is>
          <t>DERIVED. =B13 x 0.0254 m/in.</t>
        </is>
      </c>
      <c r="E14" s="7" t="inlineStr">
        <is>
          <t>DERIVED</t>
        </is>
      </c>
      <c r="F14" s="9" t="n"/>
      <c r="G14" s="9" t="n"/>
    </row>
    <row r="15">
      <c r="A15" s="7" t="inlineStr">
        <is>
          <t>Tank outside length — feet component (GBRX: 53'-4 7/8")</t>
        </is>
      </c>
      <c r="B15" s="10" t="n">
        <v>53</v>
      </c>
      <c r="C15" s="7" t="inlineStr">
        <is>
          <t>feet</t>
        </is>
      </c>
      <c r="D15" s="7" t="inlineStr">
        <is>
          <t>GBRX spec: "Tank, outside length: 53'-4 7/8"." Feet component = 53.</t>
        </is>
      </c>
      <c r="E15" s="7" t="inlineStr">
        <is>
          <t>SOURCED</t>
        </is>
      </c>
      <c r="F15" s="9" t="n"/>
      <c r="G15" s="7" t="inlineStr">
        <is>
          <t>https://www.gbrx.com/wp-content/uploads/2021/06/29000-Gallon-DOT-111-Tank-Car.pdf</t>
        </is>
      </c>
    </row>
    <row r="16">
      <c r="A16" s="7" t="inlineStr">
        <is>
          <t>Tank outside length — inches component (GBRX: 4 7/8")</t>
        </is>
      </c>
      <c r="B16" s="14" t="n">
        <v>4.875</v>
      </c>
      <c r="C16" s="7" t="inlineStr">
        <is>
          <t>inches</t>
        </is>
      </c>
      <c r="D16" s="7" t="inlineStr">
        <is>
          <t>GBRX spec: inches component = 4 7/8 = 4.875 in.</t>
        </is>
      </c>
      <c r="E16" s="7" t="inlineStr">
        <is>
          <t>SOURCED</t>
        </is>
      </c>
      <c r="F16" s="9" t="n"/>
      <c r="G16" s="9" t="n"/>
    </row>
    <row r="17">
      <c r="A17" s="7" t="inlineStr">
        <is>
          <t>Tank outside length — total inches</t>
        </is>
      </c>
      <c r="B17" s="15">
        <f>B15*12+B16</f>
        <v/>
      </c>
      <c r="C17" s="7" t="inlineStr">
        <is>
          <t>inches</t>
        </is>
      </c>
      <c r="D17" s="7" t="inlineStr">
        <is>
          <t>DERIVED. =B15*12 + B16.</t>
        </is>
      </c>
      <c r="E17" s="7" t="inlineStr">
        <is>
          <t>DERIVED</t>
        </is>
      </c>
      <c r="F17" s="9" t="n"/>
      <c r="G17" s="9" t="n"/>
    </row>
    <row r="18">
      <c r="A18" s="7" t="inlineStr">
        <is>
          <t>Tank outside length — meters</t>
        </is>
      </c>
      <c r="B18" s="13">
        <f>B17*0.0254</f>
        <v/>
      </c>
      <c r="C18" s="7" t="inlineStr">
        <is>
          <t>m</t>
        </is>
      </c>
      <c r="D18" s="7" t="inlineStr">
        <is>
          <t>DERIVED. =B17 x 0.0254 m/in.</t>
        </is>
      </c>
      <c r="E18" s="7" t="inlineStr">
        <is>
          <t>DERIVED</t>
        </is>
      </c>
      <c r="F18" s="9" t="n"/>
      <c r="G18" s="9" t="n"/>
    </row>
    <row r="19">
      <c r="A19" s="7" t="inlineStr">
        <is>
          <t>Min shell thickness — numerator (49 CFR: 7/16 in)</t>
        </is>
      </c>
      <c r="B19" s="10" t="n">
        <v>7</v>
      </c>
      <c r="C19" s="7" t="inlineStr">
        <is>
          <t>(numerator)</t>
        </is>
      </c>
      <c r="D19" s="7" t="inlineStr">
        <is>
          <t>49 CFR 179.201-1: "not less than 7/16 inch." Numerator = 7.</t>
        </is>
      </c>
      <c r="E19" s="7" t="inlineStr">
        <is>
          <t>SOURCED</t>
        </is>
      </c>
      <c r="F19" s="9" t="n"/>
      <c r="G19" s="7" t="inlineStr">
        <is>
          <t>https://www.ecfr.gov/current/title-49/part-179/subpart-D</t>
        </is>
      </c>
    </row>
    <row r="20">
      <c r="A20" s="7" t="inlineStr">
        <is>
          <t>Min shell thickness — denominator</t>
        </is>
      </c>
      <c r="B20" s="10" t="n">
        <v>16</v>
      </c>
      <c r="C20" s="7" t="inlineStr">
        <is>
          <t>(denominator)</t>
        </is>
      </c>
      <c r="D20" s="7" t="inlineStr">
        <is>
          <t>49 CFR 179.201-1: denominator = 16.</t>
        </is>
      </c>
      <c r="E20" s="7" t="inlineStr">
        <is>
          <t>SOURCED</t>
        </is>
      </c>
      <c r="F20" s="9" t="n"/>
      <c r="G20" s="9" t="n"/>
    </row>
    <row r="21">
      <c r="A21" s="7" t="inlineStr">
        <is>
          <t>Min shell thickness — meters</t>
        </is>
      </c>
      <c r="B21" s="16">
        <f>(B19/B20)*0.0254</f>
        <v/>
      </c>
      <c r="C21" s="7" t="inlineStr">
        <is>
          <t>m</t>
        </is>
      </c>
      <c r="D21" s="7" t="inlineStr">
        <is>
          <t>DERIVED. =(B19/B20) x 0.0254 m/in.</t>
        </is>
      </c>
      <c r="E21" s="7" t="inlineStr">
        <is>
          <t>DERIVED</t>
        </is>
      </c>
      <c r="F21" s="9" t="n"/>
      <c r="G21" s="9" t="n"/>
    </row>
    <row r="22">
      <c r="A22" s="7" t="inlineStr">
        <is>
          <t>Jacket thickness — raw (49 CFR: 11 gauge = 0.1196 in)</t>
        </is>
      </c>
      <c r="B22" s="17" t="n">
        <v>0.1196</v>
      </c>
      <c r="C22" s="7" t="inlineStr">
        <is>
          <t>inches</t>
        </is>
      </c>
      <c r="D22" s="7" t="inlineStr">
        <is>
          <t>49 CFR 179.200-4: "not less than 11 gauge (0.1196 inch) nominal." 0.1196 in is the regulatory value.</t>
        </is>
      </c>
      <c r="E22" s="7" t="inlineStr">
        <is>
          <t>SOURCED</t>
        </is>
      </c>
      <c r="F22" s="9" t="n"/>
      <c r="G22" s="7" t="inlineStr">
        <is>
          <t>https://www.govregs.com/regulations/expand/title49_chapterI-i1_part179_subpartD_section179.200-4</t>
        </is>
      </c>
    </row>
    <row r="23">
      <c r="A23" s="7" t="inlineStr">
        <is>
          <t>Jacket thickness — meters</t>
        </is>
      </c>
      <c r="B23" s="16">
        <f>B22*0.0254</f>
        <v/>
      </c>
      <c r="C23" s="7" t="inlineStr">
        <is>
          <t>m</t>
        </is>
      </c>
      <c r="D23" s="7" t="inlineStr">
        <is>
          <t>DERIVED. =B22 x 0.0254 m/in.</t>
        </is>
      </c>
      <c r="E23" s="7" t="inlineStr">
        <is>
          <t>DERIVED</t>
        </is>
      </c>
      <c r="F23" s="9" t="n"/>
      <c r="G23" s="9" t="n"/>
    </row>
    <row r="24">
      <c r="A24" s="7" t="inlineStr">
        <is>
          <t>Steel density (A516 Gr 70)</t>
        </is>
      </c>
      <c r="B24" s="8" t="n">
        <v>7850</v>
      </c>
      <c r="C24" s="7" t="inlineStr">
        <is>
          <t>kg/m³</t>
        </is>
      </c>
      <c r="D24" s="7" t="inlineStr">
        <is>
          <t>AZoM / SSAB: ASTM A516 Gr 70 density 7,850 kg/m³. Standard nominal for carbon steel plate.</t>
        </is>
      </c>
      <c r="E24" s="7" t="inlineStr">
        <is>
          <t>SOURCED</t>
        </is>
      </c>
      <c r="F24" s="9" t="n"/>
      <c r="G24" s="7" t="inlineStr">
        <is>
          <t>https://www.azom.com/article.aspx?ArticleID=4787</t>
        </is>
      </c>
    </row>
    <row r="25">
      <c r="A25" s="7" t="inlineStr">
        <is>
          <t>Useful service life</t>
        </is>
      </c>
      <c r="B25" s="10" t="n">
        <v>50</v>
      </c>
      <c r="C25" s="7" t="inlineStr">
        <is>
          <t>years</t>
        </is>
      </c>
      <c r="D25" s="7" t="inlineStr">
        <is>
          <t>AAR Interchange Rule 88 / OT-24: 50-year condemning limit.</t>
        </is>
      </c>
      <c r="E25" s="7" t="inlineStr">
        <is>
          <t>SOURCED</t>
        </is>
      </c>
      <c r="F25" s="9" t="n"/>
      <c r="G25" s="7" t="inlineStr">
        <is>
          <t>https://public.railinc.com/sites/default/files/documents/OT-24.pdf</t>
        </is>
      </c>
    </row>
    <row r="27">
      <c r="A27" s="5" t="inlineStr">
        <is>
          <t>2. NON-STEEL MATERIAL INPUTS &amp; GEOMETRY</t>
        </is>
      </c>
      <c r="B27" s="5" t="n"/>
      <c r="C27" s="5" t="n"/>
      <c r="D27" s="5" t="n"/>
      <c r="E27" s="5" t="n"/>
      <c r="F27" s="5" t="n"/>
      <c r="G27" s="5" t="n"/>
    </row>
    <row r="28">
      <c r="A28" s="6" t="inlineStr">
        <is>
          <t>Input Parameter</t>
        </is>
      </c>
      <c r="B28" s="6" t="inlineStr">
        <is>
          <t>Value</t>
        </is>
      </c>
      <c r="C28" s="6" t="inlineStr">
        <is>
          <t>Unit</t>
        </is>
      </c>
      <c r="D28" s="6" t="inlineStr">
        <is>
          <t>Source / Reference</t>
        </is>
      </c>
      <c r="E28" s="6" t="inlineStr">
        <is>
          <t>Classification</t>
        </is>
      </c>
      <c r="F28" s="6" t="inlineStr"/>
      <c r="G28" s="6" t="inlineStr">
        <is>
          <t>URL</t>
        </is>
      </c>
    </row>
    <row r="29">
      <c r="A29" s="7" t="inlineStr">
        <is>
          <t>Insulation thickness</t>
        </is>
      </c>
      <c r="B29" s="17" t="n">
        <v>0.1016</v>
      </c>
      <c r="C29" s="7" t="inlineStr">
        <is>
          <t>m (4 in)</t>
        </is>
      </c>
      <c r="D29" s="7" t="inlineStr">
        <is>
          <t>PROXY. 49 CFR 179.200-4 sets max thermal conductance of 0.225 Btu/(hr·ft²·°F) but not thickness. Mineral wool k ≈ 0.24 Btu·in/(hr·ft²·°F) (Engineering Toolbox) gives a theoretical minimum of ~1.07 in. UTLX tank car build specifications list 4 inches of fiberglass/mineral wool as industry standard for insulated cars, consistent with FRA-approved thermal protection systems. 4 in = 101.6 mm = 0.1016 m.</t>
        </is>
      </c>
      <c r="E29" s="7" t="inlineStr">
        <is>
          <t>PROXY</t>
        </is>
      </c>
      <c r="F29" s="9" t="n"/>
      <c r="G29" s="7" t="inlineStr">
        <is>
          <t>https://www.utlx.com/build-a-tank-car/4-jacket.html</t>
        </is>
      </c>
    </row>
    <row r="30">
      <c r="A30" s="7" t="inlineStr">
        <is>
          <t>Insulation density, mineral wool (est.)</t>
        </is>
      </c>
      <c r="B30" s="18" t="n">
        <v>113</v>
      </c>
      <c r="C30" s="7" t="inlineStr">
        <is>
          <t>kg/m³</t>
        </is>
      </c>
      <c r="D30" s="7" t="inlineStr">
        <is>
          <t>ESTIMATE. Knauf EPD (DP7-DP8) states rock mineral wool density range 25–200 kg/m³. 113 = midpoint. No railcar-specific density standard identified.</t>
        </is>
      </c>
      <c r="E30" s="7" t="inlineStr">
        <is>
          <t>ESTIMATE</t>
        </is>
      </c>
      <c r="F30" s="9" t="n"/>
      <c r="G30" s="7" t="inlineStr">
        <is>
          <t>https://www.knaufinsulation.com/sites/ki_com/files/uploads/Rock%20Mineral%20Wool%20DP7-DP8.pdf</t>
        </is>
      </c>
    </row>
    <row r="31">
      <c r="A31" s="7" t="inlineStr">
        <is>
          <t>Insulation overlap/support factor (est.)</t>
        </is>
      </c>
      <c r="B31" s="19" t="n">
        <v>1.45</v>
      </c>
      <c r="C31" s="7" t="inlineStr"/>
      <c r="D31" s="7" t="inlineStr">
        <is>
          <t>ESTIMATE. No public source. Accounts for batt overlaps, metal support bands, vapor barrier, and installation wastage. 1.45 is an unsourced engineering estimate.</t>
        </is>
      </c>
      <c r="E31" s="7" t="inlineStr">
        <is>
          <t>ESTIMATE</t>
        </is>
      </c>
      <c r="F31" s="9" t="n"/>
      <c r="G31" s="9" t="n"/>
    </row>
    <row r="32">
      <c r="A32" s="7" t="inlineStr">
        <is>
          <t>Jacket outer diameter (derived)</t>
        </is>
      </c>
      <c r="B32" s="13">
        <f>B14+2*B29</f>
        <v/>
      </c>
      <c r="C32" s="7" t="inlineStr">
        <is>
          <t>m</t>
        </is>
      </c>
      <c r="D32" s="7" t="inlineStr">
        <is>
          <t>DERIVED. =Tank OD (B14) + 2 x insulation thickness (B29).</t>
        </is>
      </c>
      <c r="E32" s="7" t="inlineStr">
        <is>
          <t>DERIVED</t>
        </is>
      </c>
      <c r="F32" s="9" t="n"/>
      <c r="G32" s="9" t="n"/>
    </row>
    <row r="33">
      <c r="A33" s="7" t="inlineStr">
        <is>
          <t>Underframe/truck primer area allowance (est.)</t>
        </is>
      </c>
      <c r="B33" s="18" t="n">
        <v>23</v>
      </c>
      <c r="C33" s="7" t="inlineStr">
        <is>
          <t>m²</t>
        </is>
      </c>
      <c r="D33" s="7" t="inlineStr">
        <is>
          <t>ESTIMATE. No public source for tank car underframe surface area. 23 m² is an unsourced engineering estimate based on geometric approximation: 2 longitudinal sills (~18 m x 0.4 m = ~14 m²), transverse members (~4 m²), truck frame surfaces (~4 m²), draft gear area (~1 m²). Immaterial: at 0.5 kg/m² coating rate, this is ~12 kg of coatings, or 0.03% of tare.</t>
        </is>
      </c>
      <c r="E33" s="7" t="inlineStr">
        <is>
          <t>ESTIMATE</t>
        </is>
      </c>
      <c r="F33" s="9" t="n"/>
      <c r="G33" s="9" t="n"/>
    </row>
    <row r="34">
      <c r="A34" s="7" t="inlineStr">
        <is>
          <t>Paintable surface area (derived geometry)</t>
        </is>
      </c>
      <c r="B34" s="20">
        <f>PI()*B32*B18+2*PI()*(B32/2)^2+B33</f>
        <v/>
      </c>
      <c r="C34" s="7" t="inlineStr">
        <is>
          <t>m²</t>
        </is>
      </c>
      <c r="D34" s="7" t="inlineStr">
        <is>
          <t>DERIVED. Jacket exterior cylinder (PI x jacket OD x tank length) + 2 flat-approx heads (2 x PI x (jacket OD/2)²) + underframe allowance (B33).</t>
        </is>
      </c>
      <c r="E34" s="7" t="inlineStr">
        <is>
          <t>DERIVED</t>
        </is>
      </c>
      <c r="F34" s="9" t="n"/>
      <c r="G34" s="9" t="n"/>
    </row>
    <row r="35">
      <c r="A35" s="7" t="inlineStr">
        <is>
          <t>Top fittings mass — brass/bronze (est.)</t>
        </is>
      </c>
      <c r="B35" s="18" t="n">
        <v>350</v>
      </c>
      <c r="C35" s="7" t="inlineStr">
        <is>
          <t>kg</t>
        </is>
      </c>
      <c r="D35" s="7" t="inlineStr">
        <is>
          <t>ESTIMATE. No public source. Aggregate estimate for manway cover+ring, PRD, safety valve, gauging device, sample/thermo wells, misc nozzle hardware. 350 kg is an unsourced engineering estimate. Immaterial: &lt;1% of tare; even a 50% error changes CTGrave by &lt;0.1 MT.</t>
        </is>
      </c>
      <c r="E35" s="7" t="inlineStr">
        <is>
          <t>ESTIMATE</t>
        </is>
      </c>
      <c r="F35" s="9" t="n"/>
      <c r="G35" s="9" t="n"/>
    </row>
    <row r="36">
      <c r="A36" s="7" t="inlineStr">
        <is>
          <t>Coating coverage rate (est.)</t>
        </is>
      </c>
      <c r="B36" s="19" t="n">
        <v>0.5</v>
      </c>
      <c r="C36" s="7" t="inlineStr">
        <is>
          <t>kg/m²</t>
        </is>
      </c>
      <c r="D36" s="7" t="inlineStr">
        <is>
          <t>PROXY. Standard industrial coating calculation: DFT x density x 10 = kg/m². For a 2-coat system (primer ~40 µm + topcoat ~50 µm = 90 µm DFT) at epoxy density ~1.2 g/cm³: 90 x 1.2 x 10 = 1.08 kg/m² theoretical. 0.50 kg/m² assumes thinner application typical of rail (less corrosion protection than marine). Conservative: understates coating mass, but coatings are immaterial (&lt;0.3% of tare).</t>
        </is>
      </c>
      <c r="E36" s="7" t="inlineStr">
        <is>
          <t>PROXY</t>
        </is>
      </c>
      <c r="F36" s="9" t="n"/>
      <c r="G36" s="9" t="n"/>
    </row>
    <row r="37">
      <c r="A37" s="7" t="inlineStr">
        <is>
          <t>Rubber/elastomers (draft gear cushions, gaskets) (est.)</t>
        </is>
      </c>
      <c r="B37" s="18" t="n">
        <v>50</v>
      </c>
      <c r="C37" s="7" t="inlineStr">
        <is>
          <t>kg</t>
        </is>
      </c>
      <c r="D37" s="7" t="inlineStr">
        <is>
          <t>ESTIMATE. No public source. Draft gear elastomer cushion elements + gaskets/seals. 50 kg is an unsourced engineering estimate. Immaterial: 0.1% of tare. Even if doubled, CTGrave impact &lt; 0.01 MT.</t>
        </is>
      </c>
      <c r="E37" s="7" t="inlineStr">
        <is>
          <t>ESTIMATE</t>
        </is>
      </c>
      <c r="F37" s="9" t="n"/>
      <c r="G37" s="9" t="n"/>
    </row>
    <row r="38">
      <c r="A38" s="7" t="inlineStr">
        <is>
          <t>Fabrication energy intensity (est.)</t>
        </is>
      </c>
      <c r="B38" s="21" t="n">
        <v>2</v>
      </c>
      <c r="C38" s="7" t="inlineStr">
        <is>
          <t>GJ/t</t>
        </is>
      </c>
      <c r="D38" s="7" t="inlineStr">
        <is>
          <t>ESTIMATE. No tank car-specific data. LBNL-62806 REV.2 reports best practice hot rolling at 1.28 GJ/t; UNIDO 2014 benchmarking reports 1.0–1.5 GJ/t for rolling/forming/heat treatment. 2.0 GJ/t adds margin for welding, stress relief, and assembly. Conservative upper bound.</t>
        </is>
      </c>
      <c r="E38" s="7" t="inlineStr">
        <is>
          <t>ESTIMATE</t>
        </is>
      </c>
      <c r="F38" s="9" t="n"/>
      <c r="G38" s="7" t="inlineStr">
        <is>
          <t>https://eta-publications.lbl.gov/sites/default/files/industrial_best_practice_en.pdf</t>
        </is>
      </c>
    </row>
    <row r="40">
      <c r="A40" s="5" t="inlineStr">
        <is>
          <t>3. MATERIAL MASS BREAKDOWN</t>
        </is>
      </c>
      <c r="B40" s="5" t="n"/>
      <c r="C40" s="5" t="n"/>
      <c r="D40" s="5" t="n"/>
      <c r="E40" s="5" t="n"/>
      <c r="F40" s="5" t="n"/>
      <c r="G40" s="5" t="n"/>
    </row>
    <row r="41">
      <c r="A41" s="4" t="inlineStr">
        <is>
          <t>Approach: Tare weight is the sourced anchor (GBRX). Non-steel materials are identified and their masses estimated or derived from geometry. Steel mass = tare minus all non-steel. Of the non-steel materials, only thermal insulation is material (~5% of tare). Brass (&lt;1%), coatings (&lt;0.3%), and rubber (0.1%) are marginal.</t>
        </is>
      </c>
    </row>
    <row r="42">
      <c r="A42" s="6" t="inlineStr">
        <is>
          <t>Material Category</t>
        </is>
      </c>
      <c r="B42" s="6" t="inlineStr">
        <is>
          <t>Mass (kg)</t>
        </is>
      </c>
      <c r="C42" s="6" t="inlineStr">
        <is>
          <t>% of Tare</t>
        </is>
      </c>
      <c r="D42" s="6" t="inlineStr">
        <is>
          <t>Formula / Basis</t>
        </is>
      </c>
      <c r="E42" s="6" t="inlineStr">
        <is>
          <t>Classification</t>
        </is>
      </c>
      <c r="F42" s="6" t="inlineStr">
        <is>
          <t>EF Applied</t>
        </is>
      </c>
      <c r="G42" s="6" t="n"/>
    </row>
    <row r="43">
      <c r="A43" s="7" t="inlineStr">
        <is>
          <t>Thermal insulation (mineral wool)</t>
        </is>
      </c>
      <c r="B43" s="20">
        <f>PI()/4*((B14+2*B29)^2-B14^2)*B18*B30*B31</f>
        <v/>
      </c>
      <c r="C43" s="22">
        <f>B43/B8</f>
        <v/>
      </c>
      <c r="D43" s="7" t="inlineStr">
        <is>
          <t>Annular cylinder volume x density x overlap factor. Cylinder only; head insulation (~181 kg) absorbed by steel residual at steel EF — conservative (steel EF &gt; mineral wool EF).</t>
        </is>
      </c>
      <c r="E43" s="7" t="inlineStr">
        <is>
          <t>DERIVED from estimates</t>
        </is>
      </c>
      <c r="F43" s="7" t="inlineStr">
        <is>
          <t>Mineral wool</t>
        </is>
      </c>
      <c r="G43" s="9" t="n"/>
    </row>
    <row r="44">
      <c r="A44" s="7" t="inlineStr">
        <is>
          <t>Brass fittings (top fittings assembly)</t>
        </is>
      </c>
      <c r="B44" s="18">
        <f>B35</f>
        <v/>
      </c>
      <c r="C44" s="22">
        <f>B44/B8</f>
        <v/>
      </c>
      <c r="D44" s="7" t="inlineStr">
        <is>
          <t>From Sec 2. Marginal: &lt;1% of tare. Even a 50% error changes CTGrave by &lt;0.1 MT.</t>
        </is>
      </c>
      <c r="E44" s="7" t="inlineStr">
        <is>
          <t>ESTIMATE</t>
        </is>
      </c>
      <c r="F44" s="7" t="inlineStr">
        <is>
          <t>Brass (Cu/Zn)</t>
        </is>
      </c>
      <c r="G44" s="9" t="n"/>
    </row>
    <row r="45">
      <c r="A45" s="7" t="inlineStr">
        <is>
          <t>Coatings + lining (epoxy/polyurethane)</t>
        </is>
      </c>
      <c r="B45" s="18">
        <f>B34*B36</f>
        <v/>
      </c>
      <c r="C45" s="22">
        <f>B45/B8</f>
        <v/>
      </c>
      <c r="D45" s="7" t="inlineStr">
        <is>
          <t>Surface area (B34) x coverage rate (B36).</t>
        </is>
      </c>
      <c r="E45" s="7" t="inlineStr">
        <is>
          <t>DERIVED from estimates</t>
        </is>
      </c>
      <c r="F45" s="7" t="inlineStr">
        <is>
          <t>Coatings</t>
        </is>
      </c>
      <c r="G45" s="9" t="n"/>
    </row>
    <row r="46">
      <c r="A46" s="7" t="inlineStr">
        <is>
          <t>Rubber/elastomers (draft gear, gaskets)</t>
        </is>
      </c>
      <c r="B46" s="18">
        <f>B37</f>
        <v/>
      </c>
      <c r="C46" s="22">
        <f>B46/B8</f>
        <v/>
      </c>
      <c r="D46" s="7" t="inlineStr">
        <is>
          <t>From Sec 2. Immaterial: 0.1% of tare. Even if doubled, CTGrave impact &lt; 0.01 MT.</t>
        </is>
      </c>
      <c r="E46" s="7" t="inlineStr">
        <is>
          <t>ESTIMATE</t>
        </is>
      </c>
      <c r="F46" s="7" t="inlineStr">
        <is>
          <t>Rubber</t>
        </is>
      </c>
      <c r="G46" s="9" t="n"/>
    </row>
    <row r="47">
      <c r="A47" s="23" t="inlineStr">
        <is>
          <t>SUBTOTAL: Non-steel materials</t>
        </is>
      </c>
      <c r="B47" s="24">
        <f>SUM(B43:B46)</f>
        <v/>
      </c>
      <c r="C47" s="25">
        <f>B47/B8</f>
        <v/>
      </c>
      <c r="D47" s="26" t="inlineStr">
        <is>
          <t>Sum of insulation + brass + coatings + rubber.</t>
        </is>
      </c>
      <c r="E47" s="27" t="n"/>
      <c r="F47" s="27" t="n"/>
      <c r="G47" s="27" t="n"/>
    </row>
    <row r="48">
      <c r="A48" s="23" t="inlineStr">
        <is>
          <t>STEEL (all grades — residual)</t>
        </is>
      </c>
      <c r="B48" s="28">
        <f>B8-B47</f>
        <v/>
      </c>
      <c r="C48" s="25">
        <f>B48/B8</f>
        <v/>
      </c>
      <c r="D48" s="26" t="inlineStr">
        <is>
          <t>Tare minus non-steel. Covers: shell/heads, jacket, frame, trucks, couplers, draft gear, brakes, heating coils, all structural steel. One blended US steel EF.</t>
        </is>
      </c>
      <c r="E48" s="26" t="inlineStr">
        <is>
          <t>DERIVED (residual)</t>
        </is>
      </c>
      <c r="F48" s="26" t="inlineStr">
        <is>
          <t>US blended steel</t>
        </is>
      </c>
      <c r="G48" s="27" t="n"/>
    </row>
    <row r="49">
      <c r="A49" s="23" t="inlineStr">
        <is>
          <t>TOTAL BOM</t>
        </is>
      </c>
      <c r="B49" s="24">
        <f>B48+B47</f>
        <v/>
      </c>
      <c r="C49" s="25">
        <f>B49/B8</f>
        <v/>
      </c>
      <c r="D49" s="27" t="n"/>
      <c r="E49" s="27" t="n"/>
      <c r="F49" s="27" t="n"/>
      <c r="G49" s="27" t="n"/>
    </row>
    <row r="50">
      <c r="A50" s="3" t="inlineStr">
        <is>
          <t>Residual (tare − BOM)</t>
        </is>
      </c>
      <c r="B50" s="29">
        <f>B8-B49</f>
        <v/>
      </c>
      <c r="D50" s="3" t="inlineStr">
        <is>
          <t>Must be 0. Steel absorbs the difference by construction.</t>
        </is>
      </c>
    </row>
    <row r="52">
      <c r="A52" s="5" t="inlineStr">
        <is>
          <t>4. EMISSION FACTORS</t>
        </is>
      </c>
      <c r="B52" s="5" t="n"/>
      <c r="C52" s="5" t="n"/>
      <c r="D52" s="5" t="n"/>
      <c r="E52" s="5" t="n"/>
      <c r="F52" s="5" t="n"/>
      <c r="G52" s="5" t="n"/>
    </row>
    <row r="53">
      <c r="A53" s="30" t="inlineStr">
        <is>
          <t>4A. GREET2 2025 Reference Values (Argonne National Lab)</t>
        </is>
      </c>
    </row>
    <row r="54">
      <c r="A54" s="6" t="inlineStr">
        <is>
          <t>Material / Parameter</t>
        </is>
      </c>
      <c r="B54" s="6" t="inlineStr">
        <is>
          <t>Raw GREET Value</t>
        </is>
      </c>
      <c r="C54" s="6" t="inlineStr">
        <is>
          <t>Raw Unit</t>
        </is>
      </c>
      <c r="D54" s="6" t="inlineStr">
        <is>
          <t>Converted EF (kgCO₂e/kg)</t>
        </is>
      </c>
      <c r="E54" s="6" t="inlineStr">
        <is>
          <t>GREET2 Cell Ref</t>
        </is>
      </c>
      <c r="F54" s="6" t="inlineStr"/>
      <c r="G54" s="6" t="inlineStr">
        <is>
          <t>URL</t>
        </is>
      </c>
    </row>
    <row r="55">
      <c r="A55" s="31" t="inlineStr">
        <is>
          <t>Virgin Steel (BF-BOF)</t>
        </is>
      </c>
      <c r="B55" s="31" t="n">
        <v>1408.8</v>
      </c>
      <c r="C55" s="31" t="inlineStr">
        <is>
          <t>g/lb</t>
        </is>
      </c>
      <c r="D55" s="32">
        <f>B55*2.20462/1000</f>
        <v/>
      </c>
      <c r="E55" s="31" t="inlineStr">
        <is>
          <t>Mat_Sum, row 65, col B</t>
        </is>
      </c>
      <c r="F55" s="9" t="n"/>
      <c r="G55" s="7" t="inlineStr">
        <is>
          <t>https://greet.anl.gov/</t>
        </is>
      </c>
    </row>
    <row r="56">
      <c r="A56" s="31" t="inlineStr">
        <is>
          <t>Recycled Steel (EAF)</t>
        </is>
      </c>
      <c r="B56" s="31" t="n">
        <v>292.68</v>
      </c>
      <c r="C56" s="31" t="inlineStr">
        <is>
          <t>g/lb</t>
        </is>
      </c>
      <c r="D56" s="32">
        <f>B56*2.20462/1000</f>
        <v/>
      </c>
      <c r="E56" s="31" t="inlineStr">
        <is>
          <t>Mat_Sum, row 65, col C</t>
        </is>
      </c>
      <c r="F56" s="9" t="n"/>
      <c r="G56" s="7" t="inlineStr">
        <is>
          <t>https://greet.anl.gov/</t>
        </is>
      </c>
    </row>
    <row r="57">
      <c r="A57" s="31" t="inlineStr">
        <is>
          <t>Copper</t>
        </is>
      </c>
      <c r="B57" s="31" t="n">
        <v>1742.3</v>
      </c>
      <c r="C57" s="31" t="inlineStr">
        <is>
          <t>g/lb</t>
        </is>
      </c>
      <c r="D57" s="32">
        <f>B57*2.20462/1000</f>
        <v/>
      </c>
      <c r="E57" s="31" t="inlineStr">
        <is>
          <t>Mat_Sum, row 65, col BE</t>
        </is>
      </c>
      <c r="F57" s="9" t="n"/>
      <c r="G57" s="7" t="inlineStr">
        <is>
          <t>https://greet.anl.gov/</t>
        </is>
      </c>
    </row>
    <row r="58">
      <c r="A58" s="31" t="inlineStr">
        <is>
          <t>Zinc</t>
        </is>
      </c>
      <c r="B58" s="31" t="n">
        <v>1062.57</v>
      </c>
      <c r="C58" s="31" t="inlineStr">
        <is>
          <t>g/lb</t>
        </is>
      </c>
      <c r="D58" s="32">
        <f>B58*2.20462/1000</f>
        <v/>
      </c>
      <c r="E58" s="31" t="inlineStr">
        <is>
          <t>Mat_Sum, row 65, col BF</t>
        </is>
      </c>
      <c r="F58" s="9" t="n"/>
      <c r="G58" s="7" t="inlineStr">
        <is>
          <t>https://greet.anl.gov/</t>
        </is>
      </c>
    </row>
    <row r="59">
      <c r="A59" s="31" t="inlineStr">
        <is>
          <t>Rubber (synthetic)</t>
        </is>
      </c>
      <c r="B59" s="31" t="n">
        <v>1686.16</v>
      </c>
      <c r="C59" s="31" t="inlineStr">
        <is>
          <t>g/lb</t>
        </is>
      </c>
      <c r="D59" s="32">
        <f>B59*2.20462/1000</f>
        <v/>
      </c>
      <c r="E59" s="31" t="inlineStr">
        <is>
          <t>Mat_Sum, row 65, col BU</t>
        </is>
      </c>
      <c r="F59" s="9" t="n"/>
      <c r="G59" s="7" t="inlineStr">
        <is>
          <t>https://greet.anl.gov/</t>
        </is>
      </c>
    </row>
    <row r="60">
      <c r="A60" s="31" t="inlineStr">
        <is>
          <t>Steel EoL recycling rate</t>
        </is>
      </c>
      <c r="B60" s="31" t="n">
        <v>0.96</v>
      </c>
      <c r="C60" s="31" t="inlineStr">
        <is>
          <t>(fraction)</t>
        </is>
      </c>
      <c r="D60" s="32">
        <f>B60</f>
        <v/>
      </c>
      <c r="E60" s="31" t="inlineStr">
        <is>
          <t>Mat_Sum, cell B19</t>
        </is>
      </c>
      <c r="F60" s="9" t="n"/>
      <c r="G60" s="7" t="inlineStr">
        <is>
          <t>https://greet.anl.gov/</t>
        </is>
      </c>
    </row>
    <row r="62">
      <c r="A62" s="33" t="inlineStr">
        <is>
          <t>4B. Derivation Assumptions</t>
        </is>
      </c>
    </row>
    <row r="63">
      <c r="A63" s="6" t="inlineStr">
        <is>
          <t>Assumption</t>
        </is>
      </c>
      <c r="B63" s="6" t="inlineStr">
        <is>
          <t>Value</t>
        </is>
      </c>
      <c r="C63" s="6" t="inlineStr">
        <is>
          <t>Unit</t>
        </is>
      </c>
      <c r="D63" s="6" t="inlineStr">
        <is>
          <t>Source</t>
        </is>
      </c>
      <c r="E63" s="6" t="inlineStr"/>
      <c r="F63" s="6" t="inlineStr"/>
      <c r="G63" s="6" t="inlineStr">
        <is>
          <t>URL</t>
        </is>
      </c>
    </row>
    <row r="64">
      <c r="A64" s="7" t="inlineStr">
        <is>
          <t>US steel: BF-BOF share</t>
        </is>
      </c>
      <c r="B64" s="11" t="n">
        <v>0.33</v>
      </c>
      <c r="C64" s="7" t="inlineStr">
        <is>
          <t>(fraction)</t>
        </is>
      </c>
      <c r="D64" s="7" t="inlineStr">
        <is>
          <t>Hasanbeigi &amp; Springer 2019. US 2018: 33% BF-BOF, 67% EAF. Data is 8 years old; EAF share has likely increased, making this conservative.</t>
        </is>
      </c>
      <c r="E64" s="9" t="n"/>
      <c r="F64" s="9" t="n"/>
      <c r="G64" s="7" t="inlineStr">
        <is>
          <t>https://www.bluegreenalliance.org/wp-content/uploads/2021/04/HowCleanistheU.S.SteelIndustry.pdf</t>
        </is>
      </c>
    </row>
    <row r="65">
      <c r="A65" s="7" t="inlineStr">
        <is>
          <t>US steel: EAF share</t>
        </is>
      </c>
      <c r="B65" s="12">
        <f>1-B64</f>
        <v/>
      </c>
      <c r="C65" s="7" t="inlineStr">
        <is>
          <t>(fraction)</t>
        </is>
      </c>
      <c r="D65" s="7" t="inlineStr">
        <is>
          <t>1 − BF-BOF share (B64).</t>
        </is>
      </c>
      <c r="E65" s="9" t="n"/>
      <c r="F65" s="9" t="n"/>
      <c r="G65" s="9" t="n"/>
    </row>
    <row r="66">
      <c r="A66" s="7" t="inlineStr">
        <is>
          <t>Brass: Cu share (C26000)</t>
        </is>
      </c>
      <c r="B66" s="11" t="n">
        <v>0.7</v>
      </c>
      <c r="C66" s="7" t="inlineStr">
        <is>
          <t>(fraction)</t>
        </is>
      </c>
      <c r="D66" s="7" t="inlineStr">
        <is>
          <t>UNS C26000 per ASTM B927: Cu 68.5–71.5%, bal Zn. Nominal 70/30.</t>
        </is>
      </c>
      <c r="E66" s="9" t="n"/>
      <c r="F66" s="9" t="n"/>
      <c r="G66" s="7" t="inlineStr">
        <is>
          <t>https://alloys.copper.org/alloy/C26000</t>
        </is>
      </c>
    </row>
    <row r="67">
      <c r="A67" s="7" t="inlineStr">
        <is>
          <t>Brass: Zn share</t>
        </is>
      </c>
      <c r="B67" s="12">
        <f>1-B66</f>
        <v/>
      </c>
      <c r="C67" s="7" t="inlineStr">
        <is>
          <t>(fraction)</t>
        </is>
      </c>
      <c r="D67" s="7" t="inlineStr">
        <is>
          <t>1 − Cu share (B66).</t>
        </is>
      </c>
      <c r="E67" s="9" t="n"/>
      <c r="F67" s="9" t="n"/>
      <c r="G67" s="9" t="n"/>
    </row>
    <row r="68">
      <c r="A68" s="7" t="inlineStr">
        <is>
          <t>US grid EF (eGRID 2023)</t>
        </is>
      </c>
      <c r="B68" s="14" t="n">
        <v>0.367</v>
      </c>
      <c r="C68" s="7" t="inlineStr">
        <is>
          <t>kgCO₂e/kWh</t>
        </is>
      </c>
      <c r="D68" s="7" t="inlineStr">
        <is>
          <t>EPA eGRID 2023 (Jan 2025). US avg: 0.81 lbs CO₂/kWh. 0.81 / 2.20462 = 0.367 kg.</t>
        </is>
      </c>
      <c r="E68" s="9" t="n"/>
      <c r="F68" s="9" t="n"/>
      <c r="G68" s="7" t="inlineStr">
        <is>
          <t>https://www.epa.gov/egrid</t>
        </is>
      </c>
    </row>
    <row r="69">
      <c r="A69" s="7" t="inlineStr">
        <is>
          <t>US grid EF (per GJ)</t>
        </is>
      </c>
      <c r="B69" s="34">
        <f>B68*277.78/1000</f>
        <v/>
      </c>
      <c r="C69" s="7" t="inlineStr">
        <is>
          <t>tCO₂e/GJ</t>
        </is>
      </c>
      <c r="D69" s="7" t="inlineStr">
        <is>
          <t>DERIVED. B68 x 277.78 kWh/GJ / 1000.</t>
        </is>
      </c>
      <c r="E69" s="9" t="n"/>
      <c r="F69" s="9" t="n"/>
      <c r="G69" s="9" t="n"/>
    </row>
    <row r="71">
      <c r="A71" s="33" t="inlineStr">
        <is>
          <t>4C. Applied Emission Factors</t>
        </is>
      </c>
    </row>
    <row r="72">
      <c r="A72" s="6" t="inlineStr">
        <is>
          <t>Material Category</t>
        </is>
      </c>
      <c r="B72" s="6" t="inlineStr">
        <is>
          <t>EF (kgCO₂e/kg)</t>
        </is>
      </c>
      <c r="C72" s="6" t="inlineStr">
        <is>
          <t>Formula</t>
        </is>
      </c>
      <c r="D72" s="6" t="inlineStr">
        <is>
          <t>Source Classification</t>
        </is>
      </c>
      <c r="E72" s="6" t="inlineStr">
        <is>
          <t>Notes</t>
        </is>
      </c>
      <c r="F72" s="6" t="n"/>
      <c r="G72" s="6" t="n"/>
    </row>
    <row r="73">
      <c r="A73" s="7" t="inlineStr">
        <is>
          <t>US blended steel (BF-BOF/EAF weighted)</t>
        </is>
      </c>
      <c r="B73" s="34">
        <f>B64*D55+B65*D56</f>
        <v/>
      </c>
      <c r="C73" s="7" t="inlineStr">
        <is>
          <t>BOF_share*BF-BOF_EF + EAF_share*EAF_EF</t>
        </is>
      </c>
      <c r="D73" s="7" t="inlineStr">
        <is>
          <t>DERIVED — GREET2 + Hasanbeigi mix</t>
        </is>
      </c>
      <c r="E73" s="9" t="n"/>
      <c r="F73" s="9" t="n"/>
      <c r="G73" s="9" t="n"/>
    </row>
    <row r="74">
      <c r="A74" s="7" t="inlineStr">
        <is>
          <t>Mineral wool insulation</t>
        </is>
      </c>
      <c r="B74" s="35" t="n">
        <v>1.2</v>
      </c>
      <c r="C74" s="7" t="inlineStr">
        <is>
          <t>ICE v2.0: 1.20</t>
        </is>
      </c>
      <c r="D74" s="7" t="inlineStr">
        <is>
          <t>DIRECT — ICE v2.0</t>
        </is>
      </c>
      <c r="E74" s="7" t="inlineStr">
        <is>
          <t>https://kps.fsv.cvut.cz/upload/files/icev2.0summarytables.pdf</t>
        </is>
      </c>
      <c r="F74" s="9" t="n"/>
      <c r="G74" s="9" t="n"/>
    </row>
    <row r="75">
      <c r="A75" s="7" t="inlineStr">
        <is>
          <t>Brass/bronze (Cu-Zn, C26000)</t>
        </is>
      </c>
      <c r="B75" s="34">
        <f>B66*D57+B67*D58</f>
        <v/>
      </c>
      <c r="C75" s="7" t="inlineStr">
        <is>
          <t>Cu_share*Cu_EF + Zn_share*Zn_EF</t>
        </is>
      </c>
      <c r="D75" s="7" t="inlineStr">
        <is>
          <t>DERIVED — GREET2 Cu+Zn weighted</t>
        </is>
      </c>
      <c r="E75" s="9" t="n"/>
      <c r="F75" s="9" t="n"/>
      <c r="G75" s="9" t="n"/>
    </row>
    <row r="76">
      <c r="A76" s="7" t="inlineStr">
        <is>
          <t>Coatings (waterborne paint)</t>
        </is>
      </c>
      <c r="B76" s="35" t="n">
        <v>2.12</v>
      </c>
      <c r="C76" s="7" t="inlineStr">
        <is>
          <t>ICE v2.0: 2.12</t>
        </is>
      </c>
      <c r="D76" s="7" t="inlineStr">
        <is>
          <t>DIRECT — ICE v2.0</t>
        </is>
      </c>
      <c r="E76" s="7" t="inlineStr">
        <is>
          <t>https://kps.fsv.cvut.cz/upload/files/icev2.0summarytables.pdf</t>
        </is>
      </c>
      <c r="F76" s="9" t="n"/>
      <c r="G76" s="9" t="n"/>
    </row>
    <row r="77">
      <c r="A77" s="7" t="inlineStr">
        <is>
          <t>Rubber (synthetic)</t>
        </is>
      </c>
      <c r="B77" s="32">
        <f>D59</f>
        <v/>
      </c>
      <c r="C77" s="7" t="inlineStr">
        <is>
          <t>GREET2 synthetic rubber</t>
        </is>
      </c>
      <c r="D77" s="7" t="inlineStr">
        <is>
          <t>DIRECT — GREET2</t>
        </is>
      </c>
      <c r="E77" s="9" t="n"/>
      <c r="F77" s="9" t="n"/>
      <c r="G77" s="9" t="n"/>
    </row>
    <row r="78">
      <c r="A78" s="7" t="inlineStr">
        <is>
          <t>Manufacturing energy (per kg of tare)</t>
        </is>
      </c>
      <c r="B78" s="34">
        <f>B38*B69</f>
        <v/>
      </c>
      <c r="C78" s="7" t="inlineStr">
        <is>
          <t>Fab_GJ_per_t x Grid_tCO2e_per_GJ</t>
        </is>
      </c>
      <c r="D78" s="7" t="inlineStr">
        <is>
          <t>ESTIMATE — fab energy is unsourced estimate</t>
        </is>
      </c>
      <c r="E78" s="9" t="n"/>
      <c r="F78" s="9" t="n"/>
      <c r="G78" s="9" t="n"/>
    </row>
    <row r="80">
      <c r="A80" s="5" t="inlineStr">
        <is>
          <t>5. CRADLE-TO-GATE EMISSIONS</t>
        </is>
      </c>
      <c r="B80" s="5" t="n"/>
      <c r="C80" s="5" t="n"/>
      <c r="D80" s="5" t="n"/>
      <c r="E80" s="5" t="n"/>
      <c r="F80" s="5" t="n"/>
      <c r="G80" s="5" t="n"/>
    </row>
    <row r="81">
      <c r="A81" s="6" t="inlineStr">
        <is>
          <t>Material Category</t>
        </is>
      </c>
      <c r="B81" s="6" t="inlineStr">
        <is>
          <t>Mass (kg)</t>
        </is>
      </c>
      <c r="C81" s="6" t="inlineStr">
        <is>
          <t>EF (kgCO₂e/kg)</t>
        </is>
      </c>
      <c r="D81" s="6" t="inlineStr">
        <is>
          <t>Emissions (kgCO₂e)</t>
        </is>
      </c>
      <c r="E81" s="6" t="inlineStr">
        <is>
          <t>Emissions (MT CO₂e)</t>
        </is>
      </c>
      <c r="F81" s="6" t="inlineStr">
        <is>
          <t>% of Total</t>
        </is>
      </c>
      <c r="G81" s="6" t="n"/>
    </row>
    <row r="82">
      <c r="A82" s="7" t="inlineStr">
        <is>
          <t>Steel (all grades)</t>
        </is>
      </c>
      <c r="B82" s="20">
        <f>B48</f>
        <v/>
      </c>
      <c r="C82" s="34">
        <f>B73</f>
        <v/>
      </c>
      <c r="D82" s="36">
        <f>B82*C82</f>
        <v/>
      </c>
      <c r="E82" s="15">
        <f>D82/1000</f>
        <v/>
      </c>
      <c r="F82" s="22">
        <f>D82/D88</f>
        <v/>
      </c>
      <c r="G82" s="9" t="n"/>
    </row>
    <row r="83">
      <c r="A83" s="7" t="inlineStr">
        <is>
          <t>Thermal insulation</t>
        </is>
      </c>
      <c r="B83" s="20">
        <f>B43</f>
        <v/>
      </c>
      <c r="C83" s="34">
        <f>B74</f>
        <v/>
      </c>
      <c r="D83" s="36">
        <f>B83*C83</f>
        <v/>
      </c>
      <c r="E83" s="15">
        <f>D83/1000</f>
        <v/>
      </c>
      <c r="F83" s="22">
        <f>D83/D88</f>
        <v/>
      </c>
      <c r="G83" s="9" t="n"/>
    </row>
    <row r="84">
      <c r="A84" s="7" t="inlineStr">
        <is>
          <t>Brass fittings</t>
        </is>
      </c>
      <c r="B84" s="20">
        <f>B44</f>
        <v/>
      </c>
      <c r="C84" s="34">
        <f>B75</f>
        <v/>
      </c>
      <c r="D84" s="36">
        <f>B84*C84</f>
        <v/>
      </c>
      <c r="E84" s="15">
        <f>D84/1000</f>
        <v/>
      </c>
      <c r="F84" s="22">
        <f>D84/D88</f>
        <v/>
      </c>
      <c r="G84" s="9" t="n"/>
    </row>
    <row r="85">
      <c r="A85" s="7" t="inlineStr">
        <is>
          <t>Coatings + lining</t>
        </is>
      </c>
      <c r="B85" s="20">
        <f>B45</f>
        <v/>
      </c>
      <c r="C85" s="34">
        <f>B76</f>
        <v/>
      </c>
      <c r="D85" s="36">
        <f>B85*C85</f>
        <v/>
      </c>
      <c r="E85" s="15">
        <f>D85/1000</f>
        <v/>
      </c>
      <c r="F85" s="22">
        <f>D85/D88</f>
        <v/>
      </c>
      <c r="G85" s="9" t="n"/>
    </row>
    <row r="86">
      <c r="A86" s="7" t="inlineStr">
        <is>
          <t>Rubber/elastomers</t>
        </is>
      </c>
      <c r="B86" s="20">
        <f>B46</f>
        <v/>
      </c>
      <c r="C86" s="34">
        <f>B77</f>
        <v/>
      </c>
      <c r="D86" s="36">
        <f>B86*C86</f>
        <v/>
      </c>
      <c r="E86" s="15">
        <f>D86/1000</f>
        <v/>
      </c>
      <c r="F86" s="22">
        <f>D86/D88</f>
        <v/>
      </c>
      <c r="G86" s="9" t="n"/>
    </row>
    <row r="87">
      <c r="A87" s="7" t="inlineStr">
        <is>
          <t>Manufacturing / fabrication energy</t>
        </is>
      </c>
      <c r="B87" s="20">
        <f>B8</f>
        <v/>
      </c>
      <c r="C87" s="34">
        <f>B78</f>
        <v/>
      </c>
      <c r="D87" s="36">
        <f>B87*C87</f>
        <v/>
      </c>
      <c r="E87" s="15">
        <f>D87/1000</f>
        <v/>
      </c>
      <c r="F87" s="22">
        <f>D87/D88</f>
        <v/>
      </c>
      <c r="G87" s="9" t="n"/>
    </row>
    <row r="88">
      <c r="A88" s="23" t="inlineStr">
        <is>
          <t>SUBTOTAL: Cradle-to-Gate</t>
        </is>
      </c>
      <c r="B88" s="27" t="n"/>
      <c r="C88" s="27" t="n"/>
      <c r="D88" s="37">
        <f>SUM(D82:D87)</f>
        <v/>
      </c>
      <c r="E88" s="38">
        <f>D88/1000</f>
        <v/>
      </c>
      <c r="F88" s="27" t="n"/>
      <c r="G88" s="27" t="n"/>
    </row>
    <row r="90">
      <c r="A90" s="5" t="inlineStr">
        <is>
          <t>6. END-OF-LIFE METHOD &amp; CRADLE-TO-GRAVE TOTAL</t>
        </is>
      </c>
      <c r="B90" s="5" t="n"/>
      <c r="C90" s="5" t="n"/>
      <c r="D90" s="5" t="n"/>
      <c r="E90" s="5" t="n"/>
      <c r="F90" s="5" t="n"/>
      <c r="G90" s="5" t="n"/>
    </row>
    <row r="91">
      <c r="A91" s="6" t="inlineStr">
        <is>
          <t>Parameter</t>
        </is>
      </c>
      <c r="B91" s="6" t="inlineStr">
        <is>
          <t>Value</t>
        </is>
      </c>
      <c r="C91" s="6" t="inlineStr">
        <is>
          <t>Unit</t>
        </is>
      </c>
      <c r="D91" s="6" t="inlineStr">
        <is>
          <t>Notes</t>
        </is>
      </c>
      <c r="E91" s="6" t="n"/>
      <c r="F91" s="6" t="n"/>
      <c r="G91" s="6" t="n"/>
    </row>
    <row r="92">
      <c r="A92" s="7" t="inlineStr">
        <is>
          <t>EoL allocation method</t>
        </is>
      </c>
      <c r="B92" s="39" t="inlineStr">
        <is>
          <t>Cut-off (recycled content)</t>
        </is>
      </c>
      <c r="C92" s="9" t="n"/>
      <c r="D92" s="40" t="inlineStr">
        <is>
          <t>No end-of-life recycling credit. Steel LCA typically shows a net-negative EoL due to high recycling rates (~96%), but computing an avoided-burden credit requires data we do not have (net scrap balance, grade-specific virgin/recycled split, scrap market displacement factors). Rather than fabricate those inputs, we conservatively set the EoL credit to zero. This is the cut-off (recycled content) method: the benefit of recycled content is already partially captured in the blended production EF (67% EAF route).</t>
        </is>
      </c>
      <c r="E92" s="9" t="n"/>
      <c r="F92" s="9" t="n"/>
      <c r="G92" s="9" t="n"/>
    </row>
    <row r="93">
      <c r="A93" s="7" t="inlineStr">
        <is>
          <t>EoL recycling credit</t>
        </is>
      </c>
      <c r="B93" s="15" t="n">
        <v>0</v>
      </c>
      <c r="C93" s="7" t="inlineStr">
        <is>
          <t>MT CO₂e</t>
        </is>
      </c>
      <c r="D93" s="7" t="inlineStr">
        <is>
          <t>Zero under cut-off method.</t>
        </is>
      </c>
      <c r="E93" s="9" t="n"/>
      <c r="F93" s="9" t="n"/>
      <c r="G93" s="9" t="n"/>
    </row>
    <row r="94">
      <c r="A94" s="7" t="inlineStr">
        <is>
          <t>Lifecycle modules C1-C4</t>
        </is>
      </c>
      <c r="B94" s="7" t="inlineStr">
        <is>
          <t>Declared, zero impact</t>
        </is>
      </c>
      <c r="C94" s="9" t="n"/>
      <c r="D94" s="40" t="inlineStr">
        <is>
          <t>Cut-off method: EoL modules declared per Isometric GHG Accounting v1.0 but contribute zero net emissions. Single EoL at 50-year condemning limit (AAR Rule 88).</t>
        </is>
      </c>
      <c r="E94" s="9" t="n"/>
      <c r="F94" s="9" t="n"/>
      <c r="G94" s="9" t="n"/>
    </row>
    <row r="96">
      <c r="A96" s="41" t="inlineStr">
        <is>
          <t>CRADLE-TO-GRAVE TOTAL</t>
        </is>
      </c>
      <c r="B96" s="42">
        <f>E88</f>
        <v/>
      </c>
      <c r="C96" s="41" t="inlineStr">
        <is>
          <t>MT CO₂e</t>
        </is>
      </c>
      <c r="D96" s="43" t="inlineStr">
        <is>
          <t>Equal to CTGate under cut-off method (no EoL credit or debit).</t>
        </is>
      </c>
      <c r="E96" s="44" t="n"/>
      <c r="F96" s="44" t="n"/>
      <c r="G96" s="44" t="n"/>
    </row>
    <row r="97">
      <c r="A97" s="43" t="inlineStr">
        <is>
          <t>CRADLE-TO-GATE TOTAL</t>
        </is>
      </c>
      <c r="B97" s="45">
        <f>E88</f>
        <v/>
      </c>
      <c r="C97" s="46" t="inlineStr">
        <is>
          <t>MT CO₂e</t>
        </is>
      </c>
      <c r="D97" s="44" t="n"/>
      <c r="E97" s="44" t="n"/>
      <c r="F97" s="44" t="n"/>
      <c r="G97" s="44" t="n"/>
    </row>
    <row r="99">
      <c r="A99" s="5" t="inlineStr">
        <is>
          <t>7. METHODOLOGY NOTES</t>
        </is>
      </c>
      <c r="B99" s="5" t="n"/>
      <c r="C99" s="5" t="n"/>
      <c r="D99" s="5" t="n"/>
      <c r="E99" s="5" t="n"/>
      <c r="F99" s="5" t="n"/>
      <c r="G99" s="5" t="n"/>
    </row>
    <row r="100">
      <c r="A100" s="47" t="inlineStr">
        <is>
          <t>V17 SIMPLIFICATION: V16 decomposed the BOM into 25+ components with individual weights. Many component weights (wheels, axles, truck assemblies, couplers, brake parts, valve fittings) were unsourced engineering estimates, creating false precision that was not defensible. V17 recognizes that a DOT-111 is overwhelmingly steel. The only non-steel materials in meaningful quantities are mineral wool insulation, brass fittings, coatings, and minor rubber/elastomer components. Steel mass = tare minus non-steel.</t>
        </is>
      </c>
    </row>
    <row r="101">
      <c r="A101" s="47" t="inlineStr">
        <is>
          <t>SINGLE BLENDED STEEL EF: V16 used grade-specific EFs (HR plate, cast iron, forged iron). V17 uses one US production-weighted EF (33% BF-BOF / 67% EAF per Hasanbeigi 2019). Appropriate because the grade differences in GREET2 reflect production routes (BOF vs EAF vs casting vs forging), not alloy grades, and the car is manufactured by a single US builder sourcing from the US steel market.</t>
        </is>
      </c>
    </row>
    <row r="102">
      <c r="A102" s="47" t="inlineStr">
        <is>
          <t>MATERIALITY: Of the non-steel materials, only thermal insulation is material (~5% of tare, ~3–4% of CTGate). Brass fittings (&lt;1% of tare), coatings (&lt;0.3%), and rubber/elastomers (0.1%) are marginal — a 50% error in any of them changes CTGrave by less than 0.1 MT. Estimate quality for these marginal categories is proportionate to their impact.</t>
        </is>
      </c>
    </row>
    <row r="103">
      <c r="A103" s="47" t="inlineStr">
        <is>
          <t>AUDITABLE CONVERSIONS: All imperial-to-metric conversions (tank OD, tank length, shell thickness, jacket thickness) are Excel formulas referencing sourced imperial inputs. A reviewer can click on any metric value and trace it back to the GBRX spec or 49 CFR citation.</t>
        </is>
      </c>
    </row>
    <row r="104">
      <c r="A104" s="47" t="inlineStr">
        <is>
          <t>NON-STEEL EOL: Under cut-off, no EoL credit is given for any material. Brass, rubber, and coating recycling pathways are moot.</t>
        </is>
      </c>
    </row>
    <row r="105">
      <c r="A105" s="47" t="inlineStr">
        <is>
          <t>INSULATION THICKNESS: 4 inches (101.6 mm) per UTLX industry standard for insulated tank cars, consistent with FRA-approved thermal protection systems. 49 CFR 179.200-4 requires max conductance of 0.225 Btu/(hr·ft²·°F); mineral wool k ≈ 0.24 Btu·in/(hr·ft²·°F) gives a theoretical minimum of ~1.07 in. The 4-inch standard provides substantial margin. INSULATION COVERAGE: formula covers cylinder annulus only. Head insulation absorbed by steel residual at steel EF — conservative.</t>
        </is>
      </c>
    </row>
    <row r="106">
      <c r="A106" s="47" t="inlineStr">
        <is>
          <t>FABRICATION ENERGY: 2.0 GJ/t. No public database for tank car fabrication energy; this is an unsourced engineering estimate. Applied to total tare. Converted via eGRID grid factor. Conservative: treats all energy as electric (grid EF &gt; gas EF) and applies to pre-manufactured purchased components.</t>
        </is>
      </c>
    </row>
    <row r="107">
      <c r="A107" s="47" t="inlineStr">
        <is>
          <t>END-OF-LIFE: Cut-off method. Steel LCA typically shows a net-negative EoL due to high recycling rates, but computing an avoided-burden credit properly requires net scrap balance, grade-specific virgin/recycled splits, and scrap market displacement factors (see World Steel LCI methodology, p17) that we do not have. Setting the EoL credit to zero is conservative: CTGrave = CTGate. Single EoL at 50-year condemning limit (AAR Rule 88).</t>
        </is>
      </c>
    </row>
    <row r="108">
      <c r="A108" s="47" t="inlineStr">
        <is>
          <t>LIFECYCLE MODULES (Isometric GHG Accounting v1.0): A1-A3 covered. A4-A5 (transport to site) not included — would require delivery distance. B1-B7 = 0 (railcars are passive assets, no operational energy). C1-C4 declared, zero impact under cut-off method.</t>
        </is>
      </c>
    </row>
    <row r="109">
      <c r="A109" s="47" t="inlineStr">
        <is>
          <t>AMORTIZATION: Model presents total embodied emissions. Amortization method is a project-level decision per Isometric section 5.2.</t>
        </is>
      </c>
    </row>
    <row r="110">
      <c r="A110" s="47" t="inlineStr">
        <is>
          <t>NON-STEEL FRACTION: Approximately 6–7% of tare is non-steel (insulation, brass, coatings, rubber). The remaining ~93–94% is steel. Any non-steel mass inadvertently left in the steel residual gets the steel EF, which is higher than mineral wool (1.20) and coatings (2.12) but lower than brass (3.39). At 350 kg (&lt;1% of tare), brass is immaterial to this effect.</t>
        </is>
      </c>
    </row>
    <row r="111">
      <c r="A111" s="47" t="inlineStr">
        <is>
          <t>ESTIMATES: All unsourced estimates are explicitly labeled. No value uses 'standard,' 'typical,' or 'industry practice' without a verifiable citation.</t>
        </is>
      </c>
    </row>
    <row r="113">
      <c r="A113" s="5" t="inlineStr">
        <is>
          <t>8. KEY SOURCES</t>
        </is>
      </c>
      <c r="B113" s="5" t="n"/>
      <c r="C113" s="5" t="n"/>
      <c r="D113" s="5" t="n"/>
      <c r="E113" s="5" t="n"/>
      <c r="F113" s="5" t="n"/>
      <c r="G113" s="5" t="n"/>
    </row>
    <row r="114">
      <c r="A114" s="7" t="inlineStr">
        <is>
          <t>Argonne National Lab. R&amp;D GREET2 2025. Metal EFs (steel, copper, zinc, rubber).</t>
        </is>
      </c>
      <c r="B114" s="9" t="n"/>
      <c r="C114" s="9" t="n"/>
      <c r="D114" s="9" t="n"/>
      <c r="E114" s="9" t="n"/>
      <c r="F114" s="9" t="n"/>
      <c r="G114" s="7" t="inlineStr">
        <is>
          <t>https://greet.anl.gov/</t>
        </is>
      </c>
    </row>
    <row r="115">
      <c r="A115" s="7" t="inlineStr">
        <is>
          <t>EPA. eGRID 2023. US avg: 0.367 kgCO₂/kWh.</t>
        </is>
      </c>
      <c r="B115" s="9" t="n"/>
      <c r="C115" s="9" t="n"/>
      <c r="D115" s="9" t="n"/>
      <c r="E115" s="9" t="n"/>
      <c r="F115" s="9" t="n"/>
      <c r="G115" s="7" t="inlineStr">
        <is>
          <t>https://www.epa.gov/egrid</t>
        </is>
      </c>
    </row>
    <row r="116">
      <c r="A116" s="7" t="inlineStr">
        <is>
          <t>GBRX. DOT-111 spec (Jan 2021): tare 86,350 lbs; tank OD 9'-10 3/4"; tank length 53'-4 7/8".</t>
        </is>
      </c>
      <c r="B116" s="9" t="n"/>
      <c r="C116" s="9" t="n"/>
      <c r="D116" s="9" t="n"/>
      <c r="E116" s="9" t="n"/>
      <c r="F116" s="9" t="n"/>
      <c r="G116" s="7" t="inlineStr">
        <is>
          <t>https://www.gbrx.com/wp-content/uploads/2021/06/29000-Gallon-DOT-111-Tank-Car.pdf</t>
        </is>
      </c>
    </row>
    <row r="117">
      <c r="A117" s="7" t="inlineStr">
        <is>
          <t>U.S. DOT. 49 CFR 179 Subpart D. Shell: 7/16" min. Jacket: 11 gauge min. Conductance: 0.225 max.</t>
        </is>
      </c>
      <c r="B117" s="9" t="n"/>
      <c r="C117" s="9" t="n"/>
      <c r="D117" s="9" t="n"/>
      <c r="E117" s="9" t="n"/>
      <c r="F117" s="9" t="n"/>
      <c r="G117" s="7" t="inlineStr">
        <is>
          <t>https://www.ecfr.gov/current/title-49/part-179/subpart-D</t>
        </is>
      </c>
    </row>
    <row r="118">
      <c r="A118" s="7" t="inlineStr">
        <is>
          <t>AAR. Rule 88 / OT-24: 50-year condemning limit.</t>
        </is>
      </c>
      <c r="B118" s="9" t="n"/>
      <c r="C118" s="9" t="n"/>
      <c r="D118" s="9" t="n"/>
      <c r="E118" s="9" t="n"/>
      <c r="F118" s="9" t="n"/>
      <c r="G118" s="7" t="inlineStr">
        <is>
          <t>https://public.railinc.com/sites/default/files/documents/OT-24.pdf</t>
        </is>
      </c>
    </row>
    <row r="119">
      <c r="A119" s="7" t="inlineStr">
        <is>
          <t>Hasanbeigi &amp; Springer. 2019. US steel mix: 33% BF-BOF, 67% EAF.</t>
        </is>
      </c>
      <c r="B119" s="9" t="n"/>
      <c r="C119" s="9" t="n"/>
      <c r="D119" s="9" t="n"/>
      <c r="E119" s="9" t="n"/>
      <c r="F119" s="9" t="n"/>
      <c r="G119" s="7" t="inlineStr">
        <is>
          <t>https://www.bluegreenalliance.org/wp-content/uploads/2021/04/HowCleanistheU.S.SteelIndustry.pdf</t>
        </is>
      </c>
    </row>
    <row r="120">
      <c r="A120" s="7" t="inlineStr">
        <is>
          <t>Copper Dev. Assn. C26000: Cu 70%, Zn 30%.</t>
        </is>
      </c>
      <c r="B120" s="9" t="n"/>
      <c r="C120" s="9" t="n"/>
      <c r="D120" s="9" t="n"/>
      <c r="E120" s="9" t="n"/>
      <c r="F120" s="9" t="n"/>
      <c r="G120" s="7" t="inlineStr">
        <is>
          <t>https://alloys.copper.org/alloy/C26000</t>
        </is>
      </c>
    </row>
    <row r="121">
      <c r="A121" s="7" t="inlineStr">
        <is>
          <t>ICE v2.0. Mineral wool 1.20, waterborne paint 2.12 kgCO₂/kg.</t>
        </is>
      </c>
      <c r="B121" s="9" t="n"/>
      <c r="C121" s="9" t="n"/>
      <c r="D121" s="9" t="n"/>
      <c r="E121" s="9" t="n"/>
      <c r="F121" s="9" t="n"/>
      <c r="G121" s="7" t="inlineStr">
        <is>
          <t>https://kps.fsv.cvut.cz/upload/files/icev2.0summarytables.pdf</t>
        </is>
      </c>
    </row>
    <row r="122">
      <c r="A122" s="7" t="inlineStr">
        <is>
          <t>Wabtec. Mark 50 Draft Gear: 386 lbs.</t>
        </is>
      </c>
      <c r="B122" s="9" t="n"/>
      <c r="C122" s="9" t="n"/>
      <c r="D122" s="9" t="n"/>
      <c r="E122" s="9" t="n"/>
      <c r="F122" s="9" t="n"/>
      <c r="G122" s="7" t="inlineStr">
        <is>
          <t>https://www.wabteccorp.com/freight-car/end-of-car-systems/draft-gears/mark-50</t>
        </is>
      </c>
    </row>
    <row r="123">
      <c r="A123" s="7" t="inlineStr">
        <is>
          <t>AZoM. ASTM A516 Gr 70: density 7,850 kg/m³.</t>
        </is>
      </c>
      <c r="B123" s="9" t="n"/>
      <c r="C123" s="9" t="n"/>
      <c r="D123" s="9" t="n"/>
      <c r="E123" s="9" t="n"/>
      <c r="F123" s="9" t="n"/>
      <c r="G123" s="7" t="inlineStr">
        <is>
          <t>https://www.azom.com/article.aspx?ArticleID=4787</t>
        </is>
      </c>
    </row>
    <row r="124">
      <c r="A124" s="7" t="inlineStr">
        <is>
          <t>Knauf Insulation. EPD: Rock Mineral Wool DP7-DP8. Density range 25–200 kg/m³.</t>
        </is>
      </c>
      <c r="B124" s="9" t="n"/>
      <c r="C124" s="9" t="n"/>
      <c r="D124" s="9" t="n"/>
      <c r="E124" s="9" t="n"/>
      <c r="F124" s="9" t="n"/>
      <c r="G124" s="7" t="inlineStr">
        <is>
          <t>https://www.knaufinsulation.com/sites/ki_com/files/uploads/Rock%20Mineral%20Wool%20DP7-DP8.pdf</t>
        </is>
      </c>
    </row>
    <row r="125">
      <c r="A125" s="7" t="inlineStr">
        <is>
          <t>UTLX. Tank car build specifications: 4-inch insulation standard.</t>
        </is>
      </c>
      <c r="B125" s="9" t="n"/>
      <c r="C125" s="9" t="n"/>
      <c r="D125" s="9" t="n"/>
      <c r="E125" s="9" t="n"/>
      <c r="F125" s="9" t="n"/>
      <c r="G125" s="7" t="inlineStr">
        <is>
          <t>https://www.utlx.com/build-a-tank-car/4-jacket.html</t>
        </is>
      </c>
    </row>
    <row r="126">
      <c r="A126" s="7" t="inlineStr">
        <is>
          <t>LBNL-62806 REV.2. World best practice energy intensity: hot rolling 1.28 GJ/t.</t>
        </is>
      </c>
      <c r="B126" s="9" t="n"/>
      <c r="C126" s="9" t="n"/>
      <c r="D126" s="9" t="n"/>
      <c r="E126" s="9" t="n"/>
      <c r="F126" s="9" t="n"/>
      <c r="G126" s="7" t="inlineStr">
        <is>
          <t>https://eta-publications.lbl.gov/sites/default/files/industrial_best_practice_en.pdf</t>
        </is>
      </c>
    </row>
    <row r="127">
      <c r="A127" s="7" t="inlineStr">
        <is>
          <t>World Steel Association. LCI methodology report: net scrap approach (p17). Referenced to justify why avoided burden is incompatible with recycled-content production EFs; supports cut-off method choice.</t>
        </is>
      </c>
      <c r="B127" s="9" t="n"/>
      <c r="C127" s="9" t="n"/>
      <c r="D127" s="9" t="n"/>
      <c r="E127" s="9" t="n"/>
      <c r="F127" s="9" t="n"/>
      <c r="G127" s="7" t="inlineStr">
        <is>
          <t>https://worldsteel.org/wp-content/uploads/Life-cycle-inventory-methodology-report.pdf</t>
        </is>
      </c>
    </row>
  </sheetData>
  <mergeCells count="15">
    <mergeCell ref="A111:G111"/>
    <mergeCell ref="D94:G94"/>
    <mergeCell ref="A102:G102"/>
    <mergeCell ref="A110:G110"/>
    <mergeCell ref="A106:G106"/>
    <mergeCell ref="A105:G105"/>
    <mergeCell ref="A109:G109"/>
    <mergeCell ref="D92:G92"/>
    <mergeCell ref="A100:G100"/>
    <mergeCell ref="A101:G101"/>
    <mergeCell ref="A104:G104"/>
    <mergeCell ref="A41:G41"/>
    <mergeCell ref="A108:G108"/>
    <mergeCell ref="A107:G107"/>
    <mergeCell ref="A103:G103"/>
  </mergeCells>
  <pageMargins left="0.75" right="0.75" top="1" bottom="1" header="0.5" footer="0.5"/>
  <pageSetup orientation="landscape" paperSize="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2026-04-09T19:47:57Z</dcterms:created>
  <dcterms:modified xmlns:dcterms="http://purl.org/dc/terms/" xmlns:xsi="http://www.w3.org/2001/XMLSchema-instance" xsi:type="dcterms:W3CDTF">2026-04-09T19:47:57Z</dcterms:modified>
</cp:coreProperties>
</file>