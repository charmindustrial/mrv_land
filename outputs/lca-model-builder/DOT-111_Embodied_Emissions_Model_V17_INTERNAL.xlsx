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bodied Emissions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<sst xmlns="http://schemas.openxmlformats.org/spreadsheetml/2006/main" count="350" uniqueCount="253">
  <si>
    <t xml:space="preserve">DOT-111 Tank Car — Cradle-to-Grave Embodied Emissions</t>
  </si>
  <si>
    <t xml:space="preserve">Materials-Based Quantification V17 — Simplified (replacing V16 component-level BOM)</t>
  </si>
  <si>
    <t xml:space="preserve">Charm Industrial — MRV Team | April 2026</t>
  </si>
  <si>
    <t xml:space="preserve">Blue = source-backed  |  Red = estimate  |  Purple = GREET2 ref  |  Black = formula/derived</t>
  </si>
  <si>
    <t xml:space="preserve">1. DOT-111 PHYSICAL SPECIFICATIONS</t>
  </si>
  <si>
    <t xml:space="preserve">Parameter</t>
  </si>
  <si>
    <t xml:space="preserve">Value</t>
  </si>
  <si>
    <t xml:space="preserve">Unit</t>
  </si>
  <si>
    <t xml:space="preserve">Source / Reference</t>
  </si>
  <si>
    <t xml:space="preserve">Classification</t>
  </si>
  <si>
    <t xml:space="preserve">URL</t>
  </si>
  <si>
    <t xml:space="preserve">Tare weight (light weight)</t>
  </si>
  <si>
    <t xml:space="preserve">kg (86,350 lbs)</t>
  </si>
  <si>
    <t xml:space="preserve">GBRX spec sheet (Jan 2021): 29,000-gal DOT 111A100W1, C&amp;I. Quote: "Light weight: 86,350 lbs." Conversion: 86350/2.20462 = 39168 kg.</t>
  </si>
  <si>
    <t xml:space="preserve">SOURCED</t>
  </si>
  <si>
    <t xml:space="preserve">https://www.gbrx.com/wp-content/uploads/2021/06/29000-Gallon-DOT-111-Tank-Car.pdf</t>
  </si>
  <si>
    <t xml:space="preserve">Configuration</t>
  </si>
  <si>
    <t xml:space="preserve">Coiled &amp; insulated (C&amp;I)</t>
  </si>
  <si>
    <t xml:space="preserve">GBRX spec sheet. Quote: "coiled and insulated tank car...DOT 111A100W1 specification."</t>
  </si>
  <si>
    <t xml:space="preserve">Shell material</t>
  </si>
  <si>
    <t xml:space="preserve">ASTM A516 Gr 70 carbon steel</t>
  </si>
  <si>
    <t xml:space="preserve">49 CFR 179.200-7: permits carbon steel. A516 Gr 70 is industry standard, not regulatory mandate.</t>
  </si>
  <si>
    <t xml:space="preserve">PARTIAL</t>
  </si>
  <si>
    <t xml:space="preserve">https://www.ecfr.gov/current/title-49/part-179/subpart-D</t>
  </si>
  <si>
    <t xml:space="preserve">Tank outer diameter — feet component (GBRX: 9'-10 3/4")</t>
  </si>
  <si>
    <t xml:space="preserve">feet</t>
  </si>
  <si>
    <t xml:space="preserve">GBRX spec: "Tank, outside diameter: 9'-10 3/4"." Feet component = 9.</t>
  </si>
  <si>
    <t xml:space="preserve">Tank outer diameter — inches component (GBRX: 10 3/4")</t>
  </si>
  <si>
    <t xml:space="preserve">inches</t>
  </si>
  <si>
    <t xml:space="preserve">GBRX spec: inches component = 10 3/4 = 10.75 in.</t>
  </si>
  <si>
    <t xml:space="preserve">Tank outer diameter — total inches</t>
  </si>
  <si>
    <t xml:space="preserve">DERIVED. =B11*12 + B12.</t>
  </si>
  <si>
    <t xml:space="preserve">DERIVED</t>
  </si>
  <si>
    <t xml:space="preserve">Tank outer diameter — meters</t>
  </si>
  <si>
    <t xml:space="preserve">m</t>
  </si>
  <si>
    <t xml:space="preserve">DERIVED. =B13 x 0.0254 m/in.</t>
  </si>
  <si>
    <t xml:space="preserve">Tank outside length — feet component (GBRX: 53'-4 7/8")</t>
  </si>
  <si>
    <t xml:space="preserve">GBRX spec: "Tank, outside length: 53'-4 7/8"." Feet component = 53.</t>
  </si>
  <si>
    <t xml:space="preserve">Tank outside length — inches component (GBRX: 4 7/8")</t>
  </si>
  <si>
    <t xml:space="preserve">GBRX spec: inches component = 4 7/8 = 4.875 in.</t>
  </si>
  <si>
    <t xml:space="preserve">Tank outside length — total inches</t>
  </si>
  <si>
    <t xml:space="preserve">DERIVED. =B15*12 + B16.</t>
  </si>
  <si>
    <t xml:space="preserve">Tank outside length — meters</t>
  </si>
  <si>
    <t xml:space="preserve">DERIVED. =B17 x 0.0254 m/in.</t>
  </si>
  <si>
    <t xml:space="preserve">Min shell thickness — numerator (49 CFR: 7/16 in)</t>
  </si>
  <si>
    <t xml:space="preserve">(numerator)</t>
  </si>
  <si>
    <t xml:space="preserve">49 CFR 179.201-1: "not less than 7/16 inch." Numerator = 7.</t>
  </si>
  <si>
    <t xml:space="preserve">Min shell thickness — denominator</t>
  </si>
  <si>
    <t xml:space="preserve">(denominator)</t>
  </si>
  <si>
    <t xml:space="preserve">49 CFR 179.201-1: denominator = 16.</t>
  </si>
  <si>
    <t xml:space="preserve">Min shell thickness — meters</t>
  </si>
  <si>
    <t xml:space="preserve">DERIVED. =(B19/B20) x 0.0254 m/in.</t>
  </si>
  <si>
    <t xml:space="preserve">Jacket thickness — raw (49 CFR: 11 gauge = 0.1196 in)</t>
  </si>
  <si>
    <t xml:space="preserve">49 CFR 179.200-4: "not less than 11 gauge (0.1196 inch) nominal." 0.1196 in is the regulatory value.</t>
  </si>
  <si>
    <t xml:space="preserve">https://www.govregs.com/regulations/expand/title49_chapterI-i1_part179_subpartD_section179.200-4</t>
  </si>
  <si>
    <t xml:space="preserve">Jacket thickness — meters</t>
  </si>
  <si>
    <t xml:space="preserve">DERIVED. =B22 x 0.0254 m/in.</t>
  </si>
  <si>
    <t xml:space="preserve">Steel density (A516 Gr 70)</t>
  </si>
  <si>
    <t xml:space="preserve">kg/m³</t>
  </si>
  <si>
    <t xml:space="preserve">AZoM / SSAB: ASTM A516 Gr 70 density 7,850 kg/m³. Standard nominal for carbon steel plate.</t>
  </si>
  <si>
    <t xml:space="preserve">https://www.azom.com/article.aspx?ArticleID=4787</t>
  </si>
  <si>
    <t xml:space="preserve">Useful service life</t>
  </si>
  <si>
    <t xml:space="preserve">years</t>
  </si>
  <si>
    <t xml:space="preserve">AAR Interchange Rule 88 / OT-24: 50-year condemning limit.</t>
  </si>
  <si>
    <t xml:space="preserve">https://public.railinc.com/sites/default/files/documents/OT-24.pdf</t>
  </si>
  <si>
    <t xml:space="preserve">2. NON-STEEL MATERIAL INPUTS &amp; GEOMETRY</t>
  </si>
  <si>
    <t xml:space="preserve">Input Parameter</t>
  </si>
  <si>
    <t xml:space="preserve">Insulation thickness</t>
  </si>
  <si>
    <t xml:space="preserve">m (4 in)</t>
  </si>
  <si>
    <t xml:space="preserve"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</si>
  <si>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 xml:space="preserve">PROXY</t>
  </si>
  <si>
    <t xml:space="preserve">https://www.utlx.com/build-a-tank-car/4-jacket.html</t>
  </si>
  <si>
    <t xml:space="preserve">Insulation density, mineral wool (est.)</t>
  </si>
  <si>
    <t xml:space="preserve">ESTIMATE. Knauf EPD (DP7-DP8) states rock mineral wool density range 25–200 kg/m³. 113 = midpoint. No railcar-specific density standard identified.</t>
  </si>
  <si>
    <t xml:space="preserve">ESTIMATE</t>
  </si>
  <si>
    <t xml:space="preserve">https://www.knaufinsulation.com/sites/ki_com/files/uploads/Rock%20Mineral%20Wool%20DP7-DP8.pdf</t>
  </si>
  <si>
    <t xml:space="preserve">Insulation overlap/support factor (est.)</t>
  </si>
  <si>
    <t xml:space="preserve">ESTIMATE. No public source. Accounts for batt overlaps, metal support bands, vapor barrier, and installation wastage. 1.45 is an unsourced engineering estimate.</t>
  </si>
  <si>
    <t xml:space="preserve">Jacket outer diameter (derived)</t>
  </si>
  <si>
    <t xml:space="preserve">DERIVED. =Tank OD (B14) + 2 x insulation thickness (B29).</t>
  </si>
  <si>
    <t xml:space="preserve">Underframe/truck primer area allowance (est.)</t>
  </si>
  <si>
    <t xml:space="preserve">m²</t>
  </si>
  <si>
    <t xml:space="preserve"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</si>
  <si>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 xml:space="preserve">Paintable surface area (derived geometry)</t>
  </si>
  <si>
    <t xml:space="preserve">DERIVED. Jacket exterior cylinder (PI x jacket OD x tank length) + 2 flat-approx heads (2 x PI x (jacket OD/2)²) + underframe allowance (B33).</t>
  </si>
  <si>
    <t xml:space="preserve">Top fittings mass — brass/bronze (est.)</t>
  </si>
  <si>
    <t xml:space="preserve">kg</t>
  </si>
  <si>
    <t xml:space="preserve"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</si>
  <si>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 xml:space="preserve">Coating coverage rate (est.)</t>
  </si>
  <si>
    <t xml:space="preserve">kg/m²</t>
  </si>
  <si>
    <t xml:space="preserve"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</si>
  <si>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 xml:space="preserve">Rubber/elastomers (draft gear cushions, gaskets) (est.)</t>
  </si>
  <si>
    <t xml:space="preserve">ESTIMATE. No public source. Draft gear elastomer cushion elements + gaskets/seals. 50 kg is an unsourced engineering estimate. Immaterial: 0.1% of tare. Even if doubled, CTGrave impact &lt; 0.01 MT.</t>
  </si>
  <si>
    <t xml:space="preserve">Fabrication energy intensity (est.)</t>
  </si>
  <si>
    <t xml:space="preserve">GJ/t</t>
  </si>
  <si>
    <t xml:space="preserve"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</si>
  <si>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 xml:space="preserve">https://eta-publications.lbl.gov/sites/default/files/industrial_best_practice_en.pdf</t>
  </si>
  <si>
    <t xml:space="preserve">3. MATERIAL MASS BREAKDOWN</t>
  </si>
  <si>
    <t xml:space="preserve"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</si>
  <si>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 xml:space="preserve">Material Category</t>
  </si>
  <si>
    <t xml:space="preserve">Mass (kg)</t>
  </si>
  <si>
    <t xml:space="preserve">% of Tare</t>
  </si>
  <si>
    <t xml:space="preserve">Formula / Basis</t>
  </si>
  <si>
    <t xml:space="preserve">EF Applied</t>
  </si>
  <si>
    <t xml:space="preserve">Thermal insulation (mineral wool)</t>
  </si>
  <si>
    <t xml:space="preserve">Annular cylinder volume x density x overlap factor. Cylinder only; head insulation (~181 kg) absorbed by steel residual at steel EF — conservative (steel EF &gt; mineral wool EF).</t>
  </si>
  <si>
    <t xml:space="preserve">DERIVED from estimates</t>
  </si>
  <si>
    <t xml:space="preserve">Mineral wool</t>
  </si>
  <si>
    <t xml:space="preserve">Brass fittings (top fittings assembly)</t>
  </si>
  <si>
    <t xml:space="preserve">From Sec 2. Marginal: &lt;1% of tare. Even a 50% error changes CTGrave by &lt;0.1 MT.</t>
  </si>
  <si>
    <t xml:space="preserve">Brass (Cu/Zn)</t>
  </si>
  <si>
    <t xml:space="preserve">Coatings + lining (epoxy/polyurethane)</t>
  </si>
  <si>
    <t xml:space="preserve">Surface area (B34) x coverage rate (B36).</t>
  </si>
  <si>
    <t xml:space="preserve">Coatings</t>
  </si>
  <si>
    <t xml:space="preserve">Rubber/elastomers (draft gear, gaskets)</t>
  </si>
  <si>
    <t xml:space="preserve">From Sec 2. Immaterial: 0.1% of tare. Even if doubled, CTGrave impact &lt; 0.01 MT.</t>
  </si>
  <si>
    <t xml:space="preserve">Rubber</t>
  </si>
  <si>
    <t xml:space="preserve">SUBTOTAL: Non-steel materials</t>
  </si>
  <si>
    <t xml:space="preserve">Sum of insulation + brass + coatings + rubber.</t>
  </si>
  <si>
    <t xml:space="preserve">STEEL (all grades — residual)</t>
  </si>
  <si>
    <t xml:space="preserve">Tare minus non-steel. Covers: shell/heads, jacket, frame, trucks, couplers, draft gear, brakes, heating coils, all structural steel. One blended US steel EF.</t>
  </si>
  <si>
    <t xml:space="preserve">DERIVED (residual)</t>
  </si>
  <si>
    <t xml:space="preserve">US blended steel</t>
  </si>
  <si>
    <t xml:space="preserve">TOTAL BOM</t>
  </si>
  <si>
    <t xml:space="preserve">Residual (tare − BOM)</t>
  </si>
  <si>
    <t xml:space="preserve">Must be 0. Steel absorbs the difference by construction.</t>
  </si>
  <si>
    <t xml:space="preserve">4. EMISSION FACTORS</t>
  </si>
  <si>
    <t xml:space="preserve">4A. GREET2 2025 Reference Values (Argonne National Lab)</t>
  </si>
  <si>
    <t xml:space="preserve">Material / Parameter</t>
  </si>
  <si>
    <t xml:space="preserve">Raw GREET Value</t>
  </si>
  <si>
    <t xml:space="preserve">Raw Unit</t>
  </si>
  <si>
    <t xml:space="preserve">Converted EF (kgCO₂e/kg)</t>
  </si>
  <si>
    <t xml:space="preserve">GREET2 Cell Ref</t>
  </si>
  <si>
    <t xml:space="preserve">Virgin Steel (BF-BOF)</t>
  </si>
  <si>
    <t xml:space="preserve">g/lb</t>
  </si>
  <si>
    <t xml:space="preserve">Mat_Sum, row 65, col B</t>
  </si>
  <si>
    <t xml:space="preserve">https://greet.anl.gov/</t>
  </si>
  <si>
    <t xml:space="preserve">Recycled Steel (EAF)</t>
  </si>
  <si>
    <t xml:space="preserve">Mat_Sum, row 65, col C</t>
  </si>
  <si>
    <t xml:space="preserve">Copper</t>
  </si>
  <si>
    <t xml:space="preserve">Mat_Sum, row 65, col BE</t>
  </si>
  <si>
    <t xml:space="preserve">Zinc</t>
  </si>
  <si>
    <t xml:space="preserve">Mat_Sum, row 65, col BF</t>
  </si>
  <si>
    <t xml:space="preserve">Rubber (synthetic)</t>
  </si>
  <si>
    <t xml:space="preserve">Mat_Sum, row 65, col BU</t>
  </si>
  <si>
    <t xml:space="preserve">Steel EoL recycling rate</t>
  </si>
  <si>
    <t xml:space="preserve">(fraction)</t>
  </si>
  <si>
    <t xml:space="preserve">Mat_Sum, cell B19</t>
  </si>
  <si>
    <t xml:space="preserve">4B. Derivation Assumptions</t>
  </si>
  <si>
    <t xml:space="preserve">Assumption</t>
  </si>
  <si>
    <t xml:space="preserve">Source</t>
  </si>
  <si>
    <t xml:space="preserve">US steel: BF-BOF share</t>
  </si>
  <si>
    <t xml:space="preserve">Hasanbeigi &amp; Springer 2019. US 2018: 33% BF-BOF, 67% EAF. Data is 8 years old; EAF share has likely increased, making this conservative.</t>
  </si>
  <si>
    <t xml:space="preserve">https://www.bluegreenalliance.org/wp-content/uploads/2021/04/HowCleanistheU.S.SteelIndustry.pdf</t>
  </si>
  <si>
    <t xml:space="preserve">US steel: EAF share</t>
  </si>
  <si>
    <t xml:space="preserve">1 − BF-BOF share (B64).</t>
  </si>
  <si>
    <t xml:space="preserve">Brass: Cu share (C26000)</t>
  </si>
  <si>
    <t xml:space="preserve">UNS C26000 per ASTM B927: Cu 68.5–71.5%, bal Zn. Nominal 70/30.</t>
  </si>
  <si>
    <t xml:space="preserve">https://alloys.copper.org/alloy/C26000</t>
  </si>
  <si>
    <t xml:space="preserve">Brass: Zn share</t>
  </si>
  <si>
    <t xml:space="preserve">1 − Cu share (B66).</t>
  </si>
  <si>
    <t xml:space="preserve">US grid EF (eGRID 2023)</t>
  </si>
  <si>
    <t xml:space="preserve">kgCO₂e/kWh</t>
  </si>
  <si>
    <t xml:space="preserve">EPA eGRID 2023 (Jan 2025). US avg: 0.81 lbs CO₂/kWh. 0.81 / 2.20462 = 0.367 kg.</t>
  </si>
  <si>
    <t xml:space="preserve">https://www.epa.gov/egrid</t>
  </si>
  <si>
    <t xml:space="preserve">US grid EF (per GJ)</t>
  </si>
  <si>
    <t xml:space="preserve">tCO₂e/GJ</t>
  </si>
  <si>
    <t xml:space="preserve">DERIVED. B68 x 277.78 kWh/GJ / 1000.</t>
  </si>
  <si>
    <t xml:space="preserve">4C. Applied Emission Factors</t>
  </si>
  <si>
    <t xml:space="preserve">EF (kgCO₂e/kg)</t>
  </si>
  <si>
    <t xml:space="preserve">Formula</t>
  </si>
  <si>
    <t xml:space="preserve">Source Classification</t>
  </si>
  <si>
    <t xml:space="preserve">Notes</t>
  </si>
  <si>
    <t xml:space="preserve">US blended steel (BF-BOF/EAF weighted)</t>
  </si>
  <si>
    <t xml:space="preserve">BOF_share*BF-BOF_EF + EAF_share*EAF_EF</t>
  </si>
  <si>
    <t xml:space="preserve">DERIVED — GREET2 + Hasanbeigi mix</t>
  </si>
  <si>
    <t xml:space="preserve">Mineral wool insulation</t>
  </si>
  <si>
    <t xml:space="preserve">ICE v2.0: 1.20</t>
  </si>
  <si>
    <t xml:space="preserve">DIRECT — ICE v2.0</t>
  </si>
  <si>
    <t xml:space="preserve">https://kps.fsv.cvut.cz/upload/files/icev2.0summarytables.pdf</t>
  </si>
  <si>
    <t xml:space="preserve">Brass/bronze (Cu-Zn, C26000)</t>
  </si>
  <si>
    <t xml:space="preserve">Cu_share*Cu_EF + Zn_share*Zn_EF</t>
  </si>
  <si>
    <t xml:space="preserve">DERIVED — GREET2 Cu+Zn weighted</t>
  </si>
  <si>
    <t xml:space="preserve">Coatings (waterborne paint)</t>
  </si>
  <si>
    <t xml:space="preserve">ICE v2.0: 2.12</t>
  </si>
  <si>
    <t xml:space="preserve">GREET2 synthetic rubber</t>
  </si>
  <si>
    <t xml:space="preserve">DIRECT — GREET2</t>
  </si>
  <si>
    <t xml:space="preserve">Manufacturing energy (per kg of tare)</t>
  </si>
  <si>
    <t xml:space="preserve">Fab_GJ_per_t x Grid_tCO2e_per_GJ</t>
  </si>
  <si>
    <t xml:space="preserve">ESTIMATE — fab energy is unsourced estimate</t>
  </si>
  <si>
    <t xml:space="preserve">5. CRADLE-TO-GATE EMISSIONS</t>
  </si>
  <si>
    <t xml:space="preserve">Emissions (kgCO₂e)</t>
  </si>
  <si>
    <t xml:space="preserve">Emissions (MT CO₂e)</t>
  </si>
  <si>
    <t xml:space="preserve">% of Total</t>
  </si>
  <si>
    <t xml:space="preserve">Steel (all grades)</t>
  </si>
  <si>
    <t xml:space="preserve">Thermal insulation</t>
  </si>
  <si>
    <t xml:space="preserve">Brass fittings</t>
  </si>
  <si>
    <t xml:space="preserve">Coatings + lining</t>
  </si>
  <si>
    <t xml:space="preserve">Rubber/elastomers</t>
  </si>
  <si>
    <t xml:space="preserve">Manufacturing / fabrication energy</t>
  </si>
  <si>
    <t xml:space="preserve">SUBTOTAL: Cradle-to-Gate</t>
  </si>
  <si>
    <t xml:space="preserve">6. END-OF-LIFE METHOD &amp; CRADLE-TO-GRAVE TOTAL</t>
  </si>
  <si>
    <t xml:space="preserve">EoL allocation method</t>
  </si>
  <si>
    <t xml:space="preserve">Cut-off (recycled content)</t>
  </si>
  <si>
    <t xml:space="preserve"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</si>
  <si>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 xml:space="preserve">EoL recycling credit</t>
  </si>
  <si>
    <t xml:space="preserve">MT CO₂e</t>
  </si>
  <si>
    <t xml:space="preserve">Zero under cut-off method.</t>
  </si>
  <si>
    <t xml:space="preserve">Lifecycle modules C1-C4</t>
  </si>
  <si>
    <t xml:space="preserve">Declared, zero impact</t>
  </si>
  <si>
    <t xml:space="preserve">Cut-off method: EoL modules declared per Isometric GHG Accounting v1.0 but contribute zero net emissions. Single EoL at 50-year condemning limit (AAR Rule 88).</t>
  </si>
  <si>
    <t xml:space="preserve">CRADLE-TO-GRAVE TOTAL</t>
  </si>
  <si>
    <t xml:space="preserve">Equal to CTGate under cut-off method (no EoL credit or debit).</t>
  </si>
  <si>
    <t xml:space="preserve">CRADLE-TO-GATE TOTAL</t>
  </si>
  <si>
    <t xml:space="preserve">7. COMPARISON WITH PRIOR METHODOLOGY (INTERNAL ONLY)</t>
  </si>
  <si>
    <t xml:space="preserve">Metric</t>
  </si>
  <si>
    <t xml:space="preserve">Current value (cost-based EEIO, v8)</t>
  </si>
  <si>
    <t xml:space="preserve">From KB: v8, eGRID 2023 at 0.350 kgCO₂e/kWh</t>
  </si>
  <si>
    <t xml:space="preserve">V16 CTGrave (component-level BOM)</t>
  </si>
  <si>
    <t xml:space="preserve">V16 used 25+ components with individual weights and grade-specific EFs.</t>
  </si>
  <si>
    <t xml:space="preserve">V17 CTGrave = CTGate (cut-off method)</t>
  </si>
  <si>
    <t xml:space="preserve">Steel + marginal materials, 6 BOM lines, cut-off EoL (no recycling credit).</t>
  </si>
  <si>
    <t xml:space="preserve">Delta: V17 CTGrave vs EEIO</t>
  </si>
  <si>
    <t xml:space="preserve">8. METHODOLOGY NOTES</t>
  </si>
  <si>
    <t xml:space="preserve">V17 SIMPLIFICATION: V16 decomposed the BOM into 25+ components with individual weights. Many component weights (wheels, axles, truck assemblies, couplers, brake parts, valve fittings) were unsourced engineering estimates, creating false precision that was not defensible. V17 recognizes that a DOT-111 is overwhelmingly steel. The only non-steel materials in meaningful quantities are mineral wool insulation, brass fittings, coatings, and minor rubber/elastomer components. Steel mass = tare minus non-steel.</t>
  </si>
  <si>
    <t xml:space="preserve">SINGLE BLENDED STEEL EF: V16 used grade-specific EFs (HR plate, cast iron, forged iron). V17 uses one US production-weighted EF (33% BF-BOF / 67% EAF per Hasanbeigi 2019). Appropriate because the grade differences in GREET2 reflect production routes (BOF vs EAF vs casting vs forging), not alloy grades, and the car is manufactured by a single US builder sourcing from the US steel market.</t>
  </si>
  <si>
    <t xml:space="preserve">MATERIALITY: Of the non-steel materials, only thermal insulation is material (~5% of tare, ~3–4% of CTGate). Brass fittings (&lt;1% of tare), coatings (&lt;0.3%), and rubber/elastomers (0.1%) are marginal — a 50% error in any of them changes CTGrave by less than 0.1 MT. Estimate quality for these marginal categories is proportionate to their impact.</t>
  </si>
  <si>
    <t xml:space="preserve">AUDITABLE CONVERSIONS: All imperial-to-metric conversions (tank OD, tank length, shell thickness, jacket thickness) are Excel formulas referencing sourced imperial inputs. A reviewer can click on any metric value and trace it back to the GBRX spec or 49 CFR citation.</t>
  </si>
  <si>
    <t xml:space="preserve">NON-STEEL EOL: Under cut-off, no EoL credit is given for any material. Brass, rubber, and coating recycling pathways are moot.</t>
  </si>
  <si>
    <t xml:space="preserve">INSULATION THICKNESS: 4 inches (101.6 mm) per UTLX industry standard for insulated tank cars, consistent with FRA-approved thermal protection systems. 49 CFR 179.200-4 requires max conductance of 0.225 Btu/(hr·ft²·°F); mineral wool k ≈ 0.24 Btu·in/(hr·ft²·°F) gives a theoretical minimum of ~1.07 in. The 4-inch standard provides substantial margin. INSULATION COVERAGE: formula covers cylinder annulus only. Head insulation absorbed by steel residual at steel EF — conservative.</t>
  </si>
  <si>
    <t xml:space="preserve">FABRICATION ENERGY: 2.0 GJ/t. No public database for tank car fabrication energy; this is an unsourced engineering estimate. Applied to total tare. Converted via eGRID grid factor. Conservative: treats all energy as electric (grid EF &gt; gas EF) and applies to pre-manufactured purchased components.</t>
  </si>
  <si>
    <t xml:space="preserve">END-OF-LIFE: Cut-off method. Steel LCA typically shows a net-negative EoL due to high recycling rates, but computing an avoided-burden credit properly requires net scrap balance, grade-specific virgin/recycled splits, and scrap market displacement factors (see World Steel LCI methodology, p17) that we do not have. Setting the EoL credit to zero is conservative: CTGrave = CTGate. Single EoL at 50-year condemning limit (AAR Rule 88).</t>
  </si>
  <si>
    <t xml:space="preserve">LIFECYCLE MODULES (Isometric GHG Accounting v1.0): A1-A3 covered. A4-A5 (transport to site) not included — would require delivery distance. B1-B7 = 0 (railcars are passive assets, no operational energy). C1-C4 declared, zero impact under cut-off method.</t>
  </si>
  <si>
    <t xml:space="preserve">AMORTIZATION: Model presents total embodied emissions. Amortization method is a project-level decision per Isometric section 5.2.</t>
  </si>
  <si>
    <t xml:space="preserve">NON-STEEL FRACTION: Approximately 6–7% of tare is non-steel (insulation, brass, coatings, rubber). The remaining ~93–94% is steel. Any non-steel mass inadvertently left in the steel residual gets the steel EF, which is higher than mineral wool (1.20) and coatings (2.12) but lower than brass (3.39). At 350 kg (&lt;1% of tare), brass is immaterial to this effect.</t>
  </si>
  <si>
    <t xml:space="preserve">ESTIMATES: All unsourced estimates are explicitly labeled. No value uses 'standard,' 'typical,' or 'industry practice' without a verifiable citation.</t>
  </si>
  <si>
    <t xml:space="preserve">9. KEY SOURCES</t>
  </si>
  <si>
    <t xml:space="preserve">Argonne National Lab. R&amp;D GREET2 2025. Metal EFs (steel, copper, zinc, rubber).</t>
  </si>
  <si>
    <t xml:space="preserve">EPA. eGRID 2023. US avg: 0.367 kgCO₂/kWh.</t>
  </si>
  <si>
    <t xml:space="preserve">GBRX. DOT-111 spec (Jan 2021): tare 86,350 lbs; tank OD 9'-10 3/4"; tank length 53'-4 7/8".</t>
  </si>
  <si>
    <t xml:space="preserve">U.S. DOT. 49 CFR 179 Subpart D. Shell: 7/16" min. Jacket: 11 gauge min. Conductance: 0.225 max.</t>
  </si>
  <si>
    <t xml:space="preserve">AAR. Rule 88 / OT-24: 50-year condemning limit.</t>
  </si>
  <si>
    <t xml:space="preserve">Hasanbeigi &amp; Springer. 2019. US steel mix: 33% BF-BOF, 67% EAF.</t>
  </si>
  <si>
    <t xml:space="preserve">Copper Dev. Assn. C26000: Cu 70%, Zn 30%.</t>
  </si>
  <si>
    <t xml:space="preserve">ICE v2.0. Mineral wool 1.20, waterborne paint 2.12 kgCO₂/kg.</t>
  </si>
  <si>
    <t xml:space="preserve">Wabtec. Mark 50 Draft Gear: 386 lbs.</t>
  </si>
  <si>
    <t xml:space="preserve">https://www.wabteccorp.com/freight-car/end-of-car-systems/draft-gears/mark-50</t>
  </si>
  <si>
    <t xml:space="preserve">AZoM. ASTM A516 Gr 70: density 7,850 kg/m³.</t>
  </si>
  <si>
    <t xml:space="preserve">Knauf Insulation. EPD: Rock Mineral Wool DP7-DP8. Density range 25–200 kg/m³.</t>
  </si>
  <si>
    <t xml:space="preserve">UTLX. Tank car build specifications: 4-inch insulation standard.</t>
  </si>
  <si>
    <t xml:space="preserve">LBNL-62806 REV.2. World best practice energy intensity: hot rolling 1.28 GJ/t.</t>
  </si>
  <si>
    <t xml:space="preserve">World Steel Association. LCI methodology report: net scrap approach (p17). Referenced to justify why avoided burden is incompatible with recycled-content production EFs; supports cut-off method choice.</t>
  </si>
  <si>
    <t xml:space="preserve">https://worldsteel.org/wp-content/uploads/Life-cycle-inventory-methodology-report.pdf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</si>
</sst>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"/>
    <numFmt numFmtId="167" formatCode="0.0000"/>
    <numFmt numFmtId="168" formatCode="0.000"/>
    <numFmt numFmtId="169" formatCode="0.00000"/>
    <numFmt numFmtId="170" formatCode="0.0%"/>
    <numFmt numFmtId="171" formatCode="0.000000"/>
    <numFmt numFmtId="172" formatCode="#,##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sz val="10"/>
      <color rgb="FF7030A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D6E4F0"/>
      </patternFill>
    </fill>
    <fill>
      <patternFill patternType="solid">
        <fgColor rgb="FFD6E4F0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6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6" customFormat="false" ht="15" hidden="false" customHeight="false" outlineLevel="0" collapsed="false">
      <c r="A6" s="5" t="s">
        <v>4</v>
      </c>
      <c r="B6" s="5"/>
      <c r="C6" s="5"/>
      <c r="D6" s="5"/>
      <c r="E6" s="5"/>
      <c r="F6" s="5"/>
      <c r="G6" s="5"/>
    </row>
    <row r="7" customFormat="false" ht="15" hidden="false" customHeight="fals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/>
      <c r="G7" s="6" t="s">
        <v>10</v>
      </c>
    </row>
    <row r="8" customFormat="false" ht="15" hidden="false" customHeight="false" outlineLevel="0" collapsed="false">
      <c r="A8" s="7" t="s">
        <v>11</v>
      </c>
      <c r="B8" s="8" t="n">
        <v>39168</v>
      </c>
      <c r="C8" s="7" t="s">
        <v>12</v>
      </c>
      <c r="D8" s="7" t="s">
        <v>13</v>
      </c>
      <c r="E8" s="7" t="s">
        <v>14</v>
      </c>
      <c r="F8" s="9"/>
      <c r="G8" s="7" t="s">
        <v>15</v>
      </c>
    </row>
    <row r="9" customFormat="false" ht="15" hidden="false" customHeight="false" outlineLevel="0" collapsed="false">
      <c r="A9" s="7" t="s">
        <v>16</v>
      </c>
      <c r="B9" s="10" t="s">
        <v>17</v>
      </c>
      <c r="C9" s="9"/>
      <c r="D9" s="7" t="s">
        <v>18</v>
      </c>
      <c r="E9" s="7" t="s">
        <v>14</v>
      </c>
      <c r="F9" s="9"/>
      <c r="G9" s="7" t="s">
        <v>15</v>
      </c>
    </row>
    <row r="10" customFormat="false" ht="15" hidden="false" customHeight="false" outlineLevel="0" collapsed="false">
      <c r="A10" s="7" t="s">
        <v>19</v>
      </c>
      <c r="B10" s="10" t="s">
        <v>20</v>
      </c>
      <c r="C10" s="9"/>
      <c r="D10" s="7" t="s">
        <v>21</v>
      </c>
      <c r="E10" s="7" t="s">
        <v>22</v>
      </c>
      <c r="F10" s="9"/>
      <c r="G10" s="7" t="s">
        <v>23</v>
      </c>
    </row>
    <row r="11" customFormat="false" ht="15" hidden="false" customHeight="false" outlineLevel="0" collapsed="false">
      <c r="A11" s="7" t="s">
        <v>24</v>
      </c>
      <c r="B11" s="10" t="n">
        <v>9</v>
      </c>
      <c r="C11" s="7" t="s">
        <v>25</v>
      </c>
      <c r="D11" s="7" t="s">
        <v>26</v>
      </c>
      <c r="E11" s="7" t="s">
        <v>14</v>
      </c>
      <c r="F11" s="9"/>
      <c r="G11" s="7" t="s">
        <v>15</v>
      </c>
    </row>
    <row r="12" customFormat="false" ht="15" hidden="false" customHeight="false" outlineLevel="0" collapsed="false">
      <c r="A12" s="7" t="s">
        <v>27</v>
      </c>
      <c r="B12" s="11" t="n">
        <v>10.75</v>
      </c>
      <c r="C12" s="7" t="s">
        <v>28</v>
      </c>
      <c r="D12" s="7" t="s">
        <v>29</v>
      </c>
      <c r="E12" s="7" t="s">
        <v>14</v>
      </c>
      <c r="F12" s="9"/>
      <c r="G12" s="9"/>
    </row>
    <row r="13" customFormat="false" ht="15" hidden="false" customHeight="false" outlineLevel="0" collapsed="false">
      <c r="A13" s="7" t="s">
        <v>30</v>
      </c>
      <c r="B13" s="12" t="n">
        <f aca="false">B11*12+B12</f>
        <v>118.75</v>
      </c>
      <c r="C13" s="7" t="s">
        <v>28</v>
      </c>
      <c r="D13" s="7" t="s">
        <v>31</v>
      </c>
      <c r="E13" s="7" t="s">
        <v>32</v>
      </c>
      <c r="F13" s="9"/>
      <c r="G13" s="9"/>
    </row>
    <row r="14" customFormat="false" ht="15" hidden="false" customHeight="false" outlineLevel="0" collapsed="false">
      <c r="A14" s="7" t="s">
        <v>33</v>
      </c>
      <c r="B14" s="13" t="n">
        <f aca="false">B13*0.0254</f>
        <v>3.01625</v>
      </c>
      <c r="C14" s="7" t="s">
        <v>34</v>
      </c>
      <c r="D14" s="7" t="s">
        <v>35</v>
      </c>
      <c r="E14" s="7" t="s">
        <v>32</v>
      </c>
      <c r="F14" s="9"/>
      <c r="G14" s="9"/>
    </row>
    <row r="15" customFormat="false" ht="15" hidden="false" customHeight="false" outlineLevel="0" collapsed="false">
      <c r="A15" s="7" t="s">
        <v>36</v>
      </c>
      <c r="B15" s="10" t="n">
        <v>53</v>
      </c>
      <c r="C15" s="7" t="s">
        <v>25</v>
      </c>
      <c r="D15" s="7" t="s">
        <v>37</v>
      </c>
      <c r="E15" s="7" t="s">
        <v>14</v>
      </c>
      <c r="F15" s="9"/>
      <c r="G15" s="7" t="s">
        <v>15</v>
      </c>
    </row>
    <row r="16" customFormat="false" ht="15" hidden="false" customHeight="false" outlineLevel="0" collapsed="false">
      <c r="A16" s="7" t="s">
        <v>38</v>
      </c>
      <c r="B16" s="14" t="n">
        <v>4.875</v>
      </c>
      <c r="C16" s="7" t="s">
        <v>28</v>
      </c>
      <c r="D16" s="7" t="s">
        <v>39</v>
      </c>
      <c r="E16" s="7" t="s">
        <v>14</v>
      </c>
      <c r="F16" s="9"/>
      <c r="G16" s="9"/>
    </row>
    <row r="17" customFormat="false" ht="15" hidden="false" customHeight="false" outlineLevel="0" collapsed="false">
      <c r="A17" s="7" t="s">
        <v>40</v>
      </c>
      <c r="B17" s="15" t="n">
        <f aca="false">B15*12+B16</f>
        <v>640.875</v>
      </c>
      <c r="C17" s="7" t="s">
        <v>28</v>
      </c>
      <c r="D17" s="7" t="s">
        <v>41</v>
      </c>
      <c r="E17" s="7" t="s">
        <v>32</v>
      </c>
      <c r="F17" s="9"/>
      <c r="G17" s="9"/>
    </row>
    <row r="18" customFormat="false" ht="15" hidden="false" customHeight="false" outlineLevel="0" collapsed="false">
      <c r="A18" s="7" t="s">
        <v>42</v>
      </c>
      <c r="B18" s="13" t="n">
        <f aca="false">B17*0.0254</f>
        <v>16.278225</v>
      </c>
      <c r="C18" s="7" t="s">
        <v>34</v>
      </c>
      <c r="D18" s="7" t="s">
        <v>43</v>
      </c>
      <c r="E18" s="7" t="s">
        <v>32</v>
      </c>
      <c r="F18" s="9"/>
      <c r="G18" s="9"/>
    </row>
    <row r="19" customFormat="false" ht="15" hidden="false" customHeight="false" outlineLevel="0" collapsed="false">
      <c r="A19" s="7" t="s">
        <v>44</v>
      </c>
      <c r="B19" s="10" t="n">
        <v>7</v>
      </c>
      <c r="C19" s="7" t="s">
        <v>45</v>
      </c>
      <c r="D19" s="7" t="s">
        <v>46</v>
      </c>
      <c r="E19" s="7" t="s">
        <v>14</v>
      </c>
      <c r="F19" s="9"/>
      <c r="G19" s="7" t="s">
        <v>23</v>
      </c>
    </row>
    <row r="20" customFormat="false" ht="15" hidden="false" customHeight="false" outlineLevel="0" collapsed="false">
      <c r="A20" s="7" t="s">
        <v>47</v>
      </c>
      <c r="B20" s="10" t="n">
        <v>16</v>
      </c>
      <c r="C20" s="7" t="s">
        <v>48</v>
      </c>
      <c r="D20" s="7" t="s">
        <v>49</v>
      </c>
      <c r="E20" s="7" t="s">
        <v>14</v>
      </c>
      <c r="F20" s="9"/>
      <c r="G20" s="9"/>
    </row>
    <row r="21" customFormat="false" ht="15" hidden="false" customHeight="false" outlineLevel="0" collapsed="false">
      <c r="A21" s="7" t="s">
        <v>50</v>
      </c>
      <c r="B21" s="16" t="n">
        <f aca="false">(B19/B20)*0.0254</f>
        <v>0.0111125</v>
      </c>
      <c r="C21" s="7" t="s">
        <v>34</v>
      </c>
      <c r="D21" s="7" t="s">
        <v>51</v>
      </c>
      <c r="E21" s="7" t="s">
        <v>32</v>
      </c>
      <c r="F21" s="9"/>
      <c r="G21" s="9"/>
    </row>
    <row r="22" customFormat="false" ht="15" hidden="false" customHeight="false" outlineLevel="0" collapsed="false">
      <c r="A22" s="7" t="s">
        <v>52</v>
      </c>
      <c r="B22" s="17" t="n">
        <v>0.1196</v>
      </c>
      <c r="C22" s="7" t="s">
        <v>28</v>
      </c>
      <c r="D22" s="7" t="s">
        <v>53</v>
      </c>
      <c r="E22" s="7" t="s">
        <v>14</v>
      </c>
      <c r="F22" s="9"/>
      <c r="G22" s="7" t="s">
        <v>54</v>
      </c>
    </row>
    <row r="23" customFormat="false" ht="15" hidden="false" customHeight="false" outlineLevel="0" collapsed="false">
      <c r="A23" s="7" t="s">
        <v>55</v>
      </c>
      <c r="B23" s="16" t="n">
        <f aca="false">B22*0.0254</f>
        <v>0.00303784</v>
      </c>
      <c r="C23" s="7" t="s">
        <v>34</v>
      </c>
      <c r="D23" s="7" t="s">
        <v>56</v>
      </c>
      <c r="E23" s="7" t="s">
        <v>32</v>
      </c>
      <c r="F23" s="9"/>
      <c r="G23" s="9"/>
    </row>
    <row r="24" customFormat="false" ht="15" hidden="false" customHeight="false" outlineLevel="0" collapsed="false">
      <c r="A24" s="7" t="s">
        <v>57</v>
      </c>
      <c r="B24" s="8" t="n">
        <v>7850</v>
      </c>
      <c r="C24" s="7" t="s">
        <v>58</v>
      </c>
      <c r="D24" s="7" t="s">
        <v>59</v>
      </c>
      <c r="E24" s="7" t="s">
        <v>14</v>
      </c>
      <c r="F24" s="9"/>
      <c r="G24" s="7" t="s">
        <v>60</v>
      </c>
    </row>
    <row r="25" customFormat="false" ht="15" hidden="false" customHeight="false" outlineLevel="0" collapsed="false">
      <c r="A25" s="7" t="s">
        <v>61</v>
      </c>
      <c r="B25" s="10" t="n">
        <v>50</v>
      </c>
      <c r="C25" s="7" t="s">
        <v>62</v>
      </c>
      <c r="D25" s="7" t="s">
        <v>63</v>
      </c>
      <c r="E25" s="7" t="s">
        <v>14</v>
      </c>
      <c r="F25" s="9"/>
      <c r="G25" s="7" t="s">
        <v>64</v>
      </c>
    </row>
    <row r="27" customFormat="false" ht="15" hidden="false" customHeight="false" outlineLevel="0" collapsed="false">
      <c r="A27" s="5" t="s">
        <v>65</v>
      </c>
      <c r="B27" s="5"/>
      <c r="C27" s="5"/>
      <c r="D27" s="5"/>
      <c r="E27" s="5"/>
      <c r="F27" s="5"/>
      <c r="G27" s="5"/>
    </row>
    <row r="28" customFormat="false" ht="15" hidden="false" customHeight="false" outlineLevel="0" collapsed="false">
      <c r="A28" s="6" t="s">
        <v>66</v>
      </c>
      <c r="B28" s="6" t="s">
        <v>6</v>
      </c>
      <c r="C28" s="6" t="s">
        <v>7</v>
      </c>
      <c r="D28" s="6" t="s">
        <v>8</v>
      </c>
      <c r="E28" s="6" t="s">
        <v>9</v>
      </c>
      <c r="F28" s="6"/>
      <c r="G28" s="6" t="s">
        <v>10</v>
      </c>
    </row>
    <row r="29" customFormat="false" ht="15" hidden="false" customHeight="false" outlineLevel="0" collapsed="false">
      <c r="A29" s="7" t="s">
        <v>67</v>
      </c>
      <c r="B29" s="17" t="n">
        <v>0.1016</v>
      </c>
      <c r="C29" s="7" t="s">
        <v>68</v>
      </c>
      <c r="D29" s="7" t="s">
        <v>69</v>
      </c>
      <c r="E29" s="7" t="s">
        <v>70</v>
      </c>
      <c r="F29" s="9"/>
      <c r="G29" s="7" t="s">
        <v>71</v>
      </c>
    </row>
    <row r="30" customFormat="false" ht="15" hidden="false" customHeight="false" outlineLevel="0" collapsed="false">
      <c r="A30" s="7" t="s">
        <v>72</v>
      </c>
      <c r="B30" s="18" t="n">
        <v>113</v>
      </c>
      <c r="C30" s="7" t="s">
        <v>58</v>
      </c>
      <c r="D30" s="7" t="s">
        <v>73</v>
      </c>
      <c r="E30" s="7" t="s">
        <v>74</v>
      </c>
      <c r="F30" s="9"/>
      <c r="G30" s="7" t="s">
        <v>75</v>
      </c>
    </row>
    <row r="31" customFormat="false" ht="15" hidden="false" customHeight="false" outlineLevel="0" collapsed="false">
      <c r="A31" s="7" t="s">
        <v>76</v>
      </c>
      <c r="B31" s="19" t="n">
        <v>1.45</v>
      </c>
      <c r="C31" s="7"/>
      <c r="D31" s="7" t="s">
        <v>77</v>
      </c>
      <c r="E31" s="7" t="s">
        <v>74</v>
      </c>
      <c r="F31" s="9"/>
      <c r="G31" s="9"/>
    </row>
    <row r="32" customFormat="false" ht="15" hidden="false" customHeight="false" outlineLevel="0" collapsed="false">
      <c r="A32" s="7" t="s">
        <v>78</v>
      </c>
      <c r="B32" s="13" t="n">
        <f aca="false">B14+2*B29</f>
        <v>3.21945</v>
      </c>
      <c r="C32" s="7" t="s">
        <v>34</v>
      </c>
      <c r="D32" s="7" t="s">
        <v>79</v>
      </c>
      <c r="E32" s="7" t="s">
        <v>32</v>
      </c>
      <c r="F32" s="9"/>
      <c r="G32" s="9"/>
    </row>
    <row r="33" customFormat="false" ht="15" hidden="false" customHeight="false" outlineLevel="0" collapsed="false">
      <c r="A33" s="7" t="s">
        <v>80</v>
      </c>
      <c r="B33" s="18" t="n">
        <v>23</v>
      </c>
      <c r="C33" s="7" t="s">
        <v>81</v>
      </c>
      <c r="D33" s="7" t="s">
        <v>82</v>
      </c>
      <c r="E33" s="7" t="s">
        <v>74</v>
      </c>
      <c r="F33" s="9"/>
      <c r="G33" s="9"/>
    </row>
    <row r="34" customFormat="false" ht="15" hidden="false" customHeight="false" outlineLevel="0" collapsed="false">
      <c r="A34" s="7" t="s">
        <v>83</v>
      </c>
      <c r="B34" s="20" t="n">
        <f aca="false">PI()*B32*B18+2*PI()*(B32/2)^2+B33</f>
        <v>203.922312272287</v>
      </c>
      <c r="C34" s="7" t="s">
        <v>81</v>
      </c>
      <c r="D34" s="7" t="s">
        <v>84</v>
      </c>
      <c r="E34" s="7" t="s">
        <v>32</v>
      </c>
      <c r="F34" s="9"/>
      <c r="G34" s="9"/>
    </row>
    <row r="35" customFormat="false" ht="15" hidden="false" customHeight="false" outlineLevel="0" collapsed="false">
      <c r="A35" s="7" t="s">
        <v>85</v>
      </c>
      <c r="B35" s="18" t="n">
        <v>350</v>
      </c>
      <c r="C35" s="7" t="s">
        <v>86</v>
      </c>
      <c r="D35" s="7" t="s">
        <v>87</v>
      </c>
      <c r="E35" s="7" t="s">
        <v>74</v>
      </c>
      <c r="F35" s="9"/>
      <c r="G35" s="9"/>
    </row>
    <row r="36" customFormat="false" ht="15" hidden="false" customHeight="false" outlineLevel="0" collapsed="false">
      <c r="A36" s="7" t="s">
        <v>88</v>
      </c>
      <c r="B36" s="19" t="n">
        <v>0.5</v>
      </c>
      <c r="C36" s="7" t="s">
        <v>89</v>
      </c>
      <c r="D36" s="7" t="s">
        <v>90</v>
      </c>
      <c r="E36" s="7" t="s">
        <v>70</v>
      </c>
      <c r="F36" s="9"/>
      <c r="G36" s="9"/>
    </row>
    <row r="37" customFormat="false" ht="15" hidden="false" customHeight="false" outlineLevel="0" collapsed="false">
      <c r="A37" s="7" t="s">
        <v>91</v>
      </c>
      <c r="B37" s="18" t="n">
        <v>50</v>
      </c>
      <c r="C37" s="7" t="s">
        <v>86</v>
      </c>
      <c r="D37" s="7" t="s">
        <v>92</v>
      </c>
      <c r="E37" s="7" t="s">
        <v>74</v>
      </c>
      <c r="F37" s="9"/>
      <c r="G37" s="9"/>
    </row>
    <row r="38" customFormat="false" ht="15" hidden="false" customHeight="false" outlineLevel="0" collapsed="false">
      <c r="A38" s="7" t="s">
        <v>93</v>
      </c>
      <c r="B38" s="21" t="n">
        <v>2</v>
      </c>
      <c r="C38" s="7" t="s">
        <v>94</v>
      </c>
      <c r="D38" s="7" t="s">
        <v>95</v>
      </c>
      <c r="E38" s="7" t="s">
        <v>74</v>
      </c>
      <c r="F38" s="9"/>
      <c r="G38" s="7" t="s">
        <v>96</v>
      </c>
    </row>
    <row r="40" customFormat="false" ht="15" hidden="false" customHeight="false" outlineLevel="0" collapsed="false">
      <c r="A40" s="5" t="s">
        <v>97</v>
      </c>
      <c r="B40" s="5"/>
      <c r="C40" s="5"/>
      <c r="D40" s="5"/>
      <c r="E40" s="5"/>
      <c r="F40" s="5"/>
      <c r="G40" s="5"/>
    </row>
    <row r="41" customFormat="false" ht="15" hidden="false" customHeight="false" outlineLevel="0" collapsed="false">
      <c r="A41" s="22" t="s">
        <v>98</v>
      </c>
      <c r="B41" s="22"/>
      <c r="C41" s="22"/>
      <c r="D41" s="22"/>
      <c r="E41" s="22"/>
      <c r="F41" s="22"/>
      <c r="G41" s="22"/>
    </row>
    <row r="42" customFormat="false" ht="15" hidden="false" customHeight="false" outlineLevel="0" collapsed="false">
      <c r="A42" s="6" t="s">
        <v>99</v>
      </c>
      <c r="B42" s="6" t="s">
        <v>100</v>
      </c>
      <c r="C42" s="6" t="s">
        <v>101</v>
      </c>
      <c r="D42" s="6" t="s">
        <v>102</v>
      </c>
      <c r="E42" s="6" t="s">
        <v>9</v>
      </c>
      <c r="F42" s="6" t="s">
        <v>103</v>
      </c>
      <c r="G42" s="6"/>
    </row>
    <row r="43" customFormat="false" ht="15" hidden="false" customHeight="false" outlineLevel="0" collapsed="false">
      <c r="A43" s="7" t="s">
        <v>104</v>
      </c>
      <c r="B43" s="20" t="n">
        <f aca="false">PI()/4*((B14+2*B29)^2-B14^2)*B18*B30*B31</f>
        <v>2654.31395791297</v>
      </c>
      <c r="C43" s="23" t="n">
        <f aca="false">B43/B8</f>
        <v>0.0677674110986766</v>
      </c>
      <c r="D43" s="7" t="s">
        <v>105</v>
      </c>
      <c r="E43" s="7" t="s">
        <v>106</v>
      </c>
      <c r="F43" s="7" t="s">
        <v>107</v>
      </c>
      <c r="G43" s="9"/>
    </row>
    <row r="44" customFormat="false" ht="15" hidden="false" customHeight="false" outlineLevel="0" collapsed="false">
      <c r="A44" s="7" t="s">
        <v>108</v>
      </c>
      <c r="B44" s="18" t="n">
        <f aca="false">B35</f>
        <v>350</v>
      </c>
      <c r="C44" s="23" t="n">
        <f aca="false">B44/B8</f>
        <v>0.0089358660130719</v>
      </c>
      <c r="D44" s="7" t="s">
        <v>109</v>
      </c>
      <c r="E44" s="7" t="s">
        <v>74</v>
      </c>
      <c r="F44" s="7" t="s">
        <v>110</v>
      </c>
      <c r="G44" s="9"/>
    </row>
    <row r="45" customFormat="false" ht="15" hidden="false" customHeight="false" outlineLevel="0" collapsed="false">
      <c r="A45" s="7" t="s">
        <v>111</v>
      </c>
      <c r="B45" s="18" t="n">
        <f aca="false">B34*B36</f>
        <v>101.961156136144</v>
      </c>
      <c r="C45" s="23" t="n">
        <f aca="false">B45/B8</f>
        <v>0.00260317494220138</v>
      </c>
      <c r="D45" s="7" t="s">
        <v>112</v>
      </c>
      <c r="E45" s="7" t="s">
        <v>106</v>
      </c>
      <c r="F45" s="7" t="s">
        <v>113</v>
      </c>
      <c r="G45" s="9"/>
    </row>
    <row r="46" customFormat="false" ht="15" hidden="false" customHeight="false" outlineLevel="0" collapsed="false">
      <c r="A46" s="7" t="s">
        <v>114</v>
      </c>
      <c r="B46" s="18" t="n">
        <f aca="false">B37</f>
        <v>50</v>
      </c>
      <c r="C46" s="23" t="n">
        <f aca="false">B46/B8</f>
        <v>0.0012765522875817</v>
      </c>
      <c r="D46" s="7" t="s">
        <v>115</v>
      </c>
      <c r="E46" s="7" t="s">
        <v>74</v>
      </c>
      <c r="F46" s="7" t="s">
        <v>116</v>
      </c>
      <c r="G46" s="9"/>
    </row>
    <row r="47" customFormat="false" ht="15" hidden="false" customHeight="false" outlineLevel="0" collapsed="false">
      <c r="A47" s="24" t="s">
        <v>117</v>
      </c>
      <c r="B47" s="25" t="n">
        <f aca="false">SUM(B43:B46)</f>
        <v>3156.27511404911</v>
      </c>
      <c r="C47" s="26" t="n">
        <f aca="false">B47/B8</f>
        <v>0.0805830043415316</v>
      </c>
      <c r="D47" s="27" t="s">
        <v>118</v>
      </c>
      <c r="E47" s="28"/>
      <c r="F47" s="28"/>
      <c r="G47" s="28"/>
    </row>
    <row r="48" customFormat="false" ht="15" hidden="false" customHeight="false" outlineLevel="0" collapsed="false">
      <c r="A48" s="24" t="s">
        <v>119</v>
      </c>
      <c r="B48" s="29" t="n">
        <f aca="false">B8-B47</f>
        <v>36011.7248859509</v>
      </c>
      <c r="C48" s="26" t="n">
        <f aca="false">B48/B8</f>
        <v>0.919416995658469</v>
      </c>
      <c r="D48" s="27" t="s">
        <v>120</v>
      </c>
      <c r="E48" s="27" t="s">
        <v>121</v>
      </c>
      <c r="F48" s="27" t="s">
        <v>122</v>
      </c>
      <c r="G48" s="28"/>
    </row>
    <row r="49" customFormat="false" ht="15" hidden="false" customHeight="false" outlineLevel="0" collapsed="false">
      <c r="A49" s="24" t="s">
        <v>123</v>
      </c>
      <c r="B49" s="25" t="n">
        <f aca="false">B48+B47</f>
        <v>39168</v>
      </c>
      <c r="C49" s="26" t="n">
        <f aca="false">B49/B8</f>
        <v>1</v>
      </c>
      <c r="D49" s="28"/>
      <c r="E49" s="28"/>
      <c r="F49" s="28"/>
      <c r="G49" s="28"/>
    </row>
    <row r="50" customFormat="false" ht="15" hidden="false" customHeight="false" outlineLevel="0" collapsed="false">
      <c r="A50" s="3" t="s">
        <v>124</v>
      </c>
      <c r="B50" s="30" t="n">
        <f aca="false">B8-B49</f>
        <v>0</v>
      </c>
      <c r="D50" s="3" t="s">
        <v>125</v>
      </c>
    </row>
    <row r="52" customFormat="false" ht="15" hidden="false" customHeight="false" outlineLevel="0" collapsed="false">
      <c r="A52" s="5" t="s">
        <v>126</v>
      </c>
      <c r="B52" s="5"/>
      <c r="C52" s="5"/>
      <c r="D52" s="5"/>
      <c r="E52" s="5"/>
      <c r="F52" s="5"/>
      <c r="G52" s="5"/>
    </row>
    <row r="53" customFormat="false" ht="15" hidden="false" customHeight="false" outlineLevel="0" collapsed="false">
      <c r="A53" s="31" t="s">
        <v>127</v>
      </c>
    </row>
    <row r="54" customFormat="false" ht="15" hidden="false" customHeight="false" outlineLevel="0" collapsed="false">
      <c r="A54" s="6" t="s">
        <v>128</v>
      </c>
      <c r="B54" s="6" t="s">
        <v>129</v>
      </c>
      <c r="C54" s="6" t="s">
        <v>130</v>
      </c>
      <c r="D54" s="6" t="s">
        <v>131</v>
      </c>
      <c r="E54" s="6" t="s">
        <v>132</v>
      </c>
      <c r="F54" s="6"/>
      <c r="G54" s="6" t="s">
        <v>10</v>
      </c>
    </row>
    <row r="55" customFormat="false" ht="15" hidden="false" customHeight="false" outlineLevel="0" collapsed="false">
      <c r="A55" s="32" t="s">
        <v>133</v>
      </c>
      <c r="B55" s="32" t="n">
        <v>1408.8</v>
      </c>
      <c r="C55" s="32" t="s">
        <v>134</v>
      </c>
      <c r="D55" s="33" t="n">
        <f aca="false">B55*2.20462/1000</f>
        <v>3.105868656</v>
      </c>
      <c r="E55" s="32" t="s">
        <v>135</v>
      </c>
      <c r="F55" s="9"/>
      <c r="G55" s="7" t="s">
        <v>136</v>
      </c>
    </row>
    <row r="56" customFormat="false" ht="15" hidden="false" customHeight="false" outlineLevel="0" collapsed="false">
      <c r="A56" s="32" t="s">
        <v>137</v>
      </c>
      <c r="B56" s="32" t="n">
        <v>292.68</v>
      </c>
      <c r="C56" s="32" t="s">
        <v>134</v>
      </c>
      <c r="D56" s="33" t="n">
        <f aca="false">B56*2.20462/1000</f>
        <v>0.6452481816</v>
      </c>
      <c r="E56" s="32" t="s">
        <v>138</v>
      </c>
      <c r="F56" s="9"/>
      <c r="G56" s="7" t="s">
        <v>136</v>
      </c>
    </row>
    <row r="57" customFormat="false" ht="15" hidden="false" customHeight="false" outlineLevel="0" collapsed="false">
      <c r="A57" s="32" t="s">
        <v>139</v>
      </c>
      <c r="B57" s="32" t="n">
        <v>1742.3</v>
      </c>
      <c r="C57" s="32" t="s">
        <v>134</v>
      </c>
      <c r="D57" s="33" t="n">
        <f aca="false">B57*2.20462/1000</f>
        <v>3.841109426</v>
      </c>
      <c r="E57" s="32" t="s">
        <v>140</v>
      </c>
      <c r="F57" s="9"/>
      <c r="G57" s="7" t="s">
        <v>136</v>
      </c>
    </row>
    <row r="58" customFormat="false" ht="15" hidden="false" customHeight="false" outlineLevel="0" collapsed="false">
      <c r="A58" s="32" t="s">
        <v>141</v>
      </c>
      <c r="B58" s="32" t="n">
        <v>1062.57</v>
      </c>
      <c r="C58" s="32" t="s">
        <v>134</v>
      </c>
      <c r="D58" s="33" t="n">
        <f aca="false">B58*2.20462/1000</f>
        <v>2.3425630734</v>
      </c>
      <c r="E58" s="32" t="s">
        <v>142</v>
      </c>
      <c r="F58" s="9"/>
      <c r="G58" s="7" t="s">
        <v>136</v>
      </c>
    </row>
    <row r="59" customFormat="false" ht="15" hidden="false" customHeight="false" outlineLevel="0" collapsed="false">
      <c r="A59" s="32" t="s">
        <v>143</v>
      </c>
      <c r="B59" s="32" t="n">
        <v>1686.16</v>
      </c>
      <c r="C59" s="32" t="s">
        <v>134</v>
      </c>
      <c r="D59" s="33" t="n">
        <f aca="false">B59*2.20462/1000</f>
        <v>3.7173420592</v>
      </c>
      <c r="E59" s="32" t="s">
        <v>144</v>
      </c>
      <c r="F59" s="9"/>
      <c r="G59" s="7" t="s">
        <v>136</v>
      </c>
    </row>
    <row r="60" customFormat="false" ht="15" hidden="false" customHeight="false" outlineLevel="0" collapsed="false">
      <c r="A60" s="32" t="s">
        <v>145</v>
      </c>
      <c r="B60" s="32" t="n">
        <v>0.96</v>
      </c>
      <c r="C60" s="32" t="s">
        <v>146</v>
      </c>
      <c r="D60" s="33" t="n">
        <f aca="false">B60</f>
        <v>0.96</v>
      </c>
      <c r="E60" s="32" t="s">
        <v>147</v>
      </c>
      <c r="F60" s="9"/>
      <c r="G60" s="7" t="s">
        <v>136</v>
      </c>
    </row>
    <row r="62" customFormat="false" ht="15" hidden="false" customHeight="false" outlineLevel="0" collapsed="false">
      <c r="A62" s="34" t="s">
        <v>148</v>
      </c>
    </row>
    <row r="63" customFormat="false" ht="15" hidden="false" customHeight="false" outlineLevel="0" collapsed="false">
      <c r="A63" s="6" t="s">
        <v>149</v>
      </c>
      <c r="B63" s="6" t="s">
        <v>6</v>
      </c>
      <c r="C63" s="6" t="s">
        <v>7</v>
      </c>
      <c r="D63" s="6" t="s">
        <v>150</v>
      </c>
      <c r="E63" s="6"/>
      <c r="F63" s="6"/>
      <c r="G63" s="6" t="s">
        <v>10</v>
      </c>
    </row>
    <row r="64" customFormat="false" ht="15" hidden="false" customHeight="false" outlineLevel="0" collapsed="false">
      <c r="A64" s="7" t="s">
        <v>151</v>
      </c>
      <c r="B64" s="11" t="n">
        <v>0.33</v>
      </c>
      <c r="C64" s="7" t="s">
        <v>146</v>
      </c>
      <c r="D64" s="7" t="s">
        <v>152</v>
      </c>
      <c r="E64" s="9"/>
      <c r="F64" s="9"/>
      <c r="G64" s="7" t="s">
        <v>153</v>
      </c>
    </row>
    <row r="65" customFormat="false" ht="15" hidden="false" customHeight="false" outlineLevel="0" collapsed="false">
      <c r="A65" s="7" t="s">
        <v>154</v>
      </c>
      <c r="B65" s="12" t="n">
        <f aca="false">1-B64</f>
        <v>0.67</v>
      </c>
      <c r="C65" s="7" t="s">
        <v>146</v>
      </c>
      <c r="D65" s="7" t="s">
        <v>155</v>
      </c>
      <c r="E65" s="9"/>
      <c r="F65" s="9"/>
      <c r="G65" s="9"/>
    </row>
    <row r="66" customFormat="false" ht="15" hidden="false" customHeight="false" outlineLevel="0" collapsed="false">
      <c r="A66" s="7" t="s">
        <v>156</v>
      </c>
      <c r="B66" s="11" t="n">
        <v>0.7</v>
      </c>
      <c r="C66" s="7" t="s">
        <v>146</v>
      </c>
      <c r="D66" s="7" t="s">
        <v>157</v>
      </c>
      <c r="E66" s="9"/>
      <c r="F66" s="9"/>
      <c r="G66" s="7" t="s">
        <v>158</v>
      </c>
    </row>
    <row r="67" customFormat="false" ht="15" hidden="false" customHeight="false" outlineLevel="0" collapsed="false">
      <c r="A67" s="7" t="s">
        <v>159</v>
      </c>
      <c r="B67" s="12" t="n">
        <f aca="false">1-B66</f>
        <v>0.3</v>
      </c>
      <c r="C67" s="7" t="s">
        <v>146</v>
      </c>
      <c r="D67" s="7" t="s">
        <v>160</v>
      </c>
      <c r="E67" s="9"/>
      <c r="F67" s="9"/>
      <c r="G67" s="9"/>
    </row>
    <row r="68" customFormat="false" ht="15" hidden="false" customHeight="false" outlineLevel="0" collapsed="false">
      <c r="A68" s="7" t="s">
        <v>161</v>
      </c>
      <c r="B68" s="14" t="n">
        <v>0.367</v>
      </c>
      <c r="C68" s="7" t="s">
        <v>162</v>
      </c>
      <c r="D68" s="7" t="s">
        <v>163</v>
      </c>
      <c r="E68" s="9"/>
      <c r="F68" s="9"/>
      <c r="G68" s="7" t="s">
        <v>164</v>
      </c>
    </row>
    <row r="69" customFormat="false" ht="15" hidden="false" customHeight="false" outlineLevel="0" collapsed="false">
      <c r="A69" s="7" t="s">
        <v>165</v>
      </c>
      <c r="B69" s="35" t="n">
        <f aca="false">B68*277.78/1000</f>
        <v>0.10194526</v>
      </c>
      <c r="C69" s="7" t="s">
        <v>166</v>
      </c>
      <c r="D69" s="7" t="s">
        <v>167</v>
      </c>
      <c r="E69" s="9"/>
      <c r="F69" s="9"/>
      <c r="G69" s="9"/>
    </row>
    <row r="71" customFormat="false" ht="15" hidden="false" customHeight="false" outlineLevel="0" collapsed="false">
      <c r="A71" s="34" t="s">
        <v>168</v>
      </c>
    </row>
    <row r="72" customFormat="false" ht="15" hidden="false" customHeight="false" outlineLevel="0" collapsed="false">
      <c r="A72" s="6" t="s">
        <v>99</v>
      </c>
      <c r="B72" s="6" t="s">
        <v>169</v>
      </c>
      <c r="C72" s="6" t="s">
        <v>170</v>
      </c>
      <c r="D72" s="6" t="s">
        <v>171</v>
      </c>
      <c r="E72" s="6" t="s">
        <v>172</v>
      </c>
      <c r="F72" s="6"/>
      <c r="G72" s="6"/>
    </row>
    <row r="73" customFormat="false" ht="15" hidden="false" customHeight="false" outlineLevel="0" collapsed="false">
      <c r="A73" s="7" t="s">
        <v>173</v>
      </c>
      <c r="B73" s="35" t="n">
        <f aca="false">B64*D55+B65*D56</f>
        <v>1.457252938152</v>
      </c>
      <c r="C73" s="7" t="s">
        <v>174</v>
      </c>
      <c r="D73" s="7" t="s">
        <v>175</v>
      </c>
      <c r="E73" s="9"/>
      <c r="F73" s="9"/>
      <c r="G73" s="9"/>
    </row>
    <row r="74" customFormat="false" ht="15" hidden="false" customHeight="false" outlineLevel="0" collapsed="false">
      <c r="A74" s="7" t="s">
        <v>176</v>
      </c>
      <c r="B74" s="36" t="n">
        <v>1.2</v>
      </c>
      <c r="C74" s="7" t="s">
        <v>177</v>
      </c>
      <c r="D74" s="7" t="s">
        <v>178</v>
      </c>
      <c r="E74" s="7" t="s">
        <v>179</v>
      </c>
      <c r="F74" s="9"/>
      <c r="G74" s="9"/>
    </row>
    <row r="75" customFormat="false" ht="15" hidden="false" customHeight="false" outlineLevel="0" collapsed="false">
      <c r="A75" s="7" t="s">
        <v>180</v>
      </c>
      <c r="B75" s="35" t="n">
        <f aca="false">B66*D57+B67*D58</f>
        <v>3.39154552022</v>
      </c>
      <c r="C75" s="7" t="s">
        <v>181</v>
      </c>
      <c r="D75" s="7" t="s">
        <v>182</v>
      </c>
      <c r="E75" s="9"/>
      <c r="F75" s="9"/>
      <c r="G75" s="9"/>
    </row>
    <row r="76" customFormat="false" ht="15" hidden="false" customHeight="false" outlineLevel="0" collapsed="false">
      <c r="A76" s="7" t="s">
        <v>183</v>
      </c>
      <c r="B76" s="36" t="n">
        <v>2.12</v>
      </c>
      <c r="C76" s="7" t="s">
        <v>184</v>
      </c>
      <c r="D76" s="7" t="s">
        <v>178</v>
      </c>
      <c r="E76" s="7" t="s">
        <v>179</v>
      </c>
      <c r="F76" s="9"/>
      <c r="G76" s="9"/>
    </row>
    <row r="77" customFormat="false" ht="15" hidden="false" customHeight="false" outlineLevel="0" collapsed="false">
      <c r="A77" s="7" t="s">
        <v>143</v>
      </c>
      <c r="B77" s="33" t="n">
        <f aca="false">D59</f>
        <v>3.7173420592</v>
      </c>
      <c r="C77" s="7" t="s">
        <v>185</v>
      </c>
      <c r="D77" s="7" t="s">
        <v>186</v>
      </c>
      <c r="E77" s="9"/>
      <c r="F77" s="9"/>
      <c r="G77" s="9"/>
    </row>
    <row r="78" customFormat="false" ht="15" hidden="false" customHeight="false" outlineLevel="0" collapsed="false">
      <c r="A78" s="7" t="s">
        <v>187</v>
      </c>
      <c r="B78" s="35" t="n">
        <f aca="false">B38*B69</f>
        <v>0.20389052</v>
      </c>
      <c r="C78" s="7" t="s">
        <v>188</v>
      </c>
      <c r="D78" s="7" t="s">
        <v>189</v>
      </c>
      <c r="E78" s="9"/>
      <c r="F78" s="9"/>
      <c r="G78" s="9"/>
    </row>
    <row r="80" customFormat="false" ht="15" hidden="false" customHeight="false" outlineLevel="0" collapsed="false">
      <c r="A80" s="5" t="s">
        <v>190</v>
      </c>
      <c r="B80" s="5"/>
      <c r="C80" s="5"/>
      <c r="D80" s="5"/>
      <c r="E80" s="5"/>
      <c r="F80" s="5"/>
      <c r="G80" s="5"/>
    </row>
    <row r="81" customFormat="false" ht="15" hidden="false" customHeight="false" outlineLevel="0" collapsed="false">
      <c r="A81" s="6" t="s">
        <v>99</v>
      </c>
      <c r="B81" s="6" t="s">
        <v>100</v>
      </c>
      <c r="C81" s="6" t="s">
        <v>169</v>
      </c>
      <c r="D81" s="6" t="s">
        <v>191</v>
      </c>
      <c r="E81" s="6" t="s">
        <v>192</v>
      </c>
      <c r="F81" s="6" t="s">
        <v>193</v>
      </c>
      <c r="G81" s="6"/>
    </row>
    <row r="82" customFormat="false" ht="15" hidden="false" customHeight="false" outlineLevel="0" collapsed="false">
      <c r="A82" s="7" t="s">
        <v>194</v>
      </c>
      <c r="B82" s="20" t="n">
        <f aca="false">B48</f>
        <v>36011.7248859509</v>
      </c>
      <c r="C82" s="35" t="n">
        <f aca="false">B73</f>
        <v>1.457252938152</v>
      </c>
      <c r="D82" s="37" t="n">
        <f aca="false">B82*C82</f>
        <v>52478.1918979734</v>
      </c>
      <c r="E82" s="15" t="n">
        <f aca="false">D82/1000</f>
        <v>52.4781918979734</v>
      </c>
      <c r="F82" s="23" t="n">
        <f aca="false">D82/D88</f>
        <v>0.804406258292476</v>
      </c>
      <c r="G82" s="9"/>
    </row>
    <row r="83" customFormat="false" ht="15" hidden="false" customHeight="false" outlineLevel="0" collapsed="false">
      <c r="A83" s="7" t="s">
        <v>195</v>
      </c>
      <c r="B83" s="20" t="n">
        <f aca="false">B43</f>
        <v>2654.31395791297</v>
      </c>
      <c r="C83" s="35" t="n">
        <f aca="false">B74</f>
        <v>1.2</v>
      </c>
      <c r="D83" s="37" t="n">
        <f aca="false">B83*C83</f>
        <v>3185.17674949556</v>
      </c>
      <c r="E83" s="15" t="n">
        <f aca="false">D83/1000</f>
        <v>3.18517674949556</v>
      </c>
      <c r="F83" s="23" t="n">
        <f aca="false">D83/D88</f>
        <v>0.0488236354644844</v>
      </c>
      <c r="G83" s="9"/>
    </row>
    <row r="84" customFormat="false" ht="15" hidden="false" customHeight="false" outlineLevel="0" collapsed="false">
      <c r="A84" s="7" t="s">
        <v>196</v>
      </c>
      <c r="B84" s="20" t="n">
        <f aca="false">B44</f>
        <v>350</v>
      </c>
      <c r="C84" s="35" t="n">
        <f aca="false">B75</f>
        <v>3.39154552022</v>
      </c>
      <c r="D84" s="37" t="n">
        <f aca="false">B84*C84</f>
        <v>1187.040932077</v>
      </c>
      <c r="E84" s="15" t="n">
        <f aca="false">D84/1000</f>
        <v>1.187040932077</v>
      </c>
      <c r="F84" s="23" t="n">
        <f aca="false">D84/D88</f>
        <v>0.0181954278544598</v>
      </c>
      <c r="G84" s="9"/>
    </row>
    <row r="85" customFormat="false" ht="15" hidden="false" customHeight="false" outlineLevel="0" collapsed="false">
      <c r="A85" s="7" t="s">
        <v>197</v>
      </c>
      <c r="B85" s="20" t="n">
        <f aca="false">B45</f>
        <v>101.961156136144</v>
      </c>
      <c r="C85" s="35" t="n">
        <f aca="false">B76</f>
        <v>2.12</v>
      </c>
      <c r="D85" s="37" t="n">
        <f aca="false">B85*C85</f>
        <v>216.157651008625</v>
      </c>
      <c r="E85" s="15" t="n">
        <f aca="false">D85/1000</f>
        <v>0.216157651008625</v>
      </c>
      <c r="F85" s="23" t="n">
        <f aca="false">D85/D88</f>
        <v>0.00331334904958593</v>
      </c>
      <c r="G85" s="9"/>
    </row>
    <row r="86" customFormat="false" ht="15" hidden="false" customHeight="false" outlineLevel="0" collapsed="false">
      <c r="A86" s="7" t="s">
        <v>198</v>
      </c>
      <c r="B86" s="20" t="n">
        <f aca="false">B46</f>
        <v>50</v>
      </c>
      <c r="C86" s="35" t="n">
        <f aca="false">B77</f>
        <v>3.7173420592</v>
      </c>
      <c r="D86" s="37" t="n">
        <f aca="false">B86*C86</f>
        <v>185.86710296</v>
      </c>
      <c r="E86" s="15" t="n">
        <f aca="false">D86/1000</f>
        <v>0.18586710296</v>
      </c>
      <c r="F86" s="23" t="n">
        <f aca="false">D86/D88</f>
        <v>0.002849043677465</v>
      </c>
      <c r="G86" s="9"/>
    </row>
    <row r="87" customFormat="false" ht="15" hidden="false" customHeight="false" outlineLevel="0" collapsed="false">
      <c r="A87" s="7" t="s">
        <v>199</v>
      </c>
      <c r="B87" s="20" t="n">
        <f aca="false">B8</f>
        <v>39168</v>
      </c>
      <c r="C87" s="35" t="n">
        <f aca="false">B78</f>
        <v>0.20389052</v>
      </c>
      <c r="D87" s="37" t="n">
        <f aca="false">B87*C87</f>
        <v>7985.98388736</v>
      </c>
      <c r="E87" s="15" t="n">
        <f aca="false">D87/1000</f>
        <v>7.98598388736</v>
      </c>
      <c r="F87" s="23" t="n">
        <f aca="false">D87/D88</f>
        <v>0.122412285661529</v>
      </c>
      <c r="G87" s="9"/>
    </row>
    <row r="88" customFormat="false" ht="15" hidden="false" customHeight="false" outlineLevel="0" collapsed="false">
      <c r="A88" s="24" t="s">
        <v>200</v>
      </c>
      <c r="B88" s="28"/>
      <c r="C88" s="28"/>
      <c r="D88" s="38" t="n">
        <f aca="false">SUM(D82:D87)</f>
        <v>65238.4182208746</v>
      </c>
      <c r="E88" s="39" t="n">
        <f aca="false">D88/1000</f>
        <v>65.2384182208746</v>
      </c>
      <c r="F88" s="28"/>
      <c r="G88" s="28"/>
    </row>
    <row r="90" customFormat="false" ht="15" hidden="false" customHeight="false" outlineLevel="0" collapsed="false">
      <c r="A90" s="5" t="s">
        <v>201</v>
      </c>
      <c r="B90" s="5"/>
      <c r="C90" s="5"/>
      <c r="D90" s="5"/>
      <c r="E90" s="5"/>
      <c r="F90" s="5"/>
      <c r="G90" s="5"/>
    </row>
    <row r="91" customFormat="false" ht="15" hidden="false" customHeight="false" outlineLevel="0" collapsed="false">
      <c r="A91" s="6" t="s">
        <v>5</v>
      </c>
      <c r="B91" s="6" t="s">
        <v>6</v>
      </c>
      <c r="C91" s="6" t="s">
        <v>7</v>
      </c>
      <c r="D91" s="6" t="s">
        <v>172</v>
      </c>
      <c r="E91" s="6"/>
      <c r="F91" s="6"/>
      <c r="G91" s="6"/>
    </row>
    <row r="92" customFormat="false" ht="35.05" hidden="false" customHeight="true" outlineLevel="0" collapsed="false">
      <c r="A92" s="7" t="s">
        <v>202</v>
      </c>
      <c r="B92" s="40" t="s">
        <v>203</v>
      </c>
      <c r="C92" s="9"/>
      <c r="D92" s="41" t="s">
        <v>204</v>
      </c>
      <c r="E92" s="41"/>
      <c r="F92" s="41"/>
      <c r="G92" s="41"/>
    </row>
    <row r="93" customFormat="false" ht="15" hidden="false" customHeight="false" outlineLevel="0" collapsed="false">
      <c r="A93" s="7" t="s">
        <v>205</v>
      </c>
      <c r="B93" s="15" t="n">
        <v>0</v>
      </c>
      <c r="C93" s="7" t="s">
        <v>206</v>
      </c>
      <c r="D93" s="7" t="s">
        <v>207</v>
      </c>
      <c r="E93" s="9"/>
      <c r="F93" s="9"/>
      <c r="G93" s="9"/>
    </row>
    <row r="94" customFormat="false" ht="15" hidden="false" customHeight="true" outlineLevel="0" collapsed="false">
      <c r="A94" s="7" t="s">
        <v>208</v>
      </c>
      <c r="B94" s="7" t="s">
        <v>209</v>
      </c>
      <c r="C94" s="9"/>
      <c r="D94" s="41" t="s">
        <v>210</v>
      </c>
      <c r="E94" s="41"/>
      <c r="F94" s="41"/>
      <c r="G94" s="41"/>
    </row>
    <row r="96" customFormat="false" ht="15" hidden="false" customHeight="false" outlineLevel="0" collapsed="false">
      <c r="A96" s="42" t="s">
        <v>211</v>
      </c>
      <c r="B96" s="43" t="n">
        <f aca="false">E88</f>
        <v>65.2384182208746</v>
      </c>
      <c r="C96" s="42" t="s">
        <v>206</v>
      </c>
      <c r="D96" s="44" t="s">
        <v>212</v>
      </c>
      <c r="E96" s="45"/>
      <c r="F96" s="45"/>
      <c r="G96" s="45"/>
    </row>
    <row r="97" customFormat="false" ht="15" hidden="false" customHeight="false" outlineLevel="0" collapsed="false">
      <c r="A97" s="44" t="s">
        <v>213</v>
      </c>
      <c r="B97" s="46" t="n">
        <f aca="false">E88</f>
        <v>65.2384182208746</v>
      </c>
      <c r="C97" s="47" t="s">
        <v>206</v>
      </c>
      <c r="D97" s="45"/>
      <c r="E97" s="45"/>
      <c r="F97" s="45"/>
      <c r="G97" s="45"/>
    </row>
    <row r="99" customFormat="false" ht="15" hidden="false" customHeight="false" outlineLevel="0" collapsed="false">
      <c r="A99" s="5" t="s">
        <v>214</v>
      </c>
      <c r="B99" s="5"/>
      <c r="C99" s="5"/>
      <c r="D99" s="5"/>
      <c r="E99" s="5"/>
      <c r="F99" s="5"/>
      <c r="G99" s="5"/>
    </row>
    <row r="100" customFormat="false" ht="15" hidden="false" customHeight="false" outlineLevel="0" collapsed="false">
      <c r="A100" s="6" t="s">
        <v>215</v>
      </c>
      <c r="B100" s="6" t="s">
        <v>6</v>
      </c>
      <c r="C100" s="6" t="s">
        <v>7</v>
      </c>
      <c r="D100" s="6" t="s">
        <v>172</v>
      </c>
      <c r="E100" s="6"/>
      <c r="F100" s="6"/>
      <c r="G100" s="6"/>
    </row>
    <row r="101" customFormat="false" ht="15" hidden="false" customHeight="false" outlineLevel="0" collapsed="false">
      <c r="A101" s="7" t="s">
        <v>216</v>
      </c>
      <c r="B101" s="48" t="n">
        <v>23.958</v>
      </c>
      <c r="C101" s="7" t="s">
        <v>206</v>
      </c>
      <c r="D101" s="7" t="s">
        <v>217</v>
      </c>
      <c r="E101" s="9"/>
      <c r="F101" s="9"/>
      <c r="G101" s="9"/>
    </row>
    <row r="102" customFormat="false" ht="15" hidden="false" customHeight="false" outlineLevel="0" collapsed="false">
      <c r="A102" s="7" t="s">
        <v>218</v>
      </c>
      <c r="B102" s="49" t="n">
        <v>14.34</v>
      </c>
      <c r="C102" s="7" t="s">
        <v>206</v>
      </c>
      <c r="D102" s="7" t="s">
        <v>219</v>
      </c>
      <c r="E102" s="9"/>
      <c r="F102" s="9"/>
      <c r="G102" s="9"/>
    </row>
    <row r="103" customFormat="false" ht="15" hidden="false" customHeight="false" outlineLevel="0" collapsed="false">
      <c r="A103" s="7" t="s">
        <v>220</v>
      </c>
      <c r="B103" s="49" t="n">
        <f aca="false">B96</f>
        <v>65.2384182208746</v>
      </c>
      <c r="C103" s="7" t="s">
        <v>206</v>
      </c>
      <c r="D103" s="7" t="s">
        <v>221</v>
      </c>
      <c r="E103" s="9"/>
      <c r="F103" s="9"/>
      <c r="G103" s="9"/>
    </row>
    <row r="104" customFormat="false" ht="15" hidden="false" customHeight="false" outlineLevel="0" collapsed="false">
      <c r="A104" s="7" t="s">
        <v>222</v>
      </c>
      <c r="B104" s="48" t="n">
        <f aca="false">B96-B101</f>
        <v>41.2804182208746</v>
      </c>
      <c r="C104" s="7" t="s">
        <v>206</v>
      </c>
      <c r="D104" s="9"/>
      <c r="E104" s="9"/>
      <c r="F104" s="9"/>
      <c r="G104" s="9"/>
    </row>
    <row r="106" customFormat="false" ht="15" hidden="false" customHeight="false" outlineLevel="0" collapsed="false">
      <c r="A106" s="5" t="s">
        <v>223</v>
      </c>
      <c r="B106" s="5"/>
      <c r="C106" s="5"/>
      <c r="D106" s="5"/>
      <c r="E106" s="5"/>
      <c r="F106" s="5"/>
      <c r="G106" s="5"/>
    </row>
    <row r="107" customFormat="false" ht="22.35" hidden="false" customHeight="true" outlineLevel="0" collapsed="false">
      <c r="A107" s="50" t="s">
        <v>224</v>
      </c>
      <c r="B107" s="50"/>
      <c r="C107" s="50"/>
      <c r="D107" s="50"/>
      <c r="E107" s="50"/>
      <c r="F107" s="50"/>
      <c r="G107" s="50"/>
    </row>
    <row r="108" customFormat="false" ht="22.35" hidden="false" customHeight="true" outlineLevel="0" collapsed="false">
      <c r="A108" s="50" t="s">
        <v>225</v>
      </c>
      <c r="B108" s="50"/>
      <c r="C108" s="50"/>
      <c r="D108" s="50"/>
      <c r="E108" s="50"/>
      <c r="F108" s="50"/>
      <c r="G108" s="50"/>
    </row>
    <row r="109" customFormat="false" ht="22.35" hidden="false" customHeight="true" outlineLevel="0" collapsed="false">
      <c r="A109" s="50" t="s">
        <v>226</v>
      </c>
      <c r="B109" s="50"/>
      <c r="C109" s="50"/>
      <c r="D109" s="50"/>
      <c r="E109" s="50"/>
      <c r="F109" s="50"/>
      <c r="G109" s="50"/>
    </row>
    <row r="110" customFormat="false" ht="15" hidden="false" customHeight="true" outlineLevel="0" collapsed="false">
      <c r="A110" s="50" t="s">
        <v>227</v>
      </c>
      <c r="B110" s="50"/>
      <c r="C110" s="50"/>
      <c r="D110" s="50"/>
      <c r="E110" s="50"/>
      <c r="F110" s="50"/>
      <c r="G110" s="50"/>
    </row>
    <row r="111" customFormat="false" ht="15" hidden="false" customHeight="true" outlineLevel="0" collapsed="false">
      <c r="A111" s="50" t="s">
        <v>228</v>
      </c>
      <c r="B111" s="50"/>
      <c r="C111" s="50"/>
      <c r="D111" s="50"/>
      <c r="E111" s="50"/>
      <c r="F111" s="50"/>
      <c r="G111" s="50"/>
    </row>
    <row r="112" customFormat="false" ht="22.35" hidden="false" customHeight="true" outlineLevel="0" collapsed="false">
      <c r="A112" s="50" t="s">
        <v>229</v>
      </c>
      <c r="B112" s="50"/>
      <c r="C112" s="50"/>
      <c r="D112" s="50"/>
      <c r="E112" s="50"/>
      <c r="F112" s="50"/>
      <c r="G112" s="50"/>
    </row>
    <row r="113" customFormat="false" ht="15" hidden="false" customHeight="true" outlineLevel="0" collapsed="false">
      <c r="A113" s="50" t="s">
        <v>230</v>
      </c>
      <c r="B113" s="50"/>
      <c r="C113" s="50"/>
      <c r="D113" s="50"/>
      <c r="E113" s="50"/>
      <c r="F113" s="50"/>
      <c r="G113" s="50"/>
    </row>
    <row r="114" customFormat="false" ht="22.35" hidden="false" customHeight="true" outlineLevel="0" collapsed="false">
      <c r="A114" s="50" t="s">
        <v>231</v>
      </c>
      <c r="B114" s="50"/>
      <c r="C114" s="50"/>
      <c r="D114" s="50"/>
      <c r="E114" s="50"/>
      <c r="F114" s="50"/>
      <c r="G114" s="50"/>
    </row>
    <row r="115" customFormat="false" ht="15" hidden="false" customHeight="true" outlineLevel="0" collapsed="false">
      <c r="A115" s="50" t="s">
        <v>232</v>
      </c>
      <c r="B115" s="50"/>
      <c r="C115" s="50"/>
      <c r="D115" s="50"/>
      <c r="E115" s="50"/>
      <c r="F115" s="50"/>
      <c r="G115" s="50"/>
    </row>
    <row r="116" customFormat="false" ht="15" hidden="false" customHeight="true" outlineLevel="0" collapsed="false">
      <c r="A116" s="50" t="s">
        <v>233</v>
      </c>
      <c r="B116" s="50"/>
      <c r="C116" s="50"/>
      <c r="D116" s="50"/>
      <c r="E116" s="50"/>
      <c r="F116" s="50"/>
      <c r="G116" s="50"/>
    </row>
    <row r="117" customFormat="false" ht="22.35" hidden="false" customHeight="true" outlineLevel="0" collapsed="false">
      <c r="A117" s="50" t="s">
        <v>234</v>
      </c>
      <c r="B117" s="50"/>
      <c r="C117" s="50"/>
      <c r="D117" s="50"/>
      <c r="E117" s="50"/>
      <c r="F117" s="50"/>
      <c r="G117" s="50"/>
    </row>
    <row r="118" customFormat="false" ht="15" hidden="false" customHeight="true" outlineLevel="0" collapsed="false">
      <c r="A118" s="50" t="s">
        <v>235</v>
      </c>
      <c r="B118" s="50"/>
      <c r="C118" s="50"/>
      <c r="D118" s="50"/>
      <c r="E118" s="50"/>
      <c r="F118" s="50"/>
      <c r="G118" s="50"/>
    </row>
    <row r="120" customFormat="false" ht="15" hidden="false" customHeight="false" outlineLevel="0" collapsed="false">
      <c r="A120" s="5" t="s">
        <v>236</v>
      </c>
      <c r="B120" s="5"/>
      <c r="C120" s="5"/>
      <c r="D120" s="5"/>
      <c r="E120" s="5"/>
      <c r="F120" s="5"/>
      <c r="G120" s="5"/>
    </row>
    <row r="121" customFormat="false" ht="15" hidden="false" customHeight="false" outlineLevel="0" collapsed="false">
      <c r="A121" s="7" t="s">
        <v>237</v>
      </c>
      <c r="B121" s="9"/>
      <c r="C121" s="9"/>
      <c r="D121" s="9"/>
      <c r="E121" s="9"/>
      <c r="F121" s="9"/>
      <c r="G121" s="7" t="s">
        <v>136</v>
      </c>
    </row>
    <row r="122" customFormat="false" ht="15" hidden="false" customHeight="false" outlineLevel="0" collapsed="false">
      <c r="A122" s="7" t="s">
        <v>238</v>
      </c>
      <c r="B122" s="9"/>
      <c r="C122" s="9"/>
      <c r="D122" s="9"/>
      <c r="E122" s="9"/>
      <c r="F122" s="9"/>
      <c r="G122" s="7" t="s">
        <v>164</v>
      </c>
    </row>
    <row r="123" customFormat="false" ht="15" hidden="false" customHeight="false" outlineLevel="0" collapsed="false">
      <c r="A123" s="7" t="s">
        <v>239</v>
      </c>
      <c r="B123" s="9"/>
      <c r="C123" s="9"/>
      <c r="D123" s="9"/>
      <c r="E123" s="9"/>
      <c r="F123" s="9"/>
      <c r="G123" s="7" t="s">
        <v>15</v>
      </c>
    </row>
    <row r="124" customFormat="false" ht="15" hidden="false" customHeight="false" outlineLevel="0" collapsed="false">
      <c r="A124" s="7" t="s">
        <v>240</v>
      </c>
      <c r="B124" s="9"/>
      <c r="C124" s="9"/>
      <c r="D124" s="9"/>
      <c r="E124" s="9"/>
      <c r="F124" s="9"/>
      <c r="G124" s="7" t="s">
        <v>23</v>
      </c>
    </row>
    <row r="125" customFormat="false" ht="15" hidden="false" customHeight="false" outlineLevel="0" collapsed="false">
      <c r="A125" s="7" t="s">
        <v>241</v>
      </c>
      <c r="B125" s="9"/>
      <c r="C125" s="9"/>
      <c r="D125" s="9"/>
      <c r="E125" s="9"/>
      <c r="F125" s="9"/>
      <c r="G125" s="7" t="s">
        <v>64</v>
      </c>
    </row>
    <row r="126" customFormat="false" ht="15" hidden="false" customHeight="false" outlineLevel="0" collapsed="false">
      <c r="A126" s="7" t="s">
        <v>242</v>
      </c>
      <c r="B126" s="9"/>
      <c r="C126" s="9"/>
      <c r="D126" s="9"/>
      <c r="E126" s="9"/>
      <c r="F126" s="9"/>
      <c r="G126" s="7" t="s">
        <v>153</v>
      </c>
    </row>
    <row r="127" customFormat="false" ht="15" hidden="false" customHeight="false" outlineLevel="0" collapsed="false">
      <c r="A127" s="7" t="s">
        <v>243</v>
      </c>
      <c r="B127" s="9"/>
      <c r="C127" s="9"/>
      <c r="D127" s="9"/>
      <c r="E127" s="9"/>
      <c r="F127" s="9"/>
      <c r="G127" s="7" t="s">
        <v>158</v>
      </c>
    </row>
    <row r="128" customFormat="false" ht="15" hidden="false" customHeight="false" outlineLevel="0" collapsed="false">
      <c r="A128" s="7" t="s">
        <v>244</v>
      </c>
      <c r="B128" s="9"/>
      <c r="C128" s="9"/>
      <c r="D128" s="9"/>
      <c r="E128" s="9"/>
      <c r="F128" s="9"/>
      <c r="G128" s="7" t="s">
        <v>179</v>
      </c>
    </row>
    <row r="129" customFormat="false" ht="15" hidden="false" customHeight="false" outlineLevel="0" collapsed="false">
      <c r="A129" s="7" t="s">
        <v>245</v>
      </c>
      <c r="B129" s="9"/>
      <c r="C129" s="9"/>
      <c r="D129" s="9"/>
      <c r="E129" s="9"/>
      <c r="F129" s="9"/>
      <c r="G129" s="7" t="s">
        <v>246</v>
      </c>
    </row>
    <row r="130" customFormat="false" ht="15" hidden="false" customHeight="false" outlineLevel="0" collapsed="false">
      <c r="A130" s="7" t="s">
        <v>247</v>
      </c>
      <c r="B130" s="9"/>
      <c r="C130" s="9"/>
      <c r="D130" s="9"/>
      <c r="E130" s="9"/>
      <c r="F130" s="9"/>
      <c r="G130" s="7" t="s">
        <v>60</v>
      </c>
    </row>
    <row r="131" customFormat="false" ht="15" hidden="false" customHeight="false" outlineLevel="0" collapsed="false">
      <c r="A131" s="7" t="s">
        <v>248</v>
      </c>
      <c r="B131" s="9"/>
      <c r="C131" s="9"/>
      <c r="D131" s="9"/>
      <c r="E131" s="9"/>
      <c r="F131" s="9"/>
      <c r="G131" s="7" t="s">
        <v>75</v>
      </c>
    </row>
    <row r="132" customFormat="false" ht="15" hidden="false" customHeight="false" outlineLevel="0" collapsed="false">
      <c r="A132" s="7" t="s">
        <v>249</v>
      </c>
      <c r="B132" s="9"/>
      <c r="C132" s="9"/>
      <c r="D132" s="9"/>
      <c r="E132" s="9"/>
      <c r="F132" s="9"/>
      <c r="G132" s="7" t="s">
        <v>71</v>
      </c>
    </row>
    <row r="133" customFormat="false" ht="15" hidden="false" customHeight="false" outlineLevel="0" collapsed="false">
      <c r="A133" s="7" t="s">
        <v>250</v>
      </c>
      <c r="B133" s="9"/>
      <c r="C133" s="9"/>
      <c r="D133" s="9"/>
      <c r="E133" s="9"/>
      <c r="F133" s="9"/>
      <c r="G133" s="7" t="s">
        <v>96</v>
      </c>
    </row>
    <row r="134" customFormat="false" ht="15" hidden="false" customHeight="false" outlineLevel="0" collapsed="false">
      <c r="A134" s="7" t="s">
        <v>251</v>
      </c>
      <c r="B134" s="9"/>
      <c r="C134" s="9"/>
      <c r="D134" s="9"/>
      <c r="E134" s="9"/>
      <c r="F134" s="9"/>
      <c r="G134" s="7" t="s">
        <v>252</v>
      </c>
    </row>
  </sheetData>
  <mergeCells count="15">
    <mergeCell ref="A41:G41"/>
    <mergeCell ref="D92:G92"/>
    <mergeCell ref="D94:G94"/>
    <mergeCell ref="A107:G107"/>
    <mergeCell ref="A108:G108"/>
    <mergeCell ref="A109:G109"/>
    <mergeCell ref="A110:G110"/>
    <mergeCell ref="A111:G111"/>
    <mergeCell ref="A112:G112"/>
    <mergeCell ref="A113:G113"/>
    <mergeCell ref="A114:G114"/>
    <mergeCell ref="A115:G115"/>
    <mergeCell ref="A116:G116"/>
    <mergeCell ref="A117:G117"/>
    <mergeCell ref="A118:G1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2026-04-09T18:21:38Z</dcterms:created>
  <dc:creator>openpyxl</dc:creator>
  <dc:description/>
  <dc:language>en-US</dc:language>
  <cp:lastModifiedBy/>
  <dcterms:modified xsi:type="dcterms:W3CDTF">2026-04-09T18:21:38Z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