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Invento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0" customWidth="1" min="4" max="4"/>
    <col width="16" customWidth="1" min="5" max="5"/>
    <col width="10" customWidth="1" min="6" max="6"/>
    <col width="22" customWidth="1" min="7" max="7"/>
    <col width="12" customWidth="1" min="8" max="8"/>
    <col width="14" customWidth="1" min="9" max="9"/>
    <col width="16" customWidth="1" min="10" max="10"/>
    <col width="12" customWidth="1" min="11" max="11"/>
    <col width="20" customWidth="1" min="12" max="12"/>
  </cols>
  <sheetData>
    <row r="1">
      <c r="A1" t="inlineStr">
        <is>
          <t>itag_code</t>
        </is>
      </c>
      <c r="B1" t="inlineStr">
        <is>
          <t>security_tag</t>
        </is>
      </c>
      <c r="C1" t="inlineStr">
        <is>
          <t>container</t>
        </is>
      </c>
      <c r="D1" t="inlineStr">
        <is>
          <t>mass_kg</t>
        </is>
      </c>
      <c r="E1" t="inlineStr">
        <is>
          <t>inventory_status</t>
        </is>
      </c>
      <c r="F1" t="inlineStr">
        <is>
          <t>location</t>
        </is>
      </c>
      <c r="G1" t="inlineStr">
        <is>
          <t>shipping_order_number</t>
        </is>
      </c>
      <c r="H1" t="inlineStr">
        <is>
          <t>shipped_on</t>
        </is>
      </c>
      <c r="I1" t="inlineStr">
        <is>
          <t>production_date</t>
        </is>
      </c>
      <c r="J1" t="inlineStr">
        <is>
          <t>production_period</t>
        </is>
      </c>
      <c r="K1" t="inlineStr">
        <is>
          <t>pedigree</t>
        </is>
      </c>
      <c r="L1" t="inlineStr">
        <is>
          <t>inventory_status_code</t>
        </is>
      </c>
    </row>
    <row r="2">
      <c r="A2" t="inlineStr">
        <is>
          <t>CHARM10002181</t>
        </is>
      </c>
      <c r="B2" t="n">
        <v>40283</v>
      </c>
      <c r="C2" t="inlineStr">
        <is>
          <t>CHARM10001977</t>
        </is>
      </c>
      <c r="D2" t="n">
        <v>180</v>
      </c>
      <c r="E2" t="inlineStr">
        <is>
          <t>In Inventory</t>
        </is>
      </c>
      <c r="F2" t="inlineStr">
        <is>
          <t>Bio Char Storage</t>
        </is>
      </c>
      <c r="I2" s="1" t="n">
        <v>45561</v>
      </c>
      <c r="J2" t="n">
        <v>2409</v>
      </c>
      <c r="L2" t="inlineStr">
        <is>
          <t>AVAILABLE</t>
        </is>
      </c>
    </row>
    <row r="3">
      <c r="A3" t="inlineStr">
        <is>
          <t>CHARM10002182</t>
        </is>
      </c>
      <c r="B3" t="n">
        <v>40282</v>
      </c>
      <c r="C3" t="inlineStr">
        <is>
          <t>CHARM10001978</t>
        </is>
      </c>
      <c r="D3" t="n">
        <v>187</v>
      </c>
      <c r="E3" t="inlineStr">
        <is>
          <t>In Inventory</t>
        </is>
      </c>
      <c r="F3" t="inlineStr">
        <is>
          <t>Bio Char Storage</t>
        </is>
      </c>
      <c r="I3" s="1" t="n">
        <v>45561</v>
      </c>
      <c r="J3" t="n">
        <v>2409</v>
      </c>
      <c r="L3" t="inlineStr">
        <is>
          <t>AVAILABLE</t>
        </is>
      </c>
    </row>
    <row r="4">
      <c r="A4" t="inlineStr">
        <is>
          <t>CHARM10002183</t>
        </is>
      </c>
      <c r="B4" t="n">
        <v>40297</v>
      </c>
      <c r="C4" t="inlineStr">
        <is>
          <t>CHARM10001979</t>
        </is>
      </c>
      <c r="D4" t="n">
        <v>110</v>
      </c>
      <c r="E4" t="inlineStr">
        <is>
          <t>In Inventory</t>
        </is>
      </c>
      <c r="F4" t="inlineStr">
        <is>
          <t>Bio Char Storage</t>
        </is>
      </c>
      <c r="I4" s="1" t="n">
        <v>45565</v>
      </c>
      <c r="J4" t="n">
        <v>2409</v>
      </c>
      <c r="L4" t="inlineStr">
        <is>
          <t>AVAILABLE</t>
        </is>
      </c>
    </row>
    <row r="5">
      <c r="A5" t="inlineStr">
        <is>
          <t>CHARM10002184</t>
        </is>
      </c>
      <c r="B5" t="n">
        <v>40259</v>
      </c>
      <c r="C5" t="inlineStr">
        <is>
          <t>CHARM10001980</t>
        </is>
      </c>
      <c r="D5" t="n">
        <v>115</v>
      </c>
      <c r="E5" t="inlineStr">
        <is>
          <t>In Inventory</t>
        </is>
      </c>
      <c r="F5" t="inlineStr">
        <is>
          <t>Bio Char Storage</t>
        </is>
      </c>
      <c r="I5" s="1" t="n">
        <v>45565</v>
      </c>
      <c r="J5" t="n">
        <v>2409</v>
      </c>
      <c r="L5" t="inlineStr">
        <is>
          <t>AVAILABLE</t>
        </is>
      </c>
    </row>
    <row r="6">
      <c r="A6" t="inlineStr">
        <is>
          <t>CHARM10002595</t>
        </is>
      </c>
      <c r="B6" t="n">
        <v>557773</v>
      </c>
      <c r="C6" t="inlineStr">
        <is>
          <t>CHARM10002594</t>
        </is>
      </c>
      <c r="D6" t="n">
        <v>135</v>
      </c>
      <c r="E6" t="inlineStr">
        <is>
          <t>In Inventory</t>
        </is>
      </c>
      <c r="F6" t="inlineStr">
        <is>
          <t>Bio Char Storage</t>
        </is>
      </c>
      <c r="I6" s="1" t="n">
        <v>45567</v>
      </c>
      <c r="J6" t="n">
        <v>2410</v>
      </c>
      <c r="L6" t="inlineStr">
        <is>
          <t>AVAILABLE</t>
        </is>
      </c>
    </row>
    <row r="7">
      <c r="A7" t="inlineStr">
        <is>
          <t>CHARM10002604</t>
        </is>
      </c>
      <c r="B7" t="n">
        <v>557772</v>
      </c>
      <c r="C7" t="inlineStr">
        <is>
          <t>CHARM10002596</t>
        </is>
      </c>
      <c r="D7" t="n">
        <v>153</v>
      </c>
      <c r="E7" t="inlineStr">
        <is>
          <t>In Inventory</t>
        </is>
      </c>
      <c r="F7" t="inlineStr">
        <is>
          <t>Bio Char Storage</t>
        </is>
      </c>
      <c r="I7" s="1" t="n">
        <v>45567</v>
      </c>
      <c r="J7" t="n">
        <v>2410</v>
      </c>
      <c r="L7" t="inlineStr">
        <is>
          <t>AVAILABLE</t>
        </is>
      </c>
    </row>
    <row r="8">
      <c r="A8" t="inlineStr">
        <is>
          <t>CHARM10002605</t>
        </is>
      </c>
      <c r="B8" t="n">
        <v>557716</v>
      </c>
      <c r="C8" t="inlineStr">
        <is>
          <t>CHARM10002597</t>
        </is>
      </c>
      <c r="D8" t="n">
        <v>138.5</v>
      </c>
      <c r="E8" t="inlineStr">
        <is>
          <t>In Inventory</t>
        </is>
      </c>
      <c r="F8" t="inlineStr">
        <is>
          <t>Bio Char Storage</t>
        </is>
      </c>
      <c r="I8" s="1" t="n">
        <v>45568</v>
      </c>
      <c r="J8" t="n">
        <v>2410</v>
      </c>
      <c r="L8" t="inlineStr">
        <is>
          <t>AVAILABLE</t>
        </is>
      </c>
    </row>
    <row r="9">
      <c r="A9" t="inlineStr">
        <is>
          <t>CHARM10002606</t>
        </is>
      </c>
      <c r="B9" t="n">
        <v>557722</v>
      </c>
      <c r="C9" t="inlineStr">
        <is>
          <t>CHARM10002598</t>
        </is>
      </c>
      <c r="D9" t="n">
        <v>145.5</v>
      </c>
      <c r="E9" t="inlineStr">
        <is>
          <t>In Inventory</t>
        </is>
      </c>
      <c r="F9" t="inlineStr">
        <is>
          <t>Bio Char Storage</t>
        </is>
      </c>
      <c r="I9" s="1" t="n">
        <v>45568</v>
      </c>
      <c r="J9" t="n">
        <v>2410</v>
      </c>
      <c r="L9" t="inlineStr">
        <is>
          <t>AVAILABLE</t>
        </is>
      </c>
    </row>
    <row r="10">
      <c r="A10" t="inlineStr">
        <is>
          <t>CHARM10002608</t>
        </is>
      </c>
      <c r="B10" t="n">
        <v>557706</v>
      </c>
      <c r="C10" t="inlineStr">
        <is>
          <t>CHARM10002600</t>
        </is>
      </c>
      <c r="D10" t="n">
        <v>137</v>
      </c>
      <c r="E10" t="inlineStr">
        <is>
          <t>In Inventory</t>
        </is>
      </c>
      <c r="F10" t="inlineStr">
        <is>
          <t>Bio Char Storage</t>
        </is>
      </c>
      <c r="I10" s="1" t="n">
        <v>45573</v>
      </c>
      <c r="J10" t="n">
        <v>2410</v>
      </c>
      <c r="L10" t="inlineStr">
        <is>
          <t>AVAILABLE</t>
        </is>
      </c>
    </row>
    <row r="11">
      <c r="A11" t="inlineStr">
        <is>
          <t>CHARM10002609</t>
        </is>
      </c>
      <c r="B11" t="n">
        <v>557711</v>
      </c>
      <c r="C11" t="inlineStr">
        <is>
          <t>CHARM10002601</t>
        </is>
      </c>
      <c r="D11" t="n">
        <v>103</v>
      </c>
      <c r="E11" t="inlineStr">
        <is>
          <t>In Inventory</t>
        </is>
      </c>
      <c r="F11" t="inlineStr">
        <is>
          <t>Bio Char Storage</t>
        </is>
      </c>
      <c r="I11" s="1" t="n">
        <v>45573</v>
      </c>
      <c r="J11" t="n">
        <v>2410</v>
      </c>
      <c r="L11" t="inlineStr">
        <is>
          <t>AVAILABLE</t>
        </is>
      </c>
    </row>
    <row r="12">
      <c r="A12" t="inlineStr">
        <is>
          <t>CHARM10002611</t>
        </is>
      </c>
      <c r="B12" t="n">
        <v>557634</v>
      </c>
      <c r="C12" t="inlineStr">
        <is>
          <t>CHARM10002603</t>
        </is>
      </c>
      <c r="D12" t="n">
        <v>193.5</v>
      </c>
      <c r="E12" t="inlineStr">
        <is>
          <t>In Inventory</t>
        </is>
      </c>
      <c r="F12" t="inlineStr">
        <is>
          <t>Bio Char Storage</t>
        </is>
      </c>
      <c r="I12" s="1" t="n">
        <v>45573</v>
      </c>
      <c r="J12" t="n">
        <v>2410</v>
      </c>
      <c r="L12" t="inlineStr">
        <is>
          <t>AVAILABLE</t>
        </is>
      </c>
    </row>
    <row r="13">
      <c r="A13" t="inlineStr">
        <is>
          <t>CHARM10002187</t>
        </is>
      </c>
      <c r="B13" t="n">
        <v>40222</v>
      </c>
      <c r="C13" t="inlineStr">
        <is>
          <t>CHARM10001983</t>
        </is>
      </c>
      <c r="D13" t="n">
        <v>147</v>
      </c>
      <c r="E13" t="inlineStr">
        <is>
          <t>In Inventory</t>
        </is>
      </c>
      <c r="F13" t="inlineStr">
        <is>
          <t>Bio Char Storage</t>
        </is>
      </c>
      <c r="I13" s="1" t="n">
        <v>45575</v>
      </c>
      <c r="J13" t="n">
        <v>2410</v>
      </c>
      <c r="L13" t="inlineStr">
        <is>
          <t>AVAILABLE</t>
        </is>
      </c>
    </row>
    <row r="14">
      <c r="A14" t="inlineStr">
        <is>
          <t>CHARM10002188</t>
        </is>
      </c>
      <c r="B14" t="n">
        <v>40234</v>
      </c>
      <c r="C14" t="inlineStr">
        <is>
          <t>CHARM10001984</t>
        </is>
      </c>
      <c r="D14" t="n">
        <v>147</v>
      </c>
      <c r="E14" t="inlineStr">
        <is>
          <t>In Inventory</t>
        </is>
      </c>
      <c r="F14" t="inlineStr">
        <is>
          <t>Bio Char Storage</t>
        </is>
      </c>
      <c r="I14" s="1" t="n">
        <v>45575</v>
      </c>
      <c r="J14" t="n">
        <v>2410</v>
      </c>
      <c r="L14" t="inlineStr">
        <is>
          <t>AVAILABLE</t>
        </is>
      </c>
    </row>
    <row r="15">
      <c r="A15" t="inlineStr">
        <is>
          <t>CHARM10002189</t>
        </is>
      </c>
      <c r="B15" t="n">
        <v>40277</v>
      </c>
      <c r="C15" t="inlineStr">
        <is>
          <t>CHARM10001985</t>
        </is>
      </c>
      <c r="D15" t="n">
        <v>157</v>
      </c>
      <c r="E15" t="inlineStr">
        <is>
          <t>In Inventory</t>
        </is>
      </c>
      <c r="F15" t="inlineStr">
        <is>
          <t>Bio Char Storage</t>
        </is>
      </c>
      <c r="I15" s="1" t="n">
        <v>45575</v>
      </c>
      <c r="J15" t="n">
        <v>2410</v>
      </c>
      <c r="L15" t="inlineStr">
        <is>
          <t>AVAILABLE</t>
        </is>
      </c>
    </row>
    <row r="16">
      <c r="A16" t="inlineStr">
        <is>
          <t>CHARM10002190</t>
        </is>
      </c>
      <c r="B16" t="n">
        <v>40292</v>
      </c>
      <c r="C16" t="inlineStr">
        <is>
          <t>CHARM10001986</t>
        </is>
      </c>
      <c r="D16" t="n">
        <v>147</v>
      </c>
      <c r="E16" t="inlineStr">
        <is>
          <t>In Inventory</t>
        </is>
      </c>
      <c r="F16" t="inlineStr">
        <is>
          <t>Bio Char Storage</t>
        </is>
      </c>
      <c r="I16" s="1" t="n">
        <v>45575</v>
      </c>
      <c r="J16" t="n">
        <v>2410</v>
      </c>
      <c r="L16" t="inlineStr">
        <is>
          <t>AVAILABLE</t>
        </is>
      </c>
    </row>
    <row r="17">
      <c r="A17" t="inlineStr">
        <is>
          <t>CHARM10002191</t>
        </is>
      </c>
      <c r="B17" t="n">
        <v>40264</v>
      </c>
      <c r="C17" t="inlineStr">
        <is>
          <t>CHARM10001987</t>
        </is>
      </c>
      <c r="D17" t="n">
        <v>153</v>
      </c>
      <c r="E17" t="inlineStr">
        <is>
          <t>In Inventory</t>
        </is>
      </c>
      <c r="F17" t="inlineStr">
        <is>
          <t>Bio Char Storage</t>
        </is>
      </c>
      <c r="I17" s="1" t="n">
        <v>45575</v>
      </c>
      <c r="J17" t="n">
        <v>2410</v>
      </c>
      <c r="L17" t="inlineStr">
        <is>
          <t>AVAILABLE</t>
        </is>
      </c>
    </row>
    <row r="18">
      <c r="A18" t="inlineStr">
        <is>
          <t>CHARM10002192</t>
        </is>
      </c>
      <c r="B18" t="n">
        <v>40252</v>
      </c>
      <c r="C18" t="inlineStr">
        <is>
          <t>CHARM10001988</t>
        </is>
      </c>
      <c r="D18" t="n">
        <v>156</v>
      </c>
      <c r="E18" t="inlineStr">
        <is>
          <t>In Inventory</t>
        </is>
      </c>
      <c r="F18" t="inlineStr">
        <is>
          <t>Bio Char Storage</t>
        </is>
      </c>
      <c r="I18" s="1" t="n">
        <v>45577</v>
      </c>
      <c r="J18" t="n">
        <v>2410</v>
      </c>
      <c r="L18" t="inlineStr">
        <is>
          <t>AVAILABLE</t>
        </is>
      </c>
    </row>
    <row r="19">
      <c r="A19" t="inlineStr">
        <is>
          <t>CHARM10002193</t>
        </is>
      </c>
      <c r="B19" t="n">
        <v>40227</v>
      </c>
      <c r="C19" t="inlineStr">
        <is>
          <t>CHARM10001989</t>
        </is>
      </c>
      <c r="D19" t="n">
        <v>234</v>
      </c>
      <c r="E19" t="inlineStr">
        <is>
          <t>In Inventory</t>
        </is>
      </c>
      <c r="F19" t="inlineStr">
        <is>
          <t>Bio Char Storage</t>
        </is>
      </c>
      <c r="I19" s="1" t="n">
        <v>45579</v>
      </c>
      <c r="J19" t="n">
        <v>2410</v>
      </c>
      <c r="L19" t="inlineStr">
        <is>
          <t>AVAILABLE</t>
        </is>
      </c>
    </row>
    <row r="20">
      <c r="A20" t="inlineStr">
        <is>
          <t>CHARM10002194</t>
        </is>
      </c>
      <c r="B20" t="n">
        <v>40203</v>
      </c>
      <c r="C20" t="inlineStr">
        <is>
          <t>CHARM10001990</t>
        </is>
      </c>
      <c r="D20" t="n">
        <v>234</v>
      </c>
      <c r="E20" t="inlineStr">
        <is>
          <t>In Inventory</t>
        </is>
      </c>
      <c r="F20" t="inlineStr">
        <is>
          <t>Bio Char Storage</t>
        </is>
      </c>
      <c r="I20" s="1" t="n">
        <v>45579</v>
      </c>
      <c r="J20" t="n">
        <v>2410</v>
      </c>
      <c r="L20" t="inlineStr">
        <is>
          <t>AVAILABLE</t>
        </is>
      </c>
    </row>
    <row r="21">
      <c r="A21" t="inlineStr">
        <is>
          <t>CHARM10002195</t>
        </is>
      </c>
      <c r="B21" t="n">
        <v>40254</v>
      </c>
      <c r="C21" t="inlineStr">
        <is>
          <t>CHARM10001991</t>
        </is>
      </c>
      <c r="D21" t="n">
        <v>234</v>
      </c>
      <c r="E21" t="inlineStr">
        <is>
          <t>In Inventory</t>
        </is>
      </c>
      <c r="F21" t="inlineStr">
        <is>
          <t>Bio Char Storage</t>
        </is>
      </c>
      <c r="I21" s="1" t="n">
        <v>45579</v>
      </c>
      <c r="J21" t="n">
        <v>2410</v>
      </c>
      <c r="L21" t="inlineStr">
        <is>
          <t>AVAILABLE</t>
        </is>
      </c>
    </row>
    <row r="22">
      <c r="A22" t="inlineStr">
        <is>
          <t>CHARM10002642</t>
        </is>
      </c>
      <c r="B22" t="n">
        <v>557636</v>
      </c>
      <c r="C22" t="inlineStr">
        <is>
          <t>CHARM10002613</t>
        </is>
      </c>
      <c r="D22" t="n">
        <v>68</v>
      </c>
      <c r="E22" t="inlineStr">
        <is>
          <t>In Inventory</t>
        </is>
      </c>
      <c r="F22" t="inlineStr">
        <is>
          <t>Bio Char Storage</t>
        </is>
      </c>
      <c r="I22" s="1" t="n">
        <v>45585</v>
      </c>
      <c r="J22" t="n">
        <v>2410</v>
      </c>
      <c r="L22" t="inlineStr">
        <is>
          <t>AVAILABLE</t>
        </is>
      </c>
    </row>
    <row r="23">
      <c r="A23" t="inlineStr">
        <is>
          <t>CHARM10002646</t>
        </is>
      </c>
      <c r="B23" t="n">
        <v>267171</v>
      </c>
      <c r="C23" t="inlineStr">
        <is>
          <t>CHARM10002617</t>
        </is>
      </c>
      <c r="D23" t="n">
        <v>112.5</v>
      </c>
      <c r="E23" t="inlineStr">
        <is>
          <t>In Inventory</t>
        </is>
      </c>
      <c r="F23" t="inlineStr">
        <is>
          <t>Bio Char Storage</t>
        </is>
      </c>
      <c r="I23" s="1" t="n">
        <v>45589</v>
      </c>
      <c r="J23" t="n">
        <v>2410</v>
      </c>
      <c r="L23" t="inlineStr">
        <is>
          <t>AVAILABLE</t>
        </is>
      </c>
    </row>
    <row r="24">
      <c r="A24" t="inlineStr">
        <is>
          <t>CHARM10002648</t>
        </is>
      </c>
      <c r="B24" t="n">
        <v>557702</v>
      </c>
      <c r="C24" t="inlineStr">
        <is>
          <t>CHARM10002619</t>
        </is>
      </c>
      <c r="D24" t="n">
        <v>131</v>
      </c>
      <c r="E24" t="inlineStr">
        <is>
          <t>In Inventory</t>
        </is>
      </c>
      <c r="F24" t="inlineStr">
        <is>
          <t>Bio Char Storage</t>
        </is>
      </c>
      <c r="I24" s="1" t="n">
        <v>45590</v>
      </c>
      <c r="J24" t="n">
        <v>2410</v>
      </c>
      <c r="L24" t="inlineStr">
        <is>
          <t>AVAILABLE</t>
        </is>
      </c>
    </row>
    <row r="25">
      <c r="A25" t="inlineStr">
        <is>
          <t>CHARM10002649</t>
        </is>
      </c>
      <c r="B25" t="n">
        <v>557622</v>
      </c>
      <c r="C25" t="inlineStr">
        <is>
          <t>CHARM10002620</t>
        </is>
      </c>
      <c r="D25" t="n">
        <v>175</v>
      </c>
      <c r="E25" t="inlineStr">
        <is>
          <t>In Inventory</t>
        </is>
      </c>
      <c r="F25" t="inlineStr">
        <is>
          <t>Bio Char Storage</t>
        </is>
      </c>
      <c r="I25" s="1" t="n">
        <v>45590</v>
      </c>
      <c r="J25" t="n">
        <v>2410</v>
      </c>
      <c r="L25" t="inlineStr">
        <is>
          <t>AVAILABLE</t>
        </is>
      </c>
    </row>
    <row r="26">
      <c r="A26" t="inlineStr">
        <is>
          <t>CHARM10002650</t>
        </is>
      </c>
      <c r="B26" t="n">
        <v>557623</v>
      </c>
      <c r="C26" t="inlineStr">
        <is>
          <t>CHARM10002621</t>
        </is>
      </c>
      <c r="D26" t="n">
        <v>107</v>
      </c>
      <c r="E26" t="inlineStr">
        <is>
          <t>In Inventory</t>
        </is>
      </c>
      <c r="F26" t="inlineStr">
        <is>
          <t>Bio Char Storage</t>
        </is>
      </c>
      <c r="I26" s="1" t="n">
        <v>45590</v>
      </c>
      <c r="J26" t="n">
        <v>2410</v>
      </c>
      <c r="L26" t="inlineStr">
        <is>
          <t>AVAILABLE</t>
        </is>
      </c>
    </row>
    <row r="27">
      <c r="A27" t="inlineStr">
        <is>
          <t>CHARM10002196</t>
        </is>
      </c>
      <c r="B27" t="n">
        <v>557704</v>
      </c>
      <c r="C27" t="inlineStr">
        <is>
          <t>CHARM10001992</t>
        </is>
      </c>
      <c r="D27" t="n">
        <v>189</v>
      </c>
      <c r="E27" t="inlineStr">
        <is>
          <t>In Inventory</t>
        </is>
      </c>
      <c r="F27" t="inlineStr">
        <is>
          <t>Bio Char Storage</t>
        </is>
      </c>
      <c r="I27" s="1" t="n">
        <v>45592</v>
      </c>
      <c r="J27" t="n">
        <v>2410</v>
      </c>
      <c r="L27" t="inlineStr">
        <is>
          <t>AVAILABLE</t>
        </is>
      </c>
    </row>
    <row r="28">
      <c r="A28" t="inlineStr">
        <is>
          <t>CHARM10002652</t>
        </is>
      </c>
      <c r="B28" t="n">
        <v>557621</v>
      </c>
      <c r="C28" t="inlineStr">
        <is>
          <t>CHARM10002623</t>
        </is>
      </c>
      <c r="D28" t="n">
        <v>110.5</v>
      </c>
      <c r="E28" t="inlineStr">
        <is>
          <t>In Inventory</t>
        </is>
      </c>
      <c r="F28" t="inlineStr">
        <is>
          <t>Bio Char Storage</t>
        </is>
      </c>
      <c r="I28" s="1" t="n">
        <v>45593</v>
      </c>
      <c r="J28" t="n">
        <v>2410</v>
      </c>
      <c r="L28" t="inlineStr">
        <is>
          <t>AVAILABLE</t>
        </is>
      </c>
    </row>
    <row r="29">
      <c r="A29" t="inlineStr">
        <is>
          <t>CHARM10002654</t>
        </is>
      </c>
      <c r="B29" t="n">
        <v>557627</v>
      </c>
      <c r="C29" t="inlineStr">
        <is>
          <t>CHARM10002625</t>
        </is>
      </c>
      <c r="D29" t="n">
        <v>90.5</v>
      </c>
      <c r="E29" t="inlineStr">
        <is>
          <t>In Inventory</t>
        </is>
      </c>
      <c r="F29" t="inlineStr">
        <is>
          <t>Bio Char Storage</t>
        </is>
      </c>
      <c r="I29" s="1" t="n">
        <v>45593</v>
      </c>
      <c r="J29" t="n">
        <v>2410</v>
      </c>
      <c r="L29" t="inlineStr">
        <is>
          <t>AVAILABLE</t>
        </is>
      </c>
    </row>
    <row r="30">
      <c r="A30" t="inlineStr">
        <is>
          <t>CHARM10002657</t>
        </is>
      </c>
      <c r="B30" t="n">
        <v>557611</v>
      </c>
      <c r="C30" t="inlineStr">
        <is>
          <t>CHARM10002628</t>
        </is>
      </c>
      <c r="D30" t="n">
        <v>165</v>
      </c>
      <c r="E30" t="inlineStr">
        <is>
          <t>In Inventory</t>
        </is>
      </c>
      <c r="F30" t="inlineStr">
        <is>
          <t>Bio Char Storage</t>
        </is>
      </c>
      <c r="I30" s="1" t="n">
        <v>45595</v>
      </c>
      <c r="J30" t="n">
        <v>2410</v>
      </c>
      <c r="L30" t="inlineStr">
        <is>
          <t>AVAILABLE</t>
        </is>
      </c>
    </row>
    <row r="31">
      <c r="A31" t="inlineStr">
        <is>
          <t>CHARM10002659</t>
        </is>
      </c>
      <c r="B31" t="n">
        <v>557617</v>
      </c>
      <c r="C31" t="inlineStr">
        <is>
          <t>CHARM10002630</t>
        </is>
      </c>
      <c r="D31" t="n">
        <v>126</v>
      </c>
      <c r="E31" t="inlineStr">
        <is>
          <t>In Inventory</t>
        </is>
      </c>
      <c r="F31" t="inlineStr">
        <is>
          <t>Bio Char Storage</t>
        </is>
      </c>
      <c r="I31" s="1" t="n">
        <v>45599</v>
      </c>
      <c r="J31" t="n">
        <v>2411</v>
      </c>
      <c r="L31" t="inlineStr">
        <is>
          <t>AVAILABLE</t>
        </is>
      </c>
    </row>
    <row r="32">
      <c r="A32" t="inlineStr">
        <is>
          <t>CHARM10002660</t>
        </is>
      </c>
      <c r="B32" t="n">
        <v>557619</v>
      </c>
      <c r="C32" t="inlineStr">
        <is>
          <t>CHARM10002631</t>
        </is>
      </c>
      <c r="D32" t="n">
        <v>115</v>
      </c>
      <c r="E32" t="inlineStr">
        <is>
          <t>In Inventory</t>
        </is>
      </c>
      <c r="F32" t="inlineStr">
        <is>
          <t>Bio Char Storage</t>
        </is>
      </c>
      <c r="I32" s="1" t="n">
        <v>45599</v>
      </c>
      <c r="J32" t="n">
        <v>2411</v>
      </c>
      <c r="L32" t="inlineStr">
        <is>
          <t>AVAILABLE</t>
        </is>
      </c>
    </row>
    <row r="33">
      <c r="A33" t="inlineStr">
        <is>
          <t>CHARM10002661</t>
        </is>
      </c>
      <c r="B33" t="n">
        <v>557618</v>
      </c>
      <c r="C33" t="inlineStr">
        <is>
          <t>CHARM10002632</t>
        </is>
      </c>
      <c r="D33" t="n">
        <v>109.5</v>
      </c>
      <c r="E33" t="inlineStr">
        <is>
          <t>In Inventory</t>
        </is>
      </c>
      <c r="F33" t="inlineStr">
        <is>
          <t>Bio Char Storage</t>
        </is>
      </c>
      <c r="I33" s="1" t="n">
        <v>45599</v>
      </c>
      <c r="J33" t="n">
        <v>2411</v>
      </c>
      <c r="L33" t="inlineStr">
        <is>
          <t>AVAILABLE</t>
        </is>
      </c>
    </row>
    <row r="34">
      <c r="A34" t="inlineStr">
        <is>
          <t>CHARM10002665</t>
        </is>
      </c>
      <c r="B34" t="n">
        <v>557641</v>
      </c>
      <c r="C34" t="inlineStr">
        <is>
          <t>CHARM10002636</t>
        </is>
      </c>
      <c r="D34" t="n">
        <v>150</v>
      </c>
      <c r="E34" t="inlineStr">
        <is>
          <t>In Inventory</t>
        </is>
      </c>
      <c r="F34" t="inlineStr">
        <is>
          <t>Bio Char Storage</t>
        </is>
      </c>
      <c r="I34" s="1" t="n">
        <v>45599</v>
      </c>
      <c r="J34" t="n">
        <v>2411</v>
      </c>
      <c r="L34" t="inlineStr">
        <is>
          <t>AVAILABLE</t>
        </is>
      </c>
    </row>
    <row r="35">
      <c r="A35" t="inlineStr">
        <is>
          <t>CHARM10002666</t>
        </is>
      </c>
      <c r="B35" t="n">
        <v>557666</v>
      </c>
      <c r="C35" t="inlineStr">
        <is>
          <t>CHARM10002637</t>
        </is>
      </c>
      <c r="D35" t="n">
        <v>164</v>
      </c>
      <c r="E35" t="inlineStr">
        <is>
          <t>In Inventory</t>
        </is>
      </c>
      <c r="F35" t="inlineStr">
        <is>
          <t>Bio Char Storage</t>
        </is>
      </c>
      <c r="I35" s="1" t="n">
        <v>45599</v>
      </c>
      <c r="J35" t="n">
        <v>2411</v>
      </c>
      <c r="L35" t="inlineStr">
        <is>
          <t>AVAILABLE</t>
        </is>
      </c>
    </row>
    <row r="36">
      <c r="A36" t="inlineStr">
        <is>
          <t>CHARM10002668</t>
        </is>
      </c>
      <c r="B36" t="n">
        <v>557659</v>
      </c>
      <c r="C36" t="inlineStr">
        <is>
          <t>CHARM10002639</t>
        </is>
      </c>
      <c r="D36" t="n">
        <v>123.5</v>
      </c>
      <c r="E36" t="inlineStr">
        <is>
          <t>In Inventory</t>
        </is>
      </c>
      <c r="F36" t="inlineStr">
        <is>
          <t>Bio Char Storage</t>
        </is>
      </c>
      <c r="I36" s="1" t="n">
        <v>45599</v>
      </c>
      <c r="J36" t="n">
        <v>2411</v>
      </c>
      <c r="L36" t="inlineStr">
        <is>
          <t>AVAILABLE</t>
        </is>
      </c>
    </row>
    <row r="37">
      <c r="A37" t="inlineStr">
        <is>
          <t>CHARM10002669</t>
        </is>
      </c>
      <c r="B37" t="n">
        <v>559660</v>
      </c>
      <c r="C37" t="inlineStr">
        <is>
          <t>CHARM10002640</t>
        </is>
      </c>
      <c r="D37" t="n">
        <v>104.5</v>
      </c>
      <c r="E37" t="inlineStr">
        <is>
          <t>In Inventory</t>
        </is>
      </c>
      <c r="F37" t="inlineStr">
        <is>
          <t>Bio Char Storage</t>
        </is>
      </c>
      <c r="I37" s="1" t="n">
        <v>45599</v>
      </c>
      <c r="J37" t="n">
        <v>2411</v>
      </c>
      <c r="L37" t="inlineStr">
        <is>
          <t>AVAILABLE</t>
        </is>
      </c>
    </row>
    <row r="38">
      <c r="A38" t="inlineStr">
        <is>
          <t>CHARM10002701</t>
        </is>
      </c>
      <c r="B38" t="n">
        <v>557609</v>
      </c>
      <c r="C38" t="inlineStr">
        <is>
          <t>CHARM10002671</t>
        </is>
      </c>
      <c r="D38" t="n">
        <v>154</v>
      </c>
      <c r="E38" t="inlineStr">
        <is>
          <t>In Inventory</t>
        </is>
      </c>
      <c r="F38" t="inlineStr">
        <is>
          <t>Bio Char Storage</t>
        </is>
      </c>
      <c r="I38" s="1" t="n">
        <v>45607</v>
      </c>
      <c r="J38" t="n">
        <v>2411</v>
      </c>
      <c r="L38" t="inlineStr">
        <is>
          <t>AVAILABLE</t>
        </is>
      </c>
    </row>
    <row r="39">
      <c r="A39" t="inlineStr">
        <is>
          <t>CHARM10002706</t>
        </is>
      </c>
      <c r="B39" t="n">
        <v>557648</v>
      </c>
      <c r="C39" t="inlineStr">
        <is>
          <t>CHARM10002676</t>
        </is>
      </c>
      <c r="D39" t="n">
        <v>121</v>
      </c>
      <c r="E39" t="inlineStr">
        <is>
          <t>In Inventory</t>
        </is>
      </c>
      <c r="F39" t="inlineStr">
        <is>
          <t>Bio Char Storage</t>
        </is>
      </c>
      <c r="I39" s="1" t="n">
        <v>45607</v>
      </c>
      <c r="J39" t="n">
        <v>2411</v>
      </c>
      <c r="L39" t="inlineStr">
        <is>
          <t>AVAILABLE</t>
        </is>
      </c>
    </row>
    <row r="40">
      <c r="A40" t="inlineStr">
        <is>
          <t>CHARM10002745</t>
        </is>
      </c>
      <c r="B40" t="n">
        <v>557609</v>
      </c>
      <c r="C40" t="inlineStr">
        <is>
          <t>CHARM10002709</t>
        </is>
      </c>
      <c r="D40" t="n">
        <v>154</v>
      </c>
      <c r="E40" t="inlineStr">
        <is>
          <t>In Inventory</t>
        </is>
      </c>
      <c r="F40" t="inlineStr">
        <is>
          <t>Bio Char Storage</t>
        </is>
      </c>
      <c r="I40" s="1" t="n">
        <v>45607</v>
      </c>
      <c r="J40" t="n">
        <v>2411</v>
      </c>
      <c r="L40" t="inlineStr">
        <is>
          <t>AVAILABLE</t>
        </is>
      </c>
    </row>
    <row r="41">
      <c r="A41" t="inlineStr">
        <is>
          <t>CHARM10002748</t>
        </is>
      </c>
      <c r="B41" t="n">
        <v>557608</v>
      </c>
      <c r="C41" t="inlineStr">
        <is>
          <t>CHARM10002710</t>
        </is>
      </c>
      <c r="D41" t="n">
        <v>108.5</v>
      </c>
      <c r="E41" t="inlineStr">
        <is>
          <t>In Inventory</t>
        </is>
      </c>
      <c r="F41" t="inlineStr">
        <is>
          <t>Bio Char Storage</t>
        </is>
      </c>
      <c r="I41" s="1" t="n">
        <v>45607</v>
      </c>
      <c r="J41" t="n">
        <v>2411</v>
      </c>
      <c r="L41" t="inlineStr">
        <is>
          <t>AVAILABLE</t>
        </is>
      </c>
    </row>
    <row r="42">
      <c r="A42" t="inlineStr">
        <is>
          <t>CHARM10002750</t>
        </is>
      </c>
      <c r="B42" t="n">
        <v>557679</v>
      </c>
      <c r="C42" t="inlineStr">
        <is>
          <t>CHARM10002711</t>
        </is>
      </c>
      <c r="D42" t="n">
        <v>233</v>
      </c>
      <c r="E42" t="inlineStr">
        <is>
          <t>In Inventory</t>
        </is>
      </c>
      <c r="F42" t="inlineStr">
        <is>
          <t>Bio Char Storage</t>
        </is>
      </c>
      <c r="I42" s="1" t="n">
        <v>45607</v>
      </c>
      <c r="J42" t="n">
        <v>2411</v>
      </c>
      <c r="L42" t="inlineStr">
        <is>
          <t>AVAILABLE</t>
        </is>
      </c>
    </row>
    <row r="43">
      <c r="A43" t="inlineStr">
        <is>
          <t>CHARM10002752</t>
        </is>
      </c>
      <c r="B43" t="n">
        <v>557677</v>
      </c>
      <c r="C43" t="inlineStr">
        <is>
          <t>CHARM10002712</t>
        </is>
      </c>
      <c r="D43" t="n">
        <v>204</v>
      </c>
      <c r="E43" t="inlineStr">
        <is>
          <t>In Inventory</t>
        </is>
      </c>
      <c r="F43" t="inlineStr">
        <is>
          <t>Bio Char Storage</t>
        </is>
      </c>
      <c r="I43" s="1" t="n">
        <v>45607</v>
      </c>
      <c r="J43" t="n">
        <v>2411</v>
      </c>
      <c r="L43" t="inlineStr">
        <is>
          <t>AVAILABLE</t>
        </is>
      </c>
    </row>
    <row r="44">
      <c r="A44" t="inlineStr">
        <is>
          <t>CHARM10002756</t>
        </is>
      </c>
      <c r="B44" t="n">
        <v>557648</v>
      </c>
      <c r="C44" t="inlineStr">
        <is>
          <t>CHARM10002714</t>
        </is>
      </c>
      <c r="D44" t="n">
        <v>121</v>
      </c>
      <c r="E44" t="inlineStr">
        <is>
          <t>In Inventory</t>
        </is>
      </c>
      <c r="F44" t="inlineStr">
        <is>
          <t>Bio Char Storage</t>
        </is>
      </c>
      <c r="I44" s="1" t="n">
        <v>45607</v>
      </c>
      <c r="J44" t="n">
        <v>2411</v>
      </c>
      <c r="L44" t="inlineStr">
        <is>
          <t>AVAILABLE</t>
        </is>
      </c>
    </row>
    <row r="45">
      <c r="A45" t="inlineStr">
        <is>
          <t>CHARM10002197</t>
        </is>
      </c>
      <c r="B45" t="n">
        <v>557650</v>
      </c>
      <c r="C45" t="inlineStr">
        <is>
          <t>CHARM10001993</t>
        </is>
      </c>
      <c r="D45" t="n">
        <v>185</v>
      </c>
      <c r="E45" t="inlineStr">
        <is>
          <t>In Inventory</t>
        </is>
      </c>
      <c r="F45" t="inlineStr">
        <is>
          <t>Bio Char Storage</t>
        </is>
      </c>
      <c r="I45" s="1" t="n">
        <v>45614</v>
      </c>
      <c r="J45" t="n">
        <v>2411</v>
      </c>
      <c r="L45" t="inlineStr">
        <is>
          <t>AVAILABLE</t>
        </is>
      </c>
    </row>
    <row r="46">
      <c r="A46" t="inlineStr">
        <is>
          <t>CHARM10002738</t>
        </is>
      </c>
      <c r="B46" t="n">
        <v>557746</v>
      </c>
      <c r="C46" t="inlineStr">
        <is>
          <t>CHARM10002678</t>
        </is>
      </c>
      <c r="D46" t="n">
        <v>110.5</v>
      </c>
      <c r="E46" t="inlineStr">
        <is>
          <t>In Inventory</t>
        </is>
      </c>
      <c r="F46" t="inlineStr">
        <is>
          <t>Bio Char Storage</t>
        </is>
      </c>
      <c r="I46" s="1" t="n">
        <v>45616</v>
      </c>
      <c r="J46" t="n">
        <v>2411</v>
      </c>
      <c r="L46" t="inlineStr">
        <is>
          <t>AVAILABLE</t>
        </is>
      </c>
    </row>
    <row r="47">
      <c r="A47" t="inlineStr">
        <is>
          <t>CHARM10002751</t>
        </is>
      </c>
      <c r="B47" t="n">
        <v>557599</v>
      </c>
      <c r="C47" t="inlineStr">
        <is>
          <t>CHARM10002687</t>
        </is>
      </c>
      <c r="D47" t="n">
        <v>150</v>
      </c>
      <c r="E47" t="inlineStr">
        <is>
          <t>In Inventory</t>
        </is>
      </c>
      <c r="F47" t="inlineStr">
        <is>
          <t>Bio Char Storage</t>
        </is>
      </c>
      <c r="I47" s="1" t="n">
        <v>45616</v>
      </c>
      <c r="J47" t="n">
        <v>2411</v>
      </c>
      <c r="L47" t="inlineStr">
        <is>
          <t>AVAILABLE</t>
        </is>
      </c>
    </row>
    <row r="48">
      <c r="A48" t="inlineStr">
        <is>
          <t>CHARM10002759</t>
        </is>
      </c>
      <c r="B48" t="n">
        <v>557746</v>
      </c>
      <c r="C48" t="inlineStr">
        <is>
          <t>CHARM10002716</t>
        </is>
      </c>
      <c r="D48" t="n">
        <v>110.5</v>
      </c>
      <c r="E48" t="inlineStr">
        <is>
          <t>In Inventory</t>
        </is>
      </c>
      <c r="F48" t="inlineStr">
        <is>
          <t>Bio Char Storage</t>
        </is>
      </c>
      <c r="I48" s="1" t="n">
        <v>45616</v>
      </c>
      <c r="J48" t="n">
        <v>2411</v>
      </c>
      <c r="L48" t="inlineStr">
        <is>
          <t>AVAILABLE</t>
        </is>
      </c>
    </row>
    <row r="49">
      <c r="A49" t="inlineStr">
        <is>
          <t>CHARM10002764</t>
        </is>
      </c>
      <c r="B49" t="n">
        <v>557582</v>
      </c>
      <c r="C49" t="inlineStr">
        <is>
          <t>CHARM10002718</t>
        </is>
      </c>
      <c r="D49" t="n">
        <v>94</v>
      </c>
      <c r="E49" t="inlineStr">
        <is>
          <t>In Inventory</t>
        </is>
      </c>
      <c r="F49" t="inlineStr">
        <is>
          <t>Bio Char Storage</t>
        </is>
      </c>
      <c r="I49" s="1" t="n">
        <v>45616</v>
      </c>
      <c r="J49" t="n">
        <v>2411</v>
      </c>
      <c r="L49" t="inlineStr">
        <is>
          <t>AVAILABLE</t>
        </is>
      </c>
    </row>
    <row r="50">
      <c r="A50" t="inlineStr">
        <is>
          <t>CHARM10002766</t>
        </is>
      </c>
      <c r="B50" t="n">
        <v>557583</v>
      </c>
      <c r="C50" t="inlineStr">
        <is>
          <t>CHARM10002719</t>
        </is>
      </c>
      <c r="D50" t="n">
        <v>107</v>
      </c>
      <c r="E50" t="inlineStr">
        <is>
          <t>In Inventory</t>
        </is>
      </c>
      <c r="F50" t="inlineStr">
        <is>
          <t>Bio Char Storage</t>
        </is>
      </c>
      <c r="I50" s="1" t="n">
        <v>45616</v>
      </c>
      <c r="J50" t="n">
        <v>2411</v>
      </c>
      <c r="L50" t="inlineStr">
        <is>
          <t>AVAILABLE</t>
        </is>
      </c>
    </row>
    <row r="51">
      <c r="A51" t="inlineStr">
        <is>
          <t>CHARM10002768</t>
        </is>
      </c>
      <c r="B51" t="n">
        <v>557592</v>
      </c>
      <c r="C51" t="inlineStr">
        <is>
          <t>CHARM10002720</t>
        </is>
      </c>
      <c r="D51" t="n">
        <v>118.5</v>
      </c>
      <c r="E51" t="inlineStr">
        <is>
          <t>In Inventory</t>
        </is>
      </c>
      <c r="F51" t="inlineStr">
        <is>
          <t>Bio Char Storage</t>
        </is>
      </c>
      <c r="I51" s="1" t="n">
        <v>45616</v>
      </c>
      <c r="J51" t="n">
        <v>2411</v>
      </c>
      <c r="L51" t="inlineStr">
        <is>
          <t>AVAILABLE</t>
        </is>
      </c>
    </row>
    <row r="52">
      <c r="A52" t="inlineStr">
        <is>
          <t>CHARM10002770</t>
        </is>
      </c>
      <c r="B52" t="n">
        <v>557593</v>
      </c>
      <c r="C52" t="inlineStr">
        <is>
          <t>CHARM10002721</t>
        </is>
      </c>
      <c r="D52" t="n">
        <v>118.5</v>
      </c>
      <c r="E52" t="inlineStr">
        <is>
          <t>In Inventory</t>
        </is>
      </c>
      <c r="F52" t="inlineStr">
        <is>
          <t>Bio Char Storage</t>
        </is>
      </c>
      <c r="I52" s="1" t="n">
        <v>45616</v>
      </c>
      <c r="J52" t="n">
        <v>2411</v>
      </c>
      <c r="L52" t="inlineStr">
        <is>
          <t>AVAILABLE</t>
        </is>
      </c>
    </row>
    <row r="53">
      <c r="A53" t="inlineStr">
        <is>
          <t>CHARM10002772</t>
        </is>
      </c>
      <c r="B53" t="n">
        <v>557594</v>
      </c>
      <c r="C53" t="inlineStr">
        <is>
          <t>CHARM10002722</t>
        </is>
      </c>
      <c r="D53" t="n">
        <v>139.5</v>
      </c>
      <c r="E53" t="inlineStr">
        <is>
          <t>In Inventory</t>
        </is>
      </c>
      <c r="F53" t="inlineStr">
        <is>
          <t>Bio Char Storage</t>
        </is>
      </c>
      <c r="I53" s="1" t="n">
        <v>45616</v>
      </c>
      <c r="J53" t="n">
        <v>2411</v>
      </c>
      <c r="L53" t="inlineStr">
        <is>
          <t>AVAILABLE</t>
        </is>
      </c>
    </row>
    <row r="54">
      <c r="A54" t="inlineStr">
        <is>
          <t>CHARM10002774</t>
        </is>
      </c>
      <c r="B54" t="n">
        <v>557595</v>
      </c>
      <c r="C54" t="inlineStr">
        <is>
          <t>CHARM10002723</t>
        </is>
      </c>
      <c r="D54" t="n">
        <v>178.5</v>
      </c>
      <c r="E54" t="inlineStr">
        <is>
          <t>In Inventory</t>
        </is>
      </c>
      <c r="F54" t="inlineStr">
        <is>
          <t>Bio Char Storage</t>
        </is>
      </c>
      <c r="I54" s="1" t="n">
        <v>45616</v>
      </c>
      <c r="J54" t="n">
        <v>2411</v>
      </c>
      <c r="L54" t="inlineStr">
        <is>
          <t>AVAILABLE</t>
        </is>
      </c>
    </row>
    <row r="55">
      <c r="A55" t="inlineStr">
        <is>
          <t>CHARM10002776</t>
        </is>
      </c>
      <c r="B55" t="n">
        <v>557600</v>
      </c>
      <c r="C55" t="inlineStr">
        <is>
          <t>CHARM10002724</t>
        </is>
      </c>
      <c r="D55" t="n">
        <v>141.5</v>
      </c>
      <c r="E55" t="inlineStr">
        <is>
          <t>In Inventory</t>
        </is>
      </c>
      <c r="F55" t="inlineStr">
        <is>
          <t>Bio Char Storage</t>
        </is>
      </c>
      <c r="I55" s="1" t="n">
        <v>45616</v>
      </c>
      <c r="J55" t="n">
        <v>2411</v>
      </c>
      <c r="L55" t="inlineStr">
        <is>
          <t>AVAILABLE</t>
        </is>
      </c>
    </row>
    <row r="56">
      <c r="A56" t="inlineStr">
        <is>
          <t>CHARM10002777</t>
        </is>
      </c>
      <c r="B56" t="n">
        <v>557599</v>
      </c>
      <c r="C56" t="inlineStr">
        <is>
          <t>CHARM10002725</t>
        </is>
      </c>
      <c r="D56" t="n">
        <v>150</v>
      </c>
      <c r="E56" t="inlineStr">
        <is>
          <t>In Inventory</t>
        </is>
      </c>
      <c r="F56" t="inlineStr">
        <is>
          <t>Bio Char Storage</t>
        </is>
      </c>
      <c r="I56" s="1" t="n">
        <v>45616</v>
      </c>
      <c r="J56" t="n">
        <v>2411</v>
      </c>
      <c r="L56" t="inlineStr">
        <is>
          <t>AVAILABLE</t>
        </is>
      </c>
    </row>
    <row r="57">
      <c r="A57" t="inlineStr">
        <is>
          <t>CHARM10002778</t>
        </is>
      </c>
      <c r="B57" t="n">
        <v>557598</v>
      </c>
      <c r="C57" t="inlineStr">
        <is>
          <t>CHARM10002726</t>
        </is>
      </c>
      <c r="D57" t="n">
        <v>125.5</v>
      </c>
      <c r="E57" t="inlineStr">
        <is>
          <t>In Inventory</t>
        </is>
      </c>
      <c r="F57" t="inlineStr">
        <is>
          <t>Bio Char Storage</t>
        </is>
      </c>
      <c r="I57" s="1" t="n">
        <v>45616</v>
      </c>
      <c r="J57" t="n">
        <v>2411</v>
      </c>
      <c r="L57" t="inlineStr">
        <is>
          <t>AVAILABLE</t>
        </is>
      </c>
    </row>
    <row r="58">
      <c r="A58" t="inlineStr">
        <is>
          <t>CHARM10002755</t>
        </is>
      </c>
      <c r="B58" t="n">
        <v>557547</v>
      </c>
      <c r="C58" t="inlineStr">
        <is>
          <t>CHARM10002689</t>
        </is>
      </c>
      <c r="D58" t="n">
        <v>144.5</v>
      </c>
      <c r="E58" t="inlineStr">
        <is>
          <t>In Inventory</t>
        </is>
      </c>
      <c r="F58" t="inlineStr">
        <is>
          <t>Bio Char Storage</t>
        </is>
      </c>
      <c r="I58" s="1" t="n">
        <v>45620</v>
      </c>
      <c r="J58" t="n">
        <v>2411</v>
      </c>
      <c r="L58" t="inlineStr">
        <is>
          <t>AVAILABLE</t>
        </is>
      </c>
    </row>
    <row r="59">
      <c r="A59" t="inlineStr">
        <is>
          <t>CHARM10002758</t>
        </is>
      </c>
      <c r="B59" t="n">
        <v>557589</v>
      </c>
      <c r="C59" t="inlineStr">
        <is>
          <t>CHARM10002690</t>
        </is>
      </c>
      <c r="D59" t="n">
        <v>149</v>
      </c>
      <c r="E59" t="inlineStr">
        <is>
          <t>In Inventory</t>
        </is>
      </c>
      <c r="F59" t="inlineStr">
        <is>
          <t>Bio Char Storage</t>
        </is>
      </c>
      <c r="I59" s="1" t="n">
        <v>45621</v>
      </c>
      <c r="J59" t="n">
        <v>2411</v>
      </c>
      <c r="L59" t="inlineStr">
        <is>
          <t>AVAILABLE</t>
        </is>
      </c>
    </row>
    <row r="60">
      <c r="A60" t="inlineStr">
        <is>
          <t>CHARM10002760</t>
        </is>
      </c>
      <c r="B60" t="n">
        <v>557588</v>
      </c>
      <c r="C60" t="inlineStr">
        <is>
          <t>CHARM10002691</t>
        </is>
      </c>
      <c r="D60" t="n">
        <v>144</v>
      </c>
      <c r="E60" t="inlineStr">
        <is>
          <t>In Inventory</t>
        </is>
      </c>
      <c r="F60" t="inlineStr">
        <is>
          <t>Bio Char Storage</t>
        </is>
      </c>
      <c r="I60" s="1" t="n">
        <v>45621</v>
      </c>
      <c r="J60" t="n">
        <v>2411</v>
      </c>
      <c r="L60" t="inlineStr">
        <is>
          <t>AVAILABLE</t>
        </is>
      </c>
    </row>
    <row r="61">
      <c r="A61" t="inlineStr">
        <is>
          <t>CHARM10002762</t>
        </is>
      </c>
      <c r="B61" t="n">
        <v>557675</v>
      </c>
      <c r="C61" t="inlineStr">
        <is>
          <t>CHARM10002692</t>
        </is>
      </c>
      <c r="D61" t="n">
        <v>141</v>
      </c>
      <c r="E61" t="inlineStr">
        <is>
          <t>In Inventory</t>
        </is>
      </c>
      <c r="F61" t="inlineStr">
        <is>
          <t>Bio Char Storage</t>
        </is>
      </c>
      <c r="I61" s="1" t="n">
        <v>45621</v>
      </c>
      <c r="J61" t="n">
        <v>2411</v>
      </c>
      <c r="L61" t="inlineStr">
        <is>
          <t>AVAILABLE</t>
        </is>
      </c>
    </row>
    <row r="62">
      <c r="A62" t="inlineStr">
        <is>
          <t>CHARM10002763</t>
        </is>
      </c>
      <c r="B62" t="n">
        <v>557574</v>
      </c>
      <c r="C62" t="inlineStr">
        <is>
          <t>CHARM10002693</t>
        </is>
      </c>
      <c r="D62" t="n">
        <v>144</v>
      </c>
      <c r="E62" t="inlineStr">
        <is>
          <t>In Inventory</t>
        </is>
      </c>
      <c r="F62" t="inlineStr">
        <is>
          <t>Bio Char Storage</t>
        </is>
      </c>
      <c r="I62" s="1" t="n">
        <v>45621</v>
      </c>
      <c r="J62" t="n">
        <v>2411</v>
      </c>
      <c r="L62" t="inlineStr">
        <is>
          <t>AVAILABLE</t>
        </is>
      </c>
    </row>
    <row r="63">
      <c r="A63" t="inlineStr">
        <is>
          <t>CHARM10002765</t>
        </is>
      </c>
      <c r="B63" t="n">
        <v>557575</v>
      </c>
      <c r="C63" t="inlineStr">
        <is>
          <t>CHARM10002694</t>
        </is>
      </c>
      <c r="D63" t="n">
        <v>157</v>
      </c>
      <c r="E63" t="inlineStr">
        <is>
          <t>In Inventory</t>
        </is>
      </c>
      <c r="F63" t="inlineStr">
        <is>
          <t>Bio Char Storage</t>
        </is>
      </c>
      <c r="I63" s="1" t="n">
        <v>45621</v>
      </c>
      <c r="J63" t="n">
        <v>2411</v>
      </c>
      <c r="L63" t="inlineStr">
        <is>
          <t>AVAILABLE</t>
        </is>
      </c>
    </row>
    <row r="64">
      <c r="A64" t="inlineStr">
        <is>
          <t>CHARM10002767</t>
        </is>
      </c>
      <c r="B64" t="n">
        <v>557585</v>
      </c>
      <c r="C64" t="inlineStr">
        <is>
          <t>CHARM10002695</t>
        </is>
      </c>
      <c r="D64" t="n">
        <v>78</v>
      </c>
      <c r="E64" t="inlineStr">
        <is>
          <t>In Inventory</t>
        </is>
      </c>
      <c r="F64" t="inlineStr">
        <is>
          <t>Bio Char Storage</t>
        </is>
      </c>
      <c r="I64" s="1" t="n">
        <v>45621</v>
      </c>
      <c r="J64" t="n">
        <v>2411</v>
      </c>
      <c r="L64" t="inlineStr">
        <is>
          <t>AVAILABLE</t>
        </is>
      </c>
    </row>
    <row r="65">
      <c r="A65" t="inlineStr">
        <is>
          <t>CHARM10002769</t>
        </is>
      </c>
      <c r="B65" t="n">
        <v>557586</v>
      </c>
      <c r="C65" t="inlineStr">
        <is>
          <t>CHARM10002696</t>
        </is>
      </c>
      <c r="D65" t="n">
        <v>79</v>
      </c>
      <c r="E65" t="inlineStr">
        <is>
          <t>In Inventory</t>
        </is>
      </c>
      <c r="F65" t="inlineStr">
        <is>
          <t>Bio Char Storage</t>
        </is>
      </c>
      <c r="I65" s="1" t="n">
        <v>45621</v>
      </c>
      <c r="J65" t="n">
        <v>2411</v>
      </c>
      <c r="L65" t="inlineStr">
        <is>
          <t>AVAILABLE</t>
        </is>
      </c>
    </row>
    <row r="66">
      <c r="A66" t="inlineStr">
        <is>
          <t>CHARM10002780</t>
        </is>
      </c>
      <c r="B66" t="n">
        <v>557589</v>
      </c>
      <c r="C66" t="inlineStr">
        <is>
          <t>CHARM10002728</t>
        </is>
      </c>
      <c r="D66" t="n">
        <v>149</v>
      </c>
      <c r="E66" t="inlineStr">
        <is>
          <t>In Inventory</t>
        </is>
      </c>
      <c r="F66" t="inlineStr">
        <is>
          <t>Bio Char Storage</t>
        </is>
      </c>
      <c r="I66" s="1" t="n">
        <v>45621</v>
      </c>
      <c r="J66" t="n">
        <v>2411</v>
      </c>
      <c r="L66" t="inlineStr">
        <is>
          <t>AVAILABLE</t>
        </is>
      </c>
    </row>
    <row r="67">
      <c r="A67" t="inlineStr">
        <is>
          <t>CHARM10002781</t>
        </is>
      </c>
      <c r="B67" t="n">
        <v>557588</v>
      </c>
      <c r="C67" t="inlineStr">
        <is>
          <t>CHARM10002729</t>
        </is>
      </c>
      <c r="D67" t="n">
        <v>144</v>
      </c>
      <c r="E67" t="inlineStr">
        <is>
          <t>In Inventory</t>
        </is>
      </c>
      <c r="F67" t="inlineStr">
        <is>
          <t>Bio Char Storage</t>
        </is>
      </c>
      <c r="I67" s="1" t="n">
        <v>45621</v>
      </c>
      <c r="J67" t="n">
        <v>2411</v>
      </c>
      <c r="L67" t="inlineStr">
        <is>
          <t>AVAILABLE</t>
        </is>
      </c>
    </row>
    <row r="68">
      <c r="A68" t="inlineStr">
        <is>
          <t>CHARM10002782</t>
        </is>
      </c>
      <c r="B68" t="n">
        <v>557675</v>
      </c>
      <c r="C68" t="inlineStr">
        <is>
          <t>CHARM10002730</t>
        </is>
      </c>
      <c r="D68" t="n">
        <v>141</v>
      </c>
      <c r="E68" t="inlineStr">
        <is>
          <t>In Inventory</t>
        </is>
      </c>
      <c r="F68" t="inlineStr">
        <is>
          <t>Bio Char Storage</t>
        </is>
      </c>
      <c r="I68" s="1" t="n">
        <v>45621</v>
      </c>
      <c r="J68" t="n">
        <v>2411</v>
      </c>
      <c r="L68" t="inlineStr">
        <is>
          <t>AVAILABLE</t>
        </is>
      </c>
    </row>
    <row r="69">
      <c r="A69" t="inlineStr">
        <is>
          <t>CHARM10002783</t>
        </is>
      </c>
      <c r="B69" t="n">
        <v>557574</v>
      </c>
      <c r="C69" t="inlineStr">
        <is>
          <t>CHARM10002731</t>
        </is>
      </c>
      <c r="D69" t="n">
        <v>144</v>
      </c>
      <c r="E69" t="inlineStr">
        <is>
          <t>In Inventory</t>
        </is>
      </c>
      <c r="F69" t="inlineStr">
        <is>
          <t>Bio Char Storage</t>
        </is>
      </c>
      <c r="I69" s="1" t="n">
        <v>45621</v>
      </c>
      <c r="J69" t="n">
        <v>2411</v>
      </c>
      <c r="L69" t="inlineStr">
        <is>
          <t>AVAILABLE</t>
        </is>
      </c>
    </row>
    <row r="70">
      <c r="A70" t="inlineStr">
        <is>
          <t>CHARM10002784</t>
        </is>
      </c>
      <c r="B70" t="n">
        <v>557575</v>
      </c>
      <c r="C70" t="inlineStr">
        <is>
          <t>CHARM10002732</t>
        </is>
      </c>
      <c r="D70" t="n">
        <v>157</v>
      </c>
      <c r="E70" t="inlineStr">
        <is>
          <t>In Inventory</t>
        </is>
      </c>
      <c r="F70" t="inlineStr">
        <is>
          <t>Bio Char Storage</t>
        </is>
      </c>
      <c r="I70" s="1" t="n">
        <v>45621</v>
      </c>
      <c r="J70" t="n">
        <v>2411</v>
      </c>
      <c r="L70" t="inlineStr">
        <is>
          <t>AVAILABLE</t>
        </is>
      </c>
    </row>
    <row r="71">
      <c r="A71" t="inlineStr">
        <is>
          <t>CHARM10002785</t>
        </is>
      </c>
      <c r="B71" t="n">
        <v>557585</v>
      </c>
      <c r="C71" t="inlineStr">
        <is>
          <t>CHARM10002733</t>
        </is>
      </c>
      <c r="D71" t="n">
        <v>78</v>
      </c>
      <c r="E71" t="inlineStr">
        <is>
          <t>In Inventory</t>
        </is>
      </c>
      <c r="F71" t="inlineStr">
        <is>
          <t>Bio Char Storage</t>
        </is>
      </c>
      <c r="I71" s="1" t="n">
        <v>45621</v>
      </c>
      <c r="J71" t="n">
        <v>2411</v>
      </c>
      <c r="L71" t="inlineStr">
        <is>
          <t>AVAILABLE</t>
        </is>
      </c>
    </row>
    <row r="72">
      <c r="A72" t="inlineStr">
        <is>
          <t>CHARM10002198</t>
        </is>
      </c>
      <c r="B72" t="n">
        <v>557676</v>
      </c>
      <c r="C72" t="inlineStr">
        <is>
          <t>CHARM10001994</t>
        </is>
      </c>
      <c r="D72" t="n">
        <v>189.5</v>
      </c>
      <c r="E72" t="inlineStr">
        <is>
          <t>In Inventory</t>
        </is>
      </c>
      <c r="F72" t="inlineStr">
        <is>
          <t>Bio Char Storage</t>
        </is>
      </c>
      <c r="I72" s="1" t="n">
        <v>45622</v>
      </c>
      <c r="J72" t="n">
        <v>2411</v>
      </c>
      <c r="L72" t="inlineStr">
        <is>
          <t>AVAILABLE</t>
        </is>
      </c>
    </row>
    <row r="73">
      <c r="A73" t="inlineStr">
        <is>
          <t>CHARM10002199</t>
        </is>
      </c>
      <c r="B73" t="n">
        <v>557572</v>
      </c>
      <c r="C73" t="inlineStr">
        <is>
          <t>CHARM10001995</t>
        </is>
      </c>
      <c r="D73" t="n">
        <v>201</v>
      </c>
      <c r="E73" t="inlineStr">
        <is>
          <t>In Inventory</t>
        </is>
      </c>
      <c r="F73" t="inlineStr">
        <is>
          <t>Bio Char Storage</t>
        </is>
      </c>
      <c r="I73" s="1" t="n">
        <v>45622</v>
      </c>
      <c r="J73" t="n">
        <v>2411</v>
      </c>
      <c r="L73" t="inlineStr">
        <is>
          <t>AVAILABLE</t>
        </is>
      </c>
    </row>
    <row r="74">
      <c r="A74" t="inlineStr">
        <is>
          <t>CHARM10002200</t>
        </is>
      </c>
      <c r="B74" t="n">
        <v>557571</v>
      </c>
      <c r="C74" t="inlineStr">
        <is>
          <t>CHARM10001996</t>
        </is>
      </c>
      <c r="D74" t="n">
        <v>221</v>
      </c>
      <c r="E74" t="inlineStr">
        <is>
          <t>In Inventory</t>
        </is>
      </c>
      <c r="F74" t="inlineStr">
        <is>
          <t>Bio Char Storage</t>
        </is>
      </c>
      <c r="I74" s="1" t="n">
        <v>45622</v>
      </c>
      <c r="J74" t="n">
        <v>2411</v>
      </c>
      <c r="L74" t="inlineStr">
        <is>
          <t>AVAILABLE</t>
        </is>
      </c>
    </row>
    <row r="75">
      <c r="A75" t="inlineStr">
        <is>
          <t>CHARM10002771</t>
        </is>
      </c>
      <c r="B75" t="n">
        <v>557577</v>
      </c>
      <c r="C75" t="inlineStr">
        <is>
          <t>CHARM10002697</t>
        </is>
      </c>
      <c r="D75" t="n">
        <v>141</v>
      </c>
      <c r="E75" t="inlineStr">
        <is>
          <t>In Inventory</t>
        </is>
      </c>
      <c r="F75" t="inlineStr">
        <is>
          <t>Bio Char Storage</t>
        </is>
      </c>
      <c r="I75" s="1" t="n">
        <v>45626</v>
      </c>
      <c r="J75" t="n">
        <v>2411</v>
      </c>
      <c r="L75" t="inlineStr">
        <is>
          <t>AVAILABLE</t>
        </is>
      </c>
    </row>
    <row r="76">
      <c r="A76" t="inlineStr">
        <is>
          <t>CHARM10002773</t>
        </is>
      </c>
      <c r="B76" t="n">
        <v>557579</v>
      </c>
      <c r="C76" t="inlineStr">
        <is>
          <t>CHARM10002698</t>
        </is>
      </c>
      <c r="D76" t="n">
        <v>149</v>
      </c>
      <c r="E76" t="inlineStr">
        <is>
          <t>In Inventory</t>
        </is>
      </c>
      <c r="F76" t="inlineStr">
        <is>
          <t>Bio Char Storage</t>
        </is>
      </c>
      <c r="I76" s="1" t="n">
        <v>45626</v>
      </c>
      <c r="J76" t="n">
        <v>2411</v>
      </c>
      <c r="L76" t="inlineStr">
        <is>
          <t>AVAILABLE</t>
        </is>
      </c>
    </row>
    <row r="77">
      <c r="A77" t="inlineStr">
        <is>
          <t>CHARM10002775</t>
        </is>
      </c>
      <c r="B77" t="n">
        <v>557578</v>
      </c>
      <c r="C77" t="inlineStr">
        <is>
          <t>CHARM10002699</t>
        </is>
      </c>
      <c r="D77" t="n">
        <v>129</v>
      </c>
      <c r="E77" t="inlineStr">
        <is>
          <t>In Inventory</t>
        </is>
      </c>
      <c r="F77" t="inlineStr">
        <is>
          <t>Bio Char Storage</t>
        </is>
      </c>
      <c r="I77" s="1" t="n">
        <v>45626</v>
      </c>
      <c r="J77" t="n">
        <v>2411</v>
      </c>
      <c r="L77" t="inlineStr">
        <is>
          <t>AVAILABLE</t>
        </is>
      </c>
    </row>
    <row r="78">
      <c r="A78" t="inlineStr">
        <is>
          <t>CHARM10002787</t>
        </is>
      </c>
      <c r="B78" t="n">
        <v>557577</v>
      </c>
      <c r="C78" t="inlineStr">
        <is>
          <t>CHARM10002735</t>
        </is>
      </c>
      <c r="D78" t="n">
        <v>141</v>
      </c>
      <c r="E78" t="inlineStr">
        <is>
          <t>In Inventory</t>
        </is>
      </c>
      <c r="F78" t="inlineStr">
        <is>
          <t>Bio Char Storage</t>
        </is>
      </c>
      <c r="I78" s="1" t="n">
        <v>45626</v>
      </c>
      <c r="J78" t="n">
        <v>2411</v>
      </c>
      <c r="L78" t="inlineStr">
        <is>
          <t>AVAILABLE</t>
        </is>
      </c>
    </row>
    <row r="79">
      <c r="A79" t="inlineStr">
        <is>
          <t>CHARM10002788</t>
        </is>
      </c>
      <c r="B79" t="n">
        <v>557579</v>
      </c>
      <c r="C79" t="inlineStr">
        <is>
          <t>CHARM10002736</t>
        </is>
      </c>
      <c r="D79" t="n">
        <v>149</v>
      </c>
      <c r="E79" t="inlineStr">
        <is>
          <t>In Inventory</t>
        </is>
      </c>
      <c r="F79" t="inlineStr">
        <is>
          <t>Bio Char Storage</t>
        </is>
      </c>
      <c r="I79" s="1" t="n">
        <v>45626</v>
      </c>
      <c r="J79" t="n">
        <v>2411</v>
      </c>
      <c r="L79" t="inlineStr">
        <is>
          <t>AVAILABLE</t>
        </is>
      </c>
    </row>
    <row r="80">
      <c r="A80" t="inlineStr">
        <is>
          <t>CHARM10002789</t>
        </is>
      </c>
      <c r="B80" t="n">
        <v>557578</v>
      </c>
      <c r="C80" t="inlineStr">
        <is>
          <t>CHARM10002737</t>
        </is>
      </c>
      <c r="D80" t="n">
        <v>129</v>
      </c>
      <c r="E80" t="inlineStr">
        <is>
          <t>In Inventory</t>
        </is>
      </c>
      <c r="F80" t="inlineStr">
        <is>
          <t>Bio Char Storage</t>
        </is>
      </c>
      <c r="I80" s="1" t="n">
        <v>45626</v>
      </c>
      <c r="J80" t="n">
        <v>2411</v>
      </c>
      <c r="L80" t="inlineStr">
        <is>
          <t>AVAILABLE</t>
        </is>
      </c>
    </row>
    <row r="81">
      <c r="A81" t="inlineStr">
        <is>
          <t>CHARM10002840</t>
        </is>
      </c>
      <c r="B81" t="n">
        <v>557507</v>
      </c>
      <c r="C81" t="inlineStr">
        <is>
          <t>CHARM10002790</t>
        </is>
      </c>
      <c r="D81" t="n">
        <v>132</v>
      </c>
      <c r="E81" t="inlineStr">
        <is>
          <t>In Inventory</t>
        </is>
      </c>
      <c r="F81" t="inlineStr">
        <is>
          <t>Bio Char Storage</t>
        </is>
      </c>
      <c r="I81" s="1" t="n">
        <v>45626</v>
      </c>
      <c r="J81" t="n">
        <v>2411</v>
      </c>
      <c r="L81" t="inlineStr">
        <is>
          <t>AVAILABLE</t>
        </is>
      </c>
    </row>
    <row r="82">
      <c r="A82" t="inlineStr">
        <is>
          <t>CHARM10002841</t>
        </is>
      </c>
      <c r="B82" t="n">
        <v>557565</v>
      </c>
      <c r="C82" t="inlineStr">
        <is>
          <t>CHARM10002791</t>
        </is>
      </c>
      <c r="D82" t="n">
        <v>115.5</v>
      </c>
      <c r="E82" t="inlineStr">
        <is>
          <t>In Inventory</t>
        </is>
      </c>
      <c r="F82" t="inlineStr">
        <is>
          <t>Bio Char Storage</t>
        </is>
      </c>
      <c r="I82" s="1" t="n">
        <v>45626</v>
      </c>
      <c r="J82" t="n">
        <v>2411</v>
      </c>
      <c r="L82" t="inlineStr">
        <is>
          <t>AVAILABLE</t>
        </is>
      </c>
    </row>
    <row r="83">
      <c r="A83" t="inlineStr">
        <is>
          <t>CHARM10002842</t>
        </is>
      </c>
      <c r="B83" t="n">
        <v>557510</v>
      </c>
      <c r="C83" t="inlineStr">
        <is>
          <t>CHARM10002792</t>
        </is>
      </c>
      <c r="D83" t="n">
        <v>159</v>
      </c>
      <c r="E83" t="inlineStr">
        <is>
          <t>In Inventory</t>
        </is>
      </c>
      <c r="F83" t="inlineStr">
        <is>
          <t>Bio Char Storage</t>
        </is>
      </c>
      <c r="I83" s="1" t="n">
        <v>45626</v>
      </c>
      <c r="J83" t="n">
        <v>2411</v>
      </c>
      <c r="L83" t="inlineStr">
        <is>
          <t>AVAILABLE</t>
        </is>
      </c>
    </row>
    <row r="84">
      <c r="A84" t="inlineStr">
        <is>
          <t>CHARM10002843</t>
        </is>
      </c>
      <c r="B84" t="n">
        <v>557509</v>
      </c>
      <c r="C84" t="inlineStr">
        <is>
          <t>CHARM10002793</t>
        </is>
      </c>
      <c r="D84" t="n">
        <v>135</v>
      </c>
      <c r="E84" t="inlineStr">
        <is>
          <t>In Inventory</t>
        </is>
      </c>
      <c r="F84" t="inlineStr">
        <is>
          <t>Bio Char Storage</t>
        </is>
      </c>
      <c r="I84" s="1" t="n">
        <v>45626</v>
      </c>
      <c r="J84" t="n">
        <v>2411</v>
      </c>
      <c r="L84" t="inlineStr">
        <is>
          <t>AVAILABLE</t>
        </is>
      </c>
    </row>
    <row r="85">
      <c r="A85" t="inlineStr">
        <is>
          <t>CHARM10002844</t>
        </is>
      </c>
      <c r="B85" t="n">
        <v>557562</v>
      </c>
      <c r="C85" t="inlineStr">
        <is>
          <t>CHARM10002794</t>
        </is>
      </c>
      <c r="D85" t="n">
        <v>110</v>
      </c>
      <c r="E85" t="inlineStr">
        <is>
          <t>In Inventory</t>
        </is>
      </c>
      <c r="F85" t="inlineStr">
        <is>
          <t>Bio Char Storage</t>
        </is>
      </c>
      <c r="I85" s="1" t="n">
        <v>45626</v>
      </c>
      <c r="J85" t="n">
        <v>2411</v>
      </c>
      <c r="L85" t="inlineStr">
        <is>
          <t>AVAILABLE</t>
        </is>
      </c>
    </row>
    <row r="86">
      <c r="A86" t="inlineStr">
        <is>
          <t>CHARM10002845</t>
        </is>
      </c>
      <c r="B86" t="n">
        <v>557561</v>
      </c>
      <c r="C86" t="inlineStr">
        <is>
          <t>CHARM10002795</t>
        </is>
      </c>
      <c r="D86" t="n">
        <v>100</v>
      </c>
      <c r="E86" t="inlineStr">
        <is>
          <t>In Inventory</t>
        </is>
      </c>
      <c r="F86" t="inlineStr">
        <is>
          <t>Bio Char Storage</t>
        </is>
      </c>
      <c r="I86" s="1" t="n">
        <v>45626</v>
      </c>
      <c r="J86" t="n">
        <v>2411</v>
      </c>
      <c r="L86" t="inlineStr">
        <is>
          <t>AVAILABLE</t>
        </is>
      </c>
    </row>
    <row r="87">
      <c r="A87" t="inlineStr">
        <is>
          <t>CHARM10002846</t>
        </is>
      </c>
      <c r="B87" t="n">
        <v>557508</v>
      </c>
      <c r="C87" t="inlineStr">
        <is>
          <t>CHARM10002796</t>
        </is>
      </c>
      <c r="D87" t="n">
        <v>402</v>
      </c>
      <c r="E87" t="inlineStr">
        <is>
          <t>In Inventory</t>
        </is>
      </c>
      <c r="F87" t="inlineStr">
        <is>
          <t>Bio Char Storage</t>
        </is>
      </c>
      <c r="I87" s="1" t="n">
        <v>45634</v>
      </c>
      <c r="J87" t="n">
        <v>2412</v>
      </c>
      <c r="L87" t="inlineStr">
        <is>
          <t>AVAILABLE</t>
        </is>
      </c>
    </row>
    <row r="88">
      <c r="A88" t="inlineStr">
        <is>
          <t>CHARM10002848</t>
        </is>
      </c>
      <c r="B88" t="n">
        <v>40208</v>
      </c>
      <c r="C88" t="inlineStr">
        <is>
          <t>CHARM10002798</t>
        </is>
      </c>
      <c r="D88" t="n">
        <v>87</v>
      </c>
      <c r="E88" t="inlineStr">
        <is>
          <t>In Inventory</t>
        </is>
      </c>
      <c r="F88" t="inlineStr">
        <is>
          <t>Bio Char Storage</t>
        </is>
      </c>
      <c r="I88" s="1" t="n">
        <v>45641</v>
      </c>
      <c r="J88" t="n">
        <v>2412</v>
      </c>
      <c r="L88" t="inlineStr">
        <is>
          <t>AVAILABLE</t>
        </is>
      </c>
    </row>
    <row r="89">
      <c r="A89" t="inlineStr">
        <is>
          <t>CHARM10002849</t>
        </is>
      </c>
      <c r="B89" t="n">
        <v>40288</v>
      </c>
      <c r="C89" t="inlineStr">
        <is>
          <t>CHARM10002799</t>
        </is>
      </c>
      <c r="D89" t="n">
        <v>151</v>
      </c>
      <c r="E89" t="inlineStr">
        <is>
          <t>In Inventory</t>
        </is>
      </c>
      <c r="F89" t="inlineStr">
        <is>
          <t>Bio Char Storage</t>
        </is>
      </c>
      <c r="I89" s="1" t="n">
        <v>45641</v>
      </c>
      <c r="J89" t="n">
        <v>2412</v>
      </c>
      <c r="L89" t="inlineStr">
        <is>
          <t>AVAILABLE</t>
        </is>
      </c>
    </row>
    <row r="90">
      <c r="A90" t="inlineStr">
        <is>
          <t>CHARM10002851</t>
        </is>
      </c>
      <c r="B90" t="n">
        <v>40213</v>
      </c>
      <c r="C90" t="inlineStr">
        <is>
          <t>CHARM10002801</t>
        </is>
      </c>
      <c r="D90" t="n">
        <v>152</v>
      </c>
      <c r="E90" t="inlineStr">
        <is>
          <t>In Inventory</t>
        </is>
      </c>
      <c r="F90" t="inlineStr">
        <is>
          <t>Bio Char Storage</t>
        </is>
      </c>
      <c r="I90" s="1" t="n">
        <v>45655</v>
      </c>
      <c r="J90" t="n">
        <v>2412</v>
      </c>
      <c r="L90" t="inlineStr">
        <is>
          <t>AVAILABLE</t>
        </is>
      </c>
    </row>
    <row r="91">
      <c r="A91" t="inlineStr">
        <is>
          <t>CHARM10002852</t>
        </is>
      </c>
      <c r="B91" t="n">
        <v>40241</v>
      </c>
      <c r="C91" t="inlineStr">
        <is>
          <t>CHARM10002802</t>
        </is>
      </c>
      <c r="D91" t="n">
        <v>126</v>
      </c>
      <c r="E91" t="inlineStr">
        <is>
          <t>In Inventory</t>
        </is>
      </c>
      <c r="F91" t="inlineStr">
        <is>
          <t>Bio Char Storage</t>
        </is>
      </c>
      <c r="I91" s="1" t="n">
        <v>45655</v>
      </c>
      <c r="J91" t="n">
        <v>2412</v>
      </c>
      <c r="L91" t="inlineStr">
        <is>
          <t>AVAILABLE</t>
        </is>
      </c>
    </row>
    <row r="92">
      <c r="A92" t="inlineStr">
        <is>
          <t>CHARM10002853</t>
        </is>
      </c>
      <c r="B92" t="n">
        <v>40220</v>
      </c>
      <c r="C92" t="inlineStr">
        <is>
          <t>CHARM10002803</t>
        </is>
      </c>
      <c r="D92" t="n">
        <v>131</v>
      </c>
      <c r="E92" t="inlineStr">
        <is>
          <t>In Inventory</t>
        </is>
      </c>
      <c r="F92" t="inlineStr">
        <is>
          <t>Bio Char Storage</t>
        </is>
      </c>
      <c r="I92" s="1" t="n">
        <v>45655</v>
      </c>
      <c r="J92" t="n">
        <v>2412</v>
      </c>
      <c r="L92" t="inlineStr">
        <is>
          <t>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6" customWidth="1" min="3" max="3"/>
  </cols>
  <sheetData>
    <row r="1">
      <c r="A1" t="inlineStr">
        <is>
          <t>Source: Manufacturo Data tab of "Char Shipment Log &amp; MFO data"</t>
        </is>
      </c>
    </row>
    <row r="2">
      <c r="A2" t="inlineStr">
        <is>
          <t>Filter: inventory_status = "In Inventory" AND production_date in 2024</t>
        </is>
      </c>
    </row>
    <row r="3">
      <c r="A3" t="inlineStr">
        <is>
          <t>Filtered rows: 91</t>
        </is>
      </c>
    </row>
    <row r="5">
      <c r="A5" s="2" t="inlineStr">
        <is>
          <t>Month</t>
        </is>
      </c>
      <c r="B5" s="2" t="inlineStr">
        <is>
          <t>Bags in inventory</t>
        </is>
      </c>
      <c r="C5" s="2" t="inlineStr">
        <is>
          <t>Mass (kg)</t>
        </is>
      </c>
    </row>
    <row r="6">
      <c r="A6" t="inlineStr">
        <is>
          <t>2024-01</t>
        </is>
      </c>
      <c r="B6">
        <f>COUNTIFS('Filtered Inventory'!I2:I92,"&gt;="&amp;DATE(2024,1,1),'Filtered Inventory'!I2:I92,"&lt;"&amp;DATE(2024,2,1))</f>
        <v/>
      </c>
      <c r="C6">
        <f>SUMIFS('Filtered Inventory'!D2:D92,'Filtered Inventory'!I2:I92,"&gt;="&amp;DATE(2024,1,1),'Filtered Inventory'!I2:I92,"&lt;"&amp;DATE(2024,2,1))</f>
        <v/>
      </c>
    </row>
    <row r="7">
      <c r="A7" t="inlineStr">
        <is>
          <t>2024-02</t>
        </is>
      </c>
      <c r="B7">
        <f>COUNTIFS('Filtered Inventory'!I2:I92,"&gt;="&amp;DATE(2024,2,1),'Filtered Inventory'!I2:I92,"&lt;"&amp;DATE(2024,3,1))</f>
        <v/>
      </c>
      <c r="C7">
        <f>SUMIFS('Filtered Inventory'!D2:D92,'Filtered Inventory'!I2:I92,"&gt;="&amp;DATE(2024,2,1),'Filtered Inventory'!I2:I92,"&lt;"&amp;DATE(2024,3,1))</f>
        <v/>
      </c>
    </row>
    <row r="8">
      <c r="A8" t="inlineStr">
        <is>
          <t>2024-03</t>
        </is>
      </c>
      <c r="B8">
        <f>COUNTIFS('Filtered Inventory'!I2:I92,"&gt;="&amp;DATE(2024,3,1),'Filtered Inventory'!I2:I92,"&lt;"&amp;DATE(2024,4,1))</f>
        <v/>
      </c>
      <c r="C8">
        <f>SUMIFS('Filtered Inventory'!D2:D92,'Filtered Inventory'!I2:I92,"&gt;="&amp;DATE(2024,3,1),'Filtered Inventory'!I2:I92,"&lt;"&amp;DATE(2024,4,1))</f>
        <v/>
      </c>
    </row>
    <row r="9">
      <c r="A9" t="inlineStr">
        <is>
          <t>2024-04</t>
        </is>
      </c>
      <c r="B9">
        <f>COUNTIFS('Filtered Inventory'!I2:I92,"&gt;="&amp;DATE(2024,4,1),'Filtered Inventory'!I2:I92,"&lt;"&amp;DATE(2024,5,1))</f>
        <v/>
      </c>
      <c r="C9">
        <f>SUMIFS('Filtered Inventory'!D2:D92,'Filtered Inventory'!I2:I92,"&gt;="&amp;DATE(2024,4,1),'Filtered Inventory'!I2:I92,"&lt;"&amp;DATE(2024,5,1))</f>
        <v/>
      </c>
    </row>
    <row r="10">
      <c r="A10" t="inlineStr">
        <is>
          <t>2024-05</t>
        </is>
      </c>
      <c r="B10">
        <f>COUNTIFS('Filtered Inventory'!I2:I92,"&gt;="&amp;DATE(2024,5,1),'Filtered Inventory'!I2:I92,"&lt;"&amp;DATE(2024,6,1))</f>
        <v/>
      </c>
      <c r="C10">
        <f>SUMIFS('Filtered Inventory'!D2:D92,'Filtered Inventory'!I2:I92,"&gt;="&amp;DATE(2024,5,1),'Filtered Inventory'!I2:I92,"&lt;"&amp;DATE(2024,6,1))</f>
        <v/>
      </c>
    </row>
    <row r="11">
      <c r="A11" t="inlineStr">
        <is>
          <t>2024-06</t>
        </is>
      </c>
      <c r="B11">
        <f>COUNTIFS('Filtered Inventory'!I2:I92,"&gt;="&amp;DATE(2024,6,1),'Filtered Inventory'!I2:I92,"&lt;"&amp;DATE(2024,7,1))</f>
        <v/>
      </c>
      <c r="C11">
        <f>SUMIFS('Filtered Inventory'!D2:D92,'Filtered Inventory'!I2:I92,"&gt;="&amp;DATE(2024,6,1),'Filtered Inventory'!I2:I92,"&lt;"&amp;DATE(2024,7,1))</f>
        <v/>
      </c>
    </row>
    <row r="12">
      <c r="A12" t="inlineStr">
        <is>
          <t>2024-07</t>
        </is>
      </c>
      <c r="B12">
        <f>COUNTIFS('Filtered Inventory'!I2:I92,"&gt;="&amp;DATE(2024,7,1),'Filtered Inventory'!I2:I92,"&lt;"&amp;DATE(2024,8,1))</f>
        <v/>
      </c>
      <c r="C12">
        <f>SUMIFS('Filtered Inventory'!D2:D92,'Filtered Inventory'!I2:I92,"&gt;="&amp;DATE(2024,7,1),'Filtered Inventory'!I2:I92,"&lt;"&amp;DATE(2024,8,1))</f>
        <v/>
      </c>
    </row>
    <row r="13">
      <c r="A13" t="inlineStr">
        <is>
          <t>2024-08</t>
        </is>
      </c>
      <c r="B13">
        <f>COUNTIFS('Filtered Inventory'!I2:I92,"&gt;="&amp;DATE(2024,8,1),'Filtered Inventory'!I2:I92,"&lt;"&amp;DATE(2024,9,1))</f>
        <v/>
      </c>
      <c r="C13">
        <f>SUMIFS('Filtered Inventory'!D2:D92,'Filtered Inventory'!I2:I92,"&gt;="&amp;DATE(2024,8,1),'Filtered Inventory'!I2:I92,"&lt;"&amp;DATE(2024,9,1))</f>
        <v/>
      </c>
    </row>
    <row r="14">
      <c r="A14" t="inlineStr">
        <is>
          <t>2024-09</t>
        </is>
      </c>
      <c r="B14">
        <f>COUNTIFS('Filtered Inventory'!I2:I92,"&gt;="&amp;DATE(2024,9,1),'Filtered Inventory'!I2:I92,"&lt;"&amp;DATE(2024,10,1))</f>
        <v/>
      </c>
      <c r="C14">
        <f>SUMIFS('Filtered Inventory'!D2:D92,'Filtered Inventory'!I2:I92,"&gt;="&amp;DATE(2024,9,1),'Filtered Inventory'!I2:I92,"&lt;"&amp;DATE(2024,10,1))</f>
        <v/>
      </c>
    </row>
    <row r="15">
      <c r="A15" t="inlineStr">
        <is>
          <t>2024-10</t>
        </is>
      </c>
      <c r="B15">
        <f>COUNTIFS('Filtered Inventory'!I2:I92,"&gt;="&amp;DATE(2024,10,1),'Filtered Inventory'!I2:I92,"&lt;"&amp;DATE(2024,11,1))</f>
        <v/>
      </c>
      <c r="C15">
        <f>SUMIFS('Filtered Inventory'!D2:D92,'Filtered Inventory'!I2:I92,"&gt;="&amp;DATE(2024,10,1),'Filtered Inventory'!I2:I92,"&lt;"&amp;DATE(2024,11,1))</f>
        <v/>
      </c>
    </row>
    <row r="16">
      <c r="A16" t="inlineStr">
        <is>
          <t>2024-11</t>
        </is>
      </c>
      <c r="B16">
        <f>COUNTIFS('Filtered Inventory'!I2:I92,"&gt;="&amp;DATE(2024,11,1),'Filtered Inventory'!I2:I92,"&lt;"&amp;DATE(2024,12,1))</f>
        <v/>
      </c>
      <c r="C16">
        <f>SUMIFS('Filtered Inventory'!D2:D92,'Filtered Inventory'!I2:I92,"&gt;="&amp;DATE(2024,11,1),'Filtered Inventory'!I2:I92,"&lt;"&amp;DATE(2024,12,1))</f>
        <v/>
      </c>
    </row>
    <row r="17">
      <c r="A17" t="inlineStr">
        <is>
          <t>2024-12</t>
        </is>
      </c>
      <c r="B17">
        <f>COUNTIFS('Filtered Inventory'!I2:I92,"&gt;="&amp;DATE(2024,12,1),'Filtered Inventory'!I2:I92,"&lt;"&amp;DATE(2025,1,1))</f>
        <v/>
      </c>
      <c r="C17">
        <f>SUMIFS('Filtered Inventory'!D2:D92,'Filtered Inventory'!I2:I92,"&gt;="&amp;DATE(2024,12,1),'Filtered Inventory'!I2:I92,"&lt;"&amp;DATE(2025,1,1))</f>
        <v/>
      </c>
    </row>
    <row r="18">
      <c r="A18" s="2" t="inlineStr">
        <is>
          <t>TOTAL 2024</t>
        </is>
      </c>
      <c r="B18" s="2">
        <f>SUM(B6:B17)</f>
        <v/>
      </c>
      <c r="C18" s="2">
        <f>SUM(C6:C17)</f>
        <v/>
      </c>
    </row>
    <row r="20">
      <c r="A20" s="3" t="inlineStr">
        <is>
          <t>Cross-check (direct from data)</t>
        </is>
      </c>
    </row>
    <row r="21">
      <c r="A21" t="inlineStr">
        <is>
          <t>Bag count</t>
        </is>
      </c>
      <c r="B21">
        <f>COUNTA('Filtered Inventory'!I2:I92)</f>
        <v/>
      </c>
    </row>
    <row r="22">
      <c r="A22" t="inlineStr">
        <is>
          <t>Total mass</t>
        </is>
      </c>
      <c r="C22">
        <f>SUM('Filtered Inventory'!D2:D92)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2026-05-01T15:58:01Z</dcterms:created>
  <dcterms:modified xsi:type="dcterms:W3CDTF">2026-05-01T15:58:01Z</dcterms:modified>
</cp:coreProperties>
</file>