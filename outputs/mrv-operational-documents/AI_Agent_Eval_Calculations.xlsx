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Cost Actuals" sheetId="1" state="visible" r:id="rId1"/>
    <sheet xmlns:r="http://schemas.openxmlformats.org/officeDocument/2006/relationships" name="1K Users — Scaling" sheetId="2" state="visible" r:id="rId2"/>
    <sheet xmlns:r="http://schemas.openxmlformats.org/officeDocument/2006/relationships" name="1M Users — Optimization" sheetId="3" state="visible" r:id="rId3"/>
    <sheet xmlns:r="http://schemas.openxmlformats.org/officeDocument/2006/relationships" name="TAM — Sustain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&quot;$&quot;#,##0"/>
    <numFmt numFmtId="166" formatCode="0.0%"/>
    <numFmt numFmtId="167" formatCode="#,##0,,&quot;M&quot;"/>
    <numFmt numFmtId="168" formatCode="&quot;$&quot;#,##0,,&quot;M&quot;"/>
    <numFmt numFmtId="169" formatCode="&quot;$&quot;#,##0,,&quot;M&quot; &quot;per month&quot;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F497D"/>
      <sz val="10"/>
    </font>
    <font>
      <b val="1"/>
      <sz val="10"/>
    </font>
    <font>
      <i val="1"/>
      <sz val="10"/>
    </font>
    <font>
      <i val="1"/>
      <sz val="9"/>
    </font>
    <font>
      <b val="1"/>
      <sz val="11"/>
    </font>
    <font>
      <b val="1"/>
      <color rgb="001F497D"/>
      <sz val="11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4" borderId="0" applyAlignment="1" pivotButton="0" quotePrefix="0" xfId="0">
      <alignment horizontal="left"/>
    </xf>
    <xf numFmtId="0" fontId="4" fillId="0" borderId="0" pivotButton="0" quotePrefix="0" xfId="0"/>
    <xf numFmtId="164" fontId="2" fillId="0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5" borderId="1" pivotButton="0" quotePrefix="0" xfId="0"/>
    <xf numFmtId="3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7" fontId="2" fillId="0" borderId="1" pivotButton="0" quotePrefix="0" xfId="0"/>
    <xf numFmtId="168" fontId="4" fillId="0" borderId="1" pivotButton="0" quotePrefix="0" xfId="0"/>
    <xf numFmtId="168" fontId="2" fillId="0" borderId="1" pivotButton="0" quotePrefix="0" xfId="0"/>
    <xf numFmtId="0" fontId="2" fillId="7" borderId="0" pivotButton="0" quotePrefix="0" xfId="0"/>
    <xf numFmtId="165" fontId="4" fillId="7" borderId="1" pivotButton="0" quotePrefix="0" xfId="0"/>
    <xf numFmtId="167" fontId="2" fillId="7" borderId="1" pivotButton="0" quotePrefix="0" xfId="0"/>
    <xf numFmtId="168" fontId="4" fillId="7" borderId="1" pivotButton="0" quotePrefix="0" xfId="0"/>
    <xf numFmtId="168" fontId="2" fillId="7" borderId="1" pivotButton="0" quotePrefix="0" xfId="0"/>
    <xf numFmtId="0" fontId="2" fillId="3" borderId="0" pivotButton="0" quotePrefix="0" xfId="0"/>
    <xf numFmtId="165" fontId="4" fillId="3" borderId="1" pivotButton="0" quotePrefix="0" xfId="0"/>
    <xf numFmtId="167" fontId="2" fillId="3" borderId="1" pivotButton="0" quotePrefix="0" xfId="0"/>
    <xf numFmtId="168" fontId="4" fillId="3" borderId="1" pivotButton="0" quotePrefix="0" xfId="0"/>
    <xf numFmtId="168" fontId="2" fillId="3" borderId="1" pivotButton="0" quotePrefix="0" xfId="0"/>
    <xf numFmtId="3" fontId="4" fillId="0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3" fontId="7" fillId="0" borderId="1" pivotButton="0" quotePrefix="0" xfId="0"/>
    <xf numFmtId="3" fontId="7" fillId="3" borderId="1" pivotButton="0" quotePrefix="0" xfId="0"/>
    <xf numFmtId="169" fontId="8" fillId="3" borderId="1" pivotButton="0" quotePrefix="0" xfId="0"/>
    <xf numFmtId="169" fontId="7" fillId="0" borderId="1" pivotButton="0" quotePrefix="0" xfId="0"/>
    <xf numFmtId="166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8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 ht="30" customHeight="1">
      <c r="A1" s="1" t="inlineStr">
        <is>
          <t>Batch ID</t>
        </is>
      </c>
      <c r="B1" s="1" t="inlineStr">
        <is>
          <t>Turns</t>
        </is>
      </c>
      <c r="C1" s="1" t="inlineStr">
        <is>
          <t>Output Tokens</t>
        </is>
      </c>
      <c r="D1" s="1" t="inlineStr">
        <is>
          <t>Cache Write 1h Tokens</t>
        </is>
      </c>
      <c r="E1" s="1" t="inlineStr">
        <is>
          <t>Cache Read Tokens</t>
        </is>
      </c>
      <c r="F1" s="1" t="inlineStr">
        <is>
          <t>Cost — Output ($)</t>
        </is>
      </c>
      <c r="G1" s="1" t="inlineStr">
        <is>
          <t>Cost — Cache Write ($)</t>
        </is>
      </c>
      <c r="H1" s="1" t="inlineStr">
        <is>
          <t>Cost — Cache Read ($)</t>
        </is>
      </c>
      <c r="I1" s="1" t="inlineStr">
        <is>
          <t>Cost — Direct Input ($)</t>
        </is>
      </c>
      <c r="J1" s="1" t="inlineStr">
        <is>
          <t>Total Cost ($)</t>
        </is>
      </c>
      <c r="K1" s="1" t="inlineStr">
        <is>
          <t>Notes</t>
        </is>
      </c>
    </row>
    <row r="2">
      <c r="A2" s="2" t="inlineStr">
        <is>
          <t>2-187</t>
        </is>
      </c>
      <c r="B2" s="2" t="n">
        <v>228</v>
      </c>
      <c r="C2" s="3" t="n">
        <v>353413</v>
      </c>
      <c r="D2" s="3" t="n">
        <v>1026976</v>
      </c>
      <c r="E2" s="3" t="n">
        <v>46676286</v>
      </c>
      <c r="F2" s="4" t="n">
        <v>26.51</v>
      </c>
      <c r="G2" s="4" t="n">
        <v>30.81</v>
      </c>
      <c r="H2" s="4" t="n">
        <v>70.01000000000001</v>
      </c>
      <c r="I2" s="4" t="n">
        <v>0.006</v>
      </c>
      <c r="J2" s="4" t="n">
        <v>127.34</v>
      </c>
      <c r="K2" s="2" t="inlineStr">
        <is>
          <t>Clean batch — first clean sweep</t>
        </is>
      </c>
    </row>
    <row r="3">
      <c r="A3" s="5" t="inlineStr">
        <is>
          <t>2-204</t>
        </is>
      </c>
      <c r="B3" s="5" t="n">
        <v>229</v>
      </c>
      <c r="C3" s="6" t="n">
        <v>289936</v>
      </c>
      <c r="D3" s="6" t="n">
        <v>1186942</v>
      </c>
      <c r="E3" s="6" t="n">
        <v>52452949</v>
      </c>
      <c r="F3" s="7" t="n">
        <v>21.75</v>
      </c>
      <c r="G3" s="7" t="n">
        <v>35.61</v>
      </c>
      <c r="H3" s="7" t="n">
        <v>78.68000000000001</v>
      </c>
      <c r="I3" s="7" t="n">
        <v>0.052</v>
      </c>
      <c r="J3" s="7" t="n">
        <v>136.08</v>
      </c>
      <c r="K3" s="5" t="inlineStr">
        <is>
          <t>Short session, 51 min</t>
        </is>
      </c>
    </row>
    <row r="4">
      <c r="A4" s="5" t="inlineStr">
        <is>
          <t>2-180</t>
        </is>
      </c>
      <c r="B4" s="5" t="n">
        <v>336</v>
      </c>
      <c r="C4" s="6" t="n">
        <v>251310</v>
      </c>
      <c r="D4" s="6" t="n">
        <v>1187550</v>
      </c>
      <c r="E4" s="6" t="n">
        <v>64539850</v>
      </c>
      <c r="F4" s="7" t="n">
        <v>18.85</v>
      </c>
      <c r="G4" s="7" t="n">
        <v>35.63</v>
      </c>
      <c r="H4" s="7" t="n">
        <v>96.81</v>
      </c>
      <c r="I4" s="7" t="n">
        <v>0.024</v>
      </c>
      <c r="J4" s="7" t="n">
        <v>151.31</v>
      </c>
      <c r="K4" s="5" t="inlineStr">
        <is>
          <t>~2 hr session</t>
        </is>
      </c>
    </row>
    <row r="5">
      <c r="A5" s="5" t="inlineStr">
        <is>
          <t>2-181</t>
        </is>
      </c>
      <c r="B5" s="5" t="n">
        <v>318</v>
      </c>
      <c r="C5" s="6" t="n">
        <v>389983</v>
      </c>
      <c r="D5" s="6" t="n">
        <v>1771865</v>
      </c>
      <c r="E5" s="6" t="n">
        <v>75844758</v>
      </c>
      <c r="F5" s="7" t="n">
        <v>29.25</v>
      </c>
      <c r="G5" s="7" t="n">
        <v>53.16</v>
      </c>
      <c r="H5" s="7" t="n">
        <v>113.77</v>
      </c>
      <c r="I5" s="7" t="n">
        <v>0.008</v>
      </c>
      <c r="J5" s="7" t="n">
        <v>196.18</v>
      </c>
      <c r="K5" s="5" t="inlineStr">
        <is>
          <t>Standard session</t>
        </is>
      </c>
    </row>
    <row r="6">
      <c r="A6" s="5" t="inlineStr">
        <is>
          <t>2-201</t>
        </is>
      </c>
      <c r="B6" s="5" t="n">
        <v>310</v>
      </c>
      <c r="C6" s="6" t="n">
        <v>362604</v>
      </c>
      <c r="D6" s="6" t="n">
        <v>2486492</v>
      </c>
      <c r="E6" s="6" t="n">
        <v>68865614</v>
      </c>
      <c r="F6" s="7" t="n">
        <v>27.2</v>
      </c>
      <c r="G6" s="7" t="n">
        <v>74.59</v>
      </c>
      <c r="H6" s="7" t="n">
        <v>103.3</v>
      </c>
      <c r="I6" s="7" t="n">
        <v>0.081</v>
      </c>
      <c r="J6" s="7" t="n">
        <v>205.17</v>
      </c>
      <c r="K6" s="5" t="inlineStr">
        <is>
          <t>~4.5 hr session</t>
        </is>
      </c>
    </row>
    <row r="7">
      <c r="A7" s="5" t="inlineStr">
        <is>
          <t>2-190</t>
        </is>
      </c>
      <c r="B7" s="5" t="n">
        <v>428</v>
      </c>
      <c r="C7" s="6" t="n">
        <v>516283</v>
      </c>
      <c r="D7" s="6" t="n">
        <v>3205604</v>
      </c>
      <c r="E7" s="6" t="n">
        <v>72151506</v>
      </c>
      <c r="F7" s="7" t="n">
        <v>38.72</v>
      </c>
      <c r="G7" s="7" t="n">
        <v>96.17</v>
      </c>
      <c r="H7" s="7" t="n">
        <v>108.23</v>
      </c>
      <c r="I7" s="7" t="n">
        <v>0.013</v>
      </c>
      <c r="J7" s="7" t="n">
        <v>243.13</v>
      </c>
      <c r="K7" s="5" t="inlineStr">
        <is>
          <t>3 sub-sessions</t>
        </is>
      </c>
    </row>
    <row r="8">
      <c r="A8" s="5" t="inlineStr">
        <is>
          <t>2-185</t>
        </is>
      </c>
      <c r="B8" s="5" t="n">
        <v>492</v>
      </c>
      <c r="C8" s="6" t="n">
        <v>634552</v>
      </c>
      <c r="D8" s="6" t="n">
        <v>2831885</v>
      </c>
      <c r="E8" s="6" t="n">
        <v>161985106</v>
      </c>
      <c r="F8" s="7" t="n">
        <v>47.59</v>
      </c>
      <c r="G8" s="7" t="n">
        <v>84.95999999999999</v>
      </c>
      <c r="H8" s="7" t="n">
        <v>242.98</v>
      </c>
      <c r="I8" s="7" t="n">
        <v>0.015</v>
      </c>
      <c r="J8" s="7" t="n">
        <v>375.54</v>
      </c>
      <c r="K8" s="5" t="inlineStr">
        <is>
          <t>Recovery session — last offload policy error</t>
        </is>
      </c>
    </row>
    <row r="10">
      <c r="A10" s="8" t="inlineStr">
        <is>
          <t>Summary Statistics</t>
        </is>
      </c>
    </row>
    <row r="11">
      <c r="A11" s="9" t="inlineStr">
        <is>
          <t>Minimum</t>
        </is>
      </c>
      <c r="B11" s="10">
        <f>MIN(J2:J8)</f>
        <v/>
      </c>
    </row>
    <row r="12">
      <c r="A12" s="9" t="inlineStr">
        <is>
          <t>Maximum</t>
        </is>
      </c>
      <c r="B12" s="10">
        <f>MAX(J2:J8)</f>
        <v/>
      </c>
    </row>
    <row r="13">
      <c r="A13" s="9" t="inlineStr">
        <is>
          <t>Median</t>
        </is>
      </c>
      <c r="B13" s="10">
        <f>MEDIAN(J2:J8)</f>
        <v/>
      </c>
    </row>
    <row r="14">
      <c r="A14" s="9" t="inlineStr">
        <is>
          <t>Average</t>
        </is>
      </c>
      <c r="B14" s="10">
        <f>AVERAGE(J2:J8)</f>
        <v/>
      </c>
    </row>
    <row r="15">
      <c r="A15" s="9" t="inlineStr">
        <is>
          <t>Clean-batch avg (2-187, 2-204)</t>
        </is>
      </c>
      <c r="B15" s="10">
        <f>AVERAGE(J2,J3)</f>
        <v/>
      </c>
    </row>
    <row r="16">
      <c r="A16" s="9" t="inlineStr">
        <is>
          <t>Complex-session avg (2-190, 2-185)</t>
        </is>
      </c>
      <c r="B16" s="10">
        <f>AVERAGE(J7,J8)</f>
        <v/>
      </c>
    </row>
    <row r="18">
      <c r="A18" s="8" t="inlineStr">
        <is>
          <t>Pricing Reference (Anthropic — Opus 4.x, as of May 2026)</t>
        </is>
      </c>
    </row>
    <row r="19">
      <c r="A19" s="11" t="inlineStr">
        <is>
          <t>Direct input</t>
        </is>
      </c>
      <c r="B19" s="9" t="inlineStr">
        <is>
          <t>$15.00</t>
        </is>
      </c>
      <c r="C19" s="12" t="inlineStr">
        <is>
          <t>per 1M tokens</t>
        </is>
      </c>
    </row>
    <row r="20">
      <c r="A20" s="11" t="inlineStr">
        <is>
          <t>Output</t>
        </is>
      </c>
      <c r="B20" s="9" t="inlineStr">
        <is>
          <t>$75.00</t>
        </is>
      </c>
      <c r="C20" s="12" t="inlineStr">
        <is>
          <t>per 1M tokens</t>
        </is>
      </c>
    </row>
    <row r="21">
      <c r="A21" s="11" t="inlineStr">
        <is>
          <t>Cache write (1-hour TTL)</t>
        </is>
      </c>
      <c r="B21" s="9" t="inlineStr">
        <is>
          <t>$30.00</t>
        </is>
      </c>
      <c r="C21" s="12" t="inlineStr">
        <is>
          <t>per 1M tokens</t>
        </is>
      </c>
    </row>
    <row r="22">
      <c r="A22" s="11" t="inlineStr">
        <is>
          <t>Cache read</t>
        </is>
      </c>
      <c r="B22" s="9" t="inlineStr">
        <is>
          <t>$1.50</t>
        </is>
      </c>
      <c r="C22" s="12" t="inlineStr">
        <is>
          <t>per 1M tokens</t>
        </is>
      </c>
    </row>
  </sheetData>
  <mergeCells count="2">
    <mergeCell ref="A10:F10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5" customWidth="1" min="3" max="3"/>
    <col width="20" customWidth="1" min="4" max="4"/>
  </cols>
  <sheetData>
    <row r="1">
      <c r="A1" s="8" t="inlineStr">
        <is>
          <t>INPUTS — adjust these cells</t>
        </is>
      </c>
    </row>
    <row r="2">
      <c r="A2" s="9" t="inlineStr">
        <is>
          <t>Users</t>
        </is>
      </c>
      <c r="B2" s="13" t="n">
        <v>1000</v>
      </c>
      <c r="C2" s="12" t="inlineStr">
        <is>
          <t>enterprises</t>
        </is>
      </c>
    </row>
    <row r="3">
      <c r="A3" s="9" t="inlineStr">
        <is>
          <t>QA sessions per user per month</t>
        </is>
      </c>
      <c r="B3" s="13" t="n">
        <v>15</v>
      </c>
      <c r="C3" s="12" t="inlineStr">
        <is>
          <t>sessions/month</t>
        </is>
      </c>
    </row>
    <row r="4">
      <c r="A4" s="9" t="inlineStr">
        <is>
          <t>Current avg cost per session</t>
        </is>
      </c>
      <c r="B4" s="13" t="n">
        <v>205</v>
      </c>
      <c r="C4" s="12" t="inlineStr">
        <is>
          <t>$ (from actuals tab median ≈ $196, rounded)</t>
        </is>
      </c>
    </row>
    <row r="5">
      <c r="A5" s="9" t="inlineStr">
        <is>
          <t>Optimized cost per session</t>
        </is>
      </c>
      <c r="B5" s="13" t="n">
        <v>120</v>
      </c>
      <c r="C5" s="12" t="inlineStr">
        <is>
          <t>$ (40% reduction from model tiering)</t>
        </is>
      </c>
    </row>
    <row r="6">
      <c r="A6" s="9" t="inlineStr">
        <is>
          <t>SaaS price per session</t>
        </is>
      </c>
      <c r="B6" s="13" t="n">
        <v>350</v>
      </c>
      <c r="C6" s="12" t="inlineStr">
        <is>
          <t>$ per session</t>
        </is>
      </c>
    </row>
    <row r="7">
      <c r="A7" s="9" t="inlineStr">
        <is>
          <t>Infrastructure markup</t>
        </is>
      </c>
      <c r="B7" s="13" t="n">
        <v>0.25</v>
      </c>
      <c r="C7" s="12" t="inlineStr">
        <is>
          <t>fraction of API cost</t>
        </is>
      </c>
    </row>
    <row r="9">
      <c r="A9" s="8" t="inlineStr">
        <is>
          <t>CALCULATED OUTPUTS</t>
        </is>
      </c>
    </row>
    <row r="10">
      <c r="A10" s="11" t="inlineStr">
        <is>
          <t>Sessions per month</t>
        </is>
      </c>
      <c r="B10" s="14">
        <f>B2*B3</f>
        <v/>
      </c>
      <c r="C10" s="12" t="inlineStr">
        <is>
          <t>sessions</t>
        </is>
      </c>
    </row>
    <row r="11">
      <c r="A11" s="11" t="inlineStr">
        <is>
          <t>API cost — current ($/mo)</t>
        </is>
      </c>
      <c r="B11" s="15">
        <f>B2*B3*B4</f>
        <v/>
      </c>
    </row>
    <row r="12">
      <c r="A12" s="11" t="inlineStr">
        <is>
          <t>Infrastructure — current</t>
        </is>
      </c>
      <c r="B12" s="15">
        <f>B2*B3*B4*B7</f>
        <v/>
      </c>
    </row>
    <row r="13">
      <c r="A13" s="11" t="inlineStr">
        <is>
          <t>Total cost — current ($/mo)</t>
        </is>
      </c>
      <c r="B13" s="15">
        <f>B2*B3*B4*(1+B7)</f>
        <v/>
      </c>
    </row>
    <row r="14">
      <c r="A14" s="11" t="inlineStr">
        <is>
          <t>API cost — optimized ($/mo)</t>
        </is>
      </c>
      <c r="B14" s="15">
        <f>B2*B3*B5</f>
        <v/>
      </c>
    </row>
    <row r="15">
      <c r="A15" s="11" t="inlineStr">
        <is>
          <t>Total cost — optimized ($/mo)</t>
        </is>
      </c>
      <c r="B15" s="15">
        <f>B2*B3*B5*(1+B7)</f>
        <v/>
      </c>
    </row>
    <row r="16">
      <c r="A16" s="11" t="inlineStr">
        <is>
          <t>Revenue ($/mo)</t>
        </is>
      </c>
      <c r="B16" s="15">
        <f>B2*B3*B6</f>
        <v/>
      </c>
    </row>
    <row r="17">
      <c r="A17" s="11" t="inlineStr">
        <is>
          <t>Gross margin — current</t>
        </is>
      </c>
      <c r="B17" s="16">
        <f>1-(B2*B3*B4*(1+B7))/(B2*B3*B6)</f>
        <v/>
      </c>
    </row>
    <row r="18">
      <c r="A18" s="11" t="inlineStr">
        <is>
          <t>Gross margin — optimized</t>
        </is>
      </c>
      <c r="B18" s="16">
        <f>1-(B2*B3*B5*(1+B7))/(B2*B3*B6)</f>
        <v/>
      </c>
    </row>
    <row r="19">
      <c r="A19" s="11" t="inlineStr">
        <is>
          <t>Annual revenue run rate</t>
        </is>
      </c>
      <c r="B19" s="15">
        <f>B2*B3*B6*12</f>
        <v/>
      </c>
    </row>
  </sheetData>
  <mergeCells count="2">
    <mergeCell ref="A1:D1"/>
    <mergeCell ref="A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40" customWidth="1" min="4" max="4"/>
    <col width="18" customWidth="1" min="5" max="5"/>
  </cols>
  <sheetData>
    <row r="1" ht="20" customHeight="1">
      <c r="A1" s="8" t="inlineStr">
        <is>
          <t>COST OPTIMIZATION SENSITIVITY — Path to $3-8/session</t>
        </is>
      </c>
    </row>
    <row r="2">
      <c r="A2" s="17" t="inlineStr">
        <is>
          <t>Optimization Lever</t>
        </is>
      </c>
      <c r="B2" s="17" t="inlineStr">
        <is>
          <t>Mechanism</t>
        </is>
      </c>
      <c r="C2" s="17" t="inlineStr">
        <is>
          <t>Cost Reduction</t>
        </is>
      </c>
      <c r="D2" s="17" t="inlineStr">
        <is>
          <t>Basis</t>
        </is>
      </c>
      <c r="E2" s="17" t="inlineStr">
        <is>
          <t>$/session after</t>
        </is>
      </c>
    </row>
    <row r="3" ht="52" customHeight="1">
      <c r="A3" s="18" t="inlineStr">
        <is>
          <t>Baseline (current)</t>
        </is>
      </c>
      <c r="B3" s="19" t="inlineStr">
        <is>
          <t>Opus 4.x, full context accumulation, LLM does arithmetic</t>
        </is>
      </c>
      <c r="C3" s="19" t="inlineStr">
        <is>
          <t>—</t>
        </is>
      </c>
      <c r="D3" s="20" t="inlineStr">
        <is>
          <t>Median of 7 logged sessions</t>
        </is>
      </c>
      <c r="E3" s="21" t="n">
        <v>205</v>
      </c>
    </row>
    <row r="4" ht="52" customHeight="1">
      <c r="A4" s="19" t="inlineStr">
        <is>
          <t>Model tiering — extraction to Haiku</t>
        </is>
      </c>
      <c r="B4" s="19" t="inlineStr">
        <is>
          <t>Haiku output: $1.25/M vs $75/M (60x cheaper). ~60% of turns are extraction. Output cost falls from ~$27 to ~$5/session.</t>
        </is>
      </c>
      <c r="C4" s="19" t="inlineStr">
        <is>
          <t>~$22 saved on output</t>
        </is>
      </c>
      <c r="D4" s="20" t="inlineStr">
        <is>
          <t>Anthropic published Haiku 4.5 pricing; extraction turn fraction estimated from session logs</t>
        </is>
      </c>
      <c r="E4" s="21" t="n">
        <v>183</v>
      </c>
    </row>
    <row r="5" ht="52" customHeight="1">
      <c r="A5" s="19" t="inlineStr">
        <is>
          <t>Context compression between gates</t>
        </is>
      </c>
      <c r="B5" s="19" t="inlineStr">
        <is>
          <t>Summarize completed gate output rather than carrying raw tool history forward. Reduces cache-read volume by est. 65%. Cache read falls from ~$100 to ~$35/session.</t>
        </is>
      </c>
      <c r="C5" s="19" t="inlineStr">
        <is>
          <t>~$65 saved on cache reads</t>
        </is>
      </c>
      <c r="D5" s="20" t="inlineStr">
        <is>
          <t>Cache-read cost is 46–162M tokens/session at $1.50/M; 65% compression est. from gate-output size analysis</t>
        </is>
      </c>
      <c r="E5" s="21" t="n">
        <v>118</v>
      </c>
    </row>
    <row r="6" ht="52" customHeight="1">
      <c r="A6" s="19" t="inlineStr">
        <is>
          <t>Deterministic arithmetic scripts</t>
        </is>
      </c>
      <c r="B6" s="19" t="inlineStr">
        <is>
          <t>Python handles all numeric checks (mass balance, EF calcs, gross-to-net). Removes ~40 reasoning-heavy turns per session, cutting output tokens and context growth.</t>
        </is>
      </c>
      <c r="C6" s="19" t="inlineStr">
        <is>
          <t>~$15 saved (turns + downstream cache)</t>
        </is>
      </c>
      <c r="D6" s="20" t="inlineStr">
        <is>
          <t>Pilot script (compute_mass_chain.py) validated; turn count reduction estimated from session turn profiles</t>
        </is>
      </c>
      <c r="E6" s="21" t="n">
        <v>103</v>
      </c>
    </row>
    <row r="7" ht="52" customHeight="1">
      <c r="A7" s="18" t="inlineStr">
        <is>
          <t>Domain fine-tuned model (18-24 mo)</t>
        </is>
      </c>
      <c r="B7" s="19" t="inlineStr">
        <is>
          <t>Fine-tuned Haiku trained on extraction tasks from ~500+ logged QA sessions. Inference cost approaches $0.10-0.25/M on fine-tuned Haiku tiers. Cache write cost also scales down with smaller model.</t>
        </is>
      </c>
      <c r="C7" s="19" t="inlineStr">
        <is>
          <t>~$90 additional saved</t>
        </is>
      </c>
      <c r="D7" s="20" t="inlineStr">
        <is>
          <t>Fine-tuning cost reduction: industry benchmarks (Anthropic, OpenAI) show 10-20x cost reduction for domain fine-tuned models on narrow extraction tasks vs. frontier models</t>
        </is>
      </c>
      <c r="E7" s="22" t="n">
        <v>8</v>
      </c>
    </row>
    <row r="10">
      <c r="A10" s="8" t="inlineStr">
        <is>
          <t>1M USER ECONOMICS — Optimized vs Current</t>
        </is>
      </c>
    </row>
    <row r="11">
      <c r="A11" s="17" t="inlineStr">
        <is>
          <t>Scenario</t>
        </is>
      </c>
      <c r="B11" s="17" t="inlineStr">
        <is>
          <t>Cost/Session</t>
        </is>
      </c>
      <c r="C11" s="17" t="inlineStr">
        <is>
          <t>Sessions/Month</t>
        </is>
      </c>
      <c r="D11" s="17" t="inlineStr">
        <is>
          <t>API Cost/Month</t>
        </is>
      </c>
      <c r="E11" s="17" t="inlineStr">
        <is>
          <t>Revenue/Month @ $25/session</t>
        </is>
      </c>
    </row>
    <row r="12">
      <c r="A12" s="11" t="inlineStr">
        <is>
          <t>Current architecture</t>
        </is>
      </c>
      <c r="B12" s="15" t="n">
        <v>205</v>
      </c>
      <c r="C12" s="23" t="n">
        <v>1000000</v>
      </c>
      <c r="D12" s="24">
        <f>B12*C12</f>
        <v/>
      </c>
      <c r="E12" s="25">
        <f>1000000*25</f>
        <v/>
      </c>
    </row>
    <row r="13">
      <c r="A13" s="26" t="inlineStr">
        <is>
          <t>Partially optimized (~$15)</t>
        </is>
      </c>
      <c r="B13" s="27" t="n">
        <v>15</v>
      </c>
      <c r="C13" s="28" t="n">
        <v>1000000</v>
      </c>
      <c r="D13" s="29">
        <f>B13*C13</f>
        <v/>
      </c>
      <c r="E13" s="30">
        <f>1000000*25</f>
        <v/>
      </c>
    </row>
    <row r="14">
      <c r="A14" s="31" t="inlineStr">
        <is>
          <t>Fully optimized (~$5-8)</t>
        </is>
      </c>
      <c r="B14" s="32" t="n">
        <v>6</v>
      </c>
      <c r="C14" s="33" t="n">
        <v>1000000</v>
      </c>
      <c r="D14" s="34">
        <f>B14*C14</f>
        <v/>
      </c>
      <c r="E14" s="35">
        <f>1000000*25</f>
        <v/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8" customWidth="1" min="4" max="4"/>
    <col width="38" customWidth="1" min="5" max="5"/>
    <col width="30" customWidth="1" min="6" max="6"/>
  </cols>
  <sheetData>
    <row r="1">
      <c r="A1" s="8" t="inlineStr">
        <is>
          <t>SUSTAINABILITY VERIFICATION TAM — Entity &amp; Session Estimates</t>
        </is>
      </c>
    </row>
    <row r="2">
      <c r="A2" s="17" t="inlineStr">
        <is>
          <t>Market Segment</t>
        </is>
      </c>
      <c r="B2" s="17" t="inlineStr">
        <is>
          <t>Addressable Entities</t>
        </is>
      </c>
      <c r="C2" s="17" t="inlineStr">
        <is>
          <t>Sessions/Entity/Month</t>
        </is>
      </c>
      <c r="D2" s="17" t="inlineStr">
        <is>
          <t>Sessions/Month</t>
        </is>
      </c>
      <c r="E2" s="17" t="inlineStr">
        <is>
          <t>Source / Basis</t>
        </is>
      </c>
      <c r="F2" s="17" t="inlineStr">
        <is>
          <t>Notes</t>
        </is>
      </c>
    </row>
    <row r="3" ht="48" customHeight="1">
      <c r="A3" s="19" t="inlineStr">
        <is>
          <t>EU CSRD — large companies (Phase 1-2)</t>
        </is>
      </c>
      <c r="B3" s="36" t="n">
        <v>50000</v>
      </c>
      <c r="C3" s="19" t="n">
        <v>2</v>
      </c>
      <c r="D3" s="37">
        <f>B3*C3</f>
        <v/>
      </c>
      <c r="E3" s="20" t="inlineStr">
        <is>
          <t>EU Directive 2022/2464; ~50K large EU + non-EU companies by FY2025 reports</t>
        </is>
      </c>
      <c r="F3" s="20" t="inlineStr">
        <is>
          <t>Annual report = ~2 verification events/yr; monthly = 0.17 → rounded to 2/mo for quarterly sub-reports</t>
        </is>
      </c>
    </row>
    <row r="4" ht="48" customHeight="1">
      <c r="A4" s="19" t="inlineStr">
        <is>
          <t>EU CSRD — SMEs (Phase 3, 2026+)</t>
        </is>
      </c>
      <c r="B4" s="36" t="n">
        <v>250000</v>
      </c>
      <c r="C4" s="19" t="n">
        <v>1</v>
      </c>
      <c r="D4" s="37">
        <f>B4*C4</f>
        <v/>
      </c>
      <c r="E4" s="20" t="inlineStr">
        <is>
          <t>EC impact assessment (EFRAG): up to 50K large + potentially hundreds of K SMEs</t>
        </is>
      </c>
      <c r="F4" s="20" t="inlineStr">
        <is>
          <t>Conservative: only ~250K of estimated 500K+ SMEs captured</t>
        </is>
      </c>
    </row>
    <row r="5" ht="48" customHeight="1">
      <c r="A5" s="19" t="inlineStr">
        <is>
          <t>US IRA clean energy credits (45Q/45V/45Z)</t>
        </is>
      </c>
      <c r="B5" s="36" t="n">
        <v>8000</v>
      </c>
      <c r="C5" s="19" t="n">
        <v>2</v>
      </c>
      <c r="D5" s="37">
        <f>B5*C5</f>
        <v/>
      </c>
      <c r="E5" s="20" t="inlineStr">
        <is>
          <t>DOE, IRS guidance; rough count from CCUS, hydrogen, clean fuel project pipelines</t>
        </is>
      </c>
      <c r="F5" s="20" t="inlineStr">
        <is>
          <t>Quarterly IRS submissions; semi-annual MRV reports → ~2 events/mo</t>
        </is>
      </c>
    </row>
    <row r="6" ht="48" customHeight="1">
      <c r="A6" s="19" t="inlineStr">
        <is>
          <t>Voluntary Carbon Market — project developers</t>
        </is>
      </c>
      <c r="B6" s="36" t="n">
        <v>10000</v>
      </c>
      <c r="C6" s="19" t="n">
        <v>1</v>
      </c>
      <c r="D6" s="37">
        <f>B6*C6</f>
        <v/>
      </c>
      <c r="E6" s="20" t="inlineStr">
        <is>
          <t>VERRA VCS registry: ~10K registered projects (2024); Gold Standard, ACR add ~2K more</t>
        </is>
      </c>
      <c r="F6" s="20" t="inlineStr">
        <is>
          <t>Annual verification + interim monitoring = ~1 verification-class event/mo average</t>
        </is>
      </c>
    </row>
    <row r="7" ht="48" customHeight="1">
      <c r="A7" s="19" t="inlineStr">
        <is>
          <t>Compliance carbon (EU ETS, CA-ETS, RGGI, others)</t>
        </is>
      </c>
      <c r="B7" s="36" t="n">
        <v>30000</v>
      </c>
      <c r="C7" s="19" t="n">
        <v>1</v>
      </c>
      <c r="D7" s="37">
        <f>B7*C7</f>
        <v/>
      </c>
      <c r="E7" s="20" t="inlineStr">
        <is>
          <t>EU ETS: ~10K installations; CA+RGGI+Canada+UK+Australia: ~20K additional regulated sites</t>
        </is>
      </c>
      <c r="F7" s="20" t="inlineStr">
        <is>
          <t>Annual verified emission report; some quarterly sub-reporting</t>
        </is>
      </c>
    </row>
    <row r="8" ht="48" customHeight="1">
      <c r="A8" s="19" t="inlineStr">
        <is>
          <t>US RFS (RINs) + CA LCFS pathways</t>
        </is>
      </c>
      <c r="B8" s="36" t="n">
        <v>2500</v>
      </c>
      <c r="C8" s="19" t="n">
        <v>3</v>
      </c>
      <c r="D8" s="37">
        <f>B8*C8</f>
        <v/>
      </c>
      <c r="E8" s="20" t="inlineStr">
        <is>
          <t>EPA RFS: ~1.5K obligated parties + ~600 RIN generators; LCFS: ~300 certified pathways</t>
        </is>
      </c>
      <c r="F8" s="20" t="inlineStr">
        <is>
          <t>Monthly RIN generation reports + quarterly pathway audits</t>
        </is>
      </c>
    </row>
    <row r="9" ht="48" customHeight="1">
      <c r="A9" s="19" t="inlineStr">
        <is>
          <t>Environmental attribute certs (RECs, SAF, BCUs, EACs)</t>
        </is>
      </c>
      <c r="B9" s="36" t="n">
        <v>15000</v>
      </c>
      <c r="C9" s="19" t="n">
        <v>2</v>
      </c>
      <c r="D9" s="37">
        <f>B9*C9</f>
        <v/>
      </c>
      <c r="E9" s="20" t="inlineStr">
        <is>
          <t>NERC GATS: ~10K REC generators; CORSIA SAF: growing; BCUs, I-RECs globally: ~5K</t>
        </is>
      </c>
      <c r="F9" s="20" t="inlineStr">
        <is>
          <t>Quarterly issuance with evidence chains</t>
        </is>
      </c>
    </row>
    <row r="10" ht="48" customHeight="1">
      <c r="A10" s="19" t="inlineStr">
        <is>
          <t>CDR (direct air capture, bio-oil, biochar, enhanced weathering)</t>
        </is>
      </c>
      <c r="B10" s="36" t="n">
        <v>500</v>
      </c>
      <c r="C10" s="19" t="n">
        <v>5</v>
      </c>
      <c r="D10" s="37">
        <f>B10*C10</f>
        <v/>
      </c>
      <c r="E10" s="20" t="inlineStr">
        <is>
          <t>Current CDR operator count ~200-300; growing to ~500-1K by 2028 (IEA, BloombergNEF)</t>
        </is>
      </c>
      <c r="F10" s="20" t="inlineStr">
        <is>
          <t>Monthly batch QA, quarterly MRV reports — highest sessions/entity</t>
        </is>
      </c>
    </row>
    <row r="11">
      <c r="A11" s="8" t="inlineStr">
        <is>
          <t>TOTALS</t>
        </is>
      </c>
    </row>
    <row r="12">
      <c r="A12" s="9" t="inlineStr">
        <is>
          <t>Total addressable entities</t>
        </is>
      </c>
      <c r="B12" s="38">
        <f>SUM(B3:B10)</f>
        <v/>
      </c>
    </row>
    <row r="13">
      <c r="A13" s="9" t="inlineStr">
        <is>
          <t>Total sessions per month</t>
        </is>
      </c>
      <c r="D13" s="39">
        <f>SUM(D3:D10)</f>
        <v/>
      </c>
    </row>
    <row r="15">
      <c r="A15" s="9" t="inlineStr">
        <is>
          <t>Revenue @ $25/session (optimized SaaS)</t>
        </is>
      </c>
      <c r="D15" s="40">
        <f>SUM(D3:D10)*25</f>
        <v/>
      </c>
    </row>
    <row r="16">
      <c r="A16" s="9" t="inlineStr">
        <is>
          <t>API cost @ $6/session (fully optimized)</t>
        </is>
      </c>
      <c r="D16" s="41">
        <f>SUM(D3:D10)*6</f>
        <v/>
      </c>
    </row>
    <row r="17">
      <c r="A17" s="9" t="inlineStr">
        <is>
          <t>Gross margin (optimized)</t>
        </is>
      </c>
      <c r="D17" s="42">
        <f>1-(SUM(D3:D10)*6)/(SUM(D3:D10)*25)</f>
        <v/>
      </c>
    </row>
  </sheetData>
  <mergeCells count="2">
    <mergeCell ref="A1:F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2026-05-16T18:39:23Z</dcterms:created>
  <dcterms:modified xmlns:dcterms="http://purl.org/dc/terms/" xmlns:xsi="http://www.w3.org/2001/XMLSchema-instance" xsi:type="dcterms:W3CDTF">2026-05-16T18:39:23Z</dcterms:modified>
</cp:coreProperties>
</file>