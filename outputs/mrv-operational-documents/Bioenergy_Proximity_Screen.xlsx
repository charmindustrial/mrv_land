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300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Plants" sheetId="2" state="visible" r:id="rId2"/>
    <sheet xmlns:r="http://schemas.openxmlformats.org/officeDocument/2006/relationships" name="Methodology Not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595959"/>
      <sz val="9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1F4E79"/>
      <sz val="12"/>
    </font>
    <font>
      <name val="Calibri"/>
      <b val="1"/>
      <sz val="13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horizontal="right"/>
    </xf>
    <xf numFmtId="0" fontId="5" fillId="5" borderId="1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6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3" fillId="4" borderId="0" pivotButton="0" quotePrefix="0" xfId="0"/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b val="1"/>
        <color rgb="FF375623"/>
      </font>
      <fill>
        <patternFill patternType="solid">
          <fgColor rgb="FFE2EFDA"/>
        </patternFill>
      </fill>
    </dxf>
    <dxf>
      <font>
        <b val="1"/>
        <color rgb="FF7D6608"/>
      </font>
      <fill>
        <patternFill patternType="solid">
          <fgColor rgb="FFFFEB9C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tabSelected="1" workbookViewId="0">
      <pane ySplit="10" topLeftCell="A11" activePane="bottomLeft" state="frozen"/>
      <selection pane="bottomLeft" activeCell="B7" sqref="B7"/>
    </sheetView>
  </sheetViews>
  <sheetFormatPr baseColWidth="10" defaultColWidth="8.83203125" defaultRowHeight="15"/>
  <cols>
    <col width="38.1640625" customWidth="1" style="11" min="1" max="1"/>
    <col width="10" customWidth="1" style="11" min="2" max="2"/>
    <col width="30" customWidth="1" style="11" min="3" max="3"/>
    <col width="7" customWidth="1" style="11" min="4" max="4"/>
    <col width="24" customWidth="1" style="11" min="5" max="5"/>
    <col width="14" customWidth="1" style="11" min="6" max="6"/>
    <col width="16" customWidth="1" style="11" min="7" max="7"/>
  </cols>
  <sheetData>
    <row r="1" ht="28" customHeight="1" s="11">
      <c r="A1" s="13" t="inlineStr">
        <is>
          <t>Bioenergy Proximity Screen — Woody Biomass Diversion Risk</t>
        </is>
      </c>
    </row>
    <row r="2">
      <c r="A2" s="12" t="inlineStr">
        <is>
          <t>Source: EIA-860 2024 Annual Data (WDS fuel type, operating units only)  |  Threshold: Jones et al. 2013 (USDA FS), 81 mi / 130 km conservative outer limit</t>
        </is>
      </c>
    </row>
    <row r="4">
      <c r="A4" s="10" t="inlineStr">
        <is>
          <t>PROJECT INPUTS</t>
        </is>
      </c>
    </row>
    <row r="5" ht="16" customHeight="1" s="11">
      <c r="A5" s="1" t="inlineStr">
        <is>
          <t>Project Latitude (decimal degrees):</t>
        </is>
      </c>
      <c r="B5" s="2" t="n">
        <v>39.926306</v>
      </c>
      <c r="C5" s="3" t="inlineStr">
        <is>
          <t>e.g. 44.3601</t>
        </is>
      </c>
    </row>
    <row r="6" ht="16" customHeight="1" s="11">
      <c r="A6" s="1" t="inlineStr">
        <is>
          <t>Project Longitude (decimal degrees):</t>
        </is>
      </c>
      <c r="B6" s="2" t="n">
        <v>-105.50275</v>
      </c>
      <c r="C6" s="3" t="inlineStr">
        <is>
          <t>e.g. -68.2041</t>
        </is>
      </c>
    </row>
    <row r="7" ht="16" customHeight="1" s="11">
      <c r="A7" s="1" t="inlineStr">
        <is>
          <t>Threshold (miles):</t>
        </is>
      </c>
      <c r="B7" s="2" t="n">
        <v>81</v>
      </c>
      <c r="C7" s="3" t="inlineStr">
        <is>
          <t>Plants within this = FLAG</t>
        </is>
      </c>
    </row>
    <row r="8" ht="16" customHeight="1" s="11">
      <c r="A8" s="1" t="n"/>
      <c r="B8" s="2" t="n"/>
      <c r="C8" s="3" t="n"/>
    </row>
    <row r="10">
      <c r="A10" s="4" t="inlineStr">
        <is>
          <t>Distance (mi)</t>
        </is>
      </c>
      <c r="B10" s="4" t="inlineStr">
        <is>
          <t>Risk</t>
        </is>
      </c>
      <c r="C10" s="4" t="inlineStr">
        <is>
          <t>Plant Name</t>
        </is>
      </c>
      <c r="D10" s="4" t="inlineStr">
        <is>
          <t>State</t>
        </is>
      </c>
      <c r="E10" s="4" t="inlineStr">
        <is>
          <t>County / City</t>
        </is>
      </c>
      <c r="F10" s="4" t="inlineStr">
        <is>
          <t>Capacity (MW)</t>
        </is>
      </c>
      <c r="G10" s="4" t="inlineStr">
        <is>
          <t>EIA Plant Code</t>
        </is>
      </c>
    </row>
    <row r="11">
      <c r="A11" s="5">
        <f>IF(OR($B$5=0,$B$6=0),"",ROUND(ACOS(MIN(1,SIN(RADIANS($B$5))*SIN(RADIANS(Plants!E2))+COS(RADIANS($B$5))*COS(RADIANS(Plants!E2))*COS(RADIANS(Plants!F2-$B$6))))*3958.8,1))</f>
        <v/>
      </c>
      <c r="B11" s="5">
        <f>IF(A11="","",IF(A11&lt;=$B$7,"FLAG","OK"))</f>
        <v/>
      </c>
      <c r="C11" s="5">
        <f>Plants!A2</f>
        <v/>
      </c>
      <c r="D11" s="5">
        <f>Plants!B2</f>
        <v/>
      </c>
      <c r="E11" s="5">
        <f>Plants!C2&amp;", "&amp;Plants!D2</f>
        <v/>
      </c>
      <c r="F11" s="5">
        <f>Plants!H2</f>
        <v/>
      </c>
      <c r="G11" s="5">
        <f>Plants!I2</f>
        <v/>
      </c>
    </row>
    <row r="12">
      <c r="A12">
        <f>IF(OR($B$5=0,$B$6=0),"",ROUND(ACOS(MIN(1,SIN(RADIANS($B$5))*SIN(RADIANS(Plants!E3))+COS(RADIANS($B$5))*COS(RADIANS(Plants!E3))*COS(RADIANS(Plants!F3-$B$6))))*3958.8,1))</f>
        <v/>
      </c>
      <c r="B12">
        <f>IF(A12="","",IF(A12&lt;=$B$7,"FLAG","OK"))</f>
        <v/>
      </c>
      <c r="C12">
        <f>Plants!A3</f>
        <v/>
      </c>
      <c r="D12">
        <f>Plants!B3</f>
        <v/>
      </c>
      <c r="E12">
        <f>Plants!C3&amp;", "&amp;Plants!D3</f>
        <v/>
      </c>
      <c r="F12">
        <f>Plants!H3</f>
        <v/>
      </c>
      <c r="G12">
        <f>Plants!I3</f>
        <v/>
      </c>
    </row>
    <row r="13">
      <c r="A13" s="5">
        <f>IF(OR($B$5=0,$B$6=0),"",ROUND(ACOS(MIN(1,SIN(RADIANS($B$5))*SIN(RADIANS(Plants!E4))+COS(RADIANS($B$5))*COS(RADIANS(Plants!E4))*COS(RADIANS(Plants!F4-$B$6))))*3958.8,1))</f>
        <v/>
      </c>
      <c r="B13" s="5">
        <f>IF(A13="","",IF(A13&lt;=$B$7,"FLAG","OK"))</f>
        <v/>
      </c>
      <c r="C13" s="5">
        <f>Plants!A4</f>
        <v/>
      </c>
      <c r="D13" s="5">
        <f>Plants!B4</f>
        <v/>
      </c>
      <c r="E13" s="5">
        <f>Plants!C4&amp;", "&amp;Plants!D4</f>
        <v/>
      </c>
      <c r="F13" s="5">
        <f>Plants!H4</f>
        <v/>
      </c>
      <c r="G13" s="5">
        <f>Plants!I4</f>
        <v/>
      </c>
    </row>
    <row r="14">
      <c r="A14">
        <f>IF(OR($B$5=0,$B$6=0),"",ROUND(ACOS(MIN(1,SIN(RADIANS($B$5))*SIN(RADIANS(Plants!E5))+COS(RADIANS($B$5))*COS(RADIANS(Plants!E5))*COS(RADIANS(Plants!F5-$B$6))))*3958.8,1))</f>
        <v/>
      </c>
      <c r="B14">
        <f>IF(A14="","",IF(A14&lt;=$B$7,"FLAG","OK"))</f>
        <v/>
      </c>
      <c r="C14">
        <f>Plants!A5</f>
        <v/>
      </c>
      <c r="D14">
        <f>Plants!B5</f>
        <v/>
      </c>
      <c r="E14">
        <f>Plants!C5&amp;", "&amp;Plants!D5</f>
        <v/>
      </c>
      <c r="F14">
        <f>Plants!H5</f>
        <v/>
      </c>
      <c r="G14">
        <f>Plants!I5</f>
        <v/>
      </c>
    </row>
    <row r="15">
      <c r="A15" s="5">
        <f>IF(OR($B$5=0,$B$6=0),"",ROUND(ACOS(MIN(1,SIN(RADIANS($B$5))*SIN(RADIANS(Plants!E6))+COS(RADIANS($B$5))*COS(RADIANS(Plants!E6))*COS(RADIANS(Plants!F6-$B$6))))*3958.8,1))</f>
        <v/>
      </c>
      <c r="B15" s="5">
        <f>IF(A15="","",IF(A15&lt;=$B$7,"FLAG","OK"))</f>
        <v/>
      </c>
      <c r="C15" s="5">
        <f>Plants!A6</f>
        <v/>
      </c>
      <c r="D15" s="5">
        <f>Plants!B6</f>
        <v/>
      </c>
      <c r="E15" s="5">
        <f>Plants!C6&amp;", "&amp;Plants!D6</f>
        <v/>
      </c>
      <c r="F15" s="5">
        <f>Plants!H6</f>
        <v/>
      </c>
      <c r="G15" s="5">
        <f>Plants!I6</f>
        <v/>
      </c>
    </row>
    <row r="16">
      <c r="A16">
        <f>IF(OR($B$5=0,$B$6=0),"",ROUND(ACOS(MIN(1,SIN(RADIANS($B$5))*SIN(RADIANS(Plants!E7))+COS(RADIANS($B$5))*COS(RADIANS(Plants!E7))*COS(RADIANS(Plants!F7-$B$6))))*3958.8,1))</f>
        <v/>
      </c>
      <c r="B16">
        <f>IF(A16="","",IF(A16&lt;=$B$7,"FLAG","OK"))</f>
        <v/>
      </c>
      <c r="C16">
        <f>Plants!A7</f>
        <v/>
      </c>
      <c r="D16">
        <f>Plants!B7</f>
        <v/>
      </c>
      <c r="E16">
        <f>Plants!C7&amp;", "&amp;Plants!D7</f>
        <v/>
      </c>
      <c r="F16">
        <f>Plants!H7</f>
        <v/>
      </c>
      <c r="G16">
        <f>Plants!I7</f>
        <v/>
      </c>
    </row>
    <row r="17">
      <c r="A17" s="5">
        <f>IF(OR($B$5=0,$B$6=0),"",ROUND(ACOS(MIN(1,SIN(RADIANS($B$5))*SIN(RADIANS(Plants!E8))+COS(RADIANS($B$5))*COS(RADIANS(Plants!E8))*COS(RADIANS(Plants!F8-$B$6))))*3958.8,1))</f>
        <v/>
      </c>
      <c r="B17" s="5">
        <f>IF(A17="","",IF(A17&lt;=$B$7,"FLAG","OK"))</f>
        <v/>
      </c>
      <c r="C17" s="5">
        <f>Plants!A8</f>
        <v/>
      </c>
      <c r="D17" s="5">
        <f>Plants!B8</f>
        <v/>
      </c>
      <c r="E17" s="5">
        <f>Plants!C8&amp;", "&amp;Plants!D8</f>
        <v/>
      </c>
      <c r="F17" s="5">
        <f>Plants!H8</f>
        <v/>
      </c>
      <c r="G17" s="5">
        <f>Plants!I8</f>
        <v/>
      </c>
    </row>
    <row r="18">
      <c r="A18">
        <f>IF(OR($B$5=0,$B$6=0),"",ROUND(ACOS(MIN(1,SIN(RADIANS($B$5))*SIN(RADIANS(Plants!E9))+COS(RADIANS($B$5))*COS(RADIANS(Plants!E9))*COS(RADIANS(Plants!F9-$B$6))))*3958.8,1))</f>
        <v/>
      </c>
      <c r="B18">
        <f>IF(A18="","",IF(A18&lt;=$B$7,"FLAG","OK"))</f>
        <v/>
      </c>
      <c r="C18">
        <f>Plants!A9</f>
        <v/>
      </c>
      <c r="D18">
        <f>Plants!B9</f>
        <v/>
      </c>
      <c r="E18">
        <f>Plants!C9&amp;", "&amp;Plants!D9</f>
        <v/>
      </c>
      <c r="F18">
        <f>Plants!H9</f>
        <v/>
      </c>
      <c r="G18">
        <f>Plants!I9</f>
        <v/>
      </c>
    </row>
    <row r="19">
      <c r="A19" s="5">
        <f>IF(OR($B$5=0,$B$6=0),"",ROUND(ACOS(MIN(1,SIN(RADIANS($B$5))*SIN(RADIANS(Plants!E10))+COS(RADIANS($B$5))*COS(RADIANS(Plants!E10))*COS(RADIANS(Plants!F10-$B$6))))*3958.8,1))</f>
        <v/>
      </c>
      <c r="B19" s="5">
        <f>IF(A19="","",IF(A19&lt;=$B$7,"FLAG","OK"))</f>
        <v/>
      </c>
      <c r="C19" s="5">
        <f>Plants!A10</f>
        <v/>
      </c>
      <c r="D19" s="5">
        <f>Plants!B10</f>
        <v/>
      </c>
      <c r="E19" s="5">
        <f>Plants!C10&amp;", "&amp;Plants!D10</f>
        <v/>
      </c>
      <c r="F19" s="5">
        <f>Plants!H10</f>
        <v/>
      </c>
      <c r="G19" s="5">
        <f>Plants!I10</f>
        <v/>
      </c>
    </row>
    <row r="20">
      <c r="A20">
        <f>IF(OR($B$5=0,$B$6=0),"",ROUND(ACOS(MIN(1,SIN(RADIANS($B$5))*SIN(RADIANS(Plants!E11))+COS(RADIANS($B$5))*COS(RADIANS(Plants!E11))*COS(RADIANS(Plants!F11-$B$6))))*3958.8,1))</f>
        <v/>
      </c>
      <c r="B20">
        <f>IF(A20="","",IF(A20&lt;=$B$7,"FLAG","OK"))</f>
        <v/>
      </c>
      <c r="C20">
        <f>Plants!A11</f>
        <v/>
      </c>
      <c r="D20">
        <f>Plants!B11</f>
        <v/>
      </c>
      <c r="E20">
        <f>Plants!C11&amp;", "&amp;Plants!D11</f>
        <v/>
      </c>
      <c r="F20">
        <f>Plants!H11</f>
        <v/>
      </c>
      <c r="G20">
        <f>Plants!I11</f>
        <v/>
      </c>
    </row>
    <row r="21">
      <c r="A21" s="5">
        <f>IF(OR($B$5=0,$B$6=0),"",ROUND(ACOS(MIN(1,SIN(RADIANS($B$5))*SIN(RADIANS(Plants!E12))+COS(RADIANS($B$5))*COS(RADIANS(Plants!E12))*COS(RADIANS(Plants!F12-$B$6))))*3958.8,1))</f>
        <v/>
      </c>
      <c r="B21" s="5">
        <f>IF(A21="","",IF(A21&lt;=$B$7,"FLAG","OK"))</f>
        <v/>
      </c>
      <c r="C21" s="5">
        <f>Plants!A12</f>
        <v/>
      </c>
      <c r="D21" s="5">
        <f>Plants!B12</f>
        <v/>
      </c>
      <c r="E21" s="5">
        <f>Plants!C12&amp;", "&amp;Plants!D12</f>
        <v/>
      </c>
      <c r="F21" s="5">
        <f>Plants!H12</f>
        <v/>
      </c>
      <c r="G21" s="5">
        <f>Plants!I12</f>
        <v/>
      </c>
    </row>
    <row r="22">
      <c r="A22">
        <f>IF(OR($B$5=0,$B$6=0),"",ROUND(ACOS(MIN(1,SIN(RADIANS($B$5))*SIN(RADIANS(Plants!E13))+COS(RADIANS($B$5))*COS(RADIANS(Plants!E13))*COS(RADIANS(Plants!F13-$B$6))))*3958.8,1))</f>
        <v/>
      </c>
      <c r="B22">
        <f>IF(A22="","",IF(A22&lt;=$B$7,"FLAG","OK"))</f>
        <v/>
      </c>
      <c r="C22">
        <f>Plants!A13</f>
        <v/>
      </c>
      <c r="D22">
        <f>Plants!B13</f>
        <v/>
      </c>
      <c r="E22">
        <f>Plants!C13&amp;", "&amp;Plants!D13</f>
        <v/>
      </c>
      <c r="F22">
        <f>Plants!H13</f>
        <v/>
      </c>
      <c r="G22">
        <f>Plants!I13</f>
        <v/>
      </c>
    </row>
    <row r="23">
      <c r="A23" s="5">
        <f>IF(OR($B$5=0,$B$6=0),"",ROUND(ACOS(MIN(1,SIN(RADIANS($B$5))*SIN(RADIANS(Plants!E14))+COS(RADIANS($B$5))*COS(RADIANS(Plants!E14))*COS(RADIANS(Plants!F14-$B$6))))*3958.8,1))</f>
        <v/>
      </c>
      <c r="B23" s="5">
        <f>IF(A23="","",IF(A23&lt;=$B$7,"FLAG","OK"))</f>
        <v/>
      </c>
      <c r="C23" s="5">
        <f>Plants!A14</f>
        <v/>
      </c>
      <c r="D23" s="5">
        <f>Plants!B14</f>
        <v/>
      </c>
      <c r="E23" s="5">
        <f>Plants!C14&amp;", "&amp;Plants!D14</f>
        <v/>
      </c>
      <c r="F23" s="5">
        <f>Plants!H14</f>
        <v/>
      </c>
      <c r="G23" s="5">
        <f>Plants!I14</f>
        <v/>
      </c>
    </row>
    <row r="24">
      <c r="A24">
        <f>IF(OR($B$5=0,$B$6=0),"",ROUND(ACOS(MIN(1,SIN(RADIANS($B$5))*SIN(RADIANS(Plants!E15))+COS(RADIANS($B$5))*COS(RADIANS(Plants!E15))*COS(RADIANS(Plants!F15-$B$6))))*3958.8,1))</f>
        <v/>
      </c>
      <c r="B24">
        <f>IF(A24="","",IF(A24&lt;=$B$7,"FLAG","OK"))</f>
        <v/>
      </c>
      <c r="C24">
        <f>Plants!A15</f>
        <v/>
      </c>
      <c r="D24">
        <f>Plants!B15</f>
        <v/>
      </c>
      <c r="E24">
        <f>Plants!C15&amp;", "&amp;Plants!D15</f>
        <v/>
      </c>
      <c r="F24">
        <f>Plants!H15</f>
        <v/>
      </c>
      <c r="G24">
        <f>Plants!I15</f>
        <v/>
      </c>
    </row>
    <row r="25">
      <c r="A25" s="5">
        <f>IF(OR($B$5=0,$B$6=0),"",ROUND(ACOS(MIN(1,SIN(RADIANS($B$5))*SIN(RADIANS(Plants!E16))+COS(RADIANS($B$5))*COS(RADIANS(Plants!E16))*COS(RADIANS(Plants!F16-$B$6))))*3958.8,1))</f>
        <v/>
      </c>
      <c r="B25" s="5">
        <f>IF(A25="","",IF(A25&lt;=$B$7,"FLAG","OK"))</f>
        <v/>
      </c>
      <c r="C25" s="5">
        <f>Plants!A16</f>
        <v/>
      </c>
      <c r="D25" s="5">
        <f>Plants!B16</f>
        <v/>
      </c>
      <c r="E25" s="5">
        <f>Plants!C16&amp;", "&amp;Plants!D16</f>
        <v/>
      </c>
      <c r="F25" s="5">
        <f>Plants!H16</f>
        <v/>
      </c>
      <c r="G25" s="5">
        <f>Plants!I16</f>
        <v/>
      </c>
    </row>
    <row r="26">
      <c r="A26">
        <f>IF(OR($B$5=0,$B$6=0),"",ROUND(ACOS(MIN(1,SIN(RADIANS($B$5))*SIN(RADIANS(Plants!E17))+COS(RADIANS($B$5))*COS(RADIANS(Plants!E17))*COS(RADIANS(Plants!F17-$B$6))))*3958.8,1))</f>
        <v/>
      </c>
      <c r="B26">
        <f>IF(A26="","",IF(A26&lt;=$B$7,"FLAG","OK"))</f>
        <v/>
      </c>
      <c r="C26">
        <f>Plants!A17</f>
        <v/>
      </c>
      <c r="D26">
        <f>Plants!B17</f>
        <v/>
      </c>
      <c r="E26">
        <f>Plants!C17&amp;", "&amp;Plants!D17</f>
        <v/>
      </c>
      <c r="F26">
        <f>Plants!H17</f>
        <v/>
      </c>
      <c r="G26">
        <f>Plants!I17</f>
        <v/>
      </c>
    </row>
    <row r="27">
      <c r="A27" s="5">
        <f>IF(OR($B$5=0,$B$6=0),"",ROUND(ACOS(MIN(1,SIN(RADIANS($B$5))*SIN(RADIANS(Plants!E18))+COS(RADIANS($B$5))*COS(RADIANS(Plants!E18))*COS(RADIANS(Plants!F18-$B$6))))*3958.8,1))</f>
        <v/>
      </c>
      <c r="B27" s="5">
        <f>IF(A27="","",IF(A27&lt;=$B$7,"FLAG","OK"))</f>
        <v/>
      </c>
      <c r="C27" s="5">
        <f>Plants!A18</f>
        <v/>
      </c>
      <c r="D27" s="5">
        <f>Plants!B18</f>
        <v/>
      </c>
      <c r="E27" s="5">
        <f>Plants!C18&amp;", "&amp;Plants!D18</f>
        <v/>
      </c>
      <c r="F27" s="5">
        <f>Plants!H18</f>
        <v/>
      </c>
      <c r="G27" s="5">
        <f>Plants!I18</f>
        <v/>
      </c>
    </row>
    <row r="28">
      <c r="A28">
        <f>IF(OR($B$5=0,$B$6=0),"",ROUND(ACOS(MIN(1,SIN(RADIANS($B$5))*SIN(RADIANS(Plants!E19))+COS(RADIANS($B$5))*COS(RADIANS(Plants!E19))*COS(RADIANS(Plants!F19-$B$6))))*3958.8,1))</f>
        <v/>
      </c>
      <c r="B28">
        <f>IF(A28="","",IF(A28&lt;=$B$7,"FLAG","OK"))</f>
        <v/>
      </c>
      <c r="C28">
        <f>Plants!A19</f>
        <v/>
      </c>
      <c r="D28">
        <f>Plants!B19</f>
        <v/>
      </c>
      <c r="E28">
        <f>Plants!C19&amp;", "&amp;Plants!D19</f>
        <v/>
      </c>
      <c r="F28">
        <f>Plants!H19</f>
        <v/>
      </c>
      <c r="G28">
        <f>Plants!I19</f>
        <v/>
      </c>
    </row>
    <row r="29">
      <c r="A29" s="5">
        <f>IF(OR($B$5=0,$B$6=0),"",ROUND(ACOS(MIN(1,SIN(RADIANS($B$5))*SIN(RADIANS(Plants!E20))+COS(RADIANS($B$5))*COS(RADIANS(Plants!E20))*COS(RADIANS(Plants!F20-$B$6))))*3958.8,1))</f>
        <v/>
      </c>
      <c r="B29" s="5">
        <f>IF(A29="","",IF(A29&lt;=$B$7,"FLAG","OK"))</f>
        <v/>
      </c>
      <c r="C29" s="5">
        <f>Plants!A20</f>
        <v/>
      </c>
      <c r="D29" s="5">
        <f>Plants!B20</f>
        <v/>
      </c>
      <c r="E29" s="5">
        <f>Plants!C20&amp;", "&amp;Plants!D20</f>
        <v/>
      </c>
      <c r="F29" s="5">
        <f>Plants!H20</f>
        <v/>
      </c>
      <c r="G29" s="5">
        <f>Plants!I20</f>
        <v/>
      </c>
    </row>
    <row r="30">
      <c r="A30">
        <f>IF(OR($B$5=0,$B$6=0),"",ROUND(ACOS(MIN(1,SIN(RADIANS($B$5))*SIN(RADIANS(Plants!E21))+COS(RADIANS($B$5))*COS(RADIANS(Plants!E21))*COS(RADIANS(Plants!F21-$B$6))))*3958.8,1))</f>
        <v/>
      </c>
      <c r="B30">
        <f>IF(A30="","",IF(A30&lt;=$B$7,"FLAG","OK"))</f>
        <v/>
      </c>
      <c r="C30">
        <f>Plants!A21</f>
        <v/>
      </c>
      <c r="D30">
        <f>Plants!B21</f>
        <v/>
      </c>
      <c r="E30">
        <f>Plants!C21&amp;", "&amp;Plants!D21</f>
        <v/>
      </c>
      <c r="F30">
        <f>Plants!H21</f>
        <v/>
      </c>
      <c r="G30">
        <f>Plants!I21</f>
        <v/>
      </c>
    </row>
    <row r="31">
      <c r="A31" s="5">
        <f>IF(OR($B$5=0,$B$6=0),"",ROUND(ACOS(MIN(1,SIN(RADIANS($B$5))*SIN(RADIANS(Plants!E22))+COS(RADIANS($B$5))*COS(RADIANS(Plants!E22))*COS(RADIANS(Plants!F22-$B$6))))*3958.8,1))</f>
        <v/>
      </c>
      <c r="B31" s="5">
        <f>IF(A31="","",IF(A31&lt;=$B$7,"FLAG","OK"))</f>
        <v/>
      </c>
      <c r="C31" s="5">
        <f>Plants!A22</f>
        <v/>
      </c>
      <c r="D31" s="5">
        <f>Plants!B22</f>
        <v/>
      </c>
      <c r="E31" s="5">
        <f>Plants!C22&amp;", "&amp;Plants!D22</f>
        <v/>
      </c>
      <c r="F31" s="5">
        <f>Plants!H22</f>
        <v/>
      </c>
      <c r="G31" s="5">
        <f>Plants!I22</f>
        <v/>
      </c>
    </row>
    <row r="32">
      <c r="A32">
        <f>IF(OR($B$5=0,$B$6=0),"",ROUND(ACOS(MIN(1,SIN(RADIANS($B$5))*SIN(RADIANS(Plants!E23))+COS(RADIANS($B$5))*COS(RADIANS(Plants!E23))*COS(RADIANS(Plants!F23-$B$6))))*3958.8,1))</f>
        <v/>
      </c>
      <c r="B32">
        <f>IF(A32="","",IF(A32&lt;=$B$7,"FLAG","OK"))</f>
        <v/>
      </c>
      <c r="C32">
        <f>Plants!A23</f>
        <v/>
      </c>
      <c r="D32">
        <f>Plants!B23</f>
        <v/>
      </c>
      <c r="E32">
        <f>Plants!C23&amp;", "&amp;Plants!D23</f>
        <v/>
      </c>
      <c r="F32">
        <f>Plants!H23</f>
        <v/>
      </c>
      <c r="G32">
        <f>Plants!I23</f>
        <v/>
      </c>
    </row>
    <row r="33">
      <c r="A33" s="5">
        <f>IF(OR($B$5=0,$B$6=0),"",ROUND(ACOS(MIN(1,SIN(RADIANS($B$5))*SIN(RADIANS(Plants!E24))+COS(RADIANS($B$5))*COS(RADIANS(Plants!E24))*COS(RADIANS(Plants!F24-$B$6))))*3958.8,1))</f>
        <v/>
      </c>
      <c r="B33" s="5">
        <f>IF(A33="","",IF(A33&lt;=$B$7,"FLAG","OK"))</f>
        <v/>
      </c>
      <c r="C33" s="5">
        <f>Plants!A24</f>
        <v/>
      </c>
      <c r="D33" s="5">
        <f>Plants!B24</f>
        <v/>
      </c>
      <c r="E33" s="5">
        <f>Plants!C24&amp;", "&amp;Plants!D24</f>
        <v/>
      </c>
      <c r="F33" s="5">
        <f>Plants!H24</f>
        <v/>
      </c>
      <c r="G33" s="5">
        <f>Plants!I24</f>
        <v/>
      </c>
    </row>
    <row r="34">
      <c r="A34">
        <f>IF(OR($B$5=0,$B$6=0),"",ROUND(ACOS(MIN(1,SIN(RADIANS($B$5))*SIN(RADIANS(Plants!E25))+COS(RADIANS($B$5))*COS(RADIANS(Plants!E25))*COS(RADIANS(Plants!F25-$B$6))))*3958.8,1))</f>
        <v/>
      </c>
      <c r="B34">
        <f>IF(A34="","",IF(A34&lt;=$B$7,"FLAG","OK"))</f>
        <v/>
      </c>
      <c r="C34">
        <f>Plants!A25</f>
        <v/>
      </c>
      <c r="D34">
        <f>Plants!B25</f>
        <v/>
      </c>
      <c r="E34">
        <f>Plants!C25&amp;", "&amp;Plants!D25</f>
        <v/>
      </c>
      <c r="F34">
        <f>Plants!H25</f>
        <v/>
      </c>
      <c r="G34">
        <f>Plants!I25</f>
        <v/>
      </c>
    </row>
    <row r="35">
      <c r="A35" s="5">
        <f>IF(OR($B$5=0,$B$6=0),"",ROUND(ACOS(MIN(1,SIN(RADIANS($B$5))*SIN(RADIANS(Plants!E26))+COS(RADIANS($B$5))*COS(RADIANS(Plants!E26))*COS(RADIANS(Plants!F26-$B$6))))*3958.8,1))</f>
        <v/>
      </c>
      <c r="B35" s="5">
        <f>IF(A35="","",IF(A35&lt;=$B$7,"FLAG","OK"))</f>
        <v/>
      </c>
      <c r="C35" s="5">
        <f>Plants!A26</f>
        <v/>
      </c>
      <c r="D35" s="5">
        <f>Plants!B26</f>
        <v/>
      </c>
      <c r="E35" s="5">
        <f>Plants!C26&amp;", "&amp;Plants!D26</f>
        <v/>
      </c>
      <c r="F35" s="5">
        <f>Plants!H26</f>
        <v/>
      </c>
      <c r="G35" s="5">
        <f>Plants!I26</f>
        <v/>
      </c>
    </row>
    <row r="36">
      <c r="A36">
        <f>IF(OR($B$5=0,$B$6=0),"",ROUND(ACOS(MIN(1,SIN(RADIANS($B$5))*SIN(RADIANS(Plants!E27))+COS(RADIANS($B$5))*COS(RADIANS(Plants!E27))*COS(RADIANS(Plants!F27-$B$6))))*3958.8,1))</f>
        <v/>
      </c>
      <c r="B36">
        <f>IF(A36="","",IF(A36&lt;=$B$7,"FLAG","OK"))</f>
        <v/>
      </c>
      <c r="C36">
        <f>Plants!A27</f>
        <v/>
      </c>
      <c r="D36">
        <f>Plants!B27</f>
        <v/>
      </c>
      <c r="E36">
        <f>Plants!C27&amp;", "&amp;Plants!D27</f>
        <v/>
      </c>
      <c r="F36">
        <f>Plants!H27</f>
        <v/>
      </c>
      <c r="G36">
        <f>Plants!I27</f>
        <v/>
      </c>
    </row>
    <row r="37">
      <c r="A37" s="5">
        <f>IF(OR($B$5=0,$B$6=0),"",ROUND(ACOS(MIN(1,SIN(RADIANS($B$5))*SIN(RADIANS(Plants!E28))+COS(RADIANS($B$5))*COS(RADIANS(Plants!E28))*COS(RADIANS(Plants!F28-$B$6))))*3958.8,1))</f>
        <v/>
      </c>
      <c r="B37" s="5">
        <f>IF(A37="","",IF(A37&lt;=$B$7,"FLAG","OK"))</f>
        <v/>
      </c>
      <c r="C37" s="5">
        <f>Plants!A28</f>
        <v/>
      </c>
      <c r="D37" s="5">
        <f>Plants!B28</f>
        <v/>
      </c>
      <c r="E37" s="5">
        <f>Plants!C28&amp;", "&amp;Plants!D28</f>
        <v/>
      </c>
      <c r="F37" s="5">
        <f>Plants!H28</f>
        <v/>
      </c>
      <c r="G37" s="5">
        <f>Plants!I28</f>
        <v/>
      </c>
    </row>
    <row r="38">
      <c r="A38">
        <f>IF(OR($B$5=0,$B$6=0),"",ROUND(ACOS(MIN(1,SIN(RADIANS($B$5))*SIN(RADIANS(Plants!E29))+COS(RADIANS($B$5))*COS(RADIANS(Plants!E29))*COS(RADIANS(Plants!F29-$B$6))))*3958.8,1))</f>
        <v/>
      </c>
      <c r="B38">
        <f>IF(A38="","",IF(A38&lt;=$B$7,"FLAG","OK"))</f>
        <v/>
      </c>
      <c r="C38">
        <f>Plants!A29</f>
        <v/>
      </c>
      <c r="D38">
        <f>Plants!B29</f>
        <v/>
      </c>
      <c r="E38">
        <f>Plants!C29&amp;", "&amp;Plants!D29</f>
        <v/>
      </c>
      <c r="F38">
        <f>Plants!H29</f>
        <v/>
      </c>
      <c r="G38">
        <f>Plants!I29</f>
        <v/>
      </c>
    </row>
    <row r="39">
      <c r="A39" s="5">
        <f>IF(OR($B$5=0,$B$6=0),"",ROUND(ACOS(MIN(1,SIN(RADIANS($B$5))*SIN(RADIANS(Plants!E30))+COS(RADIANS($B$5))*COS(RADIANS(Plants!E30))*COS(RADIANS(Plants!F30-$B$6))))*3958.8,1))</f>
        <v/>
      </c>
      <c r="B39" s="5">
        <f>IF(A39="","",IF(A39&lt;=$B$7,"FLAG","OK"))</f>
        <v/>
      </c>
      <c r="C39" s="5">
        <f>Plants!A30</f>
        <v/>
      </c>
      <c r="D39" s="5">
        <f>Plants!B30</f>
        <v/>
      </c>
      <c r="E39" s="5">
        <f>Plants!C30&amp;", "&amp;Plants!D30</f>
        <v/>
      </c>
      <c r="F39" s="5">
        <f>Plants!H30</f>
        <v/>
      </c>
      <c r="G39" s="5">
        <f>Plants!I30</f>
        <v/>
      </c>
    </row>
    <row r="40">
      <c r="A40">
        <f>IF(OR($B$5=0,$B$6=0),"",ROUND(ACOS(MIN(1,SIN(RADIANS($B$5))*SIN(RADIANS(Plants!E31))+COS(RADIANS($B$5))*COS(RADIANS(Plants!E31))*COS(RADIANS(Plants!F31-$B$6))))*3958.8,1))</f>
        <v/>
      </c>
      <c r="B40">
        <f>IF(A40="","",IF(A40&lt;=$B$7,"FLAG","OK"))</f>
        <v/>
      </c>
      <c r="C40">
        <f>Plants!A31</f>
        <v/>
      </c>
      <c r="D40">
        <f>Plants!B31</f>
        <v/>
      </c>
      <c r="E40">
        <f>Plants!C31&amp;", "&amp;Plants!D31</f>
        <v/>
      </c>
      <c r="F40">
        <f>Plants!H31</f>
        <v/>
      </c>
      <c r="G40">
        <f>Plants!I31</f>
        <v/>
      </c>
    </row>
    <row r="41">
      <c r="A41" s="5">
        <f>IF(OR($B$5=0,$B$6=0),"",ROUND(ACOS(MIN(1,SIN(RADIANS($B$5))*SIN(RADIANS(Plants!E32))+COS(RADIANS($B$5))*COS(RADIANS(Plants!E32))*COS(RADIANS(Plants!F32-$B$6))))*3958.8,1))</f>
        <v/>
      </c>
      <c r="B41" s="5">
        <f>IF(A41="","",IF(A41&lt;=$B$7,"FLAG","OK"))</f>
        <v/>
      </c>
      <c r="C41" s="5">
        <f>Plants!A32</f>
        <v/>
      </c>
      <c r="D41" s="5">
        <f>Plants!B32</f>
        <v/>
      </c>
      <c r="E41" s="5">
        <f>Plants!C32&amp;", "&amp;Plants!D32</f>
        <v/>
      </c>
      <c r="F41" s="5">
        <f>Plants!H32</f>
        <v/>
      </c>
      <c r="G41" s="5">
        <f>Plants!I32</f>
        <v/>
      </c>
    </row>
    <row r="42">
      <c r="A42">
        <f>IF(OR($B$5=0,$B$6=0),"",ROUND(ACOS(MIN(1,SIN(RADIANS($B$5))*SIN(RADIANS(Plants!E33))+COS(RADIANS($B$5))*COS(RADIANS(Plants!E33))*COS(RADIANS(Plants!F33-$B$6))))*3958.8,1))</f>
        <v/>
      </c>
      <c r="B42">
        <f>IF(A42="","",IF(A42&lt;=$B$7,"FLAG","OK"))</f>
        <v/>
      </c>
      <c r="C42">
        <f>Plants!A33</f>
        <v/>
      </c>
      <c r="D42">
        <f>Plants!B33</f>
        <v/>
      </c>
      <c r="E42">
        <f>Plants!C33&amp;", "&amp;Plants!D33</f>
        <v/>
      </c>
      <c r="F42">
        <f>Plants!H33</f>
        <v/>
      </c>
      <c r="G42">
        <f>Plants!I33</f>
        <v/>
      </c>
    </row>
    <row r="43">
      <c r="A43" s="5">
        <f>IF(OR($B$5=0,$B$6=0),"",ROUND(ACOS(MIN(1,SIN(RADIANS($B$5))*SIN(RADIANS(Plants!E34))+COS(RADIANS($B$5))*COS(RADIANS(Plants!E34))*COS(RADIANS(Plants!F34-$B$6))))*3958.8,1))</f>
        <v/>
      </c>
      <c r="B43" s="5">
        <f>IF(A43="","",IF(A43&lt;=$B$7,"FLAG","OK"))</f>
        <v/>
      </c>
      <c r="C43" s="5">
        <f>Plants!A34</f>
        <v/>
      </c>
      <c r="D43" s="5">
        <f>Plants!B34</f>
        <v/>
      </c>
      <c r="E43" s="5">
        <f>Plants!C34&amp;", "&amp;Plants!D34</f>
        <v/>
      </c>
      <c r="F43" s="5">
        <f>Plants!H34</f>
        <v/>
      </c>
      <c r="G43" s="5">
        <f>Plants!I34</f>
        <v/>
      </c>
    </row>
    <row r="44">
      <c r="A44">
        <f>IF(OR($B$5=0,$B$6=0),"",ROUND(ACOS(MIN(1,SIN(RADIANS($B$5))*SIN(RADIANS(Plants!E35))+COS(RADIANS($B$5))*COS(RADIANS(Plants!E35))*COS(RADIANS(Plants!F35-$B$6))))*3958.8,1))</f>
        <v/>
      </c>
      <c r="B44">
        <f>IF(A44="","",IF(A44&lt;=$B$7,"FLAG","OK"))</f>
        <v/>
      </c>
      <c r="C44">
        <f>Plants!A35</f>
        <v/>
      </c>
      <c r="D44">
        <f>Plants!B35</f>
        <v/>
      </c>
      <c r="E44">
        <f>Plants!C35&amp;", "&amp;Plants!D35</f>
        <v/>
      </c>
      <c r="F44">
        <f>Plants!H35</f>
        <v/>
      </c>
      <c r="G44">
        <f>Plants!I35</f>
        <v/>
      </c>
    </row>
    <row r="45">
      <c r="A45" s="5">
        <f>IF(OR($B$5=0,$B$6=0),"",ROUND(ACOS(MIN(1,SIN(RADIANS($B$5))*SIN(RADIANS(Plants!E36))+COS(RADIANS($B$5))*COS(RADIANS(Plants!E36))*COS(RADIANS(Plants!F36-$B$6))))*3958.8,1))</f>
        <v/>
      </c>
      <c r="B45" s="5">
        <f>IF(A45="","",IF(A45&lt;=$B$7,"FLAG","OK"))</f>
        <v/>
      </c>
      <c r="C45" s="5">
        <f>Plants!A36</f>
        <v/>
      </c>
      <c r="D45" s="5">
        <f>Plants!B36</f>
        <v/>
      </c>
      <c r="E45" s="5">
        <f>Plants!C36&amp;", "&amp;Plants!D36</f>
        <v/>
      </c>
      <c r="F45" s="5">
        <f>Plants!H36</f>
        <v/>
      </c>
      <c r="G45" s="5">
        <f>Plants!I36</f>
        <v/>
      </c>
    </row>
    <row r="46">
      <c r="A46">
        <f>IF(OR($B$5=0,$B$6=0),"",ROUND(ACOS(MIN(1,SIN(RADIANS($B$5))*SIN(RADIANS(Plants!E37))+COS(RADIANS($B$5))*COS(RADIANS(Plants!E37))*COS(RADIANS(Plants!F37-$B$6))))*3958.8,1))</f>
        <v/>
      </c>
      <c r="B46">
        <f>IF(A46="","",IF(A46&lt;=$B$7,"FLAG","OK"))</f>
        <v/>
      </c>
      <c r="C46">
        <f>Plants!A37</f>
        <v/>
      </c>
      <c r="D46">
        <f>Plants!B37</f>
        <v/>
      </c>
      <c r="E46">
        <f>Plants!C37&amp;", "&amp;Plants!D37</f>
        <v/>
      </c>
      <c r="F46">
        <f>Plants!H37</f>
        <v/>
      </c>
      <c r="G46">
        <f>Plants!I37</f>
        <v/>
      </c>
    </row>
    <row r="47">
      <c r="A47" s="5">
        <f>IF(OR($B$5=0,$B$6=0),"",ROUND(ACOS(MIN(1,SIN(RADIANS($B$5))*SIN(RADIANS(Plants!E38))+COS(RADIANS($B$5))*COS(RADIANS(Plants!E38))*COS(RADIANS(Plants!F38-$B$6))))*3958.8,1))</f>
        <v/>
      </c>
      <c r="B47" s="5">
        <f>IF(A47="","",IF(A47&lt;=$B$7,"FLAG","OK"))</f>
        <v/>
      </c>
      <c r="C47" s="5">
        <f>Plants!A38</f>
        <v/>
      </c>
      <c r="D47" s="5">
        <f>Plants!B38</f>
        <v/>
      </c>
      <c r="E47" s="5">
        <f>Plants!C38&amp;", "&amp;Plants!D38</f>
        <v/>
      </c>
      <c r="F47" s="5">
        <f>Plants!H38</f>
        <v/>
      </c>
      <c r="G47" s="5">
        <f>Plants!I38</f>
        <v/>
      </c>
    </row>
    <row r="48">
      <c r="A48">
        <f>IF(OR($B$5=0,$B$6=0),"",ROUND(ACOS(MIN(1,SIN(RADIANS($B$5))*SIN(RADIANS(Plants!E39))+COS(RADIANS($B$5))*COS(RADIANS(Plants!E39))*COS(RADIANS(Plants!F39-$B$6))))*3958.8,1))</f>
        <v/>
      </c>
      <c r="B48">
        <f>IF(A48="","",IF(A48&lt;=$B$7,"FLAG","OK"))</f>
        <v/>
      </c>
      <c r="C48">
        <f>Plants!A39</f>
        <v/>
      </c>
      <c r="D48">
        <f>Plants!B39</f>
        <v/>
      </c>
      <c r="E48">
        <f>Plants!C39&amp;", "&amp;Plants!D39</f>
        <v/>
      </c>
      <c r="F48">
        <f>Plants!H39</f>
        <v/>
      </c>
      <c r="G48">
        <f>Plants!I39</f>
        <v/>
      </c>
    </row>
    <row r="49">
      <c r="A49" s="5">
        <f>IF(OR($B$5=0,$B$6=0),"",ROUND(ACOS(MIN(1,SIN(RADIANS($B$5))*SIN(RADIANS(Plants!E40))+COS(RADIANS($B$5))*COS(RADIANS(Plants!E40))*COS(RADIANS(Plants!F40-$B$6))))*3958.8,1))</f>
        <v/>
      </c>
      <c r="B49" s="5">
        <f>IF(A49="","",IF(A49&lt;=$B$7,"FLAG","OK"))</f>
        <v/>
      </c>
      <c r="C49" s="5">
        <f>Plants!A40</f>
        <v/>
      </c>
      <c r="D49" s="5">
        <f>Plants!B40</f>
        <v/>
      </c>
      <c r="E49" s="5">
        <f>Plants!C40&amp;", "&amp;Plants!D40</f>
        <v/>
      </c>
      <c r="F49" s="5">
        <f>Plants!H40</f>
        <v/>
      </c>
      <c r="G49" s="5">
        <f>Plants!I40</f>
        <v/>
      </c>
    </row>
    <row r="50">
      <c r="A50">
        <f>IF(OR($B$5=0,$B$6=0),"",ROUND(ACOS(MIN(1,SIN(RADIANS($B$5))*SIN(RADIANS(Plants!E41))+COS(RADIANS($B$5))*COS(RADIANS(Plants!E41))*COS(RADIANS(Plants!F41-$B$6))))*3958.8,1))</f>
        <v/>
      </c>
      <c r="B50">
        <f>IF(A50="","",IF(A50&lt;=$B$7,"FLAG","OK"))</f>
        <v/>
      </c>
      <c r="C50">
        <f>Plants!A41</f>
        <v/>
      </c>
      <c r="D50">
        <f>Plants!B41</f>
        <v/>
      </c>
      <c r="E50">
        <f>Plants!C41&amp;", "&amp;Plants!D41</f>
        <v/>
      </c>
      <c r="F50">
        <f>Plants!H41</f>
        <v/>
      </c>
      <c r="G50">
        <f>Plants!I41</f>
        <v/>
      </c>
    </row>
    <row r="51">
      <c r="A51" s="5">
        <f>IF(OR($B$5=0,$B$6=0),"",ROUND(ACOS(MIN(1,SIN(RADIANS($B$5))*SIN(RADIANS(Plants!E42))+COS(RADIANS($B$5))*COS(RADIANS(Plants!E42))*COS(RADIANS(Plants!F42-$B$6))))*3958.8,1))</f>
        <v/>
      </c>
      <c r="B51" s="5">
        <f>IF(A51="","",IF(A51&lt;=$B$7,"FLAG","OK"))</f>
        <v/>
      </c>
      <c r="C51" s="5">
        <f>Plants!A42</f>
        <v/>
      </c>
      <c r="D51" s="5">
        <f>Plants!B42</f>
        <v/>
      </c>
      <c r="E51" s="5">
        <f>Plants!C42&amp;", "&amp;Plants!D42</f>
        <v/>
      </c>
      <c r="F51" s="5">
        <f>Plants!H42</f>
        <v/>
      </c>
      <c r="G51" s="5">
        <f>Plants!I42</f>
        <v/>
      </c>
    </row>
    <row r="52">
      <c r="A52">
        <f>IF(OR($B$5=0,$B$6=0),"",ROUND(ACOS(MIN(1,SIN(RADIANS($B$5))*SIN(RADIANS(Plants!E43))+COS(RADIANS($B$5))*COS(RADIANS(Plants!E43))*COS(RADIANS(Plants!F43-$B$6))))*3958.8,1))</f>
        <v/>
      </c>
      <c r="B52">
        <f>IF(A52="","",IF(A52&lt;=$B$7,"FLAG","OK"))</f>
        <v/>
      </c>
      <c r="C52">
        <f>Plants!A43</f>
        <v/>
      </c>
      <c r="D52">
        <f>Plants!B43</f>
        <v/>
      </c>
      <c r="E52">
        <f>Plants!C43&amp;", "&amp;Plants!D43</f>
        <v/>
      </c>
      <c r="F52">
        <f>Plants!H43</f>
        <v/>
      </c>
      <c r="G52">
        <f>Plants!I43</f>
        <v/>
      </c>
    </row>
    <row r="53">
      <c r="A53" s="5">
        <f>IF(OR($B$5=0,$B$6=0),"",ROUND(ACOS(MIN(1,SIN(RADIANS($B$5))*SIN(RADIANS(Plants!E44))+COS(RADIANS($B$5))*COS(RADIANS(Plants!E44))*COS(RADIANS(Plants!F44-$B$6))))*3958.8,1))</f>
        <v/>
      </c>
      <c r="B53" s="5">
        <f>IF(A53="","",IF(A53&lt;=$B$7,"FLAG","OK"))</f>
        <v/>
      </c>
      <c r="C53" s="5">
        <f>Plants!A44</f>
        <v/>
      </c>
      <c r="D53" s="5">
        <f>Plants!B44</f>
        <v/>
      </c>
      <c r="E53" s="5">
        <f>Plants!C44&amp;", "&amp;Plants!D44</f>
        <v/>
      </c>
      <c r="F53" s="5">
        <f>Plants!H44</f>
        <v/>
      </c>
      <c r="G53" s="5">
        <f>Plants!I44</f>
        <v/>
      </c>
    </row>
    <row r="54">
      <c r="A54">
        <f>IF(OR($B$5=0,$B$6=0),"",ROUND(ACOS(MIN(1,SIN(RADIANS($B$5))*SIN(RADIANS(Plants!E45))+COS(RADIANS($B$5))*COS(RADIANS(Plants!E45))*COS(RADIANS(Plants!F45-$B$6))))*3958.8,1))</f>
        <v/>
      </c>
      <c r="B54">
        <f>IF(A54="","",IF(A54&lt;=$B$7,"FLAG","OK"))</f>
        <v/>
      </c>
      <c r="C54">
        <f>Plants!A45</f>
        <v/>
      </c>
      <c r="D54">
        <f>Plants!B45</f>
        <v/>
      </c>
      <c r="E54">
        <f>Plants!C45&amp;", "&amp;Plants!D45</f>
        <v/>
      </c>
      <c r="F54">
        <f>Plants!H45</f>
        <v/>
      </c>
      <c r="G54">
        <f>Plants!I45</f>
        <v/>
      </c>
    </row>
    <row r="55">
      <c r="A55" s="5">
        <f>IF(OR($B$5=0,$B$6=0),"",ROUND(ACOS(MIN(1,SIN(RADIANS($B$5))*SIN(RADIANS(Plants!E46))+COS(RADIANS($B$5))*COS(RADIANS(Plants!E46))*COS(RADIANS(Plants!F46-$B$6))))*3958.8,1))</f>
        <v/>
      </c>
      <c r="B55" s="5">
        <f>IF(A55="","",IF(A55&lt;=$B$7,"FLAG","OK"))</f>
        <v/>
      </c>
      <c r="C55" s="5">
        <f>Plants!A46</f>
        <v/>
      </c>
      <c r="D55" s="5">
        <f>Plants!B46</f>
        <v/>
      </c>
      <c r="E55" s="5">
        <f>Plants!C46&amp;", "&amp;Plants!D46</f>
        <v/>
      </c>
      <c r="F55" s="5">
        <f>Plants!H46</f>
        <v/>
      </c>
      <c r="G55" s="5">
        <f>Plants!I46</f>
        <v/>
      </c>
    </row>
    <row r="56">
      <c r="A56">
        <f>IF(OR($B$5=0,$B$6=0),"",ROUND(ACOS(MIN(1,SIN(RADIANS($B$5))*SIN(RADIANS(Plants!E47))+COS(RADIANS($B$5))*COS(RADIANS(Plants!E47))*COS(RADIANS(Plants!F47-$B$6))))*3958.8,1))</f>
        <v/>
      </c>
      <c r="B56">
        <f>IF(A56="","",IF(A56&lt;=$B$7,"FLAG","OK"))</f>
        <v/>
      </c>
      <c r="C56">
        <f>Plants!A47</f>
        <v/>
      </c>
      <c r="D56">
        <f>Plants!B47</f>
        <v/>
      </c>
      <c r="E56">
        <f>Plants!C47&amp;", "&amp;Plants!D47</f>
        <v/>
      </c>
      <c r="F56">
        <f>Plants!H47</f>
        <v/>
      </c>
      <c r="G56">
        <f>Plants!I47</f>
        <v/>
      </c>
    </row>
    <row r="57">
      <c r="A57" s="5">
        <f>IF(OR($B$5=0,$B$6=0),"",ROUND(ACOS(MIN(1,SIN(RADIANS($B$5))*SIN(RADIANS(Plants!E48))+COS(RADIANS($B$5))*COS(RADIANS(Plants!E48))*COS(RADIANS(Plants!F48-$B$6))))*3958.8,1))</f>
        <v/>
      </c>
      <c r="B57" s="5">
        <f>IF(A57="","",IF(A57&lt;=$B$7,"FLAG","OK"))</f>
        <v/>
      </c>
      <c r="C57" s="5">
        <f>Plants!A48</f>
        <v/>
      </c>
      <c r="D57" s="5">
        <f>Plants!B48</f>
        <v/>
      </c>
      <c r="E57" s="5">
        <f>Plants!C48&amp;", "&amp;Plants!D48</f>
        <v/>
      </c>
      <c r="F57" s="5">
        <f>Plants!H48</f>
        <v/>
      </c>
      <c r="G57" s="5">
        <f>Plants!I48</f>
        <v/>
      </c>
    </row>
    <row r="58">
      <c r="A58">
        <f>IF(OR($B$5=0,$B$6=0),"",ROUND(ACOS(MIN(1,SIN(RADIANS($B$5))*SIN(RADIANS(Plants!E49))+COS(RADIANS($B$5))*COS(RADIANS(Plants!E49))*COS(RADIANS(Plants!F49-$B$6))))*3958.8,1))</f>
        <v/>
      </c>
      <c r="B58">
        <f>IF(A58="","",IF(A58&lt;=$B$7,"FLAG","OK"))</f>
        <v/>
      </c>
      <c r="C58">
        <f>Plants!A49</f>
        <v/>
      </c>
      <c r="D58">
        <f>Plants!B49</f>
        <v/>
      </c>
      <c r="E58">
        <f>Plants!C49&amp;", "&amp;Plants!D49</f>
        <v/>
      </c>
      <c r="F58">
        <f>Plants!H49</f>
        <v/>
      </c>
      <c r="G58">
        <f>Plants!I49</f>
        <v/>
      </c>
    </row>
    <row r="59">
      <c r="A59" s="5">
        <f>IF(OR($B$5=0,$B$6=0),"",ROUND(ACOS(MIN(1,SIN(RADIANS($B$5))*SIN(RADIANS(Plants!E50))+COS(RADIANS($B$5))*COS(RADIANS(Plants!E50))*COS(RADIANS(Plants!F50-$B$6))))*3958.8,1))</f>
        <v/>
      </c>
      <c r="B59" s="5">
        <f>IF(A59="","",IF(A59&lt;=$B$7,"FLAG","OK"))</f>
        <v/>
      </c>
      <c r="C59" s="5">
        <f>Plants!A50</f>
        <v/>
      </c>
      <c r="D59" s="5">
        <f>Plants!B50</f>
        <v/>
      </c>
      <c r="E59" s="5">
        <f>Plants!C50&amp;", "&amp;Plants!D50</f>
        <v/>
      </c>
      <c r="F59" s="5">
        <f>Plants!H50</f>
        <v/>
      </c>
      <c r="G59" s="5">
        <f>Plants!I50</f>
        <v/>
      </c>
    </row>
    <row r="60">
      <c r="A60">
        <f>IF(OR($B$5=0,$B$6=0),"",ROUND(ACOS(MIN(1,SIN(RADIANS($B$5))*SIN(RADIANS(Plants!E51))+COS(RADIANS($B$5))*COS(RADIANS(Plants!E51))*COS(RADIANS(Plants!F51-$B$6))))*3958.8,1))</f>
        <v/>
      </c>
      <c r="B60">
        <f>IF(A60="","",IF(A60&lt;=$B$7,"FLAG","OK"))</f>
        <v/>
      </c>
      <c r="C60">
        <f>Plants!A51</f>
        <v/>
      </c>
      <c r="D60">
        <f>Plants!B51</f>
        <v/>
      </c>
      <c r="E60">
        <f>Plants!C51&amp;", "&amp;Plants!D51</f>
        <v/>
      </c>
      <c r="F60">
        <f>Plants!H51</f>
        <v/>
      </c>
      <c r="G60">
        <f>Plants!I51</f>
        <v/>
      </c>
    </row>
    <row r="61">
      <c r="A61" s="5">
        <f>IF(OR($B$5=0,$B$6=0),"",ROUND(ACOS(MIN(1,SIN(RADIANS($B$5))*SIN(RADIANS(Plants!E52))+COS(RADIANS($B$5))*COS(RADIANS(Plants!E52))*COS(RADIANS(Plants!F52-$B$6))))*3958.8,1))</f>
        <v/>
      </c>
      <c r="B61" s="5">
        <f>IF(A61="","",IF(A61&lt;=$B$7,"FLAG","OK"))</f>
        <v/>
      </c>
      <c r="C61" s="5">
        <f>Plants!A52</f>
        <v/>
      </c>
      <c r="D61" s="5">
        <f>Plants!B52</f>
        <v/>
      </c>
      <c r="E61" s="5">
        <f>Plants!C52&amp;", "&amp;Plants!D52</f>
        <v/>
      </c>
      <c r="F61" s="5">
        <f>Plants!H52</f>
        <v/>
      </c>
      <c r="G61" s="5">
        <f>Plants!I52</f>
        <v/>
      </c>
    </row>
    <row r="62">
      <c r="A62">
        <f>IF(OR($B$5=0,$B$6=0),"",ROUND(ACOS(MIN(1,SIN(RADIANS($B$5))*SIN(RADIANS(Plants!E53))+COS(RADIANS($B$5))*COS(RADIANS(Plants!E53))*COS(RADIANS(Plants!F53-$B$6))))*3958.8,1))</f>
        <v/>
      </c>
      <c r="B62">
        <f>IF(A62="","",IF(A62&lt;=$B$7,"FLAG","OK"))</f>
        <v/>
      </c>
      <c r="C62">
        <f>Plants!A53</f>
        <v/>
      </c>
      <c r="D62">
        <f>Plants!B53</f>
        <v/>
      </c>
      <c r="E62">
        <f>Plants!C53&amp;", "&amp;Plants!D53</f>
        <v/>
      </c>
      <c r="F62">
        <f>Plants!H53</f>
        <v/>
      </c>
      <c r="G62">
        <f>Plants!I53</f>
        <v/>
      </c>
    </row>
    <row r="63">
      <c r="A63" s="5">
        <f>IF(OR($B$5=0,$B$6=0),"",ROUND(ACOS(MIN(1,SIN(RADIANS($B$5))*SIN(RADIANS(Plants!E54))+COS(RADIANS($B$5))*COS(RADIANS(Plants!E54))*COS(RADIANS(Plants!F54-$B$6))))*3958.8,1))</f>
        <v/>
      </c>
      <c r="B63" s="5">
        <f>IF(A63="","",IF(A63&lt;=$B$7,"FLAG","OK"))</f>
        <v/>
      </c>
      <c r="C63" s="5">
        <f>Plants!A54</f>
        <v/>
      </c>
      <c r="D63" s="5">
        <f>Plants!B54</f>
        <v/>
      </c>
      <c r="E63" s="5">
        <f>Plants!C54&amp;", "&amp;Plants!D54</f>
        <v/>
      </c>
      <c r="F63" s="5">
        <f>Plants!H54</f>
        <v/>
      </c>
      <c r="G63" s="5">
        <f>Plants!I54</f>
        <v/>
      </c>
    </row>
    <row r="64">
      <c r="A64">
        <f>IF(OR($B$5=0,$B$6=0),"",ROUND(ACOS(MIN(1,SIN(RADIANS($B$5))*SIN(RADIANS(Plants!E55))+COS(RADIANS($B$5))*COS(RADIANS(Plants!E55))*COS(RADIANS(Plants!F55-$B$6))))*3958.8,1))</f>
        <v/>
      </c>
      <c r="B64">
        <f>IF(A64="","",IF(A64&lt;=$B$7,"FLAG","OK"))</f>
        <v/>
      </c>
      <c r="C64">
        <f>Plants!A55</f>
        <v/>
      </c>
      <c r="D64">
        <f>Plants!B55</f>
        <v/>
      </c>
      <c r="E64">
        <f>Plants!C55&amp;", "&amp;Plants!D55</f>
        <v/>
      </c>
      <c r="F64">
        <f>Plants!H55</f>
        <v/>
      </c>
      <c r="G64">
        <f>Plants!I55</f>
        <v/>
      </c>
    </row>
    <row r="65">
      <c r="A65" s="5">
        <f>IF(OR($B$5=0,$B$6=0),"",ROUND(ACOS(MIN(1,SIN(RADIANS($B$5))*SIN(RADIANS(Plants!E56))+COS(RADIANS($B$5))*COS(RADIANS(Plants!E56))*COS(RADIANS(Plants!F56-$B$6))))*3958.8,1))</f>
        <v/>
      </c>
      <c r="B65" s="5">
        <f>IF(A65="","",IF(A65&lt;=$B$7,"FLAG","OK"))</f>
        <v/>
      </c>
      <c r="C65" s="5">
        <f>Plants!A56</f>
        <v/>
      </c>
      <c r="D65" s="5">
        <f>Plants!B56</f>
        <v/>
      </c>
      <c r="E65" s="5">
        <f>Plants!C56&amp;", "&amp;Plants!D56</f>
        <v/>
      </c>
      <c r="F65" s="5">
        <f>Plants!H56</f>
        <v/>
      </c>
      <c r="G65" s="5">
        <f>Plants!I56</f>
        <v/>
      </c>
    </row>
    <row r="66">
      <c r="A66">
        <f>IF(OR($B$5=0,$B$6=0),"",ROUND(ACOS(MIN(1,SIN(RADIANS($B$5))*SIN(RADIANS(Plants!E57))+COS(RADIANS($B$5))*COS(RADIANS(Plants!E57))*COS(RADIANS(Plants!F57-$B$6))))*3958.8,1))</f>
        <v/>
      </c>
      <c r="B66">
        <f>IF(A66="","",IF(A66&lt;=$B$7,"FLAG","OK"))</f>
        <v/>
      </c>
      <c r="C66">
        <f>Plants!A57</f>
        <v/>
      </c>
      <c r="D66">
        <f>Plants!B57</f>
        <v/>
      </c>
      <c r="E66">
        <f>Plants!C57&amp;", "&amp;Plants!D57</f>
        <v/>
      </c>
      <c r="F66">
        <f>Plants!H57</f>
        <v/>
      </c>
      <c r="G66">
        <f>Plants!I57</f>
        <v/>
      </c>
    </row>
    <row r="67">
      <c r="A67" s="5">
        <f>IF(OR($B$5=0,$B$6=0),"",ROUND(ACOS(MIN(1,SIN(RADIANS($B$5))*SIN(RADIANS(Plants!E58))+COS(RADIANS($B$5))*COS(RADIANS(Plants!E58))*COS(RADIANS(Plants!F58-$B$6))))*3958.8,1))</f>
        <v/>
      </c>
      <c r="B67" s="5">
        <f>IF(A67="","",IF(A67&lt;=$B$7,"FLAG","OK"))</f>
        <v/>
      </c>
      <c r="C67" s="5">
        <f>Plants!A58</f>
        <v/>
      </c>
      <c r="D67" s="5">
        <f>Plants!B58</f>
        <v/>
      </c>
      <c r="E67" s="5">
        <f>Plants!C58&amp;", "&amp;Plants!D58</f>
        <v/>
      </c>
      <c r="F67" s="5">
        <f>Plants!H58</f>
        <v/>
      </c>
      <c r="G67" s="5">
        <f>Plants!I58</f>
        <v/>
      </c>
    </row>
    <row r="68">
      <c r="A68">
        <f>IF(OR($B$5=0,$B$6=0),"",ROUND(ACOS(MIN(1,SIN(RADIANS($B$5))*SIN(RADIANS(Plants!E59))+COS(RADIANS($B$5))*COS(RADIANS(Plants!E59))*COS(RADIANS(Plants!F59-$B$6))))*3958.8,1))</f>
        <v/>
      </c>
      <c r="B68">
        <f>IF(A68="","",IF(A68&lt;=$B$7,"FLAG","OK"))</f>
        <v/>
      </c>
      <c r="C68">
        <f>Plants!A59</f>
        <v/>
      </c>
      <c r="D68">
        <f>Plants!B59</f>
        <v/>
      </c>
      <c r="E68">
        <f>Plants!C59&amp;", "&amp;Plants!D59</f>
        <v/>
      </c>
      <c r="F68">
        <f>Plants!H59</f>
        <v/>
      </c>
      <c r="G68">
        <f>Plants!I59</f>
        <v/>
      </c>
    </row>
    <row r="69">
      <c r="A69" s="5">
        <f>IF(OR($B$5=0,$B$6=0),"",ROUND(ACOS(MIN(1,SIN(RADIANS($B$5))*SIN(RADIANS(Plants!E60))+COS(RADIANS($B$5))*COS(RADIANS(Plants!E60))*COS(RADIANS(Plants!F60-$B$6))))*3958.8,1))</f>
        <v/>
      </c>
      <c r="B69" s="5">
        <f>IF(A69="","",IF(A69&lt;=$B$7,"FLAG","OK"))</f>
        <v/>
      </c>
      <c r="C69" s="5">
        <f>Plants!A60</f>
        <v/>
      </c>
      <c r="D69" s="5">
        <f>Plants!B60</f>
        <v/>
      </c>
      <c r="E69" s="5">
        <f>Plants!C60&amp;", "&amp;Plants!D60</f>
        <v/>
      </c>
      <c r="F69" s="5">
        <f>Plants!H60</f>
        <v/>
      </c>
      <c r="G69" s="5">
        <f>Plants!I60</f>
        <v/>
      </c>
    </row>
    <row r="70">
      <c r="A70">
        <f>IF(OR($B$5=0,$B$6=0),"",ROUND(ACOS(MIN(1,SIN(RADIANS($B$5))*SIN(RADIANS(Plants!E61))+COS(RADIANS($B$5))*COS(RADIANS(Plants!E61))*COS(RADIANS(Plants!F61-$B$6))))*3958.8,1))</f>
        <v/>
      </c>
      <c r="B70">
        <f>IF(A70="","",IF(A70&lt;=$B$7,"FLAG","OK"))</f>
        <v/>
      </c>
      <c r="C70">
        <f>Plants!A61</f>
        <v/>
      </c>
      <c r="D70">
        <f>Plants!B61</f>
        <v/>
      </c>
      <c r="E70">
        <f>Plants!C61&amp;", "&amp;Plants!D61</f>
        <v/>
      </c>
      <c r="F70">
        <f>Plants!H61</f>
        <v/>
      </c>
      <c r="G70">
        <f>Plants!I61</f>
        <v/>
      </c>
    </row>
    <row r="71">
      <c r="A71" s="5">
        <f>IF(OR($B$5=0,$B$6=0),"",ROUND(ACOS(MIN(1,SIN(RADIANS($B$5))*SIN(RADIANS(Plants!E62))+COS(RADIANS($B$5))*COS(RADIANS(Plants!E62))*COS(RADIANS(Plants!F62-$B$6))))*3958.8,1))</f>
        <v/>
      </c>
      <c r="B71" s="5">
        <f>IF(A71="","",IF(A71&lt;=$B$7,"FLAG","OK"))</f>
        <v/>
      </c>
      <c r="C71" s="5">
        <f>Plants!A62</f>
        <v/>
      </c>
      <c r="D71" s="5">
        <f>Plants!B62</f>
        <v/>
      </c>
      <c r="E71" s="5">
        <f>Plants!C62&amp;", "&amp;Plants!D62</f>
        <v/>
      </c>
      <c r="F71" s="5">
        <f>Plants!H62</f>
        <v/>
      </c>
      <c r="G71" s="5">
        <f>Plants!I62</f>
        <v/>
      </c>
    </row>
    <row r="72">
      <c r="A72">
        <f>IF(OR($B$5=0,$B$6=0),"",ROUND(ACOS(MIN(1,SIN(RADIANS($B$5))*SIN(RADIANS(Plants!E63))+COS(RADIANS($B$5))*COS(RADIANS(Plants!E63))*COS(RADIANS(Plants!F63-$B$6))))*3958.8,1))</f>
        <v/>
      </c>
      <c r="B72">
        <f>IF(A72="","",IF(A72&lt;=$B$7,"FLAG","OK"))</f>
        <v/>
      </c>
      <c r="C72">
        <f>Plants!A63</f>
        <v/>
      </c>
      <c r="D72">
        <f>Plants!B63</f>
        <v/>
      </c>
      <c r="E72">
        <f>Plants!C63&amp;", "&amp;Plants!D63</f>
        <v/>
      </c>
      <c r="F72">
        <f>Plants!H63</f>
        <v/>
      </c>
      <c r="G72">
        <f>Plants!I63</f>
        <v/>
      </c>
    </row>
    <row r="73">
      <c r="A73" s="5">
        <f>IF(OR($B$5=0,$B$6=0),"",ROUND(ACOS(MIN(1,SIN(RADIANS($B$5))*SIN(RADIANS(Plants!E64))+COS(RADIANS($B$5))*COS(RADIANS(Plants!E64))*COS(RADIANS(Plants!F64-$B$6))))*3958.8,1))</f>
        <v/>
      </c>
      <c r="B73" s="5">
        <f>IF(A73="","",IF(A73&lt;=$B$7,"FLAG","OK"))</f>
        <v/>
      </c>
      <c r="C73" s="5">
        <f>Plants!A64</f>
        <v/>
      </c>
      <c r="D73" s="5">
        <f>Plants!B64</f>
        <v/>
      </c>
      <c r="E73" s="5">
        <f>Plants!C64&amp;", "&amp;Plants!D64</f>
        <v/>
      </c>
      <c r="F73" s="5">
        <f>Plants!H64</f>
        <v/>
      </c>
      <c r="G73" s="5">
        <f>Plants!I64</f>
        <v/>
      </c>
    </row>
    <row r="74">
      <c r="A74">
        <f>IF(OR($B$5=0,$B$6=0),"",ROUND(ACOS(MIN(1,SIN(RADIANS($B$5))*SIN(RADIANS(Plants!E65))+COS(RADIANS($B$5))*COS(RADIANS(Plants!E65))*COS(RADIANS(Plants!F65-$B$6))))*3958.8,1))</f>
        <v/>
      </c>
      <c r="B74">
        <f>IF(A74="","",IF(A74&lt;=$B$7,"FLAG","OK"))</f>
        <v/>
      </c>
      <c r="C74">
        <f>Plants!A65</f>
        <v/>
      </c>
      <c r="D74">
        <f>Plants!B65</f>
        <v/>
      </c>
      <c r="E74">
        <f>Plants!C65&amp;", "&amp;Plants!D65</f>
        <v/>
      </c>
      <c r="F74">
        <f>Plants!H65</f>
        <v/>
      </c>
      <c r="G74">
        <f>Plants!I65</f>
        <v/>
      </c>
    </row>
    <row r="75">
      <c r="A75" s="5">
        <f>IF(OR($B$5=0,$B$6=0),"",ROUND(ACOS(MIN(1,SIN(RADIANS($B$5))*SIN(RADIANS(Plants!E66))+COS(RADIANS($B$5))*COS(RADIANS(Plants!E66))*COS(RADIANS(Plants!F66-$B$6))))*3958.8,1))</f>
        <v/>
      </c>
      <c r="B75" s="5">
        <f>IF(A75="","",IF(A75&lt;=$B$7,"FLAG","OK"))</f>
        <v/>
      </c>
      <c r="C75" s="5">
        <f>Plants!A66</f>
        <v/>
      </c>
      <c r="D75" s="5">
        <f>Plants!B66</f>
        <v/>
      </c>
      <c r="E75" s="5">
        <f>Plants!C66&amp;", "&amp;Plants!D66</f>
        <v/>
      </c>
      <c r="F75" s="5">
        <f>Plants!H66</f>
        <v/>
      </c>
      <c r="G75" s="5">
        <f>Plants!I66</f>
        <v/>
      </c>
    </row>
    <row r="76">
      <c r="A76">
        <f>IF(OR($B$5=0,$B$6=0),"",ROUND(ACOS(MIN(1,SIN(RADIANS($B$5))*SIN(RADIANS(Plants!E67))+COS(RADIANS($B$5))*COS(RADIANS(Plants!E67))*COS(RADIANS(Plants!F67-$B$6))))*3958.8,1))</f>
        <v/>
      </c>
      <c r="B76">
        <f>IF(A76="","",IF(A76&lt;=$B$7,"FLAG","OK"))</f>
        <v/>
      </c>
      <c r="C76">
        <f>Plants!A67</f>
        <v/>
      </c>
      <c r="D76">
        <f>Plants!B67</f>
        <v/>
      </c>
      <c r="E76">
        <f>Plants!C67&amp;", "&amp;Plants!D67</f>
        <v/>
      </c>
      <c r="F76">
        <f>Plants!H67</f>
        <v/>
      </c>
      <c r="G76">
        <f>Plants!I67</f>
        <v/>
      </c>
    </row>
    <row r="77">
      <c r="A77" s="5">
        <f>IF(OR($B$5=0,$B$6=0),"",ROUND(ACOS(MIN(1,SIN(RADIANS($B$5))*SIN(RADIANS(Plants!E68))+COS(RADIANS($B$5))*COS(RADIANS(Plants!E68))*COS(RADIANS(Plants!F68-$B$6))))*3958.8,1))</f>
        <v/>
      </c>
      <c r="B77" s="5">
        <f>IF(A77="","",IF(A77&lt;=$B$7,"FLAG","OK"))</f>
        <v/>
      </c>
      <c r="C77" s="5">
        <f>Plants!A68</f>
        <v/>
      </c>
      <c r="D77" s="5">
        <f>Plants!B68</f>
        <v/>
      </c>
      <c r="E77" s="5">
        <f>Plants!C68&amp;", "&amp;Plants!D68</f>
        <v/>
      </c>
      <c r="F77" s="5">
        <f>Plants!H68</f>
        <v/>
      </c>
      <c r="G77" s="5">
        <f>Plants!I68</f>
        <v/>
      </c>
    </row>
    <row r="78">
      <c r="A78">
        <f>IF(OR($B$5=0,$B$6=0),"",ROUND(ACOS(MIN(1,SIN(RADIANS($B$5))*SIN(RADIANS(Plants!E69))+COS(RADIANS($B$5))*COS(RADIANS(Plants!E69))*COS(RADIANS(Plants!F69-$B$6))))*3958.8,1))</f>
        <v/>
      </c>
      <c r="B78">
        <f>IF(A78="","",IF(A78&lt;=$B$7,"FLAG","OK"))</f>
        <v/>
      </c>
      <c r="C78">
        <f>Plants!A69</f>
        <v/>
      </c>
      <c r="D78">
        <f>Plants!B69</f>
        <v/>
      </c>
      <c r="E78">
        <f>Plants!C69&amp;", "&amp;Plants!D69</f>
        <v/>
      </c>
      <c r="F78">
        <f>Plants!H69</f>
        <v/>
      </c>
      <c r="G78">
        <f>Plants!I69</f>
        <v/>
      </c>
    </row>
    <row r="79">
      <c r="A79" s="5">
        <f>IF(OR($B$5=0,$B$6=0),"",ROUND(ACOS(MIN(1,SIN(RADIANS($B$5))*SIN(RADIANS(Plants!E70))+COS(RADIANS($B$5))*COS(RADIANS(Plants!E70))*COS(RADIANS(Plants!F70-$B$6))))*3958.8,1))</f>
        <v/>
      </c>
      <c r="B79" s="5">
        <f>IF(A79="","",IF(A79&lt;=$B$7,"FLAG","OK"))</f>
        <v/>
      </c>
      <c r="C79" s="5">
        <f>Plants!A70</f>
        <v/>
      </c>
      <c r="D79" s="5">
        <f>Plants!B70</f>
        <v/>
      </c>
      <c r="E79" s="5">
        <f>Plants!C70&amp;", "&amp;Plants!D70</f>
        <v/>
      </c>
      <c r="F79" s="5">
        <f>Plants!H70</f>
        <v/>
      </c>
      <c r="G79" s="5">
        <f>Plants!I70</f>
        <v/>
      </c>
    </row>
    <row r="80">
      <c r="A80">
        <f>IF(OR($B$5=0,$B$6=0),"",ROUND(ACOS(MIN(1,SIN(RADIANS($B$5))*SIN(RADIANS(Plants!E71))+COS(RADIANS($B$5))*COS(RADIANS(Plants!E71))*COS(RADIANS(Plants!F71-$B$6))))*3958.8,1))</f>
        <v/>
      </c>
      <c r="B80">
        <f>IF(A80="","",IF(A80&lt;=$B$7,"FLAG","OK"))</f>
        <v/>
      </c>
      <c r="C80">
        <f>Plants!A71</f>
        <v/>
      </c>
      <c r="D80">
        <f>Plants!B71</f>
        <v/>
      </c>
      <c r="E80">
        <f>Plants!C71&amp;", "&amp;Plants!D71</f>
        <v/>
      </c>
      <c r="F80">
        <f>Plants!H71</f>
        <v/>
      </c>
      <c r="G80">
        <f>Plants!I71</f>
        <v/>
      </c>
    </row>
    <row r="81">
      <c r="A81" s="5">
        <f>IF(OR($B$5=0,$B$6=0),"",ROUND(ACOS(MIN(1,SIN(RADIANS($B$5))*SIN(RADIANS(Plants!E72))+COS(RADIANS($B$5))*COS(RADIANS(Plants!E72))*COS(RADIANS(Plants!F72-$B$6))))*3958.8,1))</f>
        <v/>
      </c>
      <c r="B81" s="5">
        <f>IF(A81="","",IF(A81&lt;=$B$7,"FLAG","OK"))</f>
        <v/>
      </c>
      <c r="C81" s="5">
        <f>Plants!A72</f>
        <v/>
      </c>
      <c r="D81" s="5">
        <f>Plants!B72</f>
        <v/>
      </c>
      <c r="E81" s="5">
        <f>Plants!C72&amp;", "&amp;Plants!D72</f>
        <v/>
      </c>
      <c r="F81" s="5">
        <f>Plants!H72</f>
        <v/>
      </c>
      <c r="G81" s="5">
        <f>Plants!I72</f>
        <v/>
      </c>
    </row>
    <row r="82">
      <c r="A82">
        <f>IF(OR($B$5=0,$B$6=0),"",ROUND(ACOS(MIN(1,SIN(RADIANS($B$5))*SIN(RADIANS(Plants!E73))+COS(RADIANS($B$5))*COS(RADIANS(Plants!E73))*COS(RADIANS(Plants!F73-$B$6))))*3958.8,1))</f>
        <v/>
      </c>
      <c r="B82">
        <f>IF(A82="","",IF(A82&lt;=$B$7,"FLAG","OK"))</f>
        <v/>
      </c>
      <c r="C82">
        <f>Plants!A73</f>
        <v/>
      </c>
      <c r="D82">
        <f>Plants!B73</f>
        <v/>
      </c>
      <c r="E82">
        <f>Plants!C73&amp;", "&amp;Plants!D73</f>
        <v/>
      </c>
      <c r="F82">
        <f>Plants!H73</f>
        <v/>
      </c>
      <c r="G82">
        <f>Plants!I73</f>
        <v/>
      </c>
    </row>
    <row r="83">
      <c r="A83" s="5">
        <f>IF(OR($B$5=0,$B$6=0),"",ROUND(ACOS(MIN(1,SIN(RADIANS($B$5))*SIN(RADIANS(Plants!E74))+COS(RADIANS($B$5))*COS(RADIANS(Plants!E74))*COS(RADIANS(Plants!F74-$B$6))))*3958.8,1))</f>
        <v/>
      </c>
      <c r="B83" s="5">
        <f>IF(A83="","",IF(A83&lt;=$B$7,"FLAG","OK"))</f>
        <v/>
      </c>
      <c r="C83" s="5">
        <f>Plants!A74</f>
        <v/>
      </c>
      <c r="D83" s="5">
        <f>Plants!B74</f>
        <v/>
      </c>
      <c r="E83" s="5">
        <f>Plants!C74&amp;", "&amp;Plants!D74</f>
        <v/>
      </c>
      <c r="F83" s="5">
        <f>Plants!H74</f>
        <v/>
      </c>
      <c r="G83" s="5">
        <f>Plants!I74</f>
        <v/>
      </c>
    </row>
    <row r="84">
      <c r="A84">
        <f>IF(OR($B$5=0,$B$6=0),"",ROUND(ACOS(MIN(1,SIN(RADIANS($B$5))*SIN(RADIANS(Plants!E75))+COS(RADIANS($B$5))*COS(RADIANS(Plants!E75))*COS(RADIANS(Plants!F75-$B$6))))*3958.8,1))</f>
        <v/>
      </c>
      <c r="B84">
        <f>IF(A84="","",IF(A84&lt;=$B$7,"FLAG","OK"))</f>
        <v/>
      </c>
      <c r="C84">
        <f>Plants!A75</f>
        <v/>
      </c>
      <c r="D84">
        <f>Plants!B75</f>
        <v/>
      </c>
      <c r="E84">
        <f>Plants!C75&amp;", "&amp;Plants!D75</f>
        <v/>
      </c>
      <c r="F84">
        <f>Plants!H75</f>
        <v/>
      </c>
      <c r="G84">
        <f>Plants!I75</f>
        <v/>
      </c>
    </row>
    <row r="85">
      <c r="A85" s="5">
        <f>IF(OR($B$5=0,$B$6=0),"",ROUND(ACOS(MIN(1,SIN(RADIANS($B$5))*SIN(RADIANS(Plants!E76))+COS(RADIANS($B$5))*COS(RADIANS(Plants!E76))*COS(RADIANS(Plants!F76-$B$6))))*3958.8,1))</f>
        <v/>
      </c>
      <c r="B85" s="5">
        <f>IF(A85="","",IF(A85&lt;=$B$7,"FLAG","OK"))</f>
        <v/>
      </c>
      <c r="C85" s="5">
        <f>Plants!A76</f>
        <v/>
      </c>
      <c r="D85" s="5">
        <f>Plants!B76</f>
        <v/>
      </c>
      <c r="E85" s="5">
        <f>Plants!C76&amp;", "&amp;Plants!D76</f>
        <v/>
      </c>
      <c r="F85" s="5">
        <f>Plants!H76</f>
        <v/>
      </c>
      <c r="G85" s="5">
        <f>Plants!I76</f>
        <v/>
      </c>
    </row>
    <row r="86">
      <c r="A86">
        <f>IF(OR($B$5=0,$B$6=0),"",ROUND(ACOS(MIN(1,SIN(RADIANS($B$5))*SIN(RADIANS(Plants!E77))+COS(RADIANS($B$5))*COS(RADIANS(Plants!E77))*COS(RADIANS(Plants!F77-$B$6))))*3958.8,1))</f>
        <v/>
      </c>
      <c r="B86">
        <f>IF(A86="","",IF(A86&lt;=$B$7,"FLAG","OK"))</f>
        <v/>
      </c>
      <c r="C86">
        <f>Plants!A77</f>
        <v/>
      </c>
      <c r="D86">
        <f>Plants!B77</f>
        <v/>
      </c>
      <c r="E86">
        <f>Plants!C77&amp;", "&amp;Plants!D77</f>
        <v/>
      </c>
      <c r="F86">
        <f>Plants!H77</f>
        <v/>
      </c>
      <c r="G86">
        <f>Plants!I77</f>
        <v/>
      </c>
    </row>
    <row r="87">
      <c r="A87" s="5">
        <f>IF(OR($B$5=0,$B$6=0),"",ROUND(ACOS(MIN(1,SIN(RADIANS($B$5))*SIN(RADIANS(Plants!E78))+COS(RADIANS($B$5))*COS(RADIANS(Plants!E78))*COS(RADIANS(Plants!F78-$B$6))))*3958.8,1))</f>
        <v/>
      </c>
      <c r="B87" s="5">
        <f>IF(A87="","",IF(A87&lt;=$B$7,"FLAG","OK"))</f>
        <v/>
      </c>
      <c r="C87" s="5">
        <f>Plants!A78</f>
        <v/>
      </c>
      <c r="D87" s="5">
        <f>Plants!B78</f>
        <v/>
      </c>
      <c r="E87" s="5">
        <f>Plants!C78&amp;", "&amp;Plants!D78</f>
        <v/>
      </c>
      <c r="F87" s="5">
        <f>Plants!H78</f>
        <v/>
      </c>
      <c r="G87" s="5">
        <f>Plants!I78</f>
        <v/>
      </c>
    </row>
    <row r="88">
      <c r="A88">
        <f>IF(OR($B$5=0,$B$6=0),"",ROUND(ACOS(MIN(1,SIN(RADIANS($B$5))*SIN(RADIANS(Plants!E79))+COS(RADIANS($B$5))*COS(RADIANS(Plants!E79))*COS(RADIANS(Plants!F79-$B$6))))*3958.8,1))</f>
        <v/>
      </c>
      <c r="B88">
        <f>IF(A88="","",IF(A88&lt;=$B$7,"FLAG","OK"))</f>
        <v/>
      </c>
      <c r="C88">
        <f>Plants!A79</f>
        <v/>
      </c>
      <c r="D88">
        <f>Plants!B79</f>
        <v/>
      </c>
      <c r="E88">
        <f>Plants!C79&amp;", "&amp;Plants!D79</f>
        <v/>
      </c>
      <c r="F88">
        <f>Plants!H79</f>
        <v/>
      </c>
      <c r="G88">
        <f>Plants!I79</f>
        <v/>
      </c>
    </row>
    <row r="89">
      <c r="A89" s="5">
        <f>IF(OR($B$5=0,$B$6=0),"",ROUND(ACOS(MIN(1,SIN(RADIANS($B$5))*SIN(RADIANS(Plants!E80))+COS(RADIANS($B$5))*COS(RADIANS(Plants!E80))*COS(RADIANS(Plants!F80-$B$6))))*3958.8,1))</f>
        <v/>
      </c>
      <c r="B89" s="5">
        <f>IF(A89="","",IF(A89&lt;=$B$7,"FLAG","OK"))</f>
        <v/>
      </c>
      <c r="C89" s="5">
        <f>Plants!A80</f>
        <v/>
      </c>
      <c r="D89" s="5">
        <f>Plants!B80</f>
        <v/>
      </c>
      <c r="E89" s="5">
        <f>Plants!C80&amp;", "&amp;Plants!D80</f>
        <v/>
      </c>
      <c r="F89" s="5">
        <f>Plants!H80</f>
        <v/>
      </c>
      <c r="G89" s="5">
        <f>Plants!I80</f>
        <v/>
      </c>
    </row>
    <row r="90">
      <c r="A90">
        <f>IF(OR($B$5=0,$B$6=0),"",ROUND(ACOS(MIN(1,SIN(RADIANS($B$5))*SIN(RADIANS(Plants!E81))+COS(RADIANS($B$5))*COS(RADIANS(Plants!E81))*COS(RADIANS(Plants!F81-$B$6))))*3958.8,1))</f>
        <v/>
      </c>
      <c r="B90">
        <f>IF(A90="","",IF(A90&lt;=$B$7,"FLAG","OK"))</f>
        <v/>
      </c>
      <c r="C90">
        <f>Plants!A81</f>
        <v/>
      </c>
      <c r="D90">
        <f>Plants!B81</f>
        <v/>
      </c>
      <c r="E90">
        <f>Plants!C81&amp;", "&amp;Plants!D81</f>
        <v/>
      </c>
      <c r="F90">
        <f>Plants!H81</f>
        <v/>
      </c>
      <c r="G90">
        <f>Plants!I81</f>
        <v/>
      </c>
    </row>
    <row r="91">
      <c r="A91" s="5">
        <f>IF(OR($B$5=0,$B$6=0),"",ROUND(ACOS(MIN(1,SIN(RADIANS($B$5))*SIN(RADIANS(Plants!E82))+COS(RADIANS($B$5))*COS(RADIANS(Plants!E82))*COS(RADIANS(Plants!F82-$B$6))))*3958.8,1))</f>
        <v/>
      </c>
      <c r="B91" s="5">
        <f>IF(A91="","",IF(A91&lt;=$B$7,"FLAG","OK"))</f>
        <v/>
      </c>
      <c r="C91" s="5">
        <f>Plants!A82</f>
        <v/>
      </c>
      <c r="D91" s="5">
        <f>Plants!B82</f>
        <v/>
      </c>
      <c r="E91" s="5">
        <f>Plants!C82&amp;", "&amp;Plants!D82</f>
        <v/>
      </c>
      <c r="F91" s="5">
        <f>Plants!H82</f>
        <v/>
      </c>
      <c r="G91" s="5">
        <f>Plants!I82</f>
        <v/>
      </c>
    </row>
    <row r="92">
      <c r="A92">
        <f>IF(OR($B$5=0,$B$6=0),"",ROUND(ACOS(MIN(1,SIN(RADIANS($B$5))*SIN(RADIANS(Plants!E83))+COS(RADIANS($B$5))*COS(RADIANS(Plants!E83))*COS(RADIANS(Plants!F83-$B$6))))*3958.8,1))</f>
        <v/>
      </c>
      <c r="B92">
        <f>IF(A92="","",IF(A92&lt;=$B$7,"FLAG","OK"))</f>
        <v/>
      </c>
      <c r="C92">
        <f>Plants!A83</f>
        <v/>
      </c>
      <c r="D92">
        <f>Plants!B83</f>
        <v/>
      </c>
      <c r="E92">
        <f>Plants!C83&amp;", "&amp;Plants!D83</f>
        <v/>
      </c>
      <c r="F92">
        <f>Plants!H83</f>
        <v/>
      </c>
      <c r="G92">
        <f>Plants!I83</f>
        <v/>
      </c>
    </row>
    <row r="93">
      <c r="A93" s="5">
        <f>IF(OR($B$5=0,$B$6=0),"",ROUND(ACOS(MIN(1,SIN(RADIANS($B$5))*SIN(RADIANS(Plants!E84))+COS(RADIANS($B$5))*COS(RADIANS(Plants!E84))*COS(RADIANS(Plants!F84-$B$6))))*3958.8,1))</f>
        <v/>
      </c>
      <c r="B93" s="5">
        <f>IF(A93="","",IF(A93&lt;=$B$7,"FLAG","OK"))</f>
        <v/>
      </c>
      <c r="C93" s="5">
        <f>Plants!A84</f>
        <v/>
      </c>
      <c r="D93" s="5">
        <f>Plants!B84</f>
        <v/>
      </c>
      <c r="E93" s="5">
        <f>Plants!C84&amp;", "&amp;Plants!D84</f>
        <v/>
      </c>
      <c r="F93" s="5">
        <f>Plants!H84</f>
        <v/>
      </c>
      <c r="G93" s="5">
        <f>Plants!I84</f>
        <v/>
      </c>
    </row>
    <row r="94">
      <c r="A94">
        <f>IF(OR($B$5=0,$B$6=0),"",ROUND(ACOS(MIN(1,SIN(RADIANS($B$5))*SIN(RADIANS(Plants!E85))+COS(RADIANS($B$5))*COS(RADIANS(Plants!E85))*COS(RADIANS(Plants!F85-$B$6))))*3958.8,1))</f>
        <v/>
      </c>
      <c r="B94">
        <f>IF(A94="","",IF(A94&lt;=$B$7,"FLAG","OK"))</f>
        <v/>
      </c>
      <c r="C94">
        <f>Plants!A85</f>
        <v/>
      </c>
      <c r="D94">
        <f>Plants!B85</f>
        <v/>
      </c>
      <c r="E94">
        <f>Plants!C85&amp;", "&amp;Plants!D85</f>
        <v/>
      </c>
      <c r="F94">
        <f>Plants!H85</f>
        <v/>
      </c>
      <c r="G94">
        <f>Plants!I85</f>
        <v/>
      </c>
    </row>
    <row r="95">
      <c r="A95" s="5">
        <f>IF(OR($B$5=0,$B$6=0),"",ROUND(ACOS(MIN(1,SIN(RADIANS($B$5))*SIN(RADIANS(Plants!E86))+COS(RADIANS($B$5))*COS(RADIANS(Plants!E86))*COS(RADIANS(Plants!F86-$B$6))))*3958.8,1))</f>
        <v/>
      </c>
      <c r="B95" s="5">
        <f>IF(A95="","",IF(A95&lt;=$B$7,"FLAG","OK"))</f>
        <v/>
      </c>
      <c r="C95" s="5">
        <f>Plants!A86</f>
        <v/>
      </c>
      <c r="D95" s="5">
        <f>Plants!B86</f>
        <v/>
      </c>
      <c r="E95" s="5">
        <f>Plants!C86&amp;", "&amp;Plants!D86</f>
        <v/>
      </c>
      <c r="F95" s="5">
        <f>Plants!H86</f>
        <v/>
      </c>
      <c r="G95" s="5">
        <f>Plants!I86</f>
        <v/>
      </c>
    </row>
    <row r="96">
      <c r="A96">
        <f>IF(OR($B$5=0,$B$6=0),"",ROUND(ACOS(MIN(1,SIN(RADIANS($B$5))*SIN(RADIANS(Plants!E87))+COS(RADIANS($B$5))*COS(RADIANS(Plants!E87))*COS(RADIANS(Plants!F87-$B$6))))*3958.8,1))</f>
        <v/>
      </c>
      <c r="B96">
        <f>IF(A96="","",IF(A96&lt;=$B$7,"FLAG","OK"))</f>
        <v/>
      </c>
      <c r="C96">
        <f>Plants!A87</f>
        <v/>
      </c>
      <c r="D96">
        <f>Plants!B87</f>
        <v/>
      </c>
      <c r="E96">
        <f>Plants!C87&amp;", "&amp;Plants!D87</f>
        <v/>
      </c>
      <c r="F96">
        <f>Plants!H87</f>
        <v/>
      </c>
      <c r="G96">
        <f>Plants!I87</f>
        <v/>
      </c>
    </row>
    <row r="97">
      <c r="A97" s="5">
        <f>IF(OR($B$5=0,$B$6=0),"",ROUND(ACOS(MIN(1,SIN(RADIANS($B$5))*SIN(RADIANS(Plants!E88))+COS(RADIANS($B$5))*COS(RADIANS(Plants!E88))*COS(RADIANS(Plants!F88-$B$6))))*3958.8,1))</f>
        <v/>
      </c>
      <c r="B97" s="5">
        <f>IF(A97="","",IF(A97&lt;=$B$7,"FLAG","OK"))</f>
        <v/>
      </c>
      <c r="C97" s="5">
        <f>Plants!A88</f>
        <v/>
      </c>
      <c r="D97" s="5">
        <f>Plants!B88</f>
        <v/>
      </c>
      <c r="E97" s="5">
        <f>Plants!C88&amp;", "&amp;Plants!D88</f>
        <v/>
      </c>
      <c r="F97" s="5">
        <f>Plants!H88</f>
        <v/>
      </c>
      <c r="G97" s="5">
        <f>Plants!I88</f>
        <v/>
      </c>
    </row>
    <row r="98">
      <c r="A98">
        <f>IF(OR($B$5=0,$B$6=0),"",ROUND(ACOS(MIN(1,SIN(RADIANS($B$5))*SIN(RADIANS(Plants!E89))+COS(RADIANS($B$5))*COS(RADIANS(Plants!E89))*COS(RADIANS(Plants!F89-$B$6))))*3958.8,1))</f>
        <v/>
      </c>
      <c r="B98">
        <f>IF(A98="","",IF(A98&lt;=$B$7,"FLAG","OK"))</f>
        <v/>
      </c>
      <c r="C98">
        <f>Plants!A89</f>
        <v/>
      </c>
      <c r="D98">
        <f>Plants!B89</f>
        <v/>
      </c>
      <c r="E98">
        <f>Plants!C89&amp;", "&amp;Plants!D89</f>
        <v/>
      </c>
      <c r="F98">
        <f>Plants!H89</f>
        <v/>
      </c>
      <c r="G98">
        <f>Plants!I89</f>
        <v/>
      </c>
    </row>
    <row r="99">
      <c r="A99" s="5">
        <f>IF(OR($B$5=0,$B$6=0),"",ROUND(ACOS(MIN(1,SIN(RADIANS($B$5))*SIN(RADIANS(Plants!E90))+COS(RADIANS($B$5))*COS(RADIANS(Plants!E90))*COS(RADIANS(Plants!F90-$B$6))))*3958.8,1))</f>
        <v/>
      </c>
      <c r="B99" s="5">
        <f>IF(A99="","",IF(A99&lt;=$B$7,"FLAG","OK"))</f>
        <v/>
      </c>
      <c r="C99" s="5">
        <f>Plants!A90</f>
        <v/>
      </c>
      <c r="D99" s="5">
        <f>Plants!B90</f>
        <v/>
      </c>
      <c r="E99" s="5">
        <f>Plants!C90&amp;", "&amp;Plants!D90</f>
        <v/>
      </c>
      <c r="F99" s="5">
        <f>Plants!H90</f>
        <v/>
      </c>
      <c r="G99" s="5">
        <f>Plants!I90</f>
        <v/>
      </c>
    </row>
    <row r="100">
      <c r="A100">
        <f>IF(OR($B$5=0,$B$6=0),"",ROUND(ACOS(MIN(1,SIN(RADIANS($B$5))*SIN(RADIANS(Plants!E91))+COS(RADIANS($B$5))*COS(RADIANS(Plants!E91))*COS(RADIANS(Plants!F91-$B$6))))*3958.8,1))</f>
        <v/>
      </c>
      <c r="B100">
        <f>IF(A100="","",IF(A100&lt;=$B$7,"FLAG","OK"))</f>
        <v/>
      </c>
      <c r="C100">
        <f>Plants!A91</f>
        <v/>
      </c>
      <c r="D100">
        <f>Plants!B91</f>
        <v/>
      </c>
      <c r="E100">
        <f>Plants!C91&amp;", "&amp;Plants!D91</f>
        <v/>
      </c>
      <c r="F100">
        <f>Plants!H91</f>
        <v/>
      </c>
      <c r="G100">
        <f>Plants!I91</f>
        <v/>
      </c>
    </row>
    <row r="101">
      <c r="A101" s="5">
        <f>IF(OR($B$5=0,$B$6=0),"",ROUND(ACOS(MIN(1,SIN(RADIANS($B$5))*SIN(RADIANS(Plants!E92))+COS(RADIANS($B$5))*COS(RADIANS(Plants!E92))*COS(RADIANS(Plants!F92-$B$6))))*3958.8,1))</f>
        <v/>
      </c>
      <c r="B101" s="5">
        <f>IF(A101="","",IF(A101&lt;=$B$7,"FLAG","OK"))</f>
        <v/>
      </c>
      <c r="C101" s="5">
        <f>Plants!A92</f>
        <v/>
      </c>
      <c r="D101" s="5">
        <f>Plants!B92</f>
        <v/>
      </c>
      <c r="E101" s="5">
        <f>Plants!C92&amp;", "&amp;Plants!D92</f>
        <v/>
      </c>
      <c r="F101" s="5">
        <f>Plants!H92</f>
        <v/>
      </c>
      <c r="G101" s="5">
        <f>Plants!I92</f>
        <v/>
      </c>
    </row>
    <row r="102">
      <c r="A102">
        <f>IF(OR($B$5=0,$B$6=0),"",ROUND(ACOS(MIN(1,SIN(RADIANS($B$5))*SIN(RADIANS(Plants!E93))+COS(RADIANS($B$5))*COS(RADIANS(Plants!E93))*COS(RADIANS(Plants!F93-$B$6))))*3958.8,1))</f>
        <v/>
      </c>
      <c r="B102">
        <f>IF(A102="","",IF(A102&lt;=$B$7,"FLAG","OK"))</f>
        <v/>
      </c>
      <c r="C102">
        <f>Plants!A93</f>
        <v/>
      </c>
      <c r="D102">
        <f>Plants!B93</f>
        <v/>
      </c>
      <c r="E102">
        <f>Plants!C93&amp;", "&amp;Plants!D93</f>
        <v/>
      </c>
      <c r="F102">
        <f>Plants!H93</f>
        <v/>
      </c>
      <c r="G102">
        <f>Plants!I93</f>
        <v/>
      </c>
    </row>
    <row r="103">
      <c r="A103" s="5">
        <f>IF(OR($B$5=0,$B$6=0),"",ROUND(ACOS(MIN(1,SIN(RADIANS($B$5))*SIN(RADIANS(Plants!E94))+COS(RADIANS($B$5))*COS(RADIANS(Plants!E94))*COS(RADIANS(Plants!F94-$B$6))))*3958.8,1))</f>
        <v/>
      </c>
      <c r="B103" s="5">
        <f>IF(A103="","",IF(A103&lt;=$B$7,"FLAG","OK"))</f>
        <v/>
      </c>
      <c r="C103" s="5">
        <f>Plants!A94</f>
        <v/>
      </c>
      <c r="D103" s="5">
        <f>Plants!B94</f>
        <v/>
      </c>
      <c r="E103" s="5">
        <f>Plants!C94&amp;", "&amp;Plants!D94</f>
        <v/>
      </c>
      <c r="F103" s="5">
        <f>Plants!H94</f>
        <v/>
      </c>
      <c r="G103" s="5">
        <f>Plants!I94</f>
        <v/>
      </c>
    </row>
    <row r="104">
      <c r="A104">
        <f>IF(OR($B$5=0,$B$6=0),"",ROUND(ACOS(MIN(1,SIN(RADIANS($B$5))*SIN(RADIANS(Plants!E95))+COS(RADIANS($B$5))*COS(RADIANS(Plants!E95))*COS(RADIANS(Plants!F95-$B$6))))*3958.8,1))</f>
        <v/>
      </c>
      <c r="B104">
        <f>IF(A104="","",IF(A104&lt;=$B$7,"FLAG","OK"))</f>
        <v/>
      </c>
      <c r="C104">
        <f>Plants!A95</f>
        <v/>
      </c>
      <c r="D104">
        <f>Plants!B95</f>
        <v/>
      </c>
      <c r="E104">
        <f>Plants!C95&amp;", "&amp;Plants!D95</f>
        <v/>
      </c>
      <c r="F104">
        <f>Plants!H95</f>
        <v/>
      </c>
      <c r="G104">
        <f>Plants!I95</f>
        <v/>
      </c>
    </row>
    <row r="105">
      <c r="A105" s="5">
        <f>IF(OR($B$5=0,$B$6=0),"",ROUND(ACOS(MIN(1,SIN(RADIANS($B$5))*SIN(RADIANS(Plants!E96))+COS(RADIANS($B$5))*COS(RADIANS(Plants!E96))*COS(RADIANS(Plants!F96-$B$6))))*3958.8,1))</f>
        <v/>
      </c>
      <c r="B105" s="5">
        <f>IF(A105="","",IF(A105&lt;=$B$7,"FLAG","OK"))</f>
        <v/>
      </c>
      <c r="C105" s="5">
        <f>Plants!A96</f>
        <v/>
      </c>
      <c r="D105" s="5">
        <f>Plants!B96</f>
        <v/>
      </c>
      <c r="E105" s="5">
        <f>Plants!C96&amp;", "&amp;Plants!D96</f>
        <v/>
      </c>
      <c r="F105" s="5">
        <f>Plants!H96</f>
        <v/>
      </c>
      <c r="G105" s="5">
        <f>Plants!I96</f>
        <v/>
      </c>
    </row>
    <row r="106">
      <c r="A106">
        <f>IF(OR($B$5=0,$B$6=0),"",ROUND(ACOS(MIN(1,SIN(RADIANS($B$5))*SIN(RADIANS(Plants!E97))+COS(RADIANS($B$5))*COS(RADIANS(Plants!E97))*COS(RADIANS(Plants!F97-$B$6))))*3958.8,1))</f>
        <v/>
      </c>
      <c r="B106">
        <f>IF(A106="","",IF(A106&lt;=$B$7,"FLAG","OK"))</f>
        <v/>
      </c>
      <c r="C106">
        <f>Plants!A97</f>
        <v/>
      </c>
      <c r="D106">
        <f>Plants!B97</f>
        <v/>
      </c>
      <c r="E106">
        <f>Plants!C97&amp;", "&amp;Plants!D97</f>
        <v/>
      </c>
      <c r="F106">
        <f>Plants!H97</f>
        <v/>
      </c>
      <c r="G106">
        <f>Plants!I97</f>
        <v/>
      </c>
    </row>
    <row r="107">
      <c r="A107" s="5">
        <f>IF(OR($B$5=0,$B$6=0),"",ROUND(ACOS(MIN(1,SIN(RADIANS($B$5))*SIN(RADIANS(Plants!E98))+COS(RADIANS($B$5))*COS(RADIANS(Plants!E98))*COS(RADIANS(Plants!F98-$B$6))))*3958.8,1))</f>
        <v/>
      </c>
      <c r="B107" s="5">
        <f>IF(A107="","",IF(A107&lt;=$B$7,"FLAG","OK"))</f>
        <v/>
      </c>
      <c r="C107" s="5">
        <f>Plants!A98</f>
        <v/>
      </c>
      <c r="D107" s="5">
        <f>Plants!B98</f>
        <v/>
      </c>
      <c r="E107" s="5">
        <f>Plants!C98&amp;", "&amp;Plants!D98</f>
        <v/>
      </c>
      <c r="F107" s="5">
        <f>Plants!H98</f>
        <v/>
      </c>
      <c r="G107" s="5">
        <f>Plants!I98</f>
        <v/>
      </c>
    </row>
    <row r="108">
      <c r="A108">
        <f>IF(OR($B$5=0,$B$6=0),"",ROUND(ACOS(MIN(1,SIN(RADIANS($B$5))*SIN(RADIANS(Plants!E99))+COS(RADIANS($B$5))*COS(RADIANS(Plants!E99))*COS(RADIANS(Plants!F99-$B$6))))*3958.8,1))</f>
        <v/>
      </c>
      <c r="B108">
        <f>IF(A108="","",IF(A108&lt;=$B$7,"FLAG","OK"))</f>
        <v/>
      </c>
      <c r="C108">
        <f>Plants!A99</f>
        <v/>
      </c>
      <c r="D108">
        <f>Plants!B99</f>
        <v/>
      </c>
      <c r="E108">
        <f>Plants!C99&amp;", "&amp;Plants!D99</f>
        <v/>
      </c>
      <c r="F108">
        <f>Plants!H99</f>
        <v/>
      </c>
      <c r="G108">
        <f>Plants!I99</f>
        <v/>
      </c>
    </row>
    <row r="109">
      <c r="A109" s="5">
        <f>IF(OR($B$5=0,$B$6=0),"",ROUND(ACOS(MIN(1,SIN(RADIANS($B$5))*SIN(RADIANS(Plants!E100))+COS(RADIANS($B$5))*COS(RADIANS(Plants!E100))*COS(RADIANS(Plants!F100-$B$6))))*3958.8,1))</f>
        <v/>
      </c>
      <c r="B109" s="5">
        <f>IF(A109="","",IF(A109&lt;=$B$7,"FLAG","OK"))</f>
        <v/>
      </c>
      <c r="C109" s="5">
        <f>Plants!A100</f>
        <v/>
      </c>
      <c r="D109" s="5">
        <f>Plants!B100</f>
        <v/>
      </c>
      <c r="E109" s="5">
        <f>Plants!C100&amp;", "&amp;Plants!D100</f>
        <v/>
      </c>
      <c r="F109" s="5">
        <f>Plants!H100</f>
        <v/>
      </c>
      <c r="G109" s="5">
        <f>Plants!I100</f>
        <v/>
      </c>
    </row>
    <row r="110">
      <c r="A110">
        <f>IF(OR($B$5=0,$B$6=0),"",ROUND(ACOS(MIN(1,SIN(RADIANS($B$5))*SIN(RADIANS(Plants!E101))+COS(RADIANS($B$5))*COS(RADIANS(Plants!E101))*COS(RADIANS(Plants!F101-$B$6))))*3958.8,1))</f>
        <v/>
      </c>
      <c r="B110">
        <f>IF(A110="","",IF(A110&lt;=$B$7,"FLAG","OK"))</f>
        <v/>
      </c>
      <c r="C110">
        <f>Plants!A101</f>
        <v/>
      </c>
      <c r="D110">
        <f>Plants!B101</f>
        <v/>
      </c>
      <c r="E110">
        <f>Plants!C101&amp;", "&amp;Plants!D101</f>
        <v/>
      </c>
      <c r="F110">
        <f>Plants!H101</f>
        <v/>
      </c>
      <c r="G110">
        <f>Plants!I101</f>
        <v/>
      </c>
    </row>
    <row r="111">
      <c r="A111" s="5">
        <f>IF(OR($B$5=0,$B$6=0),"",ROUND(ACOS(MIN(1,SIN(RADIANS($B$5))*SIN(RADIANS(Plants!E102))+COS(RADIANS($B$5))*COS(RADIANS(Plants!E102))*COS(RADIANS(Plants!F102-$B$6))))*3958.8,1))</f>
        <v/>
      </c>
      <c r="B111" s="5">
        <f>IF(A111="","",IF(A111&lt;=$B$7,"FLAG","OK"))</f>
        <v/>
      </c>
      <c r="C111" s="5">
        <f>Plants!A102</f>
        <v/>
      </c>
      <c r="D111" s="5">
        <f>Plants!B102</f>
        <v/>
      </c>
      <c r="E111" s="5">
        <f>Plants!C102&amp;", "&amp;Plants!D102</f>
        <v/>
      </c>
      <c r="F111" s="5">
        <f>Plants!H102</f>
        <v/>
      </c>
      <c r="G111" s="5">
        <f>Plants!I102</f>
        <v/>
      </c>
    </row>
    <row r="112">
      <c r="A112">
        <f>IF(OR($B$5=0,$B$6=0),"",ROUND(ACOS(MIN(1,SIN(RADIANS($B$5))*SIN(RADIANS(Plants!E103))+COS(RADIANS($B$5))*COS(RADIANS(Plants!E103))*COS(RADIANS(Plants!F103-$B$6))))*3958.8,1))</f>
        <v/>
      </c>
      <c r="B112">
        <f>IF(A112="","",IF(A112&lt;=$B$7,"FLAG","OK"))</f>
        <v/>
      </c>
      <c r="C112">
        <f>Plants!A103</f>
        <v/>
      </c>
      <c r="D112">
        <f>Plants!B103</f>
        <v/>
      </c>
      <c r="E112">
        <f>Plants!C103&amp;", "&amp;Plants!D103</f>
        <v/>
      </c>
      <c r="F112">
        <f>Plants!H103</f>
        <v/>
      </c>
      <c r="G112">
        <f>Plants!I103</f>
        <v/>
      </c>
    </row>
    <row r="113">
      <c r="A113" s="5">
        <f>IF(OR($B$5=0,$B$6=0),"",ROUND(ACOS(MIN(1,SIN(RADIANS($B$5))*SIN(RADIANS(Plants!E104))+COS(RADIANS($B$5))*COS(RADIANS(Plants!E104))*COS(RADIANS(Plants!F104-$B$6))))*3958.8,1))</f>
        <v/>
      </c>
      <c r="B113" s="5">
        <f>IF(A113="","",IF(A113&lt;=$B$7,"FLAG","OK"))</f>
        <v/>
      </c>
      <c r="C113" s="5">
        <f>Plants!A104</f>
        <v/>
      </c>
      <c r="D113" s="5">
        <f>Plants!B104</f>
        <v/>
      </c>
      <c r="E113" s="5">
        <f>Plants!C104&amp;", "&amp;Plants!D104</f>
        <v/>
      </c>
      <c r="F113" s="5">
        <f>Plants!H104</f>
        <v/>
      </c>
      <c r="G113" s="5">
        <f>Plants!I104</f>
        <v/>
      </c>
    </row>
    <row r="114">
      <c r="A114">
        <f>IF(OR($B$5=0,$B$6=0),"",ROUND(ACOS(MIN(1,SIN(RADIANS($B$5))*SIN(RADIANS(Plants!E105))+COS(RADIANS($B$5))*COS(RADIANS(Plants!E105))*COS(RADIANS(Plants!F105-$B$6))))*3958.8,1))</f>
        <v/>
      </c>
      <c r="B114">
        <f>IF(A114="","",IF(A114&lt;=$B$7,"FLAG","OK"))</f>
        <v/>
      </c>
      <c r="C114">
        <f>Plants!A105</f>
        <v/>
      </c>
      <c r="D114">
        <f>Plants!B105</f>
        <v/>
      </c>
      <c r="E114">
        <f>Plants!C105&amp;", "&amp;Plants!D105</f>
        <v/>
      </c>
      <c r="F114">
        <f>Plants!H105</f>
        <v/>
      </c>
      <c r="G114">
        <f>Plants!I105</f>
        <v/>
      </c>
    </row>
    <row r="115">
      <c r="A115" s="5">
        <f>IF(OR($B$5=0,$B$6=0),"",ROUND(ACOS(MIN(1,SIN(RADIANS($B$5))*SIN(RADIANS(Plants!E106))+COS(RADIANS($B$5))*COS(RADIANS(Plants!E106))*COS(RADIANS(Plants!F106-$B$6))))*3958.8,1))</f>
        <v/>
      </c>
      <c r="B115" s="5">
        <f>IF(A115="","",IF(A115&lt;=$B$7,"FLAG","OK"))</f>
        <v/>
      </c>
      <c r="C115" s="5">
        <f>Plants!A106</f>
        <v/>
      </c>
      <c r="D115" s="5">
        <f>Plants!B106</f>
        <v/>
      </c>
      <c r="E115" s="5">
        <f>Plants!C106&amp;", "&amp;Plants!D106</f>
        <v/>
      </c>
      <c r="F115" s="5">
        <f>Plants!H106</f>
        <v/>
      </c>
      <c r="G115" s="5">
        <f>Plants!I106</f>
        <v/>
      </c>
    </row>
    <row r="116">
      <c r="A116">
        <f>IF(OR($B$5=0,$B$6=0),"",ROUND(ACOS(MIN(1,SIN(RADIANS($B$5))*SIN(RADIANS(Plants!E107))+COS(RADIANS($B$5))*COS(RADIANS(Plants!E107))*COS(RADIANS(Plants!F107-$B$6))))*3958.8,1))</f>
        <v/>
      </c>
      <c r="B116">
        <f>IF(A116="","",IF(A116&lt;=$B$7,"FLAG","OK"))</f>
        <v/>
      </c>
      <c r="C116">
        <f>Plants!A107</f>
        <v/>
      </c>
      <c r="D116">
        <f>Plants!B107</f>
        <v/>
      </c>
      <c r="E116">
        <f>Plants!C107&amp;", "&amp;Plants!D107</f>
        <v/>
      </c>
      <c r="F116">
        <f>Plants!H107</f>
        <v/>
      </c>
      <c r="G116">
        <f>Plants!I107</f>
        <v/>
      </c>
    </row>
    <row r="117">
      <c r="A117" s="5">
        <f>IF(OR($B$5=0,$B$6=0),"",ROUND(ACOS(MIN(1,SIN(RADIANS($B$5))*SIN(RADIANS(Plants!E108))+COS(RADIANS($B$5))*COS(RADIANS(Plants!E108))*COS(RADIANS(Plants!F108-$B$6))))*3958.8,1))</f>
        <v/>
      </c>
      <c r="B117" s="5">
        <f>IF(A117="","",IF(A117&lt;=$B$7,"FLAG","OK"))</f>
        <v/>
      </c>
      <c r="C117" s="5">
        <f>Plants!A108</f>
        <v/>
      </c>
      <c r="D117" s="5">
        <f>Plants!B108</f>
        <v/>
      </c>
      <c r="E117" s="5">
        <f>Plants!C108&amp;", "&amp;Plants!D108</f>
        <v/>
      </c>
      <c r="F117" s="5">
        <f>Plants!H108</f>
        <v/>
      </c>
      <c r="G117" s="5">
        <f>Plants!I108</f>
        <v/>
      </c>
    </row>
    <row r="118">
      <c r="A118">
        <f>IF(OR($B$5=0,$B$6=0),"",ROUND(ACOS(MIN(1,SIN(RADIANS($B$5))*SIN(RADIANS(Plants!E109))+COS(RADIANS($B$5))*COS(RADIANS(Plants!E109))*COS(RADIANS(Plants!F109-$B$6))))*3958.8,1))</f>
        <v/>
      </c>
      <c r="B118">
        <f>IF(A118="","",IF(A118&lt;=$B$7,"FLAG","OK"))</f>
        <v/>
      </c>
      <c r="C118">
        <f>Plants!A109</f>
        <v/>
      </c>
      <c r="D118">
        <f>Plants!B109</f>
        <v/>
      </c>
      <c r="E118">
        <f>Plants!C109&amp;", "&amp;Plants!D109</f>
        <v/>
      </c>
      <c r="F118">
        <f>Plants!H109</f>
        <v/>
      </c>
      <c r="G118">
        <f>Plants!I109</f>
        <v/>
      </c>
    </row>
    <row r="119">
      <c r="A119" s="5">
        <f>IF(OR($B$5=0,$B$6=0),"",ROUND(ACOS(MIN(1,SIN(RADIANS($B$5))*SIN(RADIANS(Plants!E110))+COS(RADIANS($B$5))*COS(RADIANS(Plants!E110))*COS(RADIANS(Plants!F110-$B$6))))*3958.8,1))</f>
        <v/>
      </c>
      <c r="B119" s="5">
        <f>IF(A119="","",IF(A119&lt;=$B$7,"FLAG","OK"))</f>
        <v/>
      </c>
      <c r="C119" s="5">
        <f>Plants!A110</f>
        <v/>
      </c>
      <c r="D119" s="5">
        <f>Plants!B110</f>
        <v/>
      </c>
      <c r="E119" s="5">
        <f>Plants!C110&amp;", "&amp;Plants!D110</f>
        <v/>
      </c>
      <c r="F119" s="5">
        <f>Plants!H110</f>
        <v/>
      </c>
      <c r="G119" s="5">
        <f>Plants!I110</f>
        <v/>
      </c>
    </row>
    <row r="120">
      <c r="A120">
        <f>IF(OR($B$5=0,$B$6=0),"",ROUND(ACOS(MIN(1,SIN(RADIANS($B$5))*SIN(RADIANS(Plants!E111))+COS(RADIANS($B$5))*COS(RADIANS(Plants!E111))*COS(RADIANS(Plants!F111-$B$6))))*3958.8,1))</f>
        <v/>
      </c>
      <c r="B120">
        <f>IF(A120="","",IF(A120&lt;=$B$7,"FLAG","OK"))</f>
        <v/>
      </c>
      <c r="C120">
        <f>Plants!A111</f>
        <v/>
      </c>
      <c r="D120">
        <f>Plants!B111</f>
        <v/>
      </c>
      <c r="E120">
        <f>Plants!C111&amp;", "&amp;Plants!D111</f>
        <v/>
      </c>
      <c r="F120">
        <f>Plants!H111</f>
        <v/>
      </c>
      <c r="G120">
        <f>Plants!I111</f>
        <v/>
      </c>
    </row>
    <row r="121">
      <c r="A121" s="5">
        <f>IF(OR($B$5=0,$B$6=0),"",ROUND(ACOS(MIN(1,SIN(RADIANS($B$5))*SIN(RADIANS(Plants!E112))+COS(RADIANS($B$5))*COS(RADIANS(Plants!E112))*COS(RADIANS(Plants!F112-$B$6))))*3958.8,1))</f>
        <v/>
      </c>
      <c r="B121" s="5">
        <f>IF(A121="","",IF(A121&lt;=$B$7,"FLAG","OK"))</f>
        <v/>
      </c>
      <c r="C121" s="5">
        <f>Plants!A112</f>
        <v/>
      </c>
      <c r="D121" s="5">
        <f>Plants!B112</f>
        <v/>
      </c>
      <c r="E121" s="5">
        <f>Plants!C112&amp;", "&amp;Plants!D112</f>
        <v/>
      </c>
      <c r="F121" s="5">
        <f>Plants!H112</f>
        <v/>
      </c>
      <c r="G121" s="5">
        <f>Plants!I112</f>
        <v/>
      </c>
    </row>
    <row r="122">
      <c r="A122">
        <f>IF(OR($B$5=0,$B$6=0),"",ROUND(ACOS(MIN(1,SIN(RADIANS($B$5))*SIN(RADIANS(Plants!E113))+COS(RADIANS($B$5))*COS(RADIANS(Plants!E113))*COS(RADIANS(Plants!F113-$B$6))))*3958.8,1))</f>
        <v/>
      </c>
      <c r="B122">
        <f>IF(A122="","",IF(A122&lt;=$B$7,"FLAG","OK"))</f>
        <v/>
      </c>
      <c r="C122">
        <f>Plants!A113</f>
        <v/>
      </c>
      <c r="D122">
        <f>Plants!B113</f>
        <v/>
      </c>
      <c r="E122">
        <f>Plants!C113&amp;", "&amp;Plants!D113</f>
        <v/>
      </c>
      <c r="F122">
        <f>Plants!H113</f>
        <v/>
      </c>
      <c r="G122">
        <f>Plants!I113</f>
        <v/>
      </c>
    </row>
    <row r="123">
      <c r="A123" s="5">
        <f>IF(OR($B$5=0,$B$6=0),"",ROUND(ACOS(MIN(1,SIN(RADIANS($B$5))*SIN(RADIANS(Plants!E114))+COS(RADIANS($B$5))*COS(RADIANS(Plants!E114))*COS(RADIANS(Plants!F114-$B$6))))*3958.8,1))</f>
        <v/>
      </c>
      <c r="B123" s="5">
        <f>IF(A123="","",IF(A123&lt;=$B$7,"FLAG","OK"))</f>
        <v/>
      </c>
      <c r="C123" s="5">
        <f>Plants!A114</f>
        <v/>
      </c>
      <c r="D123" s="5">
        <f>Plants!B114</f>
        <v/>
      </c>
      <c r="E123" s="5">
        <f>Plants!C114&amp;", "&amp;Plants!D114</f>
        <v/>
      </c>
      <c r="F123" s="5">
        <f>Plants!H114</f>
        <v/>
      </c>
      <c r="G123" s="5">
        <f>Plants!I114</f>
        <v/>
      </c>
    </row>
    <row r="124">
      <c r="A124">
        <f>IF(OR($B$5=0,$B$6=0),"",ROUND(ACOS(MIN(1,SIN(RADIANS($B$5))*SIN(RADIANS(Plants!E115))+COS(RADIANS($B$5))*COS(RADIANS(Plants!E115))*COS(RADIANS(Plants!F115-$B$6))))*3958.8,1))</f>
        <v/>
      </c>
      <c r="B124">
        <f>IF(A124="","",IF(A124&lt;=$B$7,"FLAG","OK"))</f>
        <v/>
      </c>
      <c r="C124">
        <f>Plants!A115</f>
        <v/>
      </c>
      <c r="D124">
        <f>Plants!B115</f>
        <v/>
      </c>
      <c r="E124">
        <f>Plants!C115&amp;", "&amp;Plants!D115</f>
        <v/>
      </c>
      <c r="F124">
        <f>Plants!H115</f>
        <v/>
      </c>
      <c r="G124">
        <f>Plants!I115</f>
        <v/>
      </c>
    </row>
    <row r="125">
      <c r="A125" s="5">
        <f>IF(OR($B$5=0,$B$6=0),"",ROUND(ACOS(MIN(1,SIN(RADIANS($B$5))*SIN(RADIANS(Plants!E116))+COS(RADIANS($B$5))*COS(RADIANS(Plants!E116))*COS(RADIANS(Plants!F116-$B$6))))*3958.8,1))</f>
        <v/>
      </c>
      <c r="B125" s="5">
        <f>IF(A125="","",IF(A125&lt;=$B$7,"FLAG","OK"))</f>
        <v/>
      </c>
      <c r="C125" s="5">
        <f>Plants!A116</f>
        <v/>
      </c>
      <c r="D125" s="5">
        <f>Plants!B116</f>
        <v/>
      </c>
      <c r="E125" s="5">
        <f>Plants!C116&amp;", "&amp;Plants!D116</f>
        <v/>
      </c>
      <c r="F125" s="5">
        <f>Plants!H116</f>
        <v/>
      </c>
      <c r="G125" s="5">
        <f>Plants!I116</f>
        <v/>
      </c>
    </row>
    <row r="126">
      <c r="A126">
        <f>IF(OR($B$5=0,$B$6=0),"",ROUND(ACOS(MIN(1,SIN(RADIANS($B$5))*SIN(RADIANS(Plants!E117))+COS(RADIANS($B$5))*COS(RADIANS(Plants!E117))*COS(RADIANS(Plants!F117-$B$6))))*3958.8,1))</f>
        <v/>
      </c>
      <c r="B126">
        <f>IF(A126="","",IF(A126&lt;=$B$7,"FLAG","OK"))</f>
        <v/>
      </c>
      <c r="C126">
        <f>Plants!A117</f>
        <v/>
      </c>
      <c r="D126">
        <f>Plants!B117</f>
        <v/>
      </c>
      <c r="E126">
        <f>Plants!C117&amp;", "&amp;Plants!D117</f>
        <v/>
      </c>
      <c r="F126">
        <f>Plants!H117</f>
        <v/>
      </c>
      <c r="G126">
        <f>Plants!I117</f>
        <v/>
      </c>
    </row>
    <row r="127">
      <c r="A127" s="5">
        <f>IF(OR($B$5=0,$B$6=0),"",ROUND(ACOS(MIN(1,SIN(RADIANS($B$5))*SIN(RADIANS(Plants!E118))+COS(RADIANS($B$5))*COS(RADIANS(Plants!E118))*COS(RADIANS(Plants!F118-$B$6))))*3958.8,1))</f>
        <v/>
      </c>
      <c r="B127" s="5">
        <f>IF(A127="","",IF(A127&lt;=$B$7,"FLAG","OK"))</f>
        <v/>
      </c>
      <c r="C127" s="5">
        <f>Plants!A118</f>
        <v/>
      </c>
      <c r="D127" s="5">
        <f>Plants!B118</f>
        <v/>
      </c>
      <c r="E127" s="5">
        <f>Plants!C118&amp;", "&amp;Plants!D118</f>
        <v/>
      </c>
      <c r="F127" s="5">
        <f>Plants!H118</f>
        <v/>
      </c>
      <c r="G127" s="5">
        <f>Plants!I118</f>
        <v/>
      </c>
    </row>
    <row r="128">
      <c r="A128">
        <f>IF(OR($B$5=0,$B$6=0),"",ROUND(ACOS(MIN(1,SIN(RADIANS($B$5))*SIN(RADIANS(Plants!E119))+COS(RADIANS($B$5))*COS(RADIANS(Plants!E119))*COS(RADIANS(Plants!F119-$B$6))))*3958.8,1))</f>
        <v/>
      </c>
      <c r="B128">
        <f>IF(A128="","",IF(A128&lt;=$B$7,"FLAG","OK"))</f>
        <v/>
      </c>
      <c r="C128">
        <f>Plants!A119</f>
        <v/>
      </c>
      <c r="D128">
        <f>Plants!B119</f>
        <v/>
      </c>
      <c r="E128">
        <f>Plants!C119&amp;", "&amp;Plants!D119</f>
        <v/>
      </c>
      <c r="F128">
        <f>Plants!H119</f>
        <v/>
      </c>
      <c r="G128">
        <f>Plants!I119</f>
        <v/>
      </c>
    </row>
    <row r="129">
      <c r="A129" s="5">
        <f>IF(OR($B$5=0,$B$6=0),"",ROUND(ACOS(MIN(1,SIN(RADIANS($B$5))*SIN(RADIANS(Plants!E120))+COS(RADIANS($B$5))*COS(RADIANS(Plants!E120))*COS(RADIANS(Plants!F120-$B$6))))*3958.8,1))</f>
        <v/>
      </c>
      <c r="B129" s="5">
        <f>IF(A129="","",IF(A129&lt;=$B$7,"FLAG","OK"))</f>
        <v/>
      </c>
      <c r="C129" s="5">
        <f>Plants!A120</f>
        <v/>
      </c>
      <c r="D129" s="5">
        <f>Plants!B120</f>
        <v/>
      </c>
      <c r="E129" s="5">
        <f>Plants!C120&amp;", "&amp;Plants!D120</f>
        <v/>
      </c>
      <c r="F129" s="5">
        <f>Plants!H120</f>
        <v/>
      </c>
      <c r="G129" s="5">
        <f>Plants!I120</f>
        <v/>
      </c>
    </row>
    <row r="130">
      <c r="A130">
        <f>IF(OR($B$5=0,$B$6=0),"",ROUND(ACOS(MIN(1,SIN(RADIANS($B$5))*SIN(RADIANS(Plants!E121))+COS(RADIANS($B$5))*COS(RADIANS(Plants!E121))*COS(RADIANS(Plants!F121-$B$6))))*3958.8,1))</f>
        <v/>
      </c>
      <c r="B130">
        <f>IF(A130="","",IF(A130&lt;=$B$7,"FLAG","OK"))</f>
        <v/>
      </c>
      <c r="C130">
        <f>Plants!A121</f>
        <v/>
      </c>
      <c r="D130">
        <f>Plants!B121</f>
        <v/>
      </c>
      <c r="E130">
        <f>Plants!C121&amp;", "&amp;Plants!D121</f>
        <v/>
      </c>
      <c r="F130">
        <f>Plants!H121</f>
        <v/>
      </c>
      <c r="G130">
        <f>Plants!I121</f>
        <v/>
      </c>
    </row>
    <row r="131">
      <c r="A131" s="5">
        <f>IF(OR($B$5=0,$B$6=0),"",ROUND(ACOS(MIN(1,SIN(RADIANS($B$5))*SIN(RADIANS(Plants!E122))+COS(RADIANS($B$5))*COS(RADIANS(Plants!E122))*COS(RADIANS(Plants!F122-$B$6))))*3958.8,1))</f>
        <v/>
      </c>
      <c r="B131" s="5">
        <f>IF(A131="","",IF(A131&lt;=$B$7,"FLAG","OK"))</f>
        <v/>
      </c>
      <c r="C131" s="5">
        <f>Plants!A122</f>
        <v/>
      </c>
      <c r="D131" s="5">
        <f>Plants!B122</f>
        <v/>
      </c>
      <c r="E131" s="5">
        <f>Plants!C122&amp;", "&amp;Plants!D122</f>
        <v/>
      </c>
      <c r="F131" s="5">
        <f>Plants!H122</f>
        <v/>
      </c>
      <c r="G131" s="5">
        <f>Plants!I122</f>
        <v/>
      </c>
    </row>
    <row r="132">
      <c r="A132">
        <f>IF(OR($B$5=0,$B$6=0),"",ROUND(ACOS(MIN(1,SIN(RADIANS($B$5))*SIN(RADIANS(Plants!E123))+COS(RADIANS($B$5))*COS(RADIANS(Plants!E123))*COS(RADIANS(Plants!F123-$B$6))))*3958.8,1))</f>
        <v/>
      </c>
      <c r="B132">
        <f>IF(A132="","",IF(A132&lt;=$B$7,"FLAG","OK"))</f>
        <v/>
      </c>
      <c r="C132">
        <f>Plants!A123</f>
        <v/>
      </c>
      <c r="D132">
        <f>Plants!B123</f>
        <v/>
      </c>
      <c r="E132">
        <f>Plants!C123&amp;", "&amp;Plants!D123</f>
        <v/>
      </c>
      <c r="F132">
        <f>Plants!H123</f>
        <v/>
      </c>
      <c r="G132">
        <f>Plants!I123</f>
        <v/>
      </c>
    </row>
    <row r="133">
      <c r="A133" s="5">
        <f>IF(OR($B$5=0,$B$6=0),"",ROUND(ACOS(MIN(1,SIN(RADIANS($B$5))*SIN(RADIANS(Plants!E124))+COS(RADIANS($B$5))*COS(RADIANS(Plants!E124))*COS(RADIANS(Plants!F124-$B$6))))*3958.8,1))</f>
        <v/>
      </c>
      <c r="B133" s="5">
        <f>IF(A133="","",IF(A133&lt;=$B$7,"FLAG","OK"))</f>
        <v/>
      </c>
      <c r="C133" s="5">
        <f>Plants!A124</f>
        <v/>
      </c>
      <c r="D133" s="5">
        <f>Plants!B124</f>
        <v/>
      </c>
      <c r="E133" s="5">
        <f>Plants!C124&amp;", "&amp;Plants!D124</f>
        <v/>
      </c>
      <c r="F133" s="5">
        <f>Plants!H124</f>
        <v/>
      </c>
      <c r="G133" s="5">
        <f>Plants!I124</f>
        <v/>
      </c>
    </row>
    <row r="134">
      <c r="A134">
        <f>IF(OR($B$5=0,$B$6=0),"",ROUND(ACOS(MIN(1,SIN(RADIANS($B$5))*SIN(RADIANS(Plants!E125))+COS(RADIANS($B$5))*COS(RADIANS(Plants!E125))*COS(RADIANS(Plants!F125-$B$6))))*3958.8,1))</f>
        <v/>
      </c>
      <c r="B134">
        <f>IF(A134="","",IF(A134&lt;=$B$7,"FLAG","OK"))</f>
        <v/>
      </c>
      <c r="C134">
        <f>Plants!A125</f>
        <v/>
      </c>
      <c r="D134">
        <f>Plants!B125</f>
        <v/>
      </c>
      <c r="E134">
        <f>Plants!C125&amp;", "&amp;Plants!D125</f>
        <v/>
      </c>
      <c r="F134">
        <f>Plants!H125</f>
        <v/>
      </c>
      <c r="G134">
        <f>Plants!I125</f>
        <v/>
      </c>
    </row>
    <row r="135">
      <c r="A135" s="5">
        <f>IF(OR($B$5=0,$B$6=0),"",ROUND(ACOS(MIN(1,SIN(RADIANS($B$5))*SIN(RADIANS(Plants!E126))+COS(RADIANS($B$5))*COS(RADIANS(Plants!E126))*COS(RADIANS(Plants!F126-$B$6))))*3958.8,1))</f>
        <v/>
      </c>
      <c r="B135" s="5">
        <f>IF(A135="","",IF(A135&lt;=$B$7,"FLAG","OK"))</f>
        <v/>
      </c>
      <c r="C135" s="5">
        <f>Plants!A126</f>
        <v/>
      </c>
      <c r="D135" s="5">
        <f>Plants!B126</f>
        <v/>
      </c>
      <c r="E135" s="5">
        <f>Plants!C126&amp;", "&amp;Plants!D126</f>
        <v/>
      </c>
      <c r="F135" s="5">
        <f>Plants!H126</f>
        <v/>
      </c>
      <c r="G135" s="5">
        <f>Plants!I126</f>
        <v/>
      </c>
    </row>
    <row r="136">
      <c r="A136">
        <f>IF(OR($B$5=0,$B$6=0),"",ROUND(ACOS(MIN(1,SIN(RADIANS($B$5))*SIN(RADIANS(Plants!E127))+COS(RADIANS($B$5))*COS(RADIANS(Plants!E127))*COS(RADIANS(Plants!F127-$B$6))))*3958.8,1))</f>
        <v/>
      </c>
      <c r="B136">
        <f>IF(A136="","",IF(A136&lt;=$B$7,"FLAG","OK"))</f>
        <v/>
      </c>
      <c r="C136">
        <f>Plants!A127</f>
        <v/>
      </c>
      <c r="D136">
        <f>Plants!B127</f>
        <v/>
      </c>
      <c r="E136">
        <f>Plants!C127&amp;", "&amp;Plants!D127</f>
        <v/>
      </c>
      <c r="F136">
        <f>Plants!H127</f>
        <v/>
      </c>
      <c r="G136">
        <f>Plants!I127</f>
        <v/>
      </c>
    </row>
    <row r="137">
      <c r="A137" s="5">
        <f>IF(OR($B$5=0,$B$6=0),"",ROUND(ACOS(MIN(1,SIN(RADIANS($B$5))*SIN(RADIANS(Plants!E128))+COS(RADIANS($B$5))*COS(RADIANS(Plants!E128))*COS(RADIANS(Plants!F128-$B$6))))*3958.8,1))</f>
        <v/>
      </c>
      <c r="B137" s="5">
        <f>IF(A137="","",IF(A137&lt;=$B$7,"FLAG","OK"))</f>
        <v/>
      </c>
      <c r="C137" s="5">
        <f>Plants!A128</f>
        <v/>
      </c>
      <c r="D137" s="5">
        <f>Plants!B128</f>
        <v/>
      </c>
      <c r="E137" s="5">
        <f>Plants!C128&amp;", "&amp;Plants!D128</f>
        <v/>
      </c>
      <c r="F137" s="5">
        <f>Plants!H128</f>
        <v/>
      </c>
      <c r="G137" s="5">
        <f>Plants!I128</f>
        <v/>
      </c>
    </row>
    <row r="138">
      <c r="A138">
        <f>IF(OR($B$5=0,$B$6=0),"",ROUND(ACOS(MIN(1,SIN(RADIANS($B$5))*SIN(RADIANS(Plants!E129))+COS(RADIANS($B$5))*COS(RADIANS(Plants!E129))*COS(RADIANS(Plants!F129-$B$6))))*3958.8,1))</f>
        <v/>
      </c>
      <c r="B138">
        <f>IF(A138="","",IF(A138&lt;=$B$7,"FLAG","OK"))</f>
        <v/>
      </c>
      <c r="C138">
        <f>Plants!A129</f>
        <v/>
      </c>
      <c r="D138">
        <f>Plants!B129</f>
        <v/>
      </c>
      <c r="E138">
        <f>Plants!C129&amp;", "&amp;Plants!D129</f>
        <v/>
      </c>
      <c r="F138">
        <f>Plants!H129</f>
        <v/>
      </c>
      <c r="G138">
        <f>Plants!I129</f>
        <v/>
      </c>
    </row>
    <row r="139">
      <c r="A139" s="5">
        <f>IF(OR($B$5=0,$B$6=0),"",ROUND(ACOS(MIN(1,SIN(RADIANS($B$5))*SIN(RADIANS(Plants!E130))+COS(RADIANS($B$5))*COS(RADIANS(Plants!E130))*COS(RADIANS(Plants!F130-$B$6))))*3958.8,1))</f>
        <v/>
      </c>
      <c r="B139" s="5">
        <f>IF(A139="","",IF(A139&lt;=$B$7,"FLAG","OK"))</f>
        <v/>
      </c>
      <c r="C139" s="5">
        <f>Plants!A130</f>
        <v/>
      </c>
      <c r="D139" s="5">
        <f>Plants!B130</f>
        <v/>
      </c>
      <c r="E139" s="5">
        <f>Plants!C130&amp;", "&amp;Plants!D130</f>
        <v/>
      </c>
      <c r="F139" s="5">
        <f>Plants!H130</f>
        <v/>
      </c>
      <c r="G139" s="5">
        <f>Plants!I130</f>
        <v/>
      </c>
    </row>
    <row r="140">
      <c r="A140">
        <f>IF(OR($B$5=0,$B$6=0),"",ROUND(ACOS(MIN(1,SIN(RADIANS($B$5))*SIN(RADIANS(Plants!E131))+COS(RADIANS($B$5))*COS(RADIANS(Plants!E131))*COS(RADIANS(Plants!F131-$B$6))))*3958.8,1))</f>
        <v/>
      </c>
      <c r="B140">
        <f>IF(A140="","",IF(A140&lt;=$B$7,"FLAG","OK"))</f>
        <v/>
      </c>
      <c r="C140">
        <f>Plants!A131</f>
        <v/>
      </c>
      <c r="D140">
        <f>Plants!B131</f>
        <v/>
      </c>
      <c r="E140">
        <f>Plants!C131&amp;", "&amp;Plants!D131</f>
        <v/>
      </c>
      <c r="F140">
        <f>Plants!H131</f>
        <v/>
      </c>
      <c r="G140">
        <f>Plants!I131</f>
        <v/>
      </c>
    </row>
    <row r="141">
      <c r="A141" s="5">
        <f>IF(OR($B$5=0,$B$6=0),"",ROUND(ACOS(MIN(1,SIN(RADIANS($B$5))*SIN(RADIANS(Plants!E132))+COS(RADIANS($B$5))*COS(RADIANS(Plants!E132))*COS(RADIANS(Plants!F132-$B$6))))*3958.8,1))</f>
        <v/>
      </c>
      <c r="B141" s="5">
        <f>IF(A141="","",IF(A141&lt;=$B$7,"FLAG","OK"))</f>
        <v/>
      </c>
      <c r="C141" s="5">
        <f>Plants!A132</f>
        <v/>
      </c>
      <c r="D141" s="5">
        <f>Plants!B132</f>
        <v/>
      </c>
      <c r="E141" s="5">
        <f>Plants!C132&amp;", "&amp;Plants!D132</f>
        <v/>
      </c>
      <c r="F141" s="5">
        <f>Plants!H132</f>
        <v/>
      </c>
      <c r="G141" s="5">
        <f>Plants!I132</f>
        <v/>
      </c>
    </row>
    <row r="142">
      <c r="A142">
        <f>IF(OR($B$5=0,$B$6=0),"",ROUND(ACOS(MIN(1,SIN(RADIANS($B$5))*SIN(RADIANS(Plants!E133))+COS(RADIANS($B$5))*COS(RADIANS(Plants!E133))*COS(RADIANS(Plants!F133-$B$6))))*3958.8,1))</f>
        <v/>
      </c>
      <c r="B142">
        <f>IF(A142="","",IF(A142&lt;=$B$7,"FLAG","OK"))</f>
        <v/>
      </c>
      <c r="C142">
        <f>Plants!A133</f>
        <v/>
      </c>
      <c r="D142">
        <f>Plants!B133</f>
        <v/>
      </c>
      <c r="E142">
        <f>Plants!C133&amp;", "&amp;Plants!D133</f>
        <v/>
      </c>
      <c r="F142">
        <f>Plants!H133</f>
        <v/>
      </c>
      <c r="G142">
        <f>Plants!I133</f>
        <v/>
      </c>
    </row>
    <row r="143">
      <c r="A143" s="5">
        <f>IF(OR($B$5=0,$B$6=0),"",ROUND(ACOS(MIN(1,SIN(RADIANS($B$5))*SIN(RADIANS(Plants!E134))+COS(RADIANS($B$5))*COS(RADIANS(Plants!E134))*COS(RADIANS(Plants!F134-$B$6))))*3958.8,1))</f>
        <v/>
      </c>
      <c r="B143" s="5">
        <f>IF(A143="","",IF(A143&lt;=$B$7,"FLAG","OK"))</f>
        <v/>
      </c>
      <c r="C143" s="5">
        <f>Plants!A134</f>
        <v/>
      </c>
      <c r="D143" s="5">
        <f>Plants!B134</f>
        <v/>
      </c>
      <c r="E143" s="5">
        <f>Plants!C134&amp;", "&amp;Plants!D134</f>
        <v/>
      </c>
      <c r="F143" s="5">
        <f>Plants!H134</f>
        <v/>
      </c>
      <c r="G143" s="5">
        <f>Plants!I134</f>
        <v/>
      </c>
    </row>
    <row r="144">
      <c r="A144">
        <f>IF(OR($B$5=0,$B$6=0),"",ROUND(ACOS(MIN(1,SIN(RADIANS($B$5))*SIN(RADIANS(Plants!E135))+COS(RADIANS($B$5))*COS(RADIANS(Plants!E135))*COS(RADIANS(Plants!F135-$B$6))))*3958.8,1))</f>
        <v/>
      </c>
      <c r="B144">
        <f>IF(A144="","",IF(A144&lt;=$B$7,"FLAG","OK"))</f>
        <v/>
      </c>
      <c r="C144">
        <f>Plants!A135</f>
        <v/>
      </c>
      <c r="D144">
        <f>Plants!B135</f>
        <v/>
      </c>
      <c r="E144">
        <f>Plants!C135&amp;", "&amp;Plants!D135</f>
        <v/>
      </c>
      <c r="F144">
        <f>Plants!H135</f>
        <v/>
      </c>
      <c r="G144">
        <f>Plants!I135</f>
        <v/>
      </c>
    </row>
    <row r="145">
      <c r="A145" s="5">
        <f>IF(OR($B$5=0,$B$6=0),"",ROUND(ACOS(MIN(1,SIN(RADIANS($B$5))*SIN(RADIANS(Plants!E136))+COS(RADIANS($B$5))*COS(RADIANS(Plants!E136))*COS(RADIANS(Plants!F136-$B$6))))*3958.8,1))</f>
        <v/>
      </c>
      <c r="B145" s="5">
        <f>IF(A145="","",IF(A145&lt;=$B$7,"FLAG","OK"))</f>
        <v/>
      </c>
      <c r="C145" s="5">
        <f>Plants!A136</f>
        <v/>
      </c>
      <c r="D145" s="5">
        <f>Plants!B136</f>
        <v/>
      </c>
      <c r="E145" s="5">
        <f>Plants!C136&amp;", "&amp;Plants!D136</f>
        <v/>
      </c>
      <c r="F145" s="5">
        <f>Plants!H136</f>
        <v/>
      </c>
      <c r="G145" s="5">
        <f>Plants!I136</f>
        <v/>
      </c>
    </row>
    <row r="146">
      <c r="A146">
        <f>IF(OR($B$5=0,$B$6=0),"",ROUND(ACOS(MIN(1,SIN(RADIANS($B$5))*SIN(RADIANS(Plants!E137))+COS(RADIANS($B$5))*COS(RADIANS(Plants!E137))*COS(RADIANS(Plants!F137-$B$6))))*3958.8,1))</f>
        <v/>
      </c>
      <c r="B146">
        <f>IF(A146="","",IF(A146&lt;=$B$7,"FLAG","OK"))</f>
        <v/>
      </c>
      <c r="C146">
        <f>Plants!A137</f>
        <v/>
      </c>
      <c r="D146">
        <f>Plants!B137</f>
        <v/>
      </c>
      <c r="E146">
        <f>Plants!C137&amp;", "&amp;Plants!D137</f>
        <v/>
      </c>
      <c r="F146">
        <f>Plants!H137</f>
        <v/>
      </c>
      <c r="G146">
        <f>Plants!I137</f>
        <v/>
      </c>
    </row>
    <row r="147">
      <c r="A147" s="5">
        <f>IF(OR($B$5=0,$B$6=0),"",ROUND(ACOS(MIN(1,SIN(RADIANS($B$5))*SIN(RADIANS(Plants!E138))+COS(RADIANS($B$5))*COS(RADIANS(Plants!E138))*COS(RADIANS(Plants!F138-$B$6))))*3958.8,1))</f>
        <v/>
      </c>
      <c r="B147" s="5">
        <f>IF(A147="","",IF(A147&lt;=$B$7,"FLAG","OK"))</f>
        <v/>
      </c>
      <c r="C147" s="5">
        <f>Plants!A138</f>
        <v/>
      </c>
      <c r="D147" s="5">
        <f>Plants!B138</f>
        <v/>
      </c>
      <c r="E147" s="5">
        <f>Plants!C138&amp;", "&amp;Plants!D138</f>
        <v/>
      </c>
      <c r="F147" s="5">
        <f>Plants!H138</f>
        <v/>
      </c>
      <c r="G147" s="5">
        <f>Plants!I138</f>
        <v/>
      </c>
    </row>
    <row r="148">
      <c r="A148">
        <f>IF(OR($B$5=0,$B$6=0),"",ROUND(ACOS(MIN(1,SIN(RADIANS($B$5))*SIN(RADIANS(Plants!E139))+COS(RADIANS($B$5))*COS(RADIANS(Plants!E139))*COS(RADIANS(Plants!F139-$B$6))))*3958.8,1))</f>
        <v/>
      </c>
      <c r="B148">
        <f>IF(A148="","",IF(A148&lt;=$B$7,"FLAG","OK"))</f>
        <v/>
      </c>
      <c r="C148">
        <f>Plants!A139</f>
        <v/>
      </c>
      <c r="D148">
        <f>Plants!B139</f>
        <v/>
      </c>
      <c r="E148">
        <f>Plants!C139&amp;", "&amp;Plants!D139</f>
        <v/>
      </c>
      <c r="F148">
        <f>Plants!H139</f>
        <v/>
      </c>
      <c r="G148">
        <f>Plants!I139</f>
        <v/>
      </c>
    </row>
    <row r="149">
      <c r="A149" s="5">
        <f>IF(OR($B$5=0,$B$6=0),"",ROUND(ACOS(MIN(1,SIN(RADIANS($B$5))*SIN(RADIANS(Plants!E140))+COS(RADIANS($B$5))*COS(RADIANS(Plants!E140))*COS(RADIANS(Plants!F140-$B$6))))*3958.8,1))</f>
        <v/>
      </c>
      <c r="B149" s="5">
        <f>IF(A149="","",IF(A149&lt;=$B$7,"FLAG","OK"))</f>
        <v/>
      </c>
      <c r="C149" s="5">
        <f>Plants!A140</f>
        <v/>
      </c>
      <c r="D149" s="5">
        <f>Plants!B140</f>
        <v/>
      </c>
      <c r="E149" s="5">
        <f>Plants!C140&amp;", "&amp;Plants!D140</f>
        <v/>
      </c>
      <c r="F149" s="5">
        <f>Plants!H140</f>
        <v/>
      </c>
      <c r="G149" s="5">
        <f>Plants!I140</f>
        <v/>
      </c>
    </row>
    <row r="150">
      <c r="A150">
        <f>IF(OR($B$5=0,$B$6=0),"",ROUND(ACOS(MIN(1,SIN(RADIANS($B$5))*SIN(RADIANS(Plants!E141))+COS(RADIANS($B$5))*COS(RADIANS(Plants!E141))*COS(RADIANS(Plants!F141-$B$6))))*3958.8,1))</f>
        <v/>
      </c>
      <c r="B150">
        <f>IF(A150="","",IF(A150&lt;=$B$7,"FLAG","OK"))</f>
        <v/>
      </c>
      <c r="C150">
        <f>Plants!A141</f>
        <v/>
      </c>
      <c r="D150">
        <f>Plants!B141</f>
        <v/>
      </c>
      <c r="E150">
        <f>Plants!C141&amp;", "&amp;Plants!D141</f>
        <v/>
      </c>
      <c r="F150">
        <f>Plants!H141</f>
        <v/>
      </c>
      <c r="G150">
        <f>Plants!I141</f>
        <v/>
      </c>
    </row>
    <row r="151">
      <c r="A151" s="5">
        <f>IF(OR($B$5=0,$B$6=0),"",ROUND(ACOS(MIN(1,SIN(RADIANS($B$5))*SIN(RADIANS(Plants!E142))+COS(RADIANS($B$5))*COS(RADIANS(Plants!E142))*COS(RADIANS(Plants!F142-$B$6))))*3958.8,1))</f>
        <v/>
      </c>
      <c r="B151" s="5">
        <f>IF(A151="","",IF(A151&lt;=$B$7,"FLAG","OK"))</f>
        <v/>
      </c>
      <c r="C151" s="5">
        <f>Plants!A142</f>
        <v/>
      </c>
      <c r="D151" s="5">
        <f>Plants!B142</f>
        <v/>
      </c>
      <c r="E151" s="5">
        <f>Plants!C142&amp;", "&amp;Plants!D142</f>
        <v/>
      </c>
      <c r="F151" s="5">
        <f>Plants!H142</f>
        <v/>
      </c>
      <c r="G151" s="5">
        <f>Plants!I142</f>
        <v/>
      </c>
    </row>
    <row r="152">
      <c r="A152">
        <f>IF(OR($B$5=0,$B$6=0),"",ROUND(ACOS(MIN(1,SIN(RADIANS($B$5))*SIN(RADIANS(Plants!E143))+COS(RADIANS($B$5))*COS(RADIANS(Plants!E143))*COS(RADIANS(Plants!F143-$B$6))))*3958.8,1))</f>
        <v/>
      </c>
      <c r="B152">
        <f>IF(A152="","",IF(A152&lt;=$B$7,"FLAG","OK"))</f>
        <v/>
      </c>
      <c r="C152">
        <f>Plants!A143</f>
        <v/>
      </c>
      <c r="D152">
        <f>Plants!B143</f>
        <v/>
      </c>
      <c r="E152">
        <f>Plants!C143&amp;", "&amp;Plants!D143</f>
        <v/>
      </c>
      <c r="F152">
        <f>Plants!H143</f>
        <v/>
      </c>
      <c r="G152">
        <f>Plants!I143</f>
        <v/>
      </c>
    </row>
    <row r="153">
      <c r="A153" s="5">
        <f>IF(OR($B$5=0,$B$6=0),"",ROUND(ACOS(MIN(1,SIN(RADIANS($B$5))*SIN(RADIANS(Plants!E144))+COS(RADIANS($B$5))*COS(RADIANS(Plants!E144))*COS(RADIANS(Plants!F144-$B$6))))*3958.8,1))</f>
        <v/>
      </c>
      <c r="B153" s="5">
        <f>IF(A153="","",IF(A153&lt;=$B$7,"FLAG","OK"))</f>
        <v/>
      </c>
      <c r="C153" s="5">
        <f>Plants!A144</f>
        <v/>
      </c>
      <c r="D153" s="5">
        <f>Plants!B144</f>
        <v/>
      </c>
      <c r="E153" s="5">
        <f>Plants!C144&amp;", "&amp;Plants!D144</f>
        <v/>
      </c>
      <c r="F153" s="5">
        <f>Plants!H144</f>
        <v/>
      </c>
      <c r="G153" s="5">
        <f>Plants!I144</f>
        <v/>
      </c>
    </row>
    <row r="154">
      <c r="A154">
        <f>IF(OR($B$5=0,$B$6=0),"",ROUND(ACOS(MIN(1,SIN(RADIANS($B$5))*SIN(RADIANS(Plants!E145))+COS(RADIANS($B$5))*COS(RADIANS(Plants!E145))*COS(RADIANS(Plants!F145-$B$6))))*3958.8,1))</f>
        <v/>
      </c>
      <c r="B154">
        <f>IF(A154="","",IF(A154&lt;=$B$7,"FLAG","OK"))</f>
        <v/>
      </c>
      <c r="C154">
        <f>Plants!A145</f>
        <v/>
      </c>
      <c r="D154">
        <f>Plants!B145</f>
        <v/>
      </c>
      <c r="E154">
        <f>Plants!C145&amp;", "&amp;Plants!D145</f>
        <v/>
      </c>
      <c r="F154">
        <f>Plants!H145</f>
        <v/>
      </c>
      <c r="G154">
        <f>Plants!I145</f>
        <v/>
      </c>
    </row>
    <row r="155">
      <c r="A155" s="5">
        <f>IF(OR($B$5=0,$B$6=0),"",ROUND(ACOS(MIN(1,SIN(RADIANS($B$5))*SIN(RADIANS(Plants!E146))+COS(RADIANS($B$5))*COS(RADIANS(Plants!E146))*COS(RADIANS(Plants!F146-$B$6))))*3958.8,1))</f>
        <v/>
      </c>
      <c r="B155" s="5">
        <f>IF(A155="","",IF(A155&lt;=$B$7,"FLAG","OK"))</f>
        <v/>
      </c>
      <c r="C155" s="5">
        <f>Plants!A146</f>
        <v/>
      </c>
      <c r="D155" s="5">
        <f>Plants!B146</f>
        <v/>
      </c>
      <c r="E155" s="5">
        <f>Plants!C146&amp;", "&amp;Plants!D146</f>
        <v/>
      </c>
      <c r="F155" s="5">
        <f>Plants!H146</f>
        <v/>
      </c>
      <c r="G155" s="5">
        <f>Plants!I146</f>
        <v/>
      </c>
    </row>
    <row r="156">
      <c r="A156">
        <f>IF(OR($B$5=0,$B$6=0),"",ROUND(ACOS(MIN(1,SIN(RADIANS($B$5))*SIN(RADIANS(Plants!E147))+COS(RADIANS($B$5))*COS(RADIANS(Plants!E147))*COS(RADIANS(Plants!F147-$B$6))))*3958.8,1))</f>
        <v/>
      </c>
      <c r="B156">
        <f>IF(A156="","",IF(A156&lt;=$B$7,"FLAG","OK"))</f>
        <v/>
      </c>
      <c r="C156">
        <f>Plants!A147</f>
        <v/>
      </c>
      <c r="D156">
        <f>Plants!B147</f>
        <v/>
      </c>
      <c r="E156">
        <f>Plants!C147&amp;", "&amp;Plants!D147</f>
        <v/>
      </c>
      <c r="F156">
        <f>Plants!H147</f>
        <v/>
      </c>
      <c r="G156">
        <f>Plants!I147</f>
        <v/>
      </c>
    </row>
    <row r="157">
      <c r="A157" s="5">
        <f>IF(OR($B$5=0,$B$6=0),"",ROUND(ACOS(MIN(1,SIN(RADIANS($B$5))*SIN(RADIANS(Plants!E148))+COS(RADIANS($B$5))*COS(RADIANS(Plants!E148))*COS(RADIANS(Plants!F148-$B$6))))*3958.8,1))</f>
        <v/>
      </c>
      <c r="B157" s="5">
        <f>IF(A157="","",IF(A157&lt;=$B$7,"FLAG","OK"))</f>
        <v/>
      </c>
      <c r="C157" s="5">
        <f>Plants!A148</f>
        <v/>
      </c>
      <c r="D157" s="5">
        <f>Plants!B148</f>
        <v/>
      </c>
      <c r="E157" s="5">
        <f>Plants!C148&amp;", "&amp;Plants!D148</f>
        <v/>
      </c>
      <c r="F157" s="5">
        <f>Plants!H148</f>
        <v/>
      </c>
      <c r="G157" s="5">
        <f>Plants!I148</f>
        <v/>
      </c>
    </row>
    <row r="158">
      <c r="A158">
        <f>IF(OR($B$5=0,$B$6=0),"",ROUND(ACOS(MIN(1,SIN(RADIANS($B$5))*SIN(RADIANS(Plants!E149))+COS(RADIANS($B$5))*COS(RADIANS(Plants!E149))*COS(RADIANS(Plants!F149-$B$6))))*3958.8,1))</f>
        <v/>
      </c>
      <c r="B158">
        <f>IF(A158="","",IF(A158&lt;=$B$7,"FLAG","OK"))</f>
        <v/>
      </c>
      <c r="C158">
        <f>Plants!A149</f>
        <v/>
      </c>
      <c r="D158">
        <f>Plants!B149</f>
        <v/>
      </c>
      <c r="E158">
        <f>Plants!C149&amp;", "&amp;Plants!D149</f>
        <v/>
      </c>
      <c r="F158">
        <f>Plants!H149</f>
        <v/>
      </c>
      <c r="G158">
        <f>Plants!I149</f>
        <v/>
      </c>
    </row>
    <row r="159">
      <c r="A159" s="5">
        <f>IF(OR($B$5=0,$B$6=0),"",ROUND(ACOS(MIN(1,SIN(RADIANS($B$5))*SIN(RADIANS(Plants!E150))+COS(RADIANS($B$5))*COS(RADIANS(Plants!E150))*COS(RADIANS(Plants!F150-$B$6))))*3958.8,1))</f>
        <v/>
      </c>
      <c r="B159" s="5">
        <f>IF(A159="","",IF(A159&lt;=$B$7,"FLAG","OK"))</f>
        <v/>
      </c>
      <c r="C159" s="5">
        <f>Plants!A150</f>
        <v/>
      </c>
      <c r="D159" s="5">
        <f>Plants!B150</f>
        <v/>
      </c>
      <c r="E159" s="5">
        <f>Plants!C150&amp;", "&amp;Plants!D150</f>
        <v/>
      </c>
      <c r="F159" s="5">
        <f>Plants!H150</f>
        <v/>
      </c>
      <c r="G159" s="5">
        <f>Plants!I150</f>
        <v/>
      </c>
    </row>
    <row r="160">
      <c r="A160">
        <f>IF(OR($B$5=0,$B$6=0),"",ROUND(ACOS(MIN(1,SIN(RADIANS($B$5))*SIN(RADIANS(Plants!E151))+COS(RADIANS($B$5))*COS(RADIANS(Plants!E151))*COS(RADIANS(Plants!F151-$B$6))))*3958.8,1))</f>
        <v/>
      </c>
      <c r="B160">
        <f>IF(A160="","",IF(A160&lt;=$B$7,"FLAG","OK"))</f>
        <v/>
      </c>
      <c r="C160">
        <f>Plants!A151</f>
        <v/>
      </c>
      <c r="D160">
        <f>Plants!B151</f>
        <v/>
      </c>
      <c r="E160">
        <f>Plants!C151&amp;", "&amp;Plants!D151</f>
        <v/>
      </c>
      <c r="F160">
        <f>Plants!H151</f>
        <v/>
      </c>
      <c r="G160">
        <f>Plants!I151</f>
        <v/>
      </c>
    </row>
    <row r="161">
      <c r="A161" s="5">
        <f>IF(OR($B$5=0,$B$6=0),"",ROUND(ACOS(MIN(1,SIN(RADIANS($B$5))*SIN(RADIANS(Plants!E152))+COS(RADIANS($B$5))*COS(RADIANS(Plants!E152))*COS(RADIANS(Plants!F152-$B$6))))*3958.8,1))</f>
        <v/>
      </c>
      <c r="B161" s="5">
        <f>IF(A161="","",IF(A161&lt;=$B$7,"FLAG","OK"))</f>
        <v/>
      </c>
      <c r="C161" s="5">
        <f>Plants!A152</f>
        <v/>
      </c>
      <c r="D161" s="5">
        <f>Plants!B152</f>
        <v/>
      </c>
      <c r="E161" s="5">
        <f>Plants!C152&amp;", "&amp;Plants!D152</f>
        <v/>
      </c>
      <c r="F161" s="5">
        <f>Plants!H152</f>
        <v/>
      </c>
      <c r="G161" s="5">
        <f>Plants!I152</f>
        <v/>
      </c>
    </row>
    <row r="162">
      <c r="A162">
        <f>IF(OR($B$5=0,$B$6=0),"",ROUND(ACOS(MIN(1,SIN(RADIANS($B$5))*SIN(RADIANS(Plants!E153))+COS(RADIANS($B$5))*COS(RADIANS(Plants!E153))*COS(RADIANS(Plants!F153-$B$6))))*3958.8,1))</f>
        <v/>
      </c>
      <c r="B162">
        <f>IF(A162="","",IF(A162&lt;=$B$7,"FLAG","OK"))</f>
        <v/>
      </c>
      <c r="C162">
        <f>Plants!A153</f>
        <v/>
      </c>
      <c r="D162">
        <f>Plants!B153</f>
        <v/>
      </c>
      <c r="E162">
        <f>Plants!C153&amp;", "&amp;Plants!D153</f>
        <v/>
      </c>
      <c r="F162">
        <f>Plants!H153</f>
        <v/>
      </c>
      <c r="G162">
        <f>Plants!I153</f>
        <v/>
      </c>
    </row>
    <row r="163">
      <c r="A163" s="5">
        <f>IF(OR($B$5=0,$B$6=0),"",ROUND(ACOS(MIN(1,SIN(RADIANS($B$5))*SIN(RADIANS(Plants!E154))+COS(RADIANS($B$5))*COS(RADIANS(Plants!E154))*COS(RADIANS(Plants!F154-$B$6))))*3958.8,1))</f>
        <v/>
      </c>
      <c r="B163" s="5">
        <f>IF(A163="","",IF(A163&lt;=$B$7,"FLAG","OK"))</f>
        <v/>
      </c>
      <c r="C163" s="5">
        <f>Plants!A154</f>
        <v/>
      </c>
      <c r="D163" s="5">
        <f>Plants!B154</f>
        <v/>
      </c>
      <c r="E163" s="5">
        <f>Plants!C154&amp;", "&amp;Plants!D154</f>
        <v/>
      </c>
      <c r="F163" s="5">
        <f>Plants!H154</f>
        <v/>
      </c>
      <c r="G163" s="5">
        <f>Plants!I154</f>
        <v/>
      </c>
    </row>
    <row r="164">
      <c r="A164">
        <f>IF(OR($B$5=0,$B$6=0),"",ROUND(ACOS(MIN(1,SIN(RADIANS($B$5))*SIN(RADIANS(Plants!E155))+COS(RADIANS($B$5))*COS(RADIANS(Plants!E155))*COS(RADIANS(Plants!F155-$B$6))))*3958.8,1))</f>
        <v/>
      </c>
      <c r="B164">
        <f>IF(A164="","",IF(A164&lt;=$B$7,"FLAG","OK"))</f>
        <v/>
      </c>
      <c r="C164">
        <f>Plants!A155</f>
        <v/>
      </c>
      <c r="D164">
        <f>Plants!B155</f>
        <v/>
      </c>
      <c r="E164">
        <f>Plants!C155&amp;", "&amp;Plants!D155</f>
        <v/>
      </c>
      <c r="F164">
        <f>Plants!H155</f>
        <v/>
      </c>
      <c r="G164">
        <f>Plants!I155</f>
        <v/>
      </c>
    </row>
    <row r="165">
      <c r="A165" s="5">
        <f>IF(OR($B$5=0,$B$6=0),"",ROUND(ACOS(MIN(1,SIN(RADIANS($B$5))*SIN(RADIANS(Plants!E156))+COS(RADIANS($B$5))*COS(RADIANS(Plants!E156))*COS(RADIANS(Plants!F156-$B$6))))*3958.8,1))</f>
        <v/>
      </c>
      <c r="B165" s="5">
        <f>IF(A165="","",IF(A165&lt;=$B$7,"FLAG","OK"))</f>
        <v/>
      </c>
      <c r="C165" s="5">
        <f>Plants!A156</f>
        <v/>
      </c>
      <c r="D165" s="5">
        <f>Plants!B156</f>
        <v/>
      </c>
      <c r="E165" s="5">
        <f>Plants!C156&amp;", "&amp;Plants!D156</f>
        <v/>
      </c>
      <c r="F165" s="5">
        <f>Plants!H156</f>
        <v/>
      </c>
      <c r="G165" s="5">
        <f>Plants!I156</f>
        <v/>
      </c>
    </row>
    <row r="166">
      <c r="A166">
        <f>IF(OR($B$5=0,$B$6=0),"",ROUND(ACOS(MIN(1,SIN(RADIANS($B$5))*SIN(RADIANS(Plants!E157))+COS(RADIANS($B$5))*COS(RADIANS(Plants!E157))*COS(RADIANS(Plants!F157-$B$6))))*3958.8,1))</f>
        <v/>
      </c>
      <c r="B166">
        <f>IF(A166="","",IF(A166&lt;=$B$7,"FLAG","OK"))</f>
        <v/>
      </c>
      <c r="C166">
        <f>Plants!A157</f>
        <v/>
      </c>
      <c r="D166">
        <f>Plants!B157</f>
        <v/>
      </c>
      <c r="E166">
        <f>Plants!C157&amp;", "&amp;Plants!D157</f>
        <v/>
      </c>
      <c r="F166">
        <f>Plants!H157</f>
        <v/>
      </c>
      <c r="G166">
        <f>Plants!I157</f>
        <v/>
      </c>
    </row>
    <row r="167">
      <c r="A167" s="5">
        <f>IF(OR($B$5=0,$B$6=0),"",ROUND(ACOS(MIN(1,SIN(RADIANS($B$5))*SIN(RADIANS(Plants!E158))+COS(RADIANS($B$5))*COS(RADIANS(Plants!E158))*COS(RADIANS(Plants!F158-$B$6))))*3958.8,1))</f>
        <v/>
      </c>
      <c r="B167" s="5">
        <f>IF(A167="","",IF(A167&lt;=$B$7,"FLAG","OK"))</f>
        <v/>
      </c>
      <c r="C167" s="5">
        <f>Plants!A158</f>
        <v/>
      </c>
      <c r="D167" s="5">
        <f>Plants!B158</f>
        <v/>
      </c>
      <c r="E167" s="5">
        <f>Plants!C158&amp;", "&amp;Plants!D158</f>
        <v/>
      </c>
      <c r="F167" s="5">
        <f>Plants!H158</f>
        <v/>
      </c>
      <c r="G167" s="5">
        <f>Plants!I158</f>
        <v/>
      </c>
    </row>
    <row r="168">
      <c r="A168">
        <f>IF(OR($B$5=0,$B$6=0),"",ROUND(ACOS(MIN(1,SIN(RADIANS($B$5))*SIN(RADIANS(Plants!E159))+COS(RADIANS($B$5))*COS(RADIANS(Plants!E159))*COS(RADIANS(Plants!F159-$B$6))))*3958.8,1))</f>
        <v/>
      </c>
      <c r="B168">
        <f>IF(A168="","",IF(A168&lt;=$B$7,"FLAG","OK"))</f>
        <v/>
      </c>
      <c r="C168">
        <f>Plants!A159</f>
        <v/>
      </c>
      <c r="D168">
        <f>Plants!B159</f>
        <v/>
      </c>
      <c r="E168">
        <f>Plants!C159&amp;", "&amp;Plants!D159</f>
        <v/>
      </c>
      <c r="F168">
        <f>Plants!H159</f>
        <v/>
      </c>
      <c r="G168">
        <f>Plants!I159</f>
        <v/>
      </c>
    </row>
    <row r="169">
      <c r="A169" s="5">
        <f>IF(OR($B$5=0,$B$6=0),"",ROUND(ACOS(MIN(1,SIN(RADIANS($B$5))*SIN(RADIANS(Plants!E160))+COS(RADIANS($B$5))*COS(RADIANS(Plants!E160))*COS(RADIANS(Plants!F160-$B$6))))*3958.8,1))</f>
        <v/>
      </c>
      <c r="B169" s="5">
        <f>IF(A169="","",IF(A169&lt;=$B$7,"FLAG","OK"))</f>
        <v/>
      </c>
      <c r="C169" s="5">
        <f>Plants!A160</f>
        <v/>
      </c>
      <c r="D169" s="5">
        <f>Plants!B160</f>
        <v/>
      </c>
      <c r="E169" s="5">
        <f>Plants!C160&amp;", "&amp;Plants!D160</f>
        <v/>
      </c>
      <c r="F169" s="5">
        <f>Plants!H160</f>
        <v/>
      </c>
      <c r="G169" s="5">
        <f>Plants!I160</f>
        <v/>
      </c>
    </row>
    <row r="170">
      <c r="A170">
        <f>IF(OR($B$5=0,$B$6=0),"",ROUND(ACOS(MIN(1,SIN(RADIANS($B$5))*SIN(RADIANS(Plants!E161))+COS(RADIANS($B$5))*COS(RADIANS(Plants!E161))*COS(RADIANS(Plants!F161-$B$6))))*3958.8,1))</f>
        <v/>
      </c>
      <c r="B170">
        <f>IF(A170="","",IF(A170&lt;=$B$7,"FLAG","OK"))</f>
        <v/>
      </c>
      <c r="C170">
        <f>Plants!A161</f>
        <v/>
      </c>
      <c r="D170">
        <f>Plants!B161</f>
        <v/>
      </c>
      <c r="E170">
        <f>Plants!C161&amp;", "&amp;Plants!D161</f>
        <v/>
      </c>
      <c r="F170">
        <f>Plants!H161</f>
        <v/>
      </c>
      <c r="G170">
        <f>Plants!I161</f>
        <v/>
      </c>
    </row>
    <row r="171">
      <c r="A171" s="5">
        <f>IF(OR($B$5=0,$B$6=0),"",ROUND(ACOS(MIN(1,SIN(RADIANS($B$5))*SIN(RADIANS(Plants!E162))+COS(RADIANS($B$5))*COS(RADIANS(Plants!E162))*COS(RADIANS(Plants!F162-$B$6))))*3958.8,1))</f>
        <v/>
      </c>
      <c r="B171" s="5">
        <f>IF(A171="","",IF(A171&lt;=$B$7,"FLAG","OK"))</f>
        <v/>
      </c>
      <c r="C171" s="5">
        <f>Plants!A162</f>
        <v/>
      </c>
      <c r="D171" s="5">
        <f>Plants!B162</f>
        <v/>
      </c>
      <c r="E171" s="5">
        <f>Plants!C162&amp;", "&amp;Plants!D162</f>
        <v/>
      </c>
      <c r="F171" s="5">
        <f>Plants!H162</f>
        <v/>
      </c>
      <c r="G171" s="5">
        <f>Plants!I162</f>
        <v/>
      </c>
    </row>
    <row r="172">
      <c r="A172">
        <f>IF(OR($B$5=0,$B$6=0),"",ROUND(ACOS(MIN(1,SIN(RADIANS($B$5))*SIN(RADIANS(Plants!E163))+COS(RADIANS($B$5))*COS(RADIANS(Plants!E163))*COS(RADIANS(Plants!F163-$B$6))))*3958.8,1))</f>
        <v/>
      </c>
      <c r="B172">
        <f>IF(A172="","",IF(A172&lt;=$B$7,"FLAG","OK"))</f>
        <v/>
      </c>
      <c r="C172">
        <f>Plants!A163</f>
        <v/>
      </c>
      <c r="D172">
        <f>Plants!B163</f>
        <v/>
      </c>
      <c r="E172">
        <f>Plants!C163&amp;", "&amp;Plants!D163</f>
        <v/>
      </c>
      <c r="F172">
        <f>Plants!H163</f>
        <v/>
      </c>
      <c r="G172">
        <f>Plants!I163</f>
        <v/>
      </c>
    </row>
    <row r="173">
      <c r="A173" s="5">
        <f>IF(OR($B$5=0,$B$6=0),"",ROUND(ACOS(MIN(1,SIN(RADIANS($B$5))*SIN(RADIANS(Plants!E164))+COS(RADIANS($B$5))*COS(RADIANS(Plants!E164))*COS(RADIANS(Plants!F164-$B$6))))*3958.8,1))</f>
        <v/>
      </c>
      <c r="B173" s="5">
        <f>IF(A173="","",IF(A173&lt;=$B$7,"FLAG","OK"))</f>
        <v/>
      </c>
      <c r="C173" s="5">
        <f>Plants!A164</f>
        <v/>
      </c>
      <c r="D173" s="5">
        <f>Plants!B164</f>
        <v/>
      </c>
      <c r="E173" s="5">
        <f>Plants!C164&amp;", "&amp;Plants!D164</f>
        <v/>
      </c>
      <c r="F173" s="5">
        <f>Plants!H164</f>
        <v/>
      </c>
      <c r="G173" s="5">
        <f>Plants!I164</f>
        <v/>
      </c>
    </row>
    <row r="174">
      <c r="A174">
        <f>IF(OR($B$5=0,$B$6=0),"",ROUND(ACOS(MIN(1,SIN(RADIANS($B$5))*SIN(RADIANS(Plants!E165))+COS(RADIANS($B$5))*COS(RADIANS(Plants!E165))*COS(RADIANS(Plants!F165-$B$6))))*3958.8,1))</f>
        <v/>
      </c>
      <c r="B174">
        <f>IF(A174="","",IF(A174&lt;=$B$7,"FLAG","OK"))</f>
        <v/>
      </c>
      <c r="C174">
        <f>Plants!A165</f>
        <v/>
      </c>
      <c r="D174">
        <f>Plants!B165</f>
        <v/>
      </c>
      <c r="E174">
        <f>Plants!C165&amp;", "&amp;Plants!D165</f>
        <v/>
      </c>
      <c r="F174">
        <f>Plants!H165</f>
        <v/>
      </c>
      <c r="G174">
        <f>Plants!I165</f>
        <v/>
      </c>
    </row>
    <row r="175">
      <c r="A175" s="5">
        <f>IF(OR($B$5=0,$B$6=0),"",ROUND(ACOS(MIN(1,SIN(RADIANS($B$5))*SIN(RADIANS(Plants!E166))+COS(RADIANS($B$5))*COS(RADIANS(Plants!E166))*COS(RADIANS(Plants!F166-$B$6))))*3958.8,1))</f>
        <v/>
      </c>
      <c r="B175" s="5">
        <f>IF(A175="","",IF(A175&lt;=$B$7,"FLAG","OK"))</f>
        <v/>
      </c>
      <c r="C175" s="5">
        <f>Plants!A166</f>
        <v/>
      </c>
      <c r="D175" s="5">
        <f>Plants!B166</f>
        <v/>
      </c>
      <c r="E175" s="5">
        <f>Plants!C166&amp;", "&amp;Plants!D166</f>
        <v/>
      </c>
      <c r="F175" s="5">
        <f>Plants!H166</f>
        <v/>
      </c>
      <c r="G175" s="5">
        <f>Plants!I166</f>
        <v/>
      </c>
    </row>
    <row r="176">
      <c r="A176">
        <f>IF(OR($B$5=0,$B$6=0),"",ROUND(ACOS(MIN(1,SIN(RADIANS($B$5))*SIN(RADIANS(Plants!E167))+COS(RADIANS($B$5))*COS(RADIANS(Plants!E167))*COS(RADIANS(Plants!F167-$B$6))))*3958.8,1))</f>
        <v/>
      </c>
      <c r="B176">
        <f>IF(A176="","",IF(A176&lt;=$B$7,"FLAG","OK"))</f>
        <v/>
      </c>
      <c r="C176">
        <f>Plants!A167</f>
        <v/>
      </c>
      <c r="D176">
        <f>Plants!B167</f>
        <v/>
      </c>
      <c r="E176">
        <f>Plants!C167&amp;", "&amp;Plants!D167</f>
        <v/>
      </c>
      <c r="F176">
        <f>Plants!H167</f>
        <v/>
      </c>
      <c r="G176">
        <f>Plants!I167</f>
        <v/>
      </c>
    </row>
    <row r="177">
      <c r="A177" s="5">
        <f>IF(OR($B$5=0,$B$6=0),"",ROUND(ACOS(MIN(1,SIN(RADIANS($B$5))*SIN(RADIANS(Plants!E168))+COS(RADIANS($B$5))*COS(RADIANS(Plants!E168))*COS(RADIANS(Plants!F168-$B$6))))*3958.8,1))</f>
        <v/>
      </c>
      <c r="B177" s="5">
        <f>IF(A177="","",IF(A177&lt;=$B$7,"FLAG","OK"))</f>
        <v/>
      </c>
      <c r="C177" s="5">
        <f>Plants!A168</f>
        <v/>
      </c>
      <c r="D177" s="5">
        <f>Plants!B168</f>
        <v/>
      </c>
      <c r="E177" s="5">
        <f>Plants!C168&amp;", "&amp;Plants!D168</f>
        <v/>
      </c>
      <c r="F177" s="5">
        <f>Plants!H168</f>
        <v/>
      </c>
      <c r="G177" s="5">
        <f>Plants!I168</f>
        <v/>
      </c>
    </row>
    <row r="178">
      <c r="A178">
        <f>IF(OR($B$5=0,$B$6=0),"",ROUND(ACOS(MIN(1,SIN(RADIANS($B$5))*SIN(RADIANS(Plants!E169))+COS(RADIANS($B$5))*COS(RADIANS(Plants!E169))*COS(RADIANS(Plants!F169-$B$6))))*3958.8,1))</f>
        <v/>
      </c>
      <c r="B178">
        <f>IF(A178="","",IF(A178&lt;=$B$7,"FLAG","OK"))</f>
        <v/>
      </c>
      <c r="C178">
        <f>Plants!A169</f>
        <v/>
      </c>
      <c r="D178">
        <f>Plants!B169</f>
        <v/>
      </c>
      <c r="E178">
        <f>Plants!C169&amp;", "&amp;Plants!D169</f>
        <v/>
      </c>
      <c r="F178">
        <f>Plants!H169</f>
        <v/>
      </c>
      <c r="G178">
        <f>Plants!I169</f>
        <v/>
      </c>
    </row>
    <row r="179">
      <c r="A179" s="5">
        <f>IF(OR($B$5=0,$B$6=0),"",ROUND(ACOS(MIN(1,SIN(RADIANS($B$5))*SIN(RADIANS(Plants!E170))+COS(RADIANS($B$5))*COS(RADIANS(Plants!E170))*COS(RADIANS(Plants!F170-$B$6))))*3958.8,1))</f>
        <v/>
      </c>
      <c r="B179" s="5">
        <f>IF(A179="","",IF(A179&lt;=$B$7,"FLAG","OK"))</f>
        <v/>
      </c>
      <c r="C179" s="5">
        <f>Plants!A170</f>
        <v/>
      </c>
      <c r="D179" s="5">
        <f>Plants!B170</f>
        <v/>
      </c>
      <c r="E179" s="5">
        <f>Plants!C170&amp;", "&amp;Plants!D170</f>
        <v/>
      </c>
      <c r="F179" s="5">
        <f>Plants!H170</f>
        <v/>
      </c>
      <c r="G179" s="5">
        <f>Plants!I170</f>
        <v/>
      </c>
    </row>
  </sheetData>
  <mergeCells count="3">
    <mergeCell ref="A4:C4"/>
    <mergeCell ref="A2:G2"/>
    <mergeCell ref="A1:G1"/>
  </mergeCells>
  <conditionalFormatting sqref="B11:B179">
    <cfRule type="cellIs" priority="1" operator="equal" dxfId="2">
      <formula>"HIGH"</formula>
    </cfRule>
    <cfRule type="cellIs" priority="2" operator="equal" dxfId="1">
      <formula>"REVIEW"</formula>
    </cfRule>
    <cfRule type="cellIs" priority="3" operator="equal" dxfId="0">
      <formula>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2" customWidth="1" style="11" min="1" max="1"/>
    <col width="6" customWidth="1" style="11" min="2" max="2"/>
    <col width="18" customWidth="1" style="11" min="3" max="4"/>
    <col width="12" customWidth="1" style="11" min="5" max="5"/>
    <col width="13" customWidth="1" style="11" min="6" max="6"/>
    <col width="10" customWidth="1" style="11" min="7" max="7"/>
    <col width="18" customWidth="1" style="11" min="8" max="8"/>
    <col width="15" customWidth="1" style="11" min="9" max="9"/>
  </cols>
  <sheetData>
    <row r="1">
      <c r="A1" s="6" t="inlineStr">
        <is>
          <t>Plant Name</t>
        </is>
      </c>
      <c r="B1" s="6" t="inlineStr">
        <is>
          <t>State</t>
        </is>
      </c>
      <c r="C1" s="6" t="inlineStr">
        <is>
          <t>County</t>
        </is>
      </c>
      <c r="D1" s="6" t="inlineStr">
        <is>
          <t>City</t>
        </is>
      </c>
      <c r="E1" s="6" t="inlineStr">
        <is>
          <t>Latitude</t>
        </is>
      </c>
      <c r="F1" s="6" t="inlineStr">
        <is>
          <t>Longitude</t>
        </is>
      </c>
      <c r="G1" s="6" t="inlineStr">
        <is>
          <t>Fuel Types</t>
        </is>
      </c>
      <c r="H1" s="6" t="inlineStr">
        <is>
          <t>Total Capacity (MW)</t>
        </is>
      </c>
      <c r="I1" s="6" t="inlineStr">
        <is>
          <t>EIA Plant Code</t>
        </is>
      </c>
    </row>
    <row r="2">
      <c r="A2" s="5" t="inlineStr">
        <is>
          <t>Alabama Pine Pulp</t>
        </is>
      </c>
      <c r="B2" s="5" t="inlineStr">
        <is>
          <t>AL</t>
        </is>
      </c>
      <c r="C2" s="5" t="inlineStr">
        <is>
          <t>Monroe</t>
        </is>
      </c>
      <c r="D2" s="5" t="inlineStr">
        <is>
          <t>Perdue Hill</t>
        </is>
      </c>
      <c r="E2" s="5" t="n">
        <v>31.5825</v>
      </c>
      <c r="F2" s="5" t="n">
        <v>-87.4889</v>
      </c>
      <c r="G2" s="5" t="inlineStr">
        <is>
          <t>WDS</t>
        </is>
      </c>
      <c r="H2" s="5" t="n">
        <v>69</v>
      </c>
      <c r="I2" s="5" t="n">
        <v>54429</v>
      </c>
    </row>
    <row r="3">
      <c r="A3" t="inlineStr">
        <is>
          <t>Alabama River Pulp</t>
        </is>
      </c>
      <c r="B3" t="inlineStr">
        <is>
          <t>AL</t>
        </is>
      </c>
      <c r="C3" t="inlineStr">
        <is>
          <t>Monroe</t>
        </is>
      </c>
      <c r="D3" t="inlineStr">
        <is>
          <t>Perdue Hill</t>
        </is>
      </c>
      <c r="E3" t="n">
        <v>31.5825</v>
      </c>
      <c r="F3" t="n">
        <v>-87.4889</v>
      </c>
      <c r="G3" t="inlineStr">
        <is>
          <t>WDS</t>
        </is>
      </c>
      <c r="H3" t="n">
        <v>48</v>
      </c>
      <c r="I3" t="n">
        <v>10216</v>
      </c>
    </row>
    <row r="4">
      <c r="A4" s="5" t="inlineStr">
        <is>
          <t>Georgia-Pacific Consr Prods LP-Naheola</t>
        </is>
      </c>
      <c r="B4" s="5" t="inlineStr">
        <is>
          <t>AL</t>
        </is>
      </c>
      <c r="C4" s="5" t="inlineStr">
        <is>
          <t>Choctaw</t>
        </is>
      </c>
      <c r="D4" s="5" t="inlineStr">
        <is>
          <t>Pennington</t>
        </is>
      </c>
      <c r="E4" s="5" t="n">
        <v>32.2268</v>
      </c>
      <c r="F4" s="5" t="n">
        <v>-88.0252</v>
      </c>
      <c r="G4" s="5" t="inlineStr">
        <is>
          <t>WDS</t>
        </is>
      </c>
      <c r="H4" s="5" t="n">
        <v>87.5</v>
      </c>
      <c r="I4" s="5" t="n">
        <v>10699</v>
      </c>
    </row>
    <row r="5">
      <c r="A5" t="inlineStr">
        <is>
          <t>International Paper Pine Hill Mill</t>
        </is>
      </c>
      <c r="B5" t="inlineStr">
        <is>
          <t>AL</t>
        </is>
      </c>
      <c r="C5" t="inlineStr">
        <is>
          <t>Wilcox</t>
        </is>
      </c>
      <c r="D5" t="inlineStr">
        <is>
          <t>Pine Hill</t>
        </is>
      </c>
      <c r="E5" t="n">
        <v>31.9698</v>
      </c>
      <c r="F5" t="n">
        <v>-87.4806</v>
      </c>
      <c r="G5" t="inlineStr">
        <is>
          <t>WDS</t>
        </is>
      </c>
      <c r="H5" t="n">
        <v>40</v>
      </c>
      <c r="I5" t="n">
        <v>54752</v>
      </c>
    </row>
    <row r="6">
      <c r="A6" s="5" t="inlineStr">
        <is>
          <t>International Paper Prattville Mill</t>
        </is>
      </c>
      <c r="B6" s="5" t="inlineStr">
        <is>
          <t>AL</t>
        </is>
      </c>
      <c r="C6" s="5" t="inlineStr">
        <is>
          <t>Autauga</t>
        </is>
      </c>
      <c r="D6" s="5" t="inlineStr">
        <is>
          <t>Prattville</t>
        </is>
      </c>
      <c r="E6" s="5" t="n">
        <v>32.4187</v>
      </c>
      <c r="F6" s="5" t="n">
        <v>-86.4718</v>
      </c>
      <c r="G6" s="5" t="inlineStr">
        <is>
          <t>WDS</t>
        </is>
      </c>
      <c r="H6" s="5" t="n">
        <v>89.8</v>
      </c>
      <c r="I6" s="5" t="n">
        <v>52140</v>
      </c>
    </row>
    <row r="7">
      <c r="A7" t="inlineStr">
        <is>
          <t>International Paper Riverdale Mill</t>
        </is>
      </c>
      <c r="B7" t="inlineStr">
        <is>
          <t>AL</t>
        </is>
      </c>
      <c r="C7" t="inlineStr">
        <is>
          <t>Dallas</t>
        </is>
      </c>
      <c r="D7" t="inlineStr">
        <is>
          <t>Selma</t>
        </is>
      </c>
      <c r="E7" t="n">
        <v>32.426016</v>
      </c>
      <c r="F7" t="n">
        <v>-86.870912</v>
      </c>
      <c r="G7" t="inlineStr">
        <is>
          <t>WDS</t>
        </is>
      </c>
      <c r="H7" t="n">
        <v>66</v>
      </c>
      <c r="I7" t="n">
        <v>54096</v>
      </c>
    </row>
    <row r="8">
      <c r="A8" s="5" t="inlineStr">
        <is>
          <t>Mead Coated Board</t>
        </is>
      </c>
      <c r="B8" s="5" t="inlineStr">
        <is>
          <t>AL</t>
        </is>
      </c>
      <c r="C8" s="5" t="inlineStr">
        <is>
          <t>Russell</t>
        </is>
      </c>
      <c r="D8" s="5" t="inlineStr">
        <is>
          <t>Mahrt</t>
        </is>
      </c>
      <c r="E8" s="5" t="n">
        <v>32.1761</v>
      </c>
      <c r="F8" s="5" t="n">
        <v>-85.02719999999999</v>
      </c>
      <c r="G8" s="5" t="inlineStr">
        <is>
          <t>WDS</t>
        </is>
      </c>
      <c r="H8" s="5" t="n">
        <v>95.5</v>
      </c>
      <c r="I8" s="5" t="n">
        <v>54802</v>
      </c>
    </row>
    <row r="9">
      <c r="A9" t="inlineStr">
        <is>
          <t>Packaging Corp. of America Jackson Mill</t>
        </is>
      </c>
      <c r="B9" t="inlineStr">
        <is>
          <t>AL</t>
        </is>
      </c>
      <c r="C9" t="inlineStr">
        <is>
          <t>Clarke</t>
        </is>
      </c>
      <c r="D9" t="inlineStr">
        <is>
          <t>Jackson</t>
        </is>
      </c>
      <c r="E9" t="n">
        <v>31.4894</v>
      </c>
      <c r="F9" t="n">
        <v>-87.8989</v>
      </c>
      <c r="G9" t="inlineStr">
        <is>
          <t>WDS</t>
        </is>
      </c>
      <c r="H9" t="n">
        <v>44.4</v>
      </c>
      <c r="I9" t="n">
        <v>55044</v>
      </c>
    </row>
    <row r="10">
      <c r="A10" s="5" t="inlineStr">
        <is>
          <t>WestRock Demopolis Mill</t>
        </is>
      </c>
      <c r="B10" s="5" t="inlineStr">
        <is>
          <t>AL</t>
        </is>
      </c>
      <c r="C10" s="5" t="inlineStr">
        <is>
          <t>Marengo</t>
        </is>
      </c>
      <c r="D10" s="5" t="inlineStr">
        <is>
          <t>Demopolis</t>
        </is>
      </c>
      <c r="E10" s="5" t="n">
        <v>32.4541</v>
      </c>
      <c r="F10" s="5" t="n">
        <v>-87.9759</v>
      </c>
      <c r="G10" s="5" t="inlineStr">
        <is>
          <t>WDS</t>
        </is>
      </c>
      <c r="H10" s="5" t="n">
        <v>47.4</v>
      </c>
      <c r="I10" s="5" t="n">
        <v>54763</v>
      </c>
    </row>
    <row r="11">
      <c r="A11" t="inlineStr">
        <is>
          <t>Ashdown</t>
        </is>
      </c>
      <c r="B11" t="inlineStr">
        <is>
          <t>AR</t>
        </is>
      </c>
      <c r="C11" t="inlineStr">
        <is>
          <t>Little River</t>
        </is>
      </c>
      <c r="D11" t="inlineStr">
        <is>
          <t>Ashdown</t>
        </is>
      </c>
      <c r="E11" t="n">
        <v>33.6417</v>
      </c>
      <c r="F11" t="n">
        <v>-94.1083</v>
      </c>
      <c r="G11" t="inlineStr">
        <is>
          <t>WDS</t>
        </is>
      </c>
      <c r="H11" t="n">
        <v>156.5</v>
      </c>
      <c r="I11" t="n">
        <v>54104</v>
      </c>
    </row>
    <row r="12">
      <c r="A12" s="5" t="inlineStr">
        <is>
          <t>Pine Bluff Mill</t>
        </is>
      </c>
      <c r="B12" s="5" t="inlineStr">
        <is>
          <t>AR</t>
        </is>
      </c>
      <c r="C12" s="5" t="inlineStr">
        <is>
          <t>Jefferson</t>
        </is>
      </c>
      <c r="D12" s="5" t="inlineStr">
        <is>
          <t>Pine Bluff</t>
        </is>
      </c>
      <c r="E12" s="5" t="n">
        <v>34.221213</v>
      </c>
      <c r="F12" s="5" t="n">
        <v>-91.907365</v>
      </c>
      <c r="G12" s="5" t="inlineStr">
        <is>
          <t>WDS</t>
        </is>
      </c>
      <c r="H12" s="5" t="n">
        <v>85</v>
      </c>
      <c r="I12" s="5" t="n">
        <v>10627</v>
      </c>
    </row>
    <row r="13">
      <c r="A13" t="inlineStr">
        <is>
          <t>Novo BioPower Plant</t>
        </is>
      </c>
      <c r="B13" t="inlineStr">
        <is>
          <t>AZ</t>
        </is>
      </c>
      <c r="C13" t="inlineStr">
        <is>
          <t>Navajo</t>
        </is>
      </c>
      <c r="D13" t="inlineStr">
        <is>
          <t>Snowflake</t>
        </is>
      </c>
      <c r="E13" t="n">
        <v>34.503158</v>
      </c>
      <c r="F13" t="n">
        <v>-110.334953</v>
      </c>
      <c r="G13" t="inlineStr">
        <is>
          <t>WDS</t>
        </is>
      </c>
      <c r="H13" t="n">
        <v>27.2</v>
      </c>
      <c r="I13" t="n">
        <v>56616</v>
      </c>
    </row>
    <row r="14">
      <c r="A14" s="5" t="inlineStr">
        <is>
          <t>Burney Forest Products</t>
        </is>
      </c>
      <c r="B14" s="5" t="inlineStr">
        <is>
          <t>CA</t>
        </is>
      </c>
      <c r="C14" s="5" t="inlineStr">
        <is>
          <t>Shasta</t>
        </is>
      </c>
      <c r="D14" s="5" t="inlineStr">
        <is>
          <t>Burney</t>
        </is>
      </c>
      <c r="E14" s="5" t="n">
        <v>40.879719</v>
      </c>
      <c r="F14" s="5" t="n">
        <v>-121.720342</v>
      </c>
      <c r="G14" s="5" t="inlineStr">
        <is>
          <t>WDS</t>
        </is>
      </c>
      <c r="H14" s="5" t="n">
        <v>31</v>
      </c>
      <c r="I14" s="5" t="n">
        <v>10652</v>
      </c>
    </row>
    <row r="15">
      <c r="A15" t="inlineStr">
        <is>
          <t>Collins Pine Project</t>
        </is>
      </c>
      <c r="B15" t="inlineStr">
        <is>
          <t>CA</t>
        </is>
      </c>
      <c r="C15" t="inlineStr">
        <is>
          <t>Plumas</t>
        </is>
      </c>
      <c r="D15" t="inlineStr">
        <is>
          <t>Chester</t>
        </is>
      </c>
      <c r="E15" t="n">
        <v>40.303422</v>
      </c>
      <c r="F15" t="n">
        <v>-121.244431</v>
      </c>
      <c r="G15" t="inlineStr">
        <is>
          <t>WDS</t>
        </is>
      </c>
      <c r="H15" t="n">
        <v>5</v>
      </c>
      <c r="I15" t="n">
        <v>10661</v>
      </c>
    </row>
    <row r="16">
      <c r="A16" s="5" t="inlineStr">
        <is>
          <t>HL Power</t>
        </is>
      </c>
      <c r="B16" s="5" t="inlineStr">
        <is>
          <t>CA</t>
        </is>
      </c>
      <c r="C16" s="5" t="inlineStr">
        <is>
          <t>Lassen</t>
        </is>
      </c>
      <c r="D16" s="5" t="inlineStr">
        <is>
          <t>Wendel</t>
        </is>
      </c>
      <c r="E16" s="5" t="n">
        <v>40.368338</v>
      </c>
      <c r="F16" s="5" t="n">
        <v>-120.264848</v>
      </c>
      <c r="G16" s="5" t="inlineStr">
        <is>
          <t>WDS</t>
        </is>
      </c>
      <c r="H16" s="5" t="n">
        <v>36.2</v>
      </c>
      <c r="I16" s="5" t="n">
        <v>10777</v>
      </c>
    </row>
    <row r="17">
      <c r="A17" t="inlineStr">
        <is>
          <t>Humboldt Sawmill Company</t>
        </is>
      </c>
      <c r="B17" t="inlineStr">
        <is>
          <t>CA</t>
        </is>
      </c>
      <c r="C17" t="inlineStr">
        <is>
          <t>Humboldt</t>
        </is>
      </c>
      <c r="D17" t="inlineStr">
        <is>
          <t>Scotia</t>
        </is>
      </c>
      <c r="E17" t="n">
        <v>40.4728</v>
      </c>
      <c r="F17" t="n">
        <v>-124.1014</v>
      </c>
      <c r="G17" t="inlineStr">
        <is>
          <t>WDS</t>
        </is>
      </c>
      <c r="H17" t="n">
        <v>25</v>
      </c>
      <c r="I17" t="n">
        <v>50049</v>
      </c>
    </row>
    <row r="18">
      <c r="A18" s="5" t="inlineStr">
        <is>
          <t>Pacific-Ultrapower Chinese Station</t>
        </is>
      </c>
      <c r="B18" s="5" t="inlineStr">
        <is>
          <t>CA</t>
        </is>
      </c>
      <c r="C18" s="5" t="inlineStr">
        <is>
          <t>Tuolumne</t>
        </is>
      </c>
      <c r="D18" s="5" t="inlineStr">
        <is>
          <t>Jamestown</t>
        </is>
      </c>
      <c r="E18" s="5" t="n">
        <v>37.874056</v>
      </c>
      <c r="F18" s="5" t="n">
        <v>-120.477556</v>
      </c>
      <c r="G18" s="5" t="inlineStr">
        <is>
          <t>WDS</t>
        </is>
      </c>
      <c r="H18" s="5" t="n">
        <v>25</v>
      </c>
      <c r="I18" s="5" t="n">
        <v>50560</v>
      </c>
    </row>
    <row r="19">
      <c r="A19" t="inlineStr">
        <is>
          <t>Rio Bravo Rocklin</t>
        </is>
      </c>
      <c r="B19" t="inlineStr">
        <is>
          <t>CA</t>
        </is>
      </c>
      <c r="C19" t="inlineStr">
        <is>
          <t>Placer</t>
        </is>
      </c>
      <c r="D19" t="inlineStr">
        <is>
          <t>Lincoln</t>
        </is>
      </c>
      <c r="E19" t="n">
        <v>38.8319</v>
      </c>
      <c r="F19" t="n">
        <v>-121.313652</v>
      </c>
      <c r="G19" t="inlineStr">
        <is>
          <t>WDS</t>
        </is>
      </c>
      <c r="H19" t="n">
        <v>27.9</v>
      </c>
      <c r="I19" t="n">
        <v>10772</v>
      </c>
    </row>
    <row r="20">
      <c r="A20" s="5" t="inlineStr">
        <is>
          <t>Roseburg Forest Products Biomass</t>
        </is>
      </c>
      <c r="B20" s="5" t="inlineStr">
        <is>
          <t>CA</t>
        </is>
      </c>
      <c r="C20" s="5" t="inlineStr">
        <is>
          <t>Siskiyou</t>
        </is>
      </c>
      <c r="D20" s="5" t="inlineStr">
        <is>
          <t>Weed</t>
        </is>
      </c>
      <c r="E20" s="5" t="n">
        <v>41.435556</v>
      </c>
      <c r="F20" s="5" t="n">
        <v>-122.376944</v>
      </c>
      <c r="G20" s="5" t="inlineStr">
        <is>
          <t>WDS</t>
        </is>
      </c>
      <c r="H20" s="5" t="n">
        <v>13.4</v>
      </c>
      <c r="I20" s="5" t="n">
        <v>56469</v>
      </c>
    </row>
    <row r="21">
      <c r="A21" t="inlineStr">
        <is>
          <t>SPI Anderson 2</t>
        </is>
      </c>
      <c r="B21" t="inlineStr">
        <is>
          <t>CA</t>
        </is>
      </c>
      <c r="C21" t="inlineStr">
        <is>
          <t>Shasta</t>
        </is>
      </c>
      <c r="D21" t="inlineStr">
        <is>
          <t>Anderson</t>
        </is>
      </c>
      <c r="E21" t="n">
        <v>40.472283</v>
      </c>
      <c r="F21" t="n">
        <v>-122.324205</v>
      </c>
      <c r="G21" t="inlineStr">
        <is>
          <t>WDS</t>
        </is>
      </c>
      <c r="H21" t="n">
        <v>30.2</v>
      </c>
      <c r="I21" t="n">
        <v>59658</v>
      </c>
    </row>
    <row r="22">
      <c r="A22" s="5" t="inlineStr">
        <is>
          <t>Sierra Pacific Burney Facility</t>
        </is>
      </c>
      <c r="B22" s="5" t="inlineStr">
        <is>
          <t>CA</t>
        </is>
      </c>
      <c r="C22" s="5" t="inlineStr">
        <is>
          <t>Shasta</t>
        </is>
      </c>
      <c r="D22" s="5" t="inlineStr">
        <is>
          <t>Burney</t>
        </is>
      </c>
      <c r="E22" s="5" t="n">
        <v>40.8767</v>
      </c>
      <c r="F22" s="5" t="n">
        <v>-121.7016</v>
      </c>
      <c r="G22" s="5" t="inlineStr">
        <is>
          <t>WDS</t>
        </is>
      </c>
      <c r="H22" s="5" t="n">
        <v>20</v>
      </c>
      <c r="I22" s="5" t="n">
        <v>50110</v>
      </c>
    </row>
    <row r="23">
      <c r="A23" t="inlineStr">
        <is>
          <t>Sierra Pacific Lincoln Facility</t>
        </is>
      </c>
      <c r="B23" t="inlineStr">
        <is>
          <t>CA</t>
        </is>
      </c>
      <c r="C23" t="inlineStr">
        <is>
          <t>Placer</t>
        </is>
      </c>
      <c r="D23" t="inlineStr">
        <is>
          <t>Lincoln</t>
        </is>
      </c>
      <c r="E23" t="n">
        <v>38.9032</v>
      </c>
      <c r="F23" t="n">
        <v>-121.3097</v>
      </c>
      <c r="G23" t="inlineStr">
        <is>
          <t>WDS</t>
        </is>
      </c>
      <c r="H23" t="n">
        <v>19.2</v>
      </c>
      <c r="I23" t="n">
        <v>10144</v>
      </c>
    </row>
    <row r="24">
      <c r="A24" s="5" t="inlineStr">
        <is>
          <t>Sierra Pacific Quincy Facility</t>
        </is>
      </c>
      <c r="B24" s="5" t="inlineStr">
        <is>
          <t>CA</t>
        </is>
      </c>
      <c r="C24" s="5" t="inlineStr">
        <is>
          <t>Plumas</t>
        </is>
      </c>
      <c r="D24" s="5" t="inlineStr">
        <is>
          <t>Quincy</t>
        </is>
      </c>
      <c r="E24" s="5" t="n">
        <v>39.941165</v>
      </c>
      <c r="F24" s="5" t="n">
        <v>-120.909211</v>
      </c>
      <c r="G24" s="5" t="inlineStr">
        <is>
          <t>WDS</t>
        </is>
      </c>
      <c r="H24" s="5" t="n">
        <v>35.2</v>
      </c>
      <c r="I24" s="5" t="n">
        <v>50112</v>
      </c>
    </row>
    <row r="25">
      <c r="A25" t="inlineStr">
        <is>
          <t>Sierra Pacific Sonora</t>
        </is>
      </c>
      <c r="B25" t="inlineStr">
        <is>
          <t>CA</t>
        </is>
      </c>
      <c r="C25" t="inlineStr">
        <is>
          <t>Tuolumne</t>
        </is>
      </c>
      <c r="D25" t="inlineStr">
        <is>
          <t>Standard</t>
        </is>
      </c>
      <c r="E25" t="n">
        <v>37.966389</v>
      </c>
      <c r="F25" t="n">
        <v>-120.317777</v>
      </c>
      <c r="G25" t="inlineStr">
        <is>
          <t>WDS</t>
        </is>
      </c>
      <c r="H25" t="n">
        <v>7.5</v>
      </c>
      <c r="I25" t="n">
        <v>54517</v>
      </c>
    </row>
    <row r="26">
      <c r="A26" s="5" t="inlineStr">
        <is>
          <t>Stockton Biomass</t>
        </is>
      </c>
      <c r="B26" s="5" t="inlineStr">
        <is>
          <t>CA</t>
        </is>
      </c>
      <c r="C26" s="5" t="inlineStr">
        <is>
          <t>San Joaquin</t>
        </is>
      </c>
      <c r="D26" s="5" t="inlineStr">
        <is>
          <t>Stockton</t>
        </is>
      </c>
      <c r="E26" s="5" t="n">
        <v>37.943633</v>
      </c>
      <c r="F26" s="5" t="n">
        <v>-121.330433</v>
      </c>
      <c r="G26" s="5" t="inlineStr">
        <is>
          <t>WDS</t>
        </is>
      </c>
      <c r="H26" s="5" t="n">
        <v>54</v>
      </c>
      <c r="I26" s="5" t="n">
        <v>54238</v>
      </c>
    </row>
    <row r="27">
      <c r="A27" t="inlineStr">
        <is>
          <t>Wheelabrator Shasta</t>
        </is>
      </c>
      <c r="B27" t="inlineStr">
        <is>
          <t>CA</t>
        </is>
      </c>
      <c r="C27" t="inlineStr">
        <is>
          <t>Shasta</t>
        </is>
      </c>
      <c r="D27" t="inlineStr">
        <is>
          <t>Anderson</t>
        </is>
      </c>
      <c r="E27" t="n">
        <v>40.428329</v>
      </c>
      <c r="F27" t="n">
        <v>-122.279248</v>
      </c>
      <c r="G27" t="inlineStr">
        <is>
          <t>WDS</t>
        </is>
      </c>
      <c r="H27" t="n">
        <v>54.9</v>
      </c>
      <c r="I27" t="n">
        <v>50881</v>
      </c>
    </row>
    <row r="28">
      <c r="A28" s="5" t="inlineStr">
        <is>
          <t>Woodland Biomass Power Ltd</t>
        </is>
      </c>
      <c r="B28" s="5" t="inlineStr">
        <is>
          <t>CA</t>
        </is>
      </c>
      <c r="C28" s="5" t="inlineStr">
        <is>
          <t>Yolo</t>
        </is>
      </c>
      <c r="D28" s="5" t="inlineStr">
        <is>
          <t>Woodland</t>
        </is>
      </c>
      <c r="E28" s="5" t="n">
        <v>38.6905</v>
      </c>
      <c r="F28" s="5" t="n">
        <v>-121.7371</v>
      </c>
      <c r="G28" s="5" t="inlineStr">
        <is>
          <t>WDS</t>
        </is>
      </c>
      <c r="H28" s="5" t="n">
        <v>28</v>
      </c>
      <c r="I28" s="5" t="n">
        <v>10836</v>
      </c>
    </row>
    <row r="29">
      <c r="A29" t="inlineStr">
        <is>
          <t>Plainfield Renewable Energy LLC</t>
        </is>
      </c>
      <c r="B29" t="inlineStr">
        <is>
          <t>CT</t>
        </is>
      </c>
      <c r="C29" t="inlineStr">
        <is>
          <t>Windham</t>
        </is>
      </c>
      <c r="D29" t="inlineStr">
        <is>
          <t>Plainfield</t>
        </is>
      </c>
      <c r="E29" t="n">
        <v>41.664376</v>
      </c>
      <c r="F29" t="n">
        <v>-71.92418000000001</v>
      </c>
      <c r="G29" t="inlineStr">
        <is>
          <t>WDS</t>
        </is>
      </c>
      <c r="H29" t="n">
        <v>43</v>
      </c>
      <c r="I29" t="n">
        <v>56847</v>
      </c>
    </row>
    <row r="30">
      <c r="A30" s="5" t="inlineStr">
        <is>
          <t>Deerhaven Renewable</t>
        </is>
      </c>
      <c r="B30" s="5" t="inlineStr">
        <is>
          <t>FL</t>
        </is>
      </c>
      <c r="C30" s="5" t="inlineStr">
        <is>
          <t>Alachua</t>
        </is>
      </c>
      <c r="D30" s="5" t="inlineStr">
        <is>
          <t>Gainesville</t>
        </is>
      </c>
      <c r="E30" s="5" t="n">
        <v>29.7675</v>
      </c>
      <c r="F30" s="5" t="n">
        <v>-82.396388</v>
      </c>
      <c r="G30" s="5" t="inlineStr">
        <is>
          <t>WDS</t>
        </is>
      </c>
      <c r="H30" s="5" t="n">
        <v>116.1</v>
      </c>
      <c r="I30" s="5" t="n">
        <v>57241</v>
      </c>
    </row>
    <row r="31">
      <c r="A31" t="inlineStr">
        <is>
          <t>Fernandina Beach Mill</t>
        </is>
      </c>
      <c r="B31" t="inlineStr">
        <is>
          <t>FL</t>
        </is>
      </c>
      <c r="C31" t="inlineStr">
        <is>
          <t>Nassau</t>
        </is>
      </c>
      <c r="D31" t="inlineStr">
        <is>
          <t>Fernandina Beach</t>
        </is>
      </c>
      <c r="E31" t="n">
        <v>30.681823</v>
      </c>
      <c r="F31" t="n">
        <v>-81.45541299999999</v>
      </c>
      <c r="G31" t="inlineStr">
        <is>
          <t>WDS</t>
        </is>
      </c>
      <c r="H31" t="n">
        <v>96.90000000000001</v>
      </c>
      <c r="I31" t="n">
        <v>10202</v>
      </c>
    </row>
    <row r="32">
      <c r="A32" s="5" t="inlineStr">
        <is>
          <t>Fernandina Plant</t>
        </is>
      </c>
      <c r="B32" s="5" t="inlineStr">
        <is>
          <t>FL</t>
        </is>
      </c>
      <c r="C32" s="5" t="inlineStr">
        <is>
          <t>Nassau</t>
        </is>
      </c>
      <c r="D32" s="5" t="inlineStr">
        <is>
          <t>Fernandina Beach</t>
        </is>
      </c>
      <c r="E32" s="5" t="n">
        <v>30.6612</v>
      </c>
      <c r="F32" s="5" t="n">
        <v>-81.473</v>
      </c>
      <c r="G32" s="5" t="inlineStr">
        <is>
          <t>WDL, WDS</t>
        </is>
      </c>
      <c r="H32" s="5" t="n">
        <v>42</v>
      </c>
      <c r="I32" s="5" t="n">
        <v>10562</v>
      </c>
    </row>
    <row r="33">
      <c r="A33" t="inlineStr">
        <is>
          <t>International Paper Pensacola</t>
        </is>
      </c>
      <c r="B33" t="inlineStr">
        <is>
          <t>FL</t>
        </is>
      </c>
      <c r="C33" t="inlineStr">
        <is>
          <t>Escambia</t>
        </is>
      </c>
      <c r="D33" t="inlineStr">
        <is>
          <t>Cantonment</t>
        </is>
      </c>
      <c r="E33" t="n">
        <v>30.5966</v>
      </c>
      <c r="F33" t="n">
        <v>-87.32640000000001</v>
      </c>
      <c r="G33" t="inlineStr">
        <is>
          <t>WDS</t>
        </is>
      </c>
      <c r="H33" t="n">
        <v>82.8</v>
      </c>
      <c r="I33" t="n">
        <v>50250</v>
      </c>
    </row>
    <row r="34">
      <c r="A34" s="5" t="inlineStr">
        <is>
          <t>Okeelanta Cogeneration</t>
        </is>
      </c>
      <c r="B34" s="5" t="inlineStr">
        <is>
          <t>FL</t>
        </is>
      </c>
      <c r="C34" s="5" t="inlineStr">
        <is>
          <t>Palm Beach</t>
        </is>
      </c>
      <c r="D34" s="5" t="inlineStr">
        <is>
          <t>South Bay</t>
        </is>
      </c>
      <c r="E34" s="5" t="n">
        <v>26.5769</v>
      </c>
      <c r="F34" s="5" t="n">
        <v>-80.7469</v>
      </c>
      <c r="G34" s="5" t="inlineStr">
        <is>
          <t>WDS</t>
        </is>
      </c>
      <c r="H34" s="5" t="n">
        <v>128.9</v>
      </c>
      <c r="I34" s="5" t="n">
        <v>54627</v>
      </c>
    </row>
    <row r="35">
      <c r="A35" t="inlineStr">
        <is>
          <t>Albany Green Energy</t>
        </is>
      </c>
      <c r="B35" t="inlineStr">
        <is>
          <t>GA</t>
        </is>
      </c>
      <c r="C35" t="inlineStr">
        <is>
          <t>Dougherty</t>
        </is>
      </c>
      <c r="D35" t="inlineStr">
        <is>
          <t>Albany</t>
        </is>
      </c>
      <c r="E35" t="n">
        <v>31.5559</v>
      </c>
      <c r="F35" t="n">
        <v>-84.1103</v>
      </c>
      <c r="G35" t="inlineStr">
        <is>
          <t>WDS</t>
        </is>
      </c>
      <c r="H35" t="n">
        <v>54.5</v>
      </c>
      <c r="I35" t="n">
        <v>60340</v>
      </c>
    </row>
    <row r="36">
      <c r="A36" s="5" t="inlineStr">
        <is>
          <t>Brunswick Cellulose</t>
        </is>
      </c>
      <c r="B36" s="5" t="inlineStr">
        <is>
          <t>GA</t>
        </is>
      </c>
      <c r="C36" s="5" t="inlineStr">
        <is>
          <t>Glynn</t>
        </is>
      </c>
      <c r="D36" s="5" t="inlineStr">
        <is>
          <t>Brunswick</t>
        </is>
      </c>
      <c r="E36" s="5" t="n">
        <v>31.173147</v>
      </c>
      <c r="F36" s="5" t="n">
        <v>-81.519249</v>
      </c>
      <c r="G36" s="5" t="inlineStr">
        <is>
          <t>WDS</t>
        </is>
      </c>
      <c r="H36" s="5" t="n">
        <v>72.2</v>
      </c>
      <c r="I36" s="5" t="n">
        <v>10605</v>
      </c>
    </row>
    <row r="37">
      <c r="A37" t="inlineStr">
        <is>
          <t>Clearwater Paper Corporation - Augusta</t>
        </is>
      </c>
      <c r="B37" t="inlineStr">
        <is>
          <t>GA</t>
        </is>
      </c>
      <c r="C37" t="inlineStr">
        <is>
          <t>Richmond</t>
        </is>
      </c>
      <c r="D37" t="inlineStr">
        <is>
          <t>Augusta</t>
        </is>
      </c>
      <c r="E37" t="n">
        <v>33.328259</v>
      </c>
      <c r="F37" t="n">
        <v>-81.953078</v>
      </c>
      <c r="G37" t="inlineStr">
        <is>
          <t>WDS</t>
        </is>
      </c>
      <c r="H37" t="n">
        <v>45.7</v>
      </c>
      <c r="I37" t="n">
        <v>54358</v>
      </c>
    </row>
    <row r="38">
      <c r="A38" s="5" t="inlineStr">
        <is>
          <t>Flint River Operations</t>
        </is>
      </c>
      <c r="B38" s="5" t="inlineStr">
        <is>
          <t>GA</t>
        </is>
      </c>
      <c r="C38" s="5" t="inlineStr">
        <is>
          <t>Macon</t>
        </is>
      </c>
      <c r="D38" s="5" t="inlineStr">
        <is>
          <t>Oglethorpe</t>
        </is>
      </c>
      <c r="E38" s="5" t="n">
        <v>32.2544</v>
      </c>
      <c r="F38" s="5" t="n">
        <v>-84.0667</v>
      </c>
      <c r="G38" s="5" t="inlineStr">
        <is>
          <t>WDS</t>
        </is>
      </c>
      <c r="H38" s="5" t="n">
        <v>77</v>
      </c>
      <c r="I38" s="5" t="n">
        <v>50465</v>
      </c>
    </row>
    <row r="39">
      <c r="A39" t="inlineStr">
        <is>
          <t>GRP Franklin Renewable Energy Facility</t>
        </is>
      </c>
      <c r="B39" t="inlineStr">
        <is>
          <t>GA</t>
        </is>
      </c>
      <c r="C39" t="inlineStr">
        <is>
          <t>Franklin</t>
        </is>
      </c>
      <c r="D39" t="inlineStr">
        <is>
          <t>Carnesville</t>
        </is>
      </c>
      <c r="E39" t="n">
        <v>34.376111</v>
      </c>
      <c r="F39" t="n">
        <v>-83.330556</v>
      </c>
      <c r="G39" t="inlineStr">
        <is>
          <t>WDS</t>
        </is>
      </c>
      <c r="H39" t="n">
        <v>58</v>
      </c>
      <c r="I39" t="n">
        <v>60550</v>
      </c>
    </row>
    <row r="40">
      <c r="A40" s="5" t="inlineStr">
        <is>
          <t>GRP Madison Renewable Energy Facility</t>
        </is>
      </c>
      <c r="B40" s="5" t="inlineStr">
        <is>
          <t>GA</t>
        </is>
      </c>
      <c r="C40" s="5" t="inlineStr">
        <is>
          <t>Madison</t>
        </is>
      </c>
      <c r="D40" s="5" t="inlineStr">
        <is>
          <t>Colbert</t>
        </is>
      </c>
      <c r="E40" s="5" t="n">
        <v>34.040559</v>
      </c>
      <c r="F40" s="5" t="n">
        <v>-83.192902</v>
      </c>
      <c r="G40" s="5" t="inlineStr">
        <is>
          <t>WDS</t>
        </is>
      </c>
      <c r="H40" s="5" t="n">
        <v>58</v>
      </c>
      <c r="I40" s="5" t="n">
        <v>61213</v>
      </c>
    </row>
    <row r="41">
      <c r="A41" t="inlineStr">
        <is>
          <t>Georgia-Pacific Cedar Springs</t>
        </is>
      </c>
      <c r="B41" t="inlineStr">
        <is>
          <t>GA</t>
        </is>
      </c>
      <c r="C41" t="inlineStr">
        <is>
          <t>Early</t>
        </is>
      </c>
      <c r="D41" t="inlineStr">
        <is>
          <t>Cedar Springs</t>
        </is>
      </c>
      <c r="E41" t="n">
        <v>31.166</v>
      </c>
      <c r="F41" t="n">
        <v>-85.0951</v>
      </c>
      <c r="G41" t="inlineStr">
        <is>
          <t>WDS</t>
        </is>
      </c>
      <c r="H41" t="n">
        <v>101.2</v>
      </c>
      <c r="I41" t="n">
        <v>54101</v>
      </c>
    </row>
    <row r="42">
      <c r="A42" s="5" t="inlineStr">
        <is>
          <t>Inland Paperboard Packaging Rome</t>
        </is>
      </c>
      <c r="B42" s="5" t="inlineStr">
        <is>
          <t>GA</t>
        </is>
      </c>
      <c r="C42" s="5" t="inlineStr">
        <is>
          <t>Floyd</t>
        </is>
      </c>
      <c r="D42" s="5" t="inlineStr">
        <is>
          <t>Rome</t>
        </is>
      </c>
      <c r="E42" s="5" t="n">
        <v>34.2528</v>
      </c>
      <c r="F42" s="5" t="n">
        <v>-85.3275</v>
      </c>
      <c r="G42" s="5" t="inlineStr">
        <is>
          <t>WDS</t>
        </is>
      </c>
      <c r="H42" s="5" t="n">
        <v>60.4</v>
      </c>
      <c r="I42" s="5" t="n">
        <v>10426</v>
      </c>
    </row>
    <row r="43">
      <c r="A43" t="inlineStr">
        <is>
          <t>International Paper Savanna Mill</t>
        </is>
      </c>
      <c r="B43" t="inlineStr">
        <is>
          <t>GA</t>
        </is>
      </c>
      <c r="C43" t="inlineStr">
        <is>
          <t>Chatham</t>
        </is>
      </c>
      <c r="D43" t="inlineStr">
        <is>
          <t>Savannah</t>
        </is>
      </c>
      <c r="E43" t="n">
        <v>32.100354</v>
      </c>
      <c r="F43" t="n">
        <v>-81.12424799999999</v>
      </c>
      <c r="G43" t="inlineStr">
        <is>
          <t>WDS</t>
        </is>
      </c>
      <c r="H43" t="n">
        <v>71.2</v>
      </c>
      <c r="I43" t="n">
        <v>50398</v>
      </c>
    </row>
    <row r="44">
      <c r="A44" s="5" t="inlineStr">
        <is>
          <t>Interstate Paper LLC Riceboro</t>
        </is>
      </c>
      <c r="B44" s="5" t="inlineStr">
        <is>
          <t>GA</t>
        </is>
      </c>
      <c r="C44" s="5" t="inlineStr">
        <is>
          <t>Liberty</t>
        </is>
      </c>
      <c r="D44" s="5" t="inlineStr">
        <is>
          <t>Riceboro</t>
        </is>
      </c>
      <c r="E44" s="5" t="n">
        <v>31.741629</v>
      </c>
      <c r="F44" s="5" t="n">
        <v>-81.407856</v>
      </c>
      <c r="G44" s="5" t="inlineStr">
        <is>
          <t>WDS</t>
        </is>
      </c>
      <c r="H44" s="5" t="n">
        <v>14.5</v>
      </c>
      <c r="I44" s="5" t="n">
        <v>54281</v>
      </c>
    </row>
    <row r="45">
      <c r="A45" t="inlineStr">
        <is>
          <t>Jesup Plant</t>
        </is>
      </c>
      <c r="B45" t="inlineStr">
        <is>
          <t>GA</t>
        </is>
      </c>
      <c r="C45" t="inlineStr">
        <is>
          <t>Wayne</t>
        </is>
      </c>
      <c r="D45" t="inlineStr">
        <is>
          <t>Jesup</t>
        </is>
      </c>
      <c r="E45" t="n">
        <v>31.6593</v>
      </c>
      <c r="F45" t="n">
        <v>-81.8439</v>
      </c>
      <c r="G45" t="inlineStr">
        <is>
          <t>WDS</t>
        </is>
      </c>
      <c r="H45" t="n">
        <v>42.5</v>
      </c>
      <c r="I45" t="n">
        <v>10560</v>
      </c>
    </row>
    <row r="46">
      <c r="A46" s="5" t="inlineStr">
        <is>
          <t>PCA-Valdosta Mill</t>
        </is>
      </c>
      <c r="B46" s="5" t="inlineStr">
        <is>
          <t>GA</t>
        </is>
      </c>
      <c r="C46" s="5" t="inlineStr">
        <is>
          <t>Lowndes</t>
        </is>
      </c>
      <c r="D46" s="5" t="inlineStr">
        <is>
          <t>Valdosta</t>
        </is>
      </c>
      <c r="E46" s="5" t="n">
        <v>30.694444</v>
      </c>
      <c r="F46" s="5" t="n">
        <v>-83.303056</v>
      </c>
      <c r="G46" s="5" t="inlineStr">
        <is>
          <t>WDS</t>
        </is>
      </c>
      <c r="H46" s="5" t="n">
        <v>17.6</v>
      </c>
      <c r="I46" s="5" t="n">
        <v>60084</v>
      </c>
    </row>
    <row r="47">
      <c r="A47" t="inlineStr">
        <is>
          <t>Piedmont Green Power</t>
        </is>
      </c>
      <c r="B47" t="inlineStr">
        <is>
          <t>GA</t>
        </is>
      </c>
      <c r="C47" t="inlineStr">
        <is>
          <t>Lamar</t>
        </is>
      </c>
      <c r="D47" t="inlineStr">
        <is>
          <t>Barnesville</t>
        </is>
      </c>
      <c r="E47" t="n">
        <v>33.045278</v>
      </c>
      <c r="F47" t="n">
        <v>-84.125556</v>
      </c>
      <c r="G47" t="inlineStr">
        <is>
          <t>WDS</t>
        </is>
      </c>
      <c r="H47" t="n">
        <v>60</v>
      </c>
      <c r="I47" t="n">
        <v>57909</v>
      </c>
    </row>
    <row r="48">
      <c r="A48" s="5" t="inlineStr">
        <is>
          <t>Port Wentworth Mill</t>
        </is>
      </c>
      <c r="B48" s="5" t="inlineStr">
        <is>
          <t>GA</t>
        </is>
      </c>
      <c r="C48" s="5" t="inlineStr">
        <is>
          <t>Chatham</t>
        </is>
      </c>
      <c r="D48" s="5" t="inlineStr">
        <is>
          <t>Port Wentworth</t>
        </is>
      </c>
      <c r="E48" s="5" t="n">
        <v>32.1561</v>
      </c>
      <c r="F48" s="5" t="n">
        <v>-81.15860000000001</v>
      </c>
      <c r="G48" s="5" t="inlineStr">
        <is>
          <t>WDS</t>
        </is>
      </c>
      <c r="H48" s="5" t="n">
        <v>72.3</v>
      </c>
      <c r="I48" s="5" t="n">
        <v>50804</v>
      </c>
    </row>
    <row r="49">
      <c r="A49" t="inlineStr">
        <is>
          <t>Riverwood International Macon Mill</t>
        </is>
      </c>
      <c r="B49" t="inlineStr">
        <is>
          <t>GA</t>
        </is>
      </c>
      <c r="C49" t="inlineStr">
        <is>
          <t>Bibb</t>
        </is>
      </c>
      <c r="D49" t="inlineStr">
        <is>
          <t>Macon</t>
        </is>
      </c>
      <c r="E49" t="n">
        <v>32.7714</v>
      </c>
      <c r="F49" t="n">
        <v>-83.6281</v>
      </c>
      <c r="G49" t="inlineStr">
        <is>
          <t>WDS</t>
        </is>
      </c>
      <c r="H49" t="n">
        <v>73.7</v>
      </c>
      <c r="I49" t="n">
        <v>54464</v>
      </c>
    </row>
    <row r="50">
      <c r="A50" s="5" t="inlineStr">
        <is>
          <t>Savannah River Mill</t>
        </is>
      </c>
      <c r="B50" s="5" t="inlineStr">
        <is>
          <t>GA</t>
        </is>
      </c>
      <c r="C50" s="5" t="inlineStr">
        <is>
          <t>Effingham</t>
        </is>
      </c>
      <c r="D50" s="5" t="inlineStr">
        <is>
          <t>Rincon</t>
        </is>
      </c>
      <c r="E50" s="5" t="n">
        <v>32.331274</v>
      </c>
      <c r="F50" s="5" t="n">
        <v>-81.20149600000001</v>
      </c>
      <c r="G50" s="5" t="inlineStr">
        <is>
          <t>WDS</t>
        </is>
      </c>
      <c r="H50" s="5" t="n">
        <v>90</v>
      </c>
      <c r="I50" s="5" t="n">
        <v>10361</v>
      </c>
    </row>
    <row r="51">
      <c r="A51" t="inlineStr">
        <is>
          <t>WestRock Southeast, LLC.</t>
        </is>
      </c>
      <c r="B51" t="inlineStr">
        <is>
          <t>GA</t>
        </is>
      </c>
      <c r="C51" t="inlineStr">
        <is>
          <t>Laurens</t>
        </is>
      </c>
      <c r="D51" t="inlineStr">
        <is>
          <t>Dublin</t>
        </is>
      </c>
      <c r="E51" t="n">
        <v>32.5036</v>
      </c>
      <c r="F51" t="n">
        <v>-82.8443</v>
      </c>
      <c r="G51" t="inlineStr">
        <is>
          <t>WDS</t>
        </is>
      </c>
      <c r="H51" t="n">
        <v>45</v>
      </c>
      <c r="I51" t="n">
        <v>54004</v>
      </c>
    </row>
    <row r="52">
      <c r="A52" s="5" t="inlineStr">
        <is>
          <t>Biomass to Energy Facility, Kauai</t>
        </is>
      </c>
      <c r="B52" s="5" t="inlineStr">
        <is>
          <t>HI</t>
        </is>
      </c>
      <c r="C52" s="5" t="inlineStr">
        <is>
          <t>Kauai</t>
        </is>
      </c>
      <c r="D52" s="5" t="inlineStr">
        <is>
          <t>Koloa</t>
        </is>
      </c>
      <c r="E52" s="5" t="n">
        <v>21.965278</v>
      </c>
      <c r="F52" s="5" t="n">
        <v>-159.460556</v>
      </c>
      <c r="G52" s="5" t="inlineStr">
        <is>
          <t>WDS</t>
        </is>
      </c>
      <c r="H52" s="5" t="n">
        <v>9.300000000000001</v>
      </c>
      <c r="I52" s="5" t="n">
        <v>59035</v>
      </c>
    </row>
    <row r="53">
      <c r="A53" t="inlineStr">
        <is>
          <t>Archer Daniels Midland Clinton</t>
        </is>
      </c>
      <c r="B53" t="inlineStr">
        <is>
          <t>IA</t>
        </is>
      </c>
      <c r="C53" t="inlineStr">
        <is>
          <t>Clinton</t>
        </is>
      </c>
      <c r="D53" t="inlineStr">
        <is>
          <t>Clinton</t>
        </is>
      </c>
      <c r="E53" t="n">
        <v>41.8206</v>
      </c>
      <c r="F53" t="n">
        <v>-90.2097</v>
      </c>
      <c r="G53" t="inlineStr">
        <is>
          <t>WDS</t>
        </is>
      </c>
      <c r="H53" t="n">
        <v>180</v>
      </c>
      <c r="I53" t="n">
        <v>10860</v>
      </c>
    </row>
    <row r="54">
      <c r="A54" s="5" t="inlineStr">
        <is>
          <t>University of Iowa Main Power Plant</t>
        </is>
      </c>
      <c r="B54" s="5" t="inlineStr">
        <is>
          <t>IA</t>
        </is>
      </c>
      <c r="C54" s="5" t="inlineStr">
        <is>
          <t>Johnson</t>
        </is>
      </c>
      <c r="D54" s="5" t="inlineStr">
        <is>
          <t>Iowa City</t>
        </is>
      </c>
      <c r="E54" s="5" t="n">
        <v>41.6572</v>
      </c>
      <c r="F54" s="5" t="n">
        <v>-91.54000000000001</v>
      </c>
      <c r="G54" s="5" t="inlineStr">
        <is>
          <t>WDS</t>
        </is>
      </c>
      <c r="H54" s="5" t="n">
        <v>30.8</v>
      </c>
      <c r="I54" s="5" t="n">
        <v>54775</v>
      </c>
    </row>
    <row r="55">
      <c r="A55" t="inlineStr">
        <is>
          <t>Clearwater Paper IPP Lewiston</t>
        </is>
      </c>
      <c r="B55" t="inlineStr">
        <is>
          <t>ID</t>
        </is>
      </c>
      <c r="C55" t="inlineStr">
        <is>
          <t>Nez Perce</t>
        </is>
      </c>
      <c r="D55" t="inlineStr">
        <is>
          <t>Lewiston</t>
        </is>
      </c>
      <c r="E55" t="n">
        <v>46.423056</v>
      </c>
      <c r="F55" t="n">
        <v>-116.976389</v>
      </c>
      <c r="G55" t="inlineStr">
        <is>
          <t>WDS</t>
        </is>
      </c>
      <c r="H55" t="n">
        <v>93.8</v>
      </c>
      <c r="I55" t="n">
        <v>50637</v>
      </c>
    </row>
    <row r="56">
      <c r="A56" s="5" t="inlineStr">
        <is>
          <t>Tamarack Energy</t>
        </is>
      </c>
      <c r="B56" s="5" t="inlineStr">
        <is>
          <t>ID</t>
        </is>
      </c>
      <c r="C56" s="5" t="inlineStr">
        <is>
          <t>Adams</t>
        </is>
      </c>
      <c r="D56" s="5" t="inlineStr">
        <is>
          <t>New Meadows</t>
        </is>
      </c>
      <c r="E56" s="5" t="n">
        <v>44.954853</v>
      </c>
      <c r="F56" s="5" t="n">
        <v>-116.387134</v>
      </c>
      <c r="G56" s="5" t="inlineStr">
        <is>
          <t>WDS</t>
        </is>
      </c>
      <c r="H56" s="5" t="n">
        <v>6.2</v>
      </c>
      <c r="I56" s="5" t="n">
        <v>50099</v>
      </c>
    </row>
    <row r="57">
      <c r="A57" t="inlineStr">
        <is>
          <t>Archer Daniels Midland Decatur</t>
        </is>
      </c>
      <c r="B57" t="inlineStr">
        <is>
          <t>IL</t>
        </is>
      </c>
      <c r="C57" t="inlineStr">
        <is>
          <t>Macon</t>
        </is>
      </c>
      <c r="D57" t="inlineStr">
        <is>
          <t>Decatur</t>
        </is>
      </c>
      <c r="E57" t="n">
        <v>39.870074</v>
      </c>
      <c r="F57" t="n">
        <v>-88.890756</v>
      </c>
      <c r="G57" t="inlineStr">
        <is>
          <t>WDS</t>
        </is>
      </c>
      <c r="H57" t="n">
        <v>335</v>
      </c>
      <c r="I57" t="n">
        <v>10865</v>
      </c>
    </row>
    <row r="58">
      <c r="A58" s="5" t="inlineStr">
        <is>
          <t>Cooper</t>
        </is>
      </c>
      <c r="B58" s="5" t="inlineStr">
        <is>
          <t>KY</t>
        </is>
      </c>
      <c r="C58" s="5" t="inlineStr">
        <is>
          <t>Pulaski</t>
        </is>
      </c>
      <c r="D58" s="5" t="inlineStr">
        <is>
          <t>Somerset</t>
        </is>
      </c>
      <c r="E58" s="5" t="n">
        <v>36.9981</v>
      </c>
      <c r="F58" s="5" t="n">
        <v>-84.5919</v>
      </c>
      <c r="G58" s="5" t="inlineStr">
        <is>
          <t>WDS</t>
        </is>
      </c>
      <c r="H58" s="5" t="n">
        <v>344</v>
      </c>
      <c r="I58" s="5" t="n">
        <v>1384</v>
      </c>
    </row>
    <row r="59">
      <c r="A59" t="inlineStr">
        <is>
          <t>Cox Waste to Energy</t>
        </is>
      </c>
      <c r="B59" t="inlineStr">
        <is>
          <t>KY</t>
        </is>
      </c>
      <c r="C59" t="inlineStr">
        <is>
          <t>Taylor</t>
        </is>
      </c>
      <c r="D59" t="inlineStr">
        <is>
          <t>Campbellsville</t>
        </is>
      </c>
      <c r="E59" t="n">
        <v>37.3208</v>
      </c>
      <c r="F59" t="n">
        <v>-85.36109999999999</v>
      </c>
      <c r="G59" t="inlineStr">
        <is>
          <t>WDS</t>
        </is>
      </c>
      <c r="H59" t="n">
        <v>5</v>
      </c>
      <c r="I59" t="n">
        <v>54850</v>
      </c>
    </row>
    <row r="60">
      <c r="A60" s="5" t="inlineStr">
        <is>
          <t>Kentucky Mills</t>
        </is>
      </c>
      <c r="B60" s="5" t="inlineStr">
        <is>
          <t>KY</t>
        </is>
      </c>
      <c r="C60" s="5" t="inlineStr">
        <is>
          <t>Hancock</t>
        </is>
      </c>
      <c r="D60" s="5" t="inlineStr">
        <is>
          <t>Hawesville</t>
        </is>
      </c>
      <c r="E60" s="5" t="n">
        <v>37.8948</v>
      </c>
      <c r="F60" s="5" t="n">
        <v>-86.6854</v>
      </c>
      <c r="G60" s="5" t="inlineStr">
        <is>
          <t>WDS</t>
        </is>
      </c>
      <c r="H60" s="5" t="n">
        <v>88</v>
      </c>
      <c r="I60" s="5" t="n">
        <v>55429</v>
      </c>
    </row>
    <row r="61">
      <c r="A61" t="inlineStr">
        <is>
          <t>DeRidder Mill</t>
        </is>
      </c>
      <c r="B61" t="inlineStr">
        <is>
          <t>LA</t>
        </is>
      </c>
      <c r="C61" t="inlineStr">
        <is>
          <t>Beauregard</t>
        </is>
      </c>
      <c r="D61" t="inlineStr">
        <is>
          <t>DeRidder</t>
        </is>
      </c>
      <c r="E61" t="n">
        <v>30.8606</v>
      </c>
      <c r="F61" t="n">
        <v>-93.37560000000001</v>
      </c>
      <c r="G61" t="inlineStr">
        <is>
          <t>WDS</t>
        </is>
      </c>
      <c r="H61" t="n">
        <v>61.5</v>
      </c>
      <c r="I61" t="n">
        <v>10488</v>
      </c>
    </row>
    <row r="62">
      <c r="A62" s="5" t="inlineStr">
        <is>
          <t>Gaylord Container Bogalusa</t>
        </is>
      </c>
      <c r="B62" s="5" t="inlineStr">
        <is>
          <t>LA</t>
        </is>
      </c>
      <c r="C62" s="5" t="inlineStr">
        <is>
          <t>Washington</t>
        </is>
      </c>
      <c r="D62" s="5" t="inlineStr">
        <is>
          <t>Bogalusa</t>
        </is>
      </c>
      <c r="E62" s="5" t="n">
        <v>30.7811</v>
      </c>
      <c r="F62" s="5" t="n">
        <v>-89.8575</v>
      </c>
      <c r="G62" s="5" t="inlineStr">
        <is>
          <t>WDS</t>
        </is>
      </c>
      <c r="H62" s="5" t="n">
        <v>99.5</v>
      </c>
      <c r="I62" s="5" t="n">
        <v>54427</v>
      </c>
    </row>
    <row r="63">
      <c r="A63" t="inlineStr">
        <is>
          <t>International Paper Red River Mill</t>
        </is>
      </c>
      <c r="B63" t="inlineStr">
        <is>
          <t>LA</t>
        </is>
      </c>
      <c r="C63" t="inlineStr">
        <is>
          <t>Natchitoches</t>
        </is>
      </c>
      <c r="D63" t="inlineStr">
        <is>
          <t>Campti</t>
        </is>
      </c>
      <c r="E63" t="n">
        <v>31.905833</v>
      </c>
      <c r="F63" t="n">
        <v>-93.1725</v>
      </c>
      <c r="G63" t="inlineStr">
        <is>
          <t>WDS</t>
        </is>
      </c>
      <c r="H63" t="n">
        <v>78.8</v>
      </c>
      <c r="I63" t="n">
        <v>58108</v>
      </c>
    </row>
    <row r="64">
      <c r="A64" s="5" t="inlineStr">
        <is>
          <t>Mansfield Mill</t>
        </is>
      </c>
      <c r="B64" s="5" t="inlineStr">
        <is>
          <t>LA</t>
        </is>
      </c>
      <c r="C64" s="5" t="inlineStr">
        <is>
          <t>DeSoto</t>
        </is>
      </c>
      <c r="D64" s="5" t="inlineStr">
        <is>
          <t>Mansfield</t>
        </is>
      </c>
      <c r="E64" s="5" t="n">
        <v>32.1575</v>
      </c>
      <c r="F64" s="5" t="n">
        <v>-93.5562</v>
      </c>
      <c r="G64" s="5" t="inlineStr">
        <is>
          <t>WDS</t>
        </is>
      </c>
      <c r="H64" s="5" t="n">
        <v>110</v>
      </c>
      <c r="I64" s="5" t="n">
        <v>54091</v>
      </c>
    </row>
    <row r="65">
      <c r="A65" t="inlineStr">
        <is>
          <t>Plant 31 Paper Mill</t>
        </is>
      </c>
      <c r="B65" t="inlineStr">
        <is>
          <t>LA</t>
        </is>
      </c>
      <c r="C65" t="inlineStr">
        <is>
          <t>Ouachita</t>
        </is>
      </c>
      <c r="D65" t="inlineStr">
        <is>
          <t>West Monroe</t>
        </is>
      </c>
      <c r="E65" t="n">
        <v>32.486787</v>
      </c>
      <c r="F65" t="n">
        <v>-92.149597</v>
      </c>
      <c r="G65" t="inlineStr">
        <is>
          <t>WDS</t>
        </is>
      </c>
      <c r="H65" t="n">
        <v>45</v>
      </c>
      <c r="I65" t="n">
        <v>50028</v>
      </c>
    </row>
    <row r="66">
      <c r="A66" s="5" t="inlineStr">
        <is>
          <t>Westrock Hodge (LA)</t>
        </is>
      </c>
      <c r="B66" s="5" t="inlineStr">
        <is>
          <t>LA</t>
        </is>
      </c>
      <c r="C66" s="5" t="inlineStr">
        <is>
          <t>Jackson</t>
        </is>
      </c>
      <c r="D66" s="5" t="inlineStr">
        <is>
          <t>Hodge</t>
        </is>
      </c>
      <c r="E66" s="5" t="n">
        <v>32.2752</v>
      </c>
      <c r="F66" s="5" t="n">
        <v>-92.7277</v>
      </c>
      <c r="G66" s="5" t="inlineStr">
        <is>
          <t>WDS</t>
        </is>
      </c>
      <c r="H66" s="5" t="n">
        <v>66.40000000000001</v>
      </c>
      <c r="I66" s="5" t="n">
        <v>50810</v>
      </c>
    </row>
    <row r="67">
      <c r="A67" t="inlineStr">
        <is>
          <t>NE Renewable Fitchburg, LLC</t>
        </is>
      </c>
      <c r="B67" t="inlineStr">
        <is>
          <t>MA</t>
        </is>
      </c>
      <c r="C67" t="inlineStr">
        <is>
          <t>Worcester</t>
        </is>
      </c>
      <c r="D67" t="inlineStr">
        <is>
          <t>Westminster</t>
        </is>
      </c>
      <c r="E67" t="n">
        <v>42.5428</v>
      </c>
      <c r="F67" t="n">
        <v>-71.8528</v>
      </c>
      <c r="G67" t="inlineStr">
        <is>
          <t>WDS</t>
        </is>
      </c>
      <c r="H67" t="n">
        <v>18</v>
      </c>
      <c r="I67" t="n">
        <v>54620</v>
      </c>
    </row>
    <row r="68">
      <c r="A68" s="5" t="inlineStr">
        <is>
          <t>Eastern Correctional Institute</t>
        </is>
      </c>
      <c r="B68" s="5" t="inlineStr">
        <is>
          <t>MD</t>
        </is>
      </c>
      <c r="C68" s="5" t="inlineStr">
        <is>
          <t>Somerset</t>
        </is>
      </c>
      <c r="D68" s="5" t="inlineStr">
        <is>
          <t>Westover</t>
        </is>
      </c>
      <c r="E68" s="5" t="n">
        <v>38.159</v>
      </c>
      <c r="F68" s="5" t="n">
        <v>-75.70399999999999</v>
      </c>
      <c r="G68" s="5" t="inlineStr">
        <is>
          <t>WDS</t>
        </is>
      </c>
      <c r="H68" s="5" t="n">
        <v>1.9</v>
      </c>
      <c r="I68" s="5" t="n">
        <v>10693</v>
      </c>
    </row>
    <row r="69">
      <c r="A69" t="inlineStr">
        <is>
          <t>Athens Energy</t>
        </is>
      </c>
      <c r="B69" t="inlineStr">
        <is>
          <t>ME</t>
        </is>
      </c>
      <c r="C69" t="inlineStr">
        <is>
          <t>Somerset</t>
        </is>
      </c>
      <c r="D69" t="inlineStr">
        <is>
          <t>Athens</t>
        </is>
      </c>
      <c r="E69" t="n">
        <v>44.945514</v>
      </c>
      <c r="F69" t="n">
        <v>-69.66070499999999</v>
      </c>
      <c r="G69" t="inlineStr">
        <is>
          <t>WDS</t>
        </is>
      </c>
      <c r="H69" t="n">
        <v>8.5</v>
      </c>
      <c r="I69" t="n">
        <v>60457</v>
      </c>
    </row>
    <row r="70">
      <c r="A70" s="5" t="inlineStr">
        <is>
          <t>Eagle Point Energy Center</t>
        </is>
      </c>
      <c r="B70" s="5" t="inlineStr">
        <is>
          <t>ME</t>
        </is>
      </c>
      <c r="C70" s="5" t="inlineStr">
        <is>
          <t>Penobscot</t>
        </is>
      </c>
      <c r="D70" s="5" t="inlineStr">
        <is>
          <t>Orrington</t>
        </is>
      </c>
      <c r="E70" s="5" t="n">
        <v>44.7383</v>
      </c>
      <c r="F70" s="5" t="n">
        <v>-68.8258</v>
      </c>
      <c r="G70" s="5" t="inlineStr">
        <is>
          <t>WDS</t>
        </is>
      </c>
      <c r="H70" s="5" t="n">
        <v>25.3</v>
      </c>
      <c r="I70" s="5" t="n">
        <v>50051</v>
      </c>
    </row>
    <row r="71">
      <c r="A71" t="inlineStr">
        <is>
          <t>Georges River Energy</t>
        </is>
      </c>
      <c r="B71" t="inlineStr">
        <is>
          <t>ME</t>
        </is>
      </c>
      <c r="C71" t="inlineStr">
        <is>
          <t>Waldo</t>
        </is>
      </c>
      <c r="D71" t="inlineStr">
        <is>
          <t>Searsmont</t>
        </is>
      </c>
      <c r="E71" t="n">
        <v>44.3331</v>
      </c>
      <c r="F71" t="n">
        <v>-69.20189999999999</v>
      </c>
      <c r="G71" t="inlineStr">
        <is>
          <t>WDS</t>
        </is>
      </c>
      <c r="H71" t="n">
        <v>10</v>
      </c>
      <c r="I71" t="n">
        <v>64408</v>
      </c>
    </row>
    <row r="72">
      <c r="A72" s="5" t="inlineStr">
        <is>
          <t>Indeck West Enfield Energy Center</t>
        </is>
      </c>
      <c r="B72" s="5" t="inlineStr">
        <is>
          <t>ME</t>
        </is>
      </c>
      <c r="C72" s="5" t="inlineStr">
        <is>
          <t>Penobscot</t>
        </is>
      </c>
      <c r="D72" s="5" t="inlineStr">
        <is>
          <t>West Enfield</t>
        </is>
      </c>
      <c r="E72" s="5" t="n">
        <v>45.2537</v>
      </c>
      <c r="F72" s="5" t="n">
        <v>-68.62792</v>
      </c>
      <c r="G72" s="5" t="inlineStr">
        <is>
          <t>WDS</t>
        </is>
      </c>
      <c r="H72" s="5" t="n">
        <v>27.5</v>
      </c>
      <c r="I72" s="5" t="n">
        <v>10766</v>
      </c>
    </row>
    <row r="73">
      <c r="A73" t="inlineStr">
        <is>
          <t>ReEnergy Livermore Falls</t>
        </is>
      </c>
      <c r="B73" t="inlineStr">
        <is>
          <t>ME</t>
        </is>
      </c>
      <c r="C73" t="inlineStr">
        <is>
          <t>Androscoggin</t>
        </is>
      </c>
      <c r="D73" t="inlineStr">
        <is>
          <t>Livermore Falls</t>
        </is>
      </c>
      <c r="E73" t="n">
        <v>44.431667</v>
      </c>
      <c r="F73" t="n">
        <v>-70.1619</v>
      </c>
      <c r="G73" t="inlineStr">
        <is>
          <t>WDS</t>
        </is>
      </c>
      <c r="H73" t="n">
        <v>39.6</v>
      </c>
      <c r="I73" t="n">
        <v>10354</v>
      </c>
    </row>
    <row r="74">
      <c r="A74" s="5" t="inlineStr">
        <is>
          <t>ReEnergy Stratton LLC</t>
        </is>
      </c>
      <c r="B74" s="5" t="inlineStr">
        <is>
          <t>ME</t>
        </is>
      </c>
      <c r="C74" s="5" t="inlineStr">
        <is>
          <t>Franklin</t>
        </is>
      </c>
      <c r="D74" s="5" t="inlineStr">
        <is>
          <t>Stratton</t>
        </is>
      </c>
      <c r="E74" s="5" t="n">
        <v>45.140614</v>
      </c>
      <c r="F74" s="5" t="n">
        <v>-70.425577</v>
      </c>
      <c r="G74" s="5" t="inlineStr">
        <is>
          <t>WDS</t>
        </is>
      </c>
      <c r="H74" s="5" t="n">
        <v>47</v>
      </c>
      <c r="I74" s="5" t="n">
        <v>50650</v>
      </c>
    </row>
    <row r="75">
      <c r="A75" t="inlineStr">
        <is>
          <t>Rumford Cogeneration</t>
        </is>
      </c>
      <c r="B75" t="inlineStr">
        <is>
          <t>ME</t>
        </is>
      </c>
      <c r="C75" t="inlineStr">
        <is>
          <t>Oxford</t>
        </is>
      </c>
      <c r="D75" t="inlineStr">
        <is>
          <t>Rumford</t>
        </is>
      </c>
      <c r="E75" t="n">
        <v>44.5513</v>
      </c>
      <c r="F75" t="n">
        <v>-70.5414</v>
      </c>
      <c r="G75" t="inlineStr">
        <is>
          <t>WDS</t>
        </is>
      </c>
      <c r="H75" t="n">
        <v>102.6</v>
      </c>
      <c r="I75" t="n">
        <v>10495</v>
      </c>
    </row>
    <row r="76">
      <c r="A76" s="5" t="inlineStr">
        <is>
          <t>Somerset Plant</t>
        </is>
      </c>
      <c r="B76" s="5" t="inlineStr">
        <is>
          <t>ME</t>
        </is>
      </c>
      <c r="C76" s="5" t="inlineStr">
        <is>
          <t>Somerset</t>
        </is>
      </c>
      <c r="D76" s="5" t="inlineStr">
        <is>
          <t>Skowhegan</t>
        </is>
      </c>
      <c r="E76" s="5" t="n">
        <v>44.703467</v>
      </c>
      <c r="F76" s="5" t="n">
        <v>-69.647441</v>
      </c>
      <c r="G76" s="5" t="inlineStr">
        <is>
          <t>WDS</t>
        </is>
      </c>
      <c r="H76" s="5" t="n">
        <v>107.1</v>
      </c>
      <c r="I76" s="5" t="n">
        <v>50406</v>
      </c>
    </row>
    <row r="77">
      <c r="A77" t="inlineStr">
        <is>
          <t>Woodland Pulp, LLC</t>
        </is>
      </c>
      <c r="B77" t="inlineStr">
        <is>
          <t>ME</t>
        </is>
      </c>
      <c r="C77" t="inlineStr">
        <is>
          <t>Washington</t>
        </is>
      </c>
      <c r="D77" t="inlineStr">
        <is>
          <t>Baileyville</t>
        </is>
      </c>
      <c r="E77" t="n">
        <v>45.1554</v>
      </c>
      <c r="F77" t="n">
        <v>-67.4012</v>
      </c>
      <c r="G77" t="inlineStr">
        <is>
          <t>WDS</t>
        </is>
      </c>
      <c r="H77" t="n">
        <v>49.8</v>
      </c>
      <c r="I77" t="n">
        <v>10613</v>
      </c>
    </row>
    <row r="78">
      <c r="A78" s="5" t="inlineStr">
        <is>
          <t>Alpena Cement Plant</t>
        </is>
      </c>
      <c r="B78" s="5" t="inlineStr">
        <is>
          <t>MI</t>
        </is>
      </c>
      <c r="C78" s="5" t="inlineStr">
        <is>
          <t>Alpena</t>
        </is>
      </c>
      <c r="D78" s="5" t="inlineStr">
        <is>
          <t>Alpena</t>
        </is>
      </c>
      <c r="E78" s="5" t="n">
        <v>45.069929</v>
      </c>
      <c r="F78" s="5" t="n">
        <v>-83.408182</v>
      </c>
      <c r="G78" s="5" t="inlineStr">
        <is>
          <t>WDS</t>
        </is>
      </c>
      <c r="H78" s="5" t="n">
        <v>47.2</v>
      </c>
      <c r="I78" s="5" t="n">
        <v>50305</v>
      </c>
    </row>
    <row r="79">
      <c r="A79" t="inlineStr">
        <is>
          <t>Billerud Quinnesec Mill</t>
        </is>
      </c>
      <c r="B79" t="inlineStr">
        <is>
          <t>MI</t>
        </is>
      </c>
      <c r="C79" t="inlineStr">
        <is>
          <t>Dickinson</t>
        </is>
      </c>
      <c r="D79" t="inlineStr">
        <is>
          <t>Norway</t>
        </is>
      </c>
      <c r="E79" t="n">
        <v>45.7956</v>
      </c>
      <c r="F79" t="n">
        <v>-87.9556</v>
      </c>
      <c r="G79" t="inlineStr">
        <is>
          <t>WDS</t>
        </is>
      </c>
      <c r="H79" t="n">
        <v>56</v>
      </c>
      <c r="I79" t="n">
        <v>50251</v>
      </c>
    </row>
    <row r="80">
      <c r="A80" s="5" t="inlineStr">
        <is>
          <t>Cadillac Renewable Energy</t>
        </is>
      </c>
      <c r="B80" s="5" t="inlineStr">
        <is>
          <t>MI</t>
        </is>
      </c>
      <c r="C80" s="5" t="inlineStr">
        <is>
          <t>Wexford</t>
        </is>
      </c>
      <c r="D80" s="5" t="inlineStr">
        <is>
          <t>Cadillac</t>
        </is>
      </c>
      <c r="E80" s="5" t="n">
        <v>44.26169</v>
      </c>
      <c r="F80" s="5" t="n">
        <v>-85.43522400000001</v>
      </c>
      <c r="G80" s="5" t="inlineStr">
        <is>
          <t>WDS</t>
        </is>
      </c>
      <c r="H80" s="5" t="n">
        <v>44</v>
      </c>
      <c r="I80" s="5" t="n">
        <v>54415</v>
      </c>
    </row>
    <row r="81">
      <c r="A81" t="inlineStr">
        <is>
          <t>Central Michigan University</t>
        </is>
      </c>
      <c r="B81" t="inlineStr">
        <is>
          <t>MI</t>
        </is>
      </c>
      <c r="C81" t="inlineStr">
        <is>
          <t>Isabella</t>
        </is>
      </c>
      <c r="D81" t="inlineStr">
        <is>
          <t>Mt. Pleasant</t>
        </is>
      </c>
      <c r="E81" t="n">
        <v>43.590456</v>
      </c>
      <c r="F81" t="n">
        <v>-84.779</v>
      </c>
      <c r="G81" t="inlineStr">
        <is>
          <t>WDS</t>
        </is>
      </c>
      <c r="H81" t="n">
        <v>1</v>
      </c>
      <c r="I81" t="n">
        <v>56190</v>
      </c>
    </row>
    <row r="82">
      <c r="A82" s="5" t="inlineStr">
        <is>
          <t>Escanaba Mill</t>
        </is>
      </c>
      <c r="B82" s="5" t="inlineStr">
        <is>
          <t>MI</t>
        </is>
      </c>
      <c r="C82" s="5" t="inlineStr">
        <is>
          <t>Delta</t>
        </is>
      </c>
      <c r="D82" s="5" t="inlineStr">
        <is>
          <t>Escanaba</t>
        </is>
      </c>
      <c r="E82" s="5" t="n">
        <v>45.8044</v>
      </c>
      <c r="F82" s="5" t="n">
        <v>-87.0891</v>
      </c>
      <c r="G82" s="5" t="inlineStr">
        <is>
          <t>WDS</t>
        </is>
      </c>
      <c r="H82" s="5" t="n">
        <v>122.4</v>
      </c>
      <c r="I82" s="5" t="n">
        <v>10208</v>
      </c>
    </row>
    <row r="83">
      <c r="A83" t="inlineStr">
        <is>
          <t>Genesee Power Station LP</t>
        </is>
      </c>
      <c r="B83" t="inlineStr">
        <is>
          <t>MI</t>
        </is>
      </c>
      <c r="C83" t="inlineStr">
        <is>
          <t>Genesee</t>
        </is>
      </c>
      <c r="D83" t="inlineStr">
        <is>
          <t>Flint</t>
        </is>
      </c>
      <c r="E83" t="n">
        <v>43.08511</v>
      </c>
      <c r="F83" t="n">
        <v>-83.669386</v>
      </c>
      <c r="G83" t="inlineStr">
        <is>
          <t>WDS</t>
        </is>
      </c>
      <c r="H83" t="n">
        <v>39.5</v>
      </c>
      <c r="I83" t="n">
        <v>54751</v>
      </c>
    </row>
    <row r="84">
      <c r="A84" s="5" t="inlineStr">
        <is>
          <t>Grayling Generating Station</t>
        </is>
      </c>
      <c r="B84" s="5" t="inlineStr">
        <is>
          <t>MI</t>
        </is>
      </c>
      <c r="C84" s="5" t="inlineStr">
        <is>
          <t>Crawford</t>
        </is>
      </c>
      <c r="D84" s="5" t="inlineStr">
        <is>
          <t>Grayling</t>
        </is>
      </c>
      <c r="E84" s="5" t="n">
        <v>44.604921</v>
      </c>
      <c r="F84" s="5" t="n">
        <v>-84.690578</v>
      </c>
      <c r="G84" s="5" t="inlineStr">
        <is>
          <t>WDS</t>
        </is>
      </c>
      <c r="H84" s="5" t="n">
        <v>38.6</v>
      </c>
      <c r="I84" s="5" t="n">
        <v>10822</v>
      </c>
    </row>
    <row r="85">
      <c r="A85" t="inlineStr">
        <is>
          <t>John H Warden</t>
        </is>
      </c>
      <c r="B85" t="inlineStr">
        <is>
          <t>MI</t>
        </is>
      </c>
      <c r="C85" t="inlineStr">
        <is>
          <t>Baraga</t>
        </is>
      </c>
      <c r="D85" t="inlineStr">
        <is>
          <t>L'Anse</t>
        </is>
      </c>
      <c r="E85" t="n">
        <v>46.7553</v>
      </c>
      <c r="F85" t="n">
        <v>-88.4558</v>
      </c>
      <c r="G85" t="inlineStr">
        <is>
          <t>WDS</t>
        </is>
      </c>
      <c r="H85" t="n">
        <v>22</v>
      </c>
      <c r="I85" t="n">
        <v>1772</v>
      </c>
    </row>
    <row r="86">
      <c r="A86" s="5" t="inlineStr">
        <is>
          <t>National Energy of McBain</t>
        </is>
      </c>
      <c r="B86" s="5" t="inlineStr">
        <is>
          <t>MI</t>
        </is>
      </c>
      <c r="C86" s="5" t="inlineStr">
        <is>
          <t>Missaukee</t>
        </is>
      </c>
      <c r="D86" s="5" t="inlineStr">
        <is>
          <t>McBain</t>
        </is>
      </c>
      <c r="E86" s="5" t="n">
        <v>44.204</v>
      </c>
      <c r="F86" s="5" t="n">
        <v>-85.2206</v>
      </c>
      <c r="G86" s="5" t="inlineStr">
        <is>
          <t>WDS</t>
        </is>
      </c>
      <c r="H86" s="5" t="n">
        <v>20</v>
      </c>
      <c r="I86" s="5" t="n">
        <v>50770</v>
      </c>
    </row>
    <row r="87">
      <c r="A87" t="inlineStr">
        <is>
          <t>PCA, Filer City Mill</t>
        </is>
      </c>
      <c r="B87" t="inlineStr">
        <is>
          <t>MI</t>
        </is>
      </c>
      <c r="C87" t="inlineStr">
        <is>
          <t>Manistee</t>
        </is>
      </c>
      <c r="D87" t="inlineStr">
        <is>
          <t>Filer City</t>
        </is>
      </c>
      <c r="E87" t="n">
        <v>44.213333</v>
      </c>
      <c r="F87" t="n">
        <v>-86.28666699999999</v>
      </c>
      <c r="G87" t="inlineStr">
        <is>
          <t>WDS</t>
        </is>
      </c>
      <c r="H87" t="n">
        <v>19.5</v>
      </c>
      <c r="I87" t="n">
        <v>58066</v>
      </c>
    </row>
    <row r="88">
      <c r="A88" s="5" t="inlineStr">
        <is>
          <t>TES Filer City Station</t>
        </is>
      </c>
      <c r="B88" s="5" t="inlineStr">
        <is>
          <t>MI</t>
        </is>
      </c>
      <c r="C88" s="5" t="inlineStr">
        <is>
          <t>Manistee</t>
        </is>
      </c>
      <c r="D88" s="5" t="inlineStr">
        <is>
          <t>Filer City</t>
        </is>
      </c>
      <c r="E88" s="5" t="n">
        <v>44.217299</v>
      </c>
      <c r="F88" s="5" t="n">
        <v>-86.28905</v>
      </c>
      <c r="G88" s="5" t="inlineStr">
        <is>
          <t>WDS</t>
        </is>
      </c>
      <c r="H88" s="5" t="n">
        <v>70</v>
      </c>
      <c r="I88" s="5" t="n">
        <v>50835</v>
      </c>
    </row>
    <row r="89">
      <c r="A89" t="inlineStr">
        <is>
          <t>Boise Cascade International Falls</t>
        </is>
      </c>
      <c r="B89" t="inlineStr">
        <is>
          <t>MN</t>
        </is>
      </c>
      <c r="C89" t="inlineStr">
        <is>
          <t>Koochiching</t>
        </is>
      </c>
      <c r="D89" t="inlineStr">
        <is>
          <t>International Falls</t>
        </is>
      </c>
      <c r="E89" t="n">
        <v>48.6067</v>
      </c>
      <c r="F89" t="n">
        <v>-93.4066</v>
      </c>
      <c r="G89" t="inlineStr">
        <is>
          <t>WDS</t>
        </is>
      </c>
      <c r="H89" t="n">
        <v>52.3</v>
      </c>
      <c r="I89" t="n">
        <v>10486</v>
      </c>
    </row>
    <row r="90">
      <c r="A90" s="5" t="inlineStr">
        <is>
          <t>Hibbing</t>
        </is>
      </c>
      <c r="B90" s="5" t="inlineStr">
        <is>
          <t>MN</t>
        </is>
      </c>
      <c r="C90" s="5" t="inlineStr">
        <is>
          <t>St Louis</t>
        </is>
      </c>
      <c r="D90" s="5" t="inlineStr">
        <is>
          <t>Hibbing</t>
        </is>
      </c>
      <c r="E90" s="5" t="n">
        <v>47.4294</v>
      </c>
      <c r="F90" s="5" t="n">
        <v>-92.935</v>
      </c>
      <c r="G90" s="5" t="inlineStr">
        <is>
          <t>WDS</t>
        </is>
      </c>
      <c r="H90" s="5" t="n">
        <v>35.9</v>
      </c>
      <c r="I90" s="5" t="n">
        <v>1979</v>
      </c>
    </row>
    <row r="91">
      <c r="A91" t="inlineStr">
        <is>
          <t>Koda Biomass Plant</t>
        </is>
      </c>
      <c r="B91" t="inlineStr">
        <is>
          <t>MN</t>
        </is>
      </c>
      <c r="C91" t="inlineStr">
        <is>
          <t>Scott</t>
        </is>
      </c>
      <c r="D91" t="inlineStr">
        <is>
          <t>Shakopee</t>
        </is>
      </c>
      <c r="E91" t="n">
        <v>44.7956</v>
      </c>
      <c r="F91" t="n">
        <v>-93.5386</v>
      </c>
      <c r="G91" t="inlineStr">
        <is>
          <t>WDS</t>
        </is>
      </c>
      <c r="H91" t="n">
        <v>23.4</v>
      </c>
      <c r="I91" t="n">
        <v>57119</v>
      </c>
    </row>
    <row r="92">
      <c r="A92" s="5" t="inlineStr">
        <is>
          <t>M L Hibbard</t>
        </is>
      </c>
      <c r="B92" s="5" t="inlineStr">
        <is>
          <t>MN</t>
        </is>
      </c>
      <c r="C92" s="5" t="inlineStr">
        <is>
          <t>St Louis</t>
        </is>
      </c>
      <c r="D92" s="5" t="inlineStr">
        <is>
          <t>Duluth</t>
        </is>
      </c>
      <c r="E92" s="5" t="n">
        <v>46.735331</v>
      </c>
      <c r="F92" s="5" t="n">
        <v>-92.15171100000001</v>
      </c>
      <c r="G92" s="5" t="inlineStr">
        <is>
          <t>WDS</t>
        </is>
      </c>
      <c r="H92" s="5" t="n">
        <v>72.8</v>
      </c>
      <c r="I92" s="5" t="n">
        <v>1897</v>
      </c>
    </row>
    <row r="93">
      <c r="A93" t="inlineStr">
        <is>
          <t>Red Wing</t>
        </is>
      </c>
      <c r="B93" t="inlineStr">
        <is>
          <t>MN</t>
        </is>
      </c>
      <c r="C93" t="inlineStr">
        <is>
          <t>Goodhue</t>
        </is>
      </c>
      <c r="D93" t="inlineStr">
        <is>
          <t>Red Wing</t>
        </is>
      </c>
      <c r="E93" t="n">
        <v>44.5692</v>
      </c>
      <c r="F93" t="n">
        <v>-92.516912</v>
      </c>
      <c r="G93" t="inlineStr">
        <is>
          <t>WDS</t>
        </is>
      </c>
      <c r="H93" t="n">
        <v>23</v>
      </c>
      <c r="I93" t="n">
        <v>1926</v>
      </c>
    </row>
    <row r="94">
      <c r="A94" s="5" t="inlineStr">
        <is>
          <t>Sappi Cloquet Mill</t>
        </is>
      </c>
      <c r="B94" s="5" t="inlineStr">
        <is>
          <t>MN</t>
        </is>
      </c>
      <c r="C94" s="5" t="inlineStr">
        <is>
          <t>Carlton</t>
        </is>
      </c>
      <c r="D94" s="5" t="inlineStr">
        <is>
          <t>Cloquet</t>
        </is>
      </c>
      <c r="E94" s="5" t="n">
        <v>46.7243</v>
      </c>
      <c r="F94" s="5" t="n">
        <v>-92.4298</v>
      </c>
      <c r="G94" s="5" t="inlineStr">
        <is>
          <t>WDS</t>
        </is>
      </c>
      <c r="H94" s="5" t="n">
        <v>60.7</v>
      </c>
      <c r="I94" s="5" t="n">
        <v>50639</v>
      </c>
    </row>
    <row r="95">
      <c r="A95" t="inlineStr">
        <is>
          <t>St Paul Cogeneration</t>
        </is>
      </c>
      <c r="B95" t="inlineStr">
        <is>
          <t>MN</t>
        </is>
      </c>
      <c r="C95" t="inlineStr">
        <is>
          <t>Ramsey</t>
        </is>
      </c>
      <c r="D95" t="inlineStr">
        <is>
          <t>St. Paul</t>
        </is>
      </c>
      <c r="E95" t="n">
        <v>44.942889</v>
      </c>
      <c r="F95" t="n">
        <v>-93.096559</v>
      </c>
      <c r="G95" t="inlineStr">
        <is>
          <t>WDS</t>
        </is>
      </c>
      <c r="H95" t="n">
        <v>37</v>
      </c>
      <c r="I95" t="n">
        <v>56643</v>
      </c>
    </row>
    <row r="96">
      <c r="A96" s="5" t="inlineStr">
        <is>
          <t>MU Combined Heat and Power Plant</t>
        </is>
      </c>
      <c r="B96" s="5" t="inlineStr">
        <is>
          <t>MO</t>
        </is>
      </c>
      <c r="C96" s="5" t="inlineStr">
        <is>
          <t>Boone</t>
        </is>
      </c>
      <c r="D96" s="5" t="inlineStr">
        <is>
          <t>Columbia</t>
        </is>
      </c>
      <c r="E96" s="5" t="n">
        <v>38.9461</v>
      </c>
      <c r="F96" s="5" t="n">
        <v>-92.33280000000001</v>
      </c>
      <c r="G96" s="5" t="inlineStr">
        <is>
          <t>WDS</t>
        </is>
      </c>
      <c r="H96" s="5" t="n">
        <v>0.3</v>
      </c>
      <c r="I96" s="5" t="n">
        <v>50969</v>
      </c>
    </row>
    <row r="97">
      <c r="A97" t="inlineStr">
        <is>
          <t>Columbus MS</t>
        </is>
      </c>
      <c r="B97" t="inlineStr">
        <is>
          <t>MS</t>
        </is>
      </c>
      <c r="C97" t="inlineStr">
        <is>
          <t>Lowndes</t>
        </is>
      </c>
      <c r="D97" t="inlineStr">
        <is>
          <t>Columbus</t>
        </is>
      </c>
      <c r="E97" t="n">
        <v>33.3602</v>
      </c>
      <c r="F97" t="n">
        <v>-88.45999999999999</v>
      </c>
      <c r="G97" t="inlineStr">
        <is>
          <t>WDS</t>
        </is>
      </c>
      <c r="H97" t="n">
        <v>124.6</v>
      </c>
      <c r="I97" t="n">
        <v>50184</v>
      </c>
    </row>
    <row r="98">
      <c r="A98" s="5" t="inlineStr">
        <is>
          <t>Georgia-Pacific Monticello Paper</t>
        </is>
      </c>
      <c r="B98" s="5" t="inlineStr">
        <is>
          <t>MS</t>
        </is>
      </c>
      <c r="C98" s="5" t="inlineStr">
        <is>
          <t>Lawrence</t>
        </is>
      </c>
      <c r="D98" s="5" t="inlineStr">
        <is>
          <t>Monticello</t>
        </is>
      </c>
      <c r="E98" s="5" t="n">
        <v>31.6285</v>
      </c>
      <c r="F98" s="5" t="n">
        <v>-90.0809</v>
      </c>
      <c r="G98" s="5" t="inlineStr">
        <is>
          <t>WDS</t>
        </is>
      </c>
      <c r="H98" s="5" t="n">
        <v>81.5</v>
      </c>
      <c r="I98" s="5" t="n">
        <v>10610</v>
      </c>
    </row>
    <row r="99">
      <c r="A99" t="inlineStr">
        <is>
          <t>Leaf River Cellulose LLC</t>
        </is>
      </c>
      <c r="B99" t="inlineStr">
        <is>
          <t>MS</t>
        </is>
      </c>
      <c r="C99" t="inlineStr">
        <is>
          <t>Perry</t>
        </is>
      </c>
      <c r="D99" t="inlineStr">
        <is>
          <t>New Augusta</t>
        </is>
      </c>
      <c r="E99" t="n">
        <v>31.2434</v>
      </c>
      <c r="F99" t="n">
        <v>-89.04559999999999</v>
      </c>
      <c r="G99" t="inlineStr">
        <is>
          <t>WDS</t>
        </is>
      </c>
      <c r="H99" t="n">
        <v>50.4</v>
      </c>
      <c r="I99" t="n">
        <v>10233</v>
      </c>
    </row>
    <row r="100">
      <c r="A100" s="5" t="inlineStr">
        <is>
          <t>Stoltze CoGen1</t>
        </is>
      </c>
      <c r="B100" s="5" t="inlineStr">
        <is>
          <t>MT</t>
        </is>
      </c>
      <c r="C100" s="5" t="inlineStr">
        <is>
          <t>Flathead</t>
        </is>
      </c>
      <c r="D100" s="5" t="inlineStr">
        <is>
          <t>Columbia Falls</t>
        </is>
      </c>
      <c r="E100" s="5" t="n">
        <v>48.3877</v>
      </c>
      <c r="F100" s="5" t="n">
        <v>-114.2409</v>
      </c>
      <c r="G100" s="5" t="inlineStr">
        <is>
          <t>WDS</t>
        </is>
      </c>
      <c r="H100" s="5" t="n">
        <v>2.8</v>
      </c>
      <c r="I100" s="5" t="n">
        <v>58523</v>
      </c>
    </row>
    <row r="101">
      <c r="A101" t="inlineStr">
        <is>
          <t>Craven County Wood Energy LP</t>
        </is>
      </c>
      <c r="B101" t="inlineStr">
        <is>
          <t>NC</t>
        </is>
      </c>
      <c r="C101" t="inlineStr">
        <is>
          <t>Craven</t>
        </is>
      </c>
      <c r="D101" t="inlineStr">
        <is>
          <t>New Bern</t>
        </is>
      </c>
      <c r="E101" t="n">
        <v>35.130193</v>
      </c>
      <c r="F101" t="n">
        <v>-77.167883</v>
      </c>
      <c r="G101" t="inlineStr">
        <is>
          <t>WDS</t>
        </is>
      </c>
      <c r="H101" t="n">
        <v>50</v>
      </c>
      <c r="I101" t="n">
        <v>10525</v>
      </c>
    </row>
    <row r="102">
      <c r="A102" s="5" t="inlineStr">
        <is>
          <t>Domtar Paper Co LLC Plymouth NC</t>
        </is>
      </c>
      <c r="B102" s="5" t="inlineStr">
        <is>
          <t>NC</t>
        </is>
      </c>
      <c r="C102" s="5" t="inlineStr">
        <is>
          <t>Martin</t>
        </is>
      </c>
      <c r="D102" s="5" t="inlineStr">
        <is>
          <t>Plymouth</t>
        </is>
      </c>
      <c r="E102" s="5" t="n">
        <v>35.8628</v>
      </c>
      <c r="F102" s="5" t="n">
        <v>-76.7831</v>
      </c>
      <c r="G102" s="5" t="inlineStr">
        <is>
          <t>WDS</t>
        </is>
      </c>
      <c r="H102" s="5" t="n">
        <v>114</v>
      </c>
      <c r="I102" s="5" t="n">
        <v>50189</v>
      </c>
    </row>
    <row r="103">
      <c r="A103" t="inlineStr">
        <is>
          <t>Ingredion Winston Salem</t>
        </is>
      </c>
      <c r="B103" t="inlineStr">
        <is>
          <t>NC</t>
        </is>
      </c>
      <c r="C103" t="inlineStr">
        <is>
          <t>Forsyth</t>
        </is>
      </c>
      <c r="D103" t="inlineStr">
        <is>
          <t>Winston-Salem</t>
        </is>
      </c>
      <c r="E103" t="n">
        <v>36.033761</v>
      </c>
      <c r="F103" t="n">
        <v>-80.22740400000001</v>
      </c>
      <c r="G103" t="inlineStr">
        <is>
          <t>WDS</t>
        </is>
      </c>
      <c r="H103" t="n">
        <v>8.4</v>
      </c>
      <c r="I103" t="n">
        <v>54618</v>
      </c>
    </row>
    <row r="104">
      <c r="A104" s="5" t="inlineStr">
        <is>
          <t>International Paper Riegelwood Mill</t>
        </is>
      </c>
      <c r="B104" s="5" t="inlineStr">
        <is>
          <t>NC</t>
        </is>
      </c>
      <c r="C104" s="5" t="inlineStr">
        <is>
          <t>Columbus</t>
        </is>
      </c>
      <c r="D104" s="5" t="inlineStr">
        <is>
          <t>Riegelwood</t>
        </is>
      </c>
      <c r="E104" s="5" t="n">
        <v>34.3533</v>
      </c>
      <c r="F104" s="5" t="n">
        <v>-78.2137</v>
      </c>
      <c r="G104" s="5" t="inlineStr">
        <is>
          <t>WDS</t>
        </is>
      </c>
      <c r="H104" s="5" t="n">
        <v>84</v>
      </c>
      <c r="I104" s="5" t="n">
        <v>54656</v>
      </c>
    </row>
    <row r="105">
      <c r="A105" t="inlineStr">
        <is>
          <t>KapStone Kraft Paper Corp</t>
        </is>
      </c>
      <c r="B105" t="inlineStr">
        <is>
          <t>NC</t>
        </is>
      </c>
      <c r="C105" t="inlineStr">
        <is>
          <t>Halifax</t>
        </is>
      </c>
      <c r="D105" t="inlineStr">
        <is>
          <t>Roanoke Rapids</t>
        </is>
      </c>
      <c r="E105" t="n">
        <v>36.4769</v>
      </c>
      <c r="F105" t="n">
        <v>-77.6414</v>
      </c>
      <c r="G105" t="inlineStr">
        <is>
          <t>WDS</t>
        </is>
      </c>
      <c r="H105" t="n">
        <v>28.3</v>
      </c>
      <c r="I105" t="n">
        <v>50254</v>
      </c>
    </row>
    <row r="106">
      <c r="A106" s="5" t="inlineStr">
        <is>
          <t>Lumberton</t>
        </is>
      </c>
      <c r="B106" s="5" t="inlineStr">
        <is>
          <t>NC</t>
        </is>
      </c>
      <c r="C106" s="5" t="inlineStr">
        <is>
          <t>Robeson</t>
        </is>
      </c>
      <c r="D106" s="5" t="inlineStr">
        <is>
          <t>Lumberton</t>
        </is>
      </c>
      <c r="E106" s="5" t="n">
        <v>34.59</v>
      </c>
      <c r="F106" s="5" t="n">
        <v>-78.99679999999999</v>
      </c>
      <c r="G106" s="5" t="inlineStr">
        <is>
          <t>WDS</t>
        </is>
      </c>
      <c r="H106" s="5" t="n">
        <v>34.7</v>
      </c>
      <c r="I106" s="5" t="n">
        <v>10382</v>
      </c>
    </row>
    <row r="107">
      <c r="A107" t="inlineStr">
        <is>
          <t>Archer Daniels Midland Columbus</t>
        </is>
      </c>
      <c r="B107" t="inlineStr">
        <is>
          <t>NE</t>
        </is>
      </c>
      <c r="C107" t="inlineStr">
        <is>
          <t>Platte</t>
        </is>
      </c>
      <c r="D107" t="inlineStr">
        <is>
          <t>Columbus</t>
        </is>
      </c>
      <c r="E107" t="n">
        <v>41.416442</v>
      </c>
      <c r="F107" t="n">
        <v>-97.286328</v>
      </c>
      <c r="G107" t="inlineStr">
        <is>
          <t>WDS</t>
        </is>
      </c>
      <c r="H107" t="n">
        <v>71.40000000000001</v>
      </c>
      <c r="I107" t="n">
        <v>57046</v>
      </c>
    </row>
    <row r="108">
      <c r="A108" s="5" t="inlineStr">
        <is>
          <t>Bridgewater Power LP</t>
        </is>
      </c>
      <c r="B108" s="5" t="inlineStr">
        <is>
          <t>NH</t>
        </is>
      </c>
      <c r="C108" s="5" t="inlineStr">
        <is>
          <t>Grafton</t>
        </is>
      </c>
      <c r="D108" s="5" t="inlineStr">
        <is>
          <t>Bridgewater</t>
        </is>
      </c>
      <c r="E108" s="5" t="n">
        <v>43.7155</v>
      </c>
      <c r="F108" s="5" t="n">
        <v>-71.6585</v>
      </c>
      <c r="G108" s="5" t="inlineStr">
        <is>
          <t>WDS</t>
        </is>
      </c>
      <c r="H108" s="5" t="n">
        <v>20</v>
      </c>
      <c r="I108" s="5" t="n">
        <v>10290</v>
      </c>
    </row>
    <row r="109">
      <c r="A109" t="inlineStr">
        <is>
          <t>Burgess BioPower</t>
        </is>
      </c>
      <c r="B109" t="inlineStr">
        <is>
          <t>NH</t>
        </is>
      </c>
      <c r="C109" t="inlineStr">
        <is>
          <t>Coos</t>
        </is>
      </c>
      <c r="D109" t="inlineStr">
        <is>
          <t>Berlin</t>
        </is>
      </c>
      <c r="E109" t="n">
        <v>44.471944</v>
      </c>
      <c r="F109" t="n">
        <v>-71.17527800000001</v>
      </c>
      <c r="G109" t="inlineStr">
        <is>
          <t>WDS</t>
        </is>
      </c>
      <c r="H109" t="n">
        <v>75</v>
      </c>
      <c r="I109" t="n">
        <v>58054</v>
      </c>
    </row>
    <row r="110">
      <c r="A110" s="5" t="inlineStr">
        <is>
          <t>NE Renewable Bethlehem, LLC</t>
        </is>
      </c>
      <c r="B110" s="5" t="inlineStr">
        <is>
          <t>NH</t>
        </is>
      </c>
      <c r="C110" s="5" t="inlineStr">
        <is>
          <t>GRAFTON</t>
        </is>
      </c>
      <c r="D110" s="5" t="inlineStr">
        <is>
          <t>Bethlehem</t>
        </is>
      </c>
      <c r="E110" s="5" t="n">
        <v>44.3274</v>
      </c>
      <c r="F110" s="5" t="n">
        <v>-71.68000000000001</v>
      </c>
      <c r="G110" s="5" t="inlineStr">
        <is>
          <t>WDS</t>
        </is>
      </c>
      <c r="H110" s="5" t="n">
        <v>17.5</v>
      </c>
      <c r="I110" s="5" t="n">
        <v>50208</v>
      </c>
    </row>
    <row r="111">
      <c r="A111" t="inlineStr">
        <is>
          <t>NE Renewable Springfield, LLC</t>
        </is>
      </c>
      <c r="B111" t="inlineStr">
        <is>
          <t>NH</t>
        </is>
      </c>
      <c r="C111" t="inlineStr">
        <is>
          <t>Sullivan</t>
        </is>
      </c>
      <c r="D111" t="inlineStr">
        <is>
          <t>Springfield</t>
        </is>
      </c>
      <c r="E111" t="n">
        <v>43.442871</v>
      </c>
      <c r="F111" t="n">
        <v>-72.056</v>
      </c>
      <c r="G111" t="inlineStr">
        <is>
          <t>WDS</t>
        </is>
      </c>
      <c r="H111" t="n">
        <v>20</v>
      </c>
      <c r="I111" t="n">
        <v>10838</v>
      </c>
    </row>
    <row r="112">
      <c r="A112" s="5" t="inlineStr">
        <is>
          <t>NE Renewable Tamworth, LLC</t>
        </is>
      </c>
      <c r="B112" s="5" t="inlineStr">
        <is>
          <t>NH</t>
        </is>
      </c>
      <c r="C112" s="5" t="inlineStr">
        <is>
          <t>Carroll</t>
        </is>
      </c>
      <c r="D112" s="5" t="inlineStr">
        <is>
          <t>Tamworth</t>
        </is>
      </c>
      <c r="E112" s="5" t="n">
        <v>43.835833</v>
      </c>
      <c r="F112" s="5" t="n">
        <v>-71.19670000000001</v>
      </c>
      <c r="G112" s="5" t="inlineStr">
        <is>
          <t>WDS</t>
        </is>
      </c>
      <c r="H112" s="5" t="n">
        <v>25</v>
      </c>
      <c r="I112" s="5" t="n">
        <v>50739</v>
      </c>
    </row>
    <row r="113">
      <c r="A113" t="inlineStr">
        <is>
          <t>NE Renewable Whitefield, LLC</t>
        </is>
      </c>
      <c r="B113" t="inlineStr">
        <is>
          <t>NH</t>
        </is>
      </c>
      <c r="C113" t="inlineStr">
        <is>
          <t>Coos</t>
        </is>
      </c>
      <c r="D113" t="inlineStr">
        <is>
          <t>Whitefield</t>
        </is>
      </c>
      <c r="E113" t="n">
        <v>44.358047</v>
      </c>
      <c r="F113" t="n">
        <v>-71.5449</v>
      </c>
      <c r="G113" t="inlineStr">
        <is>
          <t>WDS</t>
        </is>
      </c>
      <c r="H113" t="n">
        <v>19.9</v>
      </c>
      <c r="I113" t="n">
        <v>10839</v>
      </c>
    </row>
    <row r="114">
      <c r="A114" s="5" t="inlineStr">
        <is>
          <t>Covanta Hempstead</t>
        </is>
      </c>
      <c r="B114" s="5" t="inlineStr">
        <is>
          <t>NY</t>
        </is>
      </c>
      <c r="C114" s="5" t="inlineStr">
        <is>
          <t>Nassau</t>
        </is>
      </c>
      <c r="D114" s="5" t="inlineStr">
        <is>
          <t>Westbury</t>
        </is>
      </c>
      <c r="E114" s="5" t="n">
        <v>40.7389</v>
      </c>
      <c r="F114" s="5" t="n">
        <v>-73.59059999999999</v>
      </c>
      <c r="G114" s="5" t="inlineStr">
        <is>
          <t>WDS</t>
        </is>
      </c>
      <c r="H114" s="5" t="n">
        <v>78.59999999999999</v>
      </c>
      <c r="I114" s="5" t="n">
        <v>10642</v>
      </c>
    </row>
    <row r="115">
      <c r="A115" t="inlineStr">
        <is>
          <t>Finch Paper</t>
        </is>
      </c>
      <c r="B115" t="inlineStr">
        <is>
          <t>NY</t>
        </is>
      </c>
      <c r="C115" t="inlineStr">
        <is>
          <t>Warren</t>
        </is>
      </c>
      <c r="D115" t="inlineStr">
        <is>
          <t>Glen Falls</t>
        </is>
      </c>
      <c r="E115" t="n">
        <v>43.3084</v>
      </c>
      <c r="F115" t="n">
        <v>-73.63760000000001</v>
      </c>
      <c r="G115" t="inlineStr">
        <is>
          <t>WDL, WDS</t>
        </is>
      </c>
      <c r="H115" t="n">
        <v>29</v>
      </c>
      <c r="I115" t="n">
        <v>10511</v>
      </c>
    </row>
    <row r="116">
      <c r="A116" s="5" t="inlineStr">
        <is>
          <t>Greenidge Generation LLC</t>
        </is>
      </c>
      <c r="B116" s="5" t="inlineStr">
        <is>
          <t>NY</t>
        </is>
      </c>
      <c r="C116" s="5" t="inlineStr">
        <is>
          <t>Yates</t>
        </is>
      </c>
      <c r="D116" s="5" t="inlineStr">
        <is>
          <t>Dresden</t>
        </is>
      </c>
      <c r="E116" s="5" t="n">
        <v>42.6789</v>
      </c>
      <c r="F116" s="5" t="n">
        <v>-76.9483</v>
      </c>
      <c r="G116" s="5" t="inlineStr">
        <is>
          <t>WDS</t>
        </is>
      </c>
      <c r="H116" s="5" t="n">
        <v>112</v>
      </c>
      <c r="I116" s="5" t="n">
        <v>2527</v>
      </c>
    </row>
    <row r="117">
      <c r="A117" t="inlineStr">
        <is>
          <t>Ticonderoga Mill</t>
        </is>
      </c>
      <c r="B117" t="inlineStr">
        <is>
          <t>NY</t>
        </is>
      </c>
      <c r="C117" t="inlineStr">
        <is>
          <t>Essex</t>
        </is>
      </c>
      <c r="D117" t="inlineStr">
        <is>
          <t>Ticonderoga</t>
        </is>
      </c>
      <c r="E117" t="n">
        <v>43.891437</v>
      </c>
      <c r="F117" t="n">
        <v>-73.396998</v>
      </c>
      <c r="G117" t="inlineStr">
        <is>
          <t>WDS</t>
        </is>
      </c>
      <c r="H117" t="n">
        <v>42.1</v>
      </c>
      <c r="I117" t="n">
        <v>54099</v>
      </c>
    </row>
    <row r="118">
      <c r="A118" s="5" t="inlineStr">
        <is>
          <t>Pixelle Specialty Solutions LLC - Chilli</t>
        </is>
      </c>
      <c r="B118" s="5" t="inlineStr">
        <is>
          <t>OH</t>
        </is>
      </c>
      <c r="C118" s="5" t="inlineStr">
        <is>
          <t>Ross</t>
        </is>
      </c>
      <c r="D118" s="5" t="inlineStr">
        <is>
          <t>Chillicothe</t>
        </is>
      </c>
      <c r="E118" s="5" t="n">
        <v>39.324611</v>
      </c>
      <c r="F118" s="5" t="n">
        <v>-82.974039</v>
      </c>
      <c r="G118" s="5" t="inlineStr">
        <is>
          <t>WDS</t>
        </is>
      </c>
      <c r="H118" s="5" t="n">
        <v>82.2</v>
      </c>
      <c r="I118" s="5" t="n">
        <v>10244</v>
      </c>
    </row>
    <row r="119">
      <c r="A119" t="inlineStr">
        <is>
          <t>Sauder Power Plant</t>
        </is>
      </c>
      <c r="B119" t="inlineStr">
        <is>
          <t>OH</t>
        </is>
      </c>
      <c r="C119" t="inlineStr">
        <is>
          <t>Fulton</t>
        </is>
      </c>
      <c r="D119" t="inlineStr">
        <is>
          <t>Archbold</t>
        </is>
      </c>
      <c r="E119" t="n">
        <v>41.515211</v>
      </c>
      <c r="F119" t="n">
        <v>-84.293549</v>
      </c>
      <c r="G119" t="inlineStr">
        <is>
          <t>WDS</t>
        </is>
      </c>
      <c r="H119" t="n">
        <v>7.2</v>
      </c>
      <c r="I119" t="n">
        <v>54974</v>
      </c>
    </row>
    <row r="120">
      <c r="A120" s="5" t="inlineStr">
        <is>
          <t>International Paper Valliant OK</t>
        </is>
      </c>
      <c r="B120" s="5" t="inlineStr">
        <is>
          <t>OK</t>
        </is>
      </c>
      <c r="C120" s="5" t="inlineStr">
        <is>
          <t>McCurtain</t>
        </is>
      </c>
      <c r="D120" s="5" t="inlineStr">
        <is>
          <t>Valliant</t>
        </is>
      </c>
      <c r="E120" s="5" t="n">
        <v>33.9961</v>
      </c>
      <c r="F120" s="5" t="n">
        <v>-95.1114</v>
      </c>
      <c r="G120" s="5" t="inlineStr">
        <is>
          <t>WDS</t>
        </is>
      </c>
      <c r="H120" s="5" t="n">
        <v>68</v>
      </c>
      <c r="I120" s="5" t="n">
        <v>50192</v>
      </c>
    </row>
    <row r="121">
      <c r="A121" t="inlineStr">
        <is>
          <t>Biomass One LP</t>
        </is>
      </c>
      <c r="B121" t="inlineStr">
        <is>
          <t>OR</t>
        </is>
      </c>
      <c r="C121" t="inlineStr">
        <is>
          <t>Jackson</t>
        </is>
      </c>
      <c r="D121" t="inlineStr">
        <is>
          <t>White City</t>
        </is>
      </c>
      <c r="E121" t="n">
        <v>42.436111</v>
      </c>
      <c r="F121" t="n">
        <v>-122.849958</v>
      </c>
      <c r="G121" t="inlineStr">
        <is>
          <t>WDS</t>
        </is>
      </c>
      <c r="H121" t="n">
        <v>30</v>
      </c>
      <c r="I121" t="n">
        <v>10869</v>
      </c>
    </row>
    <row r="122">
      <c r="A122" s="5" t="inlineStr">
        <is>
          <t>Dillard Complex</t>
        </is>
      </c>
      <c r="B122" s="5" t="inlineStr">
        <is>
          <t>OR</t>
        </is>
      </c>
      <c r="C122" s="5" t="inlineStr">
        <is>
          <t>Douglas</t>
        </is>
      </c>
      <c r="D122" s="5" t="inlineStr">
        <is>
          <t>Dillard</t>
        </is>
      </c>
      <c r="E122" s="5" t="n">
        <v>43.0895</v>
      </c>
      <c r="F122" s="5" t="n">
        <v>-123.4156</v>
      </c>
      <c r="G122" s="5" t="inlineStr">
        <is>
          <t>WDS</t>
        </is>
      </c>
      <c r="H122" s="5" t="n">
        <v>40</v>
      </c>
      <c r="I122" s="5" t="n">
        <v>50396</v>
      </c>
    </row>
    <row r="123">
      <c r="A123" t="inlineStr">
        <is>
          <t>Douglas County Forest Products</t>
        </is>
      </c>
      <c r="B123" t="inlineStr">
        <is>
          <t>OR</t>
        </is>
      </c>
      <c r="C123" t="inlineStr">
        <is>
          <t>Douglas</t>
        </is>
      </c>
      <c r="D123" t="inlineStr">
        <is>
          <t>Roseburg</t>
        </is>
      </c>
      <c r="E123" t="n">
        <v>43.2898</v>
      </c>
      <c r="F123" t="n">
        <v>-123.361638</v>
      </c>
      <c r="G123" t="inlineStr">
        <is>
          <t>WDS</t>
        </is>
      </c>
      <c r="H123" t="n">
        <v>6.3</v>
      </c>
      <c r="I123" t="n">
        <v>61761</v>
      </c>
    </row>
    <row r="124">
      <c r="A124" s="5" t="inlineStr">
        <is>
          <t>Evergreen BioPower LLC</t>
        </is>
      </c>
      <c r="B124" s="5" t="inlineStr">
        <is>
          <t>OR</t>
        </is>
      </c>
      <c r="C124" s="5" t="inlineStr">
        <is>
          <t>Linn</t>
        </is>
      </c>
      <c r="D124" s="5" t="inlineStr">
        <is>
          <t>Lyons</t>
        </is>
      </c>
      <c r="E124" s="5" t="n">
        <v>44.770792</v>
      </c>
      <c r="F124" s="5" t="n">
        <v>-122.611974</v>
      </c>
      <c r="G124" s="5" t="inlineStr">
        <is>
          <t>WDS</t>
        </is>
      </c>
      <c r="H124" s="5" t="n">
        <v>21</v>
      </c>
      <c r="I124" s="5" t="n">
        <v>56781</v>
      </c>
    </row>
    <row r="125">
      <c r="A125" t="inlineStr">
        <is>
          <t>Seneca Sustainable Energy LLC</t>
        </is>
      </c>
      <c r="B125" t="inlineStr">
        <is>
          <t>OR</t>
        </is>
      </c>
      <c r="C125" t="inlineStr">
        <is>
          <t>Lane</t>
        </is>
      </c>
      <c r="D125" t="inlineStr">
        <is>
          <t>Eugene</t>
        </is>
      </c>
      <c r="E125" t="n">
        <v>44.116306</v>
      </c>
      <c r="F125" t="n">
        <v>-123.179007</v>
      </c>
      <c r="G125" t="inlineStr">
        <is>
          <t>WDS</t>
        </is>
      </c>
      <c r="H125" t="n">
        <v>19.8</v>
      </c>
      <c r="I125" t="n">
        <v>57457</v>
      </c>
    </row>
    <row r="126">
      <c r="A126" s="5" t="inlineStr">
        <is>
          <t>Northampton Generating Company LP</t>
        </is>
      </c>
      <c r="B126" s="5" t="inlineStr">
        <is>
          <t>PA</t>
        </is>
      </c>
      <c r="C126" s="5" t="inlineStr">
        <is>
          <t>Northampton</t>
        </is>
      </c>
      <c r="D126" s="5" t="inlineStr">
        <is>
          <t>Northampton</t>
        </is>
      </c>
      <c r="E126" s="5" t="n">
        <v>40.6917</v>
      </c>
      <c r="F126" s="5" t="n">
        <v>-75.47920000000001</v>
      </c>
      <c r="G126" s="5" t="inlineStr">
        <is>
          <t>WDS</t>
        </is>
      </c>
      <c r="H126" s="5" t="n">
        <v>134.1</v>
      </c>
      <c r="I126" s="5" t="n">
        <v>50888</v>
      </c>
    </row>
    <row r="127">
      <c r="A127" t="inlineStr">
        <is>
          <t>Pixelle Specialty Solutions LLC - Spring</t>
        </is>
      </c>
      <c r="B127" t="inlineStr">
        <is>
          <t>PA</t>
        </is>
      </c>
      <c r="C127" t="inlineStr">
        <is>
          <t>York</t>
        </is>
      </c>
      <c r="D127" t="inlineStr">
        <is>
          <t>Spring Grove</t>
        </is>
      </c>
      <c r="E127" t="n">
        <v>39.870935</v>
      </c>
      <c r="F127" t="n">
        <v>-76.868117</v>
      </c>
      <c r="G127" t="inlineStr">
        <is>
          <t>WDS</t>
        </is>
      </c>
      <c r="H127" t="n">
        <v>103.6</v>
      </c>
      <c r="I127" t="n">
        <v>50397</v>
      </c>
    </row>
    <row r="128">
      <c r="A128" s="5" t="inlineStr">
        <is>
          <t>Scrubgrass Reclamation CO. LP.</t>
        </is>
      </c>
      <c r="B128" s="5" t="inlineStr">
        <is>
          <t>PA</t>
        </is>
      </c>
      <c r="C128" s="5" t="inlineStr">
        <is>
          <t>Venango</t>
        </is>
      </c>
      <c r="D128" s="5" t="inlineStr">
        <is>
          <t>Kennerdell</t>
        </is>
      </c>
      <c r="E128" s="5" t="n">
        <v>41.2691</v>
      </c>
      <c r="F128" s="5" t="n">
        <v>-79.8134</v>
      </c>
      <c r="G128" s="5" t="inlineStr">
        <is>
          <t>WDS</t>
        </is>
      </c>
      <c r="H128" s="5" t="n">
        <v>94.7</v>
      </c>
      <c r="I128" s="5" t="n">
        <v>50974</v>
      </c>
    </row>
    <row r="129">
      <c r="A129" t="inlineStr">
        <is>
          <t>Allendale Biomass</t>
        </is>
      </c>
      <c r="B129" t="inlineStr">
        <is>
          <t>SC</t>
        </is>
      </c>
      <c r="C129" t="inlineStr">
        <is>
          <t>Allendale</t>
        </is>
      </c>
      <c r="D129" t="inlineStr">
        <is>
          <t>Fairfax</t>
        </is>
      </c>
      <c r="E129" t="n">
        <v>32.995</v>
      </c>
      <c r="F129" t="n">
        <v>-81.281944</v>
      </c>
      <c r="G129" t="inlineStr">
        <is>
          <t>WDS</t>
        </is>
      </c>
      <c r="H129" t="n">
        <v>22.5</v>
      </c>
      <c r="I129" t="n">
        <v>58706</v>
      </c>
    </row>
    <row r="130">
      <c r="A130" s="5" t="inlineStr">
        <is>
          <t>Dorchester Biomass</t>
        </is>
      </c>
      <c r="B130" s="5" t="inlineStr">
        <is>
          <t>SC</t>
        </is>
      </c>
      <c r="C130" s="5" t="inlineStr">
        <is>
          <t>Dorchester</t>
        </is>
      </c>
      <c r="D130" s="5" t="inlineStr">
        <is>
          <t>Harleyville</t>
        </is>
      </c>
      <c r="E130" s="5" t="n">
        <v>33.238611</v>
      </c>
      <c r="F130" s="5" t="n">
        <v>-80.450278</v>
      </c>
      <c r="G130" s="5" t="inlineStr">
        <is>
          <t>WDS</t>
        </is>
      </c>
      <c r="H130" s="5" t="n">
        <v>22.5</v>
      </c>
      <c r="I130" s="5" t="n">
        <v>58707</v>
      </c>
    </row>
    <row r="131">
      <c r="A131" t="inlineStr">
        <is>
          <t>Florence Mill</t>
        </is>
      </c>
      <c r="B131" t="inlineStr">
        <is>
          <t>SC</t>
        </is>
      </c>
      <c r="C131" t="inlineStr">
        <is>
          <t>Florence</t>
        </is>
      </c>
      <c r="D131" t="inlineStr">
        <is>
          <t>Florence</t>
        </is>
      </c>
      <c r="E131" t="n">
        <v>34.1497</v>
      </c>
      <c r="F131" t="n">
        <v>-79.56059999999999</v>
      </c>
      <c r="G131" t="inlineStr">
        <is>
          <t>WDS</t>
        </is>
      </c>
      <c r="H131" t="n">
        <v>103.8</v>
      </c>
      <c r="I131" t="n">
        <v>50806</v>
      </c>
    </row>
    <row r="132">
      <c r="A132" s="5" t="inlineStr">
        <is>
          <t>International Paper Georgetown Mill</t>
        </is>
      </c>
      <c r="B132" s="5" t="inlineStr">
        <is>
          <t>SC</t>
        </is>
      </c>
      <c r="C132" s="5" t="inlineStr">
        <is>
          <t>Georgetown</t>
        </is>
      </c>
      <c r="D132" s="5" t="inlineStr">
        <is>
          <t>Georgetown</t>
        </is>
      </c>
      <c r="E132" s="5" t="n">
        <v>33.360185</v>
      </c>
      <c r="F132" s="5" t="n">
        <v>-79.302573</v>
      </c>
      <c r="G132" s="5" t="inlineStr">
        <is>
          <t>WDS</t>
        </is>
      </c>
      <c r="H132" s="5" t="n">
        <v>70</v>
      </c>
      <c r="I132" s="5" t="n">
        <v>54087</v>
      </c>
    </row>
    <row r="133">
      <c r="A133" t="inlineStr">
        <is>
          <t>Marlboro Mill</t>
        </is>
      </c>
      <c r="B133" t="inlineStr">
        <is>
          <t>SC</t>
        </is>
      </c>
      <c r="C133" t="inlineStr">
        <is>
          <t>Marlboro</t>
        </is>
      </c>
      <c r="D133" t="inlineStr">
        <is>
          <t>Bennettsville</t>
        </is>
      </c>
      <c r="E133" t="n">
        <v>34.605</v>
      </c>
      <c r="F133" t="n">
        <v>-79.785</v>
      </c>
      <c r="G133" t="inlineStr">
        <is>
          <t>WDS</t>
        </is>
      </c>
      <c r="H133" t="n">
        <v>51.4</v>
      </c>
      <c r="I133" t="n">
        <v>57470</v>
      </c>
    </row>
    <row r="134">
      <c r="A134" s="5" t="inlineStr">
        <is>
          <t>Savannah River Site Biomass Cogen</t>
        </is>
      </c>
      <c r="B134" s="5" t="inlineStr">
        <is>
          <t>SC</t>
        </is>
      </c>
      <c r="C134" s="5" t="inlineStr">
        <is>
          <t>Aiken</t>
        </is>
      </c>
      <c r="D134" s="5" t="inlineStr">
        <is>
          <t>Aiken</t>
        </is>
      </c>
      <c r="E134" s="5" t="n">
        <v>33.283333</v>
      </c>
      <c r="F134" s="5" t="n">
        <v>-81.66666600000001</v>
      </c>
      <c r="G134" s="5" t="inlineStr">
        <is>
          <t>WDS</t>
        </is>
      </c>
      <c r="H134" s="5" t="n">
        <v>20.8</v>
      </c>
      <c r="I134" s="5" t="n">
        <v>57138</v>
      </c>
    </row>
    <row r="135">
      <c r="A135" t="inlineStr">
        <is>
          <t>Sonoco Products Co</t>
        </is>
      </c>
      <c r="B135" t="inlineStr">
        <is>
          <t>SC</t>
        </is>
      </c>
      <c r="C135" t="inlineStr">
        <is>
          <t>Darlington</t>
        </is>
      </c>
      <c r="D135" t="inlineStr">
        <is>
          <t>Hartsville</t>
        </is>
      </c>
      <c r="E135" t="n">
        <v>34.385278</v>
      </c>
      <c r="F135" t="n">
        <v>-80.067778</v>
      </c>
      <c r="G135" t="inlineStr">
        <is>
          <t>WDS</t>
        </is>
      </c>
      <c r="H135" t="n">
        <v>38</v>
      </c>
      <c r="I135" t="n">
        <v>57919</v>
      </c>
    </row>
    <row r="136">
      <c r="A136" s="5" t="inlineStr">
        <is>
          <t>Sylvamo Corporation Eastover Facility</t>
        </is>
      </c>
      <c r="B136" s="5" t="inlineStr">
        <is>
          <t>SC</t>
        </is>
      </c>
      <c r="C136" s="5" t="inlineStr">
        <is>
          <t>Richland</t>
        </is>
      </c>
      <c r="D136" s="5" t="inlineStr">
        <is>
          <t>Eastover</t>
        </is>
      </c>
      <c r="E136" s="5" t="n">
        <v>33.8872</v>
      </c>
      <c r="F136" s="5" t="n">
        <v>-80.6397</v>
      </c>
      <c r="G136" s="5" t="inlineStr">
        <is>
          <t>WDS</t>
        </is>
      </c>
      <c r="H136" s="5" t="n">
        <v>109.6</v>
      </c>
      <c r="I136" s="5" t="n">
        <v>52151</v>
      </c>
    </row>
    <row r="137">
      <c r="A137" t="inlineStr">
        <is>
          <t>POET Biorefining - Chancellor</t>
        </is>
      </c>
      <c r="B137" t="inlineStr">
        <is>
          <t>SD</t>
        </is>
      </c>
      <c r="C137" t="inlineStr">
        <is>
          <t>Turner</t>
        </is>
      </c>
      <c r="D137" t="inlineStr">
        <is>
          <t>Chancellor</t>
        </is>
      </c>
      <c r="E137" t="n">
        <v>43.3705</v>
      </c>
      <c r="F137" t="n">
        <v>-96.9598</v>
      </c>
      <c r="G137" t="inlineStr">
        <is>
          <t>WDS</t>
        </is>
      </c>
      <c r="H137" t="n">
        <v>5.4</v>
      </c>
      <c r="I137" t="n">
        <v>63853</v>
      </c>
    </row>
    <row r="138">
      <c r="A138" s="5" t="inlineStr">
        <is>
          <t>Domtar Kingsport Mill</t>
        </is>
      </c>
      <c r="B138" s="5" t="inlineStr">
        <is>
          <t>TN</t>
        </is>
      </c>
      <c r="C138" s="5" t="inlineStr">
        <is>
          <t>Sullivan</t>
        </is>
      </c>
      <c r="D138" s="5" t="inlineStr">
        <is>
          <t>Kingsport</t>
        </is>
      </c>
      <c r="E138" s="5" t="n">
        <v>36.5489</v>
      </c>
      <c r="F138" s="5" t="n">
        <v>-82.5667</v>
      </c>
      <c r="G138" s="5" t="inlineStr">
        <is>
          <t>WDS</t>
        </is>
      </c>
      <c r="H138" s="5" t="n">
        <v>50</v>
      </c>
      <c r="I138" s="5" t="n">
        <v>10252</v>
      </c>
    </row>
    <row r="139">
      <c r="A139" t="inlineStr">
        <is>
          <t>Packaging Corp of America</t>
        </is>
      </c>
      <c r="B139" t="inlineStr">
        <is>
          <t>TN</t>
        </is>
      </c>
      <c r="C139" t="inlineStr">
        <is>
          <t>Hardin</t>
        </is>
      </c>
      <c r="D139" t="inlineStr">
        <is>
          <t>Counce</t>
        </is>
      </c>
      <c r="E139" t="n">
        <v>35.0471</v>
      </c>
      <c r="F139" t="n">
        <v>-88.26609999999999</v>
      </c>
      <c r="G139" t="inlineStr">
        <is>
          <t>WDS</t>
        </is>
      </c>
      <c r="H139" t="n">
        <v>50</v>
      </c>
      <c r="I139" t="n">
        <v>50296</v>
      </c>
    </row>
    <row r="140">
      <c r="A140" s="5" t="inlineStr">
        <is>
          <t>International Paper Texarkana Mill</t>
        </is>
      </c>
      <c r="B140" s="5" t="inlineStr">
        <is>
          <t>TX</t>
        </is>
      </c>
      <c r="C140" s="5" t="inlineStr">
        <is>
          <t>Cass</t>
        </is>
      </c>
      <c r="D140" s="5" t="inlineStr">
        <is>
          <t>Queen City</t>
        </is>
      </c>
      <c r="E140" s="5" t="n">
        <v>33.2553</v>
      </c>
      <c r="F140" s="5" t="n">
        <v>-94.06959999999999</v>
      </c>
      <c r="G140" s="5" t="inlineStr">
        <is>
          <t>WDS</t>
        </is>
      </c>
      <c r="H140" s="5" t="n">
        <v>40</v>
      </c>
      <c r="I140" s="5" t="n">
        <v>54097</v>
      </c>
    </row>
    <row r="141">
      <c r="A141" t="inlineStr">
        <is>
          <t>Nacogdoches Power</t>
        </is>
      </c>
      <c r="B141" t="inlineStr">
        <is>
          <t>TX</t>
        </is>
      </c>
      <c r="C141" t="inlineStr">
        <is>
          <t>Nacogdoches</t>
        </is>
      </c>
      <c r="D141" t="inlineStr">
        <is>
          <t>Cushing</t>
        </is>
      </c>
      <c r="E141" t="n">
        <v>31.832132</v>
      </c>
      <c r="F141" t="n">
        <v>-94.90064</v>
      </c>
      <c r="G141" t="inlineStr">
        <is>
          <t>WDS</t>
        </is>
      </c>
      <c r="H141" t="n">
        <v>114</v>
      </c>
      <c r="I141" t="n">
        <v>55708</v>
      </c>
    </row>
    <row r="142">
      <c r="A142" s="5" t="inlineStr">
        <is>
          <t>Snider Industries</t>
        </is>
      </c>
      <c r="B142" s="5" t="inlineStr">
        <is>
          <t>TX</t>
        </is>
      </c>
      <c r="C142" s="5" t="inlineStr">
        <is>
          <t>Harrison</t>
        </is>
      </c>
      <c r="D142" s="5" t="inlineStr">
        <is>
          <t>Marshall</t>
        </is>
      </c>
      <c r="E142" s="5" t="n">
        <v>32.574722</v>
      </c>
      <c r="F142" s="5" t="n">
        <v>-94.37388900000001</v>
      </c>
      <c r="G142" s="5" t="inlineStr">
        <is>
          <t>WDS</t>
        </is>
      </c>
      <c r="H142" s="5" t="n">
        <v>5</v>
      </c>
      <c r="I142" s="5" t="n">
        <v>50141</v>
      </c>
    </row>
    <row r="143">
      <c r="A143" t="inlineStr">
        <is>
          <t>WestRock (TX)</t>
        </is>
      </c>
      <c r="B143" t="inlineStr">
        <is>
          <t>TX</t>
        </is>
      </c>
      <c r="C143" t="inlineStr">
        <is>
          <t>Jasper</t>
        </is>
      </c>
      <c r="D143" t="inlineStr">
        <is>
          <t>Evadale</t>
        </is>
      </c>
      <c r="E143" t="n">
        <v>30.3419</v>
      </c>
      <c r="F143" t="n">
        <v>-94.0656</v>
      </c>
      <c r="G143" t="inlineStr">
        <is>
          <t>WDS</t>
        </is>
      </c>
      <c r="H143" t="n">
        <v>57.7</v>
      </c>
      <c r="I143" t="n">
        <v>50101</v>
      </c>
    </row>
    <row r="144">
      <c r="A144" s="5" t="inlineStr">
        <is>
          <t>Altavista Power Station</t>
        </is>
      </c>
      <c r="B144" s="5" t="inlineStr">
        <is>
          <t>VA</t>
        </is>
      </c>
      <c r="C144" s="5" t="inlineStr">
        <is>
          <t>Campbell</t>
        </is>
      </c>
      <c r="D144" s="5" t="inlineStr">
        <is>
          <t>Altavista</t>
        </is>
      </c>
      <c r="E144" s="5" t="n">
        <v>37.118674</v>
      </c>
      <c r="F144" s="5" t="n">
        <v>-79.273551</v>
      </c>
      <c r="G144" s="5" t="inlineStr">
        <is>
          <t>WDS</t>
        </is>
      </c>
      <c r="H144" s="5" t="n">
        <v>71.09999999999999</v>
      </c>
      <c r="I144" s="5" t="n">
        <v>10773</v>
      </c>
    </row>
    <row r="145">
      <c r="A145" t="inlineStr">
        <is>
          <t>Covington Facility</t>
        </is>
      </c>
      <c r="B145" t="inlineStr">
        <is>
          <t>VA</t>
        </is>
      </c>
      <c r="C145" t="inlineStr">
        <is>
          <t>Alleghany</t>
        </is>
      </c>
      <c r="D145" t="inlineStr">
        <is>
          <t>Covington</t>
        </is>
      </c>
      <c r="E145" t="n">
        <v>37.799722</v>
      </c>
      <c r="F145" t="n">
        <v>-79.99469999999999</v>
      </c>
      <c r="G145" t="inlineStr">
        <is>
          <t>WDS</t>
        </is>
      </c>
      <c r="H145" t="n">
        <v>160.9</v>
      </c>
      <c r="I145" t="n">
        <v>50900</v>
      </c>
    </row>
    <row r="146">
      <c r="A146" s="5" t="inlineStr">
        <is>
          <t>Georgia-Pacific Big Island</t>
        </is>
      </c>
      <c r="B146" s="5" t="inlineStr">
        <is>
          <t>VA</t>
        </is>
      </c>
      <c r="C146" s="5" t="inlineStr">
        <is>
          <t>Bedford</t>
        </is>
      </c>
      <c r="D146" s="5" t="inlineStr">
        <is>
          <t>Big Island</t>
        </is>
      </c>
      <c r="E146" s="5" t="n">
        <v>37.534</v>
      </c>
      <c r="F146" s="5" t="n">
        <v>-79.357</v>
      </c>
      <c r="G146" s="5" t="inlineStr">
        <is>
          <t>WDS</t>
        </is>
      </c>
      <c r="H146" s="5" t="n">
        <v>7.5</v>
      </c>
      <c r="I146" s="5" t="n">
        <v>50479</v>
      </c>
    </row>
    <row r="147">
      <c r="A147" t="inlineStr">
        <is>
          <t>Halifax County Biomass</t>
        </is>
      </c>
      <c r="B147" t="inlineStr">
        <is>
          <t>VA</t>
        </is>
      </c>
      <c r="C147" t="inlineStr">
        <is>
          <t>Halifax</t>
        </is>
      </c>
      <c r="D147" t="inlineStr">
        <is>
          <t>South Boston</t>
        </is>
      </c>
      <c r="E147" t="n">
        <v>36.701389</v>
      </c>
      <c r="F147" t="n">
        <v>-78.873333</v>
      </c>
      <c r="G147" t="inlineStr">
        <is>
          <t>WDS</t>
        </is>
      </c>
      <c r="H147" t="n">
        <v>49.9</v>
      </c>
      <c r="I147" t="n">
        <v>58560</v>
      </c>
    </row>
    <row r="148">
      <c r="A148" s="5" t="inlineStr">
        <is>
          <t>Hopewell Mill</t>
        </is>
      </c>
      <c r="B148" s="5" t="inlineStr">
        <is>
          <t>VA</t>
        </is>
      </c>
      <c r="C148" s="5" t="inlineStr">
        <is>
          <t>Hopewell City</t>
        </is>
      </c>
      <c r="D148" s="5" t="inlineStr">
        <is>
          <t>Hopewell</t>
        </is>
      </c>
      <c r="E148" s="5" t="n">
        <v>37.2914</v>
      </c>
      <c r="F148" s="5" t="n">
        <v>-77.2816</v>
      </c>
      <c r="G148" s="5" t="inlineStr">
        <is>
          <t>WDS</t>
        </is>
      </c>
      <c r="H148" s="5" t="n">
        <v>47.6</v>
      </c>
      <c r="I148" s="5" t="n">
        <v>50813</v>
      </c>
    </row>
    <row r="149">
      <c r="A149" t="inlineStr">
        <is>
          <t>Hopewell Power Station</t>
        </is>
      </c>
      <c r="B149" t="inlineStr">
        <is>
          <t>VA</t>
        </is>
      </c>
      <c r="C149" t="inlineStr">
        <is>
          <t>Hopewell City</t>
        </is>
      </c>
      <c r="D149" t="inlineStr">
        <is>
          <t>Hopewell</t>
        </is>
      </c>
      <c r="E149" t="n">
        <v>37.297834</v>
      </c>
      <c r="F149" t="n">
        <v>-77.282982</v>
      </c>
      <c r="G149" t="inlineStr">
        <is>
          <t>WDS</t>
        </is>
      </c>
      <c r="H149" t="n">
        <v>71.09999999999999</v>
      </c>
      <c r="I149" t="n">
        <v>10771</v>
      </c>
    </row>
    <row r="150">
      <c r="A150" s="5" t="inlineStr">
        <is>
          <t>Southampton Power Station</t>
        </is>
      </c>
      <c r="B150" s="5" t="inlineStr">
        <is>
          <t>VA</t>
        </is>
      </c>
      <c r="C150" s="5" t="inlineStr">
        <is>
          <t>Southampton</t>
        </is>
      </c>
      <c r="D150" s="5" t="inlineStr">
        <is>
          <t>Franklin</t>
        </is>
      </c>
      <c r="E150" s="5" t="n">
        <v>36.6525</v>
      </c>
      <c r="F150" s="5" t="n">
        <v>-76.9953</v>
      </c>
      <c r="G150" s="5" t="inlineStr">
        <is>
          <t>WDS</t>
        </is>
      </c>
      <c r="H150" s="5" t="n">
        <v>71.09999999999999</v>
      </c>
      <c r="I150" s="5" t="n">
        <v>10774</v>
      </c>
    </row>
    <row r="151">
      <c r="A151" t="inlineStr">
        <is>
          <t>Virginia City Hybrid Energy Center</t>
        </is>
      </c>
      <c r="B151" t="inlineStr">
        <is>
          <t>VA</t>
        </is>
      </c>
      <c r="C151" t="inlineStr">
        <is>
          <t>Wise</t>
        </is>
      </c>
      <c r="D151" t="inlineStr">
        <is>
          <t>St. Paul</t>
        </is>
      </c>
      <c r="E151" t="n">
        <v>36.916389</v>
      </c>
      <c r="F151" t="n">
        <v>-82.338055</v>
      </c>
      <c r="G151" t="inlineStr">
        <is>
          <t>WDS</t>
        </is>
      </c>
      <c r="H151" t="n">
        <v>668</v>
      </c>
      <c r="I151" t="n">
        <v>56808</v>
      </c>
    </row>
    <row r="152">
      <c r="A152" s="5" t="inlineStr">
        <is>
          <t>WestRock-West Point Mill</t>
        </is>
      </c>
      <c r="B152" s="5" t="inlineStr">
        <is>
          <t>VA</t>
        </is>
      </c>
      <c r="C152" s="5" t="inlineStr">
        <is>
          <t>King William</t>
        </is>
      </c>
      <c r="D152" s="5" t="inlineStr">
        <is>
          <t>West Point</t>
        </is>
      </c>
      <c r="E152" s="5" t="n">
        <v>37.5392</v>
      </c>
      <c r="F152" s="5" t="n">
        <v>-76.8053</v>
      </c>
      <c r="G152" s="5" t="inlineStr">
        <is>
          <t>WDS</t>
        </is>
      </c>
      <c r="H152" s="5" t="n">
        <v>96</v>
      </c>
      <c r="I152" s="5" t="n">
        <v>10017</v>
      </c>
    </row>
    <row r="153">
      <c r="A153" t="inlineStr">
        <is>
          <t>J C McNeil</t>
        </is>
      </c>
      <c r="B153" t="inlineStr">
        <is>
          <t>VT</t>
        </is>
      </c>
      <c r="C153" t="inlineStr">
        <is>
          <t>Chittenden</t>
        </is>
      </c>
      <c r="D153" t="inlineStr">
        <is>
          <t>Burlington</t>
        </is>
      </c>
      <c r="E153" t="n">
        <v>44.4917</v>
      </c>
      <c r="F153" t="n">
        <v>-73.208056</v>
      </c>
      <c r="G153" t="inlineStr">
        <is>
          <t>WDS</t>
        </is>
      </c>
      <c r="H153" t="n">
        <v>59.5</v>
      </c>
      <c r="I153" t="n">
        <v>589</v>
      </c>
    </row>
    <row r="154">
      <c r="A154" s="5" t="inlineStr">
        <is>
          <t>Middlebury College</t>
        </is>
      </c>
      <c r="B154" s="5" t="inlineStr">
        <is>
          <t>VT</t>
        </is>
      </c>
      <c r="C154" s="5" t="inlineStr">
        <is>
          <t>Addison</t>
        </is>
      </c>
      <c r="D154" s="5" t="inlineStr">
        <is>
          <t>Middlebury</t>
        </is>
      </c>
      <c r="E154" s="5" t="n">
        <v>44.0075</v>
      </c>
      <c r="F154" s="5" t="n">
        <v>-73.17694400000001</v>
      </c>
      <c r="G154" s="5" t="inlineStr">
        <is>
          <t>WDS</t>
        </is>
      </c>
      <c r="H154" s="5" t="n">
        <v>0.8</v>
      </c>
      <c r="I154" s="5" t="n">
        <v>57804</v>
      </c>
    </row>
    <row r="155">
      <c r="A155" t="inlineStr">
        <is>
          <t>Ryegate Associates, LLC</t>
        </is>
      </c>
      <c r="B155" t="inlineStr">
        <is>
          <t>VT</t>
        </is>
      </c>
      <c r="C155" t="inlineStr">
        <is>
          <t>Caledonia</t>
        </is>
      </c>
      <c r="D155" t="inlineStr">
        <is>
          <t>East Ryegate</t>
        </is>
      </c>
      <c r="E155" t="n">
        <v>44.2131</v>
      </c>
      <c r="F155" t="n">
        <v>-72.05719999999999</v>
      </c>
      <c r="G155" t="inlineStr">
        <is>
          <t>WDS</t>
        </is>
      </c>
      <c r="H155" t="n">
        <v>21.5</v>
      </c>
      <c r="I155" t="n">
        <v>51026</v>
      </c>
    </row>
    <row r="156">
      <c r="A156" s="5" t="inlineStr">
        <is>
          <t>Darrington</t>
        </is>
      </c>
      <c r="B156" s="5" t="inlineStr">
        <is>
          <t>WA</t>
        </is>
      </c>
      <c r="C156" s="5" t="inlineStr">
        <is>
          <t>Snohomish</t>
        </is>
      </c>
      <c r="D156" s="5" t="inlineStr">
        <is>
          <t>Darrington</t>
        </is>
      </c>
      <c r="E156" s="5" t="n">
        <v>48.269737</v>
      </c>
      <c r="F156" s="5" t="n">
        <v>-121.599979</v>
      </c>
      <c r="G156" s="5" t="inlineStr">
        <is>
          <t>WDS</t>
        </is>
      </c>
      <c r="H156" s="5" t="n">
        <v>4.5</v>
      </c>
      <c r="I156" s="5" t="n">
        <v>57969</v>
      </c>
    </row>
    <row r="157">
      <c r="A157" t="inlineStr">
        <is>
          <t>Kettle Falls Generating Station</t>
        </is>
      </c>
      <c r="B157" t="inlineStr">
        <is>
          <t>WA</t>
        </is>
      </c>
      <c r="C157" t="inlineStr">
        <is>
          <t>Stevens</t>
        </is>
      </c>
      <c r="D157" t="inlineStr">
        <is>
          <t>Kettle Falls</t>
        </is>
      </c>
      <c r="E157" t="n">
        <v>48.620336</v>
      </c>
      <c r="F157" t="n">
        <v>-118.111059</v>
      </c>
      <c r="G157" t="inlineStr">
        <is>
          <t>WDS</t>
        </is>
      </c>
      <c r="H157" t="n">
        <v>50.7</v>
      </c>
      <c r="I157" t="n">
        <v>550</v>
      </c>
    </row>
    <row r="158">
      <c r="A158" s="5" t="inlineStr">
        <is>
          <t>Longview Fibre</t>
        </is>
      </c>
      <c r="B158" s="5" t="inlineStr">
        <is>
          <t>WA</t>
        </is>
      </c>
      <c r="C158" s="5" t="inlineStr">
        <is>
          <t>Cowlitz</t>
        </is>
      </c>
      <c r="D158" s="5" t="inlineStr">
        <is>
          <t>Longview</t>
        </is>
      </c>
      <c r="E158" s="5" t="n">
        <v>46.103887</v>
      </c>
      <c r="F158" s="5" t="n">
        <v>-122.918429</v>
      </c>
      <c r="G158" s="5" t="inlineStr">
        <is>
          <t>WDS</t>
        </is>
      </c>
      <c r="H158" s="5" t="n">
        <v>45</v>
      </c>
      <c r="I158" s="5" t="n">
        <v>54562</v>
      </c>
    </row>
    <row r="159">
      <c r="A159" t="inlineStr">
        <is>
          <t>Nippon Dynawave Packaging Longview WA</t>
        </is>
      </c>
      <c r="B159" t="inlineStr">
        <is>
          <t>WA</t>
        </is>
      </c>
      <c r="C159" t="inlineStr">
        <is>
          <t>Cowlitz</t>
        </is>
      </c>
      <c r="D159" t="inlineStr">
        <is>
          <t>Longview</t>
        </is>
      </c>
      <c r="E159" t="n">
        <v>46.1236</v>
      </c>
      <c r="F159" t="n">
        <v>-122.9728</v>
      </c>
      <c r="G159" t="inlineStr">
        <is>
          <t>WDS</t>
        </is>
      </c>
      <c r="H159" t="n">
        <v>31.4</v>
      </c>
      <c r="I159" t="n">
        <v>50187</v>
      </c>
    </row>
    <row r="160">
      <c r="A160" s="5" t="inlineStr">
        <is>
          <t>Port Townsend Paper</t>
        </is>
      </c>
      <c r="B160" s="5" t="inlineStr">
        <is>
          <t>WA</t>
        </is>
      </c>
      <c r="C160" s="5" t="inlineStr">
        <is>
          <t>Jefferson</t>
        </is>
      </c>
      <c r="D160" s="5" t="inlineStr">
        <is>
          <t>Port Townsend</t>
        </is>
      </c>
      <c r="E160" s="5" t="n">
        <v>48.0931</v>
      </c>
      <c r="F160" s="5" t="n">
        <v>-122.7958</v>
      </c>
      <c r="G160" s="5" t="inlineStr">
        <is>
          <t>WDS</t>
        </is>
      </c>
      <c r="H160" s="5" t="n">
        <v>7.5</v>
      </c>
      <c r="I160" s="5" t="n">
        <v>50544</v>
      </c>
    </row>
    <row r="161">
      <c r="A161" t="inlineStr">
        <is>
          <t>Sierra Pacific Aberdeen</t>
        </is>
      </c>
      <c r="B161" t="inlineStr">
        <is>
          <t>WA</t>
        </is>
      </c>
      <c r="C161" t="inlineStr">
        <is>
          <t>Grays Harbor</t>
        </is>
      </c>
      <c r="D161" t="inlineStr">
        <is>
          <t>Aberdeen</t>
        </is>
      </c>
      <c r="E161" t="n">
        <v>46.9728</v>
      </c>
      <c r="F161" t="n">
        <v>-123.7739</v>
      </c>
      <c r="G161" t="inlineStr">
        <is>
          <t>WDS</t>
        </is>
      </c>
      <c r="H161" t="n">
        <v>18</v>
      </c>
      <c r="I161" t="n">
        <v>55882</v>
      </c>
    </row>
    <row r="162">
      <c r="A162" s="5" t="inlineStr">
        <is>
          <t>Sierra Pacific Burlington Facility</t>
        </is>
      </c>
      <c r="B162" s="5" t="inlineStr">
        <is>
          <t>WA</t>
        </is>
      </c>
      <c r="C162" s="5" t="inlineStr">
        <is>
          <t>Skagit</t>
        </is>
      </c>
      <c r="D162" s="5" t="inlineStr">
        <is>
          <t>Mt Vernon</t>
        </is>
      </c>
      <c r="E162" s="5" t="n">
        <v>48.4481</v>
      </c>
      <c r="F162" s="5" t="n">
        <v>-122.4331</v>
      </c>
      <c r="G162" s="5" t="inlineStr">
        <is>
          <t>WDS</t>
        </is>
      </c>
      <c r="H162" s="5" t="n">
        <v>28</v>
      </c>
      <c r="I162" s="5" t="n">
        <v>56406</v>
      </c>
    </row>
    <row r="163">
      <c r="A163" t="inlineStr">
        <is>
          <t>Bay Front</t>
        </is>
      </c>
      <c r="B163" t="inlineStr">
        <is>
          <t>WI</t>
        </is>
      </c>
      <c r="C163" t="inlineStr">
        <is>
          <t>Ashland</t>
        </is>
      </c>
      <c r="D163" t="inlineStr">
        <is>
          <t>Ashland</t>
        </is>
      </c>
      <c r="E163" t="n">
        <v>46.587222</v>
      </c>
      <c r="F163" t="n">
        <v>-90.90170000000001</v>
      </c>
      <c r="G163" t="inlineStr">
        <is>
          <t>WDS</t>
        </is>
      </c>
      <c r="H163" t="n">
        <v>20</v>
      </c>
      <c r="I163" t="n">
        <v>3982</v>
      </c>
    </row>
    <row r="164">
      <c r="A164" s="5" t="inlineStr">
        <is>
          <t>Biron Mill</t>
        </is>
      </c>
      <c r="B164" s="5" t="inlineStr">
        <is>
          <t>WI</t>
        </is>
      </c>
      <c r="C164" s="5" t="inlineStr">
        <is>
          <t>Wood</t>
        </is>
      </c>
      <c r="D164" s="5" t="inlineStr">
        <is>
          <t>Wisconsin Rapids</t>
        </is>
      </c>
      <c r="E164" s="5" t="n">
        <v>44.43</v>
      </c>
      <c r="F164" s="5" t="n">
        <v>-89.78</v>
      </c>
      <c r="G164" s="5" t="inlineStr">
        <is>
          <t>WDS</t>
        </is>
      </c>
      <c r="H164" s="5" t="n">
        <v>21.5</v>
      </c>
      <c r="I164" s="5" t="n">
        <v>10234</v>
      </c>
    </row>
    <row r="165">
      <c r="A165" t="inlineStr">
        <is>
          <t>French Island</t>
        </is>
      </c>
      <c r="B165" t="inlineStr">
        <is>
          <t>WI</t>
        </is>
      </c>
      <c r="C165" t="inlineStr">
        <is>
          <t>La Crosse</t>
        </is>
      </c>
      <c r="D165" t="inlineStr">
        <is>
          <t>La Cross</t>
        </is>
      </c>
      <c r="E165" t="n">
        <v>43.8292</v>
      </c>
      <c r="F165" t="n">
        <v>-91.2597</v>
      </c>
      <c r="G165" t="inlineStr">
        <is>
          <t>WDS</t>
        </is>
      </c>
      <c r="H165" t="n">
        <v>30.4</v>
      </c>
      <c r="I165" t="n">
        <v>4005</v>
      </c>
    </row>
    <row r="166">
      <c r="A166" s="5" t="inlineStr">
        <is>
          <t>Kaukauna Paper Mill</t>
        </is>
      </c>
      <c r="B166" s="5" t="inlineStr">
        <is>
          <t>WI</t>
        </is>
      </c>
      <c r="C166" s="5" t="inlineStr">
        <is>
          <t>Outagamie</t>
        </is>
      </c>
      <c r="D166" s="5" t="inlineStr">
        <is>
          <t>Kaukauna</t>
        </is>
      </c>
      <c r="E166" s="5" t="n">
        <v>44.2826</v>
      </c>
      <c r="F166" s="5" t="n">
        <v>-88.2534</v>
      </c>
      <c r="G166" s="5" t="inlineStr">
        <is>
          <t>WDS</t>
        </is>
      </c>
      <c r="H166" s="5" t="n">
        <v>32.6</v>
      </c>
      <c r="I166" s="5" t="n">
        <v>54098</v>
      </c>
    </row>
    <row r="167">
      <c r="A167" t="inlineStr">
        <is>
          <t>Manitowoc</t>
        </is>
      </c>
      <c r="B167" t="inlineStr">
        <is>
          <t>WI</t>
        </is>
      </c>
      <c r="C167" t="inlineStr">
        <is>
          <t>Manitowoc</t>
        </is>
      </c>
      <c r="D167" t="inlineStr">
        <is>
          <t>Manitowoc</t>
        </is>
      </c>
      <c r="E167" t="n">
        <v>44.082</v>
      </c>
      <c r="F167" t="n">
        <v>-87.6558</v>
      </c>
      <c r="G167" t="inlineStr">
        <is>
          <t>WDS</t>
        </is>
      </c>
      <c r="H167" t="n">
        <v>117.4</v>
      </c>
      <c r="I167" t="n">
        <v>4125</v>
      </c>
    </row>
    <row r="168">
      <c r="A168" s="5" t="inlineStr">
        <is>
          <t>Mosinee Mill</t>
        </is>
      </c>
      <c r="B168" s="5" t="inlineStr">
        <is>
          <t>WI</t>
        </is>
      </c>
      <c r="C168" s="5" t="inlineStr">
        <is>
          <t>Marathon</t>
        </is>
      </c>
      <c r="D168" s="5" t="inlineStr">
        <is>
          <t>Mosinee</t>
        </is>
      </c>
      <c r="E168" s="5" t="n">
        <v>44.7881</v>
      </c>
      <c r="F168" s="5" t="n">
        <v>-89.6917</v>
      </c>
      <c r="G168" s="5" t="inlineStr">
        <is>
          <t>WDS</t>
        </is>
      </c>
      <c r="H168" s="5" t="n">
        <v>20</v>
      </c>
      <c r="I168" s="5" t="n">
        <v>50614</v>
      </c>
    </row>
    <row r="169">
      <c r="A169" t="inlineStr">
        <is>
          <t>Packaging of America Tomahawk Mill</t>
        </is>
      </c>
      <c r="B169" t="inlineStr">
        <is>
          <t>WI</t>
        </is>
      </c>
      <c r="C169" t="inlineStr">
        <is>
          <t>Lincoln</t>
        </is>
      </c>
      <c r="D169" t="inlineStr">
        <is>
          <t>Tomahawk</t>
        </is>
      </c>
      <c r="E169" t="n">
        <v>45.4431</v>
      </c>
      <c r="F169" t="n">
        <v>-89.7342</v>
      </c>
      <c r="G169" t="inlineStr">
        <is>
          <t>WDS</t>
        </is>
      </c>
      <c r="H169" t="n">
        <v>15.7</v>
      </c>
      <c r="I169" t="n">
        <v>50476</v>
      </c>
    </row>
    <row r="170">
      <c r="A170" s="5" t="inlineStr">
        <is>
          <t>Rothschild Biomass Cogen Facility</t>
        </is>
      </c>
      <c r="B170" s="5" t="inlineStr">
        <is>
          <t>WI</t>
        </is>
      </c>
      <c r="C170" s="5" t="inlineStr">
        <is>
          <t>Marathon</t>
        </is>
      </c>
      <c r="D170" s="5" t="inlineStr">
        <is>
          <t>Rothschild</t>
        </is>
      </c>
      <c r="E170" s="5" t="n">
        <v>44.887778</v>
      </c>
      <c r="F170" s="5" t="n">
        <v>-89.629722</v>
      </c>
      <c r="G170" s="5" t="inlineStr">
        <is>
          <t>WDS</t>
        </is>
      </c>
      <c r="H170" s="5" t="n">
        <v>57.5</v>
      </c>
      <c r="I170" s="5" t="n">
        <v>58124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10" defaultColWidth="8.83203125" defaultRowHeight="15"/>
  <cols>
    <col width="20" customWidth="1" style="11" min="1" max="1"/>
    <col width="85" customWidth="1" style="11" min="2" max="2"/>
  </cols>
  <sheetData>
    <row r="1" ht="17" customHeight="1" s="11">
      <c r="A1" s="7" t="inlineStr">
        <is>
          <t>BIOENERGY PROXIMITY SCREEN — METHODOLOGY NOTES</t>
        </is>
      </c>
      <c r="B1" s="8" t="n"/>
    </row>
    <row r="2">
      <c r="B2" s="8" t="n"/>
    </row>
    <row r="3" ht="16" customHeight="1" s="11">
      <c r="A3" s="9" t="inlineStr">
        <is>
          <t>Purpose</t>
        </is>
      </c>
      <c r="B3" s="8" t="inlineStr">
        <is>
          <t>Quick screen for woody biomass diversion leakage risk when scoping forestry carbon projects.</t>
        </is>
      </c>
    </row>
    <row r="4">
      <c r="B4" s="8" t="n"/>
    </row>
    <row r="5" ht="16" customHeight="1" s="11">
      <c r="A5" s="9" t="inlineStr">
        <is>
          <t>Data Source</t>
        </is>
      </c>
      <c r="B5" s="8" t="inlineStr">
        <is>
          <t>EIA Form EIA-860 Annual Electric Generator Report, 2024 data (released Sept 2025).</t>
        </is>
      </c>
    </row>
    <row r="6" ht="32" customHeight="1" s="11">
      <c r="B6" s="8" t="inlineStr">
        <is>
          <t>Filter: Fuel Type = WDS (Wood/Wood Waste Solids) or WDL (Wood/Wood Waste Liquids), Status = Operating (OP).</t>
        </is>
      </c>
    </row>
    <row r="7" ht="16" customHeight="1" s="11">
      <c r="B7" s="8" t="inlineStr">
        <is>
          <t>169 operating plants included. Does not cover private industrial boilers not connected to the grid.</t>
        </is>
      </c>
    </row>
    <row r="8">
      <c r="B8" s="8" t="n"/>
    </row>
    <row r="9" ht="16" customHeight="1" s="11">
      <c r="A9" s="9" t="inlineStr">
        <is>
          <t>Distance Threshold</t>
        </is>
      </c>
      <c r="B9" s="8" t="inlineStr">
        <is>
          <t>81 miles (130 km): Jones et al. 2013 (USDA FS Rocky Mountain Research Station, Biomass and Bioenergy 48:171-180) spatially modeled financially feasible haul distances for forest residue delivery to a bioenergy facility. At $63.05/ODT (approx. 100% above base market rate), average haul distance was 130 km — and was insensitive to diesel price at that feedstock price level. Used here as the conservative outer limit.</t>
        </is>
      </c>
    </row>
    <row r="10" ht="16" customHeight="1" s="11">
      <c r="B10" s="8" t="n"/>
    </row>
    <row r="11" ht="16" customHeight="1" s="11">
      <c r="B11" s="8" t="n"/>
    </row>
    <row r="12">
      <c r="B12" s="8" t="n"/>
    </row>
    <row r="13" ht="16" customHeight="1" s="11">
      <c r="A13" s="9" t="inlineStr">
        <is>
          <t>Formula</t>
        </is>
      </c>
      <c r="B13" s="8" t="inlineStr">
        <is>
          <t>Haversine great-circle distance, converted to miles (Earth radius = 3,958.8 mi).</t>
        </is>
      </c>
    </row>
    <row r="14" ht="16" customHeight="1" s="11">
      <c r="B14" s="8" t="inlineStr">
        <is>
          <t>Note: straight-line, not road distance. Road distance will be longer; use as conservative screen.</t>
        </is>
      </c>
    </row>
    <row r="15">
      <c r="B15" s="8" t="n"/>
    </row>
    <row r="16" ht="16" customHeight="1" s="11">
      <c r="A16" s="9" t="inlineStr">
        <is>
          <t>Risk Levels</t>
        </is>
      </c>
      <c r="B16" s="8" t="inlineStr">
        <is>
          <t>FLAG (≤ 81 mi): Plant within economically feasible haul range — investigate sourcing area and capacity utilization.</t>
        </is>
      </c>
    </row>
    <row r="17" ht="16" customHeight="1" s="11">
      <c r="B17" s="8" t="inlineStr">
        <is>
          <t>OK (&gt; 81 mi): Transport economics make diversion unlikely; leakage risk is easily argued away.</t>
        </is>
      </c>
    </row>
    <row r="18" ht="16" customHeight="1" s="11">
      <c r="B18" s="8" t="n"/>
    </row>
    <row r="19">
      <c r="B19" s="8" t="n"/>
    </row>
    <row r="20" ht="16" customHeight="1" s="11">
      <c r="A20" s="9" t="inlineStr">
        <is>
          <t>Limitations</t>
        </is>
      </c>
      <c r="B20" s="8" t="inlineStr">
        <is>
          <t>1. Does not include private industrial wood-consuming facilities (pulp mills, sawmills) off-grid.</t>
        </is>
      </c>
    </row>
    <row r="21" ht="16" customHeight="1" s="11">
      <c r="B21" s="8" t="inlineStr">
        <is>
          <t xml:space="preserve">   For those, check EPA FLIGHT or Toxic Release Inventory for large wood-consuming facilities.</t>
        </is>
      </c>
    </row>
    <row r="22" ht="16" customHeight="1" s="11">
      <c r="B22" s="8" t="inlineStr">
        <is>
          <t>2. A plant within range is not automatically a risk — capacity utilization and existing contracts matter.</t>
        </is>
      </c>
    </row>
    <row r="23" ht="16" customHeight="1" s="11">
      <c r="B23" s="8" t="inlineStr">
        <is>
          <t>3. Straight-line distance understates road distance; actual hauling cost radius may be smaller.</t>
        </is>
      </c>
    </row>
    <row r="24" ht="16" customHeight="1" s="11">
      <c r="B24" s="8" t="inlineStr">
        <is>
          <t>4. Update the Plants sheet annually when EIA releases new EIA-860 data (typically September).</t>
        </is>
      </c>
    </row>
    <row r="25">
      <c r="B25" s="8" t="n"/>
    </row>
    <row r="26" ht="16" customHeight="1" s="11">
      <c r="A26" s="9" t="inlineStr">
        <is>
          <t>Sources</t>
        </is>
      </c>
      <c r="B26" s="8" t="inlineStr">
        <is>
          <t>Frontiers IFM protocol review (2023): https://www.frontiersin.org/journals/forests-and-global-change/articles/10.3389/ffgc.2023.958879/full</t>
        </is>
      </c>
    </row>
    <row r="27" ht="32" customHeight="1" s="11">
      <c r="B27" s="8" t="inlineStr">
        <is>
          <t>EIA-860 data: https://www.eia.gov/electricity/data/eia860/</t>
        </is>
      </c>
    </row>
    <row r="28" ht="16" customHeight="1" s="11">
      <c r="B28" s="8" t="inlineStr">
        <is>
          <t>Jones et al. 2013 (USDA FS): https://research.fs.usda.gov/treesearch/42810</t>
        </is>
      </c>
    </row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2026-05-21T22:27:50Z</dcterms:created>
  <dcterms:modified xmlns:dcterms="http://purl.org/dc/terms/" xmlns:xsi="http://www.w3.org/2001/XMLSchema-instance" xsi:type="dcterms:W3CDTF">2026-06-08T19:45:09Z</dcterms:modified>
  <cp:lastModifiedBy>Max Bernard Lavine</cp:lastModifiedBy>
</cp:coreProperties>
</file>