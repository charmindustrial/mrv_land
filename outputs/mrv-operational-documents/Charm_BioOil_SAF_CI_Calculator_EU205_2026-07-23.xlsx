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P_Data" sheetId="2" state="visible" r:id="rId2"/>
    <sheet xmlns:r="http://schemas.openxmlformats.org/officeDocument/2006/relationships" name="Source_Inclusion" sheetId="3" state="visible" r:id="rId3"/>
    <sheet xmlns:r="http://schemas.openxmlformats.org/officeDocument/2006/relationships" name="EU205_CI" sheetId="4" state="visible" r:id="rId4"/>
    <sheet xmlns:r="http://schemas.openxmlformats.org/officeDocument/2006/relationships" name="Result" sheetId="5" state="visible" r:id="rId5"/>
    <sheet xmlns:r="http://schemas.openxmlformats.org/officeDocument/2006/relationships" name="Refinery_SA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2" borderId="1" pivotButton="0" quotePrefix="0" xfId="0"/>
    <xf numFmtId="0" fontId="0" fillId="5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8" customWidth="1" min="3" max="3"/>
  </cols>
  <sheetData>
    <row r="1">
      <c r="A1" s="25" t="n"/>
      <c r="B1" s="25" t="n"/>
      <c r="C1" s="25" t="n"/>
      <c r="D1" s="25" t="n"/>
    </row>
    <row r="2">
      <c r="A2" s="25" t="n"/>
      <c r="B2" s="26" t="inlineStr">
        <is>
          <t>Charm Bio-oil (FPBO) → SAF — EU 205 Carbon-Intensity Calculator</t>
        </is>
      </c>
      <c r="C2" s="25" t="n"/>
      <c r="D2" s="25" t="n"/>
    </row>
    <row r="3">
      <c r="A3" s="25" t="n"/>
      <c r="B3" s="25" t="inlineStr">
        <is>
          <t>12-month actual-value CI (Apr 2025 – Mar 2026) from the Final Reporting Package PP Summaries  |  built/updated 2026-07-23</t>
        </is>
      </c>
      <c r="C3" s="25" t="n"/>
      <c r="D3" s="25" t="n"/>
    </row>
    <row r="4">
      <c r="A4" s="25" t="n"/>
      <c r="B4" s="25" t="n"/>
      <c r="C4" s="25" t="n"/>
      <c r="D4" s="25" t="n"/>
    </row>
    <row r="5" ht="46" customHeight="1">
      <c r="A5" s="25" t="n"/>
      <c r="B5" s="3" t="inlineStr">
        <is>
          <t>Result</t>
        </is>
      </c>
      <c r="C5" s="4" t="inlineStr">
        <is>
          <t>Bio-oil CI = 569 kgCO2eq/tonne = 37.9 gCO2eq/MJ (Result tab / EU205_CI). Live off PP_Data — updates if any input changes.</t>
        </is>
      </c>
      <c r="D5" s="25" t="n"/>
    </row>
    <row r="6" ht="46" customHeight="1">
      <c r="A6" s="25" t="n"/>
      <c r="B6" s="3" t="inlineStr">
        <is>
          <t>How it flows</t>
        </is>
      </c>
      <c r="C6" s="4" t="inlineStr">
        <is>
          <t>PP_Data (summed activity) → EU205_CI (EU 205 recompute) → Result. Source_Inclusion documents the boundary. Refinery_SAF is a PLACEHOLDER for the co-processing step (no refinery data yet).</t>
        </is>
      </c>
      <c r="D6" s="25" t="n"/>
    </row>
    <row r="7" ht="46" customHeight="1">
      <c r="A7" s="25" t="n"/>
      <c r="B7" s="3" t="inlineStr">
        <is>
          <t>What this is</t>
        </is>
      </c>
      <c r="C7" s="4" t="inlineStr">
        <is>
          <t>An EU 205 actual-value recompute of Charm's own production data. ISCC publishes no calculator (ISCC FAQ, read 2026-07-23); this custom, cell-traceable sheet is the sanctioned route.</t>
        </is>
      </c>
      <c r="D7" s="25" t="n"/>
    </row>
    <row r="8" ht="46" customHeight="1">
      <c r="A8" s="25" t="n"/>
      <c r="B8" s="3" t="inlineStr">
        <is>
          <t>Why actual values</t>
        </is>
      </c>
      <c r="C8" s="4" t="inlineStr">
        <is>
          <t>No RED default exists for fast-pyrolysis bio-oil → SAF ('pyrolysis' = 0 hits in consolidated RED, searched 2026-07-23); EU 205 v4.1 §3.2 requires an actual-value calc.</t>
        </is>
      </c>
      <c r="D8" s="25" t="n"/>
    </row>
    <row r="9" ht="46" customHeight="1">
      <c r="A9" s="25" t="n"/>
      <c r="B9" s="3" t="inlineStr">
        <is>
          <t>Data source</t>
        </is>
      </c>
      <c r="C9" s="4" t="inlineStr">
        <is>
          <t>Each month's activity is taken from that period's Production Period Summary (Charm's own figures). Charm's emission columns are NOT copied — emissions are recomputed under EU 205. All 12 months Apr 2025–Mar 2026 produced.</t>
        </is>
      </c>
      <c r="D9" s="25" t="n"/>
    </row>
    <row r="10" ht="46" customHeight="1">
      <c r="A10" s="25" t="n"/>
      <c r="B10" s="3" t="inlineStr">
        <is>
          <t>Emission factors</t>
        </is>
      </c>
      <c r="C10" s="4" t="inlineStr">
        <is>
          <t>Fuels via IR (EU) 2022/996 Annex IX (propane/LPG, diesel, gasoline). Electricity at the U.S. NATIONAL grid EF (eGRID2023, 0.34968 kgCO2e/kWh), NO REC credit (EU 205 §4.3.5.1). All EFs shown on EU205_CI with source.</t>
        </is>
      </c>
      <c r="D10" s="25" t="n"/>
    </row>
    <row r="11" ht="46" customHeight="1">
      <c r="A11" s="25" t="n"/>
      <c r="B11" s="3" t="inlineStr">
        <is>
          <t>Key boundary calls</t>
        </is>
      </c>
      <c r="C11" s="4" t="inlineStr">
        <is>
          <t>e_ec = 0 (feedstock argued as waste, RED Annex V); BCU (renewable-diesel book-and-claim) and REC excluded → gross diesel + grid electricity; equipment embodied excluded (EU 205 p.11/17); water/consumables/waste/tailgas excluded under the 0.5% materiality rule. Full basis + citations on Source_Inclusion.</t>
        </is>
      </c>
      <c r="D11" s="25" t="n"/>
    </row>
    <row r="12" ht="46" customHeight="1">
      <c r="A12" s="25" t="n"/>
      <c r="B12" s="3" t="inlineStr">
        <is>
          <t>Allocation</t>
        </is>
      </c>
      <c r="C12" s="4" t="inlineStr">
        <is>
          <t>Bio-oil (WODO + Aqueous, no sub-split) vs biochar split by energy content (EU 205 §4.3.8), from measured LHVs (bio-oil ~15; biochar 22.8 derived from SGS GCV).</t>
        </is>
      </c>
      <c r="D12" s="25" t="n"/>
    </row>
    <row r="13" ht="46" customHeight="1">
      <c r="A13" s="25" t="n"/>
      <c r="B13" s="3" t="inlineStr">
        <is>
          <t>Open refinements</t>
        </is>
      </c>
      <c r="C13" s="4" t="inlineStr">
        <is>
          <t>(1) electricity uses the U.S. national eGRID rate for all months (single national factor, per your instruction); (2) e_td uses Charm's calculated gross biomass-transport per period; (3) refinery→SAF tab is a placeholder pending real data.</t>
        </is>
      </c>
      <c r="D13" s="25" t="n"/>
    </row>
    <row r="14" ht="46" customHeight="1">
      <c r="B14" s="3" t="inlineStr">
        <is>
          <t>Colour legend</t>
        </is>
      </c>
      <c r="C14" s="4" t="inlineStr">
        <is>
          <t>YELLOW = pulled activity data  |  GREEN = calculated (formula)  |  BLUE = sourced constant  |  ORANGE = placeholder.</t>
        </is>
      </c>
    </row>
    <row r="15"/>
    <row r="16"/>
    <row r="17"/>
    <row r="18"/>
    <row r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1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13" customWidth="1" min="16" max="16"/>
  </cols>
  <sheetData>
    <row r="1">
      <c r="B1" s="13" t="inlineStr">
        <is>
          <t>PP_Data — activity per Production Period (Final Reporting Package PP Summaries)  |  Apr 2025 – Mar 2026 (12 mo)</t>
        </is>
      </c>
    </row>
    <row r="2" ht="44" customHeight="1">
      <c r="B2" s="4" t="inlineStr">
        <is>
          <t>Bio-oil = WODO + Aqueous (no sub-split). Activity taken from each month's Final Reporting Package Production Period Summary; Charm's emission columns NOT copied — emissions are recomputed under EU 205. Totals = live SUM.</t>
        </is>
      </c>
    </row>
    <row r="4" ht="26" customHeight="1">
      <c r="B4" s="5" t="inlineStr">
        <is>
          <t>Field</t>
        </is>
      </c>
      <c r="C4" s="5" t="inlineStr">
        <is>
          <t>Unit</t>
        </is>
      </c>
      <c r="D4" s="14" t="inlineStr">
        <is>
          <t>Apr 2025</t>
        </is>
      </c>
      <c r="E4" s="14" t="inlineStr">
        <is>
          <t>May 2025</t>
        </is>
      </c>
      <c r="F4" s="14" t="inlineStr">
        <is>
          <t>Jun 2025</t>
        </is>
      </c>
      <c r="G4" s="14" t="inlineStr">
        <is>
          <t>Jul 2025</t>
        </is>
      </c>
      <c r="H4" s="14" t="inlineStr">
        <is>
          <t>Aug 2025</t>
        </is>
      </c>
      <c r="I4" s="14" t="inlineStr">
        <is>
          <t>Sep 2025</t>
        </is>
      </c>
      <c r="J4" s="14" t="inlineStr">
        <is>
          <t>Oct 2025</t>
        </is>
      </c>
      <c r="K4" s="14" t="inlineStr">
        <is>
          <t>Nov 2025</t>
        </is>
      </c>
      <c r="L4" s="14" t="inlineStr">
        <is>
          <t>Dec 2025</t>
        </is>
      </c>
      <c r="M4" s="14" t="inlineStr">
        <is>
          <t>Jan 2026</t>
        </is>
      </c>
      <c r="N4" s="14" t="inlineStr">
        <is>
          <t>Feb 2026</t>
        </is>
      </c>
      <c r="O4" s="14" t="inlineStr">
        <is>
          <t>Mar 2026</t>
        </is>
      </c>
      <c r="P4" s="23" t="inlineStr">
        <is>
          <t>TOTAL</t>
        </is>
      </c>
    </row>
    <row r="5">
      <c r="B5" s="2" t="inlineStr">
        <is>
          <t>Days in period</t>
        </is>
      </c>
      <c r="C5" s="15" t="inlineStr">
        <is>
          <t>days</t>
        </is>
      </c>
      <c r="D5" s="16" t="n">
        <v>30</v>
      </c>
      <c r="E5" s="16" t="n">
        <v>31</v>
      </c>
      <c r="F5" s="16" t="n">
        <v>30</v>
      </c>
      <c r="G5" s="16" t="n">
        <v>31</v>
      </c>
      <c r="H5" s="16" t="n">
        <v>31</v>
      </c>
      <c r="I5" s="16" t="n">
        <v>30</v>
      </c>
      <c r="J5" s="16" t="n">
        <v>31</v>
      </c>
      <c r="K5" s="16" t="n">
        <v>30</v>
      </c>
      <c r="L5" s="16" t="n">
        <v>31</v>
      </c>
      <c r="M5" s="16" t="n">
        <v>31</v>
      </c>
      <c r="N5" s="16" t="n">
        <v>28</v>
      </c>
      <c r="O5" s="16" t="n">
        <v>31</v>
      </c>
      <c r="P5" s="18">
        <f>SUM(D5:O5)</f>
        <v/>
      </c>
    </row>
    <row r="6">
      <c r="B6" s="2" t="inlineStr">
        <is>
          <t>Biomass consumed</t>
        </is>
      </c>
      <c r="C6" s="15" t="inlineStr">
        <is>
          <t>kg</t>
        </is>
      </c>
      <c r="D6" s="16" t="n">
        <v>106526</v>
      </c>
      <c r="E6" s="16" t="n">
        <v>106873</v>
      </c>
      <c r="F6" s="16" t="n">
        <v>116090</v>
      </c>
      <c r="G6" s="16" t="n">
        <v>106966</v>
      </c>
      <c r="H6" s="16" t="n">
        <v>84843</v>
      </c>
      <c r="I6" s="16" t="n">
        <v>64575</v>
      </c>
      <c r="J6" s="16" t="n">
        <v>47451</v>
      </c>
      <c r="K6" s="16" t="n">
        <v>25003</v>
      </c>
      <c r="L6" s="16" t="n">
        <v>28947</v>
      </c>
      <c r="M6" s="16" t="n">
        <v>44926</v>
      </c>
      <c r="N6" s="16" t="n">
        <v>47976</v>
      </c>
      <c r="O6" s="16" t="n">
        <v>65402</v>
      </c>
      <c r="P6" s="18">
        <f>SUM(D6:O6)</f>
        <v/>
      </c>
    </row>
    <row r="7">
      <c r="B7" s="2" t="inlineStr">
        <is>
          <t>Propane used (unc-adj)</t>
        </is>
      </c>
      <c r="C7" s="15" t="inlineStr">
        <is>
          <t>kg</t>
        </is>
      </c>
      <c r="D7" s="16" t="n">
        <v>5744.56</v>
      </c>
      <c r="E7" s="16" t="n">
        <v>6128.37</v>
      </c>
      <c r="F7" s="16" t="n">
        <v>6315.33</v>
      </c>
      <c r="G7" s="16" t="n">
        <v>7882.08</v>
      </c>
      <c r="H7" s="16" t="n">
        <v>5568.17</v>
      </c>
      <c r="I7" s="16" t="n">
        <v>3141.64</v>
      </c>
      <c r="J7" s="16" t="n">
        <v>4396.12</v>
      </c>
      <c r="K7" s="16" t="n">
        <v>3925.52</v>
      </c>
      <c r="L7" s="16" t="n">
        <v>2782.65</v>
      </c>
      <c r="M7" s="16" t="n">
        <v>3623.46</v>
      </c>
      <c r="N7" s="16" t="n">
        <v>3939.83</v>
      </c>
      <c r="O7" s="16" t="n">
        <v>4290.88</v>
      </c>
      <c r="P7" s="18">
        <f>SUM(D7:O7)</f>
        <v/>
      </c>
    </row>
    <row r="8">
      <c r="B8" s="2" t="inlineStr">
        <is>
          <t>Diesel — production (unc-adj)</t>
        </is>
      </c>
      <c r="C8" s="15" t="inlineStr">
        <is>
          <t>kg</t>
        </is>
      </c>
      <c r="D8" s="16" t="n">
        <v>3617.22</v>
      </c>
      <c r="E8" s="16" t="n">
        <v>1057.79</v>
      </c>
      <c r="F8" s="16" t="n">
        <v>5161.86</v>
      </c>
      <c r="G8" s="16" t="n">
        <v>8867.07</v>
      </c>
      <c r="H8" s="16" t="n">
        <v>6090.93</v>
      </c>
      <c r="I8" s="16" t="n">
        <v>729.96</v>
      </c>
      <c r="J8" s="16" t="n">
        <v>3952.86</v>
      </c>
      <c r="K8" s="16" t="n">
        <v>4376.51</v>
      </c>
      <c r="L8" s="16" t="n">
        <v>5109.73</v>
      </c>
      <c r="M8" s="16" t="n">
        <v>4868.57</v>
      </c>
      <c r="N8" s="16" t="n">
        <v>3203.36</v>
      </c>
      <c r="O8" s="16" t="n">
        <v>2902.57</v>
      </c>
      <c r="P8" s="18">
        <f>SUM(D8:O8)</f>
        <v/>
      </c>
    </row>
    <row r="9">
      <c r="B9" s="2" t="inlineStr">
        <is>
          <t>Gasoline (unc-adj)</t>
        </is>
      </c>
      <c r="C9" s="15" t="inlineStr">
        <is>
          <t>kg</t>
        </is>
      </c>
      <c r="D9" s="16" t="n">
        <v>290.13</v>
      </c>
      <c r="E9" s="16" t="n">
        <v>133.26</v>
      </c>
      <c r="F9" s="16" t="n">
        <v>163.23</v>
      </c>
      <c r="G9" s="16" t="n">
        <v>28</v>
      </c>
      <c r="H9" s="16" t="n">
        <v>56.04</v>
      </c>
      <c r="I9" s="16" t="n">
        <v>0</v>
      </c>
      <c r="J9" s="16" t="n">
        <v>135.88</v>
      </c>
      <c r="K9" s="16" t="n">
        <v>134.32</v>
      </c>
      <c r="L9" s="16" t="n">
        <v>97.63</v>
      </c>
      <c r="M9" s="16" t="n">
        <v>109.8</v>
      </c>
      <c r="N9" s="16" t="n">
        <v>139.98</v>
      </c>
      <c r="O9" s="16" t="n">
        <v>120.03</v>
      </c>
      <c r="P9" s="18">
        <f>SUM(D9:O9)</f>
        <v/>
      </c>
    </row>
    <row r="10">
      <c r="B10" s="2" t="inlineStr">
        <is>
          <t>Electricity — production</t>
        </is>
      </c>
      <c r="C10" s="15" t="inlineStr">
        <is>
          <t>kWh</t>
        </is>
      </c>
      <c r="D10" s="16" t="n">
        <v>56352.7</v>
      </c>
      <c r="E10" s="16" t="n">
        <v>45185.05</v>
      </c>
      <c r="F10" s="16" t="n">
        <v>43444.3</v>
      </c>
      <c r="G10" s="16" t="n">
        <v>50821.57</v>
      </c>
      <c r="H10" s="16" t="n">
        <v>45947.77</v>
      </c>
      <c r="I10" s="16" t="n">
        <v>35385.95</v>
      </c>
      <c r="J10" s="16" t="n">
        <v>38806.94</v>
      </c>
      <c r="K10" s="16" t="n">
        <v>36751.05</v>
      </c>
      <c r="L10" s="16" t="n">
        <v>25041.26</v>
      </c>
      <c r="M10" s="16" t="n">
        <v>35161.91</v>
      </c>
      <c r="N10" s="16" t="n">
        <v>35984.82</v>
      </c>
      <c r="O10" s="16" t="n">
        <v>38417</v>
      </c>
      <c r="P10" s="18">
        <f>SUM(D10:O10)</f>
        <v/>
      </c>
    </row>
    <row r="11">
      <c r="B11" s="2" t="inlineStr">
        <is>
          <t>Water consumed</t>
        </is>
      </c>
      <c r="C11" s="15" t="inlineStr">
        <is>
          <t>kg</t>
        </is>
      </c>
      <c r="D11" s="16" t="n">
        <v>84514.92</v>
      </c>
      <c r="E11" s="16" t="n">
        <v>61277.67</v>
      </c>
      <c r="F11" s="16" t="n">
        <v>73596.38</v>
      </c>
      <c r="G11" s="16" t="n">
        <v>82966.74000000001</v>
      </c>
      <c r="H11" s="16" t="n">
        <v>68468.36</v>
      </c>
      <c r="I11" s="16" t="n">
        <v>27302.59</v>
      </c>
      <c r="J11" s="16" t="n">
        <v>26027.64</v>
      </c>
      <c r="K11" s="16" t="n">
        <v>24702.61</v>
      </c>
      <c r="L11" s="16" t="n">
        <v>17234.72</v>
      </c>
      <c r="M11" s="16" t="n">
        <v>18119.16</v>
      </c>
      <c r="N11" s="16" t="n">
        <v>26051.02</v>
      </c>
      <c r="O11" s="16" t="n">
        <v>27379.19</v>
      </c>
      <c r="P11" s="18">
        <f>SUM(D11:O11)</f>
        <v/>
      </c>
    </row>
    <row r="12">
      <c r="B12" s="2" t="inlineStr">
        <is>
          <t>Biomass transport (gross, pre-BCU)</t>
        </is>
      </c>
      <c r="C12" s="15" t="inlineStr">
        <is>
          <t>MT CO2e</t>
        </is>
      </c>
      <c r="D12" s="16" t="n">
        <v>3.19</v>
      </c>
      <c r="E12" s="16" t="n">
        <v>4.32</v>
      </c>
      <c r="F12" s="16" t="n">
        <v>5.02</v>
      </c>
      <c r="G12" s="16" t="n">
        <v>2.86</v>
      </c>
      <c r="H12" s="16" t="n">
        <v>1.639</v>
      </c>
      <c r="I12" s="16" t="n">
        <v>2.927</v>
      </c>
      <c r="J12" s="16" t="n">
        <v>1.452</v>
      </c>
      <c r="K12" s="16" t="n">
        <v>1.844</v>
      </c>
      <c r="L12" s="16" t="n">
        <v>2.167</v>
      </c>
      <c r="M12" s="16" t="n">
        <v>2.365</v>
      </c>
      <c r="N12" s="16" t="n">
        <v>1.798</v>
      </c>
      <c r="O12" s="16" t="n">
        <v>2.228</v>
      </c>
      <c r="P12" s="18">
        <f>SUM(D12:O12)</f>
        <v/>
      </c>
    </row>
    <row r="13">
      <c r="B13" s="5" t="inlineStr">
        <is>
          <t>OUTPUTS</t>
        </is>
      </c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>
      <c r="B14" s="2" t="inlineStr">
        <is>
          <t>WODO yield</t>
        </is>
      </c>
      <c r="C14" s="15" t="inlineStr">
        <is>
          <t>kg</t>
        </is>
      </c>
      <c r="D14" s="16" t="n">
        <v>22298</v>
      </c>
      <c r="E14" s="16" t="n">
        <v>25890</v>
      </c>
      <c r="F14" s="16" t="n">
        <v>16899</v>
      </c>
      <c r="G14" s="16" t="n">
        <v>22732</v>
      </c>
      <c r="H14" s="16" t="n">
        <v>20928</v>
      </c>
      <c r="I14" s="16" t="n">
        <v>12630</v>
      </c>
      <c r="J14" s="16" t="n">
        <v>14227</v>
      </c>
      <c r="K14" s="16" t="n">
        <v>9984</v>
      </c>
      <c r="L14" s="16" t="n">
        <v>6481</v>
      </c>
      <c r="M14" s="16" t="n">
        <v>8888</v>
      </c>
      <c r="N14" s="16" t="n">
        <v>10966</v>
      </c>
      <c r="O14" s="16" t="n">
        <v>16307</v>
      </c>
      <c r="P14" s="18">
        <f>SUM(D14:O14)</f>
        <v/>
      </c>
    </row>
    <row r="15">
      <c r="B15" s="2" t="inlineStr">
        <is>
          <t>Aqueous yield</t>
        </is>
      </c>
      <c r="C15" s="15" t="inlineStr">
        <is>
          <t>kg</t>
        </is>
      </c>
      <c r="D15" s="16" t="n">
        <v>75500</v>
      </c>
      <c r="E15" s="16" t="n">
        <v>75500</v>
      </c>
      <c r="F15" s="16" t="n">
        <v>75500</v>
      </c>
      <c r="G15" s="16" t="n">
        <v>77076</v>
      </c>
      <c r="H15" s="16" t="n">
        <v>75500</v>
      </c>
      <c r="I15" s="16" t="n">
        <v>75500</v>
      </c>
      <c r="J15" s="16" t="n">
        <v>75500</v>
      </c>
      <c r="K15" s="16" t="n">
        <v>40930</v>
      </c>
      <c r="L15" s="16" t="n">
        <v>19161</v>
      </c>
      <c r="M15" s="16" t="n">
        <v>30830</v>
      </c>
      <c r="N15" s="16" t="n">
        <v>37126</v>
      </c>
      <c r="O15" s="16" t="n">
        <v>46683</v>
      </c>
      <c r="P15" s="18">
        <f>SUM(D15:O15)</f>
        <v/>
      </c>
    </row>
    <row r="16">
      <c r="B16" s="2" t="inlineStr">
        <is>
          <t>Biochar yield</t>
        </is>
      </c>
      <c r="C16" s="15" t="inlineStr">
        <is>
          <t>kg</t>
        </is>
      </c>
      <c r="D16" s="16" t="n">
        <v>11426</v>
      </c>
      <c r="E16" s="16" t="n">
        <v>10357</v>
      </c>
      <c r="F16" s="16" t="n">
        <v>10309</v>
      </c>
      <c r="G16" s="16" t="n">
        <v>11597</v>
      </c>
      <c r="H16" s="16" t="n">
        <v>9186</v>
      </c>
      <c r="I16" s="16" t="n">
        <v>3868</v>
      </c>
      <c r="J16" s="16" t="n">
        <v>8085</v>
      </c>
      <c r="K16" s="16" t="n">
        <v>4580</v>
      </c>
      <c r="L16" s="16" t="n">
        <v>4074</v>
      </c>
      <c r="M16" s="16" t="n">
        <v>6560</v>
      </c>
      <c r="N16" s="16" t="n">
        <v>6766</v>
      </c>
      <c r="O16" s="16" t="n">
        <v>6259</v>
      </c>
      <c r="P16" s="18">
        <f>SUM(D16:O16)</f>
        <v/>
      </c>
    </row>
    <row r="17">
      <c r="B17" s="9" t="inlineStr">
        <is>
          <t>Bio-oil (WODO+Aqueous)</t>
        </is>
      </c>
      <c r="C17" s="15" t="inlineStr">
        <is>
          <t>kg</t>
        </is>
      </c>
      <c r="D17" s="20">
        <f>D14+D15</f>
        <v/>
      </c>
      <c r="E17" s="20">
        <f>E14+E15</f>
        <v/>
      </c>
      <c r="F17" s="20">
        <f>F14+F15</f>
        <v/>
      </c>
      <c r="G17" s="20">
        <f>G14+G15</f>
        <v/>
      </c>
      <c r="H17" s="20">
        <f>H14+H15</f>
        <v/>
      </c>
      <c r="I17" s="20">
        <f>I14+I15</f>
        <v/>
      </c>
      <c r="J17" s="20">
        <f>J14+J15</f>
        <v/>
      </c>
      <c r="K17" s="20">
        <f>K14+K15</f>
        <v/>
      </c>
      <c r="L17" s="20">
        <f>L14+L15</f>
        <v/>
      </c>
      <c r="M17" s="20">
        <f>M14+M15</f>
        <v/>
      </c>
      <c r="N17" s="20">
        <f>N14+N15</f>
        <v/>
      </c>
      <c r="O17" s="20">
        <f>O14+O15</f>
        <v/>
      </c>
      <c r="P17" s="18">
        <f>SUM(D17:O17)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" customWidth="1" min="3" max="3"/>
    <col width="40" customWidth="1" min="4" max="4"/>
    <col width="48" customWidth="1" min="5" max="5"/>
  </cols>
  <sheetData>
    <row r="1">
      <c r="B1" s="13" t="inlineStr">
        <is>
          <t>Source_Inclusion — EU 205 boundary decision for every emission source in the PP Summaries</t>
        </is>
      </c>
    </row>
    <row r="2" ht="54" customHeight="1">
      <c r="B2" s="4" t="inlineStr">
        <is>
          <t>Each source is judged against the primary text. Materiality rule (Max-directed): a source contributing &lt;0.5% of the EU-205 recomputed period total may be excluded, with the source and its % stated. This is a disclosed simplification — EU 205's formula itself carries no de minimis, so exclusions are conservative and reversible (one cell).</t>
        </is>
      </c>
    </row>
    <row r="4">
      <c r="B4" s="5" t="inlineStr">
        <is>
          <t>Source</t>
        </is>
      </c>
      <c r="C4" s="5" t="inlineStr">
        <is>
          <t>Decision</t>
        </is>
      </c>
      <c r="D4" s="5" t="inlineStr">
        <is>
          <t>EU 205 term / basis</t>
        </is>
      </c>
      <c r="E4" s="5" t="inlineStr">
        <is>
          <t>Justification + primary-text citation</t>
        </is>
      </c>
    </row>
    <row r="5" ht="60" customHeight="1">
      <c r="B5" s="21" t="inlineStr">
        <is>
          <t>Biomass extraction/harvest</t>
        </is>
      </c>
      <c r="C5" s="22" t="inlineStr">
        <is>
          <t>INCLUDE = 0</t>
        </is>
      </c>
      <c r="D5" s="4" t="inlineStr">
        <is>
          <t>e_ec</t>
        </is>
      </c>
      <c r="E5" s="4" t="inlineStr">
        <is>
          <t>Feedstock argued as a WASTE: RED Annex V — wastes/residues “shall be considered to have zero life-cycle greenhouse gas emissions up to the process of collection.” So e_ec = 0 (Charm position; no harvest factor applied).</t>
        </is>
      </c>
    </row>
    <row r="6" ht="60" customHeight="1">
      <c r="B6" s="21" t="inlineStr">
        <is>
          <t>Biomass transport</t>
        </is>
      </c>
      <c r="C6" s="22" t="inlineStr">
        <is>
          <t>INCLUDE</t>
        </is>
      </c>
      <c r="D6" s="4" t="inlineStr">
        <is>
          <t>e_td</t>
        </is>
      </c>
      <c r="E6" s="4" t="inlineStr">
        <is>
          <t>Feedstock transport to plant — emissions ARE calculated in each PP Summary (consolidated 'Biomass Transport'); production→injection transport is NOT in the PP summary. e_td uses the gross (pre-BCU) biomass-transport value per period (EU 205 §4.3.4).</t>
        </is>
      </c>
    </row>
    <row r="7" ht="60" customHeight="1">
      <c r="B7" s="21" t="inlineStr">
        <is>
          <t>Propane</t>
        </is>
      </c>
      <c r="C7" s="22" t="inlineStr">
        <is>
          <t>INCLUDE</t>
        </is>
      </c>
      <c r="D7" s="4" t="inlineStr">
        <is>
          <t>e_p</t>
        </is>
      </c>
      <c r="E7" s="4" t="inlineStr">
        <is>
          <t>Process fuel (EU 205 §4.3.5). EF = Annex IX 'LPG' 66.30 gCO2eq/MJ, LHV 46.0 MJ/kg (IR 2022/996 Annex IX, read this session).</t>
        </is>
      </c>
    </row>
    <row r="8" ht="60" customHeight="1">
      <c r="B8" s="21" t="inlineStr">
        <is>
          <t>Diesel — production</t>
        </is>
      </c>
      <c r="C8" s="22" t="inlineStr">
        <is>
          <t>INCLUDE</t>
        </is>
      </c>
      <c r="D8" s="4" t="inlineStr">
        <is>
          <t>e_p</t>
        </is>
      </c>
      <c r="E8" s="4" t="inlineStr">
        <is>
          <t>On-site process diesel (EU 205 §4.3.5). EF = Annex IX Diesel 95.10 gCO2eq/MJ, LHV 43.1. Charm used GLEC WTW 3.87 kg/kg; EU 205 uses Annex IX.</t>
        </is>
      </c>
    </row>
    <row r="9" ht="60" customHeight="1">
      <c r="B9" s="21" t="inlineStr">
        <is>
          <t>Diesel — office generator</t>
        </is>
      </c>
      <c r="C9" s="11" t="inlineStr">
        <is>
          <t>EXCLUDE</t>
        </is>
      </c>
      <c r="D9" s="4" t="inlineStr">
        <is>
          <t>n/a (non-production)</t>
        </is>
      </c>
      <c r="E9" s="4" t="inlineStr">
        <is>
          <t>Not part of biofuel production; Charm already reports it separately (e.g. PP5 320 gal, PP8 200 gal of the total diesel). Out of the production system boundary (EU 205 §4.3.5.2 'GHG emissions from processing').</t>
        </is>
      </c>
    </row>
    <row r="10" ht="60" customHeight="1">
      <c r="B10" s="21" t="inlineStr">
        <is>
          <t>Gasoline</t>
        </is>
      </c>
      <c r="C10" s="22" t="inlineStr">
        <is>
          <t>INCLUDE</t>
        </is>
      </c>
      <c r="D10" s="4" t="inlineStr">
        <is>
          <t>e_p</t>
        </is>
      </c>
      <c r="E10" s="4" t="inlineStr">
        <is>
          <t>Process fuel (EU 205 §4.3.5). EF = Annex IX Gasoline 93.30 gCO2eq/MJ, LHV 43.2.</t>
        </is>
      </c>
    </row>
    <row r="11" ht="60" customHeight="1">
      <c r="B11" s="21" t="inlineStr">
        <is>
          <t>Electricity</t>
        </is>
      </c>
      <c r="C11" s="22" t="inlineStr">
        <is>
          <t>INCLUDE</t>
        </is>
      </c>
      <c r="D11" s="4" t="inlineStr">
        <is>
          <t>e_p</t>
        </is>
      </c>
      <c r="E11" s="4" t="inlineStr">
        <is>
          <t>Grid electricity at the U.S. NATIONAL grid EF — NOT the REC-adjusted figure. EU 205 §4.3.5.1 (pp.47-48): 'the EF of the national/country electricity mix shall be used' unless a direct metered renewable connection exists. U.S. national eGRID2023 total-output = 0.34968 kgCO2e/kWh (770.9 lb CO2e/MWh); Charm's REC-netted ~0.037 figure is dropped.</t>
        </is>
      </c>
    </row>
    <row r="12" ht="60" customHeight="1">
      <c r="B12" s="21" t="inlineStr">
        <is>
          <t>Tailgas</t>
        </is>
      </c>
      <c r="C12" s="22" t="inlineStr">
        <is>
          <t>INCLUDE*</t>
        </is>
      </c>
      <c r="D12" s="4" t="inlineStr">
        <is>
          <t>e_p (process/waste)</t>
        </is>
      </c>
      <c r="E12" s="4" t="inlineStr">
        <is>
          <t>Process emission from pyrolysis (EU 205 §4.3.5 includes emissions 'from waste and leakages'). ~0.48–0.62% of Charm total — near the 0.5% line; keep unless the EU-205 recompute puts it &lt;0.5%.</t>
        </is>
      </c>
    </row>
    <row r="13" ht="60" customHeight="1">
      <c r="B13" s="21" t="inlineStr">
        <is>
          <t>Water</t>
        </is>
      </c>
      <c r="C13" s="11" t="inlineStr">
        <is>
          <t>EXCLUDE (materiality)</t>
        </is>
      </c>
      <c r="D13" s="4" t="inlineStr">
        <is>
          <t>e_p</t>
        </is>
      </c>
      <c r="E13" s="4" t="inlineStr">
        <is>
          <t>0.09–0.42% of Charm period total — below the 0.5% threshold in every period observed (PP5 0.42%, PP6 0.08%, PP7 0.09%, PP8 0.09%). Excluded per the stated materiality rule; recorded here for transparency.</t>
        </is>
      </c>
    </row>
    <row r="14" ht="60" customHeight="1">
      <c r="B14" s="21" t="inlineStr">
        <is>
          <t>Consumables delivery</t>
        </is>
      </c>
      <c r="C14" s="11" t="inlineStr">
        <is>
          <t>EXCLUDE (materiality)</t>
        </is>
      </c>
      <c r="D14" s="4" t="inlineStr">
        <is>
          <t>e_p / e_td</t>
        </is>
      </c>
      <c r="E14" s="4" t="inlineStr">
        <is>
          <t>0.08–0.12% of total across PP5–PP8 — below 0.5%. Excluded per materiality rule.</t>
        </is>
      </c>
    </row>
    <row r="15" ht="60" customHeight="1">
      <c r="B15" s="21" t="inlineStr">
        <is>
          <t>Waste disposal</t>
        </is>
      </c>
      <c r="C15" s="11" t="inlineStr">
        <is>
          <t>EXCLUDE (materiality)</t>
        </is>
      </c>
      <c r="D15" s="4" t="inlineStr">
        <is>
          <t>e_p</t>
        </is>
      </c>
      <c r="E15" s="4" t="inlineStr">
        <is>
          <t>0.00–0.22% of total — below 0.5%. Excluded per materiality rule.</t>
        </is>
      </c>
    </row>
    <row r="16" ht="60" customHeight="1">
      <c r="B16" s="21" t="inlineStr">
        <is>
          <t>Capital Goods (equipment) embodied</t>
        </is>
      </c>
      <c r="C16" s="11" t="inlineStr">
        <is>
          <t>EXCLUDE</t>
        </is>
      </c>
      <c r="D16" s="4" t="inlineStr">
        <is>
          <t>n/a</t>
        </is>
      </c>
      <c r="E16" s="4" t="inlineStr">
        <is>
          <t>EU 205 v4.1 p.11 &amp; p.17, verbatim: “Emissions from the manufacture of machinery and equipment shall not be taken into account.” ~15–19% of Charm total but categorically outside the EU-205 boundary.</t>
        </is>
      </c>
    </row>
    <row r="17" ht="60" customHeight="1">
      <c r="B17" s="21" t="inlineStr">
        <is>
          <t>Spare Parts &amp; Consumables embodied</t>
        </is>
      </c>
      <c r="C17" s="11" t="inlineStr">
        <is>
          <t>EXCLUDE</t>
        </is>
      </c>
      <c r="D17" s="4" t="inlineStr">
        <is>
          <t>n/a</t>
        </is>
      </c>
      <c r="E17" s="4" t="inlineStr">
        <is>
          <t>Same rule — embodied emissions of equipment/parts. EU 205 p.11 &amp; p.17: machinery/equipment manufacture not counted.</t>
        </is>
      </c>
    </row>
    <row r="18" ht="90" customHeight="1">
      <c r="B18" s="21" t="inlineStr">
        <is>
          <t>BCUs (renewable-diesel book-and-claim units)</t>
        </is>
      </c>
      <c r="C18" s="11" t="inlineStr">
        <is>
          <t>EXCLUDE</t>
        </is>
      </c>
      <c r="D18" s="4" t="inlineStr">
        <is>
          <t>n/a</t>
        </is>
      </c>
      <c r="E18" s="4" t="inlineStr">
        <is>
          <t>BCUs are renewable-diesel BOOK-AND-CLAIM units Charm applies to net down fossil-diesel combustion (e.g. PP5 diesel 14.00→0.00 MT; pool shown as 'RD BCUs' under 'Total Procured Renewables'). A book-and-claim instrument — not biochar. EU 205 counts the fuel physically consumed: on-site data gathering lists 'diesel or other fuel' actually used (EU 205 v4.1 §4.3.5), and it recognizes no book-and-claim substitution (cf. the electricity rule §4.3.5.1, which requires a physical/metered renewable connection, not certificates). So diesel is counted on the physical kg burned (Annex IX EF) and the BCU netting is dropped — i.e. the gross 'No GHG Neutralization' basis.</t>
        </is>
      </c>
    </row>
    <row r="19" ht="60" customHeight="1">
      <c r="B19" s="21" t="inlineStr">
        <is>
          <t>RECs (renewable-electricity certs)</t>
        </is>
      </c>
      <c r="C19" s="11" t="inlineStr">
        <is>
          <t>EXCLUDE</t>
        </is>
      </c>
      <c r="D19" s="4" t="inlineStr">
        <is>
          <t>n/a</t>
        </is>
      </c>
      <c r="E19" s="4" t="inlineStr">
        <is>
          <t>No book-and-claim REC pathway in EU 205; grid EF required (§4.3.5.1). See Electricity row — the REC credit is dropped.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34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5" customWidth="1" min="3" max="3"/>
    <col width="58" customWidth="1" min="4" max="4"/>
  </cols>
  <sheetData>
    <row r="1">
      <c r="B1" s="13" t="inlineStr">
        <is>
          <t>EU 205 recompute — 12-month period CI (live from PP_Data)</t>
        </is>
      </c>
    </row>
    <row r="2" ht="44" customHeight="1">
      <c r="B2" s="4" t="inlineStr">
        <is>
          <t>Emissions rebuilt from summed activity with Annex IX EFs, U.S. national grid electricity (no REC), gross-of-BCU. e_ec=0 (feedstock argued as waste). Excluded: equipment embodied, BCU, REC, water/consumables/waste/tailgas (&lt;0.5%). Live formulas.</t>
        </is>
      </c>
    </row>
    <row r="4">
      <c r="B4" s="5" t="inlineStr">
        <is>
          <t>PARAMETERS</t>
        </is>
      </c>
      <c r="C4" s="5" t="inlineStr">
        <is>
          <t>Value</t>
        </is>
      </c>
      <c r="D4" s="5" t="inlineStr">
        <is>
          <t>Unit / source</t>
        </is>
      </c>
    </row>
    <row r="5" ht="26" customHeight="1">
      <c r="B5" s="2" t="inlineStr">
        <is>
          <t>LPG (propane) EF</t>
        </is>
      </c>
      <c r="C5" s="6" t="n">
        <v>66.3</v>
      </c>
      <c r="D5" s="4" t="inlineStr">
        <is>
          <t>gCO2eq/MJ — IR 2022/996 Annex IX</t>
        </is>
      </c>
    </row>
    <row r="6" ht="26" customHeight="1">
      <c r="B6" s="2" t="inlineStr">
        <is>
          <t>LPG LHV</t>
        </is>
      </c>
      <c r="C6" s="6" t="n">
        <v>46</v>
      </c>
      <c r="D6" s="4" t="inlineStr">
        <is>
          <t>MJ/kg — Annex IX</t>
        </is>
      </c>
    </row>
    <row r="7" ht="26" customHeight="1">
      <c r="B7" s="2" t="inlineStr">
        <is>
          <t>Diesel EF</t>
        </is>
      </c>
      <c r="C7" s="6" t="n">
        <v>95.09999999999999</v>
      </c>
      <c r="D7" s="4" t="inlineStr">
        <is>
          <t>gCO2eq/MJ — Annex IX</t>
        </is>
      </c>
    </row>
    <row r="8" ht="26" customHeight="1">
      <c r="B8" s="2" t="inlineStr">
        <is>
          <t>Diesel LHV</t>
        </is>
      </c>
      <c r="C8" s="6" t="n">
        <v>43.1</v>
      </c>
      <c r="D8" s="4" t="inlineStr">
        <is>
          <t>MJ/kg — Annex IX</t>
        </is>
      </c>
    </row>
    <row r="9" ht="26" customHeight="1">
      <c r="B9" s="2" t="inlineStr">
        <is>
          <t>Gasoline EF</t>
        </is>
      </c>
      <c r="C9" s="6" t="n">
        <v>93.3</v>
      </c>
      <c r="D9" s="4" t="inlineStr">
        <is>
          <t>gCO2eq/MJ — Annex IX</t>
        </is>
      </c>
    </row>
    <row r="10" ht="26" customHeight="1">
      <c r="B10" s="2" t="inlineStr">
        <is>
          <t>Gasoline LHV</t>
        </is>
      </c>
      <c r="C10" s="6" t="n">
        <v>43.2</v>
      </c>
      <c r="D10" s="4" t="inlineStr">
        <is>
          <t>MJ/kg — Annex IX</t>
        </is>
      </c>
    </row>
    <row r="11" ht="26" customHeight="1">
      <c r="B11" s="2" t="inlineStr">
        <is>
          <t>Electricity grid EF</t>
        </is>
      </c>
      <c r="C11" s="7" t="n">
        <v>0.34968</v>
      </c>
      <c r="D11" s="4" t="inlineStr">
        <is>
          <t>kgCO2eq/kWh — U.S. NATIONAL grid, eGRID2023 Table 1: 770.9 lb CO2e/MWh × 0.453592 ÷ 1000 (EPA, read 2026-07-23). EU 205 §4.3.5.1 national/country mix.</t>
        </is>
      </c>
    </row>
    <row r="12" ht="26" customHeight="1">
      <c r="B12" s="2" t="inlineStr">
        <is>
          <t>Bio-oil LHV</t>
        </is>
      </c>
      <c r="C12" s="6" t="n">
        <v>15</v>
      </c>
      <c r="D12" s="4" t="inlineStr">
        <is>
          <t>MJ/kg — AECN CoA HHV 17.5 → LHV ~15 (A.Thomas)</t>
        </is>
      </c>
    </row>
    <row r="13" ht="26" customHeight="1">
      <c r="B13" s="2" t="inlineStr">
        <is>
          <t>Biochar GCV (HHV, as-is)</t>
        </is>
      </c>
      <c r="C13" s="6" t="n">
        <v>24.16</v>
      </c>
      <c r="D13" s="4" t="inlineStr">
        <is>
          <t>MJ/kg — SGS ASTM D240 (10352/10406/10402 Btu/lb)</t>
        </is>
      </c>
    </row>
    <row r="14" ht="26" customHeight="1">
      <c r="B14" s="2" t="inlineStr">
        <is>
          <t>Biochar H (as-is)</t>
        </is>
      </c>
      <c r="C14" s="6" t="n">
        <v>4.41</v>
      </c>
      <c r="D14" s="4" t="inlineStr">
        <is>
          <t>wt% — CHN combined sample</t>
        </is>
      </c>
    </row>
    <row r="15" ht="26" customHeight="1">
      <c r="B15" s="2" t="inlineStr">
        <is>
          <t>Biochar moisture (as-is)</t>
        </is>
      </c>
      <c r="C15" s="6" t="n">
        <v>16.35</v>
      </c>
      <c r="D15" s="4" t="inlineStr">
        <is>
          <t>wt% — CHN combined sample</t>
        </is>
      </c>
    </row>
    <row r="16">
      <c r="B16" s="9" t="inlineStr">
        <is>
          <t>Biochar LHV (derived)</t>
        </is>
      </c>
      <c r="C16" s="8">
        <f>C13-2.442*(C15+8.94*C14)/100</f>
        <v/>
      </c>
      <c r="D16" s="4" t="inlineStr">
        <is>
          <t>LHV=HHV−2.442×(M+8.94·H)/100</t>
        </is>
      </c>
    </row>
    <row r="19">
      <c r="B19" s="5" t="inlineStr">
        <is>
          <t>EU 205 EMISSIONS (12-mo, kgCO2eq)</t>
        </is>
      </c>
      <c r="C19" s="5" t="inlineStr">
        <is>
          <t>kgCO2eq</t>
        </is>
      </c>
      <c r="D19" s="5" t="inlineStr">
        <is>
          <t>formula</t>
        </is>
      </c>
    </row>
    <row r="20">
      <c r="B20" s="2" t="inlineStr">
        <is>
          <t>e_p — Propane</t>
        </is>
      </c>
      <c r="C20" s="8">
        <f>PP_Data!P7*C6*C5/1000</f>
        <v/>
      </c>
      <c r="D20" s="4" t="inlineStr">
        <is>
          <t>kg × LHV × EF</t>
        </is>
      </c>
    </row>
    <row r="21">
      <c r="B21" s="2" t="inlineStr">
        <is>
          <t>e_p — Diesel (production)</t>
        </is>
      </c>
      <c r="C21" s="8">
        <f>PP_Data!P8*C8*C7/1000</f>
        <v/>
      </c>
      <c r="D21" s="4" t="inlineStr">
        <is>
          <t>kg × LHV × EF</t>
        </is>
      </c>
    </row>
    <row r="22">
      <c r="B22" s="2" t="inlineStr">
        <is>
          <t>e_p — Gasoline</t>
        </is>
      </c>
      <c r="C22" s="8">
        <f>PP_Data!P9*C10*C9/1000</f>
        <v/>
      </c>
      <c r="D22" s="4" t="inlineStr">
        <is>
          <t>kg × LHV × EF</t>
        </is>
      </c>
    </row>
    <row r="23">
      <c r="B23" s="2" t="inlineStr">
        <is>
          <t>e_p — Electricity (US national grid, no REC)</t>
        </is>
      </c>
      <c r="C23" s="8">
        <f>PP_Data!P10*C11</f>
        <v/>
      </c>
      <c r="D23" s="4" t="inlineStr">
        <is>
          <t>kWh × grid EF</t>
        </is>
      </c>
    </row>
    <row r="24">
      <c r="B24" s="2" t="inlineStr">
        <is>
          <t>e_ec — Harvest (waste → 0)</t>
        </is>
      </c>
      <c r="C24" s="8" t="n">
        <v>0</v>
      </c>
      <c r="D24" s="4" t="inlineStr">
        <is>
          <t>feedstock argued as waste; RED Annex V zero-burden up to collection</t>
        </is>
      </c>
    </row>
    <row r="25">
      <c r="B25" s="2" t="inlineStr">
        <is>
          <t>e_td — Biomass transport</t>
        </is>
      </c>
      <c r="C25" s="8">
        <f>PP_Data!P12*1000</f>
        <v/>
      </c>
      <c r="D25" s="4" t="inlineStr">
        <is>
          <t>gross biomass transport from PP summaries (MT→kg); Max: injection transport not included</t>
        </is>
      </c>
    </row>
    <row r="26">
      <c r="B26" s="9" t="inlineStr">
        <is>
          <t>TOTAL included emissions</t>
        </is>
      </c>
      <c r="C26" s="10">
        <f>SUM(C20:C25)</f>
        <v/>
      </c>
    </row>
    <row r="28">
      <c r="B28" s="2" t="inlineStr">
        <is>
          <t>Bio-oil energy (WODO+Aq)</t>
        </is>
      </c>
      <c r="C28" s="8">
        <f>PP_Data!P17*C12</f>
        <v/>
      </c>
      <c r="D28" s="4" t="inlineStr">
        <is>
          <t>kg × bio-oil LHV</t>
        </is>
      </c>
    </row>
    <row r="29">
      <c r="B29" s="2" t="inlineStr">
        <is>
          <t>Biochar energy</t>
        </is>
      </c>
      <c r="C29" s="8">
        <f>PP_Data!P16*C16</f>
        <v/>
      </c>
      <c r="D29" s="4" t="inlineStr">
        <is>
          <t>kg × biochar LHV</t>
        </is>
      </c>
    </row>
    <row r="30">
      <c r="B30" s="2" t="inlineStr">
        <is>
          <t>Allocation factor → bio-oil</t>
        </is>
      </c>
      <c r="C30" s="8">
        <f>IFERROR(C28/(C28+C29),"")</f>
        <v/>
      </c>
      <c r="D30" s="4" t="inlineStr">
        <is>
          <t>energy basis, EU 205 §4.3.8</t>
        </is>
      </c>
    </row>
    <row r="31">
      <c r="B31" s="2" t="inlineStr">
        <is>
          <t>Emissions to bio-oil (kg)</t>
        </is>
      </c>
      <c r="C31" s="8">
        <f>IFERROR(C26*C30,"")</f>
        <v/>
      </c>
    </row>
    <row r="33">
      <c r="B33" s="5" t="inlineStr">
        <is>
          <t>BIO-OIL CI (kgCO2eq/tonne)</t>
        </is>
      </c>
      <c r="C33" s="10">
        <f>IFERROR(C31/(PP_Data!P17/1000),"")</f>
        <v/>
      </c>
    </row>
    <row r="34">
      <c r="B34" s="5" t="inlineStr">
        <is>
          <t>BIO-OIL CI (gCO2eq/MJ)</t>
        </is>
      </c>
      <c r="C34" s="10">
        <f>IFERROR(C33/C12,"")</f>
        <v/>
      </c>
      <c r="D34" s="4" t="inlineStr">
        <is>
          <t>12-mo Apr 2025 – Mar 2026 (all 12 months produced)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52" customWidth="1" min="4" max="4"/>
  </cols>
  <sheetData>
    <row r="2">
      <c r="B2" s="1" t="inlineStr">
        <is>
          <t>Result</t>
        </is>
      </c>
    </row>
    <row r="4">
      <c r="B4" s="5" t="inlineStr">
        <is>
          <t>Metric</t>
        </is>
      </c>
      <c r="C4" s="5" t="inlineStr">
        <is>
          <t>Value</t>
        </is>
      </c>
      <c r="D4" s="5" t="inlineStr">
        <is>
          <t>Basis</t>
        </is>
      </c>
    </row>
    <row r="5">
      <c r="B5" s="9" t="inlineStr">
        <is>
          <t>Bio-oil CI (kgCO2eq/dry-ton)</t>
        </is>
      </c>
      <c r="C5" s="10">
        <f>IFERROR(EU205_CI!C33,"")</f>
        <v/>
      </c>
      <c r="D5" s="4" t="inlineStr">
        <is>
          <t>ACTUAL — EU 205 recompute, 12-mo (EU205_CI)</t>
        </is>
      </c>
    </row>
    <row r="6">
      <c r="B6" s="9" t="inlineStr">
        <is>
          <t>Bio-oil CI (gCO2eq/MJ)</t>
        </is>
      </c>
      <c r="C6" s="10">
        <f>IFERROR(EU205_CI!C34,"")</f>
        <v/>
      </c>
      <c r="D6" s="4" t="inlineStr">
        <is>
          <t>ACTUAL — EU 205 recompute, 12-mo</t>
        </is>
      </c>
    </row>
    <row r="7">
      <c r="B7" s="2" t="inlineStr">
        <is>
          <t>Notional SAF CI (gCO2eq/MJ)</t>
        </is>
      </c>
      <c r="C7" s="8">
        <f>IFERROR(Refinery_SAF!C11,"")</f>
        <v/>
      </c>
      <c r="D7" s="4" t="inlineStr">
        <is>
          <t>NOTIONAL (refinery placeholder)</t>
        </is>
      </c>
    </row>
    <row r="8">
      <c r="B8" s="2" t="inlineStr">
        <is>
          <t>Fossil jet comparator (gCO2eq/MJ)</t>
        </is>
      </c>
      <c r="C8" s="7" t="n">
        <v>89</v>
      </c>
      <c r="D8" s="4" t="inlineStr">
        <is>
          <t>EXAMPLE — confirm value from ICAO before use</t>
        </is>
      </c>
    </row>
    <row r="9" ht="60" customHeight="1">
      <c r="B9" s="2" t="inlineStr">
        <is>
          <t>GHG saving vs comparator (%)</t>
        </is>
      </c>
      <c r="C9" s="8">
        <f>IFERROR(IF(OR(C8="",NOT(ISNUMBER(C7))),"",(C8-C7)/C8*100),"")</f>
        <v/>
      </c>
      <c r="D9" s="4" t="inlineStr">
        <is>
          <t>Informational only. Any pass/fail threshold comes from the destination market — RED III 50/60/65% (EU 205 §2) or CORSIA — not from this sheet. (ISCC PLUS certification does not itself require GHG; whether the voluntary GHG add-on imposes a threshold is unresolved in the in-force docs.)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58" customWidth="1" min="4" max="4"/>
  </cols>
  <sheetData>
    <row r="2">
      <c r="B2" s="1" t="inlineStr">
        <is>
          <t>Refinery co-processing → SAF (PLACEHOLDER — no refinery data yet)</t>
        </is>
      </c>
    </row>
    <row r="3">
      <c r="B3" s="11" t="inlineStr">
        <is>
          <t>Orange cells are stand-ins. Replace with real refinery data.</t>
        </is>
      </c>
    </row>
    <row r="4">
      <c r="B4" s="5" t="inlineStr">
        <is>
          <t>Item</t>
        </is>
      </c>
      <c r="C4" s="5" t="inlineStr">
        <is>
          <t>Value</t>
        </is>
      </c>
      <c r="D4" s="5" t="inlineStr">
        <is>
          <t>Note</t>
        </is>
      </c>
    </row>
    <row r="5">
      <c r="B5" s="2" t="inlineStr">
        <is>
          <t>Bio-oil CI in (gCO2eq/MJ)</t>
        </is>
      </c>
      <c r="C5" s="8">
        <f>IFERROR(EU205_CI!C34,"")</f>
        <v/>
      </c>
      <c r="D5" s="4" t="inlineStr">
        <is>
          <t>carried from bio-oil calc</t>
        </is>
      </c>
    </row>
    <row r="6">
      <c r="B6" s="2" t="inlineStr">
        <is>
          <t>Bio-oil→SAF conversion efficiency</t>
        </is>
      </c>
      <c r="C6" s="12" t="n">
        <v>0.55</v>
      </c>
      <c r="D6" s="4" t="inlineStr">
        <is>
          <t>PLACEHOLDER: MJ SAF per MJ bio-oil in</t>
        </is>
      </c>
    </row>
    <row r="7">
      <c r="B7" s="2" t="inlineStr">
        <is>
          <t>Refinery processing (gCO2eq/MJ SAF)</t>
        </is>
      </c>
      <c r="C7" s="12" t="n">
        <v>5</v>
      </c>
      <c r="D7" s="4" t="inlineStr">
        <is>
          <t>PLACEHOLDER</t>
        </is>
      </c>
    </row>
    <row r="8">
      <c r="B8" s="2" t="inlineStr">
        <is>
          <t>Hydrogen input (gCO2eq/MJ SAF)</t>
        </is>
      </c>
      <c r="C8" s="12" t="n">
        <v>15</v>
      </c>
      <c r="D8" s="4" t="inlineStr">
        <is>
          <t>PLACEHOLDER: H2 for upgrading</t>
        </is>
      </c>
    </row>
    <row r="9">
      <c r="B9" s="2" t="inlineStr">
        <is>
          <t>e_u (fuel in use)</t>
        </is>
      </c>
      <c r="C9" s="6" t="n">
        <v>0</v>
      </c>
      <c r="D9" s="4" t="inlineStr">
        <is>
          <t>0 for biofuel combustion (RED Annex V pt.13)</t>
        </is>
      </c>
    </row>
    <row r="11">
      <c r="B11" s="5" t="inlineStr">
        <is>
          <t>NOTIONAL SAF CI (gCO2eq/MJ)</t>
        </is>
      </c>
      <c r="C11" s="10">
        <f>IFERROR(IF(C6="","enter efficiency",C5/C6+C7+C8+C9),"")</f>
        <v/>
      </c>
      <c r="D11" s="4" t="inlineStr">
        <is>
          <t>bio-oil CI/eff + refinery + H2 + e_u (NOTIONAL)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2026-07-23T23:27:42Z</dcterms:created>
  <dcterms:modified xmlns:dcterms="http://purl.org/dc/terms/" xmlns:xsi="http://www.w3.org/2001/XMLSchema-instance" xsi:type="dcterms:W3CDTF">2026-07-24T00:46:44Z</dcterms:modified>
</cp:coreProperties>
</file>