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PP_Data" sheetId="2" state="visible" r:id="rId2"/>
    <sheet xmlns:r="http://schemas.openxmlformats.org/officeDocument/2006/relationships" name="Source_Inclusion" sheetId="3" state="visible" r:id="rId3"/>
    <sheet xmlns:r="http://schemas.openxmlformats.org/officeDocument/2006/relationships" name="EU205_CI" sheetId="4" state="visible" r:id="rId4"/>
    <sheet xmlns:r="http://schemas.openxmlformats.org/officeDocument/2006/relationships" name="Result" sheetId="5" state="visible" r:id="rId5"/>
    <sheet xmlns:r="http://schemas.openxmlformats.org/officeDocument/2006/relationships" name="Refinery_SAF"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b val="1"/>
      <sz val="13"/>
    </font>
  </fonts>
  <fills count="8">
    <fill>
      <patternFill/>
    </fill>
    <fill>
      <patternFill patternType="gray125"/>
    </fill>
    <fill>
      <patternFill patternType="solid">
        <fgColor rgb="00D6E4F0"/>
      </patternFill>
    </fill>
    <fill>
      <patternFill patternType="solid">
        <fgColor rgb="00DDEBF7"/>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s>
  <borders count="3">
    <border>
      <left/>
      <right/>
      <top/>
      <bottom/>
      <diagonal/>
    </border>
    <border>
      <left style="thin">
        <color rgb="00BBBBBB"/>
      </left>
      <right style="thin">
        <color rgb="00BBBBBB"/>
      </right>
      <top style="thin">
        <color rgb="00BBBBBB"/>
      </top>
      <bottom style="thin">
        <color rgb="00BBBBBB"/>
      </bottom>
    </border>
    <border/>
  </borders>
  <cellStyleXfs count="1">
    <xf numFmtId="0" fontId="0" fillId="0" borderId="0"/>
  </cellStyleXfs>
  <cellXfs count="30">
    <xf numFmtId="0" fontId="0" fillId="0" borderId="0" pivotButton="0" quotePrefix="0" xfId="0"/>
    <xf numFmtId="0" fontId="1" fillId="0" borderId="1" pivotButton="0" quotePrefix="0" xfId="0"/>
    <xf numFmtId="0" fontId="0" fillId="0" borderId="1" pivotButton="0" quotePrefix="0" xfId="0"/>
    <xf numFmtId="0" fontId="2" fillId="2" borderId="1" applyAlignment="1" pivotButton="0" quotePrefix="0" xfId="0">
      <alignment vertical="top" wrapText="1"/>
    </xf>
    <xf numFmtId="0" fontId="0" fillId="0" borderId="1" applyAlignment="1" pivotButton="0" quotePrefix="0" xfId="0">
      <alignment vertical="top" wrapText="1"/>
    </xf>
    <xf numFmtId="0" fontId="2" fillId="2" borderId="1" pivotButton="0" quotePrefix="0" xfId="0"/>
    <xf numFmtId="0" fontId="0" fillId="3" borderId="1" pivotButton="0" quotePrefix="0" xfId="0"/>
    <xf numFmtId="0" fontId="0" fillId="4" borderId="1" pivotButton="0" quotePrefix="0" xfId="0"/>
    <xf numFmtId="0" fontId="0" fillId="5" borderId="1" pivotButton="0" quotePrefix="0" xfId="0"/>
    <xf numFmtId="0" fontId="2" fillId="0" borderId="1" pivotButton="0" quotePrefix="0" xfId="0"/>
    <xf numFmtId="0" fontId="2" fillId="5" borderId="1" pivotButton="0" quotePrefix="0" xfId="0"/>
    <xf numFmtId="0" fontId="0" fillId="6" borderId="1" applyAlignment="1" pivotButton="0" quotePrefix="0" xfId="0">
      <alignment vertical="top" wrapText="1"/>
    </xf>
    <xf numFmtId="0" fontId="0" fillId="6" borderId="1" pivotButton="0" quotePrefix="0" xfId="0"/>
    <xf numFmtId="0" fontId="3" fillId="0" borderId="1" pivotButton="0" quotePrefix="0" xfId="0"/>
    <xf numFmtId="0" fontId="2" fillId="2" borderId="1" applyAlignment="1" pivotButton="0" quotePrefix="0" xfId="0">
      <alignment horizontal="center" wrapText="1"/>
    </xf>
    <xf numFmtId="0" fontId="0" fillId="0" borderId="1" applyAlignment="1" pivotButton="0" quotePrefix="0" xfId="0">
      <alignment horizontal="center"/>
    </xf>
    <xf numFmtId="0" fontId="0" fillId="4" borderId="1" applyAlignment="1" pivotButton="0" quotePrefix="0" xfId="0">
      <alignment horizontal="center"/>
    </xf>
    <xf numFmtId="0" fontId="0" fillId="7" borderId="1" applyAlignment="1" pivotButton="0" quotePrefix="0" xfId="0">
      <alignment horizontal="center"/>
    </xf>
    <xf numFmtId="0" fontId="2" fillId="5" borderId="1" applyAlignment="1" pivotButton="0" quotePrefix="0" xfId="0">
      <alignment horizontal="center"/>
    </xf>
    <xf numFmtId="0" fontId="0" fillId="2" borderId="1" pivotButton="0" quotePrefix="0" xfId="0"/>
    <xf numFmtId="0" fontId="0" fillId="5" borderId="1" applyAlignment="1" pivotButton="0" quotePrefix="0" xfId="0">
      <alignment horizontal="center"/>
    </xf>
    <xf numFmtId="0" fontId="2" fillId="0" borderId="1" applyAlignment="1" pivotButton="0" quotePrefix="0" xfId="0">
      <alignment vertical="top" wrapText="1"/>
    </xf>
    <xf numFmtId="0" fontId="0" fillId="5" borderId="1" applyAlignment="1" pivotButton="0" quotePrefix="0" xfId="0">
      <alignment vertical="top" wrapText="1"/>
    </xf>
    <xf numFmtId="0" fontId="2" fillId="2" borderId="1" applyAlignment="1" pivotButton="0" quotePrefix="0" xfId="0">
      <alignment horizontal="center"/>
    </xf>
    <xf numFmtId="0" fontId="0" fillId="6" borderId="1" applyAlignment="1" pivotButton="0" quotePrefix="0" xfId="0">
      <alignment horizontal="center"/>
    </xf>
    <xf numFmtId="0" fontId="0" fillId="0" borderId="2" pivotButton="0" quotePrefix="0" xfId="0"/>
    <xf numFmtId="0" fontId="1" fillId="0" borderId="2" pivotButton="0" quotePrefix="0" xfId="0"/>
    <xf numFmtId="0" fontId="0" fillId="0" borderId="0" applyAlignment="1" pivotButton="0" quotePrefix="0" xfId="0">
      <alignment vertical="top" wrapText="1"/>
    </xf>
    <xf numFmtId="0" fontId="0" fillId="4" borderId="0" pivotButton="0" quotePrefix="0" xfId="0"/>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3" customWidth="1" min="1" max="1"/>
    <col width="32" customWidth="1" min="2" max="2"/>
    <col width="88" customWidth="1" min="3" max="3"/>
  </cols>
  <sheetData>
    <row r="1">
      <c r="A1" s="25" t="n"/>
      <c r="B1" s="25" t="n"/>
      <c r="C1" s="25" t="n"/>
      <c r="D1" s="25" t="n"/>
    </row>
    <row r="2">
      <c r="A2" s="25" t="n"/>
      <c r="B2" s="26" t="inlineStr">
        <is>
          <t>Charm Bio-oil (FPBO) → SAF — EU 205 Carbon-Intensity Calculator</t>
        </is>
      </c>
      <c r="C2" s="25" t="n"/>
      <c r="D2" s="25" t="n"/>
    </row>
    <row r="3">
      <c r="A3" s="25" t="n"/>
      <c r="B3" s="25" t="inlineStr">
        <is>
          <t>12-month actual-value CI (Apr 2025 – Mar 2026) from the Final Reporting Package PP Summaries  |  built/updated 2026-07-23</t>
        </is>
      </c>
      <c r="C3" s="25" t="inlineStr">
        <is>
          <t>12-month actual-value CI (Apr 2025 – Mar 2026) from the Final Reporting Package PP Summaries, on METERED activity data  |  built 2026-07-23, metered basis applied 2026-07-28</t>
        </is>
      </c>
      <c r="D3" s="25" t="n"/>
    </row>
    <row r="4">
      <c r="A4" s="25" t="n"/>
      <c r="B4" s="25" t="n"/>
      <c r="C4" s="25" t="n"/>
      <c r="D4" s="25" t="n"/>
    </row>
    <row r="5" ht="46" customHeight="1">
      <c r="A5" s="25" t="n"/>
      <c r="B5" s="3" t="inlineStr">
        <is>
          <t>Result</t>
        </is>
      </c>
      <c r="C5" s="4" t="inlineStr">
        <is>
          <t>Bio-oil CI = 560 kgCO2eq/tonne = 37.36 gCO2eq/MJ (Result tab / EU205_CI). Live off PP_Data — updates if any input changes.</t>
        </is>
      </c>
      <c r="D5" s="25" t="n"/>
    </row>
    <row r="6" ht="46" customHeight="1">
      <c r="A6" s="25" t="n"/>
      <c r="B6" s="3" t="inlineStr">
        <is>
          <t>How it flows</t>
        </is>
      </c>
      <c r="C6" s="4" t="inlineStr">
        <is>
          <t>PP_Data (summed activity) → EU205_CI (EU 205 recompute) → Result. Source_Inclusion documents the boundary. Refinery_SAF is a PLACEHOLDER for the co-processing step (no refinery data yet).</t>
        </is>
      </c>
      <c r="D6" s="25" t="n"/>
    </row>
    <row r="7" ht="46" customHeight="1">
      <c r="A7" s="25" t="n"/>
      <c r="B7" s="3" t="inlineStr">
        <is>
          <t>What this is</t>
        </is>
      </c>
      <c r="C7" s="4" t="inlineStr">
        <is>
          <t>An EU 205 actual-value recompute of Charm's own production data. ISCC publishes no calculator (ISCC FAQ, read 2026-07-23); this custom, cell-traceable sheet is the sanctioned route.</t>
        </is>
      </c>
      <c r="D7" s="25" t="n"/>
    </row>
    <row r="8" ht="46" customHeight="1">
      <c r="A8" s="25" t="n"/>
      <c r="B8" s="3" t="inlineStr">
        <is>
          <t>Why actual values</t>
        </is>
      </c>
      <c r="C8" s="4" t="inlineStr">
        <is>
          <t>No RED default exists for fast-pyrolysis bio-oil → SAF ('pyrolysis' = 0 hits in consolidated RED, searched 2026-07-23); EU 205 v4.1 §3.2 requires an actual-value calc.</t>
        </is>
      </c>
      <c r="D8" s="25" t="n"/>
    </row>
    <row r="9" ht="46" customHeight="1">
      <c r="A9" s="25" t="n"/>
      <c r="B9" s="3" t="inlineStr">
        <is>
          <t>Data source</t>
        </is>
      </c>
      <c r="C9" s="4" t="inlineStr">
        <is>
          <t>Each month's activity is taken from that period's Production Period Summary (Charm's own figures). Charm's emission columns are NOT copied — emissions are recomputed under EU 205. All 12 months Apr 2025–Mar 2026 produced.</t>
        </is>
      </c>
      <c r="D9" s="25" t="n"/>
    </row>
    <row r="10" ht="46" customHeight="1">
      <c r="A10" s="25" t="n"/>
      <c r="B10" s="3" t="inlineStr">
        <is>
          <t>Emission factors</t>
        </is>
      </c>
      <c r="C10" s="4" t="inlineStr">
        <is>
          <t>Fuels via IR (EU) 2022/996 Annex IX (propane/LPG, diesel, gasoline). Electricity at the U.S. NATIONAL grid EF (eGRID2023, 0.34968 kgCO2e/kWh), NO REC credit (EU 205 §4.3.5.1). All EFs shown on EU205_CI with source.</t>
        </is>
      </c>
      <c r="D10" s="25" t="n"/>
    </row>
    <row r="11" ht="46" customHeight="1">
      <c r="A11" s="25" t="n"/>
      <c r="B11" s="3" t="inlineStr">
        <is>
          <t>Key boundary calls</t>
        </is>
      </c>
      <c r="C11" s="4" t="inlineStr">
        <is>
          <t>e_ec = 0 (feedstock argued as waste, RED Annex V); BCU (renewable-diesel book-and-claim) and REC excluded → gross diesel + grid electricity; equipment embodied excluded (EU 205 p.11/17); water/consumables/waste/tailgas excluded under the §4.1 p.20 0.5% rule. Full basis + citations on Source_Inclusion.</t>
        </is>
      </c>
      <c r="D11" s="25" t="n"/>
    </row>
    <row r="12" ht="46" customHeight="1">
      <c r="B12" t="inlineStr">
        <is>
          <t>Measurement basis</t>
        </is>
      </c>
      <c r="C12" s="27" t="inlineStr">
        <is>
          <t>All fuel and electricity quantities are the METERED figures from the PP Summaries. The Summaries' "Uncertainty Adjusted Total" columns (fuels +1.29%, electricity +2.00%) are deliberately not used: EU 205 §4.1 p.20 calls for "Actual data measured and gathered at the system user", and the document (read in full, pp.2-67) has no meter-uncertainty adjustment provision. Using the adjusted columns would give 37.94 gCO2eq/MJ instead of 37.36. Full basis on Source_Inclusion.</t>
        </is>
      </c>
    </row>
    <row r="13" ht="46" customHeight="1">
      <c r="A13" s="25" t="n"/>
      <c r="B13" s="3" t="inlineStr">
        <is>
          <t>Allocation</t>
        </is>
      </c>
      <c r="C13" s="4" t="inlineStr">
        <is>
          <t>Bio-oil (WODO + Aqueous, no sub-split) vs biochar split by energy content (EU 205 §4.3.8), from measured LHVs (bio-oil ~15; biochar 22.8 derived from SGS GCV).</t>
        </is>
      </c>
      <c r="D13" s="25" t="n"/>
    </row>
    <row r="14" ht="46" customHeight="1">
      <c r="A14" s="25" t="n"/>
      <c r="B14" s="3" t="inlineStr">
        <is>
          <t>Open refinements</t>
        </is>
      </c>
      <c r="C14" s="4" t="inlineStr">
        <is>
          <t>(1) electricity uses the U.S. national eGRID rate for all months (single national factor, per your instruction); (2) e_td uses Charm's calculated gross biomass-transport per period; (3) refinery→SAF tab is a placeholder pending real data.</t>
        </is>
      </c>
      <c r="D14" s="25" t="n"/>
    </row>
    <row r="15">
      <c r="B15" s="3" t="inlineStr">
        <is>
          <t>Colour legend</t>
        </is>
      </c>
      <c r="C15" s="4" t="inlineStr">
        <is>
          <t>(1) electricity uses the U.S. national eGRID rate for all months (single national factor, per your instruction); (2) e_td uses Charm's calculated gross biomass-transport per period; (3) refinery→SAF tab is a placeholder pending real data.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cols>
    <col width="2" customWidth="1" min="1" max="1"/>
    <col width="32" customWidth="1" min="2" max="2"/>
    <col width="11"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13" customWidth="1" min="16" max="16"/>
  </cols>
  <sheetData>
    <row r="1">
      <c r="B1" s="13" t="inlineStr">
        <is>
          <t>PP_Data — activity per Production Period (Final Reporting Package PP Summaries)  |  Apr 2025 – Mar 2026 (12 mo)</t>
        </is>
      </c>
    </row>
    <row r="2" ht="44" customHeight="1">
      <c r="B2" s="4" t="inlineStr">
        <is>
          <t>Bio-oil = WODO + Aqueous (no sub-split). Activity taken from each month's Final Reporting Package Production Period Summary. ALL fuel and electricity inputs are the METERED figures — the PP Summaries' "Uncertainty Adjusted Total" / "Total kWh Consumed -- Uncertainty Adjusted" columns are deliberately NOT used (see Source_Inclusion, "Measurement basis"). Charm's emission columns are not copied either — emissions are recomputed under EU 205. Totals = live SUM.</t>
        </is>
      </c>
    </row>
    <row r="4" ht="26" customHeight="1">
      <c r="B4" s="5" t="inlineStr">
        <is>
          <t>Field</t>
        </is>
      </c>
      <c r="C4" s="5" t="inlineStr">
        <is>
          <t>Unit</t>
        </is>
      </c>
      <c r="D4" s="14" t="inlineStr">
        <is>
          <t>Apr 2025</t>
        </is>
      </c>
      <c r="E4" s="14" t="inlineStr">
        <is>
          <t>May 2025</t>
        </is>
      </c>
      <c r="F4" s="14" t="inlineStr">
        <is>
          <t>Jun 2025</t>
        </is>
      </c>
      <c r="G4" s="14" t="inlineStr">
        <is>
          <t>Jul 2025</t>
        </is>
      </c>
      <c r="H4" s="14" t="inlineStr">
        <is>
          <t>Aug 2025</t>
        </is>
      </c>
      <c r="I4" s="14" t="inlineStr">
        <is>
          <t>Sep 2025</t>
        </is>
      </c>
      <c r="J4" s="14" t="inlineStr">
        <is>
          <t>Oct 2025</t>
        </is>
      </c>
      <c r="K4" s="14" t="inlineStr">
        <is>
          <t>Nov 2025</t>
        </is>
      </c>
      <c r="L4" s="14" t="inlineStr">
        <is>
          <t>Dec 2025</t>
        </is>
      </c>
      <c r="M4" s="14" t="inlineStr">
        <is>
          <t>Jan 2026</t>
        </is>
      </c>
      <c r="N4" s="14" t="inlineStr">
        <is>
          <t>Feb 2026</t>
        </is>
      </c>
      <c r="O4" s="14" t="inlineStr">
        <is>
          <t>Mar 2026</t>
        </is>
      </c>
      <c r="P4" s="23" t="inlineStr">
        <is>
          <t>TOTAL</t>
        </is>
      </c>
    </row>
    <row r="5">
      <c r="B5" s="2" t="inlineStr">
        <is>
          <t>Days in period</t>
        </is>
      </c>
      <c r="C5" s="15" t="inlineStr">
        <is>
          <t>days</t>
        </is>
      </c>
      <c r="D5" s="16" t="n">
        <v>30</v>
      </c>
      <c r="E5" s="16" t="n">
        <v>31</v>
      </c>
      <c r="F5" s="16" t="n">
        <v>30</v>
      </c>
      <c r="G5" s="16" t="n">
        <v>31</v>
      </c>
      <c r="H5" s="16" t="n">
        <v>31</v>
      </c>
      <c r="I5" s="16" t="n">
        <v>30</v>
      </c>
      <c r="J5" s="16" t="n">
        <v>31</v>
      </c>
      <c r="K5" s="16" t="n">
        <v>30</v>
      </c>
      <c r="L5" s="16" t="n">
        <v>31</v>
      </c>
      <c r="M5" s="16" t="n">
        <v>31</v>
      </c>
      <c r="N5" s="16" t="n">
        <v>28</v>
      </c>
      <c r="O5" s="16" t="n">
        <v>31</v>
      </c>
      <c r="P5" s="18">
        <f>SUM(D5:O5)</f>
        <v/>
      </c>
    </row>
    <row r="6">
      <c r="B6" s="2" t="inlineStr">
        <is>
          <t>Biomass consumed (PP Summary labels this "Uncertainty-Adjusted"; not used in the CI)</t>
        </is>
      </c>
      <c r="C6" s="15" t="inlineStr">
        <is>
          <t>kg</t>
        </is>
      </c>
      <c r="D6" s="16" t="n">
        <v>106526</v>
      </c>
      <c r="E6" s="16" t="n">
        <v>106873</v>
      </c>
      <c r="F6" s="16" t="n">
        <v>116090</v>
      </c>
      <c r="G6" s="16" t="n">
        <v>106966</v>
      </c>
      <c r="H6" s="16" t="n">
        <v>84843</v>
      </c>
      <c r="I6" s="16" t="n">
        <v>64575</v>
      </c>
      <c r="J6" s="16" t="n">
        <v>47451</v>
      </c>
      <c r="K6" s="16" t="n">
        <v>25003</v>
      </c>
      <c r="L6" s="16" t="n">
        <v>28947</v>
      </c>
      <c r="M6" s="16" t="n">
        <v>44926</v>
      </c>
      <c r="N6" s="16" t="n">
        <v>47976</v>
      </c>
      <c r="O6" s="16" t="n">
        <v>65402</v>
      </c>
      <c r="P6" s="18">
        <f>SUM(D6:O6)</f>
        <v/>
      </c>
    </row>
    <row r="7">
      <c r="B7" s="2" t="inlineStr">
        <is>
          <t>Propane used — metered</t>
        </is>
      </c>
      <c r="C7" s="15" t="inlineStr">
        <is>
          <t>kg</t>
        </is>
      </c>
      <c r="D7" s="16" t="n">
        <v>5671.4</v>
      </c>
      <c r="E7" s="16" t="n">
        <v>6050.32</v>
      </c>
      <c r="F7" s="16" t="n">
        <v>6234.9</v>
      </c>
      <c r="G7" s="16" t="n">
        <v>7781.7</v>
      </c>
      <c r="H7" s="16" t="n">
        <v>5497.25</v>
      </c>
      <c r="I7" s="16" t="n">
        <v>3101.63</v>
      </c>
      <c r="J7" s="16" t="n">
        <v>4340.13</v>
      </c>
      <c r="K7" s="16" t="n">
        <v>3875.53</v>
      </c>
      <c r="L7" s="16" t="n">
        <v>2747.21</v>
      </c>
      <c r="M7" s="16" t="n">
        <v>3577.31</v>
      </c>
      <c r="N7" s="16" t="n">
        <v>3889.65</v>
      </c>
      <c r="O7" s="16" t="n">
        <v>4236.23</v>
      </c>
      <c r="P7" s="18">
        <f>SUM(D7:O7)</f>
        <v/>
      </c>
    </row>
    <row r="8">
      <c r="B8" s="2" t="inlineStr">
        <is>
          <t>Diesel — production, metered</t>
        </is>
      </c>
      <c r="C8" s="15" t="inlineStr">
        <is>
          <t>kg</t>
        </is>
      </c>
      <c r="D8" s="16" t="n">
        <v>3571.15</v>
      </c>
      <c r="E8" s="16" t="n">
        <v>1044.32</v>
      </c>
      <c r="F8" s="16" t="n">
        <v>5096.12</v>
      </c>
      <c r="G8" s="16" t="n">
        <v>8754.139999999999</v>
      </c>
      <c r="H8" s="16" t="n">
        <v>6013.36</v>
      </c>
      <c r="I8" s="16" t="n">
        <v>720.66</v>
      </c>
      <c r="J8" s="16" t="n">
        <v>3902.52</v>
      </c>
      <c r="K8" s="16" t="n">
        <v>4320.77</v>
      </c>
      <c r="L8" s="16" t="n">
        <v>5044.65</v>
      </c>
      <c r="M8" s="16" t="n">
        <v>4806.57</v>
      </c>
      <c r="N8" s="16" t="n">
        <v>3162.56</v>
      </c>
      <c r="O8" s="16" t="n">
        <v>2865.6</v>
      </c>
      <c r="P8" s="18">
        <f>SUM(D8:O8)</f>
        <v/>
      </c>
    </row>
    <row r="9">
      <c r="B9" s="2" t="inlineStr">
        <is>
          <t>Gasoline — metered</t>
        </is>
      </c>
      <c r="C9" s="15" t="inlineStr">
        <is>
          <t>kg</t>
        </is>
      </c>
      <c r="D9" s="16" t="n">
        <v>286.43</v>
      </c>
      <c r="E9" s="16" t="n">
        <v>131.56</v>
      </c>
      <c r="F9" s="16" t="n">
        <v>161.15</v>
      </c>
      <c r="G9" s="16" t="n">
        <v>27.64</v>
      </c>
      <c r="H9" s="16" t="n">
        <v>55.33</v>
      </c>
      <c r="I9" s="16" t="n">
        <v>0</v>
      </c>
      <c r="J9" s="16" t="n">
        <v>134.15</v>
      </c>
      <c r="K9" s="16" t="n">
        <v>132.61</v>
      </c>
      <c r="L9" s="16" t="n">
        <v>96.39</v>
      </c>
      <c r="M9" s="16" t="n">
        <v>108.4</v>
      </c>
      <c r="N9" s="16" t="n">
        <v>138.2</v>
      </c>
      <c r="O9" s="16" t="n">
        <v>118.5</v>
      </c>
      <c r="P9" s="18">
        <f>SUM(D9:O9)</f>
        <v/>
      </c>
    </row>
    <row r="10">
      <c r="B10" s="2" t="inlineStr">
        <is>
          <t>Electricity — total site, metered</t>
        </is>
      </c>
      <c r="C10" s="15" t="inlineStr">
        <is>
          <t>kWh</t>
        </is>
      </c>
      <c r="D10" s="16" t="n">
        <v>63987.78</v>
      </c>
      <c r="E10" s="16" t="n">
        <v>53330.44</v>
      </c>
      <c r="F10" s="16" t="n">
        <v>51332.49</v>
      </c>
      <c r="G10" s="16" t="n">
        <v>58856.44</v>
      </c>
      <c r="H10" s="16" t="n">
        <v>54078.21</v>
      </c>
      <c r="I10" s="16" t="n">
        <v>43432.15</v>
      </c>
      <c r="J10" s="16" t="n">
        <v>47077.39</v>
      </c>
      <c r="K10" s="16" t="n">
        <v>44770.48</v>
      </c>
      <c r="L10" s="16" t="n">
        <v>33581.63</v>
      </c>
      <c r="M10" s="16" t="n">
        <v>43503.83</v>
      </c>
      <c r="N10" s="16" t="n">
        <v>43436.6</v>
      </c>
      <c r="O10" s="16" t="n">
        <v>46695.1</v>
      </c>
      <c r="P10" s="18">
        <f>SUM(D10:O10)</f>
        <v/>
      </c>
    </row>
    <row r="11">
      <c r="B11" t="inlineStr">
        <is>
          <t>Electricity — non-production carve-out</t>
        </is>
      </c>
      <c r="C11" t="inlineStr">
        <is>
          <t>kWh</t>
        </is>
      </c>
      <c r="D11" s="28" t="n">
        <v>8914.84</v>
      </c>
      <c r="E11" s="28" t="n">
        <v>9212</v>
      </c>
      <c r="F11" s="28" t="n">
        <v>8914.84</v>
      </c>
      <c r="G11" s="28" t="n">
        <v>9212</v>
      </c>
      <c r="H11" s="28" t="n">
        <v>9212</v>
      </c>
      <c r="I11" s="28" t="n">
        <v>8914.84</v>
      </c>
      <c r="J11" s="28" t="n">
        <v>9212</v>
      </c>
      <c r="K11" s="28" t="n">
        <v>8914.84</v>
      </c>
      <c r="L11" s="28" t="n">
        <v>9212</v>
      </c>
      <c r="M11" s="28" t="n">
        <v>9212</v>
      </c>
      <c r="N11" s="28" t="n">
        <v>8320.52</v>
      </c>
      <c r="O11" s="28" t="n">
        <v>9212</v>
      </c>
      <c r="P11" s="29">
        <f>SUM(D11:O11)</f>
        <v/>
      </c>
    </row>
    <row r="12">
      <c r="B12" t="inlineStr">
        <is>
          <t>Electricity — production (= total metered − carve-out)</t>
        </is>
      </c>
      <c r="C12" t="inlineStr">
        <is>
          <t>kWh</t>
        </is>
      </c>
      <c r="D12" s="29">
        <f>D10-D11</f>
        <v/>
      </c>
      <c r="E12" s="29">
        <f>E10-E11</f>
        <v/>
      </c>
      <c r="F12" s="29">
        <f>F10-F11</f>
        <v/>
      </c>
      <c r="G12" s="29">
        <f>G10-G11</f>
        <v/>
      </c>
      <c r="H12" s="29">
        <f>H10-H11</f>
        <v/>
      </c>
      <c r="I12" s="29">
        <f>I10-I11</f>
        <v/>
      </c>
      <c r="J12" s="29">
        <f>J10-J11</f>
        <v/>
      </c>
      <c r="K12" s="29">
        <f>K10-K11</f>
        <v/>
      </c>
      <c r="L12" s="29">
        <f>L10-L11</f>
        <v/>
      </c>
      <c r="M12" s="29">
        <f>M10-M11</f>
        <v/>
      </c>
      <c r="N12" s="29">
        <f>N10-N11</f>
        <v/>
      </c>
      <c r="O12" s="29">
        <f>O10-O11</f>
        <v/>
      </c>
      <c r="P12" s="29">
        <f>SUM(D12:O12)</f>
        <v/>
      </c>
    </row>
    <row r="13">
      <c r="B13" s="2" t="inlineStr">
        <is>
          <t>Water consumed</t>
        </is>
      </c>
      <c r="C13" s="15" t="inlineStr">
        <is>
          <t>kg</t>
        </is>
      </c>
      <c r="D13" s="16" t="n">
        <v>84514.92</v>
      </c>
      <c r="E13" s="16" t="n">
        <v>61277.67</v>
      </c>
      <c r="F13" s="16" t="n">
        <v>73596.38</v>
      </c>
      <c r="G13" s="16" t="n">
        <v>82966.74000000001</v>
      </c>
      <c r="H13" s="16" t="n">
        <v>68468.36</v>
      </c>
      <c r="I13" s="16" t="n">
        <v>27302.59</v>
      </c>
      <c r="J13" s="16" t="n">
        <v>26027.64</v>
      </c>
      <c r="K13" s="16" t="n">
        <v>24702.61</v>
      </c>
      <c r="L13" s="16" t="n">
        <v>17234.72</v>
      </c>
      <c r="M13" s="16" t="n">
        <v>18119.16</v>
      </c>
      <c r="N13" s="16" t="n">
        <v>26051.02</v>
      </c>
      <c r="O13" s="16" t="n">
        <v>27379.19</v>
      </c>
      <c r="P13" s="18">
        <f>SUM(D13:O13)</f>
        <v/>
      </c>
    </row>
    <row r="14">
      <c r="B14" s="2" t="inlineStr">
        <is>
          <t>Biomass transport (gross, pre-BCU)</t>
        </is>
      </c>
      <c r="C14" s="15" t="inlineStr">
        <is>
          <t>MT CO2e</t>
        </is>
      </c>
      <c r="D14" s="16" t="n">
        <v>3.19</v>
      </c>
      <c r="E14" s="16" t="n">
        <v>4.32</v>
      </c>
      <c r="F14" s="16" t="n">
        <v>5.02</v>
      </c>
      <c r="G14" s="16" t="n">
        <v>2.86</v>
      </c>
      <c r="H14" s="16" t="n">
        <v>1.639</v>
      </c>
      <c r="I14" s="16" t="n">
        <v>2.927</v>
      </c>
      <c r="J14" s="16" t="n">
        <v>1.452</v>
      </c>
      <c r="K14" s="16" t="n">
        <v>1.844</v>
      </c>
      <c r="L14" s="16" t="n">
        <v>2.167</v>
      </c>
      <c r="M14" s="16" t="n">
        <v>2.365</v>
      </c>
      <c r="N14" s="16" t="n">
        <v>1.798</v>
      </c>
      <c r="O14" s="16" t="n">
        <v>2.228</v>
      </c>
      <c r="P14" s="18">
        <f>SUM(D14:O14)</f>
        <v/>
      </c>
    </row>
    <row r="15">
      <c r="B15" s="5" t="inlineStr">
        <is>
          <t>OUTPUTS</t>
        </is>
      </c>
      <c r="C15" s="19" t="inlineStr"/>
      <c r="D15" s="19" t="inlineStr"/>
      <c r="E15" s="19" t="inlineStr"/>
      <c r="F15" s="19" t="inlineStr"/>
      <c r="G15" s="19" t="inlineStr"/>
      <c r="H15" s="19" t="inlineStr"/>
      <c r="I15" s="19" t="inlineStr"/>
      <c r="J15" s="19" t="inlineStr"/>
      <c r="K15" s="19" t="inlineStr"/>
      <c r="L15" s="19" t="inlineStr"/>
      <c r="M15" s="19" t="inlineStr"/>
      <c r="N15" s="19" t="inlineStr"/>
      <c r="O15" s="19" t="inlineStr"/>
      <c r="P15" s="19" t="inlineStr"/>
    </row>
    <row r="16">
      <c r="B16" s="2" t="inlineStr">
        <is>
          <t>WODO yield</t>
        </is>
      </c>
      <c r="C16" s="15" t="inlineStr">
        <is>
          <t>kg</t>
        </is>
      </c>
      <c r="D16" s="16" t="n">
        <v>22298</v>
      </c>
      <c r="E16" s="16" t="n">
        <v>25890</v>
      </c>
      <c r="F16" s="16" t="n">
        <v>16899</v>
      </c>
      <c r="G16" s="16" t="n">
        <v>22732</v>
      </c>
      <c r="H16" s="16" t="n">
        <v>20928</v>
      </c>
      <c r="I16" s="16" t="n">
        <v>12630</v>
      </c>
      <c r="J16" s="16" t="n">
        <v>14227</v>
      </c>
      <c r="K16" s="16" t="n">
        <v>9984</v>
      </c>
      <c r="L16" s="16" t="n">
        <v>6481</v>
      </c>
      <c r="M16" s="16" t="n">
        <v>8888</v>
      </c>
      <c r="N16" s="16" t="n">
        <v>10966</v>
      </c>
      <c r="O16" s="16" t="n">
        <v>16307</v>
      </c>
      <c r="P16" s="18">
        <f>SUM(D16:O16)</f>
        <v/>
      </c>
    </row>
    <row r="17">
      <c r="B17" s="2" t="inlineStr">
        <is>
          <t>Aqueous yield</t>
        </is>
      </c>
      <c r="C17" s="15" t="inlineStr">
        <is>
          <t>kg</t>
        </is>
      </c>
      <c r="D17" s="16" t="n">
        <v>75500</v>
      </c>
      <c r="E17" s="16" t="n">
        <v>75500</v>
      </c>
      <c r="F17" s="16" t="n">
        <v>75500</v>
      </c>
      <c r="G17" s="16" t="n">
        <v>77076</v>
      </c>
      <c r="H17" s="16" t="n">
        <v>75500</v>
      </c>
      <c r="I17" s="16" t="n">
        <v>75500</v>
      </c>
      <c r="J17" s="16" t="n">
        <v>75500</v>
      </c>
      <c r="K17" s="16" t="n">
        <v>40930</v>
      </c>
      <c r="L17" s="16" t="n">
        <v>19161</v>
      </c>
      <c r="M17" s="16" t="n">
        <v>30830</v>
      </c>
      <c r="N17" s="16" t="n">
        <v>37126</v>
      </c>
      <c r="O17" s="16" t="n">
        <v>46683</v>
      </c>
      <c r="P17" s="18">
        <f>SUM(D17:O17)</f>
        <v/>
      </c>
    </row>
    <row r="18">
      <c r="B18" s="2" t="inlineStr">
        <is>
          <t>Biochar yield</t>
        </is>
      </c>
      <c r="C18" s="15" t="inlineStr">
        <is>
          <t>kg</t>
        </is>
      </c>
      <c r="D18" s="16" t="n">
        <v>11426</v>
      </c>
      <c r="E18" s="16" t="n">
        <v>10357</v>
      </c>
      <c r="F18" s="16" t="n">
        <v>10309</v>
      </c>
      <c r="G18" s="16" t="n">
        <v>11597</v>
      </c>
      <c r="H18" s="16" t="n">
        <v>9186</v>
      </c>
      <c r="I18" s="16" t="n">
        <v>3868</v>
      </c>
      <c r="J18" s="16" t="n">
        <v>8085</v>
      </c>
      <c r="K18" s="16" t="n">
        <v>4580</v>
      </c>
      <c r="L18" s="16" t="n">
        <v>4074</v>
      </c>
      <c r="M18" s="16" t="n">
        <v>6560</v>
      </c>
      <c r="N18" s="16" t="n">
        <v>6766</v>
      </c>
      <c r="O18" s="16" t="n">
        <v>6259</v>
      </c>
      <c r="P18" s="18">
        <f>SUM(D18:O18)</f>
        <v/>
      </c>
    </row>
    <row r="19">
      <c r="B19" s="9" t="inlineStr">
        <is>
          <t>Bio-oil (WODO+Aqueous)</t>
        </is>
      </c>
      <c r="C19" s="15" t="inlineStr">
        <is>
          <t>kg</t>
        </is>
      </c>
      <c r="D19" s="20">
        <f>D16+D17</f>
        <v/>
      </c>
      <c r="E19" s="20">
        <f>E16+E17</f>
        <v/>
      </c>
      <c r="F19" s="20">
        <f>F16+F17</f>
        <v/>
      </c>
      <c r="G19" s="20">
        <f>G16+G17</f>
        <v/>
      </c>
      <c r="H19" s="20">
        <f>H16+H17</f>
        <v/>
      </c>
      <c r="I19" s="20">
        <f>I16+I17</f>
        <v/>
      </c>
      <c r="J19" s="20">
        <f>J16+J17</f>
        <v/>
      </c>
      <c r="K19" s="20">
        <f>K16+K17</f>
        <v/>
      </c>
      <c r="L19" s="20">
        <f>L16+L17</f>
        <v/>
      </c>
      <c r="M19" s="20">
        <f>M16+M17</f>
        <v/>
      </c>
      <c r="N19" s="20">
        <f>N16+N17</f>
        <v/>
      </c>
      <c r="O19" s="20">
        <f>O16+O17</f>
        <v/>
      </c>
      <c r="P19" s="18">
        <f>SUM(D19:O19)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E20"/>
  <sheetViews>
    <sheetView workbookViewId="0">
      <selection activeCell="A1" sqref="A1"/>
    </sheetView>
  </sheetViews>
  <sheetFormatPr baseColWidth="8" defaultRowHeight="15"/>
  <cols>
    <col width="2" customWidth="1" min="1" max="1"/>
    <col width="26" customWidth="1" min="2" max="2"/>
    <col width="10" customWidth="1" min="3" max="3"/>
    <col width="40" customWidth="1" min="4" max="4"/>
    <col width="48" customWidth="1" min="5" max="5"/>
  </cols>
  <sheetData>
    <row r="1">
      <c r="B1" s="13" t="inlineStr">
        <is>
          <t>Source_Inclusion — EU 205 boundary decision for every emission source in the PP Summaries</t>
        </is>
      </c>
    </row>
    <row r="2" ht="54" customHeight="1">
      <c r="B2" s="4" t="inlineStr">
        <is>
          <t>Each source is judged against the primary text. Materiality: EU 205 §4.1 p.20 permits exclusion of small inputs — verbatim: "If an input has little or no effect for the emission element of the calculation formula, it can be excluded from the emission calculation. Inputs with little or no effect are those that have an impact on the overall emissions of the respective calculation formula element (e.g. cultivation eec) that is lower than 0.5%." NOTE: p.20 measures the 0.5% against the individual formula element; the percentages recorded below are against the period total, so they are an approximation of that test. Exclusions are reversible (one cell).</t>
        </is>
      </c>
    </row>
    <row r="4">
      <c r="B4" s="5" t="inlineStr">
        <is>
          <t>Source</t>
        </is>
      </c>
      <c r="C4" s="5" t="inlineStr">
        <is>
          <t>Decision</t>
        </is>
      </c>
      <c r="D4" s="5" t="inlineStr">
        <is>
          <t>EU 205 term / basis</t>
        </is>
      </c>
      <c r="E4" s="5" t="inlineStr">
        <is>
          <t>Justification + primary-text citation</t>
        </is>
      </c>
    </row>
    <row r="5" ht="60" customHeight="1">
      <c r="B5" s="21" t="inlineStr">
        <is>
          <t>Biomass extraction/harvest</t>
        </is>
      </c>
      <c r="C5" s="22" t="inlineStr">
        <is>
          <t>INCLUDE = 0</t>
        </is>
      </c>
      <c r="D5" s="4" t="inlineStr">
        <is>
          <t>e_ec</t>
        </is>
      </c>
      <c r="E5" s="4" t="inlineStr">
        <is>
          <t>Feedstock argued as a WASTE: RED Annex V — wastes/residues “shall be considered to have zero life-cycle greenhouse gas emissions up to the process of collection.” So e_ec = 0 (Charm position; no harvest factor applied).</t>
        </is>
      </c>
    </row>
    <row r="6" ht="60" customHeight="1">
      <c r="B6" s="21" t="inlineStr">
        <is>
          <t>Biomass transport</t>
        </is>
      </c>
      <c r="C6" s="22" t="inlineStr">
        <is>
          <t>INCLUDE</t>
        </is>
      </c>
      <c r="D6" s="4" t="inlineStr">
        <is>
          <t>e_td</t>
        </is>
      </c>
      <c r="E6" s="4" t="inlineStr">
        <is>
          <t>Feedstock transport to plant — emissions ARE calculated in each PP Summary (consolidated 'Biomass Transport'); production→injection transport is NOT in the PP summary. e_td uses the gross (pre-BCU) biomass-transport value per period (EU 205 §4.3.4).</t>
        </is>
      </c>
    </row>
    <row r="7" ht="60" customHeight="1">
      <c r="B7" s="21" t="inlineStr">
        <is>
          <t>Propane</t>
        </is>
      </c>
      <c r="C7" s="22" t="inlineStr">
        <is>
          <t>INCLUDE</t>
        </is>
      </c>
      <c r="D7" s="4" t="inlineStr">
        <is>
          <t>e_p</t>
        </is>
      </c>
      <c r="E7" s="4" t="inlineStr">
        <is>
          <t>Process fuel (EU 205 §4.3.5). EF = Annex IX 'LPG' 66.30 gCO2eq/MJ, LHV 46.0 MJ/kg (IR 2022/996 Annex IX, read this session).</t>
        </is>
      </c>
    </row>
    <row r="8" ht="60" customHeight="1">
      <c r="B8" s="21" t="inlineStr">
        <is>
          <t>Diesel — production</t>
        </is>
      </c>
      <c r="C8" s="22" t="inlineStr">
        <is>
          <t>INCLUDE</t>
        </is>
      </c>
      <c r="D8" s="4" t="inlineStr">
        <is>
          <t>e_p</t>
        </is>
      </c>
      <c r="E8" s="4" t="inlineStr">
        <is>
          <t>On-site process diesel (EU 205 §4.3.5). EF = Annex IX Diesel 95.10 gCO2eq/MJ, LHV 43.1. Charm used GLEC WTW 3.87 kg/kg; EU 205 uses Annex IX.</t>
        </is>
      </c>
    </row>
    <row r="9" ht="60" customHeight="1">
      <c r="B9" s="21" t="inlineStr">
        <is>
          <t>Diesel — office generator</t>
        </is>
      </c>
      <c r="C9" s="11" t="inlineStr">
        <is>
          <t>EXCLUDE</t>
        </is>
      </c>
      <c r="D9" s="4" t="inlineStr">
        <is>
          <t>n/a (non-production)</t>
        </is>
      </c>
      <c r="E9" s="4" t="inlineStr">
        <is>
          <t>Not part of biofuel production; Charm already reports it separately (e.g. PP5 320 gal, PP8 200 gal of the total diesel). Out of the production system boundary (EU 205 §4.3.5.2 'GHG emissions from processing').</t>
        </is>
      </c>
    </row>
    <row r="10" ht="60" customHeight="1">
      <c r="B10" s="21" t="inlineStr">
        <is>
          <t>Gasoline</t>
        </is>
      </c>
      <c r="C10" s="22" t="inlineStr">
        <is>
          <t>INCLUDE</t>
        </is>
      </c>
      <c r="D10" s="4" t="inlineStr">
        <is>
          <t>e_p</t>
        </is>
      </c>
      <c r="E10" s="4" t="inlineStr">
        <is>
          <t>Process fuel (EU 205 §4.3.5). EF = Annex IX Gasoline 93.30 gCO2eq/MJ, LHV 43.2.</t>
        </is>
      </c>
    </row>
    <row r="11" ht="60" customHeight="1">
      <c r="B11" s="21" t="inlineStr">
        <is>
          <t>Electricity</t>
        </is>
      </c>
      <c r="C11" s="22" t="inlineStr">
        <is>
          <t>INCLUDE</t>
        </is>
      </c>
      <c r="D11" s="4" t="inlineStr">
        <is>
          <t>e_p</t>
        </is>
      </c>
      <c r="E11" s="4" t="inlineStr">
        <is>
          <t>Grid electricity at the U.S. NATIONAL grid EF — NOT the REC-adjusted figure. EU 205 §4.3.5.1 p.47: "If electricity is consumed from the grid, the EF of the national/country electricity mix (EFelectricity) shall be used." U.S. national eGRID2023 total-output = 0.34968 kgCO2e/kWh (770.9 lb CO2e/MWh). Quantity is the METERED total kWh less the non-production carve-out — the PP Summary's 2.00% "Maximum Allowable Meter Uncertainty" uplift is not applied. Charm's REC-netted ~0.037 figure is dropped.</t>
        </is>
      </c>
    </row>
    <row r="12" ht="60" customHeight="1">
      <c r="B12" s="21" t="inlineStr">
        <is>
          <t>Tailgas</t>
        </is>
      </c>
      <c r="C12" s="22" t="inlineStr">
        <is>
          <t>INCLUDE*</t>
        </is>
      </c>
      <c r="D12" s="4" t="inlineStr">
        <is>
          <t>e_p (process/waste)</t>
        </is>
      </c>
      <c r="E12" s="4" t="inlineStr">
        <is>
          <t>Process emission from pyrolysis (EU 205 §4.3.5 includes emissions 'from waste and leakages'). ~0.48–0.62% of Charm total — near the 0.5% line; keep unless the EU-205 recompute puts it &lt;0.5%.</t>
        </is>
      </c>
    </row>
    <row r="13" ht="60" customHeight="1">
      <c r="B13" s="21" t="inlineStr">
        <is>
          <t>Water</t>
        </is>
      </c>
      <c r="C13" s="11" t="inlineStr">
        <is>
          <t>EXCLUDE (materiality)</t>
        </is>
      </c>
      <c r="D13" s="4" t="inlineStr">
        <is>
          <t>e_p</t>
        </is>
      </c>
      <c r="E13" s="4" t="inlineStr">
        <is>
          <t>0.09–0.42% of Charm period total — below the 0.5% threshold in every period observed (PP5 0.42%, PP6 0.08%, PP7 0.09%, PP8 0.09%). Excluded per the stated materiality rule; recorded here for transparency.</t>
        </is>
      </c>
    </row>
    <row r="14" ht="60" customHeight="1">
      <c r="B14" s="21" t="inlineStr">
        <is>
          <t>Consumables delivery</t>
        </is>
      </c>
      <c r="C14" s="11" t="inlineStr">
        <is>
          <t>EXCLUDE (materiality)</t>
        </is>
      </c>
      <c r="D14" s="4" t="inlineStr">
        <is>
          <t>e_p / e_td</t>
        </is>
      </c>
      <c r="E14" s="4" t="inlineStr">
        <is>
          <t>0.08–0.12% of total across PP5–PP8 — below 0.5%. Excluded per materiality rule.</t>
        </is>
      </c>
    </row>
    <row r="15" ht="60" customHeight="1">
      <c r="B15" s="21" t="inlineStr">
        <is>
          <t>Waste disposal</t>
        </is>
      </c>
      <c r="C15" s="11" t="inlineStr">
        <is>
          <t>EXCLUDE (materiality)</t>
        </is>
      </c>
      <c r="D15" s="4" t="inlineStr">
        <is>
          <t>e_p</t>
        </is>
      </c>
      <c r="E15" s="4" t="inlineStr">
        <is>
          <t>0.00–0.22% of total — below 0.5%. Excluded per materiality rule.</t>
        </is>
      </c>
    </row>
    <row r="16" ht="60" customHeight="1">
      <c r="B16" s="21" t="inlineStr">
        <is>
          <t>Capital Goods (equipment) embodied</t>
        </is>
      </c>
      <c r="C16" s="11" t="inlineStr">
        <is>
          <t>EXCLUDE</t>
        </is>
      </c>
      <c r="D16" s="4" t="inlineStr">
        <is>
          <t>n/a</t>
        </is>
      </c>
      <c r="E16" s="4" t="inlineStr">
        <is>
          <t>EU 205 v4.1 p.11 &amp; p.17, verbatim: “Emissions from the manufacture of machinery and equipment shall not be taken into account.” ~15–19% of Charm total but categorically outside the EU-205 boundary.</t>
        </is>
      </c>
    </row>
    <row r="17" ht="60" customHeight="1">
      <c r="B17" s="21" t="inlineStr">
        <is>
          <t>Spare Parts &amp; Consumables embodied</t>
        </is>
      </c>
      <c r="C17" s="11" t="inlineStr">
        <is>
          <t>EXCLUDE</t>
        </is>
      </c>
      <c r="D17" s="4" t="inlineStr">
        <is>
          <t>n/a</t>
        </is>
      </c>
      <c r="E17" s="4" t="inlineStr">
        <is>
          <t>Same rule — embodied emissions of equipment/parts. EU 205 p.11 &amp; p.17: machinery/equipment manufacture not counted.</t>
        </is>
      </c>
    </row>
    <row r="18" ht="90" customHeight="1">
      <c r="B18" s="21" t="inlineStr">
        <is>
          <t>BCUs (renewable-diesel book-and-claim units)</t>
        </is>
      </c>
      <c r="C18" s="11" t="inlineStr">
        <is>
          <t>EXCLUDE</t>
        </is>
      </c>
      <c r="D18" s="4" t="inlineStr">
        <is>
          <t>n/a</t>
        </is>
      </c>
      <c r="E18" s="4" t="inlineStr">
        <is>
          <t>BCUs are renewable-diesel BOOK-AND-CLAIM units Charm applies to net down fossil-diesel combustion (e.g. PP5 diesel 14.00→0.00 MT; pool shown as 'RD BCUs' under 'Total Procured Renewables'). A book-and-claim instrument — not biochar. EU 205 counts the fuel physically consumed: on-site data gathering lists 'diesel or other fuel' actually used (EU 205 v4.1 §4.3.5), and it recognizes no book-and-claim substitution (cf. the electricity rule §4.3.5.1, which requires a physical/metered renewable connection, not certificates). So diesel is counted on the physical kg burned (Annex IX EF) and the BCU netting is dropped — i.e. the gross 'No GHG Neutralization' basis.</t>
        </is>
      </c>
    </row>
    <row r="19" ht="60" customHeight="1">
      <c r="B19" s="21" t="inlineStr">
        <is>
          <t>RECs (renewable-electricity certs)</t>
        </is>
      </c>
      <c r="C19" s="11" t="inlineStr">
        <is>
          <t>EXCLUDE</t>
        </is>
      </c>
      <c r="D19" s="4" t="inlineStr">
        <is>
          <t>n/a</t>
        </is>
      </c>
      <c r="E19" s="4" t="inlineStr">
        <is>
          <t>No book-and-claim REC pathway in EU 205; grid EF required (§4.3.5.1). See Electricity row — the REC credit is dropped.</t>
        </is>
      </c>
    </row>
    <row r="20">
      <c r="B20" s="27" t="inlineStr">
        <is>
          <t>Measurement basis — metered vs meter-uncertainty-adjusted</t>
        </is>
      </c>
      <c r="C20" s="27" t="inlineStr">
        <is>
          <t>METERED (adjusted figures not used)</t>
        </is>
      </c>
      <c r="D20" s="27" t="inlineStr">
        <is>
          <t>e_p quantities</t>
        </is>
      </c>
      <c r="E20" s="27" t="inlineStr">
        <is>
          <t>The PP Summaries report each fuel twice — the metered quantity, then an "Uncertainty Adjusted Total" uplifted by "Fuel Meter Uncertainty" 1.29% (electricity: "Maximum Allowable Meter Uncertainty" 2.00%). This calculator uses the METERED figure. Basis: EU 205 §4.1 p.20 — "Actual data measured and gathered at the system user must be documented and provided to the auditor for the verification"; §4.3.5.2 p.49 — "the respective quantities must be extracted from respective operating documents for the previous year and must be verified by the auditors", listing "Electricity consumption in kWh/yr". EU 205 v4.1 was read end to end (pp.2-67) and contains no provision for adjusting measured activity data for meter uncertainty in either direction; its conservatism rules (§3.2 p.16, §4.3.1 p.22, §4.3.7 p.53, §4.3.9 p.57) all govern choice among published values or batches, not scaling of a metered quantity. Using the adjusted column would raise the CI by 0.58 gCO2eq/MJ (37.94 vs 37.36) — conservative, but not the measured value. Biomass is the one input with no separate metered figure in the source; it is retained as reported and does not feed the CI (it drove tailgas only, which is excluded).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D34"/>
  <sheetViews>
    <sheetView workbookViewId="0">
      <selection activeCell="A1" sqref="A1"/>
    </sheetView>
  </sheetViews>
  <sheetFormatPr baseColWidth="8" defaultRowHeight="15"/>
  <cols>
    <col width="2" customWidth="1" min="1" max="1"/>
    <col width="38" customWidth="1" min="2" max="2"/>
    <col width="15" customWidth="1" min="3" max="3"/>
    <col width="58" customWidth="1" min="4" max="4"/>
  </cols>
  <sheetData>
    <row r="1">
      <c r="B1" s="13" t="inlineStr">
        <is>
          <t>EU 205 recompute — 12-month period CI (live from PP_Data)</t>
        </is>
      </c>
    </row>
    <row r="2" ht="44" customHeight="1">
      <c r="B2" s="4" t="inlineStr">
        <is>
          <t>Emissions rebuilt from summed METERED activity with Annex IX EFs, U.S. national grid electricity (no REC), gross-of-BCU. Meter-uncertainty-adjusted figures are NOT used — EU 205 §4.1 p.20 requires "Actual data measured and gathered at the system user". e_ec=0 (feedstock argued as waste). Excluded: equipment embodied, BCU, REC, water/consumables/waste/tailgas. Live formulas.</t>
        </is>
      </c>
    </row>
    <row r="4">
      <c r="B4" s="5" t="inlineStr">
        <is>
          <t>PARAMETERS</t>
        </is>
      </c>
      <c r="C4" s="5" t="inlineStr">
        <is>
          <t>Value</t>
        </is>
      </c>
      <c r="D4" s="5" t="inlineStr">
        <is>
          <t>Unit / source</t>
        </is>
      </c>
    </row>
    <row r="5" ht="26" customHeight="1">
      <c r="B5" s="2" t="inlineStr">
        <is>
          <t>LPG (propane) EF</t>
        </is>
      </c>
      <c r="C5" s="6" t="n">
        <v>66.3</v>
      </c>
      <c r="D5" s="4" t="inlineStr">
        <is>
          <t>gCO2eq/MJ — IR 2022/996 Annex IX</t>
        </is>
      </c>
    </row>
    <row r="6" ht="26" customHeight="1">
      <c r="B6" s="2" t="inlineStr">
        <is>
          <t>LPG LHV</t>
        </is>
      </c>
      <c r="C6" s="6" t="n">
        <v>46</v>
      </c>
      <c r="D6" s="4" t="inlineStr">
        <is>
          <t>MJ/kg — Annex IX</t>
        </is>
      </c>
    </row>
    <row r="7" ht="26" customHeight="1">
      <c r="B7" s="2" t="inlineStr">
        <is>
          <t>Diesel EF</t>
        </is>
      </c>
      <c r="C7" s="6" t="n">
        <v>95.09999999999999</v>
      </c>
      <c r="D7" s="4" t="inlineStr">
        <is>
          <t>gCO2eq/MJ — Annex IX</t>
        </is>
      </c>
    </row>
    <row r="8" ht="26" customHeight="1">
      <c r="B8" s="2" t="inlineStr">
        <is>
          <t>Diesel LHV</t>
        </is>
      </c>
      <c r="C8" s="6" t="n">
        <v>43.1</v>
      </c>
      <c r="D8" s="4" t="inlineStr">
        <is>
          <t>MJ/kg — Annex IX</t>
        </is>
      </c>
    </row>
    <row r="9" ht="26" customHeight="1">
      <c r="B9" s="2" t="inlineStr">
        <is>
          <t>Gasoline EF</t>
        </is>
      </c>
      <c r="C9" s="6" t="n">
        <v>93.3</v>
      </c>
      <c r="D9" s="4" t="inlineStr">
        <is>
          <t>gCO2eq/MJ — Annex IX</t>
        </is>
      </c>
    </row>
    <row r="10" ht="26" customHeight="1">
      <c r="B10" s="2" t="inlineStr">
        <is>
          <t>Gasoline LHV</t>
        </is>
      </c>
      <c r="C10" s="6" t="n">
        <v>43.2</v>
      </c>
      <c r="D10" s="4" t="inlineStr">
        <is>
          <t>MJ/kg — Annex IX</t>
        </is>
      </c>
    </row>
    <row r="11" ht="26" customHeight="1">
      <c r="B11" s="2" t="inlineStr">
        <is>
          <t>Electricity grid EF</t>
        </is>
      </c>
      <c r="C11" s="7" t="n">
        <v>0.34968</v>
      </c>
      <c r="D11" s="4" t="inlineStr">
        <is>
          <t>kgCO2eq/kWh — U.S. NATIONAL grid, eGRID2023 Table 1: 770.9 lb CO2e/MWh × 0.453592 ÷ 1000 (EPA, read 2026-07-23). EU 205 §4.3.5.1 national/country mix.</t>
        </is>
      </c>
    </row>
    <row r="12" ht="26" customHeight="1">
      <c r="B12" s="2" t="inlineStr">
        <is>
          <t>Bio-oil LHV</t>
        </is>
      </c>
      <c r="C12" s="6" t="n">
        <v>15</v>
      </c>
      <c r="D12" s="4" t="inlineStr">
        <is>
          <t>MJ/kg — AECN CoA HHV 17.5 → LHV ~15 (A.Thomas)</t>
        </is>
      </c>
    </row>
    <row r="13" ht="26" customHeight="1">
      <c r="B13" s="2" t="inlineStr">
        <is>
          <t>Biochar GCV (HHV, as-is)</t>
        </is>
      </c>
      <c r="C13" s="6" t="n">
        <v>24.16</v>
      </c>
      <c r="D13" s="4" t="inlineStr">
        <is>
          <t>MJ/kg — SGS ASTM D240 (10352/10406/10402 Btu/lb)</t>
        </is>
      </c>
    </row>
    <row r="14" ht="26" customHeight="1">
      <c r="B14" s="2" t="inlineStr">
        <is>
          <t>Biochar H (as-is)</t>
        </is>
      </c>
      <c r="C14" s="6" t="n">
        <v>4.41</v>
      </c>
      <c r="D14" s="4" t="inlineStr">
        <is>
          <t>wt% — CHN combined sample</t>
        </is>
      </c>
    </row>
    <row r="15" ht="26" customHeight="1">
      <c r="B15" s="2" t="inlineStr">
        <is>
          <t>Biochar moisture (as-is)</t>
        </is>
      </c>
      <c r="C15" s="6" t="n">
        <v>16.35</v>
      </c>
      <c r="D15" s="4" t="inlineStr">
        <is>
          <t>wt% — CHN combined sample</t>
        </is>
      </c>
    </row>
    <row r="16">
      <c r="B16" s="9" t="inlineStr">
        <is>
          <t>Biochar LHV (derived)</t>
        </is>
      </c>
      <c r="C16" s="8">
        <f>C13-2.442*(C15+8.94*C14)/100</f>
        <v/>
      </c>
      <c r="D16" s="4" t="inlineStr">
        <is>
          <t>LHV=HHV−2.442×(M+8.94·H)/100</t>
        </is>
      </c>
    </row>
    <row r="19">
      <c r="B19" s="5" t="inlineStr">
        <is>
          <t>EU 205 EMISSIONS (12-mo, kgCO2eq)</t>
        </is>
      </c>
      <c r="C19" s="5" t="inlineStr">
        <is>
          <t>kgCO2eq</t>
        </is>
      </c>
      <c r="D19" s="5" t="inlineStr">
        <is>
          <t>formula</t>
        </is>
      </c>
    </row>
    <row r="20">
      <c r="B20" s="2" t="inlineStr">
        <is>
          <t>e_p — Propane</t>
        </is>
      </c>
      <c r="C20" s="8">
        <f>PP_Data!P7*C6*C5/1000</f>
        <v/>
      </c>
      <c r="D20" s="4" t="inlineStr">
        <is>
          <t>kg × LHV × EF</t>
        </is>
      </c>
    </row>
    <row r="21">
      <c r="B21" s="2" t="inlineStr">
        <is>
          <t>e_p — Diesel (production)</t>
        </is>
      </c>
      <c r="C21" s="8">
        <f>PP_Data!P8*C8*C7/1000</f>
        <v/>
      </c>
      <c r="D21" s="4" t="inlineStr">
        <is>
          <t>kg × LHV × EF</t>
        </is>
      </c>
    </row>
    <row r="22">
      <c r="B22" s="2" t="inlineStr">
        <is>
          <t>e_p — Gasoline</t>
        </is>
      </c>
      <c r="C22" s="8">
        <f>PP_Data!P9*C10*C9/1000</f>
        <v/>
      </c>
      <c r="D22" s="4" t="inlineStr">
        <is>
          <t>kg × LHV × EF</t>
        </is>
      </c>
    </row>
    <row r="23">
      <c r="B23" s="2" t="inlineStr">
        <is>
          <t>e_p — Electricity (US national grid, no REC)</t>
        </is>
      </c>
      <c r="C23" s="8">
        <f>PP_Data!P12*C11</f>
        <v/>
      </c>
      <c r="D23" s="4" t="inlineStr">
        <is>
          <t>kWh × grid EF</t>
        </is>
      </c>
    </row>
    <row r="24">
      <c r="B24" s="2" t="inlineStr">
        <is>
          <t>e_ec — Harvest (waste → 0)</t>
        </is>
      </c>
      <c r="C24" s="8" t="n">
        <v>0</v>
      </c>
      <c r="D24" s="4" t="inlineStr">
        <is>
          <t>feedstock argued as waste; RED Annex V zero-burden up to collection</t>
        </is>
      </c>
    </row>
    <row r="25">
      <c r="B25" s="2" t="inlineStr">
        <is>
          <t>e_td — Biomass transport</t>
        </is>
      </c>
      <c r="C25" s="8">
        <f>PP_Data!P14*1000</f>
        <v/>
      </c>
      <c r="D25" s="4" t="inlineStr">
        <is>
          <t>gross biomass transport from PP summaries (MT→kg); Max: injection transport not included</t>
        </is>
      </c>
    </row>
    <row r="26">
      <c r="B26" s="9" t="inlineStr">
        <is>
          <t>TOTAL included emissions</t>
        </is>
      </c>
      <c r="C26" s="10">
        <f>SUM(C20:C25)</f>
        <v/>
      </c>
    </row>
    <row r="28">
      <c r="B28" s="2" t="inlineStr">
        <is>
          <t>Bio-oil energy (WODO+Aq)</t>
        </is>
      </c>
      <c r="C28" s="8">
        <f>PP_Data!P19*C12</f>
        <v/>
      </c>
      <c r="D28" s="4" t="inlineStr">
        <is>
          <t>kg × bio-oil LHV</t>
        </is>
      </c>
    </row>
    <row r="29">
      <c r="B29" s="2" t="inlineStr">
        <is>
          <t>Biochar energy</t>
        </is>
      </c>
      <c r="C29" s="8">
        <f>PP_Data!P18*C16</f>
        <v/>
      </c>
      <c r="D29" s="4" t="inlineStr">
        <is>
          <t>kg × biochar LHV</t>
        </is>
      </c>
    </row>
    <row r="30">
      <c r="B30" s="2" t="inlineStr">
        <is>
          <t>Allocation factor → bio-oil</t>
        </is>
      </c>
      <c r="C30" s="8">
        <f>IFERROR(C28/(C28+C29),"")</f>
        <v/>
      </c>
      <c r="D30" s="4" t="inlineStr">
        <is>
          <t>energy basis, EU 205 §4.3.8</t>
        </is>
      </c>
    </row>
    <row r="31">
      <c r="B31" s="2" t="inlineStr">
        <is>
          <t>Emissions to bio-oil (kg)</t>
        </is>
      </c>
      <c r="C31" s="8">
        <f>IFERROR(C26*C30,"")</f>
        <v/>
      </c>
    </row>
    <row r="33">
      <c r="B33" s="5" t="inlineStr">
        <is>
          <t>BIO-OIL CI (kgCO2eq/tonne)</t>
        </is>
      </c>
      <c r="C33" s="10">
        <f>IFERROR(C31/(PP_Data!P19/1000),"")</f>
        <v/>
      </c>
    </row>
    <row r="34">
      <c r="B34" s="5" t="inlineStr">
        <is>
          <t>BIO-OIL CI (gCO2eq/MJ)</t>
        </is>
      </c>
      <c r="C34" s="10">
        <f>IFERROR(C33/C12,"")</f>
        <v/>
      </c>
      <c r="D34" s="4" t="inlineStr">
        <is>
          <t>12-mo Apr 2025 – Mar 2026 (all 12 months produced), metered basis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D9"/>
  <sheetViews>
    <sheetView workbookViewId="0">
      <selection activeCell="A1" sqref="A1"/>
    </sheetView>
  </sheetViews>
  <sheetFormatPr baseColWidth="8" defaultRowHeight="15"/>
  <cols>
    <col width="3" customWidth="1" min="1" max="1"/>
    <col width="38" customWidth="1" min="2" max="2"/>
    <col width="18" customWidth="1" min="3" max="3"/>
    <col width="52" customWidth="1" min="4" max="4"/>
  </cols>
  <sheetData>
    <row r="2">
      <c r="B2" s="1" t="inlineStr">
        <is>
          <t>Result</t>
        </is>
      </c>
    </row>
    <row r="4">
      <c r="B4" s="5" t="inlineStr">
        <is>
          <t>Metric</t>
        </is>
      </c>
      <c r="C4" s="5" t="inlineStr">
        <is>
          <t>Value</t>
        </is>
      </c>
      <c r="D4" s="5" t="inlineStr">
        <is>
          <t>Basis</t>
        </is>
      </c>
    </row>
    <row r="5">
      <c r="B5" s="9" t="inlineStr">
        <is>
          <t>Bio-oil CI (kgCO2eq/dry-ton)</t>
        </is>
      </c>
      <c r="C5" s="10">
        <f>IFERROR(EU205_CI!C33,"")</f>
        <v/>
      </c>
      <c r="D5" s="4" t="inlineStr">
        <is>
          <t>ACTUAL — EU 205 recompute on metered activity data, 12-mo (EU205_CI)</t>
        </is>
      </c>
    </row>
    <row r="6">
      <c r="B6" s="9" t="inlineStr">
        <is>
          <t>Bio-oil CI (gCO2eq/MJ)</t>
        </is>
      </c>
      <c r="C6" s="10">
        <f>IFERROR(EU205_CI!C34,"")</f>
        <v/>
      </c>
      <c r="D6" s="4" t="inlineStr">
        <is>
          <t>ACTUAL — EU 205 recompute on metered activity data, 12-mo</t>
        </is>
      </c>
    </row>
    <row r="7">
      <c r="B7" s="2" t="inlineStr">
        <is>
          <t>Notional SAF CI (gCO2eq/MJ)</t>
        </is>
      </c>
      <c r="C7" s="8">
        <f>IFERROR(Refinery_SAF!C11,"")</f>
        <v/>
      </c>
      <c r="D7" s="4" t="inlineStr">
        <is>
          <t>NOTIONAL (refinery placeholder)</t>
        </is>
      </c>
    </row>
    <row r="8">
      <c r="B8" s="2" t="inlineStr">
        <is>
          <t>Fossil jet comparator (gCO2eq/MJ)</t>
        </is>
      </c>
      <c r="C8" s="7" t="n">
        <v>89</v>
      </c>
      <c r="D8" s="4" t="inlineStr">
        <is>
          <t>EXAMPLE. EU 205 §4.3.9 p.58 sets the transport-market comparator: "Biofuels for transport: 94 g CO2eq/MJ fossil fuel". For an aviation/CORSIA claim the comparator comes from that scheme instead — confirm before use.</t>
        </is>
      </c>
    </row>
    <row r="9" ht="60" customHeight="1">
      <c r="B9" s="2" t="inlineStr">
        <is>
          <t>GHG saving vs comparator (%)</t>
        </is>
      </c>
      <c r="C9" s="8">
        <f>IFERROR(IF(OR(C8="",NOT(ISNUMBER(C7))),"",(C8-C7)/C8*100),"")</f>
        <v/>
      </c>
      <c r="D9" s="4" t="inlineStr">
        <is>
          <t>Informational only. Any pass/fail threshold comes from the destination market — RED III 50/60/65% (EU 205 §2) or CORSIA — not from this sheet. (ISCC PLUS certification does not itself require GHG; whether the voluntary GHG add-on imposes a threshold is unresolved in the in-force docs.)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D11"/>
  <sheetViews>
    <sheetView workbookViewId="0">
      <selection activeCell="A1" sqref="A1"/>
    </sheetView>
  </sheetViews>
  <sheetFormatPr baseColWidth="8" defaultRowHeight="15"/>
  <cols>
    <col width="3" customWidth="1" min="1" max="1"/>
    <col width="36" customWidth="1" min="2" max="2"/>
    <col width="16" customWidth="1" min="3" max="3"/>
    <col width="58" customWidth="1" min="4" max="4"/>
  </cols>
  <sheetData>
    <row r="2">
      <c r="B2" s="1" t="inlineStr">
        <is>
          <t>Refinery co-processing → SAF (PLACEHOLDER — no refinery data yet)</t>
        </is>
      </c>
    </row>
    <row r="3">
      <c r="B3" s="11" t="inlineStr">
        <is>
          <t>Orange cells are stand-ins. Replace with real refinery data.</t>
        </is>
      </c>
    </row>
    <row r="4">
      <c r="B4" s="5" t="inlineStr">
        <is>
          <t>Item</t>
        </is>
      </c>
      <c r="C4" s="5" t="inlineStr">
        <is>
          <t>Value</t>
        </is>
      </c>
      <c r="D4" s="5" t="inlineStr">
        <is>
          <t>Note</t>
        </is>
      </c>
    </row>
    <row r="5">
      <c r="B5" s="2" t="inlineStr">
        <is>
          <t>Bio-oil CI in (gCO2eq/MJ)</t>
        </is>
      </c>
      <c r="C5" s="8">
        <f>IFERROR(EU205_CI!C34,"")</f>
        <v/>
      </c>
      <c r="D5" s="4" t="inlineStr">
        <is>
          <t>carried from bio-oil calc</t>
        </is>
      </c>
    </row>
    <row r="6">
      <c r="B6" s="2" t="inlineStr">
        <is>
          <t>Bio-oil→SAF conversion efficiency</t>
        </is>
      </c>
      <c r="C6" s="12" t="n">
        <v>0.55</v>
      </c>
      <c r="D6" s="4" t="inlineStr">
        <is>
          <t>PLACEHOLDER: MJ SAF per MJ bio-oil in</t>
        </is>
      </c>
    </row>
    <row r="7">
      <c r="B7" s="2" t="inlineStr">
        <is>
          <t>Refinery processing (gCO2eq/MJ SAF)</t>
        </is>
      </c>
      <c r="C7" s="12" t="n">
        <v>5</v>
      </c>
      <c r="D7" s="4" t="inlineStr">
        <is>
          <t>PLACEHOLDER</t>
        </is>
      </c>
    </row>
    <row r="8">
      <c r="B8" s="2" t="inlineStr">
        <is>
          <t>Hydrogen input (gCO2eq/MJ SAF)</t>
        </is>
      </c>
      <c r="C8" s="12" t="n">
        <v>15</v>
      </c>
      <c r="D8" s="4" t="inlineStr">
        <is>
          <t>PLACEHOLDER: H2 for upgrading</t>
        </is>
      </c>
    </row>
    <row r="9">
      <c r="B9" s="2" t="inlineStr">
        <is>
          <t>e_u (fuel in use)</t>
        </is>
      </c>
      <c r="C9" s="6" t="n">
        <v>0</v>
      </c>
      <c r="D9" s="4" t="inlineStr">
        <is>
          <t>0 for biofuel combustion (RED Annex V pt.13)</t>
        </is>
      </c>
    </row>
    <row r="11">
      <c r="B11" s="5" t="inlineStr">
        <is>
          <t>NOTIONAL SAF CI (gCO2eq/MJ)</t>
        </is>
      </c>
      <c r="C11" s="10">
        <f>IFERROR(IF(C6="","enter efficiency",C5/C6+C7+C8+C9),"")</f>
        <v/>
      </c>
      <c r="D11" s="4" t="inlineStr">
        <is>
          <t>bio-oil CI/eff + refinery + H2 + e_u (NOTIONAL)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2026-07-23T23:27:42Z</dcterms:created>
  <dcterms:modified xmlns:dcterms="http://purl.org/dc/terms/" xmlns:xsi="http://www.w3.org/2001/XMLSchema-instance" xsi:type="dcterms:W3CDTF">2026-07-28T16:54:52Z</dcterms:modified>
</cp:coreProperties>
</file>