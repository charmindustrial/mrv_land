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un Rate" sheetId="2" state="visible" r:id="rId2"/>
    <sheet xmlns:r="http://schemas.openxmlformats.org/officeDocument/2006/relationships" name="Efficiency" sheetId="3" state="visible" r:id="rId3"/>
    <sheet xmlns:r="http://schemas.openxmlformats.org/officeDocument/2006/relationships" name="Penalties" sheetId="4" state="visible" r:id="rId4"/>
    <sheet xmlns:r="http://schemas.openxmlformats.org/officeDocument/2006/relationships" name="Scaling Analysis" sheetId="5" state="visible" r:id="rId5"/>
    <sheet xmlns:r="http://schemas.openxmlformats.org/officeDocument/2006/relationships" name="Production (Charm)" sheetId="6" state="visible" r:id="rId6"/>
    <sheet xmlns:r="http://schemas.openxmlformats.org/officeDocument/2006/relationships" name="Source Mix" sheetId="7" state="visible" r:id="rId7"/>
    <sheet xmlns:r="http://schemas.openxmlformats.org/officeDocument/2006/relationships" name="Protocol Headroom" sheetId="8" state="visible" r:id="rId8"/>
    <sheet xmlns:r="http://schemas.openxmlformats.org/officeDocument/2006/relationships" name="Data 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55555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i val="1"/>
      <color rgb="00888888"/>
      <sz val="9"/>
    </font>
    <font>
      <name val="Calibri"/>
      <b val="1"/>
      <color rgb="00000000"/>
      <sz val="10"/>
    </font>
    <font>
      <name val="Calibri"/>
      <i val="1"/>
      <color rgb="00999999"/>
      <sz val="9"/>
    </font>
    <font>
      <name val="Calibri"/>
      <color rgb="007F6000"/>
      <sz val="10"/>
    </font>
    <font>
      <name val="Calibri"/>
      <i val="1"/>
      <color rgb="007F6000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2E5FA3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EDF2F7"/>
      </patternFill>
    </fill>
    <fill>
      <patternFill patternType="solid">
        <fgColor rgb="00FFF2CC"/>
      </patternFill>
    </fill>
    <fill>
      <patternFill patternType="solid">
        <fgColor rgb="00EBF1D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4" fontId="0" fillId="6" borderId="0" applyAlignment="1" pivotButton="0" quotePrefix="0" xfId="0">
      <alignment horizontal="center" vertical="center"/>
    </xf>
    <xf numFmtId="4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4" fontId="0" fillId="7" borderId="0" applyAlignment="1" pivotButton="0" quotePrefix="0" xfId="0">
      <alignment horizontal="center" vertical="center"/>
    </xf>
    <xf numFmtId="4" fontId="5" fillId="7" borderId="0" applyAlignment="1" pivotButton="0" quotePrefix="0" xfId="0">
      <alignment horizontal="center" vertical="center"/>
    </xf>
    <xf numFmtId="164" fontId="0" fillId="7" borderId="0" applyAlignment="1" pivotButton="0" quotePrefix="0" xfId="0">
      <alignment horizontal="center" vertical="center"/>
    </xf>
    <xf numFmtId="0" fontId="0" fillId="7" borderId="0" pivotButton="0" quotePrefix="0" xfId="0"/>
    <xf numFmtId="164" fontId="0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/>
    </xf>
    <xf numFmtId="4" fontId="0" fillId="8" borderId="0" applyAlignment="1" pivotButton="0" quotePrefix="0" xfId="0">
      <alignment horizontal="center" vertical="center"/>
    </xf>
    <xf numFmtId="4" fontId="7" fillId="3" borderId="0" applyAlignment="1" pivotButton="0" quotePrefix="0" xfId="0">
      <alignment horizontal="center" vertical="center"/>
    </xf>
    <xf numFmtId="4" fontId="0" fillId="3" borderId="0" applyAlignment="1" pivotButton="0" quotePrefix="0" xfId="0">
      <alignment horizontal="center" vertical="center"/>
    </xf>
    <xf numFmtId="3" fontId="0" fillId="3" borderId="0" applyAlignment="1" pivotButton="0" quotePrefix="0" xfId="0">
      <alignment horizontal="center" vertical="center"/>
    </xf>
    <xf numFmtId="0" fontId="0" fillId="3" borderId="0" pivotButton="0" quotePrefix="0" xfId="0"/>
    <xf numFmtId="3" fontId="0" fillId="7" borderId="0" applyAlignment="1" pivotButton="0" quotePrefix="0" xfId="0">
      <alignment horizontal="center" vertical="center"/>
    </xf>
    <xf numFmtId="3" fontId="0" fillId="6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left" vertical="center"/>
    </xf>
    <xf numFmtId="4" fontId="0" fillId="9" borderId="0" applyAlignment="1" pivotButton="0" quotePrefix="0" xfId="0">
      <alignment horizontal="center" vertical="center"/>
    </xf>
    <xf numFmtId="4" fontId="5" fillId="9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164" fontId="0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5" fillId="7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165" fontId="0" fillId="3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left" vertical="center" wrapText="1"/>
    </xf>
    <xf numFmtId="4" fontId="0" fillId="10" borderId="0" applyAlignment="1" pivotButton="0" quotePrefix="0" xfId="0">
      <alignment horizontal="center" vertical="center"/>
    </xf>
    <xf numFmtId="3" fontId="0" fillId="8" borderId="0" applyAlignment="1" pivotButton="0" quotePrefix="0" xfId="0">
      <alignment horizontal="center" vertical="center"/>
    </xf>
    <xf numFmtId="4" fontId="0" fillId="11" borderId="0" applyAlignment="1" pivotButton="0" quotePrefix="0" xfId="0">
      <alignment horizontal="center" vertical="center"/>
    </xf>
    <xf numFmtId="164" fontId="0" fillId="11" borderId="0" applyAlignment="1" pivotButton="0" quotePrefix="0" xfId="0">
      <alignment horizontal="center" vertical="center"/>
    </xf>
    <xf numFmtId="164" fontId="0" fillId="11" borderId="0" pivotButton="0" quotePrefix="0" xfId="0"/>
    <xf numFmtId="4" fontId="5" fillId="11" borderId="0" applyAlignment="1" pivotButton="0" quotePrefix="0" xfId="0">
      <alignment horizontal="center" vertical="center"/>
    </xf>
    <xf numFmtId="3" fontId="0" fillId="11" borderId="0" applyAlignment="1" pivotButton="0" quotePrefix="0" xfId="0">
      <alignment horizontal="center" vertical="center"/>
    </xf>
    <xf numFmtId="3" fontId="0" fillId="11" borderId="0" pivotButton="0" quotePrefix="0" xfId="0"/>
    <xf numFmtId="4" fontId="0" fillId="12" borderId="0" applyAlignment="1" pivotButton="0" quotePrefix="0" xfId="0">
      <alignment horizontal="center" vertical="center"/>
    </xf>
    <xf numFmtId="165" fontId="0" fillId="11" borderId="0" applyAlignment="1" pivotButton="0" quotePrefix="0" xfId="0">
      <alignment horizontal="center" vertical="center"/>
    </xf>
    <xf numFmtId="165" fontId="0" fillId="11" borderId="0" pivotButton="0" quotePrefix="0" xfId="0"/>
    <xf numFmtId="165" fontId="0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CDR Credited by Month (tCO₂e)</a:t>
            </a:r>
          </a:p>
        </rich>
      </tx>
    </title>
    <plotArea>
      <lineChart>
        <grouping val="standard"/>
        <ser>
          <idx val="0"/>
          <order val="0"/>
          <tx>
            <v>Total Net CDR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'Run Rate'!$B$3:$M$3</f>
            </numRef>
          </cat>
          <val>
            <numRef>
              <f>'Run Rate'!$B$5:$M$5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tCO₂e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/ Gross CDR (carbon efficiency ratio)</a:t>
            </a:r>
          </a:p>
        </rich>
      </tx>
    </title>
    <plotArea>
      <lineChart>
        <grouping val="standard"/>
        <ser>
          <idx val="0"/>
          <order val="0"/>
          <tx>
            <v>Total</v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'Efficiency'!$B$3:$M$3</f>
            </numRef>
          </cat>
          <val>
            <numRef>
              <f>'Efficiency'!$B$5:$M$5</f>
            </numRef>
          </val>
        </ser>
        <ser>
          <idx val="1"/>
          <order val="1"/>
          <tx>
            <v>AECN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'Efficiency'!$B$3:$M$3</f>
            </numRef>
          </cat>
          <val>
            <numRef>
              <f>'Efficiency'!$B$6:$M$6</f>
            </numRef>
          </val>
        </ser>
        <ser>
          <idx val="2"/>
          <order val="2"/>
          <tx>
            <v>Charm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'Efficiency'!$B$3:$M$3</f>
            </numRef>
          </cat>
          <val>
            <numRef>
              <f>'Efficiency'!$B$7:$M$7</f>
            </numRef>
          </val>
        </ser>
        <ser>
          <idx val="3"/>
          <order val="3"/>
          <tx>
            <v>Kerry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'Efficiency'!$B$3:$M$3</f>
            </numRef>
          </cat>
          <val>
            <numRef>
              <f>'Efficiency'!$B$8:$M$8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Net/Gross 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Penalties by Source (tCO₂e)</a:t>
            </a:r>
          </a:p>
        </rich>
      </tx>
    </title>
    <plotArea>
      <lineChart>
        <grouping val="standard"/>
        <ser>
          <idx val="0"/>
          <order val="0"/>
          <tx>
            <v>Total</v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'Penalties'!$B$5:$M$5</f>
            </numRef>
          </val>
        </ser>
        <ser>
          <idx val="1"/>
          <order val="1"/>
          <tx>
            <v>Charm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'Penalties'!$B$6:$M$6</f>
            </numRef>
          </val>
        </ser>
        <ser>
          <idx val="2"/>
          <order val="2"/>
          <tx>
            <v>AECN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'Penalties'!$B$7:$M$7</f>
            </numRef>
          </val>
        </ser>
        <ser>
          <idx val="3"/>
          <order val="3"/>
          <tx>
            <v>Kerry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'Penalties'!$B$8:$M$8</f>
            </numRef>
          </val>
        </ser>
        <ser>
          <idx val="4"/>
          <order val="4"/>
          <tx>
            <v>Downstream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'Penalties'!$B$9:$M$9</f>
            </numRef>
          </val>
        </ser>
        <ser>
          <idx val="5"/>
          <order val="5"/>
          <tx>
            <v>Well Facility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'Penalties'!$B$10:$M$10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tCO₂e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Charm Penalty Components (tCO₂e)</a:t>
            </a:r>
          </a:p>
        </rich>
      </tx>
    </title>
    <plotArea>
      <lineChart>
        <grouping val="standard"/>
        <ser>
          <idx val="0"/>
          <order val="0"/>
          <tx>
            <v>Energy — propane (pyrolysis / drying)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'Penalties'!$B$13:$M$13</f>
            </numRef>
          </val>
        </ser>
        <ser>
          <idx val="1"/>
          <order val="1"/>
          <tx>
            <v>Capital Goods EE (equipment amortization)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'Penalties'!$B$14:$M$14</f>
            </numRef>
          </val>
        </ser>
        <ser>
          <idx val="2"/>
          <order val="2"/>
          <tx>
            <v>Transportation — truck (feedstock to facility)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'Penalties'!$B$15:$M$15</f>
            </numRef>
          </val>
        </ser>
        <ser>
          <idx val="3"/>
          <order val="3"/>
          <tx>
            <v>SP+C EE (spare parts &amp; consumables)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'Penalties'!$B$16:$M$16</f>
            </numRef>
          </val>
        </ser>
        <ser>
          <idx val="4"/>
          <order val="4"/>
          <tx>
            <v>Energy — electricity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'Penalties'!$B$17:$M$17</f>
            </numRef>
          </val>
        </ser>
        <ser>
          <idx val="5"/>
          <order val="5"/>
          <tx>
            <v>Other / residual (gasoline, tailgas, water, waste — each &lt;5% avg)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'Penalties'!$B$18:$M$18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tCO₂e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Penalty Trendlines vs. Time (rolling 12 months)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'Penalties'!$B$5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'Penalties'!$C$5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'Penalties'!$D$5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'Penalties'!$E$5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'Penalties'!$F$5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'Penalties'!$G$5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'Penalties'!$H$5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'Penalties'!$I$5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'Penalties'!$J$5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'Penalties'!$K$5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'Penalties'!$L$5</f>
            </numRef>
          </val>
        </ser>
        <ser>
          <idx val="11"/>
          <order val="11"/>
          <tx>
            <v>Total</v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'Penalties'!$M$5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'Penalties'!$B$6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'Penalties'!$C$6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'Penalties'!$D$6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'Penalties'!$E$6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'Penalties'!$F$6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'Penalties'!$G$6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'Penalties'!$H$6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'Penalties'!$I$6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'Penalties'!$J$6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'Penalties'!$K$6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'Penalties'!$L$6</f>
            </numRef>
          </val>
        </ser>
        <ser>
          <idx val="23"/>
          <order val="23"/>
          <tx>
            <v>Charm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'Penalties'!$M$6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'Penalties'!$B$7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'Penalties'!$C$7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'Penalties'!$D$7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'Penalties'!$E$7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'Penalties'!$F$7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'Penalties'!$G$7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'Penalties'!$H$7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'Penalties'!$I$7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'Penalties'!$J$7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'Penalties'!$K$7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'Penalties'!$L$7</f>
            </numRef>
          </val>
        </ser>
        <ser>
          <idx val="35"/>
          <order val="35"/>
          <tx>
            <v>AECN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'Penalties'!$M$7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'Penalties'!$B$8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'Penalties'!$C$8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'Penalties'!$D$8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'Penalties'!$E$8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'Penalties'!$F$8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'Penalties'!$G$8</f>
            </numRef>
          </val>
        </ser>
        <ser>
          <idx val="42"/>
          <order val="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'Penalties'!$H$8</f>
            </numRef>
          </val>
        </ser>
        <ser>
          <idx val="43"/>
          <order val="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'Penalties'!$I$8</f>
            </numRef>
          </val>
        </ser>
        <ser>
          <idx val="44"/>
          <order val="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'Penalties'!$J$8</f>
            </numRef>
          </val>
        </ser>
        <ser>
          <idx val="45"/>
          <order val="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'Penalties'!$K$8</f>
            </numRef>
          </val>
        </ser>
        <ser>
          <idx val="46"/>
          <order val="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'Penalties'!$L$8</f>
            </numRef>
          </val>
        </ser>
        <ser>
          <idx val="47"/>
          <order val="47"/>
          <tx>
            <v>Kerry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'Penalties'!$M$8</f>
            </numRef>
          </val>
        </ser>
        <ser>
          <idx val="48"/>
          <order val="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'Penalties'!$B$9</f>
            </numRef>
          </val>
        </ser>
        <ser>
          <idx val="49"/>
          <order val="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'Penalties'!$C$9</f>
            </numRef>
          </val>
        </ser>
        <ser>
          <idx val="50"/>
          <order val="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'Penalties'!$D$9</f>
            </numRef>
          </val>
        </ser>
        <ser>
          <idx val="51"/>
          <order val="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'Penalties'!$E$9</f>
            </numRef>
          </val>
        </ser>
        <ser>
          <idx val="52"/>
          <order val="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'Penalties'!$F$9</f>
            </numRef>
          </val>
        </ser>
        <ser>
          <idx val="53"/>
          <order val="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'Penalties'!$G$9</f>
            </numRef>
          </val>
        </ser>
        <ser>
          <idx val="54"/>
          <order val="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'Penalties'!$H$9</f>
            </numRef>
          </val>
        </ser>
        <ser>
          <idx val="55"/>
          <order val="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'Penalties'!$I$9</f>
            </numRef>
          </val>
        </ser>
        <ser>
          <idx val="56"/>
          <order val="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'Penalties'!$J$9</f>
            </numRef>
          </val>
        </ser>
        <ser>
          <idx val="57"/>
          <order val="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'Penalties'!$K$9</f>
            </numRef>
          </val>
        </ser>
        <ser>
          <idx val="58"/>
          <order val="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'Penalties'!$L$9</f>
            </numRef>
          </val>
        </ser>
        <ser>
          <idx val="59"/>
          <order val="59"/>
          <tx>
            <v>Downstream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'Penalties'!$M$9</f>
            </numRef>
          </val>
        </ser>
        <ser>
          <idx val="60"/>
          <order val="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'Penalties'!$B$10</f>
            </numRef>
          </val>
        </ser>
        <ser>
          <idx val="61"/>
          <order val="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'Penalties'!$C$10</f>
            </numRef>
          </val>
        </ser>
        <ser>
          <idx val="62"/>
          <order val="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'Penalties'!$D$10</f>
            </numRef>
          </val>
        </ser>
        <ser>
          <idx val="63"/>
          <order val="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'Penalties'!$E$10</f>
            </numRef>
          </val>
        </ser>
        <ser>
          <idx val="64"/>
          <order val="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'Penalties'!$F$10</f>
            </numRef>
          </val>
        </ser>
        <ser>
          <idx val="65"/>
          <order val="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'Penalties'!$G$10</f>
            </numRef>
          </val>
        </ser>
        <ser>
          <idx val="66"/>
          <order val="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'Penalties'!$H$10</f>
            </numRef>
          </val>
        </ser>
        <ser>
          <idx val="67"/>
          <order val="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'Penalties'!$I$10</f>
            </numRef>
          </val>
        </ser>
        <ser>
          <idx val="68"/>
          <order val="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'Penalties'!$J$10</f>
            </numRef>
          </val>
        </ser>
        <ser>
          <idx val="69"/>
          <order val="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'Penalties'!$K$10</f>
            </numRef>
          </val>
        </ser>
        <ser>
          <idx val="70"/>
          <order val="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'Penalties'!$L$10</f>
            </numRef>
          </val>
        </ser>
        <ser>
          <idx val="71"/>
          <order val="71"/>
          <tx>
            <v>Well Facility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'Penalties'!$B$3:$M$3</f>
            </numRef>
          </cat>
          <val>
            <numRef>
              <f>'Penalties'!$M$10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tCO₂e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Charm Production Volumes (MT)</a:t>
            </a:r>
          </a:p>
        </rich>
      </tx>
    </title>
    <plotArea>
      <lineChart>
        <grouping val="standard"/>
        <ser>
          <idx val="0"/>
          <order val="0"/>
          <tx>
            <v>Bio-oil (WODO)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'Production (Charm)'!$B$3:$M$3</f>
            </numRef>
          </cat>
          <val>
            <numRef>
              <f>'Production (Charm)'!$B$8:$M$8</f>
            </numRef>
          </val>
        </ser>
        <ser>
          <idx val="1"/>
          <order val="1"/>
          <tx>
            <v>Biochar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'Production (Charm)'!$B$3:$M$3</f>
            </numRef>
          </cat>
          <val>
            <numRef>
              <f>'Production (Charm)'!$B$16:$M$16</f>
            </numRef>
          </val>
        </ser>
        <ser>
          <idx val="2"/>
          <order val="2"/>
          <tx>
            <v>Biomass input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'Production (Charm)'!$B$3:$M$3</f>
            </numRef>
          </cat>
          <val>
            <numRef>
              <f>'Production (Charm)'!$B$5:$M$5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Carbon Mass in Products (tC)</a:t>
            </a:r>
          </a:p>
        </rich>
      </tx>
    </title>
    <plotArea>
      <lineChart>
        <grouping val="standard"/>
        <ser>
          <idx val="0"/>
          <order val="0"/>
          <tx>
            <v>Bio-oil C mass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'Production (Charm)'!$B$3:$M$3</f>
            </numRef>
          </cat>
          <val>
            <numRef>
              <f>'Production (Charm)'!$B$9:$M$9</f>
            </numRef>
          </val>
        </ser>
        <ser>
          <idx val="1"/>
          <order val="1"/>
          <tx>
            <v>Biochar C mass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'Production (Charm)'!$B$3:$M$3</f>
            </numRef>
          </cat>
          <val>
            <numRef>
              <f>'Production (Charm)'!$B$17:$M$17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CDR by Source (tCO₂e)</a:t>
            </a:r>
          </a:p>
        </rich>
      </tx>
    </title>
    <plotArea>
      <lineChart>
        <grouping val="standard"/>
        <ser>
          <idx val="0"/>
          <order val="0"/>
          <tx>
            <v>Total</v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'Source Mix'!$B$3:$M$3</f>
            </numRef>
          </cat>
          <val>
            <numRef>
              <f>'Source Mix'!$B$5:$M$5</f>
            </numRef>
          </val>
        </ser>
        <ser>
          <idx val="1"/>
          <order val="1"/>
          <tx>
            <v>AECN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'Source Mix'!$B$3:$M$3</f>
            </numRef>
          </cat>
          <val>
            <numRef>
              <f>'Source Mix'!$B$6:$M$6</f>
            </numRef>
          </val>
        </ser>
        <ser>
          <idx val="2"/>
          <order val="2"/>
          <tx>
            <v>Charm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'Source Mix'!$B$3:$M$3</f>
            </numRef>
          </cat>
          <val>
            <numRef>
              <f>'Source Mix'!$B$7:$M$7</f>
            </numRef>
          </val>
        </ser>
        <ser>
          <idx val="3"/>
          <order val="3"/>
          <tx>
            <v>Kerry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'Source Mix'!$B$3:$M$3</f>
            </numRef>
          </cat>
          <val>
            <numRef>
              <f>'Source Mix'!$B$8:$M$8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tCO₂e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Net/Gross CDR by Source</a:t>
            </a:r>
          </a:p>
        </rich>
      </tx>
    </title>
    <plotArea>
      <lineChart>
        <grouping val="standard"/>
        <ser>
          <idx val="0"/>
          <order val="0"/>
          <tx>
            <v>Total</v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'Source Mix'!$B$3:$M$3</f>
            </numRef>
          </cat>
          <val>
            <numRef>
              <f>'Source Mix'!$B$22:$M$22</f>
            </numRef>
          </val>
        </ser>
        <ser>
          <idx val="1"/>
          <order val="1"/>
          <tx>
            <v>AECN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'Source Mix'!$B$3:$M$3</f>
            </numRef>
          </cat>
          <val>
            <numRef>
              <f>'Source Mix'!$B$23:$M$23</f>
            </numRef>
          </val>
        </ser>
        <ser>
          <idx val="2"/>
          <order val="2"/>
          <tx>
            <v>Charm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'Source Mix'!$B$3:$M$3</f>
            </numRef>
          </cat>
          <val>
            <numRef>
              <f>'Source Mix'!$B$24:$M$24</f>
            </numRef>
          </val>
        </ser>
        <ser>
          <idx val="3"/>
          <order val="3"/>
          <tx>
            <v>Kerry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'Source Mix'!$B$3:$M$3</f>
            </numRef>
          </cat>
          <val>
            <numRef>
              <f>'Source Mix'!$B$25:$M$25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34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26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56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82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24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25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51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33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59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O26"/>
  <sheetViews>
    <sheetView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11" customWidth="1" min="14" max="14"/>
    <col width="12" customWidth="1" min="15" max="15"/>
  </cols>
  <sheetData>
    <row r="1" ht="22" customHeight="1">
      <c r="A1" s="1" t="inlineStr">
        <is>
          <t>MRV Business Intelligence  |  Charm Industrial</t>
        </is>
      </c>
    </row>
    <row r="2" ht="13" customHeight="1">
      <c r="A2" s="2" t="inlineStr">
        <is>
          <t>Rolling 12-month view (Jul-25 → Jun-26)  |  updated each reporting close</t>
        </is>
      </c>
    </row>
    <row r="3" ht="14" customHeight="1">
      <c r="A3" s="3" t="inlineStr">
        <is>
          <t>YTD Net CDR (tCO₂e)</t>
        </is>
      </c>
      <c r="F3" s="3" t="inlineStr">
        <is>
          <t>Net Efficiency — YTD</t>
        </is>
      </c>
      <c r="K3" s="3" t="inlineStr">
        <is>
          <t>Last Injection → Credits (days)</t>
        </is>
      </c>
    </row>
    <row r="4" ht="14" customHeight="1">
      <c r="A4" s="2" t="inlineStr">
        <is>
          <t>blended total — all sources</t>
        </is>
      </c>
      <c r="F4" s="2" t="inlineStr">
        <is>
          <t>net / gross CDR</t>
        </is>
      </c>
      <c r="K4" s="2" t="inlineStr">
        <is>
          <t>from last ton of reporting period</t>
        </is>
      </c>
    </row>
    <row r="6" ht="14" customHeight="1">
      <c r="A6" s="4" t="inlineStr">
        <is>
          <t>Pipeline: injected, unverified (tCO₂e)</t>
        </is>
      </c>
      <c r="F6" s="4" t="inlineStr">
        <is>
          <t>Penalties / Gross CDR — YTD</t>
        </is>
      </c>
      <c r="K6" s="4" t="inlineStr">
        <is>
          <t>Source Concentration</t>
        </is>
      </c>
    </row>
    <row r="7" ht="14" customHeight="1">
      <c r="A7" s="2" t="inlineStr">
        <is>
          <t>batches in Certify draft status</t>
        </is>
      </c>
      <c r="F7" s="2" t="inlineStr">
        <is>
          <t>all sources + downstream + well facility</t>
        </is>
      </c>
      <c r="K7" s="2" t="inlineStr">
        <is>
          <t>largest single-source % of net CDR</t>
        </is>
      </c>
    </row>
    <row r="8" ht="5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 ht="16" customHeight="1">
      <c r="A9" s="6" t="inlineStr">
        <is>
          <t>Monthly Summary — Key Metrics  (see detail tabs for drilldowns)</t>
        </is>
      </c>
    </row>
    <row r="10" ht="18" customHeight="1">
      <c r="A10" s="7" t="inlineStr">
        <is>
          <t>Metric</t>
        </is>
      </c>
      <c r="B10" s="8" t="inlineStr">
        <is>
          <t>Jul-25</t>
        </is>
      </c>
      <c r="C10" s="8" t="inlineStr">
        <is>
          <t>Aug-25</t>
        </is>
      </c>
      <c r="D10" s="8" t="inlineStr">
        <is>
          <t>Sep-25</t>
        </is>
      </c>
      <c r="E10" s="8" t="inlineStr">
        <is>
          <t>Oct-25</t>
        </is>
      </c>
      <c r="F10" s="8" t="inlineStr">
        <is>
          <t>Nov-25</t>
        </is>
      </c>
      <c r="G10" s="8" t="inlineStr">
        <is>
          <t>Dec-25</t>
        </is>
      </c>
      <c r="H10" s="8" t="inlineStr">
        <is>
          <t>Jan-26</t>
        </is>
      </c>
      <c r="I10" s="8" t="inlineStr">
        <is>
          <t>Feb-26</t>
        </is>
      </c>
      <c r="J10" s="8" t="inlineStr">
        <is>
          <t>Mar-26</t>
        </is>
      </c>
      <c r="K10" s="8" t="inlineStr">
        <is>
          <t>Apr-26</t>
        </is>
      </c>
      <c r="L10" s="8" t="inlineStr">
        <is>
          <t>May-26</t>
        </is>
      </c>
      <c r="M10" s="8" t="inlineStr">
        <is>
          <t>Jun-26</t>
        </is>
      </c>
      <c r="N10" s="9" t="inlineStr">
        <is>
          <t>YTD 2026</t>
        </is>
      </c>
      <c r="O10" s="9" t="inlineStr">
        <is>
          <t>FY 2025*</t>
        </is>
      </c>
    </row>
    <row r="11" ht="15" customHeight="1">
      <c r="A11" s="10" t="inlineStr">
        <is>
          <t>Net CDR — total operation (tCO₂e)</t>
        </is>
      </c>
      <c r="B11" s="49">
        <f>IF('Run Rate'!B5&lt;&gt;"",'Run Rate'!B5,"")</f>
        <v/>
      </c>
      <c r="C11" s="49">
        <f>IF('Run Rate'!C5&lt;&gt;"",'Run Rate'!C5,"")</f>
        <v/>
      </c>
      <c r="D11" s="49">
        <f>IF('Run Rate'!D5&lt;&gt;"",'Run Rate'!D5,"")</f>
        <v/>
      </c>
      <c r="E11" s="49">
        <f>IF('Run Rate'!E5&lt;&gt;"",'Run Rate'!E5,"")</f>
        <v/>
      </c>
      <c r="F11" s="49">
        <f>IF('Run Rate'!F5&lt;&gt;"",'Run Rate'!F5,"")</f>
        <v/>
      </c>
      <c r="G11" s="49">
        <f>IF('Run Rate'!G5&lt;&gt;"",'Run Rate'!G5,"")</f>
        <v/>
      </c>
      <c r="H11" s="49">
        <f>IF('Run Rate'!H5&lt;&gt;"",'Run Rate'!H5,"")</f>
        <v/>
      </c>
      <c r="I11" s="49">
        <f>IF('Run Rate'!I5&lt;&gt;"",'Run Rate'!I5,"")</f>
        <v/>
      </c>
      <c r="J11" s="49">
        <f>IF('Run Rate'!J5&lt;&gt;"",'Run Rate'!J5,"")</f>
        <v/>
      </c>
      <c r="K11" s="49">
        <f>IF('Run Rate'!K5&lt;&gt;"",'Run Rate'!K5,"")</f>
        <v/>
      </c>
      <c r="L11" s="49">
        <f>IF('Run Rate'!L5&lt;&gt;"",'Run Rate'!L5,"")</f>
        <v/>
      </c>
      <c r="M11" s="49">
        <f>IF('Run Rate'!M5&lt;&gt;"",'Run Rate'!M5,"")</f>
        <v/>
      </c>
      <c r="N11" s="52">
        <f>IFERROR('Run Rate'!N5,"")</f>
        <v/>
      </c>
      <c r="O11" s="49" t="n">
        <v>4461.21</v>
      </c>
    </row>
    <row r="12" ht="15" customHeight="1">
      <c r="A12" s="13" t="inlineStr">
        <is>
          <t xml:space="preserve">  AECN</t>
        </is>
      </c>
      <c r="B12" s="49">
        <f>IF('Run Rate'!B6&lt;&gt;"",'Run Rate'!B6,"")</f>
        <v/>
      </c>
      <c r="C12" s="49">
        <f>IF('Run Rate'!C6&lt;&gt;"",'Run Rate'!C6,"")</f>
        <v/>
      </c>
      <c r="D12" s="49">
        <f>IF('Run Rate'!D6&lt;&gt;"",'Run Rate'!D6,"")</f>
        <v/>
      </c>
      <c r="E12" s="49">
        <f>IF('Run Rate'!E6&lt;&gt;"",'Run Rate'!E6,"")</f>
        <v/>
      </c>
      <c r="F12" s="49">
        <f>IF('Run Rate'!F6&lt;&gt;"",'Run Rate'!F6,"")</f>
        <v/>
      </c>
      <c r="G12" s="49">
        <f>IF('Run Rate'!G6&lt;&gt;"",'Run Rate'!G6,"")</f>
        <v/>
      </c>
      <c r="H12" s="49">
        <f>IF('Run Rate'!H6&lt;&gt;"",'Run Rate'!H6,"")</f>
        <v/>
      </c>
      <c r="I12" s="49">
        <f>IF('Run Rate'!I6&lt;&gt;"",'Run Rate'!I6,"")</f>
        <v/>
      </c>
      <c r="J12" s="49">
        <f>IF('Run Rate'!J6&lt;&gt;"",'Run Rate'!J6,"")</f>
        <v/>
      </c>
      <c r="K12" s="49">
        <f>IF('Run Rate'!K6&lt;&gt;"",'Run Rate'!K6,"")</f>
        <v/>
      </c>
      <c r="L12" s="49">
        <f>IF('Run Rate'!L6&lt;&gt;"",'Run Rate'!L6,"")</f>
        <v/>
      </c>
      <c r="M12" s="49">
        <f>IF('Run Rate'!M6&lt;&gt;"",'Run Rate'!M6,"")</f>
        <v/>
      </c>
      <c r="N12" s="52">
        <f>IFERROR('Run Rate'!N6,"")</f>
        <v/>
      </c>
      <c r="O12" s="49" t="n">
        <v>1362.06</v>
      </c>
    </row>
    <row r="13" ht="15" customHeight="1">
      <c r="A13" s="10" t="inlineStr">
        <is>
          <t xml:space="preserve">  Charm</t>
        </is>
      </c>
      <c r="B13" s="49">
        <f>IF('Run Rate'!B7&lt;&gt;"",'Run Rate'!B7,"")</f>
        <v/>
      </c>
      <c r="C13" s="49">
        <f>IF('Run Rate'!C7&lt;&gt;"",'Run Rate'!C7,"")</f>
        <v/>
      </c>
      <c r="D13" s="49">
        <f>IF('Run Rate'!D7&lt;&gt;"",'Run Rate'!D7,"")</f>
        <v/>
      </c>
      <c r="E13" s="49">
        <f>IF('Run Rate'!E7&lt;&gt;"",'Run Rate'!E7,"")</f>
        <v/>
      </c>
      <c r="F13" s="49">
        <f>IF('Run Rate'!F7&lt;&gt;"",'Run Rate'!F7,"")</f>
        <v/>
      </c>
      <c r="G13" s="49">
        <f>IF('Run Rate'!G7&lt;&gt;"",'Run Rate'!G7,"")</f>
        <v/>
      </c>
      <c r="H13" s="49">
        <f>IF('Run Rate'!H7&lt;&gt;"",'Run Rate'!H7,"")</f>
        <v/>
      </c>
      <c r="I13" s="49">
        <f>IF('Run Rate'!I7&lt;&gt;"",'Run Rate'!I7,"")</f>
        <v/>
      </c>
      <c r="J13" s="49">
        <f>IF('Run Rate'!J7&lt;&gt;"",'Run Rate'!J7,"")</f>
        <v/>
      </c>
      <c r="K13" s="49">
        <f>IF('Run Rate'!K7&lt;&gt;"",'Run Rate'!K7,"")</f>
        <v/>
      </c>
      <c r="L13" s="49">
        <f>IF('Run Rate'!L7&lt;&gt;"",'Run Rate'!L7,"")</f>
        <v/>
      </c>
      <c r="M13" s="49">
        <f>IF('Run Rate'!M7&lt;&gt;"",'Run Rate'!M7,"")</f>
        <v/>
      </c>
      <c r="N13" s="52">
        <f>IFERROR('Run Rate'!N7,"")</f>
        <v/>
      </c>
      <c r="O13" s="49" t="n">
        <v>0</v>
      </c>
    </row>
    <row r="14" ht="15" customHeight="1">
      <c r="A14" s="13" t="inlineStr">
        <is>
          <t xml:space="preserve">  Kerry</t>
        </is>
      </c>
      <c r="B14" s="49">
        <f>IF('Run Rate'!B8&lt;&gt;"",'Run Rate'!B8,"")</f>
        <v/>
      </c>
      <c r="C14" s="49">
        <f>IF('Run Rate'!C8&lt;&gt;"",'Run Rate'!C8,"")</f>
        <v/>
      </c>
      <c r="D14" s="49">
        <f>IF('Run Rate'!D8&lt;&gt;"",'Run Rate'!D8,"")</f>
        <v/>
      </c>
      <c r="E14" s="49">
        <f>IF('Run Rate'!E8&lt;&gt;"",'Run Rate'!E8,"")</f>
        <v/>
      </c>
      <c r="F14" s="49">
        <f>IF('Run Rate'!F8&lt;&gt;"",'Run Rate'!F8,"")</f>
        <v/>
      </c>
      <c r="G14" s="49">
        <f>IF('Run Rate'!G8&lt;&gt;"",'Run Rate'!G8,"")</f>
        <v/>
      </c>
      <c r="H14" s="49">
        <f>IF('Run Rate'!H8&lt;&gt;"",'Run Rate'!H8,"")</f>
        <v/>
      </c>
      <c r="I14" s="49">
        <f>IF('Run Rate'!I8&lt;&gt;"",'Run Rate'!I8,"")</f>
        <v/>
      </c>
      <c r="J14" s="49">
        <f>IF('Run Rate'!J8&lt;&gt;"",'Run Rate'!J8,"")</f>
        <v/>
      </c>
      <c r="K14" s="49">
        <f>IF('Run Rate'!K8&lt;&gt;"",'Run Rate'!K8,"")</f>
        <v/>
      </c>
      <c r="L14" s="49">
        <f>IF('Run Rate'!L8&lt;&gt;"",'Run Rate'!L8,"")</f>
        <v/>
      </c>
      <c r="M14" s="49">
        <f>IF('Run Rate'!M8&lt;&gt;"",'Run Rate'!M8,"")</f>
        <v/>
      </c>
      <c r="N14" s="52">
        <f>IFERROR('Run Rate'!N8,"")</f>
        <v/>
      </c>
      <c r="O14" s="49" t="n">
        <v>242.24</v>
      </c>
    </row>
    <row r="15" ht="15" customHeight="1">
      <c r="A15" s="10" t="inlineStr">
        <is>
          <t>Gross CDR — total operation (tCO₂e)</t>
        </is>
      </c>
      <c r="B15" s="49">
        <f>IF('Run Rate'!B11&lt;&gt;"",'Run Rate'!B11,"")</f>
        <v/>
      </c>
      <c r="C15" s="49">
        <f>IF('Run Rate'!C11&lt;&gt;"",'Run Rate'!C11,"")</f>
        <v/>
      </c>
      <c r="D15" s="49">
        <f>IF('Run Rate'!D11&lt;&gt;"",'Run Rate'!D11,"")</f>
        <v/>
      </c>
      <c r="E15" s="49">
        <f>IF('Run Rate'!E11&lt;&gt;"",'Run Rate'!E11,"")</f>
        <v/>
      </c>
      <c r="F15" s="49">
        <f>IF('Run Rate'!F11&lt;&gt;"",'Run Rate'!F11,"")</f>
        <v/>
      </c>
      <c r="G15" s="49">
        <f>IF('Run Rate'!G11&lt;&gt;"",'Run Rate'!G11,"")</f>
        <v/>
      </c>
      <c r="H15" s="49">
        <f>IF('Run Rate'!H11&lt;&gt;"",'Run Rate'!H11,"")</f>
        <v/>
      </c>
      <c r="I15" s="49">
        <f>IF('Run Rate'!I11&lt;&gt;"",'Run Rate'!I11,"")</f>
        <v/>
      </c>
      <c r="J15" s="49">
        <f>IF('Run Rate'!J11&lt;&gt;"",'Run Rate'!J11,"")</f>
        <v/>
      </c>
      <c r="K15" s="49">
        <f>IF('Run Rate'!K11&lt;&gt;"",'Run Rate'!K11,"")</f>
        <v/>
      </c>
      <c r="L15" s="49">
        <f>IF('Run Rate'!L11&lt;&gt;"",'Run Rate'!L11,"")</f>
        <v/>
      </c>
      <c r="M15" s="49">
        <f>IF('Run Rate'!M11&lt;&gt;"",'Run Rate'!M11,"")</f>
        <v/>
      </c>
      <c r="N15" s="52">
        <f>IFERROR('Run Rate'!N11,"")</f>
        <v/>
      </c>
      <c r="O15" s="49" t="n">
        <v>2177.562</v>
      </c>
    </row>
    <row r="16" ht="15" customHeight="1">
      <c r="A16" s="13" t="inlineStr">
        <is>
          <t>Net efficiency (net / gross CDR)</t>
        </is>
      </c>
      <c r="B16" s="50">
        <f>IFERROR('Efficiency'!B5,"")</f>
        <v/>
      </c>
      <c r="C16" s="50">
        <f>IFERROR('Efficiency'!C5,"")</f>
        <v/>
      </c>
      <c r="D16" s="50">
        <f>IFERROR('Efficiency'!D5,"")</f>
        <v/>
      </c>
      <c r="E16" s="50">
        <f>IFERROR('Efficiency'!E5,"")</f>
        <v/>
      </c>
      <c r="F16" s="50">
        <f>IFERROR('Efficiency'!F5,"")</f>
        <v/>
      </c>
      <c r="G16" s="50">
        <f>IFERROR('Efficiency'!G5,"")</f>
        <v/>
      </c>
      <c r="H16" s="50">
        <f>IFERROR('Efficiency'!H5,"")</f>
        <v/>
      </c>
      <c r="I16" s="50">
        <f>IFERROR('Efficiency'!I5,"")</f>
        <v/>
      </c>
      <c r="J16" s="50">
        <f>IFERROR('Efficiency'!J5,"")</f>
        <v/>
      </c>
      <c r="K16" s="50">
        <f>IFERROR('Efficiency'!K5,"")</f>
        <v/>
      </c>
      <c r="L16" s="50">
        <f>IFERROR('Efficiency'!L5,"")</f>
        <v/>
      </c>
      <c r="M16" s="50">
        <f>IFERROR('Efficiency'!M5,"")</f>
        <v/>
      </c>
      <c r="N16" s="51">
        <f>IFERROR('Efficiency'!N5,"")</f>
        <v/>
      </c>
      <c r="O16" s="50" t="n">
        <v>0.7367</v>
      </c>
    </row>
    <row r="17" ht="15" customHeight="1">
      <c r="A17" s="10" t="inlineStr">
        <is>
          <t>Injected in Certify draft (pipeline, tCO₂e)</t>
        </is>
      </c>
      <c r="B17" s="49">
        <f>IF('Run Rate'!B17&lt;&gt;"",'Run Rate'!B17,"")</f>
        <v/>
      </c>
      <c r="C17" s="49">
        <f>IF('Run Rate'!C17&lt;&gt;"",'Run Rate'!C17,"")</f>
        <v/>
      </c>
      <c r="D17" s="49">
        <f>IF('Run Rate'!D17&lt;&gt;"",'Run Rate'!D17,"")</f>
        <v/>
      </c>
      <c r="E17" s="49">
        <f>IF('Run Rate'!E17&lt;&gt;"",'Run Rate'!E17,"")</f>
        <v/>
      </c>
      <c r="F17" s="49">
        <f>IF('Run Rate'!F17&lt;&gt;"",'Run Rate'!F17,"")</f>
        <v/>
      </c>
      <c r="G17" s="49">
        <f>IF('Run Rate'!G17&lt;&gt;"",'Run Rate'!G17,"")</f>
        <v/>
      </c>
      <c r="H17" s="49">
        <f>IF('Run Rate'!H17&lt;&gt;"",'Run Rate'!H17,"")</f>
        <v/>
      </c>
      <c r="I17" s="49">
        <f>IF('Run Rate'!I17&lt;&gt;"",'Run Rate'!I17,"")</f>
        <v/>
      </c>
      <c r="J17" s="49">
        <f>IF('Run Rate'!J17&lt;&gt;"",'Run Rate'!J17,"")</f>
        <v/>
      </c>
      <c r="K17" s="49">
        <f>IF('Run Rate'!K17&lt;&gt;"",'Run Rate'!K17,"")</f>
        <v/>
      </c>
      <c r="L17" s="49">
        <f>IF('Run Rate'!L17&lt;&gt;"",'Run Rate'!L17,"")</f>
        <v/>
      </c>
      <c r="M17" s="49">
        <f>IF('Run Rate'!M17&lt;&gt;"",'Run Rate'!M17,"")</f>
        <v/>
      </c>
      <c r="N17" s="52">
        <f>IFERROR('Run Rate'!N17,"")</f>
        <v/>
      </c>
      <c r="O17" s="49" t="n">
        <v>0</v>
      </c>
    </row>
    <row r="18" ht="15" customHeight="1">
      <c r="A18" s="13" t="inlineStr">
        <is>
          <t>Last injection → credits (days)</t>
        </is>
      </c>
      <c r="B18" s="53">
        <f>IF('Run Rate'!B23&lt;&gt;"",'Run Rate'!B23,"")</f>
        <v/>
      </c>
      <c r="C18" s="53">
        <f>IF('Run Rate'!C23&lt;&gt;"",'Run Rate'!C23,"")</f>
        <v/>
      </c>
      <c r="D18" s="53">
        <f>IF('Run Rate'!D23&lt;&gt;"",'Run Rate'!D23,"")</f>
        <v/>
      </c>
      <c r="E18" s="53">
        <f>IF('Run Rate'!E23&lt;&gt;"",'Run Rate'!E23,"")</f>
        <v/>
      </c>
      <c r="F18" s="53">
        <f>IF('Run Rate'!F23&lt;&gt;"",'Run Rate'!F23,"")</f>
        <v/>
      </c>
      <c r="G18" s="53">
        <f>IF('Run Rate'!G23&lt;&gt;"",'Run Rate'!G23,"")</f>
        <v/>
      </c>
      <c r="H18" s="53">
        <f>IF('Run Rate'!H23&lt;&gt;"",'Run Rate'!H23,"")</f>
        <v/>
      </c>
      <c r="I18" s="53">
        <f>IF('Run Rate'!I23&lt;&gt;"",'Run Rate'!I23,"")</f>
        <v/>
      </c>
      <c r="J18" s="53">
        <f>IF('Run Rate'!J23&lt;&gt;"",'Run Rate'!J23,"")</f>
        <v/>
      </c>
      <c r="K18" s="53">
        <f>IF('Run Rate'!K23&lt;&gt;"",'Run Rate'!K23,"")</f>
        <v/>
      </c>
      <c r="L18" s="53">
        <f>IF('Run Rate'!L23&lt;&gt;"",'Run Rate'!L23,"")</f>
        <v/>
      </c>
      <c r="M18" s="53">
        <f>IF('Run Rate'!M23&lt;&gt;"",'Run Rate'!M23,"")</f>
        <v/>
      </c>
      <c r="N18" s="54">
        <f>IFERROR('Run Rate'!N23,"")</f>
        <v/>
      </c>
      <c r="O18" s="53" t="n">
        <v>26.8</v>
      </c>
    </row>
    <row r="19" ht="15" customHeight="1">
      <c r="A19" s="10" t="inlineStr">
        <is>
          <t>Penalties as % of gross CDR — total</t>
        </is>
      </c>
      <c r="B19" s="50">
        <f>IF('Penalties'!B5&gt;0,'Penalties'!B5/'Run Rate'!B11,"")</f>
        <v/>
      </c>
      <c r="C19" s="50">
        <f>IF('Penalties'!C5&gt;0,'Penalties'!C5/'Run Rate'!C11,"")</f>
        <v/>
      </c>
      <c r="D19" s="50">
        <f>IF('Penalties'!D5&gt;0,'Penalties'!D5/'Run Rate'!D11,"")</f>
        <v/>
      </c>
      <c r="E19" s="50">
        <f>IF('Penalties'!E5&gt;0,'Penalties'!E5/'Run Rate'!E11,"")</f>
        <v/>
      </c>
      <c r="F19" s="50">
        <f>IF('Penalties'!F5&gt;0,'Penalties'!F5/'Run Rate'!F11,"")</f>
        <v/>
      </c>
      <c r="G19" s="50">
        <f>IF('Penalties'!G5&gt;0,'Penalties'!G5/'Run Rate'!G11,"")</f>
        <v/>
      </c>
      <c r="H19" s="50">
        <f>IF('Penalties'!H5&gt;0,'Penalties'!H5/'Run Rate'!H11,"")</f>
        <v/>
      </c>
      <c r="I19" s="50">
        <f>IF('Penalties'!I5&gt;0,'Penalties'!I5/'Run Rate'!I11,"")</f>
        <v/>
      </c>
      <c r="J19" s="50">
        <f>IF('Penalties'!J5&gt;0,'Penalties'!J5/'Run Rate'!J11,"")</f>
        <v/>
      </c>
      <c r="K19" s="50">
        <f>IF('Penalties'!K5&gt;0,'Penalties'!K5/'Run Rate'!K11,"")</f>
        <v/>
      </c>
      <c r="L19" s="50">
        <f>IF('Penalties'!L5&gt;0,'Penalties'!L5/'Run Rate'!L11,"")</f>
        <v/>
      </c>
      <c r="M19" s="50">
        <f>IF('Penalties'!M5&gt;0,'Penalties'!M5/'Run Rate'!M11,"")</f>
        <v/>
      </c>
      <c r="N19" s="51">
        <f>IF(SUM('Run Rate'!H11:M11)&gt;0,SUM('Penalties'!H5:M5)/SUM('Run Rate'!H11:M11),"")</f>
        <v/>
      </c>
      <c r="O19" s="50" t="n">
        <v>0.2633</v>
      </c>
    </row>
    <row r="20" ht="15" customHeight="1">
      <c r="A20" s="13" t="inlineStr">
        <is>
          <t>AECN share of net CDR (%)</t>
        </is>
      </c>
      <c r="B20" s="50">
        <f>IF('Source Mix'!B11&lt;&gt;"",'Source Mix'!B11,"")</f>
        <v/>
      </c>
      <c r="C20" s="50">
        <f>IF('Source Mix'!C11&lt;&gt;"",'Source Mix'!C11,"")</f>
        <v/>
      </c>
      <c r="D20" s="50">
        <f>IF('Source Mix'!D11&lt;&gt;"",'Source Mix'!D11,"")</f>
        <v/>
      </c>
      <c r="E20" s="50">
        <f>IF('Source Mix'!E11&lt;&gt;"",'Source Mix'!E11,"")</f>
        <v/>
      </c>
      <c r="F20" s="50">
        <f>IF('Source Mix'!F11&lt;&gt;"",'Source Mix'!F11,"")</f>
        <v/>
      </c>
      <c r="G20" s="50">
        <f>IF('Source Mix'!G11&lt;&gt;"",'Source Mix'!G11,"")</f>
        <v/>
      </c>
      <c r="H20" s="50">
        <f>IF('Source Mix'!H11&lt;&gt;"",'Source Mix'!H11,"")</f>
        <v/>
      </c>
      <c r="I20" s="50">
        <f>IF('Source Mix'!I11&lt;&gt;"",'Source Mix'!I11,"")</f>
        <v/>
      </c>
      <c r="J20" s="50">
        <f>IF('Source Mix'!J11&lt;&gt;"",'Source Mix'!J11,"")</f>
        <v/>
      </c>
      <c r="K20" s="50">
        <f>IF('Source Mix'!K11&lt;&gt;"",'Source Mix'!K11,"")</f>
        <v/>
      </c>
      <c r="L20" s="50">
        <f>IF('Source Mix'!L11&lt;&gt;"",'Source Mix'!L11,"")</f>
        <v/>
      </c>
      <c r="M20" s="50">
        <f>IF('Source Mix'!M11&lt;&gt;"",'Source Mix'!M11,"")</f>
        <v/>
      </c>
      <c r="N20" s="51">
        <f>IF(SUM('Run Rate'!H11:M11)&gt;0,SUM('Source Mix'!H11:M11)/SUM('Run Rate'!H11:M11),"")</f>
        <v/>
      </c>
      <c r="O20" s="50" t="n">
        <v>0.849</v>
      </c>
    </row>
    <row r="21" ht="15" customHeight="1">
      <c r="A21" s="10" t="inlineStr">
        <is>
          <t>Charm share of net CDR (%)</t>
        </is>
      </c>
      <c r="B21" s="50">
        <f>IF('Source Mix'!B12&lt;&gt;"",'Source Mix'!B12,"")</f>
        <v/>
      </c>
      <c r="C21" s="50">
        <f>IF('Source Mix'!C12&lt;&gt;"",'Source Mix'!C12,"")</f>
        <v/>
      </c>
      <c r="D21" s="50">
        <f>IF('Source Mix'!D12&lt;&gt;"",'Source Mix'!D12,"")</f>
        <v/>
      </c>
      <c r="E21" s="50">
        <f>IF('Source Mix'!E12&lt;&gt;"",'Source Mix'!E12,"")</f>
        <v/>
      </c>
      <c r="F21" s="50">
        <f>IF('Source Mix'!F12&lt;&gt;"",'Source Mix'!F12,"")</f>
        <v/>
      </c>
      <c r="G21" s="50">
        <f>IF('Source Mix'!G12&lt;&gt;"",'Source Mix'!G12,"")</f>
        <v/>
      </c>
      <c r="H21" s="50">
        <f>IF('Source Mix'!H12&lt;&gt;"",'Source Mix'!H12,"")</f>
        <v/>
      </c>
      <c r="I21" s="50">
        <f>IF('Source Mix'!I12&lt;&gt;"",'Source Mix'!I12,"")</f>
        <v/>
      </c>
      <c r="J21" s="50">
        <f>IF('Source Mix'!J12&lt;&gt;"",'Source Mix'!J12,"")</f>
        <v/>
      </c>
      <c r="K21" s="50">
        <f>IF('Source Mix'!K12&lt;&gt;"",'Source Mix'!K12,"")</f>
        <v/>
      </c>
      <c r="L21" s="50">
        <f>IF('Source Mix'!L12&lt;&gt;"",'Source Mix'!L12,"")</f>
        <v/>
      </c>
      <c r="M21" s="50">
        <f>IF('Source Mix'!M12&lt;&gt;"",'Source Mix'!M12,"")</f>
        <v/>
      </c>
      <c r="N21" s="51">
        <f>IF(SUM('Run Rate'!H11:M11)&gt;0,SUM('Source Mix'!H12:M12)/SUM('Run Rate'!H11:M11),"")</f>
        <v/>
      </c>
      <c r="O21" s="50" t="n">
        <v>0</v>
      </c>
    </row>
    <row r="22" ht="15" customHeight="1">
      <c r="A22" s="13" t="inlineStr">
        <is>
          <t>Kerry share of net CDR (%)</t>
        </is>
      </c>
      <c r="B22" s="50">
        <f>IF('Source Mix'!B13&lt;&gt;"",'Source Mix'!B13,"")</f>
        <v/>
      </c>
      <c r="C22" s="50">
        <f>IF('Source Mix'!C13&lt;&gt;"",'Source Mix'!C13,"")</f>
        <v/>
      </c>
      <c r="D22" s="50">
        <f>IF('Source Mix'!D13&lt;&gt;"",'Source Mix'!D13,"")</f>
        <v/>
      </c>
      <c r="E22" s="50">
        <f>IF('Source Mix'!E13&lt;&gt;"",'Source Mix'!E13,"")</f>
        <v/>
      </c>
      <c r="F22" s="50">
        <f>IF('Source Mix'!F13&lt;&gt;"",'Source Mix'!F13,"")</f>
        <v/>
      </c>
      <c r="G22" s="50">
        <f>IF('Source Mix'!G13&lt;&gt;"",'Source Mix'!G13,"")</f>
        <v/>
      </c>
      <c r="H22" s="50">
        <f>IF('Source Mix'!H13&lt;&gt;"",'Source Mix'!H13,"")</f>
        <v/>
      </c>
      <c r="I22" s="50">
        <f>IF('Source Mix'!I13&lt;&gt;"",'Source Mix'!I13,"")</f>
        <v/>
      </c>
      <c r="J22" s="50">
        <f>IF('Source Mix'!J13&lt;&gt;"",'Source Mix'!J13,"")</f>
        <v/>
      </c>
      <c r="K22" s="50">
        <f>IF('Source Mix'!K13&lt;&gt;"",'Source Mix'!K13,"")</f>
        <v/>
      </c>
      <c r="L22" s="50">
        <f>IF('Source Mix'!L13&lt;&gt;"",'Source Mix'!L13,"")</f>
        <v/>
      </c>
      <c r="M22" s="50">
        <f>IF('Source Mix'!M13&lt;&gt;"",'Source Mix'!M13,"")</f>
        <v/>
      </c>
      <c r="N22" s="51">
        <f>IF(SUM('Run Rate'!H11:M11)&gt;0,SUM('Source Mix'!H13:M13)/SUM('Run Rate'!H11:M11),"")</f>
        <v/>
      </c>
      <c r="O22" s="50" t="n">
        <v>0.151</v>
      </c>
    </row>
    <row r="23" ht="15" customHeight="1">
      <c r="A23" s="10" t="inlineStr">
        <is>
          <t>Charm bio-oil CI (tCO₂e / tCO₂ stored)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5" t="n"/>
      <c r="O23" s="11" t="n"/>
    </row>
    <row r="24" ht="15" customHeight="1">
      <c r="A24" s="13" t="inlineStr">
        <is>
          <t>Charm biochar CI (tCO₂e / tCO₂ stored)</t>
        </is>
      </c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7" t="n"/>
      <c r="O24" s="14" t="n"/>
    </row>
    <row r="25" ht="5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 ht="14" customHeight="1">
      <c r="A26" s="19" t="inlineStr">
        <is>
          <t>ℹ  Last injection → credits = OKR. FY 2025* = credits issued in calendar year 2025.</t>
        </is>
      </c>
    </row>
  </sheetData>
  <mergeCells count="16">
    <mergeCell ref="F7:J7"/>
    <mergeCell ref="K3:O3"/>
    <mergeCell ref="A4:E4"/>
    <mergeCell ref="F3:J3"/>
    <mergeCell ref="A2:O2"/>
    <mergeCell ref="K7:O7"/>
    <mergeCell ref="A26:O26"/>
    <mergeCell ref="A7:E7"/>
    <mergeCell ref="A1:O1"/>
    <mergeCell ref="K6:O6"/>
    <mergeCell ref="F6:J6"/>
    <mergeCell ref="A6:E6"/>
    <mergeCell ref="A9:O9"/>
    <mergeCell ref="K4:O4"/>
    <mergeCell ref="F4:J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FA3"/>
    <outlinePr summaryBelow="1" summaryRight="1"/>
    <pageSetUpPr/>
  </sheetPr>
  <dimension ref="A1:O3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11" customWidth="1" min="14" max="14"/>
    <col width="12" customWidth="1" min="15" max="15"/>
  </cols>
  <sheetData>
    <row r="1" ht="22" customHeight="1">
      <c r="A1" s="1" t="inlineStr">
        <is>
          <t>Run Rate — Net CDR Credited &amp; Pipeline</t>
        </is>
      </c>
    </row>
    <row r="2" ht="13" customHeight="1">
      <c r="A2" s="2" t="inlineStr">
        <is>
          <t>Credits attributed to month of issuance (revenue timing). Rolling 12-month. tCO₂e.</t>
        </is>
      </c>
    </row>
    <row r="3" ht="18" customHeight="1">
      <c r="A3" s="7" t="inlineStr">
        <is>
          <t>Metric</t>
        </is>
      </c>
      <c r="B3" s="8" t="inlineStr">
        <is>
          <t>Jul-25</t>
        </is>
      </c>
      <c r="C3" s="8" t="inlineStr">
        <is>
          <t>Aug-25</t>
        </is>
      </c>
      <c r="D3" s="8" t="inlineStr">
        <is>
          <t>Sep-25</t>
        </is>
      </c>
      <c r="E3" s="8" t="inlineStr">
        <is>
          <t>Oct-25</t>
        </is>
      </c>
      <c r="F3" s="8" t="inlineStr">
        <is>
          <t>Nov-25</t>
        </is>
      </c>
      <c r="G3" s="8" t="inlineStr">
        <is>
          <t>Dec-25</t>
        </is>
      </c>
      <c r="H3" s="8" t="inlineStr">
        <is>
          <t>Jan-26</t>
        </is>
      </c>
      <c r="I3" s="8" t="inlineStr">
        <is>
          <t>Feb-26</t>
        </is>
      </c>
      <c r="J3" s="8" t="inlineStr">
        <is>
          <t>Mar-26</t>
        </is>
      </c>
      <c r="K3" s="8" t="inlineStr">
        <is>
          <t>Apr-26</t>
        </is>
      </c>
      <c r="L3" s="8" t="inlineStr">
        <is>
          <t>May-26</t>
        </is>
      </c>
      <c r="M3" s="8" t="inlineStr">
        <is>
          <t>Jun-26</t>
        </is>
      </c>
      <c r="N3" s="9" t="inlineStr">
        <is>
          <t>YTD 2026</t>
        </is>
      </c>
      <c r="O3" s="9" t="inlineStr">
        <is>
          <t>FY 2025*</t>
        </is>
      </c>
    </row>
    <row r="4" ht="16" customHeight="1">
      <c r="A4" s="6" t="inlineStr">
        <is>
          <t>Credited — Net CDR (tCO₂e)</t>
        </is>
      </c>
    </row>
    <row r="5" ht="15" customHeight="1">
      <c r="A5" s="20" t="inlineStr">
        <is>
          <t>Total operation</t>
        </is>
      </c>
      <c r="B5" s="21" t="n"/>
      <c r="C5" s="21" t="n">
        <v>555.95</v>
      </c>
      <c r="D5" s="21" t="n">
        <v>135.39</v>
      </c>
      <c r="E5" s="21">
        <f>166.40+291.85</f>
        <v/>
      </c>
      <c r="F5" s="21" t="n">
        <v>454.71</v>
      </c>
      <c r="G5" s="21" t="n"/>
      <c r="H5" s="21" t="n"/>
      <c r="I5" s="21" t="n">
        <v>43.47</v>
      </c>
      <c r="J5" s="21" t="n">
        <v>764.14</v>
      </c>
      <c r="K5" s="21" t="n">
        <v>612.99</v>
      </c>
      <c r="L5" s="21" t="n">
        <v>490.82</v>
      </c>
      <c r="M5" s="21" t="n"/>
      <c r="N5" s="22">
        <f>SUM(H5:M5)</f>
        <v/>
      </c>
      <c r="O5" s="21" t="n">
        <v>4461.21</v>
      </c>
    </row>
    <row r="6" ht="15" customHeight="1">
      <c r="A6" s="13" t="inlineStr">
        <is>
          <t xml:space="preserve">  AECN</t>
        </is>
      </c>
      <c r="B6" s="14" t="n"/>
      <c r="C6" s="21" t="n">
        <v>555.95</v>
      </c>
      <c r="D6" s="21" t="n">
        <v>0</v>
      </c>
      <c r="E6" s="21">
        <f>59.55+291.85</f>
        <v/>
      </c>
      <c r="F6" s="21" t="n">
        <v>454.71</v>
      </c>
      <c r="G6" s="14" t="n"/>
      <c r="H6" s="14" t="n"/>
      <c r="I6" s="21" t="n">
        <v>43.47</v>
      </c>
      <c r="J6" s="21" t="n">
        <v>764.14</v>
      </c>
      <c r="K6" s="21" t="n">
        <v>612.99</v>
      </c>
      <c r="L6" s="21" t="n">
        <v>475.09</v>
      </c>
      <c r="M6" s="14" t="n"/>
      <c r="N6" s="15">
        <f>SUM(H6:M6)</f>
        <v/>
      </c>
      <c r="O6" s="49" t="n">
        <v>1362.06</v>
      </c>
    </row>
    <row r="7" ht="15" customHeight="1">
      <c r="A7" s="10" t="inlineStr">
        <is>
          <t xml:space="preserve">  Charm</t>
        </is>
      </c>
      <c r="B7" s="11" t="n"/>
      <c r="C7" s="21" t="n">
        <v>0</v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6.93</v>
      </c>
      <c r="M7" s="11" t="n"/>
      <c r="N7" s="12">
        <f>SUM(H7:M7)</f>
        <v/>
      </c>
      <c r="O7" s="49" t="n">
        <v>0</v>
      </c>
    </row>
    <row r="8" ht="15" customHeight="1">
      <c r="A8" s="13" t="inlineStr">
        <is>
          <t xml:space="preserve">  Kerry</t>
        </is>
      </c>
      <c r="B8" s="14" t="n"/>
      <c r="C8" s="21" t="n">
        <v>0</v>
      </c>
      <c r="D8" s="21" t="n">
        <v>135.39</v>
      </c>
      <c r="E8" s="21" t="n">
        <v>106.85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8.800000000000001</v>
      </c>
      <c r="M8" s="14" t="n"/>
      <c r="N8" s="15">
        <f>SUM(H8:M8)</f>
        <v/>
      </c>
      <c r="O8" s="49" t="n">
        <v>242.24</v>
      </c>
    </row>
    <row r="9" ht="5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 ht="16" customHeight="1">
      <c r="A10" s="6" t="inlineStr">
        <is>
          <t>Gross CDR — for reference (tCO₂e, not directly credited)</t>
        </is>
      </c>
    </row>
    <row r="11" ht="15" customHeight="1">
      <c r="A11" s="20" t="inlineStr">
        <is>
          <t>Total operation</t>
        </is>
      </c>
      <c r="B11" s="23" t="n"/>
      <c r="C11" s="21" t="n">
        <v>804.551</v>
      </c>
      <c r="D11" s="21" t="n">
        <v>161.907</v>
      </c>
      <c r="E11" s="21">
        <f>285.139+351.170</f>
        <v/>
      </c>
      <c r="F11" s="21" t="n">
        <v>574.795</v>
      </c>
      <c r="G11" s="23" t="n"/>
      <c r="H11" s="23" t="n"/>
      <c r="I11" s="21" t="n">
        <v>157.052</v>
      </c>
      <c r="J11" s="21" t="n">
        <v>863.601</v>
      </c>
      <c r="K11" s="21" t="n">
        <v>702.779</v>
      </c>
      <c r="L11" s="21" t="n">
        <v>578.696</v>
      </c>
      <c r="M11" s="23" t="n"/>
      <c r="N11" s="22">
        <f>SUM(H11:M11)</f>
        <v/>
      </c>
      <c r="O11" s="21" t="n">
        <v>2177.562</v>
      </c>
    </row>
    <row r="12" ht="15" customHeight="1">
      <c r="A12" s="13" t="inlineStr">
        <is>
          <t xml:space="preserve">  AECN</t>
        </is>
      </c>
      <c r="B12" s="14" t="n"/>
      <c r="C12" s="49" t="n">
        <v>804.551</v>
      </c>
      <c r="D12" s="49" t="n">
        <v>0</v>
      </c>
      <c r="E12" s="49">
        <f>351.170+285.139*59.55/166.40</f>
        <v/>
      </c>
      <c r="F12" s="49" t="n">
        <v>574.795</v>
      </c>
      <c r="G12" s="14" t="n"/>
      <c r="H12" s="14" t="n"/>
      <c r="I12" s="49" t="n">
        <v>157.052</v>
      </c>
      <c r="J12" s="49" t="n">
        <v>863.601</v>
      </c>
      <c r="K12" s="49" t="n">
        <v>702.779</v>
      </c>
      <c r="L12" s="49">
        <f>578.696*475.09/490.82</f>
        <v/>
      </c>
      <c r="M12" s="14" t="n"/>
      <c r="N12" s="15">
        <f>SUM(H12:M12)</f>
        <v/>
      </c>
      <c r="O12" s="49" t="n">
        <v>1832.566</v>
      </c>
    </row>
    <row r="13" ht="15" customHeight="1">
      <c r="A13" s="10" t="inlineStr">
        <is>
          <t xml:space="preserve">  Charm</t>
        </is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49">
        <f>578.696*6.93/490.82</f>
        <v/>
      </c>
      <c r="M13" s="14" t="n">
        <v>0</v>
      </c>
      <c r="N13" s="12">
        <f>SUM(H13:M13)</f>
        <v/>
      </c>
      <c r="O13" s="49" t="n">
        <v>0</v>
      </c>
    </row>
    <row r="14" ht="15" customHeight="1">
      <c r="A14" s="13" t="inlineStr">
        <is>
          <t xml:space="preserve">  Kerry</t>
        </is>
      </c>
      <c r="B14" s="14" t="n">
        <v>0</v>
      </c>
      <c r="C14" s="14" t="n">
        <v>0</v>
      </c>
      <c r="D14" s="49" t="n">
        <v>161.907</v>
      </c>
      <c r="E14" s="49">
        <f>285.139*106.85/166.40</f>
        <v/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49">
        <f>578.696*8.80/490.82</f>
        <v/>
      </c>
      <c r="M14" s="14" t="n">
        <v>0</v>
      </c>
      <c r="N14" s="15">
        <f>SUM(H14:M14)</f>
        <v/>
      </c>
      <c r="O14" s="49" t="n">
        <v>344.987</v>
      </c>
    </row>
    <row r="15" ht="5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 ht="16" customHeight="1">
      <c r="A16" s="6" t="inlineStr">
        <is>
          <t>Pipeline — Batches in Certify Draft Status (tCO₂e)</t>
        </is>
      </c>
    </row>
    <row r="17" ht="15" customHeight="1">
      <c r="A17" s="20" t="inlineStr">
        <is>
          <t>Total operation</t>
        </is>
      </c>
      <c r="B17" s="14" t="n">
        <v>0</v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21" t="n">
        <v>235.7</v>
      </c>
      <c r="N17" s="22">
        <f>SUM(H17:M17)</f>
        <v/>
      </c>
      <c r="O17" s="21" t="n">
        <v>0</v>
      </c>
    </row>
    <row r="18" ht="15" customHeight="1">
      <c r="A18" s="13" t="inlineStr">
        <is>
          <t xml:space="preserve">  AECN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  <c r="M18" s="21">
        <f>69.12+138.62+18.85</f>
        <v/>
      </c>
      <c r="N18" s="15">
        <f>SUM(H18:M18)</f>
        <v/>
      </c>
      <c r="O18" s="21" t="n">
        <v>0</v>
      </c>
    </row>
    <row r="19" ht="15" customHeight="1">
      <c r="A19" s="10" t="inlineStr">
        <is>
          <t xml:space="preserve">  Charm</t>
        </is>
      </c>
      <c r="B19" s="14" t="n">
        <v>0</v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55" t="n">
        <v>0</v>
      </c>
      <c r="N19" s="12">
        <f>SUM(H19:M19)</f>
        <v/>
      </c>
      <c r="O19" s="21" t="n">
        <v>0</v>
      </c>
    </row>
    <row r="20" ht="15" customHeight="1">
      <c r="A20" s="13" t="inlineStr">
        <is>
          <t xml:space="preserve">  Kerry</t>
        </is>
      </c>
      <c r="B20" s="14" t="n">
        <v>0</v>
      </c>
      <c r="C20" s="14" t="n">
        <v>0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  <c r="M20" s="21" t="n">
        <v>9.109999999999999</v>
      </c>
      <c r="N20" s="15">
        <f>SUM(H20:M20)</f>
        <v/>
      </c>
      <c r="O20" s="21" t="n">
        <v>0</v>
      </c>
    </row>
    <row r="21" ht="5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 ht="16" customHeight="1">
      <c r="A22" s="6" t="inlineStr">
        <is>
          <t>Verification Timing</t>
        </is>
      </c>
    </row>
    <row r="23" ht="15" customHeight="1">
      <c r="A23" s="20" t="inlineStr">
        <is>
          <t>Last injection → credits — total operation (days) [OKR metric]</t>
        </is>
      </c>
      <c r="B23" s="24" t="n"/>
      <c r="C23" s="48" t="n">
        <v>27</v>
      </c>
      <c r="D23" s="48" t="n">
        <v>35</v>
      </c>
      <c r="E23" s="48" t="n">
        <v>31</v>
      </c>
      <c r="F23" s="48" t="n">
        <v>14</v>
      </c>
      <c r="G23" s="24" t="n"/>
      <c r="H23" s="24" t="n"/>
      <c r="I23" s="48" t="n">
        <v>68</v>
      </c>
      <c r="J23" s="48" t="n">
        <v>8</v>
      </c>
      <c r="K23" s="48" t="n">
        <v>21</v>
      </c>
      <c r="L23" s="48" t="n">
        <v>14</v>
      </c>
      <c r="M23" s="24" t="n"/>
      <c r="N23" s="54" t="n">
        <v>26.8</v>
      </c>
      <c r="O23" s="53" t="n">
        <v>26.8</v>
      </c>
    </row>
    <row r="24" ht="15" customHeight="1">
      <c r="A24" s="13" t="inlineStr">
        <is>
          <t xml:space="preserve">    Last injection of period → period close (days)</t>
        </is>
      </c>
      <c r="B24" s="26" t="n"/>
      <c r="C24" s="48" t="n">
        <v>8</v>
      </c>
      <c r="D24" s="48" t="n">
        <v>0</v>
      </c>
      <c r="E24" s="48" t="n">
        <v>0</v>
      </c>
      <c r="F24" s="48" t="n">
        <v>1</v>
      </c>
      <c r="G24" s="26" t="n"/>
      <c r="H24" s="26" t="n"/>
      <c r="I24" s="48" t="n">
        <v>50</v>
      </c>
      <c r="J24" s="48" t="n">
        <v>0</v>
      </c>
      <c r="K24" s="48" t="n">
        <v>5</v>
      </c>
      <c r="L24" s="48" t="n">
        <v>1</v>
      </c>
      <c r="M24" s="26" t="n"/>
      <c r="N24" s="54" t="n">
        <v>2.2</v>
      </c>
      <c r="O24" s="53" t="n">
        <v>2.2</v>
      </c>
    </row>
    <row r="25" ht="15" customHeight="1">
      <c r="A25" s="10" t="inlineStr">
        <is>
          <t xml:space="preserve">    Period close → credit issuance (days)</t>
        </is>
      </c>
      <c r="B25" s="27" t="n"/>
      <c r="C25" s="48" t="n">
        <v>19</v>
      </c>
      <c r="D25" s="48" t="n">
        <v>35</v>
      </c>
      <c r="E25" s="48" t="n">
        <v>31</v>
      </c>
      <c r="F25" s="48" t="n">
        <v>13</v>
      </c>
      <c r="G25" s="27" t="n"/>
      <c r="H25" s="27" t="n"/>
      <c r="I25" s="48" t="n">
        <v>18</v>
      </c>
      <c r="J25" s="48" t="n">
        <v>8</v>
      </c>
      <c r="K25" s="48" t="n">
        <v>16</v>
      </c>
      <c r="L25" s="48" t="n">
        <v>13</v>
      </c>
      <c r="M25" s="27" t="n"/>
      <c r="N25" s="54" t="n">
        <v>24.5</v>
      </c>
      <c r="O25" s="53" t="n">
        <v>24.5</v>
      </c>
    </row>
    <row r="26" ht="5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 ht="15" customHeight="1">
      <c r="A27" s="10" t="inlineStr">
        <is>
          <t>Blended avg injection-to-credit lag — total (days, ton-weighted)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5" t="n"/>
      <c r="O27" s="27" t="n"/>
    </row>
    <row r="28" ht="15" customHeight="1">
      <c r="A28" s="13" t="inlineStr">
        <is>
          <t xml:space="preserve">  AECN blended avg lag (days)</t>
        </is>
      </c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17" t="n"/>
      <c r="O28" s="26" t="n"/>
    </row>
    <row r="29" ht="15" customHeight="1">
      <c r="A29" s="10" t="inlineStr">
        <is>
          <t xml:space="preserve">  Charm blended avg lag (days)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5" t="n"/>
      <c r="O29" s="27" t="n"/>
    </row>
    <row r="30" ht="15" customHeight="1">
      <c r="A30" s="13" t="inlineStr">
        <is>
          <t xml:space="preserve">  Kerry blended avg lag (days)</t>
        </is>
      </c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17" t="n"/>
      <c r="O30" s="26" t="n"/>
    </row>
    <row r="32" ht="14" customHeight="1">
      <c r="A32" s="19" t="inlineStr">
        <is>
          <t>ℹ  FY 2025* = credits issued in calendar year 2025 = 4,461.21 tCO₂e. Oct-25 cell = =166.40+291.85 (two periods both issued Oct 2025). Source breakdown (AECN/Charm/Kerry) pending — requires drilling individual GHG statements.</t>
        </is>
      </c>
    </row>
    <row r="33" ht="5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 ht="16" customHeight="1">
      <c r="A34" s="28" t="inlineStr">
        <is>
          <t>▸ Chart: Net CDR Credited — Monthly (tCO₂e)</t>
        </is>
      </c>
    </row>
  </sheetData>
  <mergeCells count="8">
    <mergeCell ref="A16:O16"/>
    <mergeCell ref="A2:O2"/>
    <mergeCell ref="A10:O10"/>
    <mergeCell ref="A1:O1"/>
    <mergeCell ref="A32:O32"/>
    <mergeCell ref="A22:O22"/>
    <mergeCell ref="A34:O34"/>
    <mergeCell ref="A4:O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5FA3"/>
    <outlinePr summaryBelow="1" summaryRight="1"/>
    <pageSetUpPr/>
  </sheetPr>
  <dimension ref="A1:O2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11" customWidth="1" min="14" max="14"/>
    <col width="12" customWidth="1" min="15" max="15"/>
  </cols>
  <sheetData>
    <row r="1" ht="22" customHeight="1">
      <c r="A1" s="1" t="inlineStr">
        <is>
          <t>Efficiency — Net CDR Yield</t>
        </is>
      </c>
    </row>
    <row r="2" ht="13" customHeight="1">
      <c r="A2" s="2" t="inlineStr">
        <is>
          <t>Net/gross CDR and net CDR per tonne injected</t>
        </is>
      </c>
    </row>
    <row r="3" ht="18" customHeight="1">
      <c r="A3" s="7" t="inlineStr">
        <is>
          <t>Metric</t>
        </is>
      </c>
      <c r="B3" s="8" t="inlineStr">
        <is>
          <t>Jul-25</t>
        </is>
      </c>
      <c r="C3" s="8" t="inlineStr">
        <is>
          <t>Aug-25</t>
        </is>
      </c>
      <c r="D3" s="8" t="inlineStr">
        <is>
          <t>Sep-25</t>
        </is>
      </c>
      <c r="E3" s="8" t="inlineStr">
        <is>
          <t>Oct-25</t>
        </is>
      </c>
      <c r="F3" s="8" t="inlineStr">
        <is>
          <t>Nov-25</t>
        </is>
      </c>
      <c r="G3" s="8" t="inlineStr">
        <is>
          <t>Dec-25</t>
        </is>
      </c>
      <c r="H3" s="8" t="inlineStr">
        <is>
          <t>Jan-26</t>
        </is>
      </c>
      <c r="I3" s="8" t="inlineStr">
        <is>
          <t>Feb-26</t>
        </is>
      </c>
      <c r="J3" s="8" t="inlineStr">
        <is>
          <t>Mar-26</t>
        </is>
      </c>
      <c r="K3" s="8" t="inlineStr">
        <is>
          <t>Apr-26</t>
        </is>
      </c>
      <c r="L3" s="8" t="inlineStr">
        <is>
          <t>May-26</t>
        </is>
      </c>
      <c r="M3" s="8" t="inlineStr">
        <is>
          <t>Jun-26</t>
        </is>
      </c>
      <c r="N3" s="9" t="inlineStr">
        <is>
          <t>YTD 2026</t>
        </is>
      </c>
      <c r="O3" s="9" t="inlineStr">
        <is>
          <t>FY 2025*</t>
        </is>
      </c>
    </row>
    <row r="4" ht="16" customHeight="1">
      <c r="A4" s="6" t="inlineStr">
        <is>
          <t>Net CDR / Gross CDR (carbon efficiency ratio)</t>
        </is>
      </c>
    </row>
    <row r="5" ht="15" customHeight="1">
      <c r="A5" s="20" t="inlineStr">
        <is>
          <t>Total operation</t>
        </is>
      </c>
      <c r="B5" s="50">
        <f>IF(B18&gt;0,B17/B18,"")</f>
        <v/>
      </c>
      <c r="C5" s="50">
        <f>IF(C18&gt;0,C17/C18,"")</f>
        <v/>
      </c>
      <c r="D5" s="50">
        <f>IF(D18&gt;0,D17/D18,"")</f>
        <v/>
      </c>
      <c r="E5" s="50">
        <f>IF(E18&gt;0,E17/E18,"")</f>
        <v/>
      </c>
      <c r="F5" s="50">
        <f>IF(F18&gt;0,F17/F18,"")</f>
        <v/>
      </c>
      <c r="G5" s="50">
        <f>IF(G18&gt;0,G17/G18,"")</f>
        <v/>
      </c>
      <c r="H5" s="50">
        <f>IF(H18&gt;0,H17/H18,"")</f>
        <v/>
      </c>
      <c r="I5" s="50">
        <f>IF(I18&gt;0,I17/I18,"")</f>
        <v/>
      </c>
      <c r="J5" s="50">
        <f>IF(J18&gt;0,J17/J18,"")</f>
        <v/>
      </c>
      <c r="K5" s="50">
        <f>IF(K18&gt;0,K17/K18,"")</f>
        <v/>
      </c>
      <c r="L5" s="50">
        <f>IF(L18&gt;0,L17/L18,"")</f>
        <v/>
      </c>
      <c r="M5" s="50">
        <f>IF(M18&gt;0,M17/M18,"")</f>
        <v/>
      </c>
      <c r="N5" s="51">
        <f>IF(SUM(H18:M18)&gt;0,SUM(H17:M17)/SUM(H18:M18),"")</f>
        <v/>
      </c>
      <c r="O5" s="50" t="n">
        <v>0.7367</v>
      </c>
    </row>
    <row r="6" ht="15" customHeight="1">
      <c r="A6" s="13" t="inlineStr">
        <is>
          <t xml:space="preserve">  AECN</t>
        </is>
      </c>
      <c r="B6" s="50">
        <f>IF('Run Rate'!B12&gt;0,'Run Rate'!B6/'Run Rate'!B12,"")</f>
        <v/>
      </c>
      <c r="C6" s="50">
        <f>IF('Run Rate'!C12&gt;0,'Run Rate'!C6/'Run Rate'!C12,"")</f>
        <v/>
      </c>
      <c r="D6" s="50">
        <f>IF('Run Rate'!D12&gt;0,'Run Rate'!D6/'Run Rate'!D12,"")</f>
        <v/>
      </c>
      <c r="E6" s="50">
        <f>IF('Run Rate'!E12&gt;0,'Run Rate'!E6/'Run Rate'!E12,"")</f>
        <v/>
      </c>
      <c r="F6" s="50">
        <f>IF('Run Rate'!F12&gt;0,'Run Rate'!F6/'Run Rate'!F12,"")</f>
        <v/>
      </c>
      <c r="G6" s="50">
        <f>IF('Run Rate'!G12&gt;0,'Run Rate'!G6/'Run Rate'!G12,"")</f>
        <v/>
      </c>
      <c r="H6" s="50">
        <f>IF('Run Rate'!H12&gt;0,'Run Rate'!H6/'Run Rate'!H12,"")</f>
        <v/>
      </c>
      <c r="I6" s="50">
        <f>IF('Run Rate'!I12&gt;0,'Run Rate'!I6/'Run Rate'!I12,"")</f>
        <v/>
      </c>
      <c r="J6" s="50">
        <f>IF('Run Rate'!J12&gt;0,'Run Rate'!J6/'Run Rate'!J12,"")</f>
        <v/>
      </c>
      <c r="K6" s="50">
        <f>IF('Run Rate'!K12&gt;0,'Run Rate'!K6/'Run Rate'!K12,"")</f>
        <v/>
      </c>
      <c r="L6" s="50">
        <f>IF('Run Rate'!L12&gt;0,'Run Rate'!L6/'Run Rate'!L12,"")</f>
        <v/>
      </c>
      <c r="M6" s="50">
        <f>IF('Run Rate'!M12&gt;0,'Run Rate'!M6/'Run Rate'!M12,"")</f>
        <v/>
      </c>
      <c r="N6" s="51">
        <f>IF(SUM('Run Rate'!H12:M12)&gt;0,SUM('Run Rate'!H6:M6)/SUM('Run Rate'!H12:M12),"")</f>
        <v/>
      </c>
      <c r="O6" s="50" t="n">
        <v>0.7433</v>
      </c>
    </row>
    <row r="7" ht="15" customHeight="1">
      <c r="A7" s="10" t="inlineStr">
        <is>
          <t xml:space="preserve">  Charm</t>
        </is>
      </c>
      <c r="B7" s="50">
        <f>IF('Run Rate'!B13&gt;0,'Run Rate'!B7/'Run Rate'!B13,"")</f>
        <v/>
      </c>
      <c r="C7" s="50">
        <f>IF('Run Rate'!C13&gt;0,'Run Rate'!C7/'Run Rate'!C13,"")</f>
        <v/>
      </c>
      <c r="D7" s="50">
        <f>IF('Run Rate'!D13&gt;0,'Run Rate'!D7/'Run Rate'!D13,"")</f>
        <v/>
      </c>
      <c r="E7" s="50">
        <f>IF('Run Rate'!E13&gt;0,'Run Rate'!E7/'Run Rate'!E13,"")</f>
        <v/>
      </c>
      <c r="F7" s="50">
        <f>IF('Run Rate'!F13&gt;0,'Run Rate'!F7/'Run Rate'!F13,"")</f>
        <v/>
      </c>
      <c r="G7" s="50">
        <f>IF('Run Rate'!G13&gt;0,'Run Rate'!G7/'Run Rate'!G13,"")</f>
        <v/>
      </c>
      <c r="H7" s="50">
        <f>IF('Run Rate'!H13&gt;0,'Run Rate'!H7/'Run Rate'!H13,"")</f>
        <v/>
      </c>
      <c r="I7" s="50">
        <f>IF('Run Rate'!I13&gt;0,'Run Rate'!I7/'Run Rate'!I13,"")</f>
        <v/>
      </c>
      <c r="J7" s="50">
        <f>IF('Run Rate'!J13&gt;0,'Run Rate'!J7/'Run Rate'!J13,"")</f>
        <v/>
      </c>
      <c r="K7" s="50">
        <f>IF('Run Rate'!K13&gt;0,'Run Rate'!K7/'Run Rate'!K13,"")</f>
        <v/>
      </c>
      <c r="L7" s="50">
        <f>IF('Run Rate'!L13&gt;0,'Run Rate'!L7/'Run Rate'!L13,"")</f>
        <v/>
      </c>
      <c r="M7" s="50">
        <f>IF('Run Rate'!M13&gt;0,'Run Rate'!M7/'Run Rate'!M13,"")</f>
        <v/>
      </c>
      <c r="N7" s="51">
        <f>IF(SUM('Run Rate'!H13:M13)&gt;0,SUM('Run Rate'!H7:M7)/SUM('Run Rate'!H13:M13),"")</f>
        <v/>
      </c>
      <c r="O7" s="16" t="n"/>
    </row>
    <row r="8" ht="15" customHeight="1">
      <c r="A8" s="13" t="inlineStr">
        <is>
          <t xml:space="preserve">  Kerry</t>
        </is>
      </c>
      <c r="B8" s="50">
        <f>IF('Run Rate'!B14&gt;0,'Run Rate'!B8/'Run Rate'!B14,"")</f>
        <v/>
      </c>
      <c r="C8" s="50">
        <f>IF('Run Rate'!C14&gt;0,'Run Rate'!C8/'Run Rate'!C14,"")</f>
        <v/>
      </c>
      <c r="D8" s="50">
        <f>IF('Run Rate'!D14&gt;0,'Run Rate'!D8/'Run Rate'!D14,"")</f>
        <v/>
      </c>
      <c r="E8" s="50">
        <f>IF('Run Rate'!E14&gt;0,'Run Rate'!E8/'Run Rate'!E14,"")</f>
        <v/>
      </c>
      <c r="F8" s="50">
        <f>IF('Run Rate'!F14&gt;0,'Run Rate'!F8/'Run Rate'!F14,"")</f>
        <v/>
      </c>
      <c r="G8" s="50">
        <f>IF('Run Rate'!G14&gt;0,'Run Rate'!G8/'Run Rate'!G14,"")</f>
        <v/>
      </c>
      <c r="H8" s="50">
        <f>IF('Run Rate'!H14&gt;0,'Run Rate'!H8/'Run Rate'!H14,"")</f>
        <v/>
      </c>
      <c r="I8" s="50">
        <f>IF('Run Rate'!I14&gt;0,'Run Rate'!I8/'Run Rate'!I14,"")</f>
        <v/>
      </c>
      <c r="J8" s="50">
        <f>IF('Run Rate'!J14&gt;0,'Run Rate'!J8/'Run Rate'!J14,"")</f>
        <v/>
      </c>
      <c r="K8" s="50">
        <f>IF('Run Rate'!K14&gt;0,'Run Rate'!K8/'Run Rate'!K14,"")</f>
        <v/>
      </c>
      <c r="L8" s="50">
        <f>IF('Run Rate'!L14&gt;0,'Run Rate'!L8/'Run Rate'!L14,"")</f>
        <v/>
      </c>
      <c r="M8" s="50">
        <f>IF('Run Rate'!M14&gt;0,'Run Rate'!M8/'Run Rate'!M14,"")</f>
        <v/>
      </c>
      <c r="N8" s="51">
        <f>IF(SUM('Run Rate'!H14:M14)&gt;0,SUM('Run Rate'!H8:M8)/SUM('Run Rate'!H14:M14),"")</f>
        <v/>
      </c>
      <c r="O8" s="50" t="n">
        <v>0.7022</v>
      </c>
    </row>
    <row r="9" ht="5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 ht="16" customHeight="1">
      <c r="A10" s="6" t="inlineStr">
        <is>
          <t>Net CDR per Tonne Bio-Oil Injected (tCO₂e / tonne)</t>
        </is>
      </c>
    </row>
    <row r="11" ht="15" customHeight="1">
      <c r="A11" s="20" t="inlineStr">
        <is>
          <t>Total operation</t>
        </is>
      </c>
      <c r="B11" s="56">
        <f>IF(B19&gt;0,B17/B19,"")</f>
        <v/>
      </c>
      <c r="C11" s="56">
        <f>IF(C19&gt;0,C17/C19,"")</f>
        <v/>
      </c>
      <c r="D11" s="56">
        <f>IF(D19&gt;0,D17/D19,"")</f>
        <v/>
      </c>
      <c r="E11" s="56">
        <f>IF(E19&gt;0,E17/E19,"")</f>
        <v/>
      </c>
      <c r="F11" s="56">
        <f>IF(F19&gt;0,F17/F19,"")</f>
        <v/>
      </c>
      <c r="G11" s="56">
        <f>IF(G19&gt;0,G17/G19,"")</f>
        <v/>
      </c>
      <c r="H11" s="56">
        <f>IF(H19&gt;0,H17/H19,"")</f>
        <v/>
      </c>
      <c r="I11" s="56">
        <f>IF(I19&gt;0,I17/I19,"")</f>
        <v/>
      </c>
      <c r="J11" s="56">
        <f>IF(J19&gt;0,J17/J19,"")</f>
        <v/>
      </c>
      <c r="K11" s="56">
        <f>IF(K19&gt;0,K17/K19,"")</f>
        <v/>
      </c>
      <c r="L11" s="56">
        <f>IF(L19&gt;0,L17/L19,"")</f>
        <v/>
      </c>
      <c r="M11" s="56">
        <f>IF(M19&gt;0,M17/M19,"")</f>
        <v/>
      </c>
      <c r="N11" s="57">
        <f>IF(SUM(H19:M19)&gt;0,SUM(H17:M17)/SUM(H19:M19),"")</f>
        <v/>
      </c>
      <c r="O11" s="49" t="n">
        <v>0.9707</v>
      </c>
    </row>
    <row r="12" ht="15" customHeight="1">
      <c r="A12" s="13" t="inlineStr">
        <is>
          <t xml:space="preserve">  AECN</t>
        </is>
      </c>
      <c r="B12" s="56">
        <f>IF(B20&gt;0,'Run Rate'!B6/B20,"")</f>
        <v/>
      </c>
      <c r="C12" s="56">
        <f>IF(C20&gt;0,'Run Rate'!C6/C20,"")</f>
        <v/>
      </c>
      <c r="D12" s="56">
        <f>IF(D20&gt;0,'Run Rate'!D6/D20,"")</f>
        <v/>
      </c>
      <c r="E12" s="56">
        <f>IF(E20&gt;0,'Run Rate'!E6/E20,"")</f>
        <v/>
      </c>
      <c r="F12" s="56">
        <f>IF(F20&gt;0,'Run Rate'!F6/F20,"")</f>
        <v/>
      </c>
      <c r="G12" s="56">
        <f>IF(G20&gt;0,'Run Rate'!G6/G20,"")</f>
        <v/>
      </c>
      <c r="H12" s="56">
        <f>IF(H20&gt;0,'Run Rate'!H6/H20,"")</f>
        <v/>
      </c>
      <c r="I12" s="56">
        <f>IF(I20&gt;0,'Run Rate'!I6/I20,"")</f>
        <v/>
      </c>
      <c r="J12" s="56">
        <f>IF(J20&gt;0,'Run Rate'!J6/J20,"")</f>
        <v/>
      </c>
      <c r="K12" s="56">
        <f>IF(K20&gt;0,'Run Rate'!K6/K20,"")</f>
        <v/>
      </c>
      <c r="L12" s="56">
        <f>IF(L20&gt;0,'Run Rate'!L6/L20,"")</f>
        <v/>
      </c>
      <c r="M12" s="56">
        <f>IF(M20&gt;0,'Run Rate'!M6/M20,"")</f>
        <v/>
      </c>
      <c r="N12" s="17" t="n"/>
      <c r="O12" s="49" t="n">
        <v>0.9981</v>
      </c>
    </row>
    <row r="13" ht="15" customHeight="1">
      <c r="A13" s="10" t="inlineStr">
        <is>
          <t xml:space="preserve">  Charm</t>
        </is>
      </c>
      <c r="B13" s="56">
        <f>IF(B21&gt;0,'Run Rate'!B7/B21,"")</f>
        <v/>
      </c>
      <c r="C13" s="56">
        <f>IF(C21&gt;0,'Run Rate'!C7/C21,"")</f>
        <v/>
      </c>
      <c r="D13" s="56">
        <f>IF(D21&gt;0,'Run Rate'!D7/D21,"")</f>
        <v/>
      </c>
      <c r="E13" s="56">
        <f>IF(E21&gt;0,'Run Rate'!E7/E21,"")</f>
        <v/>
      </c>
      <c r="F13" s="56">
        <f>IF(F21&gt;0,'Run Rate'!F7/F21,"")</f>
        <v/>
      </c>
      <c r="G13" s="56">
        <f>IF(G21&gt;0,'Run Rate'!G7/G21,"")</f>
        <v/>
      </c>
      <c r="H13" s="56">
        <f>IF(H21&gt;0,'Run Rate'!H7/H21,"")</f>
        <v/>
      </c>
      <c r="I13" s="56">
        <f>IF(I21&gt;0,'Run Rate'!I7/I21,"")</f>
        <v/>
      </c>
      <c r="J13" s="56">
        <f>IF(J21&gt;0,'Run Rate'!J7/J21,"")</f>
        <v/>
      </c>
      <c r="K13" s="56">
        <f>IF(K21&gt;0,'Run Rate'!K7/K21,"")</f>
        <v/>
      </c>
      <c r="L13" s="56">
        <f>IF(L21&gt;0,'Run Rate'!L7/L21,"")</f>
        <v/>
      </c>
      <c r="M13" s="56">
        <f>IF(M21&gt;0,'Run Rate'!M7/M21,"")</f>
        <v/>
      </c>
      <c r="N13" s="5" t="n"/>
      <c r="O13" s="11" t="n"/>
    </row>
    <row r="14" ht="15" customHeight="1">
      <c r="A14" s="13" t="inlineStr">
        <is>
          <t xml:space="preserve">  Kerry</t>
        </is>
      </c>
      <c r="B14" s="56">
        <f>IF(B22&gt;0,'Run Rate'!B8/B22,"")</f>
        <v/>
      </c>
      <c r="C14" s="56">
        <f>IF(C22&gt;0,'Run Rate'!C8/C22,"")</f>
        <v/>
      </c>
      <c r="D14" s="56">
        <f>IF(D22&gt;0,'Run Rate'!D8/D22,"")</f>
        <v/>
      </c>
      <c r="E14" s="56">
        <f>IF(E22&gt;0,'Run Rate'!E8/E22,"")</f>
        <v/>
      </c>
      <c r="F14" s="56">
        <f>IF(F22&gt;0,'Run Rate'!F8/F22,"")</f>
        <v/>
      </c>
      <c r="G14" s="56">
        <f>IF(G22&gt;0,'Run Rate'!G8/G22,"")</f>
        <v/>
      </c>
      <c r="H14" s="56">
        <f>IF(H22&gt;0,'Run Rate'!H8/H22,"")</f>
        <v/>
      </c>
      <c r="I14" s="56">
        <f>IF(I22&gt;0,'Run Rate'!I8/I22,"")</f>
        <v/>
      </c>
      <c r="J14" s="56">
        <f>IF(J22&gt;0,'Run Rate'!J8/J22,"")</f>
        <v/>
      </c>
      <c r="K14" s="56">
        <f>IF(K22&gt;0,'Run Rate'!K8/K22,"")</f>
        <v/>
      </c>
      <c r="L14" s="56">
        <f>IF(L22&gt;0,'Run Rate'!L8/L22,"")</f>
        <v/>
      </c>
      <c r="M14" s="56">
        <f>IF(M22&gt;0,'Run Rate'!M8/M22,"")</f>
        <v/>
      </c>
      <c r="N14" s="17" t="n"/>
      <c r="O14" s="49" t="n">
        <v>0.8408</v>
      </c>
    </row>
    <row r="15" ht="5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 ht="16" customHeight="1">
      <c r="A16" s="6" t="inlineStr">
        <is>
          <t>Memo: Volumes</t>
        </is>
      </c>
    </row>
    <row r="17" ht="15" customHeight="1">
      <c r="A17" s="20" t="inlineStr">
        <is>
          <t>Net CDR — total (tCO₂e)</t>
        </is>
      </c>
      <c r="B17" s="23" t="n"/>
      <c r="C17" s="21" t="n">
        <v>555.95</v>
      </c>
      <c r="D17" s="21" t="n">
        <v>135.39</v>
      </c>
      <c r="E17" s="21">
        <f>166.40+291.85</f>
        <v/>
      </c>
      <c r="F17" s="21" t="n">
        <v>454.71</v>
      </c>
      <c r="G17" s="23" t="n"/>
      <c r="H17" s="23" t="n"/>
      <c r="I17" s="21" t="n">
        <v>43.47</v>
      </c>
      <c r="J17" s="21" t="n">
        <v>764.14</v>
      </c>
      <c r="K17" s="21" t="n">
        <v>612.99</v>
      </c>
      <c r="L17" s="21" t="n">
        <v>490.82</v>
      </c>
      <c r="M17" s="23" t="n"/>
      <c r="N17" s="22">
        <f>SUM(H17:M17)</f>
        <v/>
      </c>
      <c r="O17" s="21" t="n">
        <v>1604.3</v>
      </c>
    </row>
    <row r="18" ht="15" customHeight="1">
      <c r="A18" s="20" t="inlineStr">
        <is>
          <t>Gross CDR — total (tCO₂e)</t>
        </is>
      </c>
      <c r="B18" s="23" t="n"/>
      <c r="C18" s="21" t="n">
        <v>804.551</v>
      </c>
      <c r="D18" s="21" t="n">
        <v>161.907</v>
      </c>
      <c r="E18" s="21">
        <f>285.139+351.170</f>
        <v/>
      </c>
      <c r="F18" s="21" t="n">
        <v>574.795</v>
      </c>
      <c r="G18" s="23" t="n"/>
      <c r="H18" s="23" t="n"/>
      <c r="I18" s="21" t="n">
        <v>157.052</v>
      </c>
      <c r="J18" s="21" t="n">
        <v>863.601</v>
      </c>
      <c r="K18" s="21" t="n">
        <v>702.779</v>
      </c>
      <c r="L18" s="21" t="n">
        <v>578.696</v>
      </c>
      <c r="M18" s="23" t="n"/>
      <c r="N18" s="22">
        <f>SUM(H18:M18)</f>
        <v/>
      </c>
      <c r="O18" s="21" t="n">
        <v>2177.562</v>
      </c>
    </row>
    <row r="19" ht="15" customHeight="1">
      <c r="A19" s="20" t="inlineStr">
        <is>
          <t>Bio-oil injected — total (tonnes)</t>
        </is>
      </c>
      <c r="B19" s="23" t="n"/>
      <c r="C19" s="58" t="n">
        <v>553.599</v>
      </c>
      <c r="D19" s="58" t="n">
        <v>118.562</v>
      </c>
      <c r="E19" s="58">
        <f>264.139+284.436</f>
        <v/>
      </c>
      <c r="F19" s="58" t="n">
        <v>432.06</v>
      </c>
      <c r="G19" s="23" t="n"/>
      <c r="H19" s="23" t="n"/>
      <c r="I19" s="58" t="n">
        <v>98.867</v>
      </c>
      <c r="J19" s="58" t="n">
        <v>568.558</v>
      </c>
      <c r="K19" s="58" t="n">
        <v>462.251</v>
      </c>
      <c r="L19" s="58" t="n">
        <v>407.596</v>
      </c>
      <c r="M19" s="58" t="n">
        <v>198.977</v>
      </c>
      <c r="N19" s="22">
        <f>SUM(H19:M19)</f>
        <v/>
      </c>
      <c r="O19" s="21" t="n">
        <v>1652.796</v>
      </c>
    </row>
    <row r="20" ht="15" customHeight="1">
      <c r="A20" s="13" t="inlineStr">
        <is>
          <t xml:space="preserve">  AECN bio-oil injected (tonnes)</t>
        </is>
      </c>
      <c r="B20" s="14" t="n"/>
      <c r="C20" s="56" t="n">
        <v>553.599</v>
      </c>
      <c r="D20" s="56" t="n">
        <v>0</v>
      </c>
      <c r="E20" s="56">
        <f>284.436+264.139*59.55/166.40</f>
        <v/>
      </c>
      <c r="F20" s="56" t="n">
        <v>432.06</v>
      </c>
      <c r="G20" s="14" t="n"/>
      <c r="H20" s="14" t="n"/>
      <c r="I20" s="56" t="n">
        <v>98.867</v>
      </c>
      <c r="J20" s="56" t="n">
        <v>568.558</v>
      </c>
      <c r="K20" s="56" t="n">
        <v>462.251</v>
      </c>
      <c r="L20" s="56">
        <f>407.596*475.09/490.82</f>
        <v/>
      </c>
      <c r="M20" s="56">
        <f>121.287+22.835+50.297</f>
        <v/>
      </c>
      <c r="N20" s="15">
        <f>SUM(H20:M20)</f>
        <v/>
      </c>
      <c r="O20" s="49" t="n">
        <v>1364.695</v>
      </c>
    </row>
    <row r="21" ht="15" customHeight="1">
      <c r="A21" s="10" t="inlineStr">
        <is>
          <t xml:space="preserve">  Charm bio-oil injected (tonnes)</t>
        </is>
      </c>
      <c r="B21" s="11" t="n"/>
      <c r="C21" s="23" t="n">
        <v>20.928</v>
      </c>
      <c r="D21" s="23" t="n">
        <v>12.63</v>
      </c>
      <c r="E21" s="23" t="n">
        <v>14.227</v>
      </c>
      <c r="F21" s="23" t="n">
        <v>9.984</v>
      </c>
      <c r="G21" s="23" t="n">
        <v>6.481</v>
      </c>
      <c r="H21" s="23" t="n">
        <v>8.888</v>
      </c>
      <c r="I21" s="23" t="n">
        <v>10.966</v>
      </c>
      <c r="J21" s="23" t="n">
        <v>16.307</v>
      </c>
      <c r="K21" s="11" t="n"/>
      <c r="L21" s="56" t="n">
        <v>5.754941281936351</v>
      </c>
      <c r="M21" s="11" t="n"/>
      <c r="N21" s="12">
        <f>SUM(H21:M21)</f>
        <v/>
      </c>
      <c r="O21" s="49" t="n">
        <v>0</v>
      </c>
    </row>
    <row r="22" ht="15" customHeight="1">
      <c r="A22" s="13" t="inlineStr">
        <is>
          <t xml:space="preserve">  Kerry bio-oil injected (tonnes)</t>
        </is>
      </c>
      <c r="B22" s="14" t="n"/>
      <c r="C22" s="56" t="n">
        <v>0</v>
      </c>
      <c r="D22" s="56" t="n">
        <v>118.562</v>
      </c>
      <c r="E22" s="56">
        <f>264.139*106.85/166.40</f>
        <v/>
      </c>
      <c r="F22" s="56" t="n">
        <v>0</v>
      </c>
      <c r="G22" s="14" t="n"/>
      <c r="H22" s="14" t="n"/>
      <c r="I22" s="56" t="n">
        <v>0</v>
      </c>
      <c r="J22" s="56" t="n">
        <v>0</v>
      </c>
      <c r="K22" s="56" t="n">
        <v>0</v>
      </c>
      <c r="L22" s="56">
        <f>407.596*8.80/490.82</f>
        <v/>
      </c>
      <c r="M22" s="56" t="n">
        <v>4.558</v>
      </c>
      <c r="N22" s="15">
        <f>SUM(H22:M22)</f>
        <v/>
      </c>
      <c r="O22" s="49" t="n">
        <v>288.101</v>
      </c>
    </row>
    <row r="23" ht="14" customHeight="1">
      <c r="A23" s="19" t="inlineStr">
        <is>
          <t>ℹ  Efficiency ratios: derive YTD from YTD memo row totals.</t>
        </is>
      </c>
    </row>
    <row r="26" ht="16" customHeight="1">
      <c r="A26" s="28" t="inlineStr">
        <is>
          <t>▸ Chart: Net/Gross CDR Efficiency — Monthly</t>
        </is>
      </c>
    </row>
  </sheetData>
  <mergeCells count="7">
    <mergeCell ref="A26:O26"/>
    <mergeCell ref="A16:O16"/>
    <mergeCell ref="A2:O2"/>
    <mergeCell ref="A10:O10"/>
    <mergeCell ref="A1:O1"/>
    <mergeCell ref="A23:O23"/>
    <mergeCell ref="A4:O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E5FA3"/>
    <outlinePr summaryBelow="1" summaryRight="1"/>
    <pageSetUpPr/>
  </sheetPr>
  <dimension ref="A1:O8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11" customWidth="1" min="14" max="14"/>
    <col width="12" customWidth="1" min="15" max="15"/>
  </cols>
  <sheetData>
    <row r="1" ht="22" customHeight="1">
      <c r="A1" s="1" t="inlineStr">
        <is>
          <t>Penalties — Emission Deductions from Gross CDR</t>
        </is>
      </c>
    </row>
    <row r="2" ht="13" customHeight="1">
      <c r="A2" s="2" t="inlineStr">
        <is>
          <t>System flow: Charm prod → AECN prod → Kerry prod → Downstream Transport → Well Facility</t>
        </is>
      </c>
    </row>
    <row r="3" ht="18" customHeight="1">
      <c r="A3" s="7" t="inlineStr">
        <is>
          <t>Metric</t>
        </is>
      </c>
      <c r="B3" s="8" t="inlineStr">
        <is>
          <t>Jul-25</t>
        </is>
      </c>
      <c r="C3" s="8" t="inlineStr">
        <is>
          <t>Aug-25</t>
        </is>
      </c>
      <c r="D3" s="8" t="inlineStr">
        <is>
          <t>Sep-25</t>
        </is>
      </c>
      <c r="E3" s="8" t="inlineStr">
        <is>
          <t>Oct-25</t>
        </is>
      </c>
      <c r="F3" s="8" t="inlineStr">
        <is>
          <t>Nov-25</t>
        </is>
      </c>
      <c r="G3" s="8" t="inlineStr">
        <is>
          <t>Dec-25</t>
        </is>
      </c>
      <c r="H3" s="8" t="inlineStr">
        <is>
          <t>Jan-26</t>
        </is>
      </c>
      <c r="I3" s="8" t="inlineStr">
        <is>
          <t>Feb-26</t>
        </is>
      </c>
      <c r="J3" s="8" t="inlineStr">
        <is>
          <t>Mar-26</t>
        </is>
      </c>
      <c r="K3" s="8" t="inlineStr">
        <is>
          <t>Apr-26</t>
        </is>
      </c>
      <c r="L3" s="8" t="inlineStr">
        <is>
          <t>May-26</t>
        </is>
      </c>
      <c r="M3" s="8" t="inlineStr">
        <is>
          <t>Jun-26</t>
        </is>
      </c>
      <c r="N3" s="9" t="inlineStr">
        <is>
          <t>YTD 2026</t>
        </is>
      </c>
      <c r="O3" s="9" t="inlineStr">
        <is>
          <t>FY 2025*</t>
        </is>
      </c>
    </row>
    <row r="4" ht="16" customHeight="1">
      <c r="A4" s="6" t="inlineStr">
        <is>
          <t>Total Penalties — All Sources (tCO₂e)</t>
        </is>
      </c>
    </row>
    <row r="5" ht="15" customHeight="1">
      <c r="A5" s="20" t="inlineStr">
        <is>
          <t>Total operation</t>
        </is>
      </c>
      <c r="B5" s="23" t="n"/>
      <c r="C5" s="21" t="n">
        <v>248.601</v>
      </c>
      <c r="D5" s="21" t="n">
        <v>26.51700000000002</v>
      </c>
      <c r="E5" s="21">
        <f>285.139+351.170-166.40-291.85</f>
        <v/>
      </c>
      <c r="F5" s="21" t="n">
        <v>120.085</v>
      </c>
      <c r="G5" s="23" t="n"/>
      <c r="H5" s="23" t="n"/>
      <c r="I5" s="21" t="n">
        <v>113.582</v>
      </c>
      <c r="J5" s="21" t="n">
        <v>99.46100000000001</v>
      </c>
      <c r="K5" s="21" t="n">
        <v>89.78899999999999</v>
      </c>
      <c r="L5" s="21" t="n">
        <v>87.87600000000003</v>
      </c>
      <c r="M5" s="23" t="n"/>
      <c r="N5" s="22">
        <f>SUM(H5:M5)</f>
        <v/>
      </c>
      <c r="O5" s="21" t="n">
        <v>573.2619999999997</v>
      </c>
    </row>
    <row r="6" ht="15" customHeight="1">
      <c r="A6" s="13" t="inlineStr">
        <is>
          <t xml:space="preserve">    Charm (production-side)</t>
        </is>
      </c>
      <c r="B6" s="14" t="n"/>
      <c r="C6" s="23" t="n">
        <v>25.021</v>
      </c>
      <c r="D6" s="23" t="n">
        <v>16.508</v>
      </c>
      <c r="E6" s="23" t="n">
        <v>20.105</v>
      </c>
      <c r="F6" s="23" t="n">
        <v>16.396</v>
      </c>
      <c r="G6" s="23" t="n">
        <v>13.523</v>
      </c>
      <c r="H6" s="23" t="n">
        <v>16.552</v>
      </c>
      <c r="I6" s="23" t="n">
        <v>17.724</v>
      </c>
      <c r="J6" s="23" t="n">
        <v>20.497</v>
      </c>
      <c r="K6" s="14" t="n"/>
      <c r="L6" s="14" t="n"/>
      <c r="M6" s="14" t="n"/>
      <c r="N6" s="15">
        <f>SUM(H6:M6)</f>
        <v/>
      </c>
      <c r="O6" s="23" t="n">
        <v>66.532</v>
      </c>
    </row>
    <row r="7" ht="15" customHeight="1">
      <c r="A7" s="10" t="inlineStr">
        <is>
          <t xml:space="preserve">    AECN (production-side)</t>
        </is>
      </c>
      <c r="B7" s="11" t="n"/>
      <c r="C7" s="21" t="n">
        <v>248.601</v>
      </c>
      <c r="D7" s="21" t="n">
        <v>0</v>
      </c>
      <c r="E7" s="49">
        <f>59.32+118.739*59.55/166.40</f>
        <v/>
      </c>
      <c r="F7" s="21" t="n">
        <v>120.085</v>
      </c>
      <c r="G7" s="11" t="n"/>
      <c r="H7" s="11" t="n"/>
      <c r="I7" s="21" t="n">
        <v>113.582</v>
      </c>
      <c r="J7" s="21" t="n">
        <v>99.461</v>
      </c>
      <c r="K7" s="21" t="n">
        <v>89.789</v>
      </c>
      <c r="L7" s="49">
        <f>87.876*475.09/490.82</f>
        <v/>
      </c>
      <c r="M7" s="11" t="n"/>
      <c r="N7" s="12">
        <f>SUM(H7:M7)</f>
        <v/>
      </c>
      <c r="O7" s="49" t="n">
        <v>470.476</v>
      </c>
    </row>
    <row r="8" ht="15" customHeight="1">
      <c r="A8" s="13" t="inlineStr">
        <is>
          <t xml:space="preserve">    Kerry (production-side)</t>
        </is>
      </c>
      <c r="B8" s="21" t="n">
        <v>0</v>
      </c>
      <c r="C8" s="21" t="n">
        <v>0</v>
      </c>
      <c r="D8" s="21" t="n">
        <v>26.517</v>
      </c>
      <c r="E8" s="49">
        <f>118.739*106.85/166.40</f>
        <v/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49">
        <f>87.876*8.80/490.82</f>
        <v/>
      </c>
      <c r="M8" s="21" t="n">
        <v>0</v>
      </c>
      <c r="N8" s="15">
        <f>SUM(H8:M8)</f>
        <v/>
      </c>
      <c r="O8" s="49" t="n">
        <v>102.787</v>
      </c>
    </row>
    <row r="9" ht="15" customHeight="1">
      <c r="A9" s="10" t="inlineStr">
        <is>
          <t xml:space="preserve">    Downstream transport</t>
        </is>
      </c>
      <c r="B9" s="11" t="n"/>
      <c r="C9" s="49" t="n">
        <v>4.85948804</v>
      </c>
      <c r="D9" s="49" t="n">
        <v>3.63157401</v>
      </c>
      <c r="E9" s="49">
        <f>453.22*0.00604+183.08*0.02243</f>
        <v/>
      </c>
      <c r="F9" s="49" t="n">
        <v>3.4717618</v>
      </c>
      <c r="G9" s="11" t="n"/>
      <c r="H9" s="11" t="n"/>
      <c r="I9" s="49" t="n">
        <v>0.94859408</v>
      </c>
      <c r="J9" s="49" t="n">
        <v>5.21615004</v>
      </c>
      <c r="K9" s="49" t="n">
        <v>4.24478516</v>
      </c>
      <c r="L9" s="49">
        <f>560.21*0.00604+10.367*0.02243</f>
        <v/>
      </c>
      <c r="M9" s="11" t="n"/>
      <c r="N9" s="12">
        <f>SUM(H9:M9)</f>
        <v/>
      </c>
      <c r="O9" s="49" t="n">
        <v>18.81</v>
      </c>
    </row>
    <row r="10" ht="15" customHeight="1">
      <c r="A10" s="30" t="inlineStr">
        <is>
          <t xml:space="preserve">    Well facility (site emissions)</t>
        </is>
      </c>
      <c r="B10" s="31" t="n"/>
      <c r="C10" s="21" t="n">
        <v>176.185</v>
      </c>
      <c r="D10" s="21" t="n">
        <v>2.988</v>
      </c>
      <c r="E10" s="21">
        <f>148.307+13.730</f>
        <v/>
      </c>
      <c r="F10" s="21" t="n">
        <v>24.975</v>
      </c>
      <c r="G10" s="31" t="n"/>
      <c r="H10" s="31" t="n"/>
      <c r="I10" s="21" t="n">
        <v>129.935</v>
      </c>
      <c r="J10" s="21" t="n">
        <v>26.473</v>
      </c>
      <c r="K10" s="21" t="n">
        <v>0</v>
      </c>
      <c r="L10" s="21" t="n">
        <v>15.413</v>
      </c>
      <c r="M10" s="31" t="n"/>
      <c r="N10" s="32">
        <f>SUM(H10:M10)</f>
        <v/>
      </c>
      <c r="O10" s="21" t="n">
        <v>366.1850000000001</v>
      </c>
    </row>
    <row r="11" ht="5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 ht="16" customHeight="1">
      <c r="A12" s="6" t="inlineStr">
        <is>
          <t>Charm — Production Penalties (tCO₂e)</t>
        </is>
      </c>
    </row>
    <row r="13" ht="15" customHeight="1">
      <c r="A13" s="10" t="inlineStr">
        <is>
          <t xml:space="preserve">  Energy — propane (pyrolysis / drying)</t>
        </is>
      </c>
      <c r="B13" s="11" t="n"/>
      <c r="C13" s="23" t="n">
        <v>16.023</v>
      </c>
      <c r="D13" s="23" t="n">
        <v>8.638</v>
      </c>
      <c r="E13" s="23" t="n">
        <v>12.905</v>
      </c>
      <c r="F13" s="23" t="n">
        <v>10.574</v>
      </c>
      <c r="G13" s="23" t="n">
        <v>8.205</v>
      </c>
      <c r="H13" s="23" t="n">
        <v>10.232</v>
      </c>
      <c r="I13" s="23" t="n">
        <v>11.194</v>
      </c>
      <c r="J13" s="23" t="n">
        <v>12.269</v>
      </c>
      <c r="K13" s="11" t="n"/>
      <c r="L13" s="11" t="n"/>
      <c r="M13" s="11" t="n"/>
      <c r="N13" s="12">
        <f>SUM(H13:M13)</f>
        <v/>
      </c>
      <c r="O13" s="23" t="n">
        <v>40.322</v>
      </c>
    </row>
    <row r="14" ht="15" customHeight="1">
      <c r="A14" s="13" t="inlineStr">
        <is>
          <t xml:space="preserve">  Capital Goods EE (equipment amortization)</t>
        </is>
      </c>
      <c r="B14" s="14" t="n"/>
      <c r="C14" s="23" t="n">
        <v>4.231</v>
      </c>
      <c r="D14" s="23" t="n">
        <v>3.091</v>
      </c>
      <c r="E14" s="23" t="n">
        <v>2.474</v>
      </c>
      <c r="F14" s="23" t="n">
        <v>1.202</v>
      </c>
      <c r="G14" s="23" t="n">
        <v>1.527</v>
      </c>
      <c r="H14" s="23" t="n">
        <v>2.28</v>
      </c>
      <c r="I14" s="23" t="n">
        <v>2.458</v>
      </c>
      <c r="J14" s="23" t="n">
        <v>3.379</v>
      </c>
      <c r="K14" s="14" t="n"/>
      <c r="L14" s="14" t="n"/>
      <c r="M14" s="14" t="n"/>
      <c r="N14" s="15">
        <f>SUM(H14:M14)</f>
        <v/>
      </c>
      <c r="O14" s="23" t="n">
        <v>8.294</v>
      </c>
    </row>
    <row r="15" ht="15" customHeight="1">
      <c r="A15" s="10" t="inlineStr">
        <is>
          <t xml:space="preserve">  Transportation — truck (feedstock to facility)</t>
        </is>
      </c>
      <c r="B15" s="11" t="n"/>
      <c r="C15" s="23" t="n">
        <v>1.299</v>
      </c>
      <c r="D15" s="23" t="n">
        <v>2.218</v>
      </c>
      <c r="E15" s="23" t="n">
        <v>1.174</v>
      </c>
      <c r="F15" s="23" t="n">
        <v>1.368</v>
      </c>
      <c r="G15" s="23" t="n">
        <v>1.76</v>
      </c>
      <c r="H15" s="23" t="n">
        <v>1.734</v>
      </c>
      <c r="I15" s="23" t="n">
        <v>1.332</v>
      </c>
      <c r="J15" s="23" t="n">
        <v>1.754</v>
      </c>
      <c r="K15" s="11" t="n"/>
      <c r="L15" s="11" t="n"/>
      <c r="M15" s="11" t="n"/>
      <c r="N15" s="12">
        <f>SUM(H15:M15)</f>
        <v/>
      </c>
      <c r="O15" s="23" t="n">
        <v>6.52</v>
      </c>
    </row>
    <row r="16" ht="15" customHeight="1">
      <c r="A16" s="13" t="inlineStr">
        <is>
          <t xml:space="preserve">  SP+C EE (spare parts &amp; consumables)</t>
        </is>
      </c>
      <c r="B16" s="14" t="n"/>
      <c r="C16" s="23" t="n">
        <v>1.768</v>
      </c>
      <c r="D16" s="23" t="n">
        <v>1.015</v>
      </c>
      <c r="E16" s="23" t="n">
        <v>1.286</v>
      </c>
      <c r="F16" s="23" t="n">
        <v>0.906</v>
      </c>
      <c r="G16" s="23" t="n">
        <v>0.658</v>
      </c>
      <c r="H16" s="23" t="n">
        <v>0.879</v>
      </c>
      <c r="I16" s="23" t="n">
        <v>0.994</v>
      </c>
      <c r="J16" s="23" t="n">
        <v>1.354</v>
      </c>
      <c r="K16" s="14" t="n"/>
      <c r="L16" s="14" t="n"/>
      <c r="M16" s="14" t="n"/>
      <c r="N16" s="15">
        <f>SUM(H16:M16)</f>
        <v/>
      </c>
      <c r="O16" s="23" t="n">
        <v>3.865</v>
      </c>
    </row>
    <row r="17" ht="15" customHeight="1">
      <c r="A17" s="10" t="inlineStr">
        <is>
          <t xml:space="preserve">  Energy — electricity</t>
        </is>
      </c>
      <c r="B17" s="11" t="n"/>
      <c r="C17" s="23" t="n">
        <v>1.34</v>
      </c>
      <c r="D17" s="23" t="n">
        <v>0.985</v>
      </c>
      <c r="E17" s="23" t="n">
        <v>1.157</v>
      </c>
      <c r="F17" s="23" t="n">
        <v>1.002</v>
      </c>
      <c r="G17" s="23" t="n">
        <v>0.747</v>
      </c>
      <c r="H17" s="23" t="n">
        <v>1.004</v>
      </c>
      <c r="I17" s="23" t="n">
        <v>1.033</v>
      </c>
      <c r="J17" s="23" t="n">
        <v>1.11</v>
      </c>
      <c r="K17" s="11" t="n"/>
      <c r="L17" s="11" t="n"/>
      <c r="M17" s="11" t="n"/>
      <c r="N17" s="12">
        <f>SUM(H17:M17)</f>
        <v/>
      </c>
      <c r="O17" s="23" t="n">
        <v>3.891</v>
      </c>
    </row>
    <row r="18" ht="15" customHeight="1">
      <c r="A18" s="13" t="inlineStr">
        <is>
          <t xml:space="preserve">  Other / residual (gasoline, tailgas, water, waste — each &lt;5% avg)</t>
        </is>
      </c>
      <c r="B18" s="14" t="n"/>
      <c r="C18" s="23" t="n">
        <v>0.355</v>
      </c>
      <c r="D18" s="23" t="n">
        <v>0.5590000000000001</v>
      </c>
      <c r="E18" s="23" t="n">
        <v>1.119</v>
      </c>
      <c r="F18" s="23" t="n">
        <v>1.339</v>
      </c>
      <c r="G18" s="23" t="n">
        <v>0.627</v>
      </c>
      <c r="H18" s="23" t="n">
        <v>0.416</v>
      </c>
      <c r="I18" s="23" t="n">
        <v>0.709</v>
      </c>
      <c r="J18" s="23" t="n">
        <v>0.645</v>
      </c>
      <c r="K18" s="14" t="n"/>
      <c r="L18" s="14" t="n"/>
      <c r="M18" s="14" t="n"/>
      <c r="N18" s="15">
        <f>SUM(H18:M18)</f>
        <v/>
      </c>
      <c r="O18" s="23" t="n">
        <v>3.644</v>
      </c>
    </row>
    <row r="19" ht="5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 ht="16" customHeight="1">
      <c r="A20" s="6" t="inlineStr">
        <is>
          <t>AECN — Production Penalties (tCO₂e)</t>
        </is>
      </c>
    </row>
    <row r="21" ht="15" customHeight="1">
      <c r="A21" s="10" t="inlineStr">
        <is>
          <t xml:space="preserve">  Transportation — truck (feedstock to facility)</t>
        </is>
      </c>
      <c r="B21" s="14" t="n">
        <v>0</v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2">
        <f>SUM(H21:M21)</f>
        <v/>
      </c>
      <c r="O21" s="14" t="n">
        <v>0</v>
      </c>
    </row>
    <row r="22" ht="15" customHeight="1">
      <c r="A22" s="13" t="inlineStr">
        <is>
          <t xml:space="preserve">  Energy — electricity</t>
        </is>
      </c>
      <c r="B22" s="14" t="n">
        <v>0</v>
      </c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5">
        <f>SUM(H22:M22)</f>
        <v/>
      </c>
      <c r="O22" s="14" t="n">
        <v>0</v>
      </c>
    </row>
    <row r="23" ht="15" customHeight="1">
      <c r="A23" s="10" t="inlineStr">
        <is>
          <t xml:space="preserve">  N₂O / process emissions</t>
        </is>
      </c>
      <c r="B23" s="11" t="n"/>
      <c r="C23" s="49" t="n">
        <v>1.243</v>
      </c>
      <c r="D23" s="49" t="n">
        <v>0</v>
      </c>
      <c r="E23" s="49" t="n">
        <v>0.509</v>
      </c>
      <c r="F23" s="49" t="n">
        <v>0.6</v>
      </c>
      <c r="G23" s="11" t="n"/>
      <c r="H23" s="11" t="n"/>
      <c r="I23" s="49" t="n">
        <v>0.5679999999999999</v>
      </c>
      <c r="J23" s="49" t="n">
        <v>0.497</v>
      </c>
      <c r="K23" s="49" t="n">
        <v>0.449</v>
      </c>
      <c r="L23" s="49" t="n">
        <v>0.425</v>
      </c>
      <c r="M23" s="11" t="n"/>
      <c r="N23" s="52" t="n">
        <v>1.939</v>
      </c>
      <c r="O23" s="49" t="n">
        <v>2.352</v>
      </c>
    </row>
    <row r="24" ht="15" customHeight="1">
      <c r="A24" s="13" t="inlineStr">
        <is>
          <t xml:space="preserve">  Other / residual</t>
        </is>
      </c>
      <c r="B24" s="14" t="n"/>
      <c r="C24" s="49" t="n">
        <v>247.358</v>
      </c>
      <c r="D24" s="49" t="n">
        <v>0</v>
      </c>
      <c r="E24" s="49" t="n">
        <v>101.281</v>
      </c>
      <c r="F24" s="49" t="n">
        <v>119.485</v>
      </c>
      <c r="G24" s="14" t="n"/>
      <c r="H24" s="14" t="n"/>
      <c r="I24" s="49" t="n">
        <v>113.014</v>
      </c>
      <c r="J24" s="49" t="n">
        <v>98.964</v>
      </c>
      <c r="K24" s="49" t="n">
        <v>89.34</v>
      </c>
      <c r="L24" s="49" t="n">
        <v>84.645</v>
      </c>
      <c r="M24" s="14" t="n"/>
      <c r="N24" s="15">
        <f>SUM(H24:M24)</f>
        <v/>
      </c>
      <c r="O24" s="49" t="n">
        <v>468.124</v>
      </c>
    </row>
    <row r="25" ht="5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 ht="16" customHeight="1">
      <c r="A26" s="6" t="inlineStr">
        <is>
          <t>Kerry — Production Penalties (tCO₂e)</t>
        </is>
      </c>
    </row>
    <row r="27" ht="15" customHeight="1">
      <c r="A27" s="10" t="inlineStr">
        <is>
          <t xml:space="preserve">  Transportation — truck (feedstock to facility)</t>
        </is>
      </c>
      <c r="B27" s="55" t="n">
        <v>0</v>
      </c>
      <c r="C27" s="55" t="n">
        <v>0</v>
      </c>
      <c r="D27" s="55" t="n">
        <v>0</v>
      </c>
      <c r="E27" s="55" t="n">
        <v>0</v>
      </c>
      <c r="F27" s="55" t="n">
        <v>0</v>
      </c>
      <c r="G27" s="55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12">
        <f>SUM(H27:M27)</f>
        <v/>
      </c>
      <c r="O27" s="55" t="n">
        <v>0</v>
      </c>
    </row>
    <row r="28" ht="15" customHeight="1">
      <c r="A28" s="13" t="inlineStr">
        <is>
          <t xml:space="preserve">  Energy — electricity</t>
        </is>
      </c>
      <c r="B28" s="55" t="n">
        <v>0</v>
      </c>
      <c r="C28" s="55" t="n">
        <v>0</v>
      </c>
      <c r="D28" s="55" t="n">
        <v>0</v>
      </c>
      <c r="E28" s="55" t="n">
        <v>0</v>
      </c>
      <c r="F28" s="55" t="n">
        <v>0</v>
      </c>
      <c r="G28" s="55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15">
        <f>SUM(H28:M28)</f>
        <v/>
      </c>
      <c r="O28" s="55" t="n">
        <v>0</v>
      </c>
    </row>
    <row r="29" ht="15" customHeight="1">
      <c r="A29" s="10" t="inlineStr">
        <is>
          <t xml:space="preserve">  N₂O / process emissions</t>
        </is>
      </c>
      <c r="B29" s="55" t="n">
        <v>0</v>
      </c>
      <c r="C29" s="55" t="n">
        <v>0</v>
      </c>
      <c r="D29" s="55" t="n">
        <v>0</v>
      </c>
      <c r="E29" s="55" t="n">
        <v>0</v>
      </c>
      <c r="F29" s="55" t="n">
        <v>0</v>
      </c>
      <c r="G29" s="55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12">
        <f>SUM(H29:M29)</f>
        <v/>
      </c>
      <c r="O29" s="55" t="n">
        <v>0</v>
      </c>
    </row>
    <row r="30" ht="15" customHeight="1">
      <c r="A30" s="13" t="inlineStr">
        <is>
          <t xml:space="preserve">  Other / residual</t>
        </is>
      </c>
      <c r="B30" s="55" t="n">
        <v>0</v>
      </c>
      <c r="C30" s="55" t="n">
        <v>0</v>
      </c>
      <c r="D30" s="55" t="n">
        <v>0</v>
      </c>
      <c r="E30" s="55" t="n">
        <v>0</v>
      </c>
      <c r="F30" s="55" t="n">
        <v>0</v>
      </c>
      <c r="G30" s="55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15">
        <f>SUM(H30:M30)</f>
        <v/>
      </c>
      <c r="O30" s="55" t="n">
        <v>0</v>
      </c>
    </row>
    <row r="31" ht="5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 ht="16" customHeight="1">
      <c r="A32" s="6" t="inlineStr">
        <is>
          <t>Downstream Transport — Oil to Injection Well (tCO₂e)</t>
        </is>
      </c>
    </row>
    <row r="33" ht="15" customHeight="1">
      <c r="A33" s="20" t="inlineStr">
        <is>
          <t>Total all sources</t>
        </is>
      </c>
      <c r="B33" s="49">
        <f>SUM(B34:B40)</f>
        <v/>
      </c>
      <c r="C33" s="49">
        <f>SUM(C34:C40)</f>
        <v/>
      </c>
      <c r="D33" s="49">
        <f>SUM(D34:D40)</f>
        <v/>
      </c>
      <c r="E33" s="49">
        <f>SUM(E34:E40)</f>
        <v/>
      </c>
      <c r="F33" s="49">
        <f>SUM(F34:F40)</f>
        <v/>
      </c>
      <c r="G33" s="49">
        <f>SUM(G34:G40)</f>
        <v/>
      </c>
      <c r="H33" s="49">
        <f>SUM(H34:H40)</f>
        <v/>
      </c>
      <c r="I33" s="49">
        <f>SUM(I34:I40)</f>
        <v/>
      </c>
      <c r="J33" s="49">
        <f>SUM(J34:J40)</f>
        <v/>
      </c>
      <c r="K33" s="49">
        <f>SUM(K34:K40)</f>
        <v/>
      </c>
      <c r="L33" s="49">
        <f>SUM(L34:L40)</f>
        <v/>
      </c>
      <c r="M33" s="49">
        <f>SUM(M34:M40)</f>
        <v/>
      </c>
      <c r="N33" s="22">
        <f>SUM(H33:M33)</f>
        <v/>
      </c>
      <c r="O33" s="49" t="n">
        <v>18.81</v>
      </c>
    </row>
    <row r="34" ht="15" customHeight="1">
      <c r="A34" s="13" t="inlineStr">
        <is>
          <t xml:space="preserve">  AECN — rail to injection well</t>
        </is>
      </c>
      <c r="B34" s="14" t="n">
        <v>0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5">
        <f>SUM(H34:M34)</f>
        <v/>
      </c>
      <c r="O34" s="14" t="n"/>
    </row>
    <row r="35" ht="15" customHeight="1">
      <c r="A35" s="10" t="inlineStr">
        <is>
          <t xml:space="preserve">  AECN — final truck to injection well</t>
        </is>
      </c>
      <c r="B35" s="11" t="n"/>
      <c r="C35" s="49" t="n">
        <v>4.859</v>
      </c>
      <c r="D35" s="49" t="n">
        <v>0</v>
      </c>
      <c r="E35" s="49" t="n">
        <v>2.737</v>
      </c>
      <c r="F35" s="49" t="n">
        <v>3.472</v>
      </c>
      <c r="G35" s="11" t="n"/>
      <c r="H35" s="11" t="n"/>
      <c r="I35" s="49" t="n">
        <v>0.949</v>
      </c>
      <c r="J35" s="49" t="n">
        <v>5.216</v>
      </c>
      <c r="K35" s="49" t="n">
        <v>4.245</v>
      </c>
      <c r="L35" s="49" t="n">
        <v>3.384</v>
      </c>
      <c r="M35" s="11" t="n"/>
      <c r="N35" s="12">
        <f>SUM(H35:M35)</f>
        <v/>
      </c>
      <c r="O35" s="49" t="n">
        <v>11.069</v>
      </c>
    </row>
    <row r="36" ht="15" customHeight="1">
      <c r="A36" s="13" t="inlineStr">
        <is>
          <t xml:space="preserve">  Charm — rail to injection well</t>
        </is>
      </c>
      <c r="B36" s="14" t="n">
        <v>0</v>
      </c>
      <c r="C36" s="14" t="n">
        <v>0</v>
      </c>
      <c r="D36" s="14" t="n">
        <v>0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5" t="n">
        <v>0</v>
      </c>
      <c r="O36" s="14" t="n">
        <v>0</v>
      </c>
    </row>
    <row r="37" ht="15" customHeight="1">
      <c r="A37" s="10" t="inlineStr">
        <is>
          <t xml:space="preserve">  Charm — final truck to injection well</t>
        </is>
      </c>
      <c r="B37" s="14" t="n">
        <v>0</v>
      </c>
      <c r="C37" s="14" t="n">
        <v>0</v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</v>
      </c>
      <c r="N37" s="15" t="n">
        <v>0</v>
      </c>
      <c r="O37" s="14" t="n">
        <v>0</v>
      </c>
    </row>
    <row r="38" ht="15" customHeight="1">
      <c r="A38" s="13" t="inlineStr">
        <is>
          <t xml:space="preserve">  Kerry — rail to injection well</t>
        </is>
      </c>
      <c r="B38" s="14" t="n">
        <v>0</v>
      </c>
      <c r="C38" s="14" t="n">
        <v>0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0</v>
      </c>
      <c r="N38" s="15" t="n">
        <v>0</v>
      </c>
      <c r="O38" s="14" t="n">
        <v>0</v>
      </c>
    </row>
    <row r="39" ht="15" customHeight="1">
      <c r="A39" s="10" t="inlineStr">
        <is>
          <t xml:space="preserve">  Kerry — final truck to injection well</t>
        </is>
      </c>
      <c r="B39" s="11" t="n"/>
      <c r="C39" s="11" t="n"/>
      <c r="D39" s="49" t="n">
        <v>3.632</v>
      </c>
      <c r="E39" s="49" t="n">
        <v>4.106</v>
      </c>
      <c r="F39" s="11" t="n"/>
      <c r="G39" s="11" t="n"/>
      <c r="H39" s="11" t="n"/>
      <c r="I39" s="11" t="n"/>
      <c r="J39" s="11" t="n"/>
      <c r="K39" s="11" t="n"/>
      <c r="L39" s="49" t="n">
        <v>0.233</v>
      </c>
      <c r="M39" s="11" t="n"/>
      <c r="N39" s="12">
        <f>SUM(H39:M39)</f>
        <v/>
      </c>
      <c r="O39" s="49" t="n">
        <v>7.738</v>
      </c>
    </row>
    <row r="40" ht="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 ht="16" customHeight="1">
      <c r="A41" s="28" t="inlineStr">
        <is>
          <t>Well Facility — Site Emissions (tCO₂e)</t>
        </is>
      </c>
    </row>
    <row r="42" ht="15" customHeight="1">
      <c r="A42" s="30" t="inlineStr">
        <is>
          <t xml:space="preserve">  Energy — electricity (injection site operations)</t>
        </is>
      </c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21" t="n">
        <v>2.168</v>
      </c>
      <c r="M42" s="31" t="n"/>
      <c r="N42" s="32">
        <f>SUM(H42:M42)</f>
        <v/>
      </c>
      <c r="O42" s="14" t="n">
        <v>0</v>
      </c>
    </row>
    <row r="43" ht="15" customHeight="1">
      <c r="A43" s="30" t="inlineStr">
        <is>
          <t xml:space="preserve">  Energy — methanol (well operations)</t>
        </is>
      </c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21" t="n">
        <v>2.731</v>
      </c>
      <c r="M43" s="31" t="n"/>
      <c r="N43" s="32">
        <f>SUM(H43:M43)</f>
        <v/>
      </c>
      <c r="O43" s="14" t="n">
        <v>0</v>
      </c>
    </row>
    <row r="44" ht="15" customHeight="1">
      <c r="A44" s="30" t="inlineStr">
        <is>
          <t xml:space="preserve">  Fugitive / venting emissions</t>
        </is>
      </c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21" t="n">
        <v>0.162</v>
      </c>
      <c r="M44" s="31" t="n"/>
      <c r="N44" s="32">
        <f>SUM(H44:M44)</f>
        <v/>
      </c>
      <c r="O44" s="14" t="n">
        <v>0</v>
      </c>
    </row>
    <row r="45" ht="15" customHeight="1">
      <c r="A45" s="30" t="inlineStr">
        <is>
          <t xml:space="preserve">  Other site emissions</t>
        </is>
      </c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49">
        <f>15.413-2.168-2.731-0.162</f>
        <v/>
      </c>
      <c r="M45" s="31" t="n"/>
      <c r="N45" s="32">
        <f>SUM(H45:M45)</f>
        <v/>
      </c>
      <c r="O45" s="14" t="n">
        <v>0</v>
      </c>
    </row>
    <row r="46" ht="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 ht="16" customHeight="1">
      <c r="A47" s="6" t="inlineStr">
        <is>
          <t>Penalties as % of All-Source Total (formula cells)</t>
        </is>
      </c>
    </row>
    <row r="48" ht="15" customHeight="1">
      <c r="A48" s="33" t="inlineStr">
        <is>
          <t>Total operation (100%)</t>
        </is>
      </c>
      <c r="B48" s="29" t="n">
        <v>1</v>
      </c>
      <c r="C48" s="29" t="n">
        <v>1</v>
      </c>
      <c r="D48" s="29" t="n">
        <v>1</v>
      </c>
      <c r="E48" s="29" t="n">
        <v>1</v>
      </c>
      <c r="F48" s="29" t="n">
        <v>1</v>
      </c>
      <c r="G48" s="29" t="n">
        <v>1</v>
      </c>
      <c r="H48" s="29" t="n">
        <v>1</v>
      </c>
      <c r="I48" s="29" t="n">
        <v>1</v>
      </c>
      <c r="J48" s="29" t="n">
        <v>1</v>
      </c>
      <c r="K48" s="29" t="n">
        <v>1</v>
      </c>
      <c r="L48" s="29" t="n">
        <v>1</v>
      </c>
      <c r="M48" s="29" t="n">
        <v>1</v>
      </c>
      <c r="N48" s="29" t="n">
        <v>1</v>
      </c>
      <c r="O48" s="25" t="n"/>
    </row>
    <row r="49" ht="15" customHeight="1">
      <c r="A49" s="13" t="inlineStr">
        <is>
          <t>Charm</t>
        </is>
      </c>
      <c r="B49" s="16">
        <f>IF(B5&gt;0,B6/B5,"")</f>
        <v/>
      </c>
      <c r="C49" s="16">
        <f>IF(C5&gt;0,C6/C5,"")</f>
        <v/>
      </c>
      <c r="D49" s="16">
        <f>IF(D5&gt;0,D6/D5,"")</f>
        <v/>
      </c>
      <c r="E49" s="16">
        <f>IF(E5&gt;0,E6/E5,"")</f>
        <v/>
      </c>
      <c r="F49" s="16">
        <f>IF(F5&gt;0,F6/F5,"")</f>
        <v/>
      </c>
      <c r="G49" s="16">
        <f>IF(G5&gt;0,G6/G5,"")</f>
        <v/>
      </c>
      <c r="H49" s="16">
        <f>IF(H5&gt;0,H6/H5,"")</f>
        <v/>
      </c>
      <c r="I49" s="16">
        <f>IF(I5&gt;0,I6/I5,"")</f>
        <v/>
      </c>
      <c r="J49" s="16">
        <f>IF(J5&gt;0,J6/J5,"")</f>
        <v/>
      </c>
      <c r="K49" s="16">
        <f>IF(K5&gt;0,K6/K5,"")</f>
        <v/>
      </c>
      <c r="L49" s="16">
        <f>IF(L5&gt;0,L6/L5,"")</f>
        <v/>
      </c>
      <c r="M49" s="16">
        <f>IF(M5&gt;0,M6/M5,"")</f>
        <v/>
      </c>
      <c r="N49" s="16">
        <f>IF(SUM(H5:M5)&gt;0,SUM(H6:M6)/SUM(H5:M5),"")</f>
        <v/>
      </c>
      <c r="O49" s="17" t="n"/>
    </row>
    <row r="50" ht="15" customHeight="1">
      <c r="A50" s="10" t="inlineStr">
        <is>
          <t>AECN</t>
        </is>
      </c>
      <c r="B50" s="18">
        <f>IF(B5&gt;0,B7/B5,"")</f>
        <v/>
      </c>
      <c r="C50" s="18">
        <f>IF(C5&gt;0,C7/C5,"")</f>
        <v/>
      </c>
      <c r="D50" s="18">
        <f>IF(D5&gt;0,D7/D5,"")</f>
        <v/>
      </c>
      <c r="E50" s="18">
        <f>IF(E5&gt;0,E7/E5,"")</f>
        <v/>
      </c>
      <c r="F50" s="18">
        <f>IF(F5&gt;0,F7/F5,"")</f>
        <v/>
      </c>
      <c r="G50" s="18">
        <f>IF(G5&gt;0,G7/G5,"")</f>
        <v/>
      </c>
      <c r="H50" s="18">
        <f>IF(H5&gt;0,H7/H5,"")</f>
        <v/>
      </c>
      <c r="I50" s="18">
        <f>IF(I5&gt;0,I7/I5,"")</f>
        <v/>
      </c>
      <c r="J50" s="18">
        <f>IF(J5&gt;0,J7/J5,"")</f>
        <v/>
      </c>
      <c r="K50" s="18">
        <f>IF(K5&gt;0,K7/K5,"")</f>
        <v/>
      </c>
      <c r="L50" s="18">
        <f>IF(L5&gt;0,L7/L5,"")</f>
        <v/>
      </c>
      <c r="M50" s="18">
        <f>IF(M5&gt;0,M7/M5,"")</f>
        <v/>
      </c>
      <c r="N50" s="18">
        <f>IF(SUM(H5:M5)&gt;0,SUM(H7:M7)/SUM(H5:M5),"")</f>
        <v/>
      </c>
      <c r="O50" s="5" t="n"/>
    </row>
    <row r="51" ht="15" customHeight="1">
      <c r="A51" s="13" t="inlineStr">
        <is>
          <t>Kerry</t>
        </is>
      </c>
      <c r="B51" s="16">
        <f>IF(B5&gt;0,B8/B5,"")</f>
        <v/>
      </c>
      <c r="C51" s="16">
        <f>IF(C5&gt;0,C8/C5,"")</f>
        <v/>
      </c>
      <c r="D51" s="16">
        <f>IF(D5&gt;0,D8/D5,"")</f>
        <v/>
      </c>
      <c r="E51" s="16">
        <f>IF(E5&gt;0,E8/E5,"")</f>
        <v/>
      </c>
      <c r="F51" s="16">
        <f>IF(F5&gt;0,F8/F5,"")</f>
        <v/>
      </c>
      <c r="G51" s="16">
        <f>IF(G5&gt;0,G8/G5,"")</f>
        <v/>
      </c>
      <c r="H51" s="16">
        <f>IF(H5&gt;0,H8/H5,"")</f>
        <v/>
      </c>
      <c r="I51" s="16">
        <f>IF(I5&gt;0,I8/I5,"")</f>
        <v/>
      </c>
      <c r="J51" s="16">
        <f>IF(J5&gt;0,J8/J5,"")</f>
        <v/>
      </c>
      <c r="K51" s="16">
        <f>IF(K5&gt;0,K8/K5,"")</f>
        <v/>
      </c>
      <c r="L51" s="16">
        <f>IF(L5&gt;0,L8/L5,"")</f>
        <v/>
      </c>
      <c r="M51" s="16">
        <f>IF(M5&gt;0,M8/M5,"")</f>
        <v/>
      </c>
      <c r="N51" s="16">
        <f>IF(SUM(H5:M5)&gt;0,SUM(H8:M8)/SUM(H5:M5),"")</f>
        <v/>
      </c>
      <c r="O51" s="17" t="n"/>
    </row>
    <row r="52" ht="15" customHeight="1">
      <c r="A52" s="10" t="inlineStr">
        <is>
          <t>Downstream transport</t>
        </is>
      </c>
      <c r="B52" s="18">
        <f>IF(B5&gt;0,B9/B5,"")</f>
        <v/>
      </c>
      <c r="C52" s="18">
        <f>IF(C5&gt;0,C9/C5,"")</f>
        <v/>
      </c>
      <c r="D52" s="18">
        <f>IF(D5&gt;0,D9/D5,"")</f>
        <v/>
      </c>
      <c r="E52" s="18">
        <f>IF(E5&gt;0,E9/E5,"")</f>
        <v/>
      </c>
      <c r="F52" s="18">
        <f>IF(F5&gt;0,F9/F5,"")</f>
        <v/>
      </c>
      <c r="G52" s="18">
        <f>IF(G5&gt;0,G9/G5,"")</f>
        <v/>
      </c>
      <c r="H52" s="18">
        <f>IF(H5&gt;0,H9/H5,"")</f>
        <v/>
      </c>
      <c r="I52" s="18">
        <f>IF(I5&gt;0,I9/I5,"")</f>
        <v/>
      </c>
      <c r="J52" s="18">
        <f>IF(J5&gt;0,J9/J5,"")</f>
        <v/>
      </c>
      <c r="K52" s="18">
        <f>IF(K5&gt;0,K9/K5,"")</f>
        <v/>
      </c>
      <c r="L52" s="18">
        <f>IF(L5&gt;0,L9/L5,"")</f>
        <v/>
      </c>
      <c r="M52" s="18">
        <f>IF(M5&gt;0,M9/M5,"")</f>
        <v/>
      </c>
      <c r="N52" s="18">
        <f>IF(SUM(H5:M5)&gt;0,SUM(H9:M9)/SUM(H5:M5),"")</f>
        <v/>
      </c>
      <c r="O52" s="5" t="n"/>
    </row>
    <row r="53" ht="15" customHeight="1">
      <c r="A53" s="30" t="inlineStr">
        <is>
          <t>Well facility</t>
        </is>
      </c>
      <c r="B53" s="34">
        <f>IF(B5&gt;0,B10/B5,"")</f>
        <v/>
      </c>
      <c r="C53" s="34">
        <f>IF(C5&gt;0,C10/C5,"")</f>
        <v/>
      </c>
      <c r="D53" s="34">
        <f>IF(D5&gt;0,D10/D5,"")</f>
        <v/>
      </c>
      <c r="E53" s="34">
        <f>IF(E5&gt;0,E10/E5,"")</f>
        <v/>
      </c>
      <c r="F53" s="34">
        <f>IF(F5&gt;0,F10/F5,"")</f>
        <v/>
      </c>
      <c r="G53" s="34">
        <f>IF(G5&gt;0,G10/G5,"")</f>
        <v/>
      </c>
      <c r="H53" s="34">
        <f>IF(H5&gt;0,H10/H5,"")</f>
        <v/>
      </c>
      <c r="I53" s="34">
        <f>IF(I5&gt;0,I10/I5,"")</f>
        <v/>
      </c>
      <c r="J53" s="34">
        <f>IF(J5&gt;0,J10/J5,"")</f>
        <v/>
      </c>
      <c r="K53" s="34">
        <f>IF(K5&gt;0,K10/K5,"")</f>
        <v/>
      </c>
      <c r="L53" s="34">
        <f>IF(L5&gt;0,L10/L5,"")</f>
        <v/>
      </c>
      <c r="M53" s="34">
        <f>IF(M5&gt;0,M10/M5,"")</f>
        <v/>
      </c>
      <c r="N53" s="34">
        <f>IF(SUM(H5:M5)&gt;0,SUM(H10:M10)/SUM(H5:M5),"")</f>
        <v/>
      </c>
      <c r="O53" s="35" t="n"/>
    </row>
    <row r="54" ht="14" customHeight="1">
      <c r="A54" s="19" t="inlineStr">
        <is>
          <t>ℹ  Charm = production-side only (propane, Cap EE, SP+C EE, biomass transport, electricity, other). Injection-side transport in Downstream section. Blue = PP summary data. Pending: AECN/Kerry/Downstream/Site.</t>
        </is>
      </c>
    </row>
    <row r="56" ht="16" customHeight="1">
      <c r="A56" s="28" t="inlineStr">
        <is>
          <t>▸ Chart: Total Penalties by Source — Monthly (tCO₂e)</t>
        </is>
      </c>
    </row>
    <row r="82" ht="16" customHeight="1">
      <c r="A82" s="28" t="inlineStr">
        <is>
          <t>▸ Chart: Charm Penalty Components — Monthly (tCO₂e)</t>
        </is>
      </c>
    </row>
  </sheetData>
  <mergeCells count="12">
    <mergeCell ref="A12:O12"/>
    <mergeCell ref="A20:O20"/>
    <mergeCell ref="A26:O26"/>
    <mergeCell ref="A2:O2"/>
    <mergeCell ref="A54:O54"/>
    <mergeCell ref="A82:O82"/>
    <mergeCell ref="A41:O41"/>
    <mergeCell ref="A47:O47"/>
    <mergeCell ref="A1:O1"/>
    <mergeCell ref="A32:O32"/>
    <mergeCell ref="A56:O56"/>
    <mergeCell ref="A4:O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O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11" customWidth="1" min="14" max="14"/>
    <col width="12" customWidth="1" min="15" max="15"/>
  </cols>
  <sheetData>
    <row r="1" ht="22" customHeight="1">
      <c r="A1" s="1" t="inlineStr">
        <is>
          <t>Scaling Analysis — Penalty Trendlines vs. Volume</t>
        </is>
      </c>
    </row>
    <row r="2" ht="13" customHeight="1">
      <c r="A2" s="2" t="inlineStr">
        <is>
          <t>Slope &amp; R² per penalty type vs. bio-oil volume. Diagnosis: R²≥0.85=Linear | 0.60-0.84=Investigate | &lt;0.60=Non-linear.</t>
        </is>
      </c>
    </row>
    <row r="3" ht="18" customHeight="1">
      <c r="A3" s="7" t="inlineStr">
        <is>
          <t>Penalty Type</t>
        </is>
      </c>
      <c r="B3" s="9" t="inlineStr">
        <is>
          <t>Source</t>
        </is>
      </c>
      <c r="C3" s="9" t="inlineStr">
        <is>
          <t>N (months)</t>
        </is>
      </c>
      <c r="D3" s="9" t="inlineStr">
        <is>
          <t>Slope vs Volume</t>
        </is>
      </c>
      <c r="E3" s="9" t="inlineStr">
        <is>
          <t>Intercept</t>
        </is>
      </c>
      <c r="F3" s="9" t="inlineStr">
        <is>
          <t>R²</t>
        </is>
      </c>
      <c r="G3" s="9" t="inlineStr">
        <is>
          <t>Diagnosis</t>
        </is>
      </c>
    </row>
    <row r="4" ht="15" customHeight="1">
      <c r="A4" s="36" t="inlineStr">
        <is>
          <t>Energy — propane (pyrolysis / drying)</t>
        </is>
      </c>
      <c r="B4" s="37" t="inlineStr">
        <is>
          <t>Charm</t>
        </is>
      </c>
      <c r="C4" s="38">
        <f>COUNTA('Penalties'!B13:M13)</f>
        <v/>
      </c>
      <c r="D4" s="39" t="inlineStr">
        <is>
          <t>link vol row</t>
        </is>
      </c>
      <c r="E4" s="39" t="inlineStr">
        <is>
          <t>link vol row</t>
        </is>
      </c>
      <c r="F4" s="39" t="inlineStr">
        <is>
          <t>link vol row</t>
        </is>
      </c>
      <c r="G4" s="39" t="inlineStr">
        <is>
          <t>link vol row</t>
        </is>
      </c>
    </row>
    <row r="5" ht="15" customHeight="1">
      <c r="A5" s="40" t="inlineStr">
        <is>
          <t>Capital Goods EE (equipment amortization)</t>
        </is>
      </c>
      <c r="B5" s="41" t="inlineStr">
        <is>
          <t>Charm</t>
        </is>
      </c>
      <c r="C5" s="42">
        <f>COUNTA('Penalties'!B14:M14)</f>
        <v/>
      </c>
      <c r="D5" s="43" t="inlineStr">
        <is>
          <t>link vol row</t>
        </is>
      </c>
      <c r="E5" s="43" t="inlineStr">
        <is>
          <t>link vol row</t>
        </is>
      </c>
      <c r="F5" s="43" t="inlineStr">
        <is>
          <t>link vol row</t>
        </is>
      </c>
      <c r="G5" s="43" t="inlineStr">
        <is>
          <t>link vol row</t>
        </is>
      </c>
    </row>
    <row r="6" ht="15" customHeight="1">
      <c r="A6" s="36" t="inlineStr">
        <is>
          <t>Transportation — truck (feedstock to facility)</t>
        </is>
      </c>
      <c r="B6" s="37" t="inlineStr">
        <is>
          <t>Charm</t>
        </is>
      </c>
      <c r="C6" s="38">
        <f>COUNTA('Penalties'!B15:M15)</f>
        <v/>
      </c>
      <c r="D6" s="39" t="inlineStr">
        <is>
          <t>link vol row</t>
        </is>
      </c>
      <c r="E6" s="39" t="inlineStr">
        <is>
          <t>link vol row</t>
        </is>
      </c>
      <c r="F6" s="39" t="inlineStr">
        <is>
          <t>link vol row</t>
        </is>
      </c>
      <c r="G6" s="39" t="inlineStr">
        <is>
          <t>link vol row</t>
        </is>
      </c>
    </row>
    <row r="7" ht="15" customHeight="1">
      <c r="A7" s="40" t="inlineStr">
        <is>
          <t>SP+C EE (spare parts &amp; consumables)</t>
        </is>
      </c>
      <c r="B7" s="41" t="inlineStr">
        <is>
          <t>Charm</t>
        </is>
      </c>
      <c r="C7" s="42">
        <f>COUNTA('Penalties'!B16:M16)</f>
        <v/>
      </c>
      <c r="D7" s="43" t="inlineStr">
        <is>
          <t>link vol row</t>
        </is>
      </c>
      <c r="E7" s="43" t="inlineStr">
        <is>
          <t>link vol row</t>
        </is>
      </c>
      <c r="F7" s="43" t="inlineStr">
        <is>
          <t>link vol row</t>
        </is>
      </c>
      <c r="G7" s="43" t="inlineStr">
        <is>
          <t>link vol row</t>
        </is>
      </c>
    </row>
    <row r="8" ht="15" customHeight="1">
      <c r="A8" s="36" t="inlineStr">
        <is>
          <t>Energy — electricity</t>
        </is>
      </c>
      <c r="B8" s="37" t="inlineStr">
        <is>
          <t>Charm</t>
        </is>
      </c>
      <c r="C8" s="38">
        <f>COUNTA('Penalties'!B17:M17)</f>
        <v/>
      </c>
      <c r="D8" s="39" t="inlineStr">
        <is>
          <t>link vol row</t>
        </is>
      </c>
      <c r="E8" s="39" t="inlineStr">
        <is>
          <t>link vol row</t>
        </is>
      </c>
      <c r="F8" s="39" t="inlineStr">
        <is>
          <t>link vol row</t>
        </is>
      </c>
      <c r="G8" s="39" t="inlineStr">
        <is>
          <t>link vol row</t>
        </is>
      </c>
    </row>
    <row r="9" ht="15" customHeight="1">
      <c r="A9" s="40" t="inlineStr">
        <is>
          <t>Other / residual (gasoline, tailgas, water, waste — each &lt;5% avg)</t>
        </is>
      </c>
      <c r="B9" s="41" t="inlineStr">
        <is>
          <t>Charm</t>
        </is>
      </c>
      <c r="C9" s="42">
        <f>COUNTA('Penalties'!B18:M18)</f>
        <v/>
      </c>
      <c r="D9" s="43" t="inlineStr">
        <is>
          <t>link vol row</t>
        </is>
      </c>
      <c r="E9" s="43" t="inlineStr">
        <is>
          <t>link vol row</t>
        </is>
      </c>
      <c r="F9" s="43" t="inlineStr">
        <is>
          <t>link vol row</t>
        </is>
      </c>
      <c r="G9" s="43" t="inlineStr">
        <is>
          <t>link vol row</t>
        </is>
      </c>
    </row>
    <row r="10" ht="15" customHeight="1">
      <c r="A10" s="36" t="inlineStr">
        <is>
          <t>Transportation — truck (feedstock to facility)</t>
        </is>
      </c>
      <c r="B10" s="37" t="inlineStr">
        <is>
          <t>AECN</t>
        </is>
      </c>
      <c r="C10" s="38">
        <f>COUNTA('Penalties'!B21:M21)</f>
        <v/>
      </c>
      <c r="D10" s="39" t="inlineStr">
        <is>
          <t>link vol row</t>
        </is>
      </c>
      <c r="E10" s="39" t="inlineStr">
        <is>
          <t>link vol row</t>
        </is>
      </c>
      <c r="F10" s="39" t="inlineStr">
        <is>
          <t>link vol row</t>
        </is>
      </c>
      <c r="G10" s="39" t="inlineStr">
        <is>
          <t>link vol row</t>
        </is>
      </c>
    </row>
    <row r="11" ht="15" customHeight="1">
      <c r="A11" s="40" t="inlineStr">
        <is>
          <t>Energy — electricity</t>
        </is>
      </c>
      <c r="B11" s="41" t="inlineStr">
        <is>
          <t>AECN</t>
        </is>
      </c>
      <c r="C11" s="42">
        <f>COUNTA('Penalties'!B22:M22)</f>
        <v/>
      </c>
      <c r="D11" s="43" t="inlineStr">
        <is>
          <t>link vol row</t>
        </is>
      </c>
      <c r="E11" s="43" t="inlineStr">
        <is>
          <t>link vol row</t>
        </is>
      </c>
      <c r="F11" s="43" t="inlineStr">
        <is>
          <t>link vol row</t>
        </is>
      </c>
      <c r="G11" s="43" t="inlineStr">
        <is>
          <t>link vol row</t>
        </is>
      </c>
    </row>
    <row r="12" ht="15" customHeight="1">
      <c r="A12" s="36" t="inlineStr">
        <is>
          <t>N₂O / process emissions</t>
        </is>
      </c>
      <c r="B12" s="37" t="inlineStr">
        <is>
          <t>AECN</t>
        </is>
      </c>
      <c r="C12" s="38">
        <f>COUNTA('Penalties'!B23:M23)</f>
        <v/>
      </c>
      <c r="D12" s="39" t="inlineStr">
        <is>
          <t>link vol row</t>
        </is>
      </c>
      <c r="E12" s="39" t="inlineStr">
        <is>
          <t>link vol row</t>
        </is>
      </c>
      <c r="F12" s="39" t="inlineStr">
        <is>
          <t>link vol row</t>
        </is>
      </c>
      <c r="G12" s="39" t="inlineStr">
        <is>
          <t>link vol row</t>
        </is>
      </c>
    </row>
    <row r="13" ht="15" customHeight="1">
      <c r="A13" s="40" t="inlineStr">
        <is>
          <t>Other / residual</t>
        </is>
      </c>
      <c r="B13" s="41" t="inlineStr">
        <is>
          <t>AECN</t>
        </is>
      </c>
      <c r="C13" s="42">
        <f>COUNTA('Penalties'!B24:M24)</f>
        <v/>
      </c>
      <c r="D13" s="43" t="inlineStr">
        <is>
          <t>link vol row</t>
        </is>
      </c>
      <c r="E13" s="43" t="inlineStr">
        <is>
          <t>link vol row</t>
        </is>
      </c>
      <c r="F13" s="43" t="inlineStr">
        <is>
          <t>link vol row</t>
        </is>
      </c>
      <c r="G13" s="43" t="inlineStr">
        <is>
          <t>link vol row</t>
        </is>
      </c>
    </row>
    <row r="14" ht="15" customHeight="1">
      <c r="A14" s="36" t="inlineStr">
        <is>
          <t>Transportation — truck (feedstock to facility)</t>
        </is>
      </c>
      <c r="B14" s="37" t="inlineStr">
        <is>
          <t>Kerry</t>
        </is>
      </c>
      <c r="C14" s="38">
        <f>COUNTA('Penalties'!B27:M27)</f>
        <v/>
      </c>
      <c r="D14" s="39" t="inlineStr">
        <is>
          <t>link vol row</t>
        </is>
      </c>
      <c r="E14" s="39" t="inlineStr">
        <is>
          <t>link vol row</t>
        </is>
      </c>
      <c r="F14" s="39" t="inlineStr">
        <is>
          <t>link vol row</t>
        </is>
      </c>
      <c r="G14" s="39" t="inlineStr">
        <is>
          <t>link vol row</t>
        </is>
      </c>
    </row>
    <row r="15" ht="15" customHeight="1">
      <c r="A15" s="40" t="inlineStr">
        <is>
          <t>Energy — electricity</t>
        </is>
      </c>
      <c r="B15" s="41" t="inlineStr">
        <is>
          <t>Kerry</t>
        </is>
      </c>
      <c r="C15" s="42">
        <f>COUNTA('Penalties'!B28:M28)</f>
        <v/>
      </c>
      <c r="D15" s="43" t="inlineStr">
        <is>
          <t>link vol row</t>
        </is>
      </c>
      <c r="E15" s="43" t="inlineStr">
        <is>
          <t>link vol row</t>
        </is>
      </c>
      <c r="F15" s="43" t="inlineStr">
        <is>
          <t>link vol row</t>
        </is>
      </c>
      <c r="G15" s="43" t="inlineStr">
        <is>
          <t>link vol row</t>
        </is>
      </c>
    </row>
    <row r="16" ht="15" customHeight="1">
      <c r="A16" s="36" t="inlineStr">
        <is>
          <t>N₂O / process emissions</t>
        </is>
      </c>
      <c r="B16" s="37" t="inlineStr">
        <is>
          <t>Kerry</t>
        </is>
      </c>
      <c r="C16" s="38">
        <f>COUNTA('Penalties'!B29:M29)</f>
        <v/>
      </c>
      <c r="D16" s="39" t="inlineStr">
        <is>
          <t>link vol row</t>
        </is>
      </c>
      <c r="E16" s="39" t="inlineStr">
        <is>
          <t>link vol row</t>
        </is>
      </c>
      <c r="F16" s="39" t="inlineStr">
        <is>
          <t>link vol row</t>
        </is>
      </c>
      <c r="G16" s="39" t="inlineStr">
        <is>
          <t>link vol row</t>
        </is>
      </c>
    </row>
    <row r="17" ht="15" customHeight="1">
      <c r="A17" s="40" t="inlineStr">
        <is>
          <t>Other / residual</t>
        </is>
      </c>
      <c r="B17" s="41" t="inlineStr">
        <is>
          <t>Kerry</t>
        </is>
      </c>
      <c r="C17" s="42">
        <f>COUNTA('Penalties'!B30:M30)</f>
        <v/>
      </c>
      <c r="D17" s="43" t="inlineStr">
        <is>
          <t>link vol row</t>
        </is>
      </c>
      <c r="E17" s="43" t="inlineStr">
        <is>
          <t>link vol row</t>
        </is>
      </c>
      <c r="F17" s="43" t="inlineStr">
        <is>
          <t>link vol row</t>
        </is>
      </c>
      <c r="G17" s="43" t="inlineStr">
        <is>
          <t>link vol row</t>
        </is>
      </c>
    </row>
    <row r="18" ht="15" customHeight="1">
      <c r="A18" s="36" t="inlineStr">
        <is>
          <t>Energy — electricity (injection site operations)</t>
        </is>
      </c>
      <c r="B18" s="37" t="inlineStr">
        <is>
          <t>Site</t>
        </is>
      </c>
      <c r="C18" s="38">
        <f>COUNTA('Penalties'!B42:M42)</f>
        <v/>
      </c>
      <c r="D18" s="39" t="inlineStr">
        <is>
          <t>link vol row</t>
        </is>
      </c>
      <c r="E18" s="39" t="inlineStr">
        <is>
          <t>link vol row</t>
        </is>
      </c>
      <c r="F18" s="39" t="inlineStr">
        <is>
          <t>link vol row</t>
        </is>
      </c>
      <c r="G18" s="39" t="inlineStr">
        <is>
          <t>link vol row</t>
        </is>
      </c>
    </row>
    <row r="19" ht="15" customHeight="1">
      <c r="A19" s="40" t="inlineStr">
        <is>
          <t>Energy — methanol (well operations)</t>
        </is>
      </c>
      <c r="B19" s="41" t="inlineStr">
        <is>
          <t>Site</t>
        </is>
      </c>
      <c r="C19" s="42">
        <f>COUNTA('Penalties'!B43:M43)</f>
        <v/>
      </c>
      <c r="D19" s="43" t="inlineStr">
        <is>
          <t>link vol row</t>
        </is>
      </c>
      <c r="E19" s="43" t="inlineStr">
        <is>
          <t>link vol row</t>
        </is>
      </c>
      <c r="F19" s="43" t="inlineStr">
        <is>
          <t>link vol row</t>
        </is>
      </c>
      <c r="G19" s="43" t="inlineStr">
        <is>
          <t>link vol row</t>
        </is>
      </c>
    </row>
    <row r="20" ht="15" customHeight="1">
      <c r="A20" s="36" t="inlineStr">
        <is>
          <t>Fugitive / venting emissions</t>
        </is>
      </c>
      <c r="B20" s="37" t="inlineStr">
        <is>
          <t>Site</t>
        </is>
      </c>
      <c r="C20" s="38">
        <f>COUNTA('Penalties'!B44:M44)</f>
        <v/>
      </c>
      <c r="D20" s="39" t="inlineStr">
        <is>
          <t>link vol row</t>
        </is>
      </c>
      <c r="E20" s="39" t="inlineStr">
        <is>
          <t>link vol row</t>
        </is>
      </c>
      <c r="F20" s="39" t="inlineStr">
        <is>
          <t>link vol row</t>
        </is>
      </c>
      <c r="G20" s="39" t="inlineStr">
        <is>
          <t>link vol row</t>
        </is>
      </c>
    </row>
    <row r="21" ht="15" customHeight="1">
      <c r="A21" s="40" t="inlineStr">
        <is>
          <t>Other site emissions</t>
        </is>
      </c>
      <c r="B21" s="41" t="inlineStr">
        <is>
          <t>Site</t>
        </is>
      </c>
      <c r="C21" s="42">
        <f>COUNTA('Penalties'!B45:M45)</f>
        <v/>
      </c>
      <c r="D21" s="43" t="inlineStr">
        <is>
          <t>link vol row</t>
        </is>
      </c>
      <c r="E21" s="43" t="inlineStr">
        <is>
          <t>link vol row</t>
        </is>
      </c>
      <c r="F21" s="43" t="inlineStr">
        <is>
          <t>link vol row</t>
        </is>
      </c>
      <c r="G21" s="43" t="inlineStr">
        <is>
          <t>link vol row</t>
        </is>
      </c>
    </row>
    <row r="22" ht="5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 ht="14" customHeight="1">
      <c r="A23" s="19" t="inlineStr">
        <is>
          <t>ℹ  Wire D=SLOPE, E=INTERCEPT, F=RSQ against Production (Charm) bio-oil volume row after data is connected.</t>
        </is>
      </c>
    </row>
  </sheetData>
  <mergeCells count="3">
    <mergeCell ref="A1:O1"/>
    <mergeCell ref="A23:O23"/>
    <mergeCell ref="A2:O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E5FA3"/>
    <outlinePr summaryBelow="1" summaryRight="1"/>
    <pageSetUpPr/>
  </sheetPr>
  <dimension ref="A1:O5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11" customWidth="1" min="14" max="14"/>
    <col width="12" customWidth="1" min="15" max="15"/>
  </cols>
  <sheetData>
    <row r="1" ht="22" customHeight="1">
      <c r="A1" s="1" t="inlineStr">
        <is>
          <t>Production — Charm Bio-Oil &amp; Biochar (Charm-produced oil only)</t>
        </is>
      </c>
    </row>
    <row r="2" ht="13" customHeight="1">
      <c r="A2" s="2" t="inlineStr">
        <is>
          <t>Source: Charm PP close summary sheets. Jul-25 not separate (combined Jun-Jul period). Apr-26 pending PP close.</t>
        </is>
      </c>
    </row>
    <row r="3" ht="18" customHeight="1">
      <c r="A3" s="7" t="inlineStr">
        <is>
          <t>Metric</t>
        </is>
      </c>
      <c r="B3" s="8" t="inlineStr">
        <is>
          <t>Jul-25</t>
        </is>
      </c>
      <c r="C3" s="8" t="inlineStr">
        <is>
          <t>Aug-25</t>
        </is>
      </c>
      <c r="D3" s="8" t="inlineStr">
        <is>
          <t>Sep-25</t>
        </is>
      </c>
      <c r="E3" s="8" t="inlineStr">
        <is>
          <t>Oct-25</t>
        </is>
      </c>
      <c r="F3" s="8" t="inlineStr">
        <is>
          <t>Nov-25</t>
        </is>
      </c>
      <c r="G3" s="8" t="inlineStr">
        <is>
          <t>Dec-25</t>
        </is>
      </c>
      <c r="H3" s="8" t="inlineStr">
        <is>
          <t>Jan-26</t>
        </is>
      </c>
      <c r="I3" s="8" t="inlineStr">
        <is>
          <t>Feb-26</t>
        </is>
      </c>
      <c r="J3" s="8" t="inlineStr">
        <is>
          <t>Mar-26</t>
        </is>
      </c>
      <c r="K3" s="8" t="inlineStr">
        <is>
          <t>Apr-26</t>
        </is>
      </c>
      <c r="L3" s="8" t="inlineStr">
        <is>
          <t>May-26</t>
        </is>
      </c>
      <c r="M3" s="8" t="inlineStr">
        <is>
          <t>Jun-26</t>
        </is>
      </c>
      <c r="N3" s="9" t="inlineStr">
        <is>
          <t>YTD 2026</t>
        </is>
      </c>
      <c r="O3" s="9" t="inlineStr">
        <is>
          <t>FY 2025*</t>
        </is>
      </c>
    </row>
    <row r="4" ht="16" customHeight="1">
      <c r="A4" s="6" t="inlineStr">
        <is>
          <t>Inputs — Biomass Processed by Charm</t>
        </is>
      </c>
    </row>
    <row r="5" ht="15" customHeight="1">
      <c r="A5" s="20" t="inlineStr">
        <is>
          <t>Total dry biomass processed (dry MT)</t>
        </is>
      </c>
      <c r="B5" s="23" t="n"/>
      <c r="C5" s="44" t="n">
        <v>84.84</v>
      </c>
      <c r="D5" s="44" t="n">
        <v>64.58</v>
      </c>
      <c r="E5" s="44" t="n">
        <v>47.45</v>
      </c>
      <c r="F5" s="44" t="n">
        <v>25</v>
      </c>
      <c r="G5" s="44" t="n">
        <v>28.95</v>
      </c>
      <c r="H5" s="44" t="n">
        <v>44.93</v>
      </c>
      <c r="I5" s="44" t="n">
        <v>47.98</v>
      </c>
      <c r="J5" s="44" t="n">
        <v>65.40000000000001</v>
      </c>
      <c r="K5" s="23" t="n"/>
      <c r="L5" s="23" t="n"/>
      <c r="M5" s="23" t="n"/>
      <c r="N5" s="22">
        <f>SUM(H5:M5)</f>
        <v/>
      </c>
      <c r="O5" s="23" t="n">
        <v>250.82</v>
      </c>
    </row>
    <row r="6" ht="5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 ht="16" customHeight="1">
      <c r="A7" s="6" t="inlineStr">
        <is>
          <t>Bio-Oil (WODO) — Output &amp; Yield</t>
        </is>
      </c>
    </row>
    <row r="8" ht="15" customHeight="1">
      <c r="A8" s="20" t="inlineStr">
        <is>
          <t>Bio-oil produced (MT)</t>
        </is>
      </c>
      <c r="B8" s="23" t="n"/>
      <c r="C8" s="44" t="n">
        <v>20.928</v>
      </c>
      <c r="D8" s="44" t="n">
        <v>12.63</v>
      </c>
      <c r="E8" s="44" t="n">
        <v>14.227</v>
      </c>
      <c r="F8" s="44" t="n">
        <v>9.984</v>
      </c>
      <c r="G8" s="44" t="n">
        <v>6.481</v>
      </c>
      <c r="H8" s="44" t="n">
        <v>8.888</v>
      </c>
      <c r="I8" s="44" t="n">
        <v>10.966</v>
      </c>
      <c r="J8" s="44" t="n">
        <v>16.307</v>
      </c>
      <c r="K8" s="23" t="n"/>
      <c r="L8" s="23" t="n"/>
      <c r="M8" s="23" t="n"/>
      <c r="N8" s="22">
        <f>SUM(H8:M8)</f>
        <v/>
      </c>
      <c r="O8" s="23" t="n">
        <v>64.25</v>
      </c>
    </row>
    <row r="9" ht="15" customHeight="1">
      <c r="A9" s="10" t="inlineStr">
        <is>
          <t>Bio-oil carbon mass (tC)</t>
        </is>
      </c>
      <c r="B9" s="11" t="n"/>
      <c r="C9" s="44" t="n">
        <v>10.353</v>
      </c>
      <c r="D9" s="44" t="n">
        <v>6.573</v>
      </c>
      <c r="E9" s="44" t="n">
        <v>8.247</v>
      </c>
      <c r="F9" s="44" t="n">
        <v>5.684</v>
      </c>
      <c r="G9" s="44" t="n">
        <v>3.157</v>
      </c>
      <c r="H9" s="44" t="n">
        <v>5.051</v>
      </c>
      <c r="I9" s="44" t="n">
        <v>5.744</v>
      </c>
      <c r="J9" s="44" t="n">
        <v>8.326000000000001</v>
      </c>
      <c r="K9" s="11" t="n"/>
      <c r="L9" s="11" t="n"/>
      <c r="M9" s="11" t="n"/>
      <c r="N9" s="12">
        <f>SUM(H9:M9)</f>
        <v/>
      </c>
      <c r="O9" s="23" t="n">
        <v>34.014</v>
      </c>
    </row>
    <row r="10" ht="15" customHeight="1">
      <c r="A10" s="13" t="inlineStr">
        <is>
          <t>Carbon yield: bio-oil C / biomass C input (%)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7" t="n"/>
      <c r="O10" s="16" t="n"/>
    </row>
    <row r="11" ht="5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 ht="16" customHeight="1">
      <c r="A12" s="6" t="inlineStr">
        <is>
          <t>Bio-Oil Carbon Intensity (tCO₂e / tCO₂ net CDR stored)</t>
        </is>
      </c>
    </row>
    <row r="13" ht="15" customHeight="1">
      <c r="A13" s="20" t="inlineStr">
        <is>
          <t>Bio-oil CI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49" t="n">
        <v>5.143560606060606</v>
      </c>
      <c r="M13" s="23" t="n"/>
      <c r="N13" s="25" t="n"/>
      <c r="O13" s="23" t="n"/>
    </row>
    <row r="14" ht="5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 ht="16" customHeight="1">
      <c r="A15" s="6" t="inlineStr">
        <is>
          <t>Biochar — Output &amp; Yield</t>
        </is>
      </c>
    </row>
    <row r="16" ht="15" customHeight="1">
      <c r="A16" s="20" t="inlineStr">
        <is>
          <t>Biochar produced (MT)</t>
        </is>
      </c>
      <c r="B16" s="23" t="n"/>
      <c r="C16" s="44" t="n">
        <v>9.186</v>
      </c>
      <c r="D16" s="44" t="n">
        <v>3.868</v>
      </c>
      <c r="E16" s="44" t="n">
        <v>8.085000000000001</v>
      </c>
      <c r="F16" s="44" t="n">
        <v>4.58</v>
      </c>
      <c r="G16" s="44" t="n">
        <v>4.074</v>
      </c>
      <c r="H16" s="44" t="n">
        <v>6.56</v>
      </c>
      <c r="I16" s="44" t="n">
        <v>6.766</v>
      </c>
      <c r="J16" s="44" t="n">
        <v>6.259</v>
      </c>
      <c r="K16" s="23" t="n"/>
      <c r="L16" s="23" t="n"/>
      <c r="M16" s="23" t="n"/>
      <c r="N16" s="22">
        <f>SUM(H16:M16)</f>
        <v/>
      </c>
      <c r="O16" s="23" t="n">
        <v>29.793</v>
      </c>
    </row>
    <row r="17" ht="15" customHeight="1">
      <c r="A17" s="10" t="inlineStr">
        <is>
          <t>Biochar carbon mass (tC)</t>
        </is>
      </c>
      <c r="B17" s="11" t="n"/>
      <c r="C17" s="44" t="n">
        <v>7.931</v>
      </c>
      <c r="D17" s="44" t="n">
        <v>3.304</v>
      </c>
      <c r="E17" s="44" t="n">
        <v>7.399</v>
      </c>
      <c r="F17" s="44" t="n">
        <v>3.891</v>
      </c>
      <c r="G17" s="44" t="n">
        <v>3.619</v>
      </c>
      <c r="H17" s="44" t="n">
        <v>5.047</v>
      </c>
      <c r="I17" s="44" t="n">
        <v>5.228</v>
      </c>
      <c r="J17" s="44" t="n">
        <v>4.92</v>
      </c>
      <c r="K17" s="11" t="n"/>
      <c r="L17" s="11" t="n"/>
      <c r="M17" s="11" t="n"/>
      <c r="N17" s="12">
        <f>SUM(H17:M17)</f>
        <v/>
      </c>
      <c r="O17" s="23" t="n">
        <v>26.144</v>
      </c>
    </row>
    <row r="18" ht="15" customHeight="1">
      <c r="A18" s="13" t="inlineStr">
        <is>
          <t>Carbon yield: biochar C / biomass C input (%)</t>
        </is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7" t="n"/>
      <c r="O18" s="16" t="n"/>
    </row>
    <row r="19" ht="5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 ht="16" customHeight="1">
      <c r="A20" s="6" t="inlineStr">
        <is>
          <t>Biochar Carbon Intensity (tCO₂e / tCO₂ net CDR stored)</t>
        </is>
      </c>
    </row>
    <row r="21" ht="15" customHeight="1">
      <c r="A21" s="20" t="inlineStr">
        <is>
          <t>Biochar CI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49" t="n">
        <v>1.87039627039627</v>
      </c>
      <c r="M21" s="23" t="n"/>
      <c r="N21" s="25" t="n"/>
      <c r="O21" s="23" t="n"/>
    </row>
    <row r="23" ht="14" customHeight="1">
      <c r="A23" s="19" t="inlineStr">
        <is>
          <t>ℹ  CI pending (needs net CDR from GHG statements). For final values use Charm MRV folder in RP packages.</t>
        </is>
      </c>
    </row>
    <row r="25" ht="16" customHeight="1">
      <c r="A25" s="28" t="inlineStr">
        <is>
          <t>▸ Chart: Production Volumes — Monthly (MT)</t>
        </is>
      </c>
    </row>
    <row r="51" ht="16" customHeight="1">
      <c r="A51" s="28" t="inlineStr">
        <is>
          <t>▸ Chart: Carbon Mass — Monthly (tC)</t>
        </is>
      </c>
    </row>
  </sheetData>
  <mergeCells count="10">
    <mergeCell ref="A15:O15"/>
    <mergeCell ref="A7:O7"/>
    <mergeCell ref="A25:O25"/>
    <mergeCell ref="A20:O20"/>
    <mergeCell ref="A12:O12"/>
    <mergeCell ref="A2:O2"/>
    <mergeCell ref="A51:O51"/>
    <mergeCell ref="A1:O1"/>
    <mergeCell ref="A23:O23"/>
    <mergeCell ref="A4:O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O5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11" customWidth="1" min="14" max="14"/>
    <col width="12" customWidth="1" min="15" max="15"/>
  </cols>
  <sheetData>
    <row r="1" ht="22" customHeight="1">
      <c r="A1" s="1" t="inlineStr">
        <is>
          <t>Source Mix — Concentration &amp; Efficiency by Oil Source</t>
        </is>
      </c>
    </row>
    <row r="2" ht="13" customHeight="1">
      <c r="A2" s="2" t="inlineStr">
        <is>
          <t>Share of net CDR from each source + per-source efficiency roll-up</t>
        </is>
      </c>
    </row>
    <row r="3" ht="18" customHeight="1">
      <c r="A3" s="7" t="inlineStr">
        <is>
          <t>Metric</t>
        </is>
      </c>
      <c r="B3" s="8" t="inlineStr">
        <is>
          <t>Jul-25</t>
        </is>
      </c>
      <c r="C3" s="8" t="inlineStr">
        <is>
          <t>Aug-25</t>
        </is>
      </c>
      <c r="D3" s="8" t="inlineStr">
        <is>
          <t>Sep-25</t>
        </is>
      </c>
      <c r="E3" s="8" t="inlineStr">
        <is>
          <t>Oct-25</t>
        </is>
      </c>
      <c r="F3" s="8" t="inlineStr">
        <is>
          <t>Nov-25</t>
        </is>
      </c>
      <c r="G3" s="8" t="inlineStr">
        <is>
          <t>Dec-25</t>
        </is>
      </c>
      <c r="H3" s="8" t="inlineStr">
        <is>
          <t>Jan-26</t>
        </is>
      </c>
      <c r="I3" s="8" t="inlineStr">
        <is>
          <t>Feb-26</t>
        </is>
      </c>
      <c r="J3" s="8" t="inlineStr">
        <is>
          <t>Mar-26</t>
        </is>
      </c>
      <c r="K3" s="8" t="inlineStr">
        <is>
          <t>Apr-26</t>
        </is>
      </c>
      <c r="L3" s="8" t="inlineStr">
        <is>
          <t>May-26</t>
        </is>
      </c>
      <c r="M3" s="8" t="inlineStr">
        <is>
          <t>Jun-26</t>
        </is>
      </c>
      <c r="N3" s="9" t="inlineStr">
        <is>
          <t>YTD 2026</t>
        </is>
      </c>
      <c r="O3" s="9" t="inlineStr">
        <is>
          <t>FY 2025*</t>
        </is>
      </c>
    </row>
    <row r="4" ht="16" customHeight="1">
      <c r="A4" s="6" t="inlineStr">
        <is>
          <t>Net CDR (tCO₂e) by Source — Absolute</t>
        </is>
      </c>
    </row>
    <row r="5" ht="15" customHeight="1">
      <c r="A5" s="20" t="inlineStr">
        <is>
          <t>Total operation</t>
        </is>
      </c>
      <c r="B5" s="23" t="n"/>
      <c r="C5" s="21" t="n">
        <v>555.95</v>
      </c>
      <c r="D5" s="21" t="n">
        <v>135.39</v>
      </c>
      <c r="E5" s="21">
        <f>166.40+291.85</f>
        <v/>
      </c>
      <c r="F5" s="21" t="n">
        <v>454.71</v>
      </c>
      <c r="G5" s="23" t="n"/>
      <c r="H5" s="23" t="n"/>
      <c r="I5" s="21" t="n">
        <v>43.47</v>
      </c>
      <c r="J5" s="21" t="n">
        <v>764.14</v>
      </c>
      <c r="K5" s="21" t="n">
        <v>612.99</v>
      </c>
      <c r="L5" s="21" t="n">
        <v>490.82</v>
      </c>
      <c r="M5" s="23" t="n"/>
      <c r="N5" s="22">
        <f>SUM(H5:M5)</f>
        <v/>
      </c>
      <c r="O5" s="21" t="n">
        <v>1604.3</v>
      </c>
    </row>
    <row r="6" ht="15" customHeight="1">
      <c r="A6" s="13" t="inlineStr">
        <is>
          <t xml:space="preserve">  AECN</t>
        </is>
      </c>
      <c r="B6" s="14" t="n"/>
      <c r="C6" s="21" t="n">
        <v>555.95</v>
      </c>
      <c r="D6" s="21" t="n">
        <v>0</v>
      </c>
      <c r="E6" s="21">
        <f>59.55+291.85</f>
        <v/>
      </c>
      <c r="F6" s="21" t="n">
        <v>454.71</v>
      </c>
      <c r="G6" s="14" t="n"/>
      <c r="H6" s="14" t="n"/>
      <c r="I6" s="21" t="n">
        <v>43.47</v>
      </c>
      <c r="J6" s="21" t="n">
        <v>764.14</v>
      </c>
      <c r="K6" s="21" t="n">
        <v>612.99</v>
      </c>
      <c r="L6" s="21" t="n">
        <v>475.09</v>
      </c>
      <c r="M6" s="14" t="n"/>
      <c r="N6" s="15">
        <f>SUM(H6:M6)</f>
        <v/>
      </c>
      <c r="O6" s="49" t="n">
        <v>1362.06</v>
      </c>
    </row>
    <row r="7" ht="15" customHeight="1">
      <c r="A7" s="10" t="inlineStr">
        <is>
          <t xml:space="preserve">  Charm</t>
        </is>
      </c>
      <c r="B7" s="11" t="n"/>
      <c r="C7" s="21" t="n">
        <v>0</v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6.93</v>
      </c>
      <c r="M7" s="11" t="n"/>
      <c r="N7" s="12">
        <f>SUM(H7:M7)</f>
        <v/>
      </c>
      <c r="O7" s="49" t="n">
        <v>0</v>
      </c>
    </row>
    <row r="8" ht="15" customHeight="1">
      <c r="A8" s="13" t="inlineStr">
        <is>
          <t xml:space="preserve">  Kerry</t>
        </is>
      </c>
      <c r="B8" s="14" t="n"/>
      <c r="C8" s="21" t="n">
        <v>0</v>
      </c>
      <c r="D8" s="21" t="n">
        <v>135.39</v>
      </c>
      <c r="E8" s="21" t="n">
        <v>106.85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8.800000000000001</v>
      </c>
      <c r="M8" s="14" t="n"/>
      <c r="N8" s="15">
        <f>SUM(H8:M8)</f>
        <v/>
      </c>
      <c r="O8" s="49" t="n">
        <v>242.24</v>
      </c>
    </row>
    <row r="9" ht="5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 ht="16" customHeight="1">
      <c r="A10" s="6" t="inlineStr">
        <is>
          <t>Net CDR Share by Source (% of total net CDR)</t>
        </is>
      </c>
    </row>
    <row r="11" ht="15" customHeight="1">
      <c r="A11" s="10" t="inlineStr">
        <is>
          <t>AECN</t>
        </is>
      </c>
      <c r="B11" s="50">
        <f>IF(B5&gt;0,B6/B5,"")</f>
        <v/>
      </c>
      <c r="C11" s="50">
        <f>IF(C5&gt;0,C6/C5,"")</f>
        <v/>
      </c>
      <c r="D11" s="50">
        <f>IF(D5&gt;0,D6/D5,"")</f>
        <v/>
      </c>
      <c r="E11" s="50">
        <f>IF(E5&gt;0,E6/E5,"")</f>
        <v/>
      </c>
      <c r="F11" s="50">
        <f>IF(F5&gt;0,F6/F5,"")</f>
        <v/>
      </c>
      <c r="G11" s="50">
        <f>IF(G5&gt;0,G6/G5,"")</f>
        <v/>
      </c>
      <c r="H11" s="50">
        <f>IF(H5&gt;0,H6/H5,"")</f>
        <v/>
      </c>
      <c r="I11" s="50">
        <f>IF(I5&gt;0,I6/I5,"")</f>
        <v/>
      </c>
      <c r="J11" s="50">
        <f>IF(J5&gt;0,J6/J5,"")</f>
        <v/>
      </c>
      <c r="K11" s="50">
        <f>IF(K5&gt;0,K6/K5,"")</f>
        <v/>
      </c>
      <c r="L11" s="50">
        <f>IF(L5&gt;0,L6/L5,"")</f>
        <v/>
      </c>
      <c r="M11" s="50">
        <f>IF(M5&gt;0,M6/M5,"")</f>
        <v/>
      </c>
      <c r="N11" s="51">
        <f>IF(SUM(H5:M5)&gt;0,SUM(H6:M6)/SUM(H5:M5),"")</f>
        <v/>
      </c>
      <c r="O11" s="50" t="n">
        <v>0.849</v>
      </c>
    </row>
    <row r="12" ht="15" customHeight="1">
      <c r="A12" s="13" t="inlineStr">
        <is>
          <t>Charm</t>
        </is>
      </c>
      <c r="B12" s="50">
        <f>IF(B5&gt;0,B7/B5,"")</f>
        <v/>
      </c>
      <c r="C12" s="50">
        <f>IF(C5&gt;0,C7/C5,"")</f>
        <v/>
      </c>
      <c r="D12" s="50">
        <f>IF(D5&gt;0,D7/D5,"")</f>
        <v/>
      </c>
      <c r="E12" s="50">
        <f>IF(E5&gt;0,E7/E5,"")</f>
        <v/>
      </c>
      <c r="F12" s="50">
        <f>IF(F5&gt;0,F7/F5,"")</f>
        <v/>
      </c>
      <c r="G12" s="50">
        <f>IF(G5&gt;0,G7/G5,"")</f>
        <v/>
      </c>
      <c r="H12" s="50">
        <f>IF(H5&gt;0,H7/H5,"")</f>
        <v/>
      </c>
      <c r="I12" s="50">
        <f>IF(I5&gt;0,I7/I5,"")</f>
        <v/>
      </c>
      <c r="J12" s="50">
        <f>IF(J5&gt;0,J7/J5,"")</f>
        <v/>
      </c>
      <c r="K12" s="50">
        <f>IF(K5&gt;0,K7/K5,"")</f>
        <v/>
      </c>
      <c r="L12" s="50">
        <f>IF(L5&gt;0,L7/L5,"")</f>
        <v/>
      </c>
      <c r="M12" s="50">
        <f>IF(M5&gt;0,M7/M5,"")</f>
        <v/>
      </c>
      <c r="N12" s="51">
        <f>IF(SUM(H5:M5)&gt;0,SUM(H7:M7)/SUM(H5:M5),"")</f>
        <v/>
      </c>
      <c r="O12" s="50" t="n">
        <v>0</v>
      </c>
    </row>
    <row r="13" ht="15" customHeight="1">
      <c r="A13" s="10" t="inlineStr">
        <is>
          <t>Kerry</t>
        </is>
      </c>
      <c r="B13" s="50">
        <f>IF(B5&gt;0,B8/B5,"")</f>
        <v/>
      </c>
      <c r="C13" s="50">
        <f>IF(C5&gt;0,C8/C5,"")</f>
        <v/>
      </c>
      <c r="D13" s="50">
        <f>IF(D5&gt;0,D8/D5,"")</f>
        <v/>
      </c>
      <c r="E13" s="50">
        <f>IF(E5&gt;0,E8/E5,"")</f>
        <v/>
      </c>
      <c r="F13" s="50">
        <f>IF(F5&gt;0,F8/F5,"")</f>
        <v/>
      </c>
      <c r="G13" s="50">
        <f>IF(G5&gt;0,G8/G5,"")</f>
        <v/>
      </c>
      <c r="H13" s="50">
        <f>IF(H5&gt;0,H8/H5,"")</f>
        <v/>
      </c>
      <c r="I13" s="50">
        <f>IF(I5&gt;0,I8/I5,"")</f>
        <v/>
      </c>
      <c r="J13" s="50">
        <f>IF(J5&gt;0,J8/J5,"")</f>
        <v/>
      </c>
      <c r="K13" s="50">
        <f>IF(K5&gt;0,K8/K5,"")</f>
        <v/>
      </c>
      <c r="L13" s="50">
        <f>IF(L5&gt;0,L8/L5,"")</f>
        <v/>
      </c>
      <c r="M13" s="50">
        <f>IF(M5&gt;0,M8/M5,"")</f>
        <v/>
      </c>
      <c r="N13" s="51">
        <f>IF(SUM(H5:M5)&gt;0,SUM(H8:M8)/SUM(H5:M5),"")</f>
        <v/>
      </c>
      <c r="O13" s="50" t="n">
        <v>0.151</v>
      </c>
    </row>
    <row r="14" ht="5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 ht="16" customHeight="1">
      <c r="A15" s="6" t="inlineStr">
        <is>
          <t>Gross CDR (tCO₂e) by Source — Absolute</t>
        </is>
      </c>
    </row>
    <row r="16" ht="15" customHeight="1">
      <c r="A16" s="20" t="inlineStr">
        <is>
          <t>Total operation</t>
        </is>
      </c>
      <c r="B16" s="23" t="n"/>
      <c r="C16" s="21" t="n">
        <v>804.551</v>
      </c>
      <c r="D16" s="21" t="n">
        <v>161.907</v>
      </c>
      <c r="E16" s="21">
        <f>285.139+351.170</f>
        <v/>
      </c>
      <c r="F16" s="21" t="n">
        <v>574.795</v>
      </c>
      <c r="G16" s="23" t="n"/>
      <c r="H16" s="23" t="n"/>
      <c r="I16" s="21" t="n">
        <v>157.052</v>
      </c>
      <c r="J16" s="21" t="n">
        <v>863.601</v>
      </c>
      <c r="K16" s="21" t="n">
        <v>702.779</v>
      </c>
      <c r="L16" s="21" t="n">
        <v>578.696</v>
      </c>
      <c r="M16" s="23" t="n"/>
      <c r="N16" s="22">
        <f>SUM(H16:M16)</f>
        <v/>
      </c>
      <c r="O16" s="21" t="n">
        <v>2177.562</v>
      </c>
    </row>
    <row r="17" ht="15" customHeight="1">
      <c r="A17" s="10" t="inlineStr">
        <is>
          <t xml:space="preserve">  AECN</t>
        </is>
      </c>
      <c r="B17" s="11" t="n"/>
      <c r="C17" s="49" t="n">
        <v>804.551</v>
      </c>
      <c r="D17" s="49" t="n">
        <v>0</v>
      </c>
      <c r="E17" s="49">
        <f>351.170+285.139*59.55/166.40</f>
        <v/>
      </c>
      <c r="F17" s="49" t="n">
        <v>574.795</v>
      </c>
      <c r="G17" s="11" t="n"/>
      <c r="H17" s="11" t="n"/>
      <c r="I17" s="49" t="n">
        <v>157.052</v>
      </c>
      <c r="J17" s="49" t="n">
        <v>863.601</v>
      </c>
      <c r="K17" s="49" t="n">
        <v>702.779</v>
      </c>
      <c r="L17" s="49">
        <f>578.696*475.09/490.82</f>
        <v/>
      </c>
      <c r="M17" s="11" t="n"/>
      <c r="N17" s="12">
        <f>SUM(H17:M17)</f>
        <v/>
      </c>
      <c r="O17" s="49" t="n">
        <v>1832.566</v>
      </c>
    </row>
    <row r="18" ht="15" customHeight="1">
      <c r="A18" s="13" t="inlineStr">
        <is>
          <t xml:space="preserve">  Charm</t>
        </is>
      </c>
      <c r="B18" s="14" t="n">
        <v>0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49">
        <f>578.696*6.93/490.82</f>
        <v/>
      </c>
      <c r="M18" s="14" t="n">
        <v>0</v>
      </c>
      <c r="N18" s="15">
        <f>SUM(H18:M18)</f>
        <v/>
      </c>
      <c r="O18" s="49" t="n">
        <v>0</v>
      </c>
    </row>
    <row r="19" ht="15" customHeight="1">
      <c r="A19" s="10" t="inlineStr">
        <is>
          <t xml:space="preserve">  Kerry</t>
        </is>
      </c>
      <c r="B19" s="14" t="n">
        <v>0</v>
      </c>
      <c r="C19" s="14" t="n">
        <v>0</v>
      </c>
      <c r="D19" s="49" t="n">
        <v>161.907</v>
      </c>
      <c r="E19" s="49">
        <f>285.139*106.85/166.40</f>
        <v/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49">
        <f>578.696*8.80/490.82</f>
        <v/>
      </c>
      <c r="M19" s="14" t="n">
        <v>0</v>
      </c>
      <c r="N19" s="12">
        <f>SUM(H19:M19)</f>
        <v/>
      </c>
      <c r="O19" s="49" t="n">
        <v>344.987</v>
      </c>
    </row>
    <row r="20" ht="5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 ht="16" customHeight="1">
      <c r="A21" s="6" t="inlineStr">
        <is>
          <t>Efficiency Roll-Up by Source (Net / Gross CDR)</t>
        </is>
      </c>
    </row>
    <row r="22" ht="15" customHeight="1">
      <c r="A22" s="20" t="inlineStr">
        <is>
          <t>Total operation</t>
        </is>
      </c>
      <c r="B22" s="50">
        <f>IF(B16&gt;0,B5/B16,"")</f>
        <v/>
      </c>
      <c r="C22" s="50">
        <f>IF(C16&gt;0,C5/C16,"")</f>
        <v/>
      </c>
      <c r="D22" s="50">
        <f>IF(D16&gt;0,D5/D16,"")</f>
        <v/>
      </c>
      <c r="E22" s="50">
        <f>IF(E16&gt;0,E5/E16,"")</f>
        <v/>
      </c>
      <c r="F22" s="50">
        <f>IF(F16&gt;0,F5/F16,"")</f>
        <v/>
      </c>
      <c r="G22" s="50">
        <f>IF(G16&gt;0,G5/G16,"")</f>
        <v/>
      </c>
      <c r="H22" s="50">
        <f>IF(H16&gt;0,H5/H16,"")</f>
        <v/>
      </c>
      <c r="I22" s="50">
        <f>IF(I16&gt;0,I5/I16,"")</f>
        <v/>
      </c>
      <c r="J22" s="50">
        <f>IF(J16&gt;0,J5/J16,"")</f>
        <v/>
      </c>
      <c r="K22" s="50">
        <f>IF(K16&gt;0,K5/K16,"")</f>
        <v/>
      </c>
      <c r="L22" s="50">
        <f>IF(L16&gt;0,L5/L16,"")</f>
        <v/>
      </c>
      <c r="M22" s="50">
        <f>IF(M16&gt;0,M5/M16,"")</f>
        <v/>
      </c>
      <c r="N22" s="51">
        <f>IF(SUM(H16:M16)&gt;0,SUM(H5:M5)/SUM(H16:M16),"")</f>
        <v/>
      </c>
      <c r="O22" s="50" t="n">
        <v>0.7367</v>
      </c>
    </row>
    <row r="23" ht="15" customHeight="1">
      <c r="A23" s="10" t="inlineStr">
        <is>
          <t xml:space="preserve">  AECN</t>
        </is>
      </c>
      <c r="B23" s="50">
        <f>IF(B17&gt;0,B6/B17,"")</f>
        <v/>
      </c>
      <c r="C23" s="50">
        <f>IF(C17&gt;0,C6/C17,"")</f>
        <v/>
      </c>
      <c r="D23" s="50">
        <f>IF(D17&gt;0,D6/D17,"")</f>
        <v/>
      </c>
      <c r="E23" s="50">
        <f>IF(E17&gt;0,E6/E17,"")</f>
        <v/>
      </c>
      <c r="F23" s="50">
        <f>IF(F17&gt;0,F6/F17,"")</f>
        <v/>
      </c>
      <c r="G23" s="50">
        <f>IF(G17&gt;0,G6/G17,"")</f>
        <v/>
      </c>
      <c r="H23" s="50">
        <f>IF(H17&gt;0,H6/H17,"")</f>
        <v/>
      </c>
      <c r="I23" s="50">
        <f>IF(I17&gt;0,I6/I17,"")</f>
        <v/>
      </c>
      <c r="J23" s="50">
        <f>IF(J17&gt;0,J6/J17,"")</f>
        <v/>
      </c>
      <c r="K23" s="50">
        <f>IF(K17&gt;0,K6/K17,"")</f>
        <v/>
      </c>
      <c r="L23" s="50">
        <f>IF(L17&gt;0,L6/L17,"")</f>
        <v/>
      </c>
      <c r="M23" s="50">
        <f>IF(M17&gt;0,M6/M17,"")</f>
        <v/>
      </c>
      <c r="N23" s="51">
        <f>IF(SUM(H17:M17)&gt;0,SUM(H6:M6)/SUM(H17:M17),"")</f>
        <v/>
      </c>
      <c r="O23" s="50" t="n">
        <v>0.7433</v>
      </c>
    </row>
    <row r="24" ht="15" customHeight="1">
      <c r="A24" s="13" t="inlineStr">
        <is>
          <t xml:space="preserve">  Charm</t>
        </is>
      </c>
      <c r="B24" s="50">
        <f>IF(B18&gt;0,B7/B18,"")</f>
        <v/>
      </c>
      <c r="C24" s="50">
        <f>IF(C18&gt;0,C7/C18,"")</f>
        <v/>
      </c>
      <c r="D24" s="50">
        <f>IF(D18&gt;0,D7/D18,"")</f>
        <v/>
      </c>
      <c r="E24" s="50">
        <f>IF(E18&gt;0,E7/E18,"")</f>
        <v/>
      </c>
      <c r="F24" s="50">
        <f>IF(F18&gt;0,F7/F18,"")</f>
        <v/>
      </c>
      <c r="G24" s="50">
        <f>IF(G18&gt;0,G7/G18,"")</f>
        <v/>
      </c>
      <c r="H24" s="50">
        <f>IF(H18&gt;0,H7/H18,"")</f>
        <v/>
      </c>
      <c r="I24" s="50">
        <f>IF(I18&gt;0,I7/I18,"")</f>
        <v/>
      </c>
      <c r="J24" s="50">
        <f>IF(J18&gt;0,J7/J18,"")</f>
        <v/>
      </c>
      <c r="K24" s="50">
        <f>IF(K18&gt;0,K7/K18,"")</f>
        <v/>
      </c>
      <c r="L24" s="50">
        <f>IF(L18&gt;0,L7/L18,"")</f>
        <v/>
      </c>
      <c r="M24" s="50">
        <f>IF(M18&gt;0,M7/M18,"")</f>
        <v/>
      </c>
      <c r="N24" s="51">
        <f>IF(SUM(H18:M18)&gt;0,SUM(H7:M7)/SUM(H18:M18),"")</f>
        <v/>
      </c>
      <c r="O24" s="16" t="n"/>
    </row>
    <row r="25" ht="15" customHeight="1">
      <c r="A25" s="10" t="inlineStr">
        <is>
          <t xml:space="preserve">  Kerry</t>
        </is>
      </c>
      <c r="B25" s="50">
        <f>IF(B19&gt;0,B8/B19,"")</f>
        <v/>
      </c>
      <c r="C25" s="50">
        <f>IF(C19&gt;0,C8/C19,"")</f>
        <v/>
      </c>
      <c r="D25" s="50">
        <f>IF(D19&gt;0,D8/D19,"")</f>
        <v/>
      </c>
      <c r="E25" s="50">
        <f>IF(E19&gt;0,E8/E19,"")</f>
        <v/>
      </c>
      <c r="F25" s="50">
        <f>IF(F19&gt;0,F8/F19,"")</f>
        <v/>
      </c>
      <c r="G25" s="50">
        <f>IF(G19&gt;0,G8/G19,"")</f>
        <v/>
      </c>
      <c r="H25" s="50">
        <f>IF(H19&gt;0,H8/H19,"")</f>
        <v/>
      </c>
      <c r="I25" s="50">
        <f>IF(I19&gt;0,I8/I19,"")</f>
        <v/>
      </c>
      <c r="J25" s="50">
        <f>IF(J19&gt;0,J8/J19,"")</f>
        <v/>
      </c>
      <c r="K25" s="50">
        <f>IF(K19&gt;0,K8/K19,"")</f>
        <v/>
      </c>
      <c r="L25" s="50">
        <f>IF(L19&gt;0,L8/L19,"")</f>
        <v/>
      </c>
      <c r="M25" s="50">
        <f>IF(M19&gt;0,M8/M19,"")</f>
        <v/>
      </c>
      <c r="N25" s="51">
        <f>IF(SUM(H19:M19)&gt;0,SUM(H8:M8)/SUM(H19:M19),"")</f>
        <v/>
      </c>
      <c r="O25" s="50" t="n">
        <v>0.7022</v>
      </c>
    </row>
    <row r="26" ht="5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 ht="16" customHeight="1">
      <c r="A27" s="6" t="inlineStr">
        <is>
          <t>Concentration Risk</t>
        </is>
      </c>
    </row>
    <row r="28" ht="15" customHeight="1">
      <c r="A28" s="13" t="inlineStr">
        <is>
          <t>Largest single-source share of net CDR (%)</t>
        </is>
      </c>
      <c r="B28" s="50">
        <f>IF(B5&gt;0,MAX(B11,B12,B13),"")</f>
        <v/>
      </c>
      <c r="C28" s="50">
        <f>IF(C5&gt;0,MAX(C11,C12,C13),"")</f>
        <v/>
      </c>
      <c r="D28" s="50">
        <f>IF(D5&gt;0,MAX(D11,D12,D13),"")</f>
        <v/>
      </c>
      <c r="E28" s="50">
        <f>IF(E5&gt;0,MAX(E11,E12,E13),"")</f>
        <v/>
      </c>
      <c r="F28" s="50">
        <f>IF(F5&gt;0,MAX(F11,F12,F13),"")</f>
        <v/>
      </c>
      <c r="G28" s="50">
        <f>IF(G5&gt;0,MAX(G11,G12,G13),"")</f>
        <v/>
      </c>
      <c r="H28" s="50">
        <f>IF(H5&gt;0,MAX(H11,H12,H13),"")</f>
        <v/>
      </c>
      <c r="I28" s="50">
        <f>IF(I5&gt;0,MAX(I11,I12,I13),"")</f>
        <v/>
      </c>
      <c r="J28" s="50">
        <f>IF(J5&gt;0,MAX(J11,J12,J13),"")</f>
        <v/>
      </c>
      <c r="K28" s="50">
        <f>IF(K5&gt;0,MAX(K11,K12,K13),"")</f>
        <v/>
      </c>
      <c r="L28" s="50">
        <f>IF(L5&gt;0,MAX(L11,L12,L13),"")</f>
        <v/>
      </c>
      <c r="M28" s="50">
        <f>IF(M5&gt;0,MAX(M11,M12,M13),"")</f>
        <v/>
      </c>
      <c r="N28" s="51">
        <f>IF(SUM(H5:M5)&gt;0,MAX(SUM(H11:M11)/SUM(H5:M5),SUM(H12:M12)/SUM(H5:M5),SUM(H13:M13)/SUM(H5:M5)),"")</f>
        <v/>
      </c>
      <c r="O28" s="50" t="n">
        <v>0.849</v>
      </c>
    </row>
    <row r="29" ht="15" customHeight="1">
      <c r="A29" s="10" t="inlineStr">
        <is>
          <t>Number of active sources this month</t>
        </is>
      </c>
      <c r="B29" s="27" t="n"/>
      <c r="C29" s="48" t="n">
        <v>1</v>
      </c>
      <c r="D29" s="48" t="n">
        <v>1</v>
      </c>
      <c r="E29" s="48" t="n">
        <v>2</v>
      </c>
      <c r="F29" s="48" t="n">
        <v>1</v>
      </c>
      <c r="G29" s="27" t="n"/>
      <c r="H29" s="27" t="n"/>
      <c r="I29" s="48" t="n">
        <v>1</v>
      </c>
      <c r="J29" s="48" t="n">
        <v>1</v>
      </c>
      <c r="K29" s="48" t="n">
        <v>1</v>
      </c>
      <c r="L29" s="48" t="n">
        <v>3</v>
      </c>
      <c r="M29" s="27" t="n"/>
      <c r="N29" s="54" t="n">
        <v>3</v>
      </c>
      <c r="O29" s="53" t="n">
        <v>2</v>
      </c>
    </row>
    <row r="31" ht="14" customHeight="1">
      <c r="A31" s="19" t="inlineStr">
        <is>
          <t>ℹ  Share and efficiency: no YTD auto-sum — derive from YTD absolute rows.</t>
        </is>
      </c>
    </row>
    <row r="33" ht="16" customHeight="1">
      <c r="A33" s="28" t="inlineStr">
        <is>
          <t>▸ Chart: Net CDR by Source — Monthly (tCO₂e)</t>
        </is>
      </c>
    </row>
    <row r="59" ht="16" customHeight="1">
      <c r="A59" s="28" t="inlineStr">
        <is>
          <t>▸ Chart: Efficiency by Source — Monthly</t>
        </is>
      </c>
    </row>
  </sheetData>
  <mergeCells count="10">
    <mergeCell ref="A15:O15"/>
    <mergeCell ref="A59:O59"/>
    <mergeCell ref="A2:O2"/>
    <mergeCell ref="A10:O10"/>
    <mergeCell ref="A33:O33"/>
    <mergeCell ref="A1:O1"/>
    <mergeCell ref="A27:O27"/>
    <mergeCell ref="A31:O31"/>
    <mergeCell ref="A4:O4"/>
    <mergeCell ref="A21:O2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/>
  </sheetPr>
  <dimension ref="A1:O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</cols>
  <sheetData>
    <row r="1" ht="22" customHeight="1">
      <c r="A1" s="1" t="inlineStr">
        <is>
          <t>⚠  Protocol Headroom  [WORK IN PROGRESS — thresholds not confirmed]</t>
        </is>
      </c>
    </row>
    <row r="2" ht="13" customHeight="1">
      <c r="A2" s="2" t="inlineStr">
        <is>
          <t>Verify all thresholds against BSSE v1.2 and PDD before use.</t>
        </is>
      </c>
    </row>
    <row r="3" ht="18" customHeight="1">
      <c r="A3" s="7" t="inlineStr">
        <is>
          <t>Parameter</t>
        </is>
      </c>
      <c r="B3" s="9" t="inlineStr">
        <is>
          <t>Protocol / Source</t>
        </is>
      </c>
      <c r="C3" s="9" t="inlineStr">
        <is>
          <t>Threshold (⚠ unconfirmed)</t>
        </is>
      </c>
      <c r="D3" s="9" t="inlineStr">
        <is>
          <t>Current Value</t>
        </is>
      </c>
      <c r="E3" s="9" t="inlineStr">
        <is>
          <t>Prior Period</t>
        </is>
      </c>
      <c r="F3" s="9" t="inlineStr">
        <is>
          <t>Trend</t>
        </is>
      </c>
      <c r="G3" s="9" t="inlineStr">
        <is>
          <t>Headroom</t>
        </is>
      </c>
      <c r="H3" s="9" t="inlineStr">
        <is>
          <t>Status</t>
        </is>
      </c>
    </row>
    <row r="4" ht="15" customHeight="1">
      <c r="A4" s="36" t="inlineStr">
        <is>
          <t>Bio-oil H:C atomic ratio</t>
        </is>
      </c>
      <c r="B4" s="45" t="inlineStr">
        <is>
          <t>⚠ confirm source</t>
        </is>
      </c>
      <c r="C4" s="45" t="inlineStr">
        <is>
          <t>⚠ confirm threshold</t>
        </is>
      </c>
      <c r="D4" s="37" t="inlineStr">
        <is>
          <t>—</t>
        </is>
      </c>
      <c r="E4" s="37" t="inlineStr">
        <is>
          <t>—</t>
        </is>
      </c>
      <c r="F4" s="37" t="inlineStr">
        <is>
          <t>—</t>
        </is>
      </c>
      <c r="G4" s="37" t="inlineStr">
        <is>
          <t>—</t>
        </is>
      </c>
      <c r="H4" s="37" t="inlineStr">
        <is>
          <t>—</t>
        </is>
      </c>
    </row>
    <row r="5" ht="15" customHeight="1">
      <c r="A5" s="40" t="inlineStr">
        <is>
          <t>Bio-oil carbon content (%)</t>
        </is>
      </c>
      <c r="B5" s="45" t="inlineStr">
        <is>
          <t>⚠ confirm source</t>
        </is>
      </c>
      <c r="C5" s="45" t="inlineStr">
        <is>
          <t>⚠ confirm threshold</t>
        </is>
      </c>
      <c r="D5" s="41" t="inlineStr">
        <is>
          <t>—</t>
        </is>
      </c>
      <c r="E5" s="41" t="inlineStr">
        <is>
          <t>—</t>
        </is>
      </c>
      <c r="F5" s="41" t="inlineStr">
        <is>
          <t>—</t>
        </is>
      </c>
      <c r="G5" s="41" t="inlineStr">
        <is>
          <t>—</t>
        </is>
      </c>
      <c r="H5" s="41" t="inlineStr">
        <is>
          <t>—</t>
        </is>
      </c>
    </row>
    <row r="6" ht="15" customHeight="1">
      <c r="A6" s="36" t="inlineStr">
        <is>
          <t>Bio-oil oxygen content (%)</t>
        </is>
      </c>
      <c r="B6" s="45" t="inlineStr">
        <is>
          <t>⚠ confirm source</t>
        </is>
      </c>
      <c r="C6" s="45" t="inlineStr">
        <is>
          <t>⚠ confirm threshold</t>
        </is>
      </c>
      <c r="D6" s="37" t="inlineStr">
        <is>
          <t>—</t>
        </is>
      </c>
      <c r="E6" s="37" t="inlineStr">
        <is>
          <t>—</t>
        </is>
      </c>
      <c r="F6" s="37" t="inlineStr">
        <is>
          <t>—</t>
        </is>
      </c>
      <c r="G6" s="37" t="inlineStr">
        <is>
          <t>—</t>
        </is>
      </c>
      <c r="H6" s="37" t="inlineStr">
        <is>
          <t>—</t>
        </is>
      </c>
    </row>
    <row r="7" ht="15" customHeight="1">
      <c r="A7" s="40" t="inlineStr">
        <is>
          <t>Biomass moisture at sampling (%)</t>
        </is>
      </c>
      <c r="B7" s="45" t="inlineStr">
        <is>
          <t>⚠ confirm source</t>
        </is>
      </c>
      <c r="C7" s="45" t="inlineStr">
        <is>
          <t>⚠ confirm threshold</t>
        </is>
      </c>
      <c r="D7" s="41" t="inlineStr">
        <is>
          <t>—</t>
        </is>
      </c>
      <c r="E7" s="41" t="inlineStr">
        <is>
          <t>—</t>
        </is>
      </c>
      <c r="F7" s="41" t="inlineStr">
        <is>
          <t>—</t>
        </is>
      </c>
      <c r="G7" s="41" t="inlineStr">
        <is>
          <t>—</t>
        </is>
      </c>
      <c r="H7" s="41" t="inlineStr">
        <is>
          <t>—</t>
        </is>
      </c>
    </row>
    <row r="8" ht="15" customHeight="1">
      <c r="A8" s="36" t="inlineStr">
        <is>
          <t>Mass balance closure (%)</t>
        </is>
      </c>
      <c r="B8" s="45" t="inlineStr">
        <is>
          <t>⚠ confirm source</t>
        </is>
      </c>
      <c r="C8" s="45" t="inlineStr">
        <is>
          <t>⚠ confirm threshold</t>
        </is>
      </c>
      <c r="D8" s="37" t="inlineStr">
        <is>
          <t>—</t>
        </is>
      </c>
      <c r="E8" s="37" t="inlineStr">
        <is>
          <t>—</t>
        </is>
      </c>
      <c r="F8" s="37" t="inlineStr">
        <is>
          <t>—</t>
        </is>
      </c>
      <c r="G8" s="37" t="inlineStr">
        <is>
          <t>—</t>
        </is>
      </c>
      <c r="H8" s="37" t="inlineStr">
        <is>
          <t>—</t>
        </is>
      </c>
    </row>
    <row r="9" ht="15" customHeight="1">
      <c r="A9" s="40" t="inlineStr">
        <is>
          <t>BOL vs. scale mass discrepancy (%)</t>
        </is>
      </c>
      <c r="B9" s="45" t="inlineStr">
        <is>
          <t>⚠ confirm source</t>
        </is>
      </c>
      <c r="C9" s="45" t="inlineStr">
        <is>
          <t>⚠ confirm threshold</t>
        </is>
      </c>
      <c r="D9" s="41" t="inlineStr">
        <is>
          <t>—</t>
        </is>
      </c>
      <c r="E9" s="41" t="inlineStr">
        <is>
          <t>—</t>
        </is>
      </c>
      <c r="F9" s="41" t="inlineStr">
        <is>
          <t>—</t>
        </is>
      </c>
      <c r="G9" s="41" t="inlineStr">
        <is>
          <t>—</t>
        </is>
      </c>
      <c r="H9" s="41" t="inlineStr">
        <is>
          <t>—</t>
        </is>
      </c>
    </row>
    <row r="10" ht="15" customHeight="1">
      <c r="A10" s="36" t="inlineStr">
        <is>
          <t>Net CDR / Gross CDR ratio</t>
        </is>
      </c>
      <c r="B10" s="45" t="inlineStr">
        <is>
          <t>⚠ confirm source</t>
        </is>
      </c>
      <c r="C10" s="45" t="inlineStr">
        <is>
          <t>⚠ confirm threshold</t>
        </is>
      </c>
      <c r="D10" s="37" t="inlineStr">
        <is>
          <t>—</t>
        </is>
      </c>
      <c r="E10" s="37" t="inlineStr">
        <is>
          <t>—</t>
        </is>
      </c>
      <c r="F10" s="37" t="inlineStr">
        <is>
          <t>—</t>
        </is>
      </c>
      <c r="G10" s="37" t="inlineStr">
        <is>
          <t>—</t>
        </is>
      </c>
      <c r="H10" s="37" t="inlineStr">
        <is>
          <t>—</t>
        </is>
      </c>
    </row>
    <row r="11" ht="15" customHeight="1">
      <c r="A11" s="40" t="inlineStr">
        <is>
          <t>Largest single penalty type (% gross CDR)</t>
        </is>
      </c>
      <c r="B11" s="45" t="inlineStr">
        <is>
          <t>⚠ confirm source</t>
        </is>
      </c>
      <c r="C11" s="45" t="inlineStr">
        <is>
          <t>⚠ confirm threshold</t>
        </is>
      </c>
      <c r="D11" s="41" t="inlineStr">
        <is>
          <t>—</t>
        </is>
      </c>
      <c r="E11" s="41" t="inlineStr">
        <is>
          <t>—</t>
        </is>
      </c>
      <c r="F11" s="41" t="inlineStr">
        <is>
          <t>—</t>
        </is>
      </c>
      <c r="G11" s="41" t="inlineStr">
        <is>
          <t>—</t>
        </is>
      </c>
      <c r="H11" s="41" t="inlineStr">
        <is>
          <t>—</t>
        </is>
      </c>
    </row>
    <row r="12" ht="15" customHeight="1">
      <c r="A12" s="36" t="inlineStr">
        <is>
          <t>Biochar H:C atomic ratio</t>
        </is>
      </c>
      <c r="B12" s="45" t="inlineStr">
        <is>
          <t>⚠ confirm source</t>
        </is>
      </c>
      <c r="C12" s="45" t="inlineStr">
        <is>
          <t>⚠ confirm threshold</t>
        </is>
      </c>
      <c r="D12" s="37" t="inlineStr">
        <is>
          <t>—</t>
        </is>
      </c>
      <c r="E12" s="37" t="inlineStr">
        <is>
          <t>—</t>
        </is>
      </c>
      <c r="F12" s="37" t="inlineStr">
        <is>
          <t>—</t>
        </is>
      </c>
      <c r="G12" s="37" t="inlineStr">
        <is>
          <t>—</t>
        </is>
      </c>
      <c r="H12" s="37" t="inlineStr">
        <is>
          <t>—</t>
        </is>
      </c>
    </row>
    <row r="13" ht="15" customHeight="1">
      <c r="A13" s="40" t="inlineStr">
        <is>
          <t>Biochar carbon content (%)</t>
        </is>
      </c>
      <c r="B13" s="45" t="inlineStr">
        <is>
          <t>⚠ confirm source</t>
        </is>
      </c>
      <c r="C13" s="45" t="inlineStr">
        <is>
          <t>⚠ confirm threshold</t>
        </is>
      </c>
      <c r="D13" s="41" t="inlineStr">
        <is>
          <t>—</t>
        </is>
      </c>
      <c r="E13" s="41" t="inlineStr">
        <is>
          <t>—</t>
        </is>
      </c>
      <c r="F13" s="41" t="inlineStr">
        <is>
          <t>—</t>
        </is>
      </c>
      <c r="G13" s="41" t="inlineStr">
        <is>
          <t>—</t>
        </is>
      </c>
      <c r="H13" s="41" t="inlineStr">
        <is>
          <t>—</t>
        </is>
      </c>
    </row>
    <row r="14" ht="15" customHeight="1">
      <c r="A14" s="36" t="inlineStr">
        <is>
          <t>Biochar yield (% dry biomass mass)</t>
        </is>
      </c>
      <c r="B14" s="45" t="inlineStr">
        <is>
          <t>⚠ confirm source</t>
        </is>
      </c>
      <c r="C14" s="45" t="inlineStr">
        <is>
          <t>⚠ confirm threshold</t>
        </is>
      </c>
      <c r="D14" s="37" t="inlineStr">
        <is>
          <t>—</t>
        </is>
      </c>
      <c r="E14" s="37" t="inlineStr">
        <is>
          <t>—</t>
        </is>
      </c>
      <c r="F14" s="37" t="inlineStr">
        <is>
          <t>—</t>
        </is>
      </c>
      <c r="G14" s="37" t="inlineStr">
        <is>
          <t>—</t>
        </is>
      </c>
      <c r="H14" s="37" t="inlineStr">
        <is>
          <t>—</t>
        </is>
      </c>
    </row>
    <row r="16" ht="20" customHeight="1">
      <c r="A16" s="46" t="inlineStr">
        <is>
          <t>⚠  WiP — confirm thresholds against BSSE v1.2 and PDD before operational use.</t>
        </is>
      </c>
    </row>
  </sheetData>
  <mergeCells count="3">
    <mergeCell ref="A1:O1"/>
    <mergeCell ref="A16:H16"/>
    <mergeCell ref="A2: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88888"/>
    <outlinePr summaryBelow="1" summaryRight="1"/>
    <pageSetUpPr/>
  </sheetPr>
  <dimension ref="A1:O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38" customWidth="1" min="3" max="3"/>
    <col width="18" customWidth="1" min="4" max="4"/>
    <col width="26" customWidth="1" min="5" max="5"/>
  </cols>
  <sheetData>
    <row r="1" ht="22" customHeight="1">
      <c r="A1" s="1" t="inlineStr">
        <is>
          <t>Data Sources — Wiring Guide</t>
        </is>
      </c>
    </row>
    <row r="2" ht="13" customHeight="1">
      <c r="A2" s="2" t="inlineStr">
        <is>
          <t>Maps each metric to its primary source for live-feed connection</t>
        </is>
      </c>
    </row>
    <row r="3" ht="18" customHeight="1">
      <c r="A3" s="7" t="inlineStr">
        <is>
          <t>Metric / Tab</t>
        </is>
      </c>
      <c r="B3" s="7" t="inlineStr">
        <is>
          <t>Source System</t>
        </is>
      </c>
      <c r="C3" s="7" t="inlineStr">
        <is>
          <t>Specific Location</t>
        </is>
      </c>
      <c r="D3" s="7" t="inlineStr">
        <is>
          <t>Update Frequency</t>
        </is>
      </c>
      <c r="E3" s="7" t="inlineStr">
        <is>
          <t>Notes</t>
        </is>
      </c>
    </row>
    <row r="4" ht="15" customHeight="1">
      <c r="A4" s="36" t="inlineStr">
        <is>
          <t>Run Rate — net CDR total</t>
        </is>
      </c>
      <c r="B4" s="13" t="inlineStr">
        <is>
          <t>Certify GHG statements</t>
        </is>
      </c>
      <c r="C4" s="36" t="inlineStr">
        <is>
          <t>Statement list → Net CO₂e removed</t>
        </is>
      </c>
      <c r="D4" s="13" t="inlineStr">
        <is>
          <t>Each reporting close</t>
        </is>
      </c>
      <c r="E4" s="13" t="inlineStr">
        <is>
          <t>Credit issuance month attribution</t>
        </is>
      </c>
    </row>
    <row r="5" ht="15" customHeight="1">
      <c r="A5" s="40" t="inlineStr">
        <is>
          <t>Run Rate — source breakdown</t>
        </is>
      </c>
      <c r="B5" s="10" t="inlineStr">
        <is>
          <t>Certify GHG statements</t>
        </is>
      </c>
      <c r="C5" s="40" t="inlineStr">
        <is>
          <t>Individual statement → removal detail by source</t>
        </is>
      </c>
      <c r="D5" s="10" t="inlineStr">
        <is>
          <t>Each reporting close</t>
        </is>
      </c>
      <c r="E5" s="10" t="inlineStr">
        <is>
          <t>AECN/Charm/Kerry split</t>
        </is>
      </c>
    </row>
    <row r="6" ht="15" customHeight="1">
      <c r="A6" s="36" t="inlineStr">
        <is>
          <t>Run Rate — pipeline</t>
        </is>
      </c>
      <c r="B6" s="13" t="inlineStr">
        <is>
          <t>Certify removal data</t>
        </is>
      </c>
      <c r="C6" s="36" t="inlineStr">
        <is>
          <t>Drafts page — removal entries not in a closed statement</t>
        </is>
      </c>
      <c r="D6" s="13" t="inlineStr">
        <is>
          <t>Weekly</t>
        </is>
      </c>
      <c r="E6" s="13" t="inlineStr">
        <is>
          <t>Draft status = not yet submitted</t>
        </is>
      </c>
    </row>
    <row r="7" ht="15" customHeight="1">
      <c r="A7" s="40" t="inlineStr">
        <is>
          <t>Efficiency ratios</t>
        </is>
      </c>
      <c r="B7" s="10" t="inlineStr">
        <is>
          <t>Derived</t>
        </is>
      </c>
      <c r="C7" s="40" t="inlineStr">
        <is>
          <t>From Run Rate volume memo rows</t>
        </is>
      </c>
      <c r="D7" s="10" t="inlineStr">
        <is>
          <t>Derived</t>
        </is>
      </c>
      <c r="E7" s="10" t="inlineStr"/>
    </row>
    <row r="8" ht="15" customHeight="1">
      <c r="A8" s="36" t="inlineStr">
        <is>
          <t>Penalties — Charm production</t>
        </is>
      </c>
      <c r="B8" s="13" t="inlineStr">
        <is>
          <t>Charm PP summary → RP Charm MRV folder</t>
        </is>
      </c>
      <c r="C8" s="36" t="inlineStr">
        <is>
          <t>Consolidated emissions inventory</t>
        </is>
      </c>
      <c r="D8" s="13" t="inlineStr">
        <is>
          <t>Each reporting close</t>
        </is>
      </c>
      <c r="E8" s="13" t="inlineStr">
        <is>
          <t>Use RP Charm MRV folder for final</t>
        </is>
      </c>
    </row>
    <row r="9" ht="15" customHeight="1">
      <c r="A9" s="40" t="inlineStr">
        <is>
          <t>Penalties — Downstream transport</t>
        </is>
      </c>
      <c r="B9" s="10" t="inlineStr">
        <is>
          <t>Certify individual removals</t>
        </is>
      </c>
      <c r="C9" s="40" t="inlineStr">
        <is>
          <t>COBB calc sheet transport rows per batch</t>
        </is>
      </c>
      <c r="D9" s="10" t="inlineStr">
        <is>
          <t>Each reporting close</t>
        </is>
      </c>
      <c r="E9" s="10" t="inlineStr">
        <is>
          <t>Rail + final truck per source</t>
        </is>
      </c>
    </row>
    <row r="10" ht="15" customHeight="1">
      <c r="A10" s="36" t="inlineStr">
        <is>
          <t>Penalties — AECN/Kerry production</t>
        </is>
      </c>
      <c r="B10" s="13" t="inlineStr">
        <is>
          <t>Certify GHG statements</t>
        </is>
      </c>
      <c r="C10" s="36" t="inlineStr">
        <is>
          <t>Individual statement removal detail</t>
        </is>
      </c>
      <c r="D10" s="13" t="inlineStr">
        <is>
          <t>Each reporting close</t>
        </is>
      </c>
      <c r="E10" s="13" t="inlineStr"/>
    </row>
    <row r="11" ht="15" customHeight="1">
      <c r="A11" s="40" t="inlineStr">
        <is>
          <t>Penalties — Well facility</t>
        </is>
      </c>
      <c r="B11" s="10" t="inlineStr">
        <is>
          <t>Certify GHG statements</t>
        </is>
      </c>
      <c r="C11" s="40" t="inlineStr">
        <is>
          <t>Site emissions batch</t>
        </is>
      </c>
      <c r="D11" s="10" t="inlineStr">
        <is>
          <t>Each reporting close</t>
        </is>
      </c>
      <c r="E11" s="10" t="inlineStr">
        <is>
          <t>Methanol well-specific</t>
        </is>
      </c>
    </row>
    <row r="12" ht="15" customHeight="1">
      <c r="A12" s="36" t="inlineStr">
        <is>
          <t>Production — Charm</t>
        </is>
      </c>
      <c r="B12" s="13" t="inlineStr">
        <is>
          <t>PP summary → RP Charm MRV folder</t>
        </is>
      </c>
      <c r="C12" s="36" t="inlineStr">
        <is>
          <t>Output type table (WODO/Biochar/Aqueous)</t>
        </is>
      </c>
      <c r="D12" s="13" t="inlineStr">
        <is>
          <t>Each reporting close</t>
        </is>
      </c>
      <c r="E12" s="13" t="inlineStr">
        <is>
          <t>Use RP folder for final verified values</t>
        </is>
      </c>
    </row>
    <row r="13" ht="15" customHeight="1">
      <c r="A13" s="40" t="inlineStr">
        <is>
          <t>Source Mix — tCDR by source</t>
        </is>
      </c>
      <c r="B13" s="10" t="inlineStr">
        <is>
          <t>Certify GHG statements</t>
        </is>
      </c>
      <c r="C13" s="40" t="inlineStr">
        <is>
          <t>Filter per-statement removals by source</t>
        </is>
      </c>
      <c r="D13" s="10" t="inlineStr">
        <is>
          <t>Each reporting close</t>
        </is>
      </c>
      <c r="E13" s="10" t="inlineStr"/>
    </row>
    <row r="14" ht="15" customHeight="1">
      <c r="A14" s="36" t="inlineStr">
        <is>
          <t>Protocol Headroom — thresholds</t>
        </is>
      </c>
      <c r="B14" s="13" t="inlineStr">
        <is>
          <t>BSSE v1.2 + PDD</t>
        </is>
      </c>
      <c r="C14" s="36" t="inlineStr">
        <is>
          <t>Verify manually from protocol text</t>
        </is>
      </c>
      <c r="D14" s="13" t="inlineStr">
        <is>
          <t>Static / on update</t>
        </is>
      </c>
      <c r="E14" s="13" t="inlineStr">
        <is>
          <t>WiP</t>
        </is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2026-06-05T21:16:14Z</dcterms:created>
  <dcterms:modified xmlns:dcterms="http://purl.org/dc/terms/" xmlns:xsi="http://www.w3.org/2001/XMLSchema-instance" xsi:type="dcterms:W3CDTF">2026-06-08T01:25:32Z</dcterms:modified>
</cp:coreProperties>
</file>