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0.000"/>
    <numFmt numFmtId="166" formatCode="0.0000"/>
    <numFmt numFmtId="167" formatCode="#,##0.0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4"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
  <sheetViews>
    <sheetView workbookViewId="0">
      <selection activeCell="A1" sqref="A1"/>
    </sheetView>
  </sheetViews>
  <sheetFormatPr baseColWidth="8" defaultRowHeight="15"/>
  <cols>
    <col width="38" customWidth="1" min="1" max="1"/>
    <col width="14" customWidth="1" min="2" max="2"/>
    <col width="12" customWidth="1" min="3" max="3"/>
    <col width="30" customWidth="1" min="5" max="5"/>
    <col width="24" customWidth="1" min="6" max="6"/>
    <col width="13" customWidth="1" min="7" max="7"/>
    <col width="15" customWidth="1" min="8" max="8"/>
    <col width="15" customWidth="1" min="9" max="9"/>
    <col width="14" customWidth="1" min="10" max="10"/>
    <col width="20" customWidth="1" min="11" max="11"/>
    <col width="14" customWidth="1" min="12" max="12"/>
    <col width="14" customWidth="1" min="13" max="13"/>
    <col width="13" customWidth="1" min="14" max="14"/>
    <col width="12" customWidth="1" min="16" max="16"/>
    <col width="10" customWidth="1" min="17" max="17"/>
    <col width="16" customWidth="1" min="19" max="19"/>
    <col width="15" customWidth="1" min="21" max="21"/>
    <col width="16" customWidth="1" min="22" max="22"/>
    <col width="14" customWidth="1" min="23" max="23"/>
    <col width="17" customWidth="1" min="24" max="24"/>
    <col width="18" customWidth="1" min="25" max="25"/>
    <col width="20" customWidth="1" min="26" max="26"/>
    <col width="22" customWidth="1" min="27" max="27"/>
    <col width="15" customWidth="1" min="29" max="29"/>
    <col width="15" customWidth="1" min="30" max="30"/>
    <col width="15" customWidth="1" min="31" max="31"/>
    <col width="15" customWidth="1" min="32" max="32"/>
  </cols>
  <sheetData>
    <row r="1">
      <c r="B1" t="inlineStr">
        <is>
          <t>Kg</t>
        </is>
      </c>
      <c r="C1" t="inlineStr">
        <is>
          <t>MT</t>
        </is>
      </c>
      <c r="G1" t="inlineStr">
        <is>
          <t>Removal Date</t>
        </is>
      </c>
      <c r="H1" t="inlineStr">
        <is>
          <t>Biochar Applied (dry mass)</t>
        </is>
      </c>
      <c r="I1" t="inlineStr">
        <is>
          <t>Gross CO2e Sequestered</t>
        </is>
      </c>
      <c r="J1" t="inlineStr">
        <is>
          <t>Process Emissions</t>
        </is>
      </c>
      <c r="K1" t="inlineStr">
        <is>
          <t>Site + Amortized Embodied Emissions</t>
        </is>
      </c>
      <c r="L1" t="inlineStr">
        <is>
          <t>Emissions Reductions</t>
        </is>
      </c>
      <c r="M1" t="inlineStr">
        <is>
          <t>Uncertainty Discount</t>
        </is>
      </c>
      <c r="N1" t="inlineStr">
        <is>
          <t>Net Removal</t>
        </is>
      </c>
      <c r="S1" t="inlineStr">
        <is>
          <t>C % x 200-yr durable fraction</t>
        </is>
      </c>
      <c r="U1" t="inlineStr">
        <is>
          <t>Production Emissions</t>
        </is>
      </c>
      <c r="V1" t="inlineStr">
        <is>
          <t>Over-Allocated Emissions</t>
        </is>
      </c>
      <c r="W1" t="inlineStr">
        <is>
          <t>Spreading Emissions</t>
        </is>
      </c>
      <c r="X1" t="inlineStr">
        <is>
          <t>Transport Process Emissions</t>
        </is>
      </c>
      <c r="Y1" t="inlineStr">
        <is>
          <t>Transport Embodied Emissions</t>
        </is>
      </c>
      <c r="Z1" t="inlineStr">
        <is>
          <t>Supplemental Compost Transport Process</t>
        </is>
      </c>
      <c r="AA1" t="inlineStr">
        <is>
          <t>Supplemental Compost Transport Embodied</t>
        </is>
      </c>
      <c r="AC1" t="inlineStr">
        <is>
          <t>Gross CO2e per Certify</t>
        </is>
      </c>
      <c r="AD1" t="inlineStr">
        <is>
          <t>Net Removal per Certify</t>
        </is>
      </c>
      <c r="AE1" t="inlineStr">
        <is>
          <t>Check: Gross - Certify</t>
        </is>
      </c>
      <c r="AF1" t="inlineStr">
        <is>
          <t>Check: Net - Certify</t>
        </is>
      </c>
    </row>
    <row r="2">
      <c r="A2" t="inlineStr">
        <is>
          <t>Gross Biochar Sequestered</t>
        </is>
      </c>
      <c r="B2" s="1">
        <f>SUM(H2:H999)</f>
        <v/>
      </c>
      <c r="C2" s="1">
        <f>B2/1000</f>
        <v/>
      </c>
      <c r="F2" t="inlineStr">
        <is>
          <t>rmv_1KY02PYB11S0N221</t>
        </is>
      </c>
      <c r="G2" s="2" t="n">
        <v>46042</v>
      </c>
      <c r="H2" s="3" t="n">
        <v>763.3692</v>
      </c>
      <c r="I2" s="3">
        <f>H2*S2*$Q$5/$Q$6</f>
        <v/>
      </c>
      <c r="J2" s="3">
        <f>U2+V2+W2+X2+Y2+Z2+AA2</f>
        <v/>
      </c>
      <c r="K2" s="3" t="n">
        <v>0</v>
      </c>
      <c r="L2" s="3" t="n">
        <v>0.065967528</v>
      </c>
      <c r="M2" s="3" t="n">
        <v>0</v>
      </c>
      <c r="N2" s="3">
        <f>I2-J2-K2+L2-M2</f>
        <v/>
      </c>
      <c r="P2" t="inlineStr">
        <is>
          <t>Conversions</t>
        </is>
      </c>
      <c r="S2" s="4" t="n">
        <v>0.7811806061286852</v>
      </c>
      <c r="U2" s="3" t="n">
        <v>0.97085119205</v>
      </c>
      <c r="V2" s="3" t="n">
        <v>0</v>
      </c>
      <c r="W2" s="3" t="n">
        <v>0.00952708</v>
      </c>
      <c r="X2" s="3" t="n">
        <v>0.06598883994393599</v>
      </c>
      <c r="Y2" s="3" t="n">
        <v>0.00227678577</v>
      </c>
      <c r="Z2" s="3" t="n">
        <v>0</v>
      </c>
      <c r="AA2" s="3" t="n">
        <v>0</v>
      </c>
      <c r="AC2" s="3" t="n">
        <v>2.186739229043341</v>
      </c>
      <c r="AD2" s="3" t="n">
        <v>1.204062859279404</v>
      </c>
      <c r="AE2" s="3">
        <f>I2-AC2</f>
        <v/>
      </c>
      <c r="AF2" s="3">
        <f>N2-AD2</f>
        <v/>
      </c>
    </row>
    <row r="3">
      <c r="F3" t="inlineStr">
        <is>
          <t>rmv_1KYA6ANEE1S0PW7F</t>
        </is>
      </c>
      <c r="G3" s="2" t="n">
        <v>46042</v>
      </c>
      <c r="H3" s="3" t="n">
        <v>2487.1264</v>
      </c>
      <c r="I3" s="3">
        <f>H3*S3*$Q$5/$Q$6</f>
        <v/>
      </c>
      <c r="J3" s="3">
        <f>U3+V3+W3+X3+Y3+Z3+AA3</f>
        <v/>
      </c>
      <c r="K3" s="3" t="n">
        <v>0</v>
      </c>
      <c r="L3" s="3" t="n">
        <v>0.124605331</v>
      </c>
      <c r="M3" s="3" t="n">
        <v>0</v>
      </c>
      <c r="N3" s="3">
        <f>I3-J3-K3+L3-M3</f>
        <v/>
      </c>
      <c r="S3" s="4" t="n">
        <v>0.7312481824440942</v>
      </c>
      <c r="U3" s="3" t="n">
        <v>1.51702533</v>
      </c>
      <c r="V3" s="3" t="n">
        <v>5</v>
      </c>
      <c r="W3" s="3" t="n">
        <v>0.0179956</v>
      </c>
      <c r="X3" s="3" t="n">
        <v>0.124645586560768</v>
      </c>
      <c r="Y3" s="3" t="n">
        <v>0.00430059267</v>
      </c>
      <c r="Z3" s="3" t="n">
        <v>0</v>
      </c>
      <c r="AA3" s="3" t="n">
        <v>0</v>
      </c>
      <c r="AC3" s="3" t="n">
        <v>6.669197320418488</v>
      </c>
      <c r="AD3" s="3" t="n">
        <v>0.1298355421877198</v>
      </c>
      <c r="AE3" s="3">
        <f>I3-AC3</f>
        <v/>
      </c>
      <c r="AF3" s="3">
        <f>N3-AD3</f>
        <v/>
      </c>
    </row>
    <row r="4">
      <c r="B4" t="inlineStr">
        <is>
          <t>Kg CO2e</t>
        </is>
      </c>
      <c r="C4" t="inlineStr">
        <is>
          <t>MT CO2e</t>
        </is>
      </c>
      <c r="F4" t="inlineStr">
        <is>
          <t>rmv_1KY02PC6H1S0D393</t>
        </is>
      </c>
      <c r="G4" s="2" t="n">
        <v>46042</v>
      </c>
      <c r="H4" s="3" t="n">
        <v>4770.5267</v>
      </c>
      <c r="I4" s="3">
        <f>H4*S4*$Q$5/$Q$6</f>
        <v/>
      </c>
      <c r="J4" s="3">
        <f>U4+V4+W4+X4+Y4+Z4+AA4</f>
        <v/>
      </c>
      <c r="K4" s="3" t="n">
        <v>0</v>
      </c>
      <c r="L4" s="3" t="n">
        <v>0.175913409</v>
      </c>
      <c r="M4" s="3" t="n">
        <v>0</v>
      </c>
      <c r="N4" s="3">
        <f>I4-J4-K4+L4-M4</f>
        <v/>
      </c>
      <c r="S4" s="4" t="n">
        <v>0.776082502640199</v>
      </c>
      <c r="U4" s="3" t="n">
        <v>6.66635971686</v>
      </c>
      <c r="V4" s="3" t="n">
        <v>6.135</v>
      </c>
      <c r="W4" s="3" t="n">
        <v>0.02540556</v>
      </c>
      <c r="X4" s="3" t="n">
        <v>0.175970239850496</v>
      </c>
      <c r="Y4" s="3" t="n">
        <v>0.00607142471</v>
      </c>
      <c r="Z4" s="3" t="n">
        <v>0</v>
      </c>
      <c r="AA4" s="3" t="n">
        <v>0</v>
      </c>
      <c r="AC4" s="3" t="n">
        <v>13.57641587500901</v>
      </c>
      <c r="AD4" s="3" t="n">
        <v>0.7435223425885136</v>
      </c>
      <c r="AE4" s="3">
        <f>I4-AC4</f>
        <v/>
      </c>
      <c r="AF4" s="3">
        <f>N4-AD4</f>
        <v/>
      </c>
    </row>
    <row r="5">
      <c r="A5" t="inlineStr">
        <is>
          <t>Gross CO2e Sequestered</t>
        </is>
      </c>
      <c r="B5" s="1">
        <f>C5*1000</f>
        <v/>
      </c>
      <c r="C5" s="1">
        <f>SUM(I2:I999)</f>
        <v/>
      </c>
      <c r="F5" t="inlineStr">
        <is>
          <t>rmv_1KY5G7F3N1S0MPZX</t>
        </is>
      </c>
      <c r="G5" s="2" t="n">
        <v>46092</v>
      </c>
      <c r="H5" s="3" t="n">
        <v>3805.9858</v>
      </c>
      <c r="I5" s="3">
        <f>H5*S5*$Q$5/$Q$6</f>
        <v/>
      </c>
      <c r="J5" s="3">
        <f>U5+V5+W5+X5+Y5+Z5+AA5</f>
        <v/>
      </c>
      <c r="K5" s="3" t="n">
        <v>0</v>
      </c>
      <c r="L5" s="3" t="n">
        <v>0.181720205</v>
      </c>
      <c r="M5" s="3" t="n">
        <v>0</v>
      </c>
      <c r="N5" s="3">
        <f>I5-J5-K5+L5-M5</f>
        <v/>
      </c>
      <c r="P5" t="inlineStr">
        <is>
          <t>C --&gt; CO2e</t>
        </is>
      </c>
      <c r="Q5" t="n">
        <v>3.667</v>
      </c>
      <c r="S5" s="4" t="n">
        <v>0.6954583678961076</v>
      </c>
      <c r="U5" s="3" t="n">
        <v>5.522730399999999</v>
      </c>
      <c r="V5" s="3" t="n">
        <v>0</v>
      </c>
      <c r="W5" s="3" t="n">
        <v>0.0252054</v>
      </c>
      <c r="X5" s="3" t="n">
        <v>0.1817197536</v>
      </c>
      <c r="Y5" s="3" t="n">
        <v>0.0271084704475</v>
      </c>
      <c r="Z5" s="3" t="n">
        <v>0</v>
      </c>
      <c r="AA5" s="3" t="n">
        <v>0</v>
      </c>
      <c r="AC5" s="3" t="n">
        <v>9.706199434804692</v>
      </c>
      <c r="AD5" s="3" t="n">
        <v>4.131155615757192</v>
      </c>
      <c r="AE5" s="3">
        <f>I5-AC5</f>
        <v/>
      </c>
      <c r="AF5" s="3">
        <f>N5-AD5</f>
        <v/>
      </c>
    </row>
    <row r="6">
      <c r="F6" t="inlineStr">
        <is>
          <t>rmv_1KY57M9F81S03MK6</t>
        </is>
      </c>
      <c r="G6" s="2" t="n">
        <v>46092</v>
      </c>
      <c r="H6" s="3" t="n">
        <v>572.33334</v>
      </c>
      <c r="I6" s="3">
        <f>H6*S6*$Q$5/$Q$6</f>
        <v/>
      </c>
      <c r="J6" s="3">
        <f>U6+V6+W6+X6+Y6+Z6+AA6</f>
        <v/>
      </c>
      <c r="K6" s="3" t="n">
        <v>0</v>
      </c>
      <c r="L6" s="3" t="n">
        <v>0.027533364</v>
      </c>
      <c r="M6" s="3" t="n">
        <v>0</v>
      </c>
      <c r="N6" s="3">
        <f>I6-J6-K6+L6-M6</f>
        <v/>
      </c>
      <c r="P6" t="inlineStr">
        <is>
          <t>Kg per MT</t>
        </is>
      </c>
      <c r="Q6" t="n">
        <v>1000</v>
      </c>
      <c r="S6" s="4" t="n">
        <v>0.776082502640199</v>
      </c>
      <c r="U6" s="3" t="n">
        <v>0.7997817082499999</v>
      </c>
      <c r="V6" s="3" t="n">
        <v>0</v>
      </c>
      <c r="W6" s="3" t="n">
        <v>0.003819</v>
      </c>
      <c r="X6" s="3" t="n">
        <v>0.027533296</v>
      </c>
      <c r="Y6" s="3" t="n">
        <v>0.004107459083</v>
      </c>
      <c r="Z6" s="3" t="n">
        <v>0</v>
      </c>
      <c r="AA6" s="3" t="n">
        <v>0</v>
      </c>
      <c r="AC6" s="3" t="n">
        <v>1.628800325752905</v>
      </c>
      <c r="AD6" s="3" t="n">
        <v>0.8210922264199049</v>
      </c>
      <c r="AE6" s="3">
        <f>I6-AC6</f>
        <v/>
      </c>
      <c r="AF6" s="3">
        <f>N6-AD6</f>
        <v/>
      </c>
    </row>
    <row r="7">
      <c r="A7" t="inlineStr">
        <is>
          <t>Project Emissions</t>
        </is>
      </c>
      <c r="B7" t="inlineStr">
        <is>
          <t>Kg CO2e</t>
        </is>
      </c>
      <c r="C7" t="inlineStr">
        <is>
          <t>MT CO2e</t>
        </is>
      </c>
      <c r="F7" t="inlineStr">
        <is>
          <t>rmv_1KY57NCC21S0TVWC</t>
        </is>
      </c>
      <c r="G7" s="2" t="n">
        <v>46092</v>
      </c>
      <c r="H7" s="3" t="n">
        <v>115.95164</v>
      </c>
      <c r="I7" s="3">
        <f>H7*S7*$Q$5/$Q$6</f>
        <v/>
      </c>
      <c r="J7" s="3">
        <f>U7+V7+W7+X7+Y7+Z7+AA7</f>
        <v/>
      </c>
      <c r="K7" s="3" t="n">
        <v>0</v>
      </c>
      <c r="L7" s="3" t="n">
        <v>0.005506673</v>
      </c>
      <c r="M7" s="3" t="n">
        <v>0</v>
      </c>
      <c r="N7" s="3">
        <f>I7-J7-K7+L7-M7</f>
        <v/>
      </c>
      <c r="S7" s="4" t="n">
        <v>0.7312481824440942</v>
      </c>
      <c r="U7" s="3" t="n">
        <v>0</v>
      </c>
      <c r="V7" s="3" t="n">
        <v>0</v>
      </c>
      <c r="W7" s="3" t="n">
        <v>0.0007637999999999999</v>
      </c>
      <c r="X7" s="3" t="n">
        <v>0.0055066592</v>
      </c>
      <c r="Y7" s="3" t="n">
        <v>0.0008199847954999999</v>
      </c>
      <c r="Z7" s="3" t="n">
        <v>0</v>
      </c>
      <c r="AA7" s="3" t="n">
        <v>0</v>
      </c>
      <c r="AC7" s="3" t="n">
        <v>0.3109228251471775</v>
      </c>
      <c r="AD7" s="3" t="n">
        <v>0.3093390541516775</v>
      </c>
      <c r="AE7" s="3">
        <f>I7-AC7</f>
        <v/>
      </c>
      <c r="AF7" s="3">
        <f>N7-AD7</f>
        <v/>
      </c>
    </row>
    <row r="8">
      <c r="A8" t="inlineStr">
        <is>
          <t>Process Emissions</t>
        </is>
      </c>
      <c r="B8" s="1">
        <f>C8*1000</f>
        <v/>
      </c>
      <c r="C8" s="1">
        <f>SUM(J2:J999)</f>
        <v/>
      </c>
      <c r="F8" t="inlineStr">
        <is>
          <t>rmv_1KY57MT101S0BKC4</t>
        </is>
      </c>
      <c r="G8" s="2" t="n">
        <v>46092</v>
      </c>
      <c r="H8" s="3" t="n">
        <v>804.73162</v>
      </c>
      <c r="I8" s="3">
        <f>H8*S8*$Q$5/$Q$6</f>
        <v/>
      </c>
      <c r="J8" s="3">
        <f>U8+V8+W8+X8+Y8+Z8+AA8</f>
        <v/>
      </c>
      <c r="K8" s="3" t="n">
        <v>0</v>
      </c>
      <c r="L8" s="3" t="n">
        <v>0.03854671</v>
      </c>
      <c r="M8" s="3" t="n">
        <v>0</v>
      </c>
      <c r="N8" s="3">
        <f>I8-J8-K8+L8-M8</f>
        <v/>
      </c>
      <c r="S8" s="4" t="n">
        <v>0.7811806061286852</v>
      </c>
      <c r="U8" s="3" t="n">
        <v>1.023455766375</v>
      </c>
      <c r="V8" s="3" t="n">
        <v>0</v>
      </c>
      <c r="W8" s="3" t="n">
        <v>0.005346600000000001</v>
      </c>
      <c r="X8" s="3" t="n">
        <v>0.03854661440000001</v>
      </c>
      <c r="Y8" s="3" t="n">
        <v>0.0057512022165</v>
      </c>
      <c r="Z8" s="3" t="n">
        <v>0</v>
      </c>
      <c r="AA8" s="3" t="n">
        <v>0</v>
      </c>
      <c r="AC8" s="3" t="n">
        <v>2.305225574080796</v>
      </c>
      <c r="AD8" s="3" t="n">
        <v>1.270672101089297</v>
      </c>
      <c r="AE8" s="3">
        <f>I8-AC8</f>
        <v/>
      </c>
      <c r="AF8" s="3">
        <f>N8-AD8</f>
        <v/>
      </c>
    </row>
    <row r="9">
      <c r="A9" t="inlineStr">
        <is>
          <t>Site+Amortized Embodied Emissions</t>
        </is>
      </c>
      <c r="B9" s="1">
        <f>C9*1000</f>
        <v/>
      </c>
      <c r="C9" s="1">
        <f>SUM(K2:K999)</f>
        <v/>
      </c>
      <c r="F9" t="inlineStr">
        <is>
          <t>rmv_1KYA74ZX41S0H0D1</t>
        </is>
      </c>
      <c r="G9" s="2" t="n">
        <v>46101</v>
      </c>
      <c r="H9" s="3" t="n">
        <v>451.9126661</v>
      </c>
      <c r="I9" s="3">
        <f>H9*S9*$Q$5/$Q$6</f>
        <v/>
      </c>
      <c r="J9" s="3">
        <f>U9+V9+W9+X9+Y9+Z9+AA9</f>
        <v/>
      </c>
      <c r="K9" s="3" t="n">
        <v>0</v>
      </c>
      <c r="L9" s="3" t="n">
        <v>0.017338585</v>
      </c>
      <c r="M9" s="3" t="n">
        <v>0</v>
      </c>
      <c r="N9" s="3">
        <f>I9-J9-K9+L9-M9</f>
        <v/>
      </c>
      <c r="S9" s="4" t="n">
        <v>0.8244689128329855</v>
      </c>
      <c r="U9" s="3" t="n">
        <v>0</v>
      </c>
      <c r="V9" s="3" t="n">
        <v>0</v>
      </c>
      <c r="W9" s="3" t="n">
        <v>0.00246032</v>
      </c>
      <c r="X9" s="3" t="n">
        <v>0.01733854186346016</v>
      </c>
      <c r="Y9" s="3" t="n">
        <v>0.0021576397245</v>
      </c>
      <c r="Z9" s="3" t="n">
        <v>0</v>
      </c>
      <c r="AA9" s="3" t="n">
        <v>0</v>
      </c>
      <c r="AC9" s="3" t="n">
        <v>1.366279992536223</v>
      </c>
      <c r="AD9" s="3" t="n">
        <v>1.361662075948262</v>
      </c>
      <c r="AE9" s="3">
        <f>I9-AC9</f>
        <v/>
      </c>
      <c r="AF9" s="3">
        <f>N9-AD9</f>
        <v/>
      </c>
    </row>
    <row r="10">
      <c r="A10" t="inlineStr">
        <is>
          <t>Uncertainty Discounts</t>
        </is>
      </c>
      <c r="B10" s="1">
        <f>C10*1000</f>
        <v/>
      </c>
      <c r="C10" s="1">
        <f>SUM(M2:M999)</f>
        <v/>
      </c>
      <c r="F10" t="inlineStr">
        <is>
          <t>rmv_1KYA75EW41S07JMK</t>
        </is>
      </c>
      <c r="G10" s="2" t="n">
        <v>46101</v>
      </c>
      <c r="H10" s="3" t="n">
        <v>3154.1586</v>
      </c>
      <c r="I10" s="3">
        <f>H10*S10*$Q$5/$Q$6</f>
        <v/>
      </c>
      <c r="J10" s="3">
        <f>U10+V10+W10+X10+Y10+Z10+AA10</f>
        <v/>
      </c>
      <c r="K10" s="3" t="n">
        <v>0</v>
      </c>
      <c r="L10" s="3" t="n">
        <v>0.467</v>
      </c>
      <c r="M10" s="3" t="n">
        <v>0</v>
      </c>
      <c r="N10" s="3">
        <f>I10-J10-K10+L10-M10</f>
        <v/>
      </c>
      <c r="S10" s="4" t="n">
        <v>0.7811806061286852</v>
      </c>
      <c r="U10" s="3" t="n">
        <v>4.011451366649999</v>
      </c>
      <c r="V10" s="3" t="n">
        <v>0</v>
      </c>
      <c r="W10" s="3" t="n">
        <v>0.03936483999999999</v>
      </c>
      <c r="X10" s="3" t="n">
        <v>0.277416669804512</v>
      </c>
      <c r="Y10" s="3" t="n">
        <v>0.03454874622550001</v>
      </c>
      <c r="Z10" s="3" t="n">
        <v>0.19020666304</v>
      </c>
      <c r="AA10" s="3" t="n">
        <v>0.0231349637376</v>
      </c>
      <c r="AC10" s="3" t="n">
        <v>9.035368921413676</v>
      </c>
      <c r="AD10" s="3" t="n">
        <v>4.926245671956064</v>
      </c>
      <c r="AE10" s="3">
        <f>I10-AC10</f>
        <v/>
      </c>
      <c r="AF10" s="3">
        <f>N10-AD10</f>
        <v/>
      </c>
    </row>
    <row r="11">
      <c r="A11" t="inlineStr">
        <is>
          <t>Emissions Reductions</t>
        </is>
      </c>
      <c r="B11" s="1">
        <f>C11*1000</f>
        <v/>
      </c>
      <c r="C11" s="1">
        <f>SUM(L2:L999)</f>
        <v/>
      </c>
      <c r="F11" t="inlineStr">
        <is>
          <t>rmv_1KY38KE1C1S03T2H</t>
        </is>
      </c>
      <c r="G11" s="2" t="n">
        <v>46101</v>
      </c>
      <c r="H11" s="3" t="n">
        <v>230.9918</v>
      </c>
      <c r="I11" s="3">
        <f>H11*S11*$Q$5/$Q$6</f>
        <v/>
      </c>
      <c r="J11" s="3">
        <f>U11+V11+W11+X11+Y11+Z11+AA11</f>
        <v/>
      </c>
      <c r="K11" s="3" t="n">
        <v>0</v>
      </c>
      <c r="L11" s="3" t="n">
        <v>0.0086693477</v>
      </c>
      <c r="M11" s="3" t="n">
        <v>0</v>
      </c>
      <c r="N11" s="3">
        <f>I11-J11-K11+L11-M11</f>
        <v/>
      </c>
      <c r="S11" s="4" t="n">
        <v>0.776082502640199</v>
      </c>
      <c r="U11" s="3" t="n">
        <v>0.32278910608</v>
      </c>
      <c r="V11" s="3" t="n">
        <v>0</v>
      </c>
      <c r="W11" s="3" t="n">
        <v>0.00123016</v>
      </c>
      <c r="X11" s="3" t="n">
        <v>0.008669326176000001</v>
      </c>
      <c r="Y11" s="3" t="n">
        <v>0.0010807066335</v>
      </c>
      <c r="Z11" s="3" t="n">
        <v>0</v>
      </c>
      <c r="AA11" s="3" t="n">
        <v>0</v>
      </c>
      <c r="AC11" s="3" t="n">
        <v>0.6573783017537469</v>
      </c>
      <c r="AD11" s="3" t="n">
        <v>0.3322783505642469</v>
      </c>
      <c r="AE11" s="3">
        <f>I11-AC11</f>
        <v/>
      </c>
      <c r="AF11" s="3">
        <f>N11-AD11</f>
        <v/>
      </c>
    </row>
    <row r="12">
      <c r="F12" t="inlineStr">
        <is>
          <t>rmv_1KWCSDFQF1S0CSCB</t>
        </is>
      </c>
      <c r="G12" s="2" t="n">
        <v>46172</v>
      </c>
      <c r="H12" s="3" t="n">
        <v>126.04853</v>
      </c>
      <c r="I12" s="3">
        <f>H12*S12*$Q$5/$Q$6</f>
        <v/>
      </c>
      <c r="J12" s="3">
        <f>U12+V12+W12+X12+Y12+Z12+AA12</f>
        <v/>
      </c>
      <c r="K12" s="3" t="n">
        <v>0</v>
      </c>
      <c r="L12" s="3" t="n">
        <v>0.004990000000000001</v>
      </c>
      <c r="M12" s="3" t="n">
        <v>0</v>
      </c>
      <c r="N12" s="3">
        <f>I12-J12-K12+L12-M12</f>
        <v/>
      </c>
      <c r="S12" s="4" t="n">
        <v>0.7230502519500414</v>
      </c>
      <c r="U12" s="3" t="n">
        <v>0.12374874</v>
      </c>
      <c r="V12" s="3" t="n">
        <v>0</v>
      </c>
      <c r="W12" s="3" t="n">
        <v>0.0007846799999999999</v>
      </c>
      <c r="X12" s="3" t="n">
        <v>0.004985453068187088</v>
      </c>
      <c r="Y12" s="3" t="n">
        <v>0.0007943001756661511</v>
      </c>
      <c r="Z12" s="3" t="n">
        <v>0</v>
      </c>
      <c r="AA12" s="3" t="n">
        <v>0</v>
      </c>
      <c r="AC12" s="3" t="n">
        <v>0.3342082581800434</v>
      </c>
      <c r="AD12" s="3" t="n">
        <v>0.2088850849361902</v>
      </c>
      <c r="AE12" s="3">
        <f>I12-AC12</f>
        <v/>
      </c>
      <c r="AF12" s="3">
        <f>N12-AD12</f>
        <v/>
      </c>
    </row>
    <row r="13">
      <c r="A13" t="inlineStr">
        <is>
          <t>Total Emissions for Reporting Period (kg)</t>
        </is>
      </c>
      <c r="B13" s="1">
        <f>B14*1000</f>
        <v/>
      </c>
      <c r="F13" t="inlineStr">
        <is>
          <t>rmv_1KWCZP1M61S02KMH</t>
        </is>
      </c>
      <c r="G13" s="2" t="n">
        <v>46172</v>
      </c>
      <c r="H13" s="3" t="n">
        <v>260.53078</v>
      </c>
      <c r="I13" s="3">
        <f>H13*S13*$Q$5/$Q$6</f>
        <v/>
      </c>
      <c r="J13" s="3">
        <f>U13+V13+W13+X13+Y13+Z13+AA13</f>
        <v/>
      </c>
      <c r="K13" s="3" t="n">
        <v>0</v>
      </c>
      <c r="L13" s="3" t="n">
        <v>0.009970000000000001</v>
      </c>
      <c r="M13" s="3" t="n">
        <v>0</v>
      </c>
      <c r="N13" s="3">
        <f>I13-J13-K13+L13-M13</f>
        <v/>
      </c>
      <c r="S13" s="4" t="n">
        <v>0.7031578477139062</v>
      </c>
      <c r="U13" s="3" t="n">
        <v>0.380240784</v>
      </c>
      <c r="V13" s="3" t="n">
        <v>0</v>
      </c>
      <c r="W13" s="3" t="n">
        <v>0.00156936</v>
      </c>
      <c r="X13" s="3" t="n">
        <v>0.009970906136374176</v>
      </c>
      <c r="Y13" s="3" t="n">
        <v>0.001588600351332302</v>
      </c>
      <c r="Z13" s="3" t="n">
        <v>0</v>
      </c>
      <c r="AA13" s="3" t="n">
        <v>0</v>
      </c>
      <c r="AC13" s="3" t="n">
        <v>0.6717733606902684</v>
      </c>
      <c r="AD13" s="3" t="n">
        <v>0.2883737102025619</v>
      </c>
      <c r="AE13" s="3">
        <f>I13-AC13</f>
        <v/>
      </c>
      <c r="AF13" s="3">
        <f>N13-AD13</f>
        <v/>
      </c>
    </row>
    <row r="14">
      <c r="A14" t="inlineStr">
        <is>
          <t>Total Emissions for Reporting Period (MT)</t>
        </is>
      </c>
      <c r="B14" s="1">
        <f>SUM(C8:C10)</f>
        <v/>
      </c>
      <c r="F14" t="inlineStr">
        <is>
          <t>rmv_1KXEBV2PW1S0A79A</t>
        </is>
      </c>
      <c r="G14" s="2" t="n">
        <v>46172</v>
      </c>
      <c r="H14" s="3" t="n">
        <v>1777.204</v>
      </c>
      <c r="I14" s="3">
        <f>H14*S14*$Q$5/$Q$6</f>
        <v/>
      </c>
      <c r="J14" s="3">
        <f>U14+V14+W14+X14+Y14+Z14+AA14</f>
        <v/>
      </c>
      <c r="K14" s="3" t="n">
        <v>0</v>
      </c>
      <c r="L14" s="3" t="n">
        <v>0.06987</v>
      </c>
      <c r="M14" s="3" t="n">
        <v>0</v>
      </c>
      <c r="N14" s="3">
        <f>I14-J14-K14+L14-M14</f>
        <v/>
      </c>
      <c r="S14" s="4" t="n">
        <v>0.712661924118442</v>
      </c>
      <c r="U14" s="3" t="n">
        <v>2.132937411</v>
      </c>
      <c r="V14" s="3" t="n">
        <v>0</v>
      </c>
      <c r="W14" s="3" t="n">
        <v>0.01099764</v>
      </c>
      <c r="X14" s="3" t="n">
        <v>0.06986889085009808</v>
      </c>
      <c r="Y14" s="3" t="n">
        <v>0.01111651973216024</v>
      </c>
      <c r="Z14" s="3" t="n">
        <v>0</v>
      </c>
      <c r="AA14" s="3" t="n">
        <v>0</v>
      </c>
      <c r="AC14" s="3" t="n">
        <v>4.644422796574366</v>
      </c>
      <c r="AD14" s="3" t="n">
        <v>2.489372334992107</v>
      </c>
      <c r="AE14" s="3">
        <f>I14-AC14</f>
        <v/>
      </c>
      <c r="AF14" s="3">
        <f>N14-AD14</f>
        <v/>
      </c>
    </row>
    <row r="15">
      <c r="F15" t="inlineStr">
        <is>
          <t>rmv_1KXEA1TH21S04EG0</t>
        </is>
      </c>
      <c r="G15" s="2" t="n">
        <v>46172</v>
      </c>
      <c r="H15" s="3" t="n">
        <v>2987.06581</v>
      </c>
      <c r="I15" s="3">
        <f>H15*S15*$Q$5/$Q$6</f>
        <v/>
      </c>
      <c r="J15" s="3">
        <f>U15+V15+W15+X15+Y15+Z15+AA15</f>
        <v/>
      </c>
      <c r="K15" s="3" t="n">
        <v>0</v>
      </c>
      <c r="L15" s="3" t="n">
        <v>0.11478</v>
      </c>
      <c r="M15" s="3" t="n">
        <v>0</v>
      </c>
      <c r="N15" s="3">
        <f>I15-J15-K15+L15-M15</f>
        <v/>
      </c>
      <c r="S15" s="4" t="n">
        <v>0.7201625546614427</v>
      </c>
      <c r="U15" s="3" t="n">
        <v>3.784077162</v>
      </c>
      <c r="V15" s="3" t="n">
        <v>0</v>
      </c>
      <c r="W15" s="3" t="n">
        <v>0.01806756</v>
      </c>
      <c r="X15" s="3" t="n">
        <v>0.1147846577034465</v>
      </c>
      <c r="Y15" s="3" t="n">
        <v>0.01826404546330135</v>
      </c>
      <c r="Z15" s="3" t="n">
        <v>0</v>
      </c>
      <c r="AA15" s="3" t="n">
        <v>0</v>
      </c>
      <c r="AC15" s="3" t="n">
        <v>7.888351188110213</v>
      </c>
      <c r="AD15" s="3" t="n">
        <v>4.067937762943465</v>
      </c>
      <c r="AE15" s="3">
        <f>I15-AC15</f>
        <v/>
      </c>
      <c r="AF15" s="3">
        <f>N15-AD15</f>
        <v/>
      </c>
    </row>
    <row r="16">
      <c r="A16" t="inlineStr">
        <is>
          <t>Net Removals for Reporting Period (kg)</t>
        </is>
      </c>
      <c r="B16" s="1">
        <f>B17*1000</f>
        <v/>
      </c>
      <c r="F16" t="inlineStr">
        <is>
          <t>rmv_1KXE4AHAG1S0AK0A</t>
        </is>
      </c>
      <c r="G16" s="2" t="n">
        <v>46172</v>
      </c>
      <c r="H16" s="3" t="n">
        <v>126.23721</v>
      </c>
      <c r="I16" s="3">
        <f>H16*S16*$Q$5/$Q$6</f>
        <v/>
      </c>
      <c r="J16" s="3">
        <f>U16+V16+W16+X16+Y16+Z16+AA16</f>
        <v/>
      </c>
      <c r="K16" s="3" t="n">
        <v>0</v>
      </c>
      <c r="L16" s="3" t="n">
        <v>0.004990000000000001</v>
      </c>
      <c r="M16" s="3" t="n">
        <v>0</v>
      </c>
      <c r="N16" s="3">
        <f>I16-J16-K16+L16-M16</f>
        <v/>
      </c>
      <c r="S16" s="4" t="n">
        <v>0.7230502519500414</v>
      </c>
      <c r="U16" s="3" t="n">
        <v>0.12393398</v>
      </c>
      <c r="V16" s="3" t="n">
        <v>0</v>
      </c>
      <c r="W16" s="3" t="n">
        <v>0.0007855599999999999</v>
      </c>
      <c r="X16" s="3" t="n">
        <v>0.004990720572149249</v>
      </c>
      <c r="Y16" s="3" t="n">
        <v>0.000793798560613899</v>
      </c>
      <c r="Z16" s="3" t="n">
        <v>0</v>
      </c>
      <c r="AA16" s="3" t="n">
        <v>0</v>
      </c>
      <c r="AC16" s="3" t="n">
        <v>0.334708529100723</v>
      </c>
      <c r="AD16" s="3" t="n">
        <v>0.2091944699679599</v>
      </c>
      <c r="AE16" s="3">
        <f>I16-AC16</f>
        <v/>
      </c>
      <c r="AF16" s="3">
        <f>N16-AD16</f>
        <v/>
      </c>
    </row>
    <row r="17">
      <c r="A17" t="inlineStr">
        <is>
          <t>Net Removals for Reporting Period (MT)</t>
        </is>
      </c>
      <c r="B17" s="1">
        <f>SUMPRODUCT(ROUND(N2:N32,2))</f>
        <v/>
      </c>
      <c r="F17" t="inlineStr">
        <is>
          <t>rmv_1KXECAV741S0SM2Q</t>
        </is>
      </c>
      <c r="G17" s="2" t="n">
        <v>46172</v>
      </c>
      <c r="H17" s="3" t="n">
        <v>250.2323</v>
      </c>
      <c r="I17" s="3">
        <f>H17*S17*$Q$5/$Q$6</f>
        <v/>
      </c>
      <c r="J17" s="3">
        <f>U17+V17+W17+X17+Y17+Z17+AA17</f>
        <v/>
      </c>
      <c r="K17" s="3" t="n">
        <v>0</v>
      </c>
      <c r="L17" s="3" t="n">
        <v>0.009980000000000001</v>
      </c>
      <c r="M17" s="3" t="n">
        <v>0</v>
      </c>
      <c r="N17" s="3">
        <f>I17-J17-K17+L17-M17</f>
        <v/>
      </c>
      <c r="S17" s="4" t="n">
        <v>0.7063715740077865</v>
      </c>
      <c r="U17" s="3" t="n">
        <v>0.3238953110000001</v>
      </c>
      <c r="V17" s="3" t="n">
        <v>0</v>
      </c>
      <c r="W17" s="3" t="n">
        <v>0.00157108</v>
      </c>
      <c r="X17" s="3" t="n">
        <v>0.009981265104316081</v>
      </c>
      <c r="Y17" s="3" t="n">
        <v>0.001587598319177427</v>
      </c>
      <c r="Z17" s="3" t="n">
        <v>0</v>
      </c>
      <c r="AA17" s="3" t="n">
        <v>0</v>
      </c>
      <c r="AC17" s="3" t="n">
        <v>0.6481678589293643</v>
      </c>
      <c r="AD17" s="3" t="n">
        <v>0.3211126045058708</v>
      </c>
      <c r="AE17" s="3">
        <f>I17-AC17</f>
        <v/>
      </c>
      <c r="AF17" s="3">
        <f>N17-AD17</f>
        <v/>
      </c>
    </row>
    <row r="18">
      <c r="F18" t="inlineStr">
        <is>
          <t>rmv_1KWCC0FY31S0QD5T</t>
        </is>
      </c>
      <c r="G18" s="2" t="n">
        <v>46172</v>
      </c>
      <c r="H18" s="3" t="n">
        <v>4689.99842</v>
      </c>
      <c r="I18" s="3">
        <f>H18*S18*$Q$5/$Q$6</f>
        <v/>
      </c>
      <c r="J18" s="3">
        <f>U18+V18+W18+X18+Y18+Z18+AA18</f>
        <v/>
      </c>
      <c r="K18" s="3" t="n">
        <v>0</v>
      </c>
      <c r="L18" s="3" t="n">
        <v>0.18446</v>
      </c>
      <c r="M18" s="3" t="n">
        <v>0</v>
      </c>
      <c r="N18" s="3">
        <f>I18-J18-K18+L18-M18</f>
        <v/>
      </c>
      <c r="S18" s="4" t="n">
        <v>0.712661924118442</v>
      </c>
      <c r="U18" s="3" t="n">
        <v>5.628770289999999</v>
      </c>
      <c r="V18" s="3" t="n">
        <v>3.13717</v>
      </c>
      <c r="W18" s="3" t="n">
        <v>0.0290332</v>
      </c>
      <c r="X18" s="3" t="n">
        <v>0.1844620029549205</v>
      </c>
      <c r="Y18" s="3" t="n">
        <v>0.02938139484745665</v>
      </c>
      <c r="Z18" s="3" t="n">
        <v>0</v>
      </c>
      <c r="AA18" s="3" t="n">
        <v>0</v>
      </c>
      <c r="AC18" s="3" t="n">
        <v>12.2565195541681</v>
      </c>
      <c r="AD18" s="3" t="n">
        <v>3.432162666365718</v>
      </c>
      <c r="AE18" s="3">
        <f>I18-AC18</f>
        <v/>
      </c>
      <c r="AF18" s="3">
        <f>N18-AD18</f>
        <v/>
      </c>
    </row>
    <row r="19">
      <c r="A19" t="inlineStr">
        <is>
          <t>Cross-check vs Certify</t>
        </is>
      </c>
      <c r="F19" t="inlineStr">
        <is>
          <t>rmv_1KWCY0G8W1S0931T</t>
        </is>
      </c>
      <c r="G19" s="2" t="n">
        <v>46172</v>
      </c>
      <c r="H19" s="3" t="n">
        <v>259.36275</v>
      </c>
      <c r="I19" s="3">
        <f>H19*S19*$Q$5/$Q$6</f>
        <v/>
      </c>
      <c r="J19" s="3">
        <f>U19+V19+W19+X19+Y19+Z19+AA19</f>
        <v/>
      </c>
      <c r="K19" s="3" t="n">
        <v>0</v>
      </c>
      <c r="L19" s="3" t="n">
        <v>0.009970000000000001</v>
      </c>
      <c r="M19" s="3" t="n">
        <v>0</v>
      </c>
      <c r="N19" s="3">
        <f>I19-J19-K19+L19-M19</f>
        <v/>
      </c>
      <c r="S19" s="4" t="n">
        <v>0.7201625546614427</v>
      </c>
      <c r="U19" s="3" t="n">
        <v>0.328566132</v>
      </c>
      <c r="V19" s="3" t="n">
        <v>0</v>
      </c>
      <c r="W19" s="3" t="n">
        <v>0.00156936</v>
      </c>
      <c r="X19" s="3" t="n">
        <v>0.009970906136374176</v>
      </c>
      <c r="Y19" s="3" t="n">
        <v>0.001588600351332302</v>
      </c>
      <c r="Z19" s="3" t="n">
        <v>0</v>
      </c>
      <c r="AA19" s="3" t="n">
        <v>0</v>
      </c>
      <c r="AC19" s="3" t="n">
        <v>0.6849345100682707</v>
      </c>
      <c r="AD19" s="3" t="n">
        <v>0.3532095115805642</v>
      </c>
      <c r="AE19" s="3">
        <f>I19-AC19</f>
        <v/>
      </c>
      <c r="AF19" s="3">
        <f>N19-AD19</f>
        <v/>
      </c>
    </row>
    <row r="20">
      <c r="A20" t="inlineStr">
        <is>
          <t>Certify Gross CO2e Sequestered (MT)</t>
        </is>
      </c>
      <c r="B20" s="3">
        <f>SUM(AC2:AC999)</f>
        <v/>
      </c>
      <c r="F20" t="inlineStr">
        <is>
          <t>rmv_1KXKGW8131S0DAD9</t>
        </is>
      </c>
      <c r="G20" s="2" t="n">
        <v>46172</v>
      </c>
      <c r="H20" s="3" t="n">
        <v>257.4742137</v>
      </c>
      <c r="I20" s="3">
        <f>H20*S20*$Q$5/$Q$6</f>
        <v/>
      </c>
      <c r="J20" s="3">
        <f>U20+V20+W20+X20+Y20+Z20+AA20</f>
        <v/>
      </c>
      <c r="K20" s="3" t="n">
        <v>0</v>
      </c>
      <c r="L20" s="3" t="n">
        <v>0.009980000000000001</v>
      </c>
      <c r="M20" s="3" t="n">
        <v>0</v>
      </c>
      <c r="N20" s="3">
        <f>I20-J20-K20+L20-M20</f>
        <v/>
      </c>
      <c r="S20" s="4" t="n">
        <v>0.8269225008553908</v>
      </c>
      <c r="U20" s="3" t="n">
        <v>0</v>
      </c>
      <c r="V20" s="3" t="n">
        <v>0</v>
      </c>
      <c r="W20" s="3" t="n">
        <v>0.00157108</v>
      </c>
      <c r="X20" s="3" t="n">
        <v>0.009981265104316081</v>
      </c>
      <c r="Y20" s="3" t="n">
        <v>0.001588233232480797</v>
      </c>
      <c r="Z20" s="3" t="n">
        <v>0</v>
      </c>
      <c r="AA20" s="3" t="n">
        <v>0</v>
      </c>
      <c r="AC20" s="3" t="n">
        <v>0.7807454463016903</v>
      </c>
      <c r="AD20" s="3" t="n">
        <v>0.7775848679648935</v>
      </c>
      <c r="AE20" s="3">
        <f>I20-AC20</f>
        <v/>
      </c>
      <c r="AF20" s="3">
        <f>N20-AD20</f>
        <v/>
      </c>
    </row>
    <row r="21">
      <c r="A21" t="inlineStr">
        <is>
          <t>Certify Net Removals, unrounded (MT)</t>
        </is>
      </c>
      <c r="B21" s="3">
        <f>SUM(AD2:AD999)</f>
        <v/>
      </c>
      <c r="F21" t="inlineStr">
        <is>
          <t>rmv_1KXERCP431S0TG4A</t>
        </is>
      </c>
      <c r="G21" s="2" t="n">
        <v>46179</v>
      </c>
      <c r="H21" s="3" t="n">
        <v>1836.180001</v>
      </c>
      <c r="I21" s="3">
        <f>H21*S21*$Q$5/$Q$6</f>
        <v/>
      </c>
      <c r="J21" s="3">
        <f>U21+V21+W21+X21+Y21+Z21+AA21</f>
        <v/>
      </c>
      <c r="K21" s="3" t="n">
        <v>0</v>
      </c>
      <c r="L21" s="3" t="n">
        <v>0.06448999999999999</v>
      </c>
      <c r="M21" s="3" t="n">
        <v>0</v>
      </c>
      <c r="N21" s="3">
        <f>I21-J21-K21+L21-M21</f>
        <v/>
      </c>
      <c r="S21" s="4" t="n">
        <v>0.7201625546614427</v>
      </c>
      <c r="U21" s="3" t="n">
        <v>2.326108266</v>
      </c>
      <c r="V21" s="3" t="n">
        <v>0</v>
      </c>
      <c r="W21" s="3" t="n">
        <v>0.01029188</v>
      </c>
      <c r="X21" s="3" t="n">
        <v>0.06449029044073515</v>
      </c>
      <c r="Y21" s="3" t="n">
        <v>0.007941324291755012</v>
      </c>
      <c r="Z21" s="3" t="n">
        <v>0</v>
      </c>
      <c r="AA21" s="3" t="n">
        <v>0</v>
      </c>
      <c r="AC21" s="3" t="n">
        <v>4.849050410600952</v>
      </c>
      <c r="AD21" s="3" t="n">
        <v>2.504708649868461</v>
      </c>
      <c r="AE21" s="3">
        <f>I21-AC21</f>
        <v/>
      </c>
      <c r="AF21" s="3">
        <f>N21-AD21</f>
        <v/>
      </c>
    </row>
    <row r="22">
      <c r="A22" t="inlineStr">
        <is>
          <t>Certify Net Removals, as published per removal (MT)</t>
        </is>
      </c>
      <c r="B22" s="3">
        <f>SUMPRODUCT(ROUND(AD2:AD32,2))</f>
        <v/>
      </c>
      <c r="F22" t="inlineStr">
        <is>
          <t>rmv_1KXGK5BMT1S0H4FK</t>
        </is>
      </c>
      <c r="G22" s="2" t="n">
        <v>46179</v>
      </c>
      <c r="H22" s="3" t="n">
        <v>329.8602</v>
      </c>
      <c r="I22" s="3">
        <f>H22*S22*$Q$5/$Q$6</f>
        <v/>
      </c>
      <c r="J22" s="3">
        <f>U22+V22+W22+X22+Y22+Z22+AA22</f>
        <v/>
      </c>
      <c r="K22" s="3" t="n">
        <v>0</v>
      </c>
      <c r="L22" s="3" t="n">
        <v>0.0258</v>
      </c>
      <c r="M22" s="3" t="n">
        <v>0</v>
      </c>
      <c r="N22" s="3">
        <f>I22-J22-K22+L22-M22</f>
        <v/>
      </c>
      <c r="S22" s="4" t="n">
        <v>0.7838201166817207</v>
      </c>
      <c r="U22" s="3" t="n">
        <v>0.4195154413</v>
      </c>
      <c r="V22" s="3" t="n">
        <v>0</v>
      </c>
      <c r="W22" s="3" t="n">
        <v>0.004116760000000001</v>
      </c>
      <c r="X22" s="3" t="n">
        <v>0.02579614007160749</v>
      </c>
      <c r="Y22" s="3" t="n">
        <v>0.003175195440405225</v>
      </c>
      <c r="Z22" s="3" t="n">
        <v>0</v>
      </c>
      <c r="AA22" s="3" t="n">
        <v>0</v>
      </c>
      <c r="AC22" s="3" t="n">
        <v>0.9481067386798886</v>
      </c>
      <c r="AD22" s="3" t="n">
        <v>0.5213032018678758</v>
      </c>
      <c r="AE22" s="3">
        <f>I22-AC22</f>
        <v/>
      </c>
      <c r="AF22" s="3">
        <f>N22-AD22</f>
        <v/>
      </c>
    </row>
    <row r="23">
      <c r="A23" t="inlineStr">
        <is>
          <t>Difference: this sheet Gross - Certify Gross (MT)</t>
        </is>
      </c>
      <c r="B23" s="5">
        <f>C5-B20</f>
        <v/>
      </c>
      <c r="F23" t="inlineStr">
        <is>
          <t>rmv_1KXGK45BZ1S0DJ22</t>
        </is>
      </c>
      <c r="G23" s="2" t="n">
        <v>46179</v>
      </c>
      <c r="H23" s="3" t="n">
        <v>142.2416</v>
      </c>
      <c r="I23" s="3">
        <f>H23*S23*$Q$5/$Q$6</f>
        <v/>
      </c>
      <c r="J23" s="3">
        <f>U23+V23+W23+X23+Y23+Z23+AA23</f>
        <v/>
      </c>
      <c r="K23" s="3" t="n">
        <v>0</v>
      </c>
      <c r="L23" s="3" t="n">
        <v>0.00645</v>
      </c>
      <c r="M23" s="3" t="n">
        <v>0</v>
      </c>
      <c r="N23" s="3">
        <f>I23-J23-K23+L23-M23</f>
        <v/>
      </c>
      <c r="S23" s="4" t="n">
        <v>0.7346335984763666</v>
      </c>
      <c r="U23" s="3" t="n">
        <v>0</v>
      </c>
      <c r="V23" s="3" t="n">
        <v>0</v>
      </c>
      <c r="W23" s="3" t="n">
        <v>0.0010292</v>
      </c>
      <c r="X23" s="3" t="n">
        <v>0.006449035017901872</v>
      </c>
      <c r="Y23" s="3" t="n">
        <v>0.000793798560613899</v>
      </c>
      <c r="Z23" s="3" t="n">
        <v>0</v>
      </c>
      <c r="AA23" s="3" t="n">
        <v>0</v>
      </c>
      <c r="AC23" s="3" t="n">
        <v>0.3831848461766187</v>
      </c>
      <c r="AD23" s="3" t="n">
        <v>0.381362812598103</v>
      </c>
      <c r="AE23" s="3">
        <f>I23-AC23</f>
        <v/>
      </c>
      <c r="AF23" s="3">
        <f>N23-AD23</f>
        <v/>
      </c>
    </row>
    <row r="24">
      <c r="A24" t="inlineStr">
        <is>
          <t>Difference: this sheet Net - Certify Net as published (MT)</t>
        </is>
      </c>
      <c r="B24" s="5">
        <f>B17-B22</f>
        <v/>
      </c>
      <c r="F24" t="inlineStr">
        <is>
          <t>rmv_1KXGK3HP81S0FP36</t>
        </is>
      </c>
      <c r="G24" s="2" t="n">
        <v>46179</v>
      </c>
      <c r="H24" s="3" t="n">
        <v>184.44735</v>
      </c>
      <c r="I24" s="3">
        <f>H24*S24*$Q$5/$Q$6</f>
        <v/>
      </c>
      <c r="J24" s="3">
        <f>U24+V24+W24+X24+Y24+Z24+AA24</f>
        <v/>
      </c>
      <c r="K24" s="3" t="n">
        <v>0</v>
      </c>
      <c r="L24" s="3" t="n">
        <v>0.00645</v>
      </c>
      <c r="M24" s="3" t="n">
        <v>0</v>
      </c>
      <c r="N24" s="3">
        <f>I24-J24-K24+L24-M24</f>
        <v/>
      </c>
      <c r="S24" s="4" t="n">
        <v>0.7031578477139062</v>
      </c>
      <c r="U24" s="3" t="n">
        <v>0</v>
      </c>
      <c r="V24" s="3" t="n">
        <v>0</v>
      </c>
      <c r="W24" s="3" t="n">
        <v>0.0010292</v>
      </c>
      <c r="X24" s="3" t="n">
        <v>0.006449100873673</v>
      </c>
      <c r="Y24" s="3" t="n">
        <v>0.000793798560613899</v>
      </c>
      <c r="Z24" s="3" t="n">
        <v>0</v>
      </c>
      <c r="AA24" s="3" t="n">
        <v>0</v>
      </c>
      <c r="AC24" s="3" t="n">
        <v>0.4755937712231706</v>
      </c>
      <c r="AD24" s="3" t="n">
        <v>0.4737716717888837</v>
      </c>
      <c r="AE24" s="3">
        <f>I24-AC24</f>
        <v/>
      </c>
      <c r="AF24" s="3">
        <f>N24-AD24</f>
        <v/>
      </c>
    </row>
    <row r="25">
      <c r="F25" t="inlineStr">
        <is>
          <t>rmv_1KXGK4R131S095PN</t>
        </is>
      </c>
      <c r="G25" s="2" t="n">
        <v>46179</v>
      </c>
      <c r="H25" s="3" t="n">
        <v>966.2798</v>
      </c>
      <c r="I25" s="3">
        <f>H25*S25*$Q$5/$Q$6</f>
        <v/>
      </c>
      <c r="J25" s="3">
        <f>U25+V25+W25+X25+Y25+Z25+AA25</f>
        <v/>
      </c>
      <c r="K25" s="3" t="n">
        <v>0</v>
      </c>
      <c r="L25" s="3" t="n">
        <v>0.03225</v>
      </c>
      <c r="M25" s="3" t="n">
        <v>0</v>
      </c>
      <c r="N25" s="3">
        <f>I25-J25-K25+L25-M25</f>
        <v/>
      </c>
      <c r="S25" s="4" t="n">
        <v>0.7789631155842932</v>
      </c>
      <c r="U25" s="3" t="n">
        <v>1.35028460168</v>
      </c>
      <c r="V25" s="3" t="n">
        <v>0</v>
      </c>
      <c r="W25" s="3" t="n">
        <v>0.005145960000000001</v>
      </c>
      <c r="X25" s="3" t="n">
        <v>0.03224517510148097</v>
      </c>
      <c r="Y25" s="3" t="n">
        <v>0.003968994001019123</v>
      </c>
      <c r="Z25" s="3" t="n">
        <v>0</v>
      </c>
      <c r="AA25" s="3" t="n">
        <v>0</v>
      </c>
      <c r="AC25" s="3" t="n">
        <v>2.760137418399793</v>
      </c>
      <c r="AD25" s="3" t="n">
        <v>1.400742687617293</v>
      </c>
      <c r="AE25" s="3">
        <f>I25-AC25</f>
        <v/>
      </c>
      <c r="AF25" s="3">
        <f>N25-AD25</f>
        <v/>
      </c>
    </row>
    <row r="26">
      <c r="A26" t="inlineStr">
        <is>
          <t>Net Removals, exact arithmetic before per-removal rounding (MT)</t>
        </is>
      </c>
      <c r="B26" s="3">
        <f>C5-B14+C11</f>
        <v/>
      </c>
      <c r="F26" t="inlineStr">
        <is>
          <t>rmv_1KXEJD28G1S07DZM</t>
        </is>
      </c>
      <c r="G26" s="2" t="n">
        <v>46179</v>
      </c>
      <c r="H26" s="3" t="n">
        <v>1541.41617</v>
      </c>
      <c r="I26" s="3">
        <f>H26*S26*$Q$5/$Q$6</f>
        <v/>
      </c>
      <c r="J26" s="3">
        <f>U26+V26+W26+X26+Y26+Z26+AA26</f>
        <v/>
      </c>
      <c r="K26" s="3" t="n">
        <v>0</v>
      </c>
      <c r="L26" s="3" t="n">
        <v>0.05337</v>
      </c>
      <c r="M26" s="3" t="n">
        <v>0</v>
      </c>
      <c r="N26" s="3">
        <f>I26-J26-K26+L26-M26</f>
        <v/>
      </c>
      <c r="S26" s="4" t="n">
        <v>0.7031578477139062</v>
      </c>
      <c r="U26" s="3" t="n">
        <v>0.7243901280000001</v>
      </c>
      <c r="V26" s="3" t="n">
        <v>0</v>
      </c>
      <c r="W26" s="3" t="n">
        <v>0.008530719999999999</v>
      </c>
      <c r="X26" s="3" t="n">
        <v>0.05337130787260817</v>
      </c>
      <c r="Y26" s="3" t="n">
        <v>0.006353727170527215</v>
      </c>
      <c r="Z26" s="3" t="n">
        <v>0</v>
      </c>
      <c r="AA26" s="3" t="n">
        <v>0</v>
      </c>
      <c r="AC26" s="3" t="n">
        <v>3.974510500230422</v>
      </c>
      <c r="AD26" s="3" t="n">
        <v>3.235234617187287</v>
      </c>
      <c r="AE26" s="3">
        <f>I26-AC26</f>
        <v/>
      </c>
      <c r="AF26" s="3">
        <f>N26-AD26</f>
        <v/>
      </c>
    </row>
    <row r="27">
      <c r="A27" t="inlineStr">
        <is>
          <t>Rounding residual: exact arithmetic - as published (MT)</t>
        </is>
      </c>
      <c r="B27" s="5">
        <f>B26-B17</f>
        <v/>
      </c>
      <c r="F27" t="inlineStr">
        <is>
          <t>rmv_1KXEJCGYM1S09J0R</t>
        </is>
      </c>
      <c r="G27" s="2" t="n">
        <v>46179</v>
      </c>
      <c r="H27" s="3" t="n">
        <v>4076.1414</v>
      </c>
      <c r="I27" s="3">
        <f>H27*S27*$Q$5/$Q$6</f>
        <v/>
      </c>
      <c r="J27" s="3">
        <f>U27+V27+W27+X27+Y27+Z27+AA27</f>
        <v/>
      </c>
      <c r="K27" s="3" t="n">
        <v>0</v>
      </c>
      <c r="L27" s="3" t="n">
        <v>0.16011</v>
      </c>
      <c r="M27" s="3" t="n">
        <v>0</v>
      </c>
      <c r="N27" s="3">
        <f>I27-J27-K27+L27-M27</f>
        <v/>
      </c>
      <c r="S27" s="4" t="n">
        <v>0.7063715740077865</v>
      </c>
      <c r="U27" s="3" t="n">
        <v>5.740529172</v>
      </c>
      <c r="V27" s="3" t="n">
        <v>0</v>
      </c>
      <c r="W27" s="3" t="n">
        <v>0.02559216</v>
      </c>
      <c r="X27" s="3" t="n">
        <v>0.1601139728689866</v>
      </c>
      <c r="Y27" s="3" t="n">
        <v>0.01905784402391525</v>
      </c>
      <c r="Z27" s="3" t="n">
        <v>0</v>
      </c>
      <c r="AA27" s="3" t="n">
        <v>0</v>
      </c>
      <c r="AC27" s="3" t="n">
        <v>10.55828461765864</v>
      </c>
      <c r="AD27" s="3" t="n">
        <v>4.773101468765738</v>
      </c>
      <c r="AE27" s="3">
        <f>I27-AC27</f>
        <v/>
      </c>
      <c r="AF27" s="3">
        <f>N27-AD27</f>
        <v/>
      </c>
    </row>
    <row r="28">
      <c r="F28" t="inlineStr">
        <is>
          <t>rmv_1KXERD7151S0RC36</t>
        </is>
      </c>
      <c r="G28" s="2" t="n">
        <v>46179</v>
      </c>
      <c r="H28" s="3" t="n">
        <v>358.94931</v>
      </c>
      <c r="I28" s="3">
        <f>H28*S28*$Q$5/$Q$6</f>
        <v/>
      </c>
      <c r="J28" s="3">
        <f>U28+V28+W28+X28+Y28+Z28+AA28</f>
        <v/>
      </c>
      <c r="K28" s="3" t="n">
        <v>0</v>
      </c>
      <c r="L28" s="3" t="n">
        <v>0.0129</v>
      </c>
      <c r="M28" s="3" t="n">
        <v>0</v>
      </c>
      <c r="N28" s="3">
        <f>I28-J28-K28+L28-M28</f>
        <v/>
      </c>
      <c r="S28" s="4" t="n">
        <v>0.712661924118442</v>
      </c>
      <c r="U28" s="3" t="n">
        <v>0.05250027199999999</v>
      </c>
      <c r="V28" s="3" t="n">
        <v>0</v>
      </c>
      <c r="W28" s="3" t="n">
        <v>0.00205836</v>
      </c>
      <c r="X28" s="3" t="n">
        <v>0.01289796231534772</v>
      </c>
      <c r="Y28" s="3" t="n">
        <v>0.001587598319177427</v>
      </c>
      <c r="Z28" s="3" t="n">
        <v>0</v>
      </c>
      <c r="AA28" s="3" t="n">
        <v>0</v>
      </c>
      <c r="AC28" s="3" t="n">
        <v>0.938053458229128</v>
      </c>
      <c r="AD28" s="3" t="n">
        <v>0.8819092655946027</v>
      </c>
      <c r="AE28" s="3">
        <f>I28-AC28</f>
        <v/>
      </c>
      <c r="AF28" s="3">
        <f>N28-AD28</f>
        <v/>
      </c>
    </row>
    <row r="29">
      <c r="A29" s="6" t="inlineStr">
        <is>
          <t>Net Removals is the sum of the 31 per-removal nets, each rounded to 0.01 t. That is the granularity at which Certify publishes and issues every removal, and the 31 rounded values in this sheet match Certify's published figures on all 31 rows. Summed, they give 49.78 MT. The exact arithmetic before per-removal rounding is 49.794244 MT (row 26); the 14.24 kg difference (row 27) is per-removal rounding alone, and it understates, so the claimed figure is the conservative one. Gross and emissions on rows 2-14 are stated exactly, unrounded, so subtracting them reproduces row 26 rather than row 17.
Carbon-to-CO2e factor: Q5 is set to 3.667, the literal used in Certify's 200-year sequestration expression (31 expressions in this export, one per removal), so this sheet reproduces the registry's gross exactly -- 0.000 kg difference on every row. The exact molar ratio 44/12 is 3.6666667; 3.667 is the high side of it, so both this sheet and Certify state slightly more gross CO2e than the exact ratio supports.</t>
        </is>
      </c>
      <c r="F29" t="inlineStr">
        <is>
          <t>rmv_1KXGK2Y3V1S0HT4A</t>
        </is>
      </c>
      <c r="G29" s="2" t="n">
        <v>46179</v>
      </c>
      <c r="H29" s="3" t="n">
        <v>3114.5184</v>
      </c>
      <c r="I29" s="3">
        <f>H29*S29*$Q$5/$Q$6</f>
        <v/>
      </c>
      <c r="J29" s="3">
        <f>U29+V29+W29+X29+Y29+Z29+AA29</f>
        <v/>
      </c>
      <c r="K29" s="3" t="n">
        <v>0</v>
      </c>
      <c r="L29" s="3" t="n">
        <v>0.12253</v>
      </c>
      <c r="M29" s="3" t="n">
        <v>0</v>
      </c>
      <c r="N29" s="3">
        <f>I29-J29-K29+L29-M29</f>
        <v/>
      </c>
      <c r="S29" s="4" t="n">
        <v>0.7063715740077865</v>
      </c>
      <c r="U29" s="3" t="n">
        <v>4.350421155</v>
      </c>
      <c r="V29" s="3" t="n">
        <v>0</v>
      </c>
      <c r="W29" s="3" t="n">
        <v>0.0195546</v>
      </c>
      <c r="X29" s="3" t="n">
        <v>0.1225316653521072</v>
      </c>
      <c r="Y29" s="3" t="n">
        <v>0.01508885002289613</v>
      </c>
      <c r="Z29" s="3" t="n">
        <v>0</v>
      </c>
      <c r="AA29" s="3" t="n">
        <v>0</v>
      </c>
      <c r="AC29" s="3" t="n">
        <v>8.067426638863607</v>
      </c>
      <c r="AD29" s="3" t="n">
        <v>3.682360368488604</v>
      </c>
      <c r="AE29" s="3">
        <f>I29-AC29</f>
        <v/>
      </c>
      <c r="AF29" s="3">
        <f>N29-AD29</f>
        <v/>
      </c>
    </row>
    <row r="30">
      <c r="F30" t="inlineStr">
        <is>
          <t>rmv_1KXEHAAVZ1S0VXRD</t>
        </is>
      </c>
      <c r="G30" s="2" t="n">
        <v>46179</v>
      </c>
      <c r="H30" s="3" t="n">
        <v>372.87962</v>
      </c>
      <c r="I30" s="3">
        <f>H30*S30*$Q$5/$Q$6</f>
        <v/>
      </c>
      <c r="J30" s="3">
        <f>U30+V30+W30+X30+Y30+Z30+AA30</f>
        <v/>
      </c>
      <c r="K30" s="3" t="n">
        <v>0</v>
      </c>
      <c r="L30" s="3" t="n">
        <v>0.01334</v>
      </c>
      <c r="M30" s="3" t="n">
        <v>0</v>
      </c>
      <c r="N30" s="3">
        <f>I30-J30-K30+L30-M30</f>
        <v/>
      </c>
      <c r="S30" s="4" t="n">
        <v>0.7230502519500414</v>
      </c>
      <c r="U30" s="3" t="n">
        <v>0.3660763399999999</v>
      </c>
      <c r="V30" s="3" t="n">
        <v>0</v>
      </c>
      <c r="W30" s="3" t="n">
        <v>0.00213268</v>
      </c>
      <c r="X30" s="3" t="n">
        <v>0.01334282696815204</v>
      </c>
      <c r="Y30" s="3" t="n">
        <v>0.001587598319177427</v>
      </c>
      <c r="Z30" s="3" t="n">
        <v>0</v>
      </c>
      <c r="AA30" s="3" t="n">
        <v>0</v>
      </c>
      <c r="AC30" s="3" t="n">
        <v>0.9886624485905269</v>
      </c>
      <c r="AD30" s="3" t="n">
        <v>0.6188630033031975</v>
      </c>
      <c r="AE30" s="3">
        <f>I30-AC30</f>
        <v/>
      </c>
      <c r="AF30" s="3">
        <f>N30-AD30</f>
        <v/>
      </c>
    </row>
    <row r="31">
      <c r="F31" t="inlineStr">
        <is>
          <t>rmv_1KXKP77Q21S08Q74</t>
        </is>
      </c>
      <c r="G31" s="2" t="n">
        <v>46179</v>
      </c>
      <c r="H31" s="3" t="n">
        <v>374.9740559</v>
      </c>
      <c r="I31" s="3">
        <f>H31*S31*$Q$5/$Q$6</f>
        <v/>
      </c>
      <c r="J31" s="3">
        <f>U31+V31+W31+X31+Y31+Z31+AA31</f>
        <v/>
      </c>
      <c r="K31" s="3" t="n">
        <v>0</v>
      </c>
      <c r="L31" s="3" t="n">
        <v>0.01334</v>
      </c>
      <c r="M31" s="3" t="n">
        <v>0</v>
      </c>
      <c r="N31" s="3">
        <f>I31-J31-K31+L31-M31</f>
        <v/>
      </c>
      <c r="S31" s="4" t="n">
        <v>0.712661924118442</v>
      </c>
      <c r="U31" s="3" t="n">
        <v>0.4500304269999999</v>
      </c>
      <c r="V31" s="3" t="n">
        <v>0</v>
      </c>
      <c r="W31" s="3" t="n">
        <v>0.00213268</v>
      </c>
      <c r="X31" s="3" t="n">
        <v>0.01334283107201649</v>
      </c>
      <c r="Y31" s="3" t="n">
        <v>0.001588233112685834</v>
      </c>
      <c r="Z31" s="3" t="n">
        <v>0</v>
      </c>
      <c r="AA31" s="3" t="n">
        <v>0</v>
      </c>
      <c r="AC31" s="3" t="n">
        <v>0.9799314278754215</v>
      </c>
      <c r="AD31" s="3" t="n">
        <v>0.5261772566907192</v>
      </c>
      <c r="AE31" s="3">
        <f>I31-AC31</f>
        <v/>
      </c>
      <c r="AF31" s="3">
        <f>N31-AD31</f>
        <v/>
      </c>
    </row>
    <row r="32">
      <c r="F32" t="inlineStr">
        <is>
          <t>rmv_1KXKGXJB61S01MAJ</t>
        </is>
      </c>
      <c r="G32" s="2" t="n">
        <v>46179</v>
      </c>
      <c r="H32" s="3" t="n">
        <v>1140.820409</v>
      </c>
      <c r="I32" s="3">
        <f>H32*S32*$Q$5/$Q$6</f>
        <v/>
      </c>
      <c r="J32" s="3">
        <f>U32+V32+W32+X32+Y32+Z32+AA32</f>
        <v/>
      </c>
      <c r="K32" s="3" t="n">
        <v>0</v>
      </c>
      <c r="L32" s="3" t="n">
        <v>0.264</v>
      </c>
      <c r="M32" s="3" t="n">
        <v>0</v>
      </c>
      <c r="N32" s="3">
        <f>I32-J32-K32+L32-M32</f>
        <v/>
      </c>
      <c r="S32" s="4" t="n">
        <v>0.8269225008553908</v>
      </c>
      <c r="U32" s="3" t="n">
        <v>0</v>
      </c>
      <c r="V32" s="3" t="n">
        <v>0</v>
      </c>
      <c r="W32" s="3" t="n">
        <v>0.00639804</v>
      </c>
      <c r="X32" s="3" t="n">
        <v>0.04002849321126084</v>
      </c>
      <c r="Y32" s="3" t="n">
        <v>0.004764699354828796</v>
      </c>
      <c r="Z32" s="3" t="n">
        <v>0.22429015424</v>
      </c>
      <c r="AA32" s="3" t="n">
        <v>0.03084660876373401</v>
      </c>
      <c r="AC32" s="3" t="n">
        <v>3.459338030691428</v>
      </c>
      <c r="AD32" s="3" t="n">
        <v>3.417010035121604</v>
      </c>
      <c r="AE32" s="3">
        <f>I32-AC32</f>
        <v/>
      </c>
      <c r="AF32" s="3">
        <f>N32-AD32</f>
        <v/>
      </c>
    </row>
    <row r="33"/>
    <row r="34"/>
    <row r="35"/>
    <row r="36"/>
  </sheetData>
  <mergeCells count="1">
    <mergeCell ref="A29:C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2026-08-14T20:30:46Z</dcterms:created>
  <dcterms:modified xmlns:dcterms="http://purl.org/dc/terms/" xmlns:xsi="http://www.w3.org/2001/XMLSchema-instance" xsi:type="dcterms:W3CDTF">2026-08-14T20:30:46Z</dcterms:modified>
</cp:coreProperties>
</file>