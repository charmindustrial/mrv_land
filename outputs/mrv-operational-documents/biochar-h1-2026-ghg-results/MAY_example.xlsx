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DEfhjXumBbJqKW1LyUbUwfLHt5smJgx/Ja/1nq3/ls="/>
    </ext>
  </extLst>
</workbook>
</file>

<file path=xl/sharedStrings.xml><?xml version="1.0" encoding="utf-8"?>
<sst xmlns="http://schemas.openxmlformats.org/spreadsheetml/2006/main" count="49" uniqueCount="40">
  <si>
    <t>Kg</t>
  </si>
  <si>
    <t>MT</t>
  </si>
  <si>
    <t>Removal Date</t>
  </si>
  <si>
    <t>Bio Oil Injected</t>
  </si>
  <si>
    <t>Gross CO2e Sequestered</t>
  </si>
  <si>
    <t>Process Emissions</t>
  </si>
  <si>
    <t>Site + Amortized Embodied Emissions</t>
  </si>
  <si>
    <t>Emissions Reductions</t>
  </si>
  <si>
    <t>Uncertainty Discount</t>
  </si>
  <si>
    <t>Net Removal</t>
  </si>
  <si>
    <t>C % (ops notes, MOBI-wtd)</t>
  </si>
  <si>
    <t>Gross Bio Oil Sequestered</t>
  </si>
  <si>
    <t>INJ-05-2026-W1 AECN</t>
  </si>
  <si>
    <r>
      <rPr>
        <rFont val="&quot;Space Mono&quot;, ui-monospace, SFMono-Regular, Menlo, Monaco, Consolas, &quot;Liberation Mono&quot;, &quot;Courier New&quot;, monospace"/>
        <color rgb="FF1155CC"/>
        <sz val="11.0"/>
        <u/>
      </rPr>
      <t>rmv_1KT4SJ1V71S0BEVX</t>
    </r>
  </si>
  <si>
    <t>5/2-5/9</t>
  </si>
  <si>
    <t>Conversions</t>
  </si>
  <si>
    <t>INJ-05-2026-W1 KS RAIL</t>
  </si>
  <si>
    <r>
      <rPr>
        <rFont val="&quot;Space Mono&quot;, ui-monospace, SFMono-Regular, Menlo, Monaco, Consolas, &quot;Liberation Mono&quot;, &quot;Courier New&quot;, monospace"/>
        <color rgb="FF1155CC"/>
        <sz val="11.0"/>
        <u/>
      </rPr>
      <t>rmv_1KS0CQFV41S06TZK</t>
    </r>
  </si>
  <si>
    <t>5/6-5/7</t>
  </si>
  <si>
    <t>Kg CO2e</t>
  </si>
  <si>
    <t>MT CO2e</t>
  </si>
  <si>
    <t>INJ-05-2026-W3 AECN</t>
  </si>
  <si>
    <t>rmv_1KT27CA911S0PDN0</t>
  </si>
  <si>
    <t>INJ-05-2026-W3 Kerry</t>
  </si>
  <si>
    <r>
      <rPr>
        <rFont val="&quot;Space Mono&quot;, ui-monospace, SFMono-Regular, Menlo, Monaco, Consolas, &quot;Liberation Mono&quot;, &quot;Courier New&quot;, monospace"/>
        <color rgb="FF1155CC"/>
        <sz val="11.0"/>
        <u/>
      </rPr>
      <t>rmv_1KT1WB4TV1S0VFW2</t>
    </r>
  </si>
  <si>
    <t>C --&gt; CO2e</t>
  </si>
  <si>
    <t>INJ-05-2026-W4 AECN</t>
  </si>
  <si>
    <t>rmv_1KTJ86J071S00NKZ</t>
  </si>
  <si>
    <t>5/23-5/30</t>
  </si>
  <si>
    <t>Kg per MT</t>
  </si>
  <si>
    <t>Project Emissions</t>
  </si>
  <si>
    <t>INJ-05-2026-W4 QOWV</t>
  </si>
  <si>
    <r>
      <rPr>
        <rFont val="&quot;Space Mono&quot;, ui-monospace, SFMono-Regular, Menlo, Monaco, Consolas, &quot;Liberation Mono&quot;, &quot;Courier New&quot;, monospace"/>
        <color rgb="FF1155CC"/>
        <sz val="11.0"/>
        <u/>
      </rPr>
      <t>rmv_1KTMA2TW91S0XCP9</t>
    </r>
  </si>
  <si>
    <t>Site+Amortized Embodied Emissions</t>
  </si>
  <si>
    <t xml:space="preserve"> </t>
  </si>
  <si>
    <t>Uncertainty Discounts</t>
  </si>
  <si>
    <t>Total Emissions for Reporting Period (kg)</t>
  </si>
  <si>
    <t>Total Emissions for Reporting Period (MT)</t>
  </si>
  <si>
    <t>Net Removals for Reporting Period (kg)</t>
  </si>
  <si>
    <t>Net Removals for Reporting Period (MT)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</si>
</sst>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0.000"/>
    <numFmt numFmtId="166" formatCode="m/d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Calibri"/>
    </font>
    <font>
      <u/>
      <color rgb="FF0000FF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1" numFmtId="49" xfId="0" applyFont="1" applyNumberFormat="1"/>
    <xf borderId="0" fillId="0" fontId="2" numFmtId="2" xfId="0" applyFont="1" applyNumberFormat="1"/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1" numFmtId="10" xfId="0" applyFont="1" applyNumberFormat="1"/>
    <xf borderId="0" fillId="0" fontId="5" numFmtId="0" xfId="0" applyAlignment="1" applyFont="1">
      <alignment readingOrder="0"/>
    </xf>
    <xf borderId="0" fillId="0" fontId="2" numFmtId="166" xfId="0" applyAlignment="1" applyFont="1" applyNumberFormat="1">
      <alignment horizontal="left" readingOrder="0"/>
    </xf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gistry.isometric.com/account/certify/project/prj_1HZSSWBQM1S08H83/ghg-entry/rmv_1KT4SJ1V71S0BEVX/edit" TargetMode="External"/><Relationship Id="rId2" Type="http://schemas.openxmlformats.org/officeDocument/2006/relationships/hyperlink" Target="https://registry.isometric.com/account/certify/project/prj_1HZSSWBQM1S08H83/ghg-entry/rmv_1KS0CQFV41S06TZK/edit" TargetMode="External"/><Relationship Id="rId3" Type="http://schemas.openxmlformats.org/officeDocument/2006/relationships/hyperlink" Target="https://registry.isometric.com/account/certify/project/prj_1HZSSWBQM1S08H83/ghg-entry/rmv_1KT27CA911S0PDN0/edit" TargetMode="External"/><Relationship Id="rId4" Type="http://schemas.openxmlformats.org/officeDocument/2006/relationships/hyperlink" Target="https://registry.isometric.com/account/certify/project/prj_1HZSSWBQM1S08H83/ghg-entry/rmv_1KT1WB4TV1S0VFW2/edit" TargetMode="External"/><Relationship Id="rId5" Type="http://schemas.openxmlformats.org/officeDocument/2006/relationships/hyperlink" Target="https://registry.isometric.com/account/certify/project/prj_1HZSSWBQM1S08H83/ghg-entry/rmv_1KTJ86J071S00NKZ/edit" TargetMode="External"/><Relationship Id="rId6" Type="http://schemas.openxmlformats.org/officeDocument/2006/relationships/hyperlink" Target="https://registry.isometric.com/account/certify/project/prj_1HZSSWBQM1S08H83/ghg-entry/rmv_1KTMA2TW91S0XCP9/edit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4" width="18.0"/>
    <col customWidth="1" min="5" max="6" width="30.0"/>
    <col customWidth="1" min="7" max="17" width="18.0"/>
  </cols>
  <sheetData>
    <row r="1">
      <c r="A1" s="1"/>
      <c r="B1" s="2" t="s">
        <v>0</v>
      </c>
      <c r="C1" s="2" t="s">
        <v>1</v>
      </c>
      <c r="D1" s="1"/>
      <c r="E1" s="3"/>
      <c r="F1" s="3"/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1"/>
      <c r="P1" s="1"/>
      <c r="Q1" s="1"/>
      <c r="R1" s="1"/>
      <c r="S1" s="4" t="s">
        <v>10</v>
      </c>
      <c r="T1" s="1"/>
      <c r="U1" s="1"/>
      <c r="V1" s="1"/>
      <c r="W1" s="1"/>
      <c r="X1" s="1"/>
      <c r="Y1" s="1"/>
      <c r="Z1" s="1"/>
      <c r="AA1" s="1"/>
    </row>
    <row r="2">
      <c r="A2" s="3" t="s">
        <v>11</v>
      </c>
      <c r="B2" s="5">
        <f>SUM(H2:H999)</f>
        <v>377058.6572</v>
      </c>
      <c r="C2" s="5">
        <f>B2/1000</f>
        <v>377.0586572</v>
      </c>
      <c r="D2" s="1"/>
      <c r="E2" s="2" t="s">
        <v>12</v>
      </c>
      <c r="F2" s="6" t="s">
        <v>13</v>
      </c>
      <c r="G2" s="7" t="s">
        <v>14</v>
      </c>
      <c r="H2" s="8">
        <v>121287.0</v>
      </c>
      <c r="I2" s="9">
        <f t="shared" ref="I2:I7" si="1">H2*S2*$Q$5/$Q$6</f>
        <v>155.206931</v>
      </c>
      <c r="J2" s="10">
        <v>24.893</v>
      </c>
      <c r="K2" s="11">
        <v>0.0</v>
      </c>
      <c r="L2" s="10">
        <v>9.129</v>
      </c>
      <c r="M2" s="11">
        <v>0.839</v>
      </c>
      <c r="N2" s="12">
        <f t="shared" ref="N2:N7" si="2">I2-J2-K2+L2-M2</f>
        <v>138.603931</v>
      </c>
      <c r="O2" s="1"/>
      <c r="P2" s="2" t="s">
        <v>15</v>
      </c>
      <c r="Q2" s="1"/>
      <c r="R2" s="1"/>
      <c r="S2" s="13">
        <v>0.349</v>
      </c>
      <c r="T2" s="1"/>
      <c r="U2" s="1"/>
      <c r="V2" s="1"/>
      <c r="W2" s="1"/>
      <c r="X2" s="1"/>
      <c r="Y2" s="1"/>
      <c r="Z2" s="1"/>
      <c r="AA2" s="1"/>
    </row>
    <row r="3">
      <c r="A3" s="1"/>
      <c r="B3" s="5"/>
      <c r="C3" s="5"/>
      <c r="D3" s="1"/>
      <c r="E3" s="11" t="s">
        <v>16</v>
      </c>
      <c r="F3" s="6" t="s">
        <v>17</v>
      </c>
      <c r="G3" s="7" t="s">
        <v>18</v>
      </c>
      <c r="H3" s="8">
        <v>22835.0</v>
      </c>
      <c r="I3" s="9">
        <f t="shared" si="1"/>
        <v>29.22118833</v>
      </c>
      <c r="J3" s="10">
        <v>18.431</v>
      </c>
      <c r="K3" s="11">
        <v>0.0</v>
      </c>
      <c r="L3" s="10">
        <v>8.214</v>
      </c>
      <c r="M3" s="11">
        <v>0.157</v>
      </c>
      <c r="N3" s="12">
        <f t="shared" si="2"/>
        <v>18.84718833</v>
      </c>
      <c r="O3" s="1"/>
      <c r="P3" s="1"/>
      <c r="Q3" s="1"/>
      <c r="R3" s="1"/>
      <c r="S3" s="13">
        <v>0.349</v>
      </c>
      <c r="T3" s="1"/>
      <c r="U3" s="1"/>
      <c r="V3" s="1"/>
      <c r="W3" s="1"/>
      <c r="X3" s="1"/>
      <c r="Y3" s="1"/>
      <c r="Z3" s="1"/>
      <c r="AA3" s="1"/>
    </row>
    <row r="4">
      <c r="A4" s="1"/>
      <c r="B4" s="5" t="s">
        <v>19</v>
      </c>
      <c r="C4" s="5" t="s">
        <v>20</v>
      </c>
      <c r="D4" s="1"/>
      <c r="E4" s="2" t="s">
        <v>21</v>
      </c>
      <c r="F4" s="14" t="s">
        <v>22</v>
      </c>
      <c r="G4" s="15">
        <v>46164.0</v>
      </c>
      <c r="H4" s="12">
        <v>50297.22936015925</v>
      </c>
      <c r="I4" s="9">
        <f t="shared" si="1"/>
        <v>77.04826852</v>
      </c>
      <c r="J4" s="10">
        <v>18.185</v>
      </c>
      <c r="K4" s="11">
        <v>0.0</v>
      </c>
      <c r="L4" s="10">
        <v>10.71</v>
      </c>
      <c r="M4" s="11">
        <v>0.458</v>
      </c>
      <c r="N4" s="12">
        <f t="shared" si="2"/>
        <v>69.11526852</v>
      </c>
      <c r="O4" s="1"/>
      <c r="P4" s="1"/>
      <c r="Q4" s="1"/>
      <c r="R4" s="1"/>
      <c r="S4" s="13">
        <v>0.4177797546587859</v>
      </c>
      <c r="T4" s="1"/>
      <c r="U4" s="1"/>
      <c r="V4" s="1"/>
      <c r="W4" s="1"/>
      <c r="X4" s="1"/>
      <c r="Y4" s="1"/>
      <c r="Z4" s="1"/>
      <c r="AA4" s="1"/>
    </row>
    <row r="5">
      <c r="A5" s="3" t="s">
        <v>4</v>
      </c>
      <c r="B5" s="5">
        <f>C5*1000</f>
        <v>498996.8443</v>
      </c>
      <c r="C5" s="5">
        <f>SUM(I2:I999)</f>
        <v>498.9968443</v>
      </c>
      <c r="D5" s="1"/>
      <c r="E5" s="2" t="s">
        <v>23</v>
      </c>
      <c r="F5" s="6" t="s">
        <v>24</v>
      </c>
      <c r="G5" s="15">
        <v>46164.0</v>
      </c>
      <c r="H5" s="12">
        <v>4558.4278</v>
      </c>
      <c r="I5" s="9">
        <f t="shared" si="1"/>
        <v>9.362431109</v>
      </c>
      <c r="J5" s="10">
        <v>0.957</v>
      </c>
      <c r="K5" s="11">
        <v>0.0</v>
      </c>
      <c r="L5" s="10">
        <v>0.747</v>
      </c>
      <c r="M5" s="11">
        <v>0.039</v>
      </c>
      <c r="N5" s="12">
        <f t="shared" si="2"/>
        <v>9.113431109</v>
      </c>
      <c r="O5" s="1"/>
      <c r="P5" s="2" t="s">
        <v>25</v>
      </c>
      <c r="Q5" s="2">
        <f>44/12</f>
        <v>3.666666667</v>
      </c>
      <c r="R5" s="1"/>
      <c r="S5" s="13">
        <v>0.5601471416197488</v>
      </c>
      <c r="T5" s="1"/>
      <c r="U5" s="1"/>
      <c r="V5" s="1"/>
      <c r="W5" s="1"/>
      <c r="X5" s="1"/>
      <c r="Y5" s="1"/>
      <c r="Z5" s="1"/>
      <c r="AA5" s="1"/>
    </row>
    <row r="6">
      <c r="A6" s="1"/>
      <c r="B6" s="5"/>
      <c r="C6" s="5"/>
      <c r="D6" s="1"/>
      <c r="E6" s="2" t="s">
        <v>26</v>
      </c>
      <c r="F6" s="14" t="s">
        <v>27</v>
      </c>
      <c r="G6" s="7" t="s">
        <v>28</v>
      </c>
      <c r="H6" s="8">
        <v>144104.0</v>
      </c>
      <c r="I6" s="9">
        <f t="shared" si="1"/>
        <v>217.6931093</v>
      </c>
      <c r="J6" s="10">
        <v>29.552</v>
      </c>
      <c r="K6" s="11">
        <v>17.027</v>
      </c>
      <c r="L6" s="10">
        <v>14.96</v>
      </c>
      <c r="M6" s="11">
        <v>1.165</v>
      </c>
      <c r="N6" s="12">
        <f t="shared" si="2"/>
        <v>184.9091093</v>
      </c>
      <c r="O6" s="1"/>
      <c r="P6" s="2" t="s">
        <v>29</v>
      </c>
      <c r="Q6" s="2">
        <v>1000.0</v>
      </c>
      <c r="R6" s="1"/>
      <c r="S6" s="13">
        <v>0.412</v>
      </c>
      <c r="T6" s="1"/>
      <c r="U6" s="1"/>
      <c r="V6" s="1"/>
      <c r="W6" s="1"/>
      <c r="X6" s="1"/>
      <c r="Y6" s="1"/>
      <c r="Z6" s="1"/>
      <c r="AA6" s="1"/>
    </row>
    <row r="7">
      <c r="A7" s="3" t="s">
        <v>30</v>
      </c>
      <c r="B7" s="5" t="s">
        <v>19</v>
      </c>
      <c r="C7" s="5" t="s">
        <v>20</v>
      </c>
      <c r="D7" s="1"/>
      <c r="E7" s="2" t="s">
        <v>31</v>
      </c>
      <c r="F7" s="6" t="s">
        <v>32</v>
      </c>
      <c r="G7" s="7" t="s">
        <v>28</v>
      </c>
      <c r="H7" s="12">
        <v>33977.00000000002</v>
      </c>
      <c r="I7" s="9">
        <f t="shared" si="1"/>
        <v>10.464916</v>
      </c>
      <c r="J7" s="10">
        <v>12.418</v>
      </c>
      <c r="K7" s="11">
        <v>0.0</v>
      </c>
      <c r="L7" s="10">
        <v>6.995</v>
      </c>
      <c r="M7" s="11">
        <v>0.045</v>
      </c>
      <c r="N7" s="12">
        <f t="shared" si="2"/>
        <v>4.996916</v>
      </c>
      <c r="O7" s="1"/>
      <c r="P7" s="1"/>
      <c r="Q7" s="1"/>
      <c r="R7" s="1"/>
      <c r="S7" s="13">
        <v>0.084</v>
      </c>
      <c r="T7" s="1"/>
      <c r="U7" s="1"/>
      <c r="V7" s="1"/>
      <c r="W7" s="1"/>
      <c r="X7" s="1"/>
      <c r="Y7" s="1"/>
      <c r="Z7" s="1"/>
      <c r="AA7" s="1"/>
    </row>
    <row r="8">
      <c r="A8" s="3" t="s">
        <v>5</v>
      </c>
      <c r="B8" s="5">
        <f t="shared" ref="B8:B11" si="3">C8*1000</f>
        <v>104436</v>
      </c>
      <c r="C8" s="5">
        <f>SUM(J2:J999)</f>
        <v>104.436</v>
      </c>
      <c r="D8" s="1"/>
      <c r="E8" s="2"/>
      <c r="F8" s="2"/>
      <c r="G8" s="2"/>
      <c r="H8" s="2"/>
      <c r="I8" s="2"/>
      <c r="J8" s="16"/>
      <c r="K8" s="2"/>
      <c r="L8" s="16"/>
      <c r="M8" s="2"/>
      <c r="N8" s="5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" t="s">
        <v>33</v>
      </c>
      <c r="B9" s="5">
        <f t="shared" si="3"/>
        <v>17027</v>
      </c>
      <c r="C9" s="5">
        <f>SUM(K2:K999)</f>
        <v>17.027</v>
      </c>
      <c r="D9" s="1"/>
      <c r="E9" s="2"/>
      <c r="F9" s="11" t="s">
        <v>34</v>
      </c>
      <c r="G9" s="2"/>
      <c r="H9" s="2"/>
      <c r="I9" s="2"/>
      <c r="J9" s="16"/>
      <c r="K9" s="2"/>
      <c r="L9" s="16"/>
      <c r="M9" s="2"/>
      <c r="N9" s="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" t="s">
        <v>35</v>
      </c>
      <c r="B10" s="5">
        <f t="shared" si="3"/>
        <v>2703</v>
      </c>
      <c r="C10" s="5">
        <f>SUM(M2:M999)</f>
        <v>2.703</v>
      </c>
      <c r="D10" s="1"/>
      <c r="E10" s="2"/>
      <c r="F10" s="2"/>
      <c r="G10" s="2"/>
      <c r="H10" s="2"/>
      <c r="I10" s="2"/>
      <c r="J10" s="16"/>
      <c r="K10" s="2"/>
      <c r="L10" s="16"/>
      <c r="M10" s="2"/>
      <c r="N10" s="5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" t="s">
        <v>7</v>
      </c>
      <c r="B11" s="5">
        <f t="shared" si="3"/>
        <v>50755</v>
      </c>
      <c r="C11" s="5">
        <f>SUM(L2:L999)</f>
        <v>50.755</v>
      </c>
      <c r="D11" s="1"/>
      <c r="E11" s="11" t="s">
        <v>34</v>
      </c>
      <c r="F11" s="2"/>
      <c r="G11" s="2"/>
      <c r="H11" s="2"/>
      <c r="I11" s="2"/>
      <c r="J11" s="16"/>
      <c r="K11" s="2"/>
      <c r="L11" s="16"/>
      <c r="M11" s="2"/>
      <c r="N11" s="5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5"/>
      <c r="C12" s="5"/>
      <c r="D12" s="1"/>
      <c r="E12" s="2"/>
      <c r="F12" s="2"/>
      <c r="G12" s="2"/>
      <c r="H12" s="2"/>
      <c r="I12" s="2"/>
      <c r="J12" s="16"/>
      <c r="K12" s="2"/>
      <c r="L12" s="16"/>
      <c r="M12" s="2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" t="s">
        <v>36</v>
      </c>
      <c r="B13" s="5">
        <f>B14*1000</f>
        <v>124166</v>
      </c>
      <c r="C13" s="5"/>
      <c r="D13" s="1"/>
      <c r="E13" s="2"/>
      <c r="F13" s="2"/>
      <c r="G13" s="2"/>
      <c r="H13" s="2"/>
      <c r="I13" s="2"/>
      <c r="J13" s="16"/>
      <c r="K13" s="2"/>
      <c r="L13" s="16"/>
      <c r="M13" s="2"/>
      <c r="N13" s="5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" t="s">
        <v>37</v>
      </c>
      <c r="B14" s="5">
        <f>SUM(C8:C10)</f>
        <v>124.166</v>
      </c>
      <c r="C14" s="5"/>
      <c r="D14" s="1"/>
      <c r="E14" s="2"/>
      <c r="F14" s="2"/>
      <c r="G14" s="2"/>
      <c r="H14" s="2"/>
      <c r="I14" s="2"/>
      <c r="J14" s="16"/>
      <c r="K14" s="2"/>
      <c r="L14" s="16"/>
      <c r="M14" s="2"/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5"/>
      <c r="C15" s="5"/>
      <c r="D15" s="1"/>
      <c r="E15" s="2"/>
      <c r="F15" s="2"/>
      <c r="G15" s="2"/>
      <c r="H15" s="2"/>
      <c r="I15" s="2"/>
      <c r="J15" s="16"/>
      <c r="K15" s="2"/>
      <c r="L15" s="16"/>
      <c r="M15" s="2"/>
      <c r="N15" s="5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" t="s">
        <v>38</v>
      </c>
      <c r="B16" s="5">
        <f>B17*1000</f>
        <v>425585.8443</v>
      </c>
      <c r="C16" s="5"/>
      <c r="D16" s="1"/>
      <c r="E16" s="2"/>
      <c r="F16" s="2"/>
      <c r="G16" s="2"/>
      <c r="H16" s="2"/>
      <c r="I16" s="2"/>
      <c r="J16" s="16"/>
      <c r="K16" s="2"/>
      <c r="L16" s="16"/>
      <c r="M16" s="2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" t="s">
        <v>39</v>
      </c>
      <c r="B17" s="5">
        <f>C5-B14+C11</f>
        <v>425.5858443</v>
      </c>
      <c r="C17" s="5"/>
      <c r="D17" s="1"/>
      <c r="E17" s="2"/>
      <c r="F17" s="2"/>
      <c r="G17" s="2"/>
      <c r="H17" s="2"/>
      <c r="I17" s="2"/>
      <c r="J17" s="16"/>
      <c r="K17" s="2"/>
      <c r="L17" s="16"/>
      <c r="M17" s="2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2"/>
      <c r="F18" s="2"/>
      <c r="G18" s="2"/>
      <c r="H18" s="2"/>
      <c r="I18" s="2"/>
      <c r="J18" s="16"/>
      <c r="K18" s="2"/>
      <c r="L18" s="16"/>
      <c r="M18" s="2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1" t="s">
        <v>34</v>
      </c>
      <c r="F19" s="2"/>
      <c r="G19" s="2"/>
      <c r="H19" s="2"/>
      <c r="I19" s="2"/>
      <c r="J19" s="16"/>
      <c r="K19" s="2"/>
      <c r="L19" s="16"/>
      <c r="M19" s="2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2"/>
      <c r="F20" s="2"/>
      <c r="G20" s="2"/>
      <c r="H20" s="2"/>
      <c r="I20" s="2"/>
      <c r="J20" s="16"/>
      <c r="K20" s="2"/>
      <c r="L20" s="16"/>
      <c r="M20" s="2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2"/>
      <c r="F21" s="2"/>
      <c r="G21" s="2"/>
      <c r="H21" s="2"/>
      <c r="I21" s="2"/>
      <c r="J21" s="16"/>
      <c r="K21" s="2"/>
      <c r="L21" s="16"/>
      <c r="M21" s="2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2"/>
      <c r="F22" s="2"/>
      <c r="G22" s="2"/>
      <c r="H22" s="2"/>
      <c r="I22" s="2"/>
      <c r="J22" s="16"/>
      <c r="K22" s="2"/>
      <c r="L22" s="16"/>
      <c r="M22" s="2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2"/>
      <c r="F23" s="2"/>
      <c r="G23" s="2"/>
      <c r="H23" s="2"/>
      <c r="I23" s="2"/>
      <c r="J23" s="16"/>
      <c r="K23" s="2"/>
      <c r="L23" s="16"/>
      <c r="M23" s="2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2" t="s">
        <v>34</v>
      </c>
      <c r="C24" s="1"/>
      <c r="D24" s="1"/>
      <c r="E24" s="2"/>
      <c r="F24" s="2"/>
      <c r="G24" s="2"/>
      <c r="H24" s="2"/>
      <c r="I24" s="2"/>
      <c r="J24" s="16"/>
      <c r="K24" s="2"/>
      <c r="L24" s="16"/>
      <c r="M24" s="2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2"/>
      <c r="F25" s="2"/>
      <c r="G25" s="2"/>
      <c r="H25" s="2"/>
      <c r="I25" s="2"/>
      <c r="J25" s="16"/>
      <c r="K25" s="2"/>
      <c r="L25" s="16"/>
      <c r="M25" s="2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</sheetData>
  <hyperlinks>
    <hyperlink r:id="rId1" ref="F2"/>
    <hyperlink r:id="rId2" ref="F3"/>
    <hyperlink r:id="rId3" ref="F4"/>
    <hyperlink r:id="rId4" ref="F5"/>
    <hyperlink r:id="rId5" ref="F6"/>
    <hyperlink r:id="rId6" ref="F7"/>
  </hyperlinks>
  <printOptions/>
  <pageMargins bottom="1.0" footer="0.0" header="0.0" left="0.75" right="0.75" top="1.0"/>
  <pageSetup orientation="landscape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2026-04-10T19:30:37Z</dcterms:created>
  <dc:creator>openpyxl</dc:creator>
</cp:coreProperties>
</file>