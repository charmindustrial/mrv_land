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HG Entry" sheetId="3" state="visible" r:id="rId3"/>
    <sheet xmlns:r="http://schemas.openxmlformats.org/officeDocument/2006/relationships" name="GHG Entry Component" sheetId="4" state="visible" r:id="rId4"/>
    <sheet xmlns:r="http://schemas.openxmlformats.org/officeDocument/2006/relationships" name="Component" sheetId="5" state="visible" r:id="rId5"/>
    <sheet xmlns:r="http://schemas.openxmlformats.org/officeDocument/2006/relationships" name="Expression" sheetId="6" state="visible" r:id="rId6"/>
    <sheet xmlns:r="http://schemas.openxmlformats.org/officeDocument/2006/relationships" name="Datapoint" sheetId="7" state="visible" r:id="rId7"/>
    <sheet xmlns:r="http://schemas.openxmlformats.org/officeDocument/2006/relationships" name="Source" sheetId="8" state="visible" r:id="rId8"/>
    <sheet xmlns:r="http://schemas.openxmlformats.org/officeDocument/2006/relationships" name="List Values" sheetId="9" state="visible" r:id="rId9"/>
    <sheet xmlns:r="http://schemas.openxmlformats.org/officeDocument/2006/relationships" name="Measurement Loc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fdd0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an individual GHG entry</t>
      </text>
    </comment>
    <comment ref="B1" authorId="0" shapeId="0">
      <text>
        <t>Supplier provided identifier for GHG entry</t>
      </text>
    </comment>
    <comment ref="C1" authorId="0" shapeId="0">
      <text>
        <t>Date the GHG entry started</t>
      </text>
    </comment>
    <comment ref="D1" authorId="0" shapeId="0">
      <text>
        <t>Date the GHG entry completed</t>
      </text>
    </comment>
    <comment ref="E1" authorId="0" shapeId="0">
      <text>
        <t>Status of the GHG entry, e.g. Draft, Awaiting Verification, Verified</t>
      </text>
    </comment>
    <comment ref="F1" authorId="0" shapeId="0">
      <text>
        <t>Type of feedstock used in this GHG entry.</t>
      </text>
    </comment>
    <comment ref="G1" authorId="0" shapeId="0">
      <text>
        <t>Net CO₂e removed after uncertainty discounting, rounded to nearest 10kg</t>
      </text>
    </comment>
    <comment ref="H1" authorId="0" shapeId="0">
      <text>
        <t>Net CO₂e removed after uncertainty discounting, exactly, in kg</t>
      </text>
    </comment>
    <comment ref="I1" authorId="0" shapeId="0">
      <text>
        <t>Net CO₂e removed prior to uncertainty discounting, exactly, in kg</t>
      </text>
    </comment>
    <comment ref="J1" authorId="0" shapeId="0">
      <text>
        <t>Quantity of CO₂e to be discounted from 'CO₂e net removed before discount' in order to account for uncertainty in parameter values. See more information in the Project’s Project Design Document.</t>
      </text>
    </comment>
    <comment ref="K1" authorId="0" shapeId="0">
      <text>
        <t>Quantity of CO₂e stored, exactly, in kg</t>
      </text>
    </comment>
    <comment ref="L1" authorId="0" shapeId="0">
      <text>
        <t>Quantity of CO₂e emitted, exactly, in kg</t>
      </text>
    </comment>
    <comment ref="M1" authorId="0" shapeId="0">
      <text>
        <t>Quantity of counterfactual CO₂e emissions that is not eligible due to counterfactual storage duration. See more information in the Project’s Project Design Document.</t>
      </text>
    </comment>
    <comment ref="N1" authorId="0" shapeId="0">
      <text>
        <t>Quantity of CO₂e lost during the process, exactly, in kg</t>
      </text>
    </comment>
    <comment ref="O1" authorId="0" shapeId="0">
      <text>
        <t>Quantity of CO₂e reductions claimed using certificates allowed by our protocols, exactly, in kg</t>
      </text>
    </comment>
    <comment ref="P1" authorId="0" shapeId="0">
      <text>
        <t>Quantity of CO₂e to be discounted based on off-platform uncertainty calculations. This should only be used in cases where the supplier is calculating and applying uncertainty themselves. See more information in the Project’s Project Design Document.</t>
      </text>
    </comment>
  </commentList>
</comments>
</file>

<file path=xl/comments/comment2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specific GHG entry component</t>
      </text>
    </comment>
    <comment ref="B1" authorId="0" shapeId="0">
      <text>
        <t>Unique identification code of the component utilized (non-GHG entry specific)</t>
      </text>
    </comment>
    <comment ref="C1" authorId="0" shapeId="0">
      <text>
        <t>Name of the associated component given by the project developer</t>
      </text>
    </comment>
    <comment ref="D1" authorId="0" shapeId="0">
      <text>
        <t>Description of the associated component</t>
      </text>
    </comment>
    <comment ref="E1" authorId="0" shapeId="0">
      <text>
        <t>Unique descriptor for the component utilized, such as ‘grid_electricity_use'</t>
      </text>
    </comment>
    <comment ref="F1" authorId="0" shapeId="0">
      <text>
        <t>Name of the component utilized (non-GHG entry specific)</t>
      </text>
    </comment>
    <comment ref="G1" authorId="0" shapeId="0">
      <text>
        <t>ID of the GHG entry the GHG entry component is part of (GHG entry specific)</t>
      </text>
    </comment>
    <comment ref="H1" authorId="0" shapeId="0">
      <text>
        <t>Group of the GHG entry the GHG entry component is part of</t>
      </text>
    </comment>
    <comment ref="I1" authorId="0" shapeId="0">
      <text>
        <t>Quantity of CO₂e from the GHG entry component attributed to the GHG entry</t>
      </text>
    </comment>
    <comment ref="J1" authorId="0" shapeId="0">
      <text>
        <t>Standard deviation of quantity of CO₂e associated with the GHG entry component in kg. See more information in the Project’s Project Design Document.</t>
      </text>
    </comment>
    <comment ref="K1" authorId="0" shapeId="0">
      <text>
        <t>Quantity of CO₂e associated with the GHG entry component in kg</t>
      </text>
    </comment>
    <comment ref="L1" authorId="0" shapeId="0">
      <text>
        <t>Whether the component is fully or partially attributed to the GHG entry</t>
      </text>
    </comment>
    <comment ref="M1" authorId="0" shapeId="0">
      <text>
        <t>The attribution factor (0-1), quantifying the proportion of a component attributed to a GHG entry.</t>
      </text>
    </comment>
    <comment ref="N1" authorId="0" shapeId="0">
      <text>
        <t>Unique identification code of the datapoint backing up this attribution factor, if the GHG entry component is attributed</t>
      </text>
    </comment>
    <comment ref="O1" authorId="0" shapeId="0">
      <text>
        <t>Flux type: activity (emission), sequestration (storage), counterfactual</t>
      </text>
    </comment>
    <comment ref="P1" authorId="0" shapeId="0">
      <text>
        <t>Date when the process associated with the GHG entry component started</t>
      </text>
    </comment>
    <comment ref="Q1" authorId="0" shapeId="0">
      <text>
        <t>Date when the process associated with the GHG entry component ended</t>
      </text>
    </comment>
  </commentList>
</comments>
</file>

<file path=xl/comments/comment3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component</t>
      </text>
    </comment>
    <comment ref="B1" authorId="0" shapeId="0">
      <text>
        <t>Unique descriptor for the component utilized, such as ‘grid_electricity_use'</t>
      </text>
    </comment>
    <comment ref="C1" authorId="0" shapeId="0">
      <text>
        <t>Name of the component utilized (non-GHG entry specific)</t>
      </text>
    </comment>
    <comment ref="D1" authorId="0" shapeId="0">
      <text>
        <t>Quantity of CO₂e associated with the component in kg</t>
      </text>
    </comment>
    <comment ref="E1" authorId="0" shapeId="0">
      <text>
        <t>Standard deviation of quantity of CO₂e associated with the component in kg. See more information in the Project’s Project Design Document.</t>
      </text>
    </comment>
    <comment ref="F1" authorId="0" shapeId="0">
      <text>
        <t>Flux type: activity (emission), sequestration (storage), counterfactual</t>
      </text>
    </comment>
    <comment ref="G1" authorId="0" shapeId="0">
      <text>
        <t xml:space="preserve">Scope: GHG Entry, GHG Statement Emission or Project Emission </t>
      </text>
    </comment>
    <comment ref="H1" authorId="0" shapeId="0">
      <text>
        <t>Name of the component given by the project developer</t>
      </text>
    </comment>
    <comment ref="I1" authorId="0" shapeId="0">
      <text>
        <t>Description of the component</t>
      </text>
    </comment>
    <comment ref="J1" authorId="0" shapeId="0">
      <text>
        <t>Date the activity associated with the component started</t>
      </text>
    </comment>
    <comment ref="K1" authorId="0" shapeId="0">
      <text>
        <t>Date the activity associated with the component ended</t>
      </text>
    </comment>
    <comment ref="L1" authorId="0" shapeId="0">
      <text>
        <t>Supplier provided identifier for component</t>
      </text>
    </comment>
  </commentList>
</comments>
</file>

<file path=xl/comments/comment4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an expression</t>
      </text>
    </comment>
    <comment ref="B1" authorId="0" shapeId="0">
      <text>
        <t>ID of the component the expression is related to</t>
      </text>
    </comment>
    <comment ref="C1" authorId="0" shapeId="0">
      <text>
        <t>Name of the result of the expression</t>
      </text>
    </comment>
    <comment ref="D1" authorId="0" shapeId="0">
      <text>
        <t>The formula used to calculate the expression</t>
      </text>
    </comment>
    <comment ref="E1" authorId="0" shapeId="0">
      <text>
        <t>Result of the expression in SI units</t>
      </text>
    </comment>
    <comment ref="F1" authorId="0" shapeId="0">
      <text>
        <t>Standard deviation of expression result in SI units</t>
      </text>
    </comment>
    <comment ref="G1" authorId="0" shapeId="0">
      <text>
        <t>The SI units used</t>
      </text>
    </comment>
  </commentList>
</comments>
</file>

<file path=xl/comments/comment5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datapoint</t>
      </text>
    </comment>
    <comment ref="B1" authorId="0" shapeId="0">
      <text>
        <t>Type of datapoint:
 Derived - Derived from other calculations, for example Attribution Factors;
Constant - Scientific constants, for example the content of C in CO2;
Reported - Primary data;
Standard published value - Secondary data, for example published emission factors;</t>
      </text>
    </comment>
    <comment ref="C1" authorId="0" shapeId="0">
      <text>
        <t>Name of the datapoint given by the project developer</t>
      </text>
    </comment>
    <comment ref="D1" authorId="0" shapeId="0">
      <text>
        <t>Description of the datapoint</t>
      </text>
    </comment>
    <comment ref="E1" authorId="0" shapeId="0">
      <text>
        <t>Value of the datapoint in SI units</t>
      </text>
    </comment>
    <comment ref="F1" authorId="0" shapeId="0">
      <text>
        <t>Standard deviation associated with the value in SI units</t>
      </text>
    </comment>
    <comment ref="G1" authorId="0" shapeId="0">
      <text>
        <t>SI units of the datapoint</t>
      </text>
    </comment>
    <comment ref="H1" authorId="0" shapeId="0">
      <text>
        <t>Value of the datapoint in its original units submitted by the project developer</t>
      </text>
    </comment>
    <comment ref="I1" authorId="0" shapeId="0">
      <text>
        <t>Standard deviation associated with the value in original units</t>
      </text>
    </comment>
    <comment ref="J1" authorId="0" shapeId="0">
      <text>
        <t>Original units of the datapoint</t>
      </text>
    </comment>
    <comment ref="K1" authorId="0" shapeId="0">
      <text>
        <t>ID of a source associated with the datapoint</t>
      </text>
    </comment>
    <comment ref="L1" authorId="0" shapeId="0">
      <text>
        <t>Name of a source associated with the datapoint</t>
      </text>
    </comment>
    <comment ref="M1" authorId="0" shapeId="0">
      <text>
        <t>ID of a source associated with the datapoint</t>
      </text>
    </comment>
    <comment ref="N1" authorId="0" shapeId="0">
      <text>
        <t>Name of a source associated with the datapoint</t>
      </text>
    </comment>
    <comment ref="O1" authorId="0" shapeId="0">
      <text>
        <t>ID of a source associated with the datapoint</t>
      </text>
    </comment>
    <comment ref="P1" authorId="0" shapeId="0">
      <text>
        <t>Name of a source associated with the datapoint</t>
      </text>
    </comment>
    <comment ref="Q1" authorId="0" shapeId="0">
      <text>
        <t>Supplier provided identifier for datapoint</t>
      </text>
    </comment>
    <comment ref="R1" authorId="0" shapeId="0">
      <text>
        <t>ID of measurement location</t>
      </text>
    </comment>
  </commentList>
</comments>
</file>

<file path=xl/comments/comment6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source</t>
      </text>
    </comment>
    <comment ref="B1" authorId="0" shapeId="0">
      <text>
        <t>Type of source: document, email correspondence, scientific article, spreadsheet, website</t>
      </text>
    </comment>
    <comment ref="C1" authorId="0" shapeId="0">
      <text>
        <t>Name of the source given by the project developer</t>
      </text>
    </comment>
    <comment ref="D1" authorId="0" shapeId="0">
      <text>
        <t>Date the source was published at</t>
      </text>
    </comment>
    <comment ref="E1" authorId="0" shapeId="0">
      <text>
        <t>Page in the Isometric system where this source can be viewed</t>
      </text>
    </comment>
    <comment ref="F1" authorId="0" shapeId="0">
      <text>
        <t>Supplier provided identifier for source</t>
      </text>
    </comment>
  </commentList>
</comments>
</file>

<file path=xl/comments/comment7.xml><?xml version="1.0" encoding="utf-8"?>
<comments xmlns="http://schemas.openxmlformats.org/spreadsheetml/2006/main">
  <authors>
    <author>Isometric</author>
  </authors>
  <commentList>
    <comment ref="A1" authorId="0" shapeId="0">
      <text>
        <t>ID of the expression that this value is an input to</t>
      </text>
    </comment>
    <comment ref="B1" authorId="0" shapeId="0">
      <text>
        <t>ID of the expression that this value is a result of. Only present if the value does not come from a datapoint.</t>
      </text>
    </comment>
    <comment ref="C1" authorId="0" shapeId="0">
      <text>
        <t>ID of the datapoint used that this value is derived from. It is empty if the value is not derived from another expression</t>
      </text>
    </comment>
    <comment ref="D1" authorId="0" shapeId="0">
      <text>
        <t>The name of the variable used in the expression</t>
      </text>
    </comment>
    <comment ref="E1" authorId="0" shapeId="0">
      <text>
        <t>The value of the variable</t>
      </text>
    </comment>
    <comment ref="F1" authorId="0" shapeId="0">
      <text>
        <t>The unit of the variable</t>
      </text>
    </comment>
    <comment ref="G1" authorId="0" shapeId="0">
      <text>
        <t>The index of the value in the list</t>
      </text>
    </comment>
  </commentList>
</comments>
</file>

<file path=xl/comments/comment8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measurement location</t>
      </text>
    </comment>
    <comment ref="B1" authorId="0" shapeId="0">
      <text>
        <t>Supplier provided identifier for measurement location</t>
      </text>
    </comment>
    <comment ref="C1" authorId="0" shapeId="0">
      <text>
        <t>Latitude of the measurement location</t>
      </text>
    </comment>
    <comment ref="D1" authorId="0" shapeId="0">
      <text>
        <t>Longitude of the measurement location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27003375" cy="26212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Tab</t>
        </is>
      </c>
      <c r="B1" s="1" t="inlineStr">
        <is>
          <t>Tab purpose</t>
        </is>
      </c>
    </row>
    <row r="2">
      <c r="A2" t="inlineStr">
        <is>
          <t>Summary</t>
        </is>
      </c>
      <c r="B2" t="inlineStr">
        <is>
          <t>Overall metrics on all the GHG entries in this data download</t>
        </is>
      </c>
      <c r="J2" s="2" t="inlineStr">
        <is>
          <t>highlighted columns indicate the primary value for a sheet</t>
        </is>
      </c>
    </row>
    <row r="3">
      <c r="A3" t="inlineStr">
        <is>
          <t>GHG Entry</t>
        </is>
      </c>
      <c r="B3" t="inlineStr">
        <is>
          <t>A list of high level metrics for individual GHG entries that are part of this data download</t>
        </is>
      </c>
    </row>
    <row r="4">
      <c r="A4" t="inlineStr">
        <is>
          <t>GHG Entry Component</t>
        </is>
      </c>
      <c r="B4" t="inlineStr">
        <is>
          <t>A list of the GHG entry components that are attributed to GHG entries</t>
        </is>
      </c>
    </row>
    <row r="5">
      <c r="A5" t="inlineStr">
        <is>
          <t>Component</t>
        </is>
      </c>
      <c r="B5" t="inlineStr">
        <is>
          <t>A list of the components used to create GHG entry components</t>
        </is>
      </c>
    </row>
    <row r="6">
      <c r="A6" t="inlineStr">
        <is>
          <t>Expression</t>
        </is>
      </c>
      <c r="B6" t="inlineStr">
        <is>
          <t>A list of the formulae used to calculate components from selected datapoints</t>
        </is>
      </c>
    </row>
    <row r="7">
      <c r="A7" t="inlineStr">
        <is>
          <t>Datapoint</t>
        </is>
      </c>
      <c r="B7" t="inlineStr">
        <is>
          <t>All scalar datapoints used as part of expressions in GHG entry quantification</t>
        </is>
      </c>
    </row>
    <row r="8">
      <c r="A8" t="inlineStr">
        <is>
          <t>Source</t>
        </is>
      </c>
      <c r="B8" t="inlineStr">
        <is>
          <t>A list of sources evidencing datapoints</t>
        </is>
      </c>
    </row>
    <row r="9">
      <c r="A9" t="inlineStr">
        <is>
          <t>List Values</t>
        </is>
      </c>
      <c r="B9" t="inlineStr">
        <is>
          <t>All list datapoints used as part of expressions in GHG entry quantification</t>
        </is>
      </c>
    </row>
    <row r="10">
      <c r="A10" t="inlineStr">
        <is>
          <t>Measurement Locations</t>
        </is>
      </c>
      <c r="B10" t="inlineStr">
        <is>
          <t>A list of measurement locations used in datapoints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This is an export from the Isometric Certify platform</t>
        </is>
      </c>
      <c r="B1" t="inlineStr"/>
    </row>
    <row r="2">
      <c r="A2" t="inlineStr">
        <is>
          <t>Go to your account at https://registry.isometric.com/ to see this data live in the platform</t>
        </is>
      </c>
      <c r="B2" t="inlineStr"/>
    </row>
    <row r="3">
      <c r="A3" t="inlineStr"/>
      <c r="B3" t="inlineStr"/>
    </row>
    <row r="4">
      <c r="A4" t="inlineStr">
        <is>
          <t>Exported generated at</t>
        </is>
      </c>
      <c r="B4" s="3" t="n">
        <v>46241.80566220883</v>
      </c>
    </row>
    <row r="5">
      <c r="A5" t="inlineStr"/>
      <c r="B5" t="inlineStr"/>
    </row>
    <row r="6">
      <c r="A6" t="inlineStr">
        <is>
          <t>Supplier name</t>
        </is>
      </c>
      <c r="B6" t="inlineStr">
        <is>
          <t>Charm Industrial</t>
        </is>
      </c>
    </row>
    <row r="7">
      <c r="A7" t="inlineStr">
        <is>
          <t>Project name</t>
        </is>
      </c>
      <c r="B7" t="inlineStr">
        <is>
          <t>Charm Range &amp; Plains Biochar</t>
        </is>
      </c>
    </row>
    <row r="8">
      <c r="A8" t="inlineStr">
        <is>
          <t>Project ID</t>
        </is>
      </c>
      <c r="B8" t="inlineStr">
        <is>
          <t>prj_1JN6XNWDQ1S0BSN7</t>
        </is>
      </c>
    </row>
    <row r="9">
      <c r="A9" t="inlineStr">
        <is>
          <t>Project url</t>
        </is>
      </c>
      <c r="B9" t="inlineStr">
        <is>
          <t>https://to.isometric.com/prj_1JN6XNWDQ1S0BSN7</t>
        </is>
      </c>
    </row>
    <row r="10">
      <c r="A10" t="inlineStr"/>
      <c r="B10" t="inlineStr"/>
    </row>
    <row r="11">
      <c r="A11" t="inlineStr">
        <is>
          <t>Number of GHG entries</t>
        </is>
      </c>
      <c r="B11" t="n">
        <v>31</v>
      </c>
    </row>
    <row r="12">
      <c r="A12" t="inlineStr">
        <is>
          <t>Total CO₂e removed being claimed (t)</t>
        </is>
      </c>
      <c r="B12">
        <f>SUM('GHG Entry'!G2:G33)/1000</f>
        <v/>
      </c>
    </row>
    <row r="13">
      <c r="A13" t="inlineStr">
        <is>
          <t>For further information on uncertainty, counterfactuals and LCA assumptions see the associated Project Design Document.</t>
        </is>
      </c>
      <c r="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GHG Entry ID</t>
        </is>
      </c>
      <c r="B1" s="1" t="inlineStr">
        <is>
          <t>Supplier reference ID</t>
        </is>
      </c>
      <c r="C1" s="1" t="inlineStr">
        <is>
          <t>Date GHG entry started</t>
        </is>
      </c>
      <c r="D1" s="1" t="inlineStr">
        <is>
          <t>Date GHG entry completed</t>
        </is>
      </c>
      <c r="E1" s="1" t="inlineStr">
        <is>
          <t>GHG Entry Status</t>
        </is>
      </c>
      <c r="F1" s="1" t="inlineStr">
        <is>
          <t>Feedstock type</t>
        </is>
      </c>
      <c r="G1" s="4" t="inlineStr">
        <is>
          <t>Discounted CO₂e net removed, rounded (kg)</t>
        </is>
      </c>
      <c r="H1" s="1" t="inlineStr">
        <is>
          <t>Discounted CO₂e net removed (kg)</t>
        </is>
      </c>
      <c r="I1" s="1" t="inlineStr">
        <is>
          <t>CO₂e net removed before discount (kg)</t>
        </is>
      </c>
      <c r="J1" s="1" t="inlineStr">
        <is>
          <t>CO₂e uncertainty discount (kg)</t>
        </is>
      </c>
      <c r="K1" s="1" t="inlineStr">
        <is>
          <t>CO₂e gross removed (kg)</t>
        </is>
      </c>
      <c r="L1" s="1" t="inlineStr">
        <is>
          <t>CO₂e emitted (kg)</t>
        </is>
      </c>
      <c r="M1" s="1" t="inlineStr">
        <is>
          <t>Counterfactual CO₂e flux (kg)</t>
        </is>
      </c>
      <c r="N1" s="1" t="inlineStr">
        <is>
          <t>Loss CO₂e flux (kg)</t>
        </is>
      </c>
      <c r="O1" s="1" t="inlineStr">
        <is>
          <t>Reductions CO₂e flux (kg)</t>
        </is>
      </c>
      <c r="P1" s="1" t="inlineStr">
        <is>
          <t>Manually applied uncertainty discount CO₂e flux (kg)</t>
        </is>
      </c>
    </row>
    <row r="2">
      <c r="G2" s="2" t="n"/>
    </row>
    <row r="3">
      <c r="A3" t="inlineStr">
        <is>
          <t>rmv_1KWCC0FY31S0QD5T</t>
        </is>
      </c>
      <c r="B3" t="inlineStr">
        <is>
          <t>ba_qmYrgSRZl4GSSb1G</t>
        </is>
      </c>
      <c r="C3" s="5" t="n">
        <v>46172</v>
      </c>
      <c r="D3" s="5" t="n">
        <v>46172</v>
      </c>
      <c r="E3" t="inlineStr">
        <is>
          <t>draft</t>
        </is>
      </c>
      <c r="F3" t="inlineStr"/>
      <c r="G3" s="2">
        <f>ROUND(H3, -1)</f>
        <v/>
      </c>
      <c r="H3">
        <f>I3 - J3</f>
        <v/>
      </c>
      <c r="I3">
        <f>K3 - L3 - M3 - N3 + O3 - P3</f>
        <v/>
      </c>
      <c r="J3" t="n">
        <v>0</v>
      </c>
      <c r="K3">
        <f>'GHG Entry Component'!I4</f>
        <v/>
      </c>
      <c r="L3">
        <f>'GHG Entry Component'!I3+'GHG Entry Component'!I7+'GHG Entry Component'!I5+'GHG Entry Component'!I6+'GHG Entry Component'!I9</f>
        <v/>
      </c>
      <c r="M3" t="inlineStr">
        <is>
          <t>0</t>
        </is>
      </c>
      <c r="N3" t="inlineStr">
        <is>
          <t>0</t>
        </is>
      </c>
      <c r="O3">
        <f>'GHG Entry Component'!I8</f>
        <v/>
      </c>
      <c r="P3" t="inlineStr">
        <is>
          <t>0</t>
        </is>
      </c>
    </row>
    <row r="4">
      <c r="A4" t="inlineStr">
        <is>
          <t>rmv_1KWCSDFQF1S0CSCB</t>
        </is>
      </c>
      <c r="B4" t="inlineStr">
        <is>
          <t>ba_9kP9SwYZMlGNTqqx</t>
        </is>
      </c>
      <c r="C4" s="5" t="n">
        <v>46172</v>
      </c>
      <c r="D4" s="5" t="n">
        <v>46172</v>
      </c>
      <c r="E4" t="inlineStr">
        <is>
          <t>draft</t>
        </is>
      </c>
      <c r="F4" t="inlineStr"/>
      <c r="G4" s="2">
        <f>ROUND(H4, -1)</f>
        <v/>
      </c>
      <c r="H4">
        <f>I4 - J4</f>
        <v/>
      </c>
      <c r="I4">
        <f>K4 - L4 - M4 - N4 + O4 - P4</f>
        <v/>
      </c>
      <c r="J4" t="n">
        <v>0</v>
      </c>
      <c r="K4">
        <f>'GHG Entry Component'!I13</f>
        <v/>
      </c>
      <c r="L4">
        <f>'GHG Entry Component'!I12+'GHG Entry Component'!I11+'GHG Entry Component'!I14+'GHG Entry Component'!I10</f>
        <v/>
      </c>
      <c r="M4" t="inlineStr">
        <is>
          <t>0</t>
        </is>
      </c>
      <c r="N4" t="inlineStr">
        <is>
          <t>0</t>
        </is>
      </c>
      <c r="O4">
        <f>'GHG Entry Component'!I15</f>
        <v/>
      </c>
      <c r="P4" t="inlineStr">
        <is>
          <t>0</t>
        </is>
      </c>
    </row>
    <row r="5">
      <c r="A5" t="inlineStr">
        <is>
          <t>rmv_1KWCY0G8W1S0931T</t>
        </is>
      </c>
      <c r="B5" t="inlineStr">
        <is>
          <t>ba_tHRLhKtxK34N9epQ</t>
        </is>
      </c>
      <c r="C5" s="5" t="n">
        <v>46172</v>
      </c>
      <c r="D5" s="5" t="n">
        <v>46172</v>
      </c>
      <c r="E5" t="inlineStr">
        <is>
          <t>draft</t>
        </is>
      </c>
      <c r="F5" t="inlineStr"/>
      <c r="G5" s="2">
        <f>ROUND(H5, -1)</f>
        <v/>
      </c>
      <c r="H5">
        <f>I5 - J5</f>
        <v/>
      </c>
      <c r="I5">
        <f>K5 - L5 - M5 - N5 + O5 - P5</f>
        <v/>
      </c>
      <c r="J5" t="n">
        <v>0</v>
      </c>
      <c r="K5">
        <f>'GHG Entry Component'!I19</f>
        <v/>
      </c>
      <c r="L5">
        <f>'GHG Entry Component'!I18+'GHG Entry Component'!I17+'GHG Entry Component'!I20+'GHG Entry Component'!I16</f>
        <v/>
      </c>
      <c r="M5" t="inlineStr">
        <is>
          <t>0</t>
        </is>
      </c>
      <c r="N5" t="inlineStr">
        <is>
          <t>0</t>
        </is>
      </c>
      <c r="O5">
        <f>'GHG Entry Component'!I21</f>
        <v/>
      </c>
      <c r="P5" t="inlineStr">
        <is>
          <t>0</t>
        </is>
      </c>
    </row>
    <row r="6">
      <c r="A6" t="inlineStr">
        <is>
          <t>rmv_1KWCZP1M61S02KMH</t>
        </is>
      </c>
      <c r="B6" t="inlineStr">
        <is>
          <t>ba_T8zfcMUbDDHUruuA</t>
        </is>
      </c>
      <c r="C6" s="5" t="n">
        <v>46172</v>
      </c>
      <c r="D6" s="5" t="n">
        <v>46172</v>
      </c>
      <c r="E6" t="inlineStr">
        <is>
          <t>draft</t>
        </is>
      </c>
      <c r="F6" t="inlineStr"/>
      <c r="G6" s="2">
        <f>ROUND(H6, -1)</f>
        <v/>
      </c>
      <c r="H6">
        <f>I6 - J6</f>
        <v/>
      </c>
      <c r="I6">
        <f>K6 - L6 - M6 - N6 + O6 - P6</f>
        <v/>
      </c>
      <c r="J6" t="n">
        <v>0</v>
      </c>
      <c r="K6">
        <f>'GHG Entry Component'!I23</f>
        <v/>
      </c>
      <c r="L6">
        <f>'GHG Entry Component'!I22+'GHG Entry Component'!I26+'GHG Entry Component'!I24+'GHG Entry Component'!I25</f>
        <v/>
      </c>
      <c r="M6" t="inlineStr">
        <is>
          <t>0</t>
        </is>
      </c>
      <c r="N6" t="inlineStr">
        <is>
          <t>0</t>
        </is>
      </c>
      <c r="O6">
        <f>'GHG Entry Component'!I27</f>
        <v/>
      </c>
      <c r="P6" t="inlineStr">
        <is>
          <t>0</t>
        </is>
      </c>
    </row>
    <row r="7">
      <c r="A7" t="inlineStr">
        <is>
          <t>rmv_1KXE4AHAG1S0AK0A</t>
        </is>
      </c>
      <c r="B7" t="inlineStr">
        <is>
          <t>ba_lwnWhNsjh8WoV53l</t>
        </is>
      </c>
      <c r="C7" s="5" t="n">
        <v>46172</v>
      </c>
      <c r="D7" s="5" t="n">
        <v>46172</v>
      </c>
      <c r="E7" t="inlineStr">
        <is>
          <t>draft</t>
        </is>
      </c>
      <c r="F7" t="inlineStr"/>
      <c r="G7" s="2">
        <f>ROUND(H7, -1)</f>
        <v/>
      </c>
      <c r="H7">
        <f>I7 - J7</f>
        <v/>
      </c>
      <c r="I7">
        <f>K7 - L7 - M7 - N7 + O7 - P7</f>
        <v/>
      </c>
      <c r="J7" t="n">
        <v>0</v>
      </c>
      <c r="K7">
        <f>'GHG Entry Component'!I31</f>
        <v/>
      </c>
      <c r="L7">
        <f>'GHG Entry Component'!I30+'GHG Entry Component'!I29+'GHG Entry Component'!I32+'GHG Entry Component'!I28</f>
        <v/>
      </c>
      <c r="M7" t="inlineStr">
        <is>
          <t>0</t>
        </is>
      </c>
      <c r="N7" t="inlineStr">
        <is>
          <t>0</t>
        </is>
      </c>
      <c r="O7">
        <f>'GHG Entry Component'!I33</f>
        <v/>
      </c>
      <c r="P7" t="inlineStr">
        <is>
          <t>0</t>
        </is>
      </c>
    </row>
    <row r="8">
      <c r="A8" t="inlineStr">
        <is>
          <t>rmv_1KXEA1TH21S04EG0</t>
        </is>
      </c>
      <c r="B8" t="inlineStr">
        <is>
          <t>ba_Z9EfWkX89iM3ii1v</t>
        </is>
      </c>
      <c r="C8" s="5" t="n">
        <v>46172</v>
      </c>
      <c r="D8" s="5" t="n">
        <v>46172</v>
      </c>
      <c r="E8" t="inlineStr">
        <is>
          <t>draft</t>
        </is>
      </c>
      <c r="F8" t="inlineStr"/>
      <c r="G8" s="2">
        <f>ROUND(H8, -1)</f>
        <v/>
      </c>
      <c r="H8">
        <f>I8 - J8</f>
        <v/>
      </c>
      <c r="I8">
        <f>K8 - L8 - M8 - N8 + O8 - P8</f>
        <v/>
      </c>
      <c r="J8" t="n">
        <v>0</v>
      </c>
      <c r="K8">
        <f>'GHG Entry Component'!I36</f>
        <v/>
      </c>
      <c r="L8">
        <f>'GHG Entry Component'!I35+'GHG Entry Component'!I34+'GHG Entry Component'!I37+'GHG Entry Component'!I38</f>
        <v/>
      </c>
      <c r="M8" t="inlineStr">
        <is>
          <t>0</t>
        </is>
      </c>
      <c r="N8" t="inlineStr">
        <is>
          <t>0</t>
        </is>
      </c>
      <c r="O8">
        <f>'GHG Entry Component'!I39</f>
        <v/>
      </c>
      <c r="P8" t="inlineStr">
        <is>
          <t>0</t>
        </is>
      </c>
    </row>
    <row r="9">
      <c r="A9" t="inlineStr">
        <is>
          <t>rmv_1KXEBV2PW1S0A79A</t>
        </is>
      </c>
      <c r="B9" t="inlineStr">
        <is>
          <t>ba_VWf4sxkY2EscDW5o</t>
        </is>
      </c>
      <c r="C9" s="5" t="n">
        <v>46172</v>
      </c>
      <c r="D9" s="5" t="n">
        <v>46172</v>
      </c>
      <c r="E9" t="inlineStr">
        <is>
          <t>draft</t>
        </is>
      </c>
      <c r="F9" t="inlineStr"/>
      <c r="G9" s="2">
        <f>ROUND(H9, -1)</f>
        <v/>
      </c>
      <c r="H9">
        <f>I9 - J9</f>
        <v/>
      </c>
      <c r="I9">
        <f>K9 - L9 - M9 - N9 + O9 - P9</f>
        <v/>
      </c>
      <c r="J9" t="n">
        <v>0</v>
      </c>
      <c r="K9">
        <f>'GHG Entry Component'!I43</f>
        <v/>
      </c>
      <c r="L9">
        <f>'GHG Entry Component'!I42+'GHG Entry Component'!I41+'GHG Entry Component'!I44+'GHG Entry Component'!I40</f>
        <v/>
      </c>
      <c r="M9" t="inlineStr">
        <is>
          <t>0</t>
        </is>
      </c>
      <c r="N9" t="inlineStr">
        <is>
          <t>0</t>
        </is>
      </c>
      <c r="O9">
        <f>'GHG Entry Component'!I45</f>
        <v/>
      </c>
      <c r="P9" t="inlineStr">
        <is>
          <t>0</t>
        </is>
      </c>
    </row>
    <row r="10">
      <c r="A10" t="inlineStr">
        <is>
          <t>rmv_1KXECAV741S0SM2Q</t>
        </is>
      </c>
      <c r="B10" t="inlineStr">
        <is>
          <t>ba_oE4jAK80l7BJyFMg</t>
        </is>
      </c>
      <c r="C10" s="5" t="n">
        <v>46172</v>
      </c>
      <c r="D10" s="5" t="n">
        <v>46172</v>
      </c>
      <c r="E10" t="inlineStr">
        <is>
          <t>draft</t>
        </is>
      </c>
      <c r="F10" t="inlineStr"/>
      <c r="G10" s="2">
        <f>ROUND(H10, -1)</f>
        <v/>
      </c>
      <c r="H10">
        <f>I10 - J10</f>
        <v/>
      </c>
      <c r="I10">
        <f>K10 - L10 - M10 - N10 + O10 - P10</f>
        <v/>
      </c>
      <c r="J10" t="n">
        <v>0</v>
      </c>
      <c r="K10">
        <f>'GHG Entry Component'!I49</f>
        <v/>
      </c>
      <c r="L10">
        <f>'GHG Entry Component'!I48+'GHG Entry Component'!I47+'GHG Entry Component'!I50+'GHG Entry Component'!I46</f>
        <v/>
      </c>
      <c r="M10" t="inlineStr">
        <is>
          <t>0</t>
        </is>
      </c>
      <c r="N10" t="inlineStr">
        <is>
          <t>0</t>
        </is>
      </c>
      <c r="O10">
        <f>'GHG Entry Component'!I51</f>
        <v/>
      </c>
      <c r="P10" t="inlineStr">
        <is>
          <t>0</t>
        </is>
      </c>
    </row>
    <row r="11">
      <c r="A11" t="inlineStr">
        <is>
          <t>rmv_1KXEHAAVZ1S0VXRD</t>
        </is>
      </c>
      <c r="B11" t="inlineStr">
        <is>
          <t>ba_yYdKOBIvyBMfCOdf</t>
        </is>
      </c>
      <c r="C11" s="5" t="n">
        <v>46179</v>
      </c>
      <c r="D11" s="5" t="n">
        <v>46179</v>
      </c>
      <c r="E11" t="inlineStr">
        <is>
          <t>draft</t>
        </is>
      </c>
      <c r="F11" t="inlineStr"/>
      <c r="G11" s="2">
        <f>ROUND(H11, -1)</f>
        <v/>
      </c>
      <c r="H11">
        <f>I11 - J11</f>
        <v/>
      </c>
      <c r="I11">
        <f>K11 - L11 - M11 - N11 + O11 - P11</f>
        <v/>
      </c>
      <c r="J11" t="n">
        <v>0</v>
      </c>
      <c r="K11">
        <f>'GHG Entry Component'!I53</f>
        <v/>
      </c>
      <c r="L11">
        <f>'GHG Entry Component'!I52+'GHG Entry Component'!I56+'GHG Entry Component'!I54+'GHG Entry Component'!I55</f>
        <v/>
      </c>
      <c r="M11" t="inlineStr">
        <is>
          <t>0</t>
        </is>
      </c>
      <c r="N11" t="inlineStr">
        <is>
          <t>0</t>
        </is>
      </c>
      <c r="O11">
        <f>'GHG Entry Component'!I57</f>
        <v/>
      </c>
      <c r="P11" t="inlineStr">
        <is>
          <t>0</t>
        </is>
      </c>
    </row>
    <row r="12">
      <c r="A12" t="inlineStr">
        <is>
          <t>rmv_1KXEJCGYM1S09J0R</t>
        </is>
      </c>
      <c r="B12" t="inlineStr">
        <is>
          <t>ba_ZmHB6yt6Jtzs0PTW</t>
        </is>
      </c>
      <c r="C12" s="5" t="n">
        <v>46179</v>
      </c>
      <c r="D12" s="5" t="n">
        <v>46179</v>
      </c>
      <c r="E12" t="inlineStr">
        <is>
          <t>draft</t>
        </is>
      </c>
      <c r="F12" t="inlineStr"/>
      <c r="G12" s="2">
        <f>ROUND(H12, -1)</f>
        <v/>
      </c>
      <c r="H12">
        <f>I12 - J12</f>
        <v/>
      </c>
      <c r="I12">
        <f>K12 - L12 - M12 - N12 + O12 - P12</f>
        <v/>
      </c>
      <c r="J12" t="n">
        <v>0</v>
      </c>
      <c r="K12">
        <f>'GHG Entry Component'!I61</f>
        <v/>
      </c>
      <c r="L12">
        <f>'GHG Entry Component'!I60+'GHG Entry Component'!I59+'GHG Entry Component'!I62+'GHG Entry Component'!I58</f>
        <v/>
      </c>
      <c r="M12" t="inlineStr">
        <is>
          <t>0</t>
        </is>
      </c>
      <c r="N12" t="inlineStr">
        <is>
          <t>0</t>
        </is>
      </c>
      <c r="O12">
        <f>'GHG Entry Component'!I63</f>
        <v/>
      </c>
      <c r="P12" t="inlineStr">
        <is>
          <t>0</t>
        </is>
      </c>
    </row>
    <row r="13">
      <c r="A13" t="inlineStr">
        <is>
          <t>rmv_1KXEJD28G1S07DZM</t>
        </is>
      </c>
      <c r="B13" t="inlineStr">
        <is>
          <t>ba_Sm5nzKG9gj21Dxl1</t>
        </is>
      </c>
      <c r="C13" s="5" t="n">
        <v>46179</v>
      </c>
      <c r="D13" s="5" t="n">
        <v>46179</v>
      </c>
      <c r="E13" t="inlineStr">
        <is>
          <t>draft</t>
        </is>
      </c>
      <c r="F13" t="inlineStr"/>
      <c r="G13" s="2">
        <f>ROUND(H13, -1)</f>
        <v/>
      </c>
      <c r="H13">
        <f>I13 - J13</f>
        <v/>
      </c>
      <c r="I13">
        <f>K13 - L13 - M13 - N13 + O13 - P13</f>
        <v/>
      </c>
      <c r="J13" t="n">
        <v>0</v>
      </c>
      <c r="K13">
        <f>'GHG Entry Component'!I66</f>
        <v/>
      </c>
      <c r="L13">
        <f>'GHG Entry Component'!I65+'GHG Entry Component'!I64+'GHG Entry Component'!I67+'GHG Entry Component'!I68</f>
        <v/>
      </c>
      <c r="M13" t="inlineStr">
        <is>
          <t>0</t>
        </is>
      </c>
      <c r="N13" t="inlineStr">
        <is>
          <t>0</t>
        </is>
      </c>
      <c r="O13">
        <f>'GHG Entry Component'!I69</f>
        <v/>
      </c>
      <c r="P13" t="inlineStr">
        <is>
          <t>0</t>
        </is>
      </c>
    </row>
    <row r="14">
      <c r="A14" t="inlineStr">
        <is>
          <t>rmv_1KXERCP431S0TG4A</t>
        </is>
      </c>
      <c r="B14" t="inlineStr">
        <is>
          <t>ba_7FH3EjYwQp16ttVc</t>
        </is>
      </c>
      <c r="C14" s="5" t="n">
        <v>46179</v>
      </c>
      <c r="D14" s="5" t="n">
        <v>46179</v>
      </c>
      <c r="E14" t="inlineStr">
        <is>
          <t>draft</t>
        </is>
      </c>
      <c r="F14" t="inlineStr"/>
      <c r="G14" s="2">
        <f>ROUND(H14, -1)</f>
        <v/>
      </c>
      <c r="H14">
        <f>I14 - J14</f>
        <v/>
      </c>
      <c r="I14">
        <f>K14 - L14 - M14 - N14 + O14 - P14</f>
        <v/>
      </c>
      <c r="J14" t="n">
        <v>0</v>
      </c>
      <c r="K14">
        <f>'GHG Entry Component'!I71</f>
        <v/>
      </c>
      <c r="L14">
        <f>'GHG Entry Component'!I70+'GHG Entry Component'!I74+'GHG Entry Component'!I72+'GHG Entry Component'!I73</f>
        <v/>
      </c>
      <c r="M14" t="inlineStr">
        <is>
          <t>0</t>
        </is>
      </c>
      <c r="N14" t="inlineStr">
        <is>
          <t>0</t>
        </is>
      </c>
      <c r="O14">
        <f>'GHG Entry Component'!I75</f>
        <v/>
      </c>
      <c r="P14" t="inlineStr">
        <is>
          <t>0</t>
        </is>
      </c>
    </row>
    <row r="15">
      <c r="A15" t="inlineStr">
        <is>
          <t>rmv_1KXERD7151S0RC36</t>
        </is>
      </c>
      <c r="B15" t="inlineStr">
        <is>
          <t>ba_bVEAvO9legIMhHcD</t>
        </is>
      </c>
      <c r="C15" s="5" t="n">
        <v>46179</v>
      </c>
      <c r="D15" s="5" t="n">
        <v>46179</v>
      </c>
      <c r="E15" t="inlineStr">
        <is>
          <t>draft</t>
        </is>
      </c>
      <c r="F15" t="inlineStr"/>
      <c r="G15" s="2">
        <f>ROUND(H15, -1)</f>
        <v/>
      </c>
      <c r="H15">
        <f>I15 - J15</f>
        <v/>
      </c>
      <c r="I15">
        <f>K15 - L15 - M15 - N15 + O15 - P15</f>
        <v/>
      </c>
      <c r="J15" t="n">
        <v>0</v>
      </c>
      <c r="K15">
        <f>'GHG Entry Component'!I77</f>
        <v/>
      </c>
      <c r="L15">
        <f>'GHG Entry Component'!I76+'GHG Entry Component'!I80+'GHG Entry Component'!I78+'GHG Entry Component'!I79</f>
        <v/>
      </c>
      <c r="M15" t="inlineStr">
        <is>
          <t>0</t>
        </is>
      </c>
      <c r="N15" t="inlineStr">
        <is>
          <t>0</t>
        </is>
      </c>
      <c r="O15">
        <f>'GHG Entry Component'!I81</f>
        <v/>
      </c>
      <c r="P15" t="inlineStr">
        <is>
          <t>0</t>
        </is>
      </c>
    </row>
    <row r="16">
      <c r="A16" t="inlineStr">
        <is>
          <t>rmv_1KXGK2Y3V1S0HT4A</t>
        </is>
      </c>
      <c r="B16" t="inlineStr">
        <is>
          <t>ba_fcqDPyfocSyfS0ba</t>
        </is>
      </c>
      <c r="C16" s="5" t="n">
        <v>46179</v>
      </c>
      <c r="D16" s="5" t="n">
        <v>46179</v>
      </c>
      <c r="E16" t="inlineStr">
        <is>
          <t>draft</t>
        </is>
      </c>
      <c r="F16" t="inlineStr"/>
      <c r="G16" s="2">
        <f>ROUND(H16, -1)</f>
        <v/>
      </c>
      <c r="H16">
        <f>I16 - J16</f>
        <v/>
      </c>
      <c r="I16">
        <f>K16 - L16 - M16 - N16 + O16 - P16</f>
        <v/>
      </c>
      <c r="J16" t="n">
        <v>0</v>
      </c>
      <c r="K16">
        <f>'GHG Entry Component'!I86</f>
        <v/>
      </c>
      <c r="L16">
        <f>'GHG Entry Component'!I85+'GHG Entry Component'!I84+'GHG Entry Component'!I82+'GHG Entry Component'!I83</f>
        <v/>
      </c>
      <c r="M16" t="inlineStr">
        <is>
          <t>0</t>
        </is>
      </c>
      <c r="N16" t="inlineStr">
        <is>
          <t>0</t>
        </is>
      </c>
      <c r="O16">
        <f>'GHG Entry Component'!I87</f>
        <v/>
      </c>
      <c r="P16" t="inlineStr">
        <is>
          <t>0</t>
        </is>
      </c>
    </row>
    <row r="17">
      <c r="A17" t="inlineStr">
        <is>
          <t>rmv_1KXGK3HP81S0FP36</t>
        </is>
      </c>
      <c r="B17" t="inlineStr">
        <is>
          <t>ba_R4Vr8Bfn1uspC4R1</t>
        </is>
      </c>
      <c r="C17" s="5" t="n">
        <v>46179</v>
      </c>
      <c r="D17" s="5" t="n">
        <v>46179</v>
      </c>
      <c r="E17" t="inlineStr">
        <is>
          <t>draft</t>
        </is>
      </c>
      <c r="F17" t="inlineStr"/>
      <c r="G17" s="2">
        <f>ROUND(H17, -1)</f>
        <v/>
      </c>
      <c r="H17">
        <f>I17 - J17</f>
        <v/>
      </c>
      <c r="I17">
        <f>K17 - L17 - M17 - N17 + O17 - P17</f>
        <v/>
      </c>
      <c r="J17" t="n">
        <v>0</v>
      </c>
      <c r="K17">
        <f>'GHG Entry Component'!I92</f>
        <v/>
      </c>
      <c r="L17">
        <f>'GHG Entry Component'!I91+'GHG Entry Component'!I90+'GHG Entry Component'!I88+'GHG Entry Component'!I89</f>
        <v/>
      </c>
      <c r="M17" t="inlineStr">
        <is>
          <t>0</t>
        </is>
      </c>
      <c r="N17" t="inlineStr">
        <is>
          <t>0</t>
        </is>
      </c>
      <c r="O17">
        <f>'GHG Entry Component'!I93</f>
        <v/>
      </c>
      <c r="P17" t="inlineStr">
        <is>
          <t>0</t>
        </is>
      </c>
    </row>
    <row r="18">
      <c r="A18" t="inlineStr">
        <is>
          <t>rmv_1KXGK45BZ1S0DJ22</t>
        </is>
      </c>
      <c r="B18" t="inlineStr">
        <is>
          <t>ba_OPir9NJcYGrhzD92</t>
        </is>
      </c>
      <c r="C18" s="5" t="n">
        <v>46179</v>
      </c>
      <c r="D18" s="5" t="n">
        <v>46179</v>
      </c>
      <c r="E18" t="inlineStr">
        <is>
          <t>draft</t>
        </is>
      </c>
      <c r="F18" t="inlineStr"/>
      <c r="G18" s="2">
        <f>ROUND(H18, -1)</f>
        <v/>
      </c>
      <c r="H18">
        <f>I18 - J18</f>
        <v/>
      </c>
      <c r="I18">
        <f>K18 - L18 - M18 - N18 + O18 - P18</f>
        <v/>
      </c>
      <c r="J18" t="n">
        <v>0</v>
      </c>
      <c r="K18">
        <f>'GHG Entry Component'!I97</f>
        <v/>
      </c>
      <c r="L18">
        <f>'GHG Entry Component'!I96+'GHG Entry Component'!I95+'GHG Entry Component'!I98+'GHG Entry Component'!I94</f>
        <v/>
      </c>
      <c r="M18" t="inlineStr">
        <is>
          <t>0</t>
        </is>
      </c>
      <c r="N18" t="inlineStr">
        <is>
          <t>0</t>
        </is>
      </c>
      <c r="O18">
        <f>'GHG Entry Component'!I99</f>
        <v/>
      </c>
      <c r="P18" t="inlineStr">
        <is>
          <t>0</t>
        </is>
      </c>
    </row>
    <row r="19">
      <c r="A19" t="inlineStr">
        <is>
          <t>rmv_1KXGK4R131S095PN</t>
        </is>
      </c>
      <c r="B19" t="inlineStr">
        <is>
          <t>ba_SEeVg0i26QTA0MGj</t>
        </is>
      </c>
      <c r="C19" s="5" t="n">
        <v>46179</v>
      </c>
      <c r="D19" s="5" t="n">
        <v>46179</v>
      </c>
      <c r="E19" t="inlineStr">
        <is>
          <t>draft</t>
        </is>
      </c>
      <c r="F19" t="inlineStr"/>
      <c r="G19" s="2">
        <f>ROUND(H19, -1)</f>
        <v/>
      </c>
      <c r="H19">
        <f>I19 - J19</f>
        <v/>
      </c>
      <c r="I19">
        <f>K19 - L19 - M19 - N19 + O19 - P19</f>
        <v/>
      </c>
      <c r="J19" t="n">
        <v>0</v>
      </c>
      <c r="K19">
        <f>'GHG Entry Component'!I102</f>
        <v/>
      </c>
      <c r="L19">
        <f>'GHG Entry Component'!I105+'GHG Entry Component'!I101+'GHG Entry Component'!I100+'GHG Entry Component'!I103</f>
        <v/>
      </c>
      <c r="M19" t="inlineStr">
        <is>
          <t>0</t>
        </is>
      </c>
      <c r="N19" t="inlineStr">
        <is>
          <t>0</t>
        </is>
      </c>
      <c r="O19">
        <f>'GHG Entry Component'!I104</f>
        <v/>
      </c>
      <c r="P19" t="inlineStr">
        <is>
          <t>0</t>
        </is>
      </c>
    </row>
    <row r="20">
      <c r="A20" t="inlineStr">
        <is>
          <t>rmv_1KXGK5BMT1S0H4FK</t>
        </is>
      </c>
      <c r="B20" t="inlineStr">
        <is>
          <t>ba_Ab0wKI6z4meTsSHJ</t>
        </is>
      </c>
      <c r="C20" s="5" t="n">
        <v>46179</v>
      </c>
      <c r="D20" s="5" t="n">
        <v>46179</v>
      </c>
      <c r="E20" t="inlineStr">
        <is>
          <t>draft</t>
        </is>
      </c>
      <c r="F20" t="inlineStr"/>
      <c r="G20" s="2">
        <f>ROUND(H20, -1)</f>
        <v/>
      </c>
      <c r="H20">
        <f>I20 - J20</f>
        <v/>
      </c>
      <c r="I20">
        <f>K20 - L20 - M20 - N20 + O20 - P20</f>
        <v/>
      </c>
      <c r="J20" t="n">
        <v>0</v>
      </c>
      <c r="K20">
        <f>'GHG Entry Component'!I109</f>
        <v/>
      </c>
      <c r="L20">
        <f>'GHG Entry Component'!I111+'GHG Entry Component'!I108+'GHG Entry Component'!I107+'GHG Entry Component'!I106</f>
        <v/>
      </c>
      <c r="M20" t="inlineStr">
        <is>
          <t>0</t>
        </is>
      </c>
      <c r="N20" t="inlineStr">
        <is>
          <t>0</t>
        </is>
      </c>
      <c r="O20">
        <f>'GHG Entry Component'!I110</f>
        <v/>
      </c>
      <c r="P20" t="inlineStr">
        <is>
          <t>0</t>
        </is>
      </c>
    </row>
    <row r="21">
      <c r="A21" t="inlineStr">
        <is>
          <t>rmv_1KXKGW8131S0DAD9</t>
        </is>
      </c>
      <c r="B21" t="inlineStr">
        <is>
          <t>manual-charm-biochar-D2-254</t>
        </is>
      </c>
      <c r="C21" s="5" t="n">
        <v>46172</v>
      </c>
      <c r="D21" s="5" t="n">
        <v>46172</v>
      </c>
      <c r="E21" t="inlineStr">
        <is>
          <t>draft</t>
        </is>
      </c>
      <c r="F21" t="inlineStr"/>
      <c r="G21" s="2">
        <f>ROUND(H21, -1)</f>
        <v/>
      </c>
      <c r="H21">
        <f>I21 - J21</f>
        <v/>
      </c>
      <c r="I21">
        <f>K21 - L21 - M21 - N21 + O21 - P21</f>
        <v/>
      </c>
      <c r="J21" t="n">
        <v>0</v>
      </c>
      <c r="K21">
        <f>'GHG Entry Component'!I115</f>
        <v/>
      </c>
      <c r="L21">
        <f>'GHG Entry Component'!I114+'GHG Entry Component'!I112+'GHG Entry Component'!I116</f>
        <v/>
      </c>
      <c r="M21" t="inlineStr">
        <is>
          <t>0</t>
        </is>
      </c>
      <c r="N21" t="inlineStr">
        <is>
          <t>0</t>
        </is>
      </c>
      <c r="O21">
        <f>'GHG Entry Component'!I113</f>
        <v/>
      </c>
      <c r="P21" t="inlineStr">
        <is>
          <t>0</t>
        </is>
      </c>
    </row>
    <row r="22">
      <c r="A22" t="inlineStr">
        <is>
          <t>rmv_1KXKGXJB61S01MAJ</t>
        </is>
      </c>
      <c r="B22" t="inlineStr">
        <is>
          <t>manual-charm-biochar-D3-254</t>
        </is>
      </c>
      <c r="C22" s="5" t="n">
        <v>46179</v>
      </c>
      <c r="D22" s="5" t="n">
        <v>46179</v>
      </c>
      <c r="E22" t="inlineStr">
        <is>
          <t>draft</t>
        </is>
      </c>
      <c r="F22" t="inlineStr"/>
      <c r="G22" s="2">
        <f>ROUND(H22, -1)</f>
        <v/>
      </c>
      <c r="H22">
        <f>I22 - J22</f>
        <v/>
      </c>
      <c r="I22">
        <f>K22 - L22 - M22 - N22 + O22 - P22</f>
        <v/>
      </c>
      <c r="J22" t="n">
        <v>0</v>
      </c>
      <c r="K22">
        <f>'GHG Entry Component'!I118</f>
        <v/>
      </c>
      <c r="L22">
        <f>'GHG Entry Component'!I117+'GHG Entry Component'!I120+'GHG Entry Component'!I119</f>
        <v/>
      </c>
      <c r="M22" t="inlineStr">
        <is>
          <t>0</t>
        </is>
      </c>
      <c r="N22" t="inlineStr">
        <is>
          <t>0</t>
        </is>
      </c>
      <c r="O22">
        <f>'GHG Entry Component'!I121</f>
        <v/>
      </c>
      <c r="P22" t="inlineStr">
        <is>
          <t>0</t>
        </is>
      </c>
    </row>
    <row r="23">
      <c r="A23" t="inlineStr">
        <is>
          <t>rmv_1KXKP77Q21S08Q74</t>
        </is>
      </c>
      <c r="B23" t="inlineStr">
        <is>
          <t>manual-charm-biochar-D3-252</t>
        </is>
      </c>
      <c r="C23" s="5" t="n">
        <v>46179</v>
      </c>
      <c r="D23" s="5" t="n">
        <v>46179</v>
      </c>
      <c r="E23" t="inlineStr">
        <is>
          <t>draft</t>
        </is>
      </c>
      <c r="F23" t="inlineStr"/>
      <c r="G23" s="2">
        <f>ROUND(H23, -1)</f>
        <v/>
      </c>
      <c r="H23">
        <f>I23 - J23</f>
        <v/>
      </c>
      <c r="I23">
        <f>K23 - L23 - M23 - N23 + O23 - P23</f>
        <v/>
      </c>
      <c r="J23" t="n">
        <v>0</v>
      </c>
      <c r="K23">
        <f>'GHG Entry Component'!I125</f>
        <v/>
      </c>
      <c r="L23">
        <f>'GHG Entry Component'!I124+'GHG Entry Component'!I123+'GHG Entry Component'!I126+'GHG Entry Component'!I122</f>
        <v/>
      </c>
      <c r="M23" t="inlineStr">
        <is>
          <t>0</t>
        </is>
      </c>
      <c r="N23" t="inlineStr">
        <is>
          <t>0</t>
        </is>
      </c>
      <c r="O23">
        <f>'GHG Entry Component'!I127</f>
        <v/>
      </c>
      <c r="P23" t="inlineStr">
        <is>
          <t>0</t>
        </is>
      </c>
    </row>
    <row r="24">
      <c r="A24" t="inlineStr">
        <is>
          <t>rmv_1KY02PC6H1S0D393</t>
        </is>
      </c>
      <c r="B24" t="inlineStr">
        <is>
          <t>ba_WhokCybTDfXx5J9b</t>
        </is>
      </c>
      <c r="C24" s="5" t="n">
        <v>46042</v>
      </c>
      <c r="D24" s="5" t="n">
        <v>46042</v>
      </c>
      <c r="E24" t="inlineStr">
        <is>
          <t>draft</t>
        </is>
      </c>
      <c r="F24" t="inlineStr"/>
      <c r="G24" s="2">
        <f>ROUND(H24, -1)</f>
        <v/>
      </c>
      <c r="H24">
        <f>I24 - J24</f>
        <v/>
      </c>
      <c r="I24">
        <f>K24 - L24 - M24 - N24 + O24 - P24</f>
        <v/>
      </c>
      <c r="J24" t="n">
        <v>0</v>
      </c>
      <c r="K24">
        <f>'GHG Entry Component'!I130</f>
        <v/>
      </c>
      <c r="L24">
        <f>'GHG Entry Component'!I133+'GHG Entry Component'!I129+'GHG Entry Component'!I128+'GHG Entry Component'!I131+'GHG Entry Component'!I134</f>
        <v/>
      </c>
      <c r="M24" t="inlineStr">
        <is>
          <t>0</t>
        </is>
      </c>
      <c r="N24" t="inlineStr">
        <is>
          <t>0</t>
        </is>
      </c>
      <c r="O24">
        <f>'GHG Entry Component'!I132</f>
        <v/>
      </c>
      <c r="P24" t="inlineStr">
        <is>
          <t>0</t>
        </is>
      </c>
    </row>
    <row r="25">
      <c r="A25" t="inlineStr">
        <is>
          <t>rmv_1KY02PYB11S0N221</t>
        </is>
      </c>
      <c r="B25" t="inlineStr">
        <is>
          <t>ba_KgcBuWQUZqU1iIh0</t>
        </is>
      </c>
      <c r="C25" s="5" t="n">
        <v>46042</v>
      </c>
      <c r="D25" s="5" t="n">
        <v>46042</v>
      </c>
      <c r="E25" t="inlineStr">
        <is>
          <t>draft</t>
        </is>
      </c>
      <c r="F25" t="inlineStr"/>
      <c r="G25" s="2">
        <f>ROUND(H25, -1)</f>
        <v/>
      </c>
      <c r="H25">
        <f>I25 - J25</f>
        <v/>
      </c>
      <c r="I25">
        <f>K25 - L25 - M25 - N25 + O25 - P25</f>
        <v/>
      </c>
      <c r="J25" t="n">
        <v>0</v>
      </c>
      <c r="K25">
        <f>'GHG Entry Component'!I135</f>
        <v/>
      </c>
      <c r="L25">
        <f>'GHG Entry Component'!I140+'GHG Entry Component'!I138+'GHG Entry Component'!I137+'GHG Entry Component'!I136</f>
        <v/>
      </c>
      <c r="M25" t="inlineStr">
        <is>
          <t>0</t>
        </is>
      </c>
      <c r="N25" t="inlineStr">
        <is>
          <t>0</t>
        </is>
      </c>
      <c r="O25">
        <f>'GHG Entry Component'!I139</f>
        <v/>
      </c>
      <c r="P25" t="inlineStr">
        <is>
          <t>0</t>
        </is>
      </c>
    </row>
    <row r="26">
      <c r="A26" t="inlineStr">
        <is>
          <t>rmv_1KY38KE1C1S03T2H</t>
        </is>
      </c>
      <c r="B26" t="inlineStr">
        <is>
          <t>ba_ouUP380dPZPm3TwY</t>
        </is>
      </c>
      <c r="C26" s="5" t="n">
        <v>46101</v>
      </c>
      <c r="D26" s="5" t="n">
        <v>46101</v>
      </c>
      <c r="E26" t="inlineStr">
        <is>
          <t>draft</t>
        </is>
      </c>
      <c r="F26" t="inlineStr"/>
      <c r="G26" s="2">
        <f>ROUND(H26, -1)</f>
        <v/>
      </c>
      <c r="H26">
        <f>I26 - J26</f>
        <v/>
      </c>
      <c r="I26">
        <f>K26 - L26 - M26 - N26 + O26 - P26</f>
        <v/>
      </c>
      <c r="J26" t="n">
        <v>0</v>
      </c>
      <c r="K26">
        <f>'GHG Entry Component'!I143</f>
        <v/>
      </c>
      <c r="L26">
        <f>'GHG Entry Component'!I146+'GHG Entry Component'!I142+'GHG Entry Component'!I141+'GHG Entry Component'!I144</f>
        <v/>
      </c>
      <c r="M26" t="inlineStr">
        <is>
          <t>0</t>
        </is>
      </c>
      <c r="N26" t="inlineStr">
        <is>
          <t>0</t>
        </is>
      </c>
      <c r="O26">
        <f>'GHG Entry Component'!I145</f>
        <v/>
      </c>
      <c r="P26" t="inlineStr">
        <is>
          <t>0</t>
        </is>
      </c>
    </row>
    <row r="27">
      <c r="A27" t="inlineStr">
        <is>
          <t>rmv_1KY57M9F81S03MK6</t>
        </is>
      </c>
      <c r="B27" t="inlineStr">
        <is>
          <t>ba_TMAR7Xx3vwC16Jan</t>
        </is>
      </c>
      <c r="C27" s="5" t="n">
        <v>46092</v>
      </c>
      <c r="D27" s="5" t="n">
        <v>46092</v>
      </c>
      <c r="E27" t="inlineStr">
        <is>
          <t>draft</t>
        </is>
      </c>
      <c r="F27" t="inlineStr"/>
      <c r="G27" s="2">
        <f>ROUND(H27, -1)</f>
        <v/>
      </c>
      <c r="H27">
        <f>I27 - J27</f>
        <v/>
      </c>
      <c r="I27">
        <f>K27 - L27 - M27 - N27 + O27 - P27</f>
        <v/>
      </c>
      <c r="J27" t="n">
        <v>0</v>
      </c>
      <c r="K27">
        <f>'GHG Entry Component'!I149</f>
        <v/>
      </c>
      <c r="L27">
        <f>'GHG Entry Component'!I152+'GHG Entry Component'!I148+'GHG Entry Component'!I147+'GHG Entry Component'!I150</f>
        <v/>
      </c>
      <c r="M27" t="inlineStr">
        <is>
          <t>0</t>
        </is>
      </c>
      <c r="N27" t="inlineStr">
        <is>
          <t>0</t>
        </is>
      </c>
      <c r="O27">
        <f>'GHG Entry Component'!I151</f>
        <v/>
      </c>
      <c r="P27" t="inlineStr">
        <is>
          <t>0</t>
        </is>
      </c>
    </row>
    <row r="28">
      <c r="A28" t="inlineStr">
        <is>
          <t>rmv_1KY57MT101S0BKC4</t>
        </is>
      </c>
      <c r="B28" t="inlineStr">
        <is>
          <t>ba_tyHD61LKMjHX0tm8</t>
        </is>
      </c>
      <c r="C28" s="5" t="n">
        <v>46092</v>
      </c>
      <c r="D28" s="5" t="n">
        <v>46092</v>
      </c>
      <c r="E28" t="inlineStr">
        <is>
          <t>draft</t>
        </is>
      </c>
      <c r="F28" t="inlineStr"/>
      <c r="G28" s="2">
        <f>ROUND(H28, -1)</f>
        <v/>
      </c>
      <c r="H28">
        <f>I28 - J28</f>
        <v/>
      </c>
      <c r="I28">
        <f>K28 - L28 - M28 - N28 + O28 - P28</f>
        <v/>
      </c>
      <c r="J28" t="n">
        <v>0</v>
      </c>
      <c r="K28">
        <f>'GHG Entry Component'!I155</f>
        <v/>
      </c>
      <c r="L28">
        <f>'GHG Entry Component'!I158+'GHG Entry Component'!I154+'GHG Entry Component'!I153+'GHG Entry Component'!I156</f>
        <v/>
      </c>
      <c r="M28" t="inlineStr">
        <is>
          <t>0</t>
        </is>
      </c>
      <c r="N28" t="inlineStr">
        <is>
          <t>0</t>
        </is>
      </c>
      <c r="O28">
        <f>'GHG Entry Component'!I157</f>
        <v/>
      </c>
      <c r="P28" t="inlineStr">
        <is>
          <t>0</t>
        </is>
      </c>
    </row>
    <row r="29">
      <c r="A29" t="inlineStr">
        <is>
          <t>rmv_1KY57NCC21S0TVWC</t>
        </is>
      </c>
      <c r="B29" t="inlineStr">
        <is>
          <t>ba_k5O479XvMebZlTY5</t>
        </is>
      </c>
      <c r="C29" s="5" t="n">
        <v>46092</v>
      </c>
      <c r="D29" s="5" t="n">
        <v>46092</v>
      </c>
      <c r="E29" t="inlineStr">
        <is>
          <t>draft</t>
        </is>
      </c>
      <c r="F29" t="inlineStr"/>
      <c r="G29" s="2">
        <f>ROUND(H29, -1)</f>
        <v/>
      </c>
      <c r="H29">
        <f>I29 - J29</f>
        <v/>
      </c>
      <c r="I29">
        <f>K29 - L29 - M29 - N29 + O29 - P29</f>
        <v/>
      </c>
      <c r="J29" t="n">
        <v>0</v>
      </c>
      <c r="K29">
        <f>'GHG Entry Component'!I160</f>
        <v/>
      </c>
      <c r="L29">
        <f>'GHG Entry Component'!I159+'GHG Entry Component'!I163+'GHG Entry Component'!I161+'GHG Entry Component'!I162</f>
        <v/>
      </c>
      <c r="M29" t="inlineStr">
        <is>
          <t>0</t>
        </is>
      </c>
      <c r="N29" t="inlineStr">
        <is>
          <t>0</t>
        </is>
      </c>
      <c r="O29">
        <f>'GHG Entry Component'!I164</f>
        <v/>
      </c>
      <c r="P29" t="inlineStr">
        <is>
          <t>0</t>
        </is>
      </c>
    </row>
    <row r="30">
      <c r="A30" t="inlineStr">
        <is>
          <t>rmv_1KY5G7F3N1S0MPZX</t>
        </is>
      </c>
      <c r="B30" t="inlineStr">
        <is>
          <t>ba_STp6R7r1eTkvhMC4</t>
        </is>
      </c>
      <c r="C30" s="5" t="n">
        <v>46092</v>
      </c>
      <c r="D30" s="5" t="n">
        <v>46092</v>
      </c>
      <c r="E30" t="inlineStr">
        <is>
          <t>draft</t>
        </is>
      </c>
      <c r="F30" t="inlineStr"/>
      <c r="G30" s="2">
        <f>ROUND(H30, -1)</f>
        <v/>
      </c>
      <c r="H30">
        <f>I30 - J30</f>
        <v/>
      </c>
      <c r="I30">
        <f>K30 - L30 - M30 - N30 + O30 - P30</f>
        <v/>
      </c>
      <c r="J30" t="n">
        <v>0</v>
      </c>
      <c r="K30">
        <f>'GHG Entry Component'!I165</f>
        <v/>
      </c>
      <c r="L30">
        <f>'GHG Entry Component'!I170+'GHG Entry Component'!I168+'GHG Entry Component'!I167+'GHG Entry Component'!I166</f>
        <v/>
      </c>
      <c r="M30" t="inlineStr">
        <is>
          <t>0</t>
        </is>
      </c>
      <c r="N30" t="inlineStr">
        <is>
          <t>0</t>
        </is>
      </c>
      <c r="O30">
        <f>'GHG Entry Component'!I169</f>
        <v/>
      </c>
      <c r="P30" t="inlineStr">
        <is>
          <t>0</t>
        </is>
      </c>
    </row>
    <row r="31">
      <c r="A31" t="inlineStr">
        <is>
          <t>rmv_1KYA6ANEE1S0PW7F</t>
        </is>
      </c>
      <c r="B31" t="inlineStr">
        <is>
          <t>ba_Mnyp1ajWTFoo2VkH</t>
        </is>
      </c>
      <c r="C31" s="5" t="n">
        <v>46042</v>
      </c>
      <c r="D31" s="5" t="n">
        <v>46042</v>
      </c>
      <c r="E31" t="inlineStr">
        <is>
          <t>draft</t>
        </is>
      </c>
      <c r="F31" t="inlineStr"/>
      <c r="G31" s="2">
        <f>ROUND(H31, -1)</f>
        <v/>
      </c>
      <c r="H31">
        <f>I31 - J31</f>
        <v/>
      </c>
      <c r="I31">
        <f>K31 - L31 - M31 - N31 + O31 - P31</f>
        <v/>
      </c>
      <c r="J31" t="n">
        <v>0</v>
      </c>
      <c r="K31">
        <f>'GHG Entry Component'!I172</f>
        <v/>
      </c>
      <c r="L31">
        <f>'GHG Entry Component'!I171+'GHG Entry Component'!I175+'GHG Entry Component'!I173+'GHG Entry Component'!I174+'GHG Entry Component'!I177</f>
        <v/>
      </c>
      <c r="M31" t="inlineStr">
        <is>
          <t>0</t>
        </is>
      </c>
      <c r="N31" t="inlineStr">
        <is>
          <t>0</t>
        </is>
      </c>
      <c r="O31">
        <f>'GHG Entry Component'!I176</f>
        <v/>
      </c>
      <c r="P31" t="inlineStr">
        <is>
          <t>0</t>
        </is>
      </c>
    </row>
    <row r="32">
      <c r="A32" t="inlineStr">
        <is>
          <t>rmv_1KYA74ZX41S0H0D1</t>
        </is>
      </c>
      <c r="B32" t="inlineStr">
        <is>
          <t>ba_MFRsmroFCOLTWOv7</t>
        </is>
      </c>
      <c r="C32" s="5" t="n">
        <v>46101</v>
      </c>
      <c r="D32" s="5" t="n">
        <v>46101</v>
      </c>
      <c r="E32" t="inlineStr">
        <is>
          <t>draft</t>
        </is>
      </c>
      <c r="F32" t="inlineStr"/>
      <c r="G32" s="2">
        <f>ROUND(H32, -1)</f>
        <v/>
      </c>
      <c r="H32">
        <f>I32 - J32</f>
        <v/>
      </c>
      <c r="I32">
        <f>K32 - L32 - M32 - N32 + O32 - P32</f>
        <v/>
      </c>
      <c r="J32" t="n">
        <v>0</v>
      </c>
      <c r="K32">
        <f>'GHG Entry Component'!I181</f>
        <v/>
      </c>
      <c r="L32">
        <f>'GHG Entry Component'!I180+'GHG Entry Component'!I179+'GHG Entry Component'!I178</f>
        <v/>
      </c>
      <c r="M32" t="inlineStr">
        <is>
          <t>0</t>
        </is>
      </c>
      <c r="N32" t="inlineStr">
        <is>
          <t>0</t>
        </is>
      </c>
      <c r="O32">
        <f>'GHG Entry Component'!I182</f>
        <v/>
      </c>
      <c r="P32" t="inlineStr">
        <is>
          <t>0</t>
        </is>
      </c>
    </row>
    <row r="33">
      <c r="A33" t="inlineStr">
        <is>
          <t>rmv_1KYA75EW41S07JMK</t>
        </is>
      </c>
      <c r="B33" t="inlineStr">
        <is>
          <t>ba_SK3Nd0wgGunGqQLh</t>
        </is>
      </c>
      <c r="C33" s="5" t="n">
        <v>46101</v>
      </c>
      <c r="D33" s="5" t="n">
        <v>46101</v>
      </c>
      <c r="E33" t="inlineStr">
        <is>
          <t>draft</t>
        </is>
      </c>
      <c r="F33" t="inlineStr"/>
      <c r="G33" s="2">
        <f>ROUND(H33, -1)</f>
        <v/>
      </c>
      <c r="H33">
        <f>I33 - J33</f>
        <v/>
      </c>
      <c r="I33">
        <f>K33 - L33 - M33 - N33 + O33 - P33</f>
        <v/>
      </c>
      <c r="J33" t="n">
        <v>0</v>
      </c>
      <c r="K33">
        <f>'GHG Entry Component'!I185</f>
        <v/>
      </c>
      <c r="L33">
        <f>'GHG Entry Component'!I184+'GHG Entry Component'!I183+'GHG Entry Component'!I186+'GHG Entry Component'!I188</f>
        <v/>
      </c>
      <c r="M33" t="inlineStr">
        <is>
          <t>0</t>
        </is>
      </c>
      <c r="N33" t="inlineStr">
        <is>
          <t>0</t>
        </is>
      </c>
      <c r="O33">
        <f>'GHG Entry Component'!I187</f>
        <v/>
      </c>
      <c r="P33" t="inlineStr">
        <is>
          <t>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GHG Entry Component ID</t>
        </is>
      </c>
      <c r="B1" s="1" t="inlineStr">
        <is>
          <t>Component ID</t>
        </is>
      </c>
      <c r="C1" s="1" t="inlineStr">
        <is>
          <t>Component name</t>
        </is>
      </c>
      <c r="D1" s="1" t="inlineStr">
        <is>
          <t>Component description</t>
        </is>
      </c>
      <c r="E1" s="1" t="inlineStr">
        <is>
          <t>Blueprint Key</t>
        </is>
      </c>
      <c r="F1" s="1" t="inlineStr">
        <is>
          <t>Blueprint Name</t>
        </is>
      </c>
      <c r="G1" s="1" t="inlineStr">
        <is>
          <t>GHG Entry ID</t>
        </is>
      </c>
      <c r="H1" s="1" t="inlineStr">
        <is>
          <t>GHG Entry Component Group Name</t>
        </is>
      </c>
      <c r="I1" s="4" t="inlineStr">
        <is>
          <t>Attributed Carbon Flux in kg</t>
        </is>
      </c>
      <c r="J1" s="1" t="inlineStr">
        <is>
          <t>CO₂e uncertainty (kg)</t>
        </is>
      </c>
      <c r="K1" s="1" t="inlineStr">
        <is>
          <t>Component Carbon Flux in kg</t>
        </is>
      </c>
      <c r="L1" s="1" t="inlineStr">
        <is>
          <t>Attribution Type</t>
        </is>
      </c>
      <c r="M1" s="1" t="inlineStr">
        <is>
          <t>Attribution Factor</t>
        </is>
      </c>
      <c r="N1" s="1" t="inlineStr">
        <is>
          <t>Attribution Factor Datapoint ID</t>
        </is>
      </c>
      <c r="O1" s="1" t="inlineStr">
        <is>
          <t>GHG Entry Component Type</t>
        </is>
      </c>
      <c r="P1" s="1" t="inlineStr">
        <is>
          <t>Date Activity Started</t>
        </is>
      </c>
      <c r="Q1" s="1" t="inlineStr">
        <is>
          <t>Date Activity Completed</t>
        </is>
      </c>
    </row>
    <row r="2">
      <c r="I2" s="2" t="n"/>
    </row>
    <row r="3">
      <c r="A3" t="inlineStr">
        <is>
          <t>rvc_1KWCC0FY31S01TGP</t>
        </is>
      </c>
      <c r="B3">
        <f>Component!A3</f>
        <v/>
      </c>
      <c r="C3" t="inlineStr">
        <is>
          <t>Biochar Spreading Emissions</t>
        </is>
      </c>
      <c r="D3" t="inlineStr">
        <is>
          <t xml:space="preserve"> </t>
        </is>
      </c>
      <c r="E3" t="inlineStr">
        <is>
          <t>mass_based_ci_emissions</t>
        </is>
      </c>
      <c r="F3" t="inlineStr">
        <is>
          <t>Mass-based CI emissions</t>
        </is>
      </c>
      <c r="G3">
        <f>'GHG Entry'!A3</f>
        <v/>
      </c>
      <c r="H3" t="inlineStr">
        <is>
          <t>Biochar storage</t>
        </is>
      </c>
      <c r="I3" s="2">
        <f>Component!D3 * Datapoint!E18</f>
        <v/>
      </c>
      <c r="J3">
        <f>Component!E3 * Datapoint!E18</f>
        <v/>
      </c>
      <c r="K3">
        <f>Component!D3</f>
        <v/>
      </c>
      <c r="L3" t="inlineStr">
        <is>
          <t>partial</t>
        </is>
      </c>
      <c r="M3">
        <f>Datapoint!E18</f>
        <v/>
      </c>
      <c r="N3">
        <f>Datapoint!A18</f>
        <v/>
      </c>
      <c r="O3" t="inlineStr">
        <is>
          <t>activity</t>
        </is>
      </c>
    </row>
    <row r="4">
      <c r="A4" t="inlineStr">
        <is>
          <t>rvc_1KWCC0FY31S042TZ</t>
        </is>
      </c>
      <c r="B4">
        <f>Component!A4</f>
        <v/>
      </c>
      <c r="C4" t="inlineStr">
        <is>
          <t>Biochar sequestration, 200 year durability</t>
        </is>
      </c>
      <c r="E4" t="inlineStr">
        <is>
          <t>biochar_sequestration_200_year_c_org</t>
        </is>
      </c>
      <c r="F4" t="inlineStr">
        <is>
          <t>Biochar sequestration, 200 year durability</t>
        </is>
      </c>
      <c r="G4">
        <f>'GHG Entry'!A3</f>
        <v/>
      </c>
      <c r="H4" t="inlineStr">
        <is>
          <t>Biochar storage</t>
        </is>
      </c>
      <c r="I4" s="2">
        <f>Component!D4 * Datapoint!E19</f>
        <v/>
      </c>
      <c r="J4">
        <f>Component!E4 * Datapoint!E19</f>
        <v/>
      </c>
      <c r="K4">
        <f>Component!D4</f>
        <v/>
      </c>
      <c r="L4" t="inlineStr">
        <is>
          <t>partial</t>
        </is>
      </c>
      <c r="M4">
        <f>Datapoint!E19</f>
        <v/>
      </c>
      <c r="N4">
        <f>Datapoint!A19</f>
        <v/>
      </c>
      <c r="O4" t="inlineStr">
        <is>
          <t>sequestration</t>
        </is>
      </c>
    </row>
    <row r="5">
      <c r="A5" t="inlineStr">
        <is>
          <t>rvc_1KWCC0FY31S09480</t>
        </is>
      </c>
      <c r="B5">
        <f>Component!A5</f>
        <v/>
      </c>
      <c r="C5" t="inlineStr">
        <is>
          <t>CO Flatbed Truck Transport Embodied Emissions</t>
        </is>
      </c>
      <c r="D5" t="inlineStr">
        <is>
          <t xml:space="preserve"> </t>
        </is>
      </c>
      <c r="E5" t="inlineStr">
        <is>
          <t>distance_based_ci_emissions</t>
        </is>
      </c>
      <c r="F5" t="inlineStr">
        <is>
          <t>Distance-based emissions</t>
        </is>
      </c>
      <c r="G5">
        <f>'GHG Entry'!A3</f>
        <v/>
      </c>
      <c r="H5" t="inlineStr">
        <is>
          <t>Biochar transportation</t>
        </is>
      </c>
      <c r="I5" s="2">
        <f>Component!D5 * Datapoint!E20</f>
        <v/>
      </c>
      <c r="J5">
        <f>Component!E5 * Datapoint!E20</f>
        <v/>
      </c>
      <c r="K5">
        <f>Component!D5</f>
        <v/>
      </c>
      <c r="L5" t="inlineStr">
        <is>
          <t>partial</t>
        </is>
      </c>
      <c r="M5">
        <f>Datapoint!E20</f>
        <v/>
      </c>
      <c r="N5">
        <f>Datapoint!A20</f>
        <v/>
      </c>
      <c r="O5" t="inlineStr">
        <is>
          <t>activity</t>
        </is>
      </c>
    </row>
    <row r="6">
      <c r="A6" t="inlineStr">
        <is>
          <t>rvc_1KWCC0FY31S0GDZA</t>
        </is>
      </c>
      <c r="B6">
        <f>Component!A6</f>
        <v/>
      </c>
      <c r="C6" t="inlineStr">
        <is>
          <t>Biochar Production Emission (A)</t>
        </is>
      </c>
      <c r="D6" t="inlineStr">
        <is>
          <t xml:space="preserve"> </t>
        </is>
      </c>
      <c r="E6" t="inlineStr">
        <is>
          <t>mass_based_ci_emissions</t>
        </is>
      </c>
      <c r="F6" t="inlineStr">
        <is>
          <t>Mass-based CI emissions</t>
        </is>
      </c>
      <c r="G6">
        <f>'GHG Entry'!A3</f>
        <v/>
      </c>
      <c r="H6" t="inlineStr">
        <is>
          <t>Biochar production</t>
        </is>
      </c>
      <c r="I6" s="2">
        <f>Component!D6 * Datapoint!E16</f>
        <v/>
      </c>
      <c r="J6">
        <f>Component!E6 * Datapoint!E16</f>
        <v/>
      </c>
      <c r="K6">
        <f>Component!D6</f>
        <v/>
      </c>
      <c r="L6" t="inlineStr">
        <is>
          <t>partial</t>
        </is>
      </c>
      <c r="M6">
        <f>Datapoint!E16</f>
        <v/>
      </c>
      <c r="N6">
        <f>Datapoint!A16</f>
        <v/>
      </c>
      <c r="O6" t="inlineStr">
        <is>
          <t>activity</t>
        </is>
      </c>
    </row>
    <row r="7">
      <c r="A7" t="inlineStr">
        <is>
          <t>rvc_1KWCC0FY31S0NFCB</t>
        </is>
      </c>
      <c r="B7">
        <f>Component!A7</f>
        <v/>
      </c>
      <c r="C7" t="inlineStr">
        <is>
          <t>CO Flatbed Truck Transport Process Emissions</t>
        </is>
      </c>
      <c r="D7" t="inlineStr">
        <is>
          <t xml:space="preserve"> </t>
        </is>
      </c>
      <c r="E7" t="inlineStr">
        <is>
          <t>transport</t>
        </is>
      </c>
      <c r="F7" t="inlineStr">
        <is>
          <t>Transport emissions</t>
        </is>
      </c>
      <c r="G7">
        <f>'GHG Entry'!A3</f>
        <v/>
      </c>
      <c r="H7" t="inlineStr">
        <is>
          <t>Biochar transportation</t>
        </is>
      </c>
      <c r="I7" s="2">
        <f>Component!D7 * Datapoint!E17</f>
        <v/>
      </c>
      <c r="J7">
        <f>Component!E7 * Datapoint!E17</f>
        <v/>
      </c>
      <c r="K7">
        <f>Component!D7</f>
        <v/>
      </c>
      <c r="L7" t="inlineStr">
        <is>
          <t>partial</t>
        </is>
      </c>
      <c r="M7">
        <f>Datapoint!E17</f>
        <v/>
      </c>
      <c r="N7">
        <f>Datapoint!A17</f>
        <v/>
      </c>
      <c r="O7" t="inlineStr">
        <is>
          <t>activity</t>
        </is>
      </c>
    </row>
    <row r="8">
      <c r="A8" t="inlineStr">
        <is>
          <t>rvc_1KYA8BW1Q1S04Z4W</t>
        </is>
      </c>
      <c r="B8">
        <f>Component!A166</f>
        <v/>
      </c>
      <c r="C8" t="inlineStr">
        <is>
          <t>BCU - Transport Process</t>
        </is>
      </c>
      <c r="E8" t="inlineStr">
        <is>
          <t>constant_reduction</t>
        </is>
      </c>
      <c r="F8" t="inlineStr">
        <is>
          <t>Constant CO₂ reduction</t>
        </is>
      </c>
      <c r="G8">
        <f>'GHG Entry'!A3</f>
        <v/>
      </c>
      <c r="H8" t="inlineStr">
        <is>
          <t>Biochar storage</t>
        </is>
      </c>
      <c r="I8" s="2">
        <f>Component!D166 * Datapoint!E596</f>
        <v/>
      </c>
      <c r="J8">
        <f>Component!E166 * Datapoint!E596</f>
        <v/>
      </c>
      <c r="K8">
        <f>Component!D166</f>
        <v/>
      </c>
      <c r="L8" t="inlineStr">
        <is>
          <t>partial</t>
        </is>
      </c>
      <c r="M8">
        <f>Datapoint!E596</f>
        <v/>
      </c>
      <c r="N8">
        <f>Datapoint!A596</f>
        <v/>
      </c>
      <c r="O8" t="inlineStr">
        <is>
          <t>adjustment</t>
        </is>
      </c>
      <c r="P8" s="3" t="n">
        <v>46172</v>
      </c>
      <c r="Q8" s="3" t="n">
        <v>46172</v>
      </c>
    </row>
    <row r="9">
      <c r="A9" t="inlineStr">
        <is>
          <t>rvc_1KYN471V91S019ZQ</t>
        </is>
      </c>
      <c r="B9">
        <f>Component!A188</f>
        <v/>
      </c>
      <c r="C9" t="inlineStr">
        <is>
          <t>Over Allocated Emissions</t>
        </is>
      </c>
      <c r="E9" t="inlineStr">
        <is>
          <t>constant_activity_emissions</t>
        </is>
      </c>
      <c r="F9" t="inlineStr">
        <is>
          <t>Constant emissions</t>
        </is>
      </c>
      <c r="G9">
        <f>'GHG Entry'!A3</f>
        <v/>
      </c>
      <c r="H9" t="inlineStr">
        <is>
          <t>Biochar production</t>
        </is>
      </c>
      <c r="I9" s="2">
        <f>Component!D188 * Datapoint!E649</f>
        <v/>
      </c>
      <c r="J9">
        <f>Component!E188 * Datapoint!E649</f>
        <v/>
      </c>
      <c r="K9">
        <f>Component!D188</f>
        <v/>
      </c>
      <c r="L9" t="inlineStr">
        <is>
          <t>partial</t>
        </is>
      </c>
      <c r="M9">
        <f>Datapoint!E649</f>
        <v/>
      </c>
      <c r="N9">
        <f>Datapoint!A649</f>
        <v/>
      </c>
      <c r="O9" t="inlineStr">
        <is>
          <t>activity</t>
        </is>
      </c>
    </row>
    <row r="10">
      <c r="A10" t="inlineStr">
        <is>
          <t>rvc_1KWCSDFQF1S05T5V</t>
        </is>
      </c>
      <c r="B10">
        <f>Component!A8</f>
        <v/>
      </c>
      <c r="C10" t="inlineStr">
        <is>
          <t>Biochar Production Emission (A)</t>
        </is>
      </c>
      <c r="D10" t="inlineStr">
        <is>
          <t xml:space="preserve"> </t>
        </is>
      </c>
      <c r="E10" t="inlineStr">
        <is>
          <t>mass_based_ci_emissions</t>
        </is>
      </c>
      <c r="F10" t="inlineStr">
        <is>
          <t>Mass-based CI emissions</t>
        </is>
      </c>
      <c r="G10">
        <f>'GHG Entry'!A4</f>
        <v/>
      </c>
      <c r="H10" t="inlineStr">
        <is>
          <t>Biochar production</t>
        </is>
      </c>
      <c r="I10" s="2">
        <f>Component!D8 * Datapoint!E37</f>
        <v/>
      </c>
      <c r="J10">
        <f>Component!E8 * Datapoint!E37</f>
        <v/>
      </c>
      <c r="K10">
        <f>Component!D8</f>
        <v/>
      </c>
      <c r="L10" t="inlineStr">
        <is>
          <t>partial</t>
        </is>
      </c>
      <c r="M10">
        <f>Datapoint!E37</f>
        <v/>
      </c>
      <c r="N10">
        <f>Datapoint!A37</f>
        <v/>
      </c>
      <c r="O10" t="inlineStr">
        <is>
          <t>activity</t>
        </is>
      </c>
    </row>
    <row r="11">
      <c r="A11" t="inlineStr">
        <is>
          <t>rvc_1KWCSDFQF1S0AVJW</t>
        </is>
      </c>
      <c r="B11">
        <f>Component!A9</f>
        <v/>
      </c>
      <c r="C11" t="inlineStr">
        <is>
          <t>CO Flatbed Truck Transport Process Emissions</t>
        </is>
      </c>
      <c r="D11" t="inlineStr">
        <is>
          <t xml:space="preserve"> </t>
        </is>
      </c>
      <c r="E11" t="inlineStr">
        <is>
          <t>transport</t>
        </is>
      </c>
      <c r="F11" t="inlineStr">
        <is>
          <t>Transport emissions</t>
        </is>
      </c>
      <c r="G11">
        <f>'GHG Entry'!A4</f>
        <v/>
      </c>
      <c r="H11" t="inlineStr">
        <is>
          <t>Biochar transportation</t>
        </is>
      </c>
      <c r="I11" s="2">
        <f>Component!D9 * Datapoint!E38</f>
        <v/>
      </c>
      <c r="J11">
        <f>Component!E9 * Datapoint!E38</f>
        <v/>
      </c>
      <c r="K11">
        <f>Component!D9</f>
        <v/>
      </c>
      <c r="L11" t="inlineStr">
        <is>
          <t>partial</t>
        </is>
      </c>
      <c r="M11">
        <f>Datapoint!E38</f>
        <v/>
      </c>
      <c r="N11">
        <f>Datapoint!A38</f>
        <v/>
      </c>
      <c r="O11" t="inlineStr">
        <is>
          <t>activity</t>
        </is>
      </c>
    </row>
    <row r="12">
      <c r="A12" t="inlineStr">
        <is>
          <t>rvc_1KWCSDFQF1S0Q6Q7</t>
        </is>
      </c>
      <c r="B12">
        <f>Component!A10</f>
        <v/>
      </c>
      <c r="C12" t="inlineStr">
        <is>
          <t>Biochar Spreading Emissions</t>
        </is>
      </c>
      <c r="D12" t="inlineStr">
        <is>
          <t xml:space="preserve"> </t>
        </is>
      </c>
      <c r="E12" t="inlineStr">
        <is>
          <t>mass_based_ci_emissions</t>
        </is>
      </c>
      <c r="F12" t="inlineStr">
        <is>
          <t>Mass-based CI emissions</t>
        </is>
      </c>
      <c r="G12">
        <f>'GHG Entry'!A4</f>
        <v/>
      </c>
      <c r="H12" t="inlineStr">
        <is>
          <t>Biochar storage</t>
        </is>
      </c>
      <c r="I12" s="2">
        <f>Component!D10 * Datapoint!E34</f>
        <v/>
      </c>
      <c r="J12">
        <f>Component!E10 * Datapoint!E34</f>
        <v/>
      </c>
      <c r="K12">
        <f>Component!D10</f>
        <v/>
      </c>
      <c r="L12" t="inlineStr">
        <is>
          <t>partial</t>
        </is>
      </c>
      <c r="M12">
        <f>Datapoint!E34</f>
        <v/>
      </c>
      <c r="N12">
        <f>Datapoint!A34</f>
        <v/>
      </c>
      <c r="O12" t="inlineStr">
        <is>
          <t>activity</t>
        </is>
      </c>
    </row>
    <row r="13">
      <c r="A13" t="inlineStr">
        <is>
          <t>rvc_1KWCSDFQF1S0SF1G</t>
        </is>
      </c>
      <c r="B13">
        <f>Component!A11</f>
        <v/>
      </c>
      <c r="C13" t="inlineStr">
        <is>
          <t>Biochar sequestration, 200 year durability</t>
        </is>
      </c>
      <c r="E13" t="inlineStr">
        <is>
          <t>biochar_sequestration_200_year_c_org</t>
        </is>
      </c>
      <c r="F13" t="inlineStr">
        <is>
          <t>Biochar sequestration, 200 year durability</t>
        </is>
      </c>
      <c r="G13">
        <f>'GHG Entry'!A4</f>
        <v/>
      </c>
      <c r="H13" t="inlineStr">
        <is>
          <t>Biochar storage</t>
        </is>
      </c>
      <c r="I13" s="2">
        <f>Component!D11 * Datapoint!E35</f>
        <v/>
      </c>
      <c r="J13">
        <f>Component!E11 * Datapoint!E35</f>
        <v/>
      </c>
      <c r="K13">
        <f>Component!D11</f>
        <v/>
      </c>
      <c r="L13" t="inlineStr">
        <is>
          <t>partial</t>
        </is>
      </c>
      <c r="M13">
        <f>Datapoint!E35</f>
        <v/>
      </c>
      <c r="N13">
        <f>Datapoint!A35</f>
        <v/>
      </c>
      <c r="O13" t="inlineStr">
        <is>
          <t>sequestration</t>
        </is>
      </c>
    </row>
    <row r="14">
      <c r="A14" t="inlineStr">
        <is>
          <t>rvc_1KWCSDFQF1S0YGEH</t>
        </is>
      </c>
      <c r="B14">
        <f>Component!A12</f>
        <v/>
      </c>
      <c r="C14" t="inlineStr">
        <is>
          <t>CO Flatbed Truck Transport Embodied Emissions</t>
        </is>
      </c>
      <c r="D14" t="inlineStr">
        <is>
          <t xml:space="preserve"> </t>
        </is>
      </c>
      <c r="E14" t="inlineStr">
        <is>
          <t>distance_based_ci_emissions</t>
        </is>
      </c>
      <c r="F14" t="inlineStr">
        <is>
          <t>Distance-based emissions</t>
        </is>
      </c>
      <c r="G14">
        <f>'GHG Entry'!A4</f>
        <v/>
      </c>
      <c r="H14" t="inlineStr">
        <is>
          <t>Biochar transportation</t>
        </is>
      </c>
      <c r="I14" s="2">
        <f>Component!D12 * Datapoint!E36</f>
        <v/>
      </c>
      <c r="J14">
        <f>Component!E12 * Datapoint!E36</f>
        <v/>
      </c>
      <c r="K14">
        <f>Component!D12</f>
        <v/>
      </c>
      <c r="L14" t="inlineStr">
        <is>
          <t>partial</t>
        </is>
      </c>
      <c r="M14">
        <f>Datapoint!E36</f>
        <v/>
      </c>
      <c r="N14">
        <f>Datapoint!A36</f>
        <v/>
      </c>
      <c r="O14" t="inlineStr">
        <is>
          <t>activity</t>
        </is>
      </c>
    </row>
    <row r="15">
      <c r="A15" t="inlineStr">
        <is>
          <t>rvc_1KYA8BNC31S0JBT5</t>
        </is>
      </c>
      <c r="B15">
        <f>Component!A165</f>
        <v/>
      </c>
      <c r="C15" t="inlineStr">
        <is>
          <t>BCU - Transport Process</t>
        </is>
      </c>
      <c r="E15" t="inlineStr">
        <is>
          <t>constant_reduction</t>
        </is>
      </c>
      <c r="F15" t="inlineStr">
        <is>
          <t>Constant CO₂ reduction</t>
        </is>
      </c>
      <c r="G15">
        <f>'GHG Entry'!A4</f>
        <v/>
      </c>
      <c r="H15" t="inlineStr">
        <is>
          <t>Biochar storage</t>
        </is>
      </c>
      <c r="I15" s="2">
        <f>Component!D165 * Datapoint!E594</f>
        <v/>
      </c>
      <c r="J15">
        <f>Component!E165 * Datapoint!E594</f>
        <v/>
      </c>
      <c r="K15">
        <f>Component!D165</f>
        <v/>
      </c>
      <c r="L15" t="inlineStr">
        <is>
          <t>partial</t>
        </is>
      </c>
      <c r="M15">
        <f>Datapoint!E594</f>
        <v/>
      </c>
      <c r="N15">
        <f>Datapoint!A594</f>
        <v/>
      </c>
      <c r="O15" t="inlineStr">
        <is>
          <t>adjustment</t>
        </is>
      </c>
      <c r="P15" s="3" t="n">
        <v>46172</v>
      </c>
      <c r="Q15" s="3" t="n">
        <v>46172</v>
      </c>
    </row>
    <row r="16">
      <c r="A16" t="inlineStr">
        <is>
          <t>rvc_1KWCY0G8W1S023VA</t>
        </is>
      </c>
      <c r="B16">
        <f>Component!A13</f>
        <v/>
      </c>
      <c r="C16" t="inlineStr">
        <is>
          <t>Biochar Production Emission (A)</t>
        </is>
      </c>
      <c r="D16" t="inlineStr">
        <is>
          <t xml:space="preserve"> </t>
        </is>
      </c>
      <c r="E16" t="inlineStr">
        <is>
          <t>mass_based_ci_emissions</t>
        </is>
      </c>
      <c r="F16" t="inlineStr">
        <is>
          <t>Mass-based CI emissions</t>
        </is>
      </c>
      <c r="G16">
        <f>'GHG Entry'!A5</f>
        <v/>
      </c>
      <c r="H16" t="inlineStr">
        <is>
          <t>Biochar production</t>
        </is>
      </c>
      <c r="I16" s="2">
        <f>Component!D13 * Datapoint!E55</f>
        <v/>
      </c>
      <c r="J16">
        <f>Component!E13 * Datapoint!E55</f>
        <v/>
      </c>
      <c r="K16">
        <f>Component!D13</f>
        <v/>
      </c>
      <c r="L16" t="inlineStr">
        <is>
          <t>partial</t>
        </is>
      </c>
      <c r="M16">
        <f>Datapoint!E55</f>
        <v/>
      </c>
      <c r="N16">
        <f>Datapoint!A55</f>
        <v/>
      </c>
      <c r="O16" t="inlineStr">
        <is>
          <t>activity</t>
        </is>
      </c>
    </row>
    <row r="17">
      <c r="A17" t="inlineStr">
        <is>
          <t>rvc_1KWCY0G8W1S0758B</t>
        </is>
      </c>
      <c r="B17">
        <f>Component!A14</f>
        <v/>
      </c>
      <c r="C17" t="inlineStr">
        <is>
          <t>CO Flatbed Truck Transport Process Emissions</t>
        </is>
      </c>
      <c r="D17" t="inlineStr">
        <is>
          <t xml:space="preserve"> </t>
        </is>
      </c>
      <c r="E17" t="inlineStr">
        <is>
          <t>transport</t>
        </is>
      </c>
      <c r="F17" t="inlineStr">
        <is>
          <t>Transport emissions</t>
        </is>
      </c>
      <c r="G17">
        <f>'GHG Entry'!A5</f>
        <v/>
      </c>
      <c r="H17" t="inlineStr">
        <is>
          <t>Biochar transportation</t>
        </is>
      </c>
      <c r="I17" s="2">
        <f>Component!D14 * Datapoint!E56</f>
        <v/>
      </c>
      <c r="J17">
        <f>Component!E14 * Datapoint!E56</f>
        <v/>
      </c>
      <c r="K17">
        <f>Component!D14</f>
        <v/>
      </c>
      <c r="L17" t="inlineStr">
        <is>
          <t>partial</t>
        </is>
      </c>
      <c r="M17">
        <f>Datapoint!E56</f>
        <v/>
      </c>
      <c r="N17">
        <f>Datapoint!A56</f>
        <v/>
      </c>
      <c r="O17" t="inlineStr">
        <is>
          <t>activity</t>
        </is>
      </c>
    </row>
    <row r="18">
      <c r="A18" t="inlineStr">
        <is>
          <t>rvc_1KWCY0G8W1S0KGCP</t>
        </is>
      </c>
      <c r="B18">
        <f>Component!A15</f>
        <v/>
      </c>
      <c r="C18" t="inlineStr">
        <is>
          <t>Biochar Spreading Emissions</t>
        </is>
      </c>
      <c r="D18" t="inlineStr">
        <is>
          <t xml:space="preserve"> </t>
        </is>
      </c>
      <c r="E18" t="inlineStr">
        <is>
          <t>mass_based_ci_emissions</t>
        </is>
      </c>
      <c r="F18" t="inlineStr">
        <is>
          <t>Mass-based CI emissions</t>
        </is>
      </c>
      <c r="G18">
        <f>'GHG Entry'!A5</f>
        <v/>
      </c>
      <c r="H18" t="inlineStr">
        <is>
          <t>Biochar storage</t>
        </is>
      </c>
      <c r="I18" s="2">
        <f>Component!D15 * Datapoint!E52</f>
        <v/>
      </c>
      <c r="J18">
        <f>Component!E15 * Datapoint!E52</f>
        <v/>
      </c>
      <c r="K18">
        <f>Component!D15</f>
        <v/>
      </c>
      <c r="L18" t="inlineStr">
        <is>
          <t>partial</t>
        </is>
      </c>
      <c r="M18">
        <f>Datapoint!E52</f>
        <v/>
      </c>
      <c r="N18">
        <f>Datapoint!A52</f>
        <v/>
      </c>
      <c r="O18" t="inlineStr">
        <is>
          <t>activity</t>
        </is>
      </c>
    </row>
    <row r="19">
      <c r="A19" t="inlineStr">
        <is>
          <t>rvc_1KWCY0G8W1S0NRPZ</t>
        </is>
      </c>
      <c r="B19">
        <f>Component!A16</f>
        <v/>
      </c>
      <c r="C19" t="inlineStr">
        <is>
          <t>Biochar sequestration, 200 year durability</t>
        </is>
      </c>
      <c r="E19" t="inlineStr">
        <is>
          <t>biochar_sequestration_200_year_c_org</t>
        </is>
      </c>
      <c r="F19" t="inlineStr">
        <is>
          <t>Biochar sequestration, 200 year durability</t>
        </is>
      </c>
      <c r="G19">
        <f>'GHG Entry'!A5</f>
        <v/>
      </c>
      <c r="H19" t="inlineStr">
        <is>
          <t>Biochar storage</t>
        </is>
      </c>
      <c r="I19" s="2">
        <f>Component!D16 * Datapoint!E53</f>
        <v/>
      </c>
      <c r="J19">
        <f>Component!E16 * Datapoint!E53</f>
        <v/>
      </c>
      <c r="K19">
        <f>Component!D16</f>
        <v/>
      </c>
      <c r="L19" t="inlineStr">
        <is>
          <t>partial</t>
        </is>
      </c>
      <c r="M19">
        <f>Datapoint!E53</f>
        <v/>
      </c>
      <c r="N19">
        <f>Datapoint!A53</f>
        <v/>
      </c>
      <c r="O19" t="inlineStr">
        <is>
          <t>sequestration</t>
        </is>
      </c>
    </row>
    <row r="20">
      <c r="A20" t="inlineStr">
        <is>
          <t>rvc_1KWCY0G8W1S0TT40</t>
        </is>
      </c>
      <c r="B20">
        <f>Component!A17</f>
        <v/>
      </c>
      <c r="C20" t="inlineStr">
        <is>
          <t>CO Flatbed Truck Transport Embodied Emissions</t>
        </is>
      </c>
      <c r="D20" t="inlineStr">
        <is>
          <t xml:space="preserve"> </t>
        </is>
      </c>
      <c r="E20" t="inlineStr">
        <is>
          <t>distance_based_ci_emissions</t>
        </is>
      </c>
      <c r="F20" t="inlineStr">
        <is>
          <t>Distance-based emissions</t>
        </is>
      </c>
      <c r="G20">
        <f>'GHG Entry'!A5</f>
        <v/>
      </c>
      <c r="H20" t="inlineStr">
        <is>
          <t>Biochar transportation</t>
        </is>
      </c>
      <c r="I20" s="2">
        <f>Component!D17 * Datapoint!E54</f>
        <v/>
      </c>
      <c r="J20">
        <f>Component!E17 * Datapoint!E54</f>
        <v/>
      </c>
      <c r="K20">
        <f>Component!D17</f>
        <v/>
      </c>
      <c r="L20" t="inlineStr">
        <is>
          <t>partial</t>
        </is>
      </c>
      <c r="M20">
        <f>Datapoint!E54</f>
        <v/>
      </c>
      <c r="N20">
        <f>Datapoint!A54</f>
        <v/>
      </c>
      <c r="O20" t="inlineStr">
        <is>
          <t>activity</t>
        </is>
      </c>
    </row>
    <row r="21">
      <c r="A21" t="inlineStr">
        <is>
          <t>rvc_1KXEB42X91S0XRV2</t>
        </is>
      </c>
      <c r="B21">
        <f>Component!A35</f>
        <v/>
      </c>
      <c r="C21" t="inlineStr">
        <is>
          <t>BCU - Transport Process</t>
        </is>
      </c>
      <c r="E21" t="inlineStr">
        <is>
          <t>constant_reduction</t>
        </is>
      </c>
      <c r="F21" t="inlineStr">
        <is>
          <t>Constant CO₂ reduction</t>
        </is>
      </c>
      <c r="G21">
        <f>'GHG Entry'!A5</f>
        <v/>
      </c>
      <c r="H21" t="inlineStr">
        <is>
          <t>Biochar transportation</t>
        </is>
      </c>
      <c r="I21" s="2">
        <f>Component!D35 * Datapoint!E119</f>
        <v/>
      </c>
      <c r="J21">
        <f>Component!E35 * Datapoint!E119</f>
        <v/>
      </c>
      <c r="K21">
        <f>Component!D35</f>
        <v/>
      </c>
      <c r="L21" t="inlineStr">
        <is>
          <t>partial</t>
        </is>
      </c>
      <c r="M21">
        <f>Datapoint!E119</f>
        <v/>
      </c>
      <c r="N21">
        <f>Datapoint!A119</f>
        <v/>
      </c>
      <c r="O21" t="inlineStr">
        <is>
          <t>adjustment</t>
        </is>
      </c>
    </row>
    <row r="22">
      <c r="A22" t="inlineStr">
        <is>
          <t>rvc_1KWCZP1M61S0D0ZD</t>
        </is>
      </c>
      <c r="B22">
        <f>Component!A18</f>
        <v/>
      </c>
      <c r="C22" t="inlineStr">
        <is>
          <t>Biochar Spreading Emissions</t>
        </is>
      </c>
      <c r="D22" t="inlineStr">
        <is>
          <t xml:space="preserve"> </t>
        </is>
      </c>
      <c r="E22" t="inlineStr">
        <is>
          <t>mass_based_ci_emissions</t>
        </is>
      </c>
      <c r="F22" t="inlineStr">
        <is>
          <t>Mass-based CI emissions</t>
        </is>
      </c>
      <c r="G22">
        <f>'GHG Entry'!A6</f>
        <v/>
      </c>
      <c r="H22" t="inlineStr">
        <is>
          <t>Biochar storage</t>
        </is>
      </c>
      <c r="I22" s="2">
        <f>Component!D18 * Datapoint!E70</f>
        <v/>
      </c>
      <c r="J22">
        <f>Component!E18 * Datapoint!E70</f>
        <v/>
      </c>
      <c r="K22">
        <f>Component!D18</f>
        <v/>
      </c>
      <c r="L22" t="inlineStr">
        <is>
          <t>partial</t>
        </is>
      </c>
      <c r="M22">
        <f>Datapoint!E70</f>
        <v/>
      </c>
      <c r="N22">
        <f>Datapoint!A70</f>
        <v/>
      </c>
      <c r="O22" t="inlineStr">
        <is>
          <t>activity</t>
        </is>
      </c>
    </row>
    <row r="23">
      <c r="A23" t="inlineStr">
        <is>
          <t>rvc_1KWCZP1M61S0F99P</t>
        </is>
      </c>
      <c r="B23">
        <f>Component!A19</f>
        <v/>
      </c>
      <c r="C23" t="inlineStr">
        <is>
          <t>Biochar sequestration, 200 year durability</t>
        </is>
      </c>
      <c r="E23" t="inlineStr">
        <is>
          <t>biochar_sequestration_200_year_c_org</t>
        </is>
      </c>
      <c r="F23" t="inlineStr">
        <is>
          <t>Biochar sequestration, 200 year durability</t>
        </is>
      </c>
      <c r="G23">
        <f>'GHG Entry'!A6</f>
        <v/>
      </c>
      <c r="H23" t="inlineStr">
        <is>
          <t>Biochar storage</t>
        </is>
      </c>
      <c r="I23" s="2">
        <f>Component!D19 * Datapoint!E71</f>
        <v/>
      </c>
      <c r="J23">
        <f>Component!E19 * Datapoint!E71</f>
        <v/>
      </c>
      <c r="K23">
        <f>Component!D19</f>
        <v/>
      </c>
      <c r="L23" t="inlineStr">
        <is>
          <t>partial</t>
        </is>
      </c>
      <c r="M23">
        <f>Datapoint!E71</f>
        <v/>
      </c>
      <c r="N23">
        <f>Datapoint!A71</f>
        <v/>
      </c>
      <c r="O23" t="inlineStr">
        <is>
          <t>sequestration</t>
        </is>
      </c>
    </row>
    <row r="24">
      <c r="A24" t="inlineStr">
        <is>
          <t>rvc_1KWCZP1M61S0MAPQ</t>
        </is>
      </c>
      <c r="B24">
        <f>Component!A20</f>
        <v/>
      </c>
      <c r="C24" t="inlineStr">
        <is>
          <t>CO Flatbed Truck Transport Embodied Emissions</t>
        </is>
      </c>
      <c r="D24" t="inlineStr">
        <is>
          <t xml:space="preserve"> </t>
        </is>
      </c>
      <c r="E24" t="inlineStr">
        <is>
          <t>distance_based_ci_emissions</t>
        </is>
      </c>
      <c r="F24" t="inlineStr">
        <is>
          <t>Distance-based emissions</t>
        </is>
      </c>
      <c r="G24">
        <f>'GHG Entry'!A6</f>
        <v/>
      </c>
      <c r="H24" t="inlineStr">
        <is>
          <t>Biochar transportation</t>
        </is>
      </c>
      <c r="I24" s="2">
        <f>Component!D20 * Datapoint!E72</f>
        <v/>
      </c>
      <c r="J24">
        <f>Component!E20 * Datapoint!E72</f>
        <v/>
      </c>
      <c r="K24">
        <f>Component!D20</f>
        <v/>
      </c>
      <c r="L24" t="inlineStr">
        <is>
          <t>partial</t>
        </is>
      </c>
      <c r="M24">
        <f>Datapoint!E72</f>
        <v/>
      </c>
      <c r="N24">
        <f>Datapoint!A72</f>
        <v/>
      </c>
      <c r="O24" t="inlineStr">
        <is>
          <t>activity</t>
        </is>
      </c>
    </row>
    <row r="25">
      <c r="A25" t="inlineStr">
        <is>
          <t>rvc_1KWCZP1M61S0VME1</t>
        </is>
      </c>
      <c r="B25">
        <f>Component!A21</f>
        <v/>
      </c>
      <c r="C25" t="inlineStr">
        <is>
          <t>Biochar Production Emission (A)</t>
        </is>
      </c>
      <c r="D25" t="inlineStr">
        <is>
          <t xml:space="preserve"> </t>
        </is>
      </c>
      <c r="E25" t="inlineStr">
        <is>
          <t>mass_based_ci_emissions</t>
        </is>
      </c>
      <c r="F25" t="inlineStr">
        <is>
          <t>Mass-based CI emissions</t>
        </is>
      </c>
      <c r="G25">
        <f>'GHG Entry'!A6</f>
        <v/>
      </c>
      <c r="H25" t="inlineStr">
        <is>
          <t>Biochar production</t>
        </is>
      </c>
      <c r="I25" s="2">
        <f>Component!D21 * Datapoint!E73</f>
        <v/>
      </c>
      <c r="J25">
        <f>Component!E21 * Datapoint!E73</f>
        <v/>
      </c>
      <c r="K25">
        <f>Component!D21</f>
        <v/>
      </c>
      <c r="L25" t="inlineStr">
        <is>
          <t>partial</t>
        </is>
      </c>
      <c r="M25">
        <f>Datapoint!E73</f>
        <v/>
      </c>
      <c r="N25">
        <f>Datapoint!A73</f>
        <v/>
      </c>
      <c r="O25" t="inlineStr">
        <is>
          <t>activity</t>
        </is>
      </c>
    </row>
    <row r="26">
      <c r="A26" t="inlineStr">
        <is>
          <t>rvc_1KWCZP1M61S00NV2</t>
        </is>
      </c>
      <c r="B26">
        <f>Component!A22</f>
        <v/>
      </c>
      <c r="C26" t="inlineStr">
        <is>
          <t>CO Flatbed Truck Transport Process Emissions</t>
        </is>
      </c>
      <c r="D26" t="inlineStr">
        <is>
          <t xml:space="preserve"> </t>
        </is>
      </c>
      <c r="E26" t="inlineStr">
        <is>
          <t>transport</t>
        </is>
      </c>
      <c r="F26" t="inlineStr">
        <is>
          <t>Transport emissions</t>
        </is>
      </c>
      <c r="G26">
        <f>'GHG Entry'!A6</f>
        <v/>
      </c>
      <c r="H26" t="inlineStr">
        <is>
          <t>Biochar transportation</t>
        </is>
      </c>
      <c r="I26" s="2">
        <f>Component!D22 * Datapoint!E74</f>
        <v/>
      </c>
      <c r="J26">
        <f>Component!E22 * Datapoint!E74</f>
        <v/>
      </c>
      <c r="K26">
        <f>Component!D22</f>
        <v/>
      </c>
      <c r="L26" t="inlineStr">
        <is>
          <t>partial</t>
        </is>
      </c>
      <c r="M26">
        <f>Datapoint!E74</f>
        <v/>
      </c>
      <c r="N26">
        <f>Datapoint!A74</f>
        <v/>
      </c>
      <c r="O26" t="inlineStr">
        <is>
          <t>activity</t>
        </is>
      </c>
    </row>
    <row r="27">
      <c r="A27" t="inlineStr">
        <is>
          <t>rvc_1KYA8C1QC1S0QJFK</t>
        </is>
      </c>
      <c r="B27">
        <f>Component!A167</f>
        <v/>
      </c>
      <c r="C27" t="inlineStr">
        <is>
          <t>BCU - Transport Process</t>
        </is>
      </c>
      <c r="E27" t="inlineStr">
        <is>
          <t>constant_reduction</t>
        </is>
      </c>
      <c r="F27" t="inlineStr">
        <is>
          <t>Constant CO₂ reduction</t>
        </is>
      </c>
      <c r="G27">
        <f>'GHG Entry'!A6</f>
        <v/>
      </c>
      <c r="H27" t="inlineStr">
        <is>
          <t>Biochar storage</t>
        </is>
      </c>
      <c r="I27" s="2">
        <f>Component!D167 * Datapoint!E598</f>
        <v/>
      </c>
      <c r="J27">
        <f>Component!E167 * Datapoint!E598</f>
        <v/>
      </c>
      <c r="K27">
        <f>Component!D167</f>
        <v/>
      </c>
      <c r="L27" t="inlineStr">
        <is>
          <t>partial</t>
        </is>
      </c>
      <c r="M27">
        <f>Datapoint!E598</f>
        <v/>
      </c>
      <c r="N27">
        <f>Datapoint!A598</f>
        <v/>
      </c>
      <c r="O27" t="inlineStr">
        <is>
          <t>adjustment</t>
        </is>
      </c>
      <c r="P27" s="3" t="n">
        <v>46172</v>
      </c>
      <c r="Q27" s="3" t="n">
        <v>46172</v>
      </c>
    </row>
    <row r="28">
      <c r="A28" t="inlineStr">
        <is>
          <t>rvc_1KXE4AHAG1S03KST</t>
        </is>
      </c>
      <c r="B28">
        <f>Component!A23</f>
        <v/>
      </c>
      <c r="C28" t="inlineStr">
        <is>
          <t>Biochar Production Emission (A)</t>
        </is>
      </c>
      <c r="D28" t="inlineStr">
        <is>
          <t xml:space="preserve"> </t>
        </is>
      </c>
      <c r="E28" t="inlineStr">
        <is>
          <t>mass_based_ci_emissions</t>
        </is>
      </c>
      <c r="F28" t="inlineStr">
        <is>
          <t>Mass-based CI emissions</t>
        </is>
      </c>
      <c r="G28">
        <f>'GHG Entry'!A7</f>
        <v/>
      </c>
      <c r="H28" t="inlineStr">
        <is>
          <t>Biochar production</t>
        </is>
      </c>
      <c r="I28" s="2">
        <f>Component!D23 * Datapoint!E92</f>
        <v/>
      </c>
      <c r="J28">
        <f>Component!E23 * Datapoint!E92</f>
        <v/>
      </c>
      <c r="K28">
        <f>Component!D23</f>
        <v/>
      </c>
      <c r="L28" t="inlineStr">
        <is>
          <t>partial</t>
        </is>
      </c>
      <c r="M28">
        <f>Datapoint!E92</f>
        <v/>
      </c>
      <c r="N28">
        <f>Datapoint!A92</f>
        <v/>
      </c>
      <c r="O28" t="inlineStr">
        <is>
          <t>activity</t>
        </is>
      </c>
    </row>
    <row r="29">
      <c r="A29" t="inlineStr">
        <is>
          <t>rvc_1KXE4AHAG1S08N6V</t>
        </is>
      </c>
      <c r="B29">
        <f>Component!A24</f>
        <v/>
      </c>
      <c r="C29" t="inlineStr">
        <is>
          <t>CO Flatbed Truck Transport Process Emissions</t>
        </is>
      </c>
      <c r="D29" t="inlineStr">
        <is>
          <t xml:space="preserve"> </t>
        </is>
      </c>
      <c r="E29" t="inlineStr">
        <is>
          <t>transport</t>
        </is>
      </c>
      <c r="F29" t="inlineStr">
        <is>
          <t>Transport emissions</t>
        </is>
      </c>
      <c r="G29">
        <f>'GHG Entry'!A7</f>
        <v/>
      </c>
      <c r="H29" t="inlineStr">
        <is>
          <t>Biochar transportation</t>
        </is>
      </c>
      <c r="I29" s="2">
        <f>Component!D24 * Datapoint!E93</f>
        <v/>
      </c>
      <c r="J29">
        <f>Component!E24 * Datapoint!E93</f>
        <v/>
      </c>
      <c r="K29">
        <f>Component!D24</f>
        <v/>
      </c>
      <c r="L29" t="inlineStr">
        <is>
          <t>partial</t>
        </is>
      </c>
      <c r="M29">
        <f>Datapoint!E93</f>
        <v/>
      </c>
      <c r="N29">
        <f>Datapoint!A93</f>
        <v/>
      </c>
      <c r="O29" t="inlineStr">
        <is>
          <t>activity</t>
        </is>
      </c>
    </row>
    <row r="30">
      <c r="A30" t="inlineStr">
        <is>
          <t>rvc_1KXE4AHAG1S0N0B6</t>
        </is>
      </c>
      <c r="B30">
        <f>Component!A25</f>
        <v/>
      </c>
      <c r="C30" t="inlineStr">
        <is>
          <t>Biochar Spreading Emissions</t>
        </is>
      </c>
      <c r="D30" t="inlineStr">
        <is>
          <t xml:space="preserve"> </t>
        </is>
      </c>
      <c r="E30" t="inlineStr">
        <is>
          <t>mass_based_ci_emissions</t>
        </is>
      </c>
      <c r="F30" t="inlineStr">
        <is>
          <t>Mass-based CI emissions</t>
        </is>
      </c>
      <c r="G30">
        <f>'GHG Entry'!A7</f>
        <v/>
      </c>
      <c r="H30" t="inlineStr">
        <is>
          <t>Biochar storage</t>
        </is>
      </c>
      <c r="I30" s="2">
        <f>Component!D25 * Datapoint!E89</f>
        <v/>
      </c>
      <c r="J30">
        <f>Component!E25 * Datapoint!E89</f>
        <v/>
      </c>
      <c r="K30">
        <f>Component!D25</f>
        <v/>
      </c>
      <c r="L30" t="inlineStr">
        <is>
          <t>partial</t>
        </is>
      </c>
      <c r="M30">
        <f>Datapoint!E89</f>
        <v/>
      </c>
      <c r="N30">
        <f>Datapoint!A89</f>
        <v/>
      </c>
      <c r="O30" t="inlineStr">
        <is>
          <t>activity</t>
        </is>
      </c>
    </row>
    <row r="31">
      <c r="A31" t="inlineStr">
        <is>
          <t>rvc_1KXE4AHAG1S0Q8NF</t>
        </is>
      </c>
      <c r="B31">
        <f>Component!A26</f>
        <v/>
      </c>
      <c r="C31" t="inlineStr">
        <is>
          <t>Biochar sequestration, 200 year durability</t>
        </is>
      </c>
      <c r="E31" t="inlineStr">
        <is>
          <t>biochar_sequestration_200_year_c_org</t>
        </is>
      </c>
      <c r="F31" t="inlineStr">
        <is>
          <t>Biochar sequestration, 200 year durability</t>
        </is>
      </c>
      <c r="G31">
        <f>'GHG Entry'!A7</f>
        <v/>
      </c>
      <c r="H31" t="inlineStr">
        <is>
          <t>Biochar storage</t>
        </is>
      </c>
      <c r="I31" s="2">
        <f>Component!D26 * Datapoint!E90</f>
        <v/>
      </c>
      <c r="J31">
        <f>Component!E26 * Datapoint!E90</f>
        <v/>
      </c>
      <c r="K31">
        <f>Component!D26</f>
        <v/>
      </c>
      <c r="L31" t="inlineStr">
        <is>
          <t>partial</t>
        </is>
      </c>
      <c r="M31">
        <f>Datapoint!E90</f>
        <v/>
      </c>
      <c r="N31">
        <f>Datapoint!A90</f>
        <v/>
      </c>
      <c r="O31" t="inlineStr">
        <is>
          <t>sequestration</t>
        </is>
      </c>
    </row>
    <row r="32">
      <c r="A32" t="inlineStr">
        <is>
          <t>rvc_1KXE4AHAG1S0WA2G</t>
        </is>
      </c>
      <c r="B32">
        <f>Component!A27</f>
        <v/>
      </c>
      <c r="C32" t="inlineStr">
        <is>
          <t>CO Flatbed Truck Transport Embodied Emissions</t>
        </is>
      </c>
      <c r="D32" t="inlineStr">
        <is>
          <t xml:space="preserve"> </t>
        </is>
      </c>
      <c r="E32" t="inlineStr">
        <is>
          <t>distance_based_ci_emissions</t>
        </is>
      </c>
      <c r="F32" t="inlineStr">
        <is>
          <t>Distance-based emissions</t>
        </is>
      </c>
      <c r="G32">
        <f>'GHG Entry'!A7</f>
        <v/>
      </c>
      <c r="H32" t="inlineStr">
        <is>
          <t>Biochar transportation</t>
        </is>
      </c>
      <c r="I32" s="2">
        <f>Component!D27 * Datapoint!E91</f>
        <v/>
      </c>
      <c r="J32">
        <f>Component!E27 * Datapoint!E91</f>
        <v/>
      </c>
      <c r="K32">
        <f>Component!D27</f>
        <v/>
      </c>
      <c r="L32" t="inlineStr">
        <is>
          <t>partial</t>
        </is>
      </c>
      <c r="M32">
        <f>Datapoint!E91</f>
        <v/>
      </c>
      <c r="N32">
        <f>Datapoint!A91</f>
        <v/>
      </c>
      <c r="O32" t="inlineStr">
        <is>
          <t>activity</t>
        </is>
      </c>
    </row>
    <row r="33">
      <c r="A33" t="inlineStr">
        <is>
          <t>rvc_1KYMS0Q121S08WWE</t>
        </is>
      </c>
      <c r="B33">
        <f>Component!A28</f>
        <v/>
      </c>
      <c r="C33" t="inlineStr">
        <is>
          <t>BCU - Transport Process</t>
        </is>
      </c>
      <c r="E33" t="inlineStr">
        <is>
          <t>constant_reduction</t>
        </is>
      </c>
      <c r="F33" t="inlineStr">
        <is>
          <t>Constant CO₂ reduction</t>
        </is>
      </c>
      <c r="G33">
        <f>'GHG Entry'!A7</f>
        <v/>
      </c>
      <c r="H33" t="inlineStr">
        <is>
          <t>Biochar transportation</t>
        </is>
      </c>
      <c r="I33" s="2">
        <f>Component!D28 * Datapoint!E644</f>
        <v/>
      </c>
      <c r="J33">
        <f>Component!E28 * Datapoint!E644</f>
        <v/>
      </c>
      <c r="K33">
        <f>Component!D28</f>
        <v/>
      </c>
      <c r="L33" t="inlineStr">
        <is>
          <t>partial</t>
        </is>
      </c>
      <c r="M33">
        <f>Datapoint!E644</f>
        <v/>
      </c>
      <c r="N33">
        <f>Datapoint!A644</f>
        <v/>
      </c>
      <c r="O33" t="inlineStr">
        <is>
          <t>adjustment</t>
        </is>
      </c>
    </row>
    <row r="34">
      <c r="A34" t="inlineStr">
        <is>
          <t>rvc_1KXEA1TH21S02GPH</t>
        </is>
      </c>
      <c r="B34">
        <f>Component!A29</f>
        <v/>
      </c>
      <c r="C34" t="inlineStr">
        <is>
          <t>CO Flatbed Truck Transport Process Emissions</t>
        </is>
      </c>
      <c r="D34" t="inlineStr">
        <is>
          <t xml:space="preserve"> </t>
        </is>
      </c>
      <c r="E34" t="inlineStr">
        <is>
          <t>transport</t>
        </is>
      </c>
      <c r="F34" t="inlineStr">
        <is>
          <t>Transport emissions</t>
        </is>
      </c>
      <c r="G34">
        <f>'GHG Entry'!A8</f>
        <v/>
      </c>
      <c r="H34" t="inlineStr">
        <is>
          <t>Biochar transportation</t>
        </is>
      </c>
      <c r="I34" s="2">
        <f>Component!D29 * Datapoint!E113</f>
        <v/>
      </c>
      <c r="J34">
        <f>Component!E29 * Datapoint!E113</f>
        <v/>
      </c>
      <c r="K34">
        <f>Component!D29</f>
        <v/>
      </c>
      <c r="L34" t="inlineStr">
        <is>
          <t>partial</t>
        </is>
      </c>
      <c r="M34">
        <f>Datapoint!E113</f>
        <v/>
      </c>
      <c r="N34">
        <f>Datapoint!A113</f>
        <v/>
      </c>
      <c r="O34" t="inlineStr">
        <is>
          <t>activity</t>
        </is>
      </c>
    </row>
    <row r="35">
      <c r="A35" t="inlineStr">
        <is>
          <t>rvc_1KXEA1TH21S0EVTW</t>
        </is>
      </c>
      <c r="B35">
        <f>Component!A30</f>
        <v/>
      </c>
      <c r="C35" t="inlineStr">
        <is>
          <t>Biochar Spreading Emissions</t>
        </is>
      </c>
      <c r="D35" t="inlineStr">
        <is>
          <t xml:space="preserve"> </t>
        </is>
      </c>
      <c r="E35" t="inlineStr">
        <is>
          <t>mass_based_ci_emissions</t>
        </is>
      </c>
      <c r="F35" t="inlineStr">
        <is>
          <t>Mass-based CI emissions</t>
        </is>
      </c>
      <c r="G35">
        <f>'GHG Entry'!A8</f>
        <v/>
      </c>
      <c r="H35" t="inlineStr">
        <is>
          <t>Biochar storage</t>
        </is>
      </c>
      <c r="I35" s="2">
        <f>Component!D30 * Datapoint!E109</f>
        <v/>
      </c>
      <c r="J35">
        <f>Component!E30 * Datapoint!E109</f>
        <v/>
      </c>
      <c r="K35">
        <f>Component!D30</f>
        <v/>
      </c>
      <c r="L35" t="inlineStr">
        <is>
          <t>partial</t>
        </is>
      </c>
      <c r="M35">
        <f>Datapoint!E109</f>
        <v/>
      </c>
      <c r="N35">
        <f>Datapoint!A109</f>
        <v/>
      </c>
      <c r="O35" t="inlineStr">
        <is>
          <t>activity</t>
        </is>
      </c>
    </row>
    <row r="36">
      <c r="A36" t="inlineStr">
        <is>
          <t>rvc_1KXEA1TH21S0H455</t>
        </is>
      </c>
      <c r="B36">
        <f>Component!A31</f>
        <v/>
      </c>
      <c r="C36" t="inlineStr">
        <is>
          <t>Biochar sequestration, 200 year durability</t>
        </is>
      </c>
      <c r="E36" t="inlineStr">
        <is>
          <t>biochar_sequestration_200_year_c_org</t>
        </is>
      </c>
      <c r="F36" t="inlineStr">
        <is>
          <t>Biochar sequestration, 200 year durability</t>
        </is>
      </c>
      <c r="G36">
        <f>'GHG Entry'!A8</f>
        <v/>
      </c>
      <c r="H36" t="inlineStr">
        <is>
          <t>Biochar storage</t>
        </is>
      </c>
      <c r="I36" s="2">
        <f>Component!D31 * Datapoint!E110</f>
        <v/>
      </c>
      <c r="J36">
        <f>Component!E31 * Datapoint!E110</f>
        <v/>
      </c>
      <c r="K36">
        <f>Component!D31</f>
        <v/>
      </c>
      <c r="L36" t="inlineStr">
        <is>
          <t>partial</t>
        </is>
      </c>
      <c r="M36">
        <f>Datapoint!E110</f>
        <v/>
      </c>
      <c r="N36">
        <f>Datapoint!A110</f>
        <v/>
      </c>
      <c r="O36" t="inlineStr">
        <is>
          <t>sequestration</t>
        </is>
      </c>
    </row>
    <row r="37">
      <c r="A37" t="inlineStr">
        <is>
          <t>rvc_1KXEA1TH21S0P5J6</t>
        </is>
      </c>
      <c r="B37">
        <f>Component!A32</f>
        <v/>
      </c>
      <c r="C37" t="inlineStr">
        <is>
          <t>CO Flatbed Truck Transport Embodied Emissions</t>
        </is>
      </c>
      <c r="D37" t="inlineStr">
        <is>
          <t xml:space="preserve"> </t>
        </is>
      </c>
      <c r="E37" t="inlineStr">
        <is>
          <t>distance_based_ci_emissions</t>
        </is>
      </c>
      <c r="F37" t="inlineStr">
        <is>
          <t>Distance-based emissions</t>
        </is>
      </c>
      <c r="G37">
        <f>'GHG Entry'!A8</f>
        <v/>
      </c>
      <c r="H37" t="inlineStr">
        <is>
          <t>Biochar transportation</t>
        </is>
      </c>
      <c r="I37" s="2">
        <f>Component!D32 * Datapoint!E111</f>
        <v/>
      </c>
      <c r="J37">
        <f>Component!E32 * Datapoint!E111</f>
        <v/>
      </c>
      <c r="K37">
        <f>Component!D32</f>
        <v/>
      </c>
      <c r="L37" t="inlineStr">
        <is>
          <t>partial</t>
        </is>
      </c>
      <c r="M37">
        <f>Datapoint!E111</f>
        <v/>
      </c>
      <c r="N37">
        <f>Datapoint!A111</f>
        <v/>
      </c>
      <c r="O37" t="inlineStr">
        <is>
          <t>activity</t>
        </is>
      </c>
    </row>
    <row r="38">
      <c r="A38" t="inlineStr">
        <is>
          <t>rvc_1KXEA1TH21S0XF9G</t>
        </is>
      </c>
      <c r="B38">
        <f>Component!A33</f>
        <v/>
      </c>
      <c r="C38" t="inlineStr">
        <is>
          <t>Biochar Production Emission (A)</t>
        </is>
      </c>
      <c r="D38" t="inlineStr">
        <is>
          <t xml:space="preserve"> </t>
        </is>
      </c>
      <c r="E38" t="inlineStr">
        <is>
          <t>mass_based_ci_emissions</t>
        </is>
      </c>
      <c r="F38" t="inlineStr">
        <is>
          <t>Mass-based CI emissions</t>
        </is>
      </c>
      <c r="G38">
        <f>'GHG Entry'!A8</f>
        <v/>
      </c>
      <c r="H38" t="inlineStr">
        <is>
          <t>Biochar production</t>
        </is>
      </c>
      <c r="I38" s="2">
        <f>Component!D33 * Datapoint!E112</f>
        <v/>
      </c>
      <c r="J38">
        <f>Component!E33 * Datapoint!E112</f>
        <v/>
      </c>
      <c r="K38">
        <f>Component!D33</f>
        <v/>
      </c>
      <c r="L38" t="inlineStr">
        <is>
          <t>partial</t>
        </is>
      </c>
      <c r="M38">
        <f>Datapoint!E112</f>
        <v/>
      </c>
      <c r="N38">
        <f>Datapoint!A112</f>
        <v/>
      </c>
      <c r="O38" t="inlineStr">
        <is>
          <t>activity</t>
        </is>
      </c>
    </row>
    <row r="39">
      <c r="A39" t="inlineStr">
        <is>
          <t>rvc_1KXEA3E4Q1S0XMHX</t>
        </is>
      </c>
      <c r="B39">
        <f>Component!A34</f>
        <v/>
      </c>
      <c r="C39" t="inlineStr">
        <is>
          <t>BCU - Transport Process</t>
        </is>
      </c>
      <c r="E39" t="inlineStr">
        <is>
          <t>constant_reduction</t>
        </is>
      </c>
      <c r="F39" t="inlineStr">
        <is>
          <t>Constant CO₂ reduction</t>
        </is>
      </c>
      <c r="G39">
        <f>'GHG Entry'!A8</f>
        <v/>
      </c>
      <c r="H39" t="inlineStr">
        <is>
          <t>Biochar transportation</t>
        </is>
      </c>
      <c r="I39" s="2">
        <f>Component!D34 * Datapoint!E114</f>
        <v/>
      </c>
      <c r="J39">
        <f>Component!E34 * Datapoint!E114</f>
        <v/>
      </c>
      <c r="K39">
        <f>Component!D34</f>
        <v/>
      </c>
      <c r="L39" t="inlineStr">
        <is>
          <t>partial</t>
        </is>
      </c>
      <c r="M39">
        <f>Datapoint!E114</f>
        <v/>
      </c>
      <c r="N39">
        <f>Datapoint!A114</f>
        <v/>
      </c>
      <c r="O39" t="inlineStr">
        <is>
          <t>adjustment</t>
        </is>
      </c>
    </row>
    <row r="40">
      <c r="A40" t="inlineStr">
        <is>
          <t>rvc_1KXEBV2PW1S0382T</t>
        </is>
      </c>
      <c r="B40">
        <f>Component!A36</f>
        <v/>
      </c>
      <c r="C40" t="inlineStr">
        <is>
          <t>Biochar Production Emission (A)</t>
        </is>
      </c>
      <c r="D40" t="inlineStr">
        <is>
          <t xml:space="preserve"> </t>
        </is>
      </c>
      <c r="E40" t="inlineStr">
        <is>
          <t>mass_based_ci_emissions</t>
        </is>
      </c>
      <c r="F40" t="inlineStr">
        <is>
          <t>Mass-based CI emissions</t>
        </is>
      </c>
      <c r="G40">
        <f>'GHG Entry'!A9</f>
        <v/>
      </c>
      <c r="H40" t="inlineStr">
        <is>
          <t>Biochar production</t>
        </is>
      </c>
      <c r="I40" s="2">
        <f>Component!D36 * Datapoint!E139</f>
        <v/>
      </c>
      <c r="J40">
        <f>Component!E36 * Datapoint!E139</f>
        <v/>
      </c>
      <c r="K40">
        <f>Component!D36</f>
        <v/>
      </c>
      <c r="L40" t="inlineStr">
        <is>
          <t>partial</t>
        </is>
      </c>
      <c r="M40">
        <f>Datapoint!E139</f>
        <v/>
      </c>
      <c r="N40">
        <f>Datapoint!A139</f>
        <v/>
      </c>
      <c r="O40" t="inlineStr">
        <is>
          <t>activity</t>
        </is>
      </c>
    </row>
    <row r="41">
      <c r="A41" t="inlineStr">
        <is>
          <t>rvc_1KXEBV2PW1S089FV</t>
        </is>
      </c>
      <c r="B41">
        <f>Component!A37</f>
        <v/>
      </c>
      <c r="C41" t="inlineStr">
        <is>
          <t>CO Flatbed Truck Transport Process Emissions</t>
        </is>
      </c>
      <c r="D41" t="inlineStr">
        <is>
          <t xml:space="preserve"> </t>
        </is>
      </c>
      <c r="E41" t="inlineStr">
        <is>
          <t>transport</t>
        </is>
      </c>
      <c r="F41" t="inlineStr">
        <is>
          <t>Transport emissions</t>
        </is>
      </c>
      <c r="G41">
        <f>'GHG Entry'!A9</f>
        <v/>
      </c>
      <c r="H41" t="inlineStr">
        <is>
          <t>Biochar transportation</t>
        </is>
      </c>
      <c r="I41" s="2">
        <f>Component!D37 * Datapoint!E140</f>
        <v/>
      </c>
      <c r="J41">
        <f>Component!E37 * Datapoint!E140</f>
        <v/>
      </c>
      <c r="K41">
        <f>Component!D37</f>
        <v/>
      </c>
      <c r="L41" t="inlineStr">
        <is>
          <t>partial</t>
        </is>
      </c>
      <c r="M41">
        <f>Datapoint!E140</f>
        <v/>
      </c>
      <c r="N41">
        <f>Datapoint!A140</f>
        <v/>
      </c>
      <c r="O41" t="inlineStr">
        <is>
          <t>activity</t>
        </is>
      </c>
    </row>
    <row r="42">
      <c r="A42" t="inlineStr">
        <is>
          <t>rvc_1KXEBV2PW1S0MMM6</t>
        </is>
      </c>
      <c r="B42">
        <f>Component!A38</f>
        <v/>
      </c>
      <c r="C42" t="inlineStr">
        <is>
          <t>Biochar Spreading Emissions</t>
        </is>
      </c>
      <c r="D42" t="inlineStr">
        <is>
          <t xml:space="preserve"> </t>
        </is>
      </c>
      <c r="E42" t="inlineStr">
        <is>
          <t>mass_based_ci_emissions</t>
        </is>
      </c>
      <c r="F42" t="inlineStr">
        <is>
          <t>Mass-based CI emissions</t>
        </is>
      </c>
      <c r="G42">
        <f>'GHG Entry'!A9</f>
        <v/>
      </c>
      <c r="H42" t="inlineStr">
        <is>
          <t>Biochar storage</t>
        </is>
      </c>
      <c r="I42" s="2">
        <f>Component!D38 * Datapoint!E136</f>
        <v/>
      </c>
      <c r="J42">
        <f>Component!E38 * Datapoint!E136</f>
        <v/>
      </c>
      <c r="K42">
        <f>Component!D38</f>
        <v/>
      </c>
      <c r="L42" t="inlineStr">
        <is>
          <t>partial</t>
        </is>
      </c>
      <c r="M42">
        <f>Datapoint!E136</f>
        <v/>
      </c>
      <c r="N42">
        <f>Datapoint!A136</f>
        <v/>
      </c>
      <c r="O42" t="inlineStr">
        <is>
          <t>activity</t>
        </is>
      </c>
    </row>
    <row r="43">
      <c r="A43" t="inlineStr">
        <is>
          <t>rvc_1KXEBV2PW1S0PWYF</t>
        </is>
      </c>
      <c r="B43">
        <f>Component!A39</f>
        <v/>
      </c>
      <c r="C43" t="inlineStr">
        <is>
          <t>Biochar sequestration, 200 year durability</t>
        </is>
      </c>
      <c r="E43" t="inlineStr">
        <is>
          <t>biochar_sequestration_200_year_c_org</t>
        </is>
      </c>
      <c r="F43" t="inlineStr">
        <is>
          <t>Biochar sequestration, 200 year durability</t>
        </is>
      </c>
      <c r="G43">
        <f>'GHG Entry'!A9</f>
        <v/>
      </c>
      <c r="H43" t="inlineStr">
        <is>
          <t>Biochar storage</t>
        </is>
      </c>
      <c r="I43" s="2">
        <f>Component!D39 * Datapoint!E137</f>
        <v/>
      </c>
      <c r="J43">
        <f>Component!E39 * Datapoint!E137</f>
        <v/>
      </c>
      <c r="K43">
        <f>Component!D39</f>
        <v/>
      </c>
      <c r="L43" t="inlineStr">
        <is>
          <t>partial</t>
        </is>
      </c>
      <c r="M43">
        <f>Datapoint!E137</f>
        <v/>
      </c>
      <c r="N43">
        <f>Datapoint!A137</f>
        <v/>
      </c>
      <c r="O43" t="inlineStr">
        <is>
          <t>sequestration</t>
        </is>
      </c>
    </row>
    <row r="44">
      <c r="A44" t="inlineStr">
        <is>
          <t>rvc_1KXEBV2PW1S0VYBG</t>
        </is>
      </c>
      <c r="B44">
        <f>Component!A40</f>
        <v/>
      </c>
      <c r="C44" t="inlineStr">
        <is>
          <t>CO Flatbed Truck Transport Embodied Emissions</t>
        </is>
      </c>
      <c r="D44" t="inlineStr">
        <is>
          <t xml:space="preserve"> </t>
        </is>
      </c>
      <c r="E44" t="inlineStr">
        <is>
          <t>distance_based_ci_emissions</t>
        </is>
      </c>
      <c r="F44" t="inlineStr">
        <is>
          <t>Distance-based emissions</t>
        </is>
      </c>
      <c r="G44">
        <f>'GHG Entry'!A9</f>
        <v/>
      </c>
      <c r="H44" t="inlineStr">
        <is>
          <t>Biochar transportation</t>
        </is>
      </c>
      <c r="I44" s="2">
        <f>Component!D40 * Datapoint!E138</f>
        <v/>
      </c>
      <c r="J44">
        <f>Component!E40 * Datapoint!E138</f>
        <v/>
      </c>
      <c r="K44">
        <f>Component!D40</f>
        <v/>
      </c>
      <c r="L44" t="inlineStr">
        <is>
          <t>partial</t>
        </is>
      </c>
      <c r="M44">
        <f>Datapoint!E138</f>
        <v/>
      </c>
      <c r="N44">
        <f>Datapoint!A138</f>
        <v/>
      </c>
      <c r="O44" t="inlineStr">
        <is>
          <t>activity</t>
        </is>
      </c>
    </row>
    <row r="45">
      <c r="A45" t="inlineStr">
        <is>
          <t>rvc_1KXEBZVFK1S02WJR</t>
        </is>
      </c>
      <c r="B45">
        <f>Component!A41</f>
        <v/>
      </c>
      <c r="C45" t="inlineStr">
        <is>
          <t>BCU - Transport Process</t>
        </is>
      </c>
      <c r="E45" t="inlineStr">
        <is>
          <t>constant_reduction</t>
        </is>
      </c>
      <c r="F45" t="inlineStr">
        <is>
          <t>Constant CO₂ reduction</t>
        </is>
      </c>
      <c r="G45">
        <f>'GHG Entry'!A9</f>
        <v/>
      </c>
      <c r="H45" t="inlineStr">
        <is>
          <t>Biochar transportation</t>
        </is>
      </c>
      <c r="I45" s="2">
        <f>Component!D41 * Datapoint!E141</f>
        <v/>
      </c>
      <c r="J45">
        <f>Component!E41 * Datapoint!E141</f>
        <v/>
      </c>
      <c r="K45">
        <f>Component!D41</f>
        <v/>
      </c>
      <c r="L45" t="inlineStr">
        <is>
          <t>partial</t>
        </is>
      </c>
      <c r="M45">
        <f>Datapoint!E141</f>
        <v/>
      </c>
      <c r="N45">
        <f>Datapoint!A141</f>
        <v/>
      </c>
      <c r="O45" t="inlineStr">
        <is>
          <t>adjustment</t>
        </is>
      </c>
    </row>
    <row r="46">
      <c r="A46" t="inlineStr">
        <is>
          <t>rvc_1KXECAV741S07GH7</t>
        </is>
      </c>
      <c r="B46">
        <f>Component!A42</f>
        <v/>
      </c>
      <c r="C46" t="inlineStr">
        <is>
          <t>Biochar Production Emission (A)</t>
        </is>
      </c>
      <c r="D46" t="inlineStr">
        <is>
          <t xml:space="preserve"> </t>
        </is>
      </c>
      <c r="E46" t="inlineStr">
        <is>
          <t>mass_based_ci_emissions</t>
        </is>
      </c>
      <c r="F46" t="inlineStr">
        <is>
          <t>Mass-based CI emissions</t>
        </is>
      </c>
      <c r="G46">
        <f>'GHG Entry'!A10</f>
        <v/>
      </c>
      <c r="H46" t="inlineStr">
        <is>
          <t>Biochar production</t>
        </is>
      </c>
      <c r="I46" s="2">
        <f>Component!D42 * Datapoint!E161</f>
        <v/>
      </c>
      <c r="J46">
        <f>Component!E42 * Datapoint!E161</f>
        <v/>
      </c>
      <c r="K46">
        <f>Component!D42</f>
        <v/>
      </c>
      <c r="L46" t="inlineStr">
        <is>
          <t>partial</t>
        </is>
      </c>
      <c r="M46">
        <f>Datapoint!E161</f>
        <v/>
      </c>
      <c r="N46">
        <f>Datapoint!A161</f>
        <v/>
      </c>
      <c r="O46" t="inlineStr">
        <is>
          <t>activity</t>
        </is>
      </c>
    </row>
    <row r="47">
      <c r="A47" t="inlineStr">
        <is>
          <t>rvc_1KXECAV741S0CHY8</t>
        </is>
      </c>
      <c r="B47">
        <f>Component!A43</f>
        <v/>
      </c>
      <c r="C47" t="inlineStr">
        <is>
          <t>CO Flatbed Truck Transport Process Emissions</t>
        </is>
      </c>
      <c r="D47" t="inlineStr">
        <is>
          <t xml:space="preserve"> </t>
        </is>
      </c>
      <c r="E47" t="inlineStr">
        <is>
          <t>transport</t>
        </is>
      </c>
      <c r="F47" t="inlineStr">
        <is>
          <t>Transport emissions</t>
        </is>
      </c>
      <c r="G47">
        <f>'GHG Entry'!A10</f>
        <v/>
      </c>
      <c r="H47" t="inlineStr">
        <is>
          <t>Biochar transportation</t>
        </is>
      </c>
      <c r="I47" s="2">
        <f>Component!D43 * Datapoint!E157</f>
        <v/>
      </c>
      <c r="J47">
        <f>Component!E43 * Datapoint!E157</f>
        <v/>
      </c>
      <c r="K47">
        <f>Component!D43</f>
        <v/>
      </c>
      <c r="L47" t="inlineStr">
        <is>
          <t>partial</t>
        </is>
      </c>
      <c r="M47">
        <f>Datapoint!E157</f>
        <v/>
      </c>
      <c r="N47">
        <f>Datapoint!A157</f>
        <v/>
      </c>
      <c r="O47" t="inlineStr">
        <is>
          <t>activity</t>
        </is>
      </c>
    </row>
    <row r="48">
      <c r="A48" t="inlineStr">
        <is>
          <t>rvc_1KXECAV741S0RX2K</t>
        </is>
      </c>
      <c r="B48">
        <f>Component!A44</f>
        <v/>
      </c>
      <c r="C48" t="inlineStr">
        <is>
          <t>Biochar Spreading Emissions</t>
        </is>
      </c>
      <c r="D48" t="inlineStr">
        <is>
          <t xml:space="preserve"> </t>
        </is>
      </c>
      <c r="E48" t="inlineStr">
        <is>
          <t>mass_based_ci_emissions</t>
        </is>
      </c>
      <c r="F48" t="inlineStr">
        <is>
          <t>Mass-based CI emissions</t>
        </is>
      </c>
      <c r="G48">
        <f>'GHG Entry'!A10</f>
        <v/>
      </c>
      <c r="H48" t="inlineStr">
        <is>
          <t>Biochar storage</t>
        </is>
      </c>
      <c r="I48" s="2">
        <f>Component!D44 * Datapoint!E158</f>
        <v/>
      </c>
      <c r="J48">
        <f>Component!E44 * Datapoint!E158</f>
        <v/>
      </c>
      <c r="K48">
        <f>Component!D44</f>
        <v/>
      </c>
      <c r="L48" t="inlineStr">
        <is>
          <t>partial</t>
        </is>
      </c>
      <c r="M48">
        <f>Datapoint!E158</f>
        <v/>
      </c>
      <c r="N48">
        <f>Datapoint!A158</f>
        <v/>
      </c>
      <c r="O48" t="inlineStr">
        <is>
          <t>activity</t>
        </is>
      </c>
    </row>
    <row r="49">
      <c r="A49" t="inlineStr">
        <is>
          <t>rvc_1KXECAV741S0V5CW</t>
        </is>
      </c>
      <c r="B49">
        <f>Component!A45</f>
        <v/>
      </c>
      <c r="C49" t="inlineStr">
        <is>
          <t>Biochar sequestration, 200 year durability</t>
        </is>
      </c>
      <c r="E49" t="inlineStr">
        <is>
          <t>biochar_sequestration_200_year_c_org</t>
        </is>
      </c>
      <c r="F49" t="inlineStr">
        <is>
          <t>Biochar sequestration, 200 year durability</t>
        </is>
      </c>
      <c r="G49">
        <f>'GHG Entry'!A10</f>
        <v/>
      </c>
      <c r="H49" t="inlineStr">
        <is>
          <t>Biochar storage</t>
        </is>
      </c>
      <c r="I49" s="2">
        <f>Component!D45 * Datapoint!E159</f>
        <v/>
      </c>
      <c r="J49">
        <f>Component!E45 * Datapoint!E159</f>
        <v/>
      </c>
      <c r="K49">
        <f>Component!D45</f>
        <v/>
      </c>
      <c r="L49" t="inlineStr">
        <is>
          <t>partial</t>
        </is>
      </c>
      <c r="M49">
        <f>Datapoint!E159</f>
        <v/>
      </c>
      <c r="N49">
        <f>Datapoint!A159</f>
        <v/>
      </c>
      <c r="O49" t="inlineStr">
        <is>
          <t>sequestration</t>
        </is>
      </c>
    </row>
    <row r="50">
      <c r="A50" t="inlineStr">
        <is>
          <t>rvc_1KXECAV741S006SX</t>
        </is>
      </c>
      <c r="B50">
        <f>Component!A46</f>
        <v/>
      </c>
      <c r="C50" t="inlineStr">
        <is>
          <t>CO Flatbed Truck Transport Embodied Emissions</t>
        </is>
      </c>
      <c r="D50" t="inlineStr">
        <is>
          <t xml:space="preserve"> </t>
        </is>
      </c>
      <c r="E50" t="inlineStr">
        <is>
          <t>distance_based_ci_emissions</t>
        </is>
      </c>
      <c r="F50" t="inlineStr">
        <is>
          <t>Distance-based emissions</t>
        </is>
      </c>
      <c r="G50">
        <f>'GHG Entry'!A10</f>
        <v/>
      </c>
      <c r="H50" t="inlineStr">
        <is>
          <t>Biochar transportation</t>
        </is>
      </c>
      <c r="I50" s="2">
        <f>Component!D46 * Datapoint!E160</f>
        <v/>
      </c>
      <c r="J50">
        <f>Component!E46 * Datapoint!E160</f>
        <v/>
      </c>
      <c r="K50">
        <f>Component!D46</f>
        <v/>
      </c>
      <c r="L50" t="inlineStr">
        <is>
          <t>partial</t>
        </is>
      </c>
      <c r="M50">
        <f>Datapoint!E160</f>
        <v/>
      </c>
      <c r="N50">
        <f>Datapoint!A160</f>
        <v/>
      </c>
      <c r="O50" t="inlineStr">
        <is>
          <t>activity</t>
        </is>
      </c>
    </row>
    <row r="51">
      <c r="A51" t="inlineStr">
        <is>
          <t>rvc_1KXECGAQV1S0NCZQ</t>
        </is>
      </c>
      <c r="B51">
        <f>Component!A47</f>
        <v/>
      </c>
      <c r="C51" t="inlineStr">
        <is>
          <t>BCU - Transport Process</t>
        </is>
      </c>
      <c r="E51" t="inlineStr">
        <is>
          <t>constant_reduction</t>
        </is>
      </c>
      <c r="F51" t="inlineStr">
        <is>
          <t>Constant CO₂ reduction</t>
        </is>
      </c>
      <c r="G51">
        <f>'GHG Entry'!A10</f>
        <v/>
      </c>
      <c r="H51" t="inlineStr">
        <is>
          <t>Biochar transportation</t>
        </is>
      </c>
      <c r="I51" s="2">
        <f>Component!D47 * Datapoint!E162</f>
        <v/>
      </c>
      <c r="J51">
        <f>Component!E47 * Datapoint!E162</f>
        <v/>
      </c>
      <c r="K51">
        <f>Component!D47</f>
        <v/>
      </c>
      <c r="L51" t="inlineStr">
        <is>
          <t>partial</t>
        </is>
      </c>
      <c r="M51">
        <f>Datapoint!E162</f>
        <v/>
      </c>
      <c r="N51">
        <f>Datapoint!A162</f>
        <v/>
      </c>
      <c r="O51" t="inlineStr">
        <is>
          <t>adjustment</t>
        </is>
      </c>
    </row>
    <row r="52">
      <c r="A52" t="inlineStr">
        <is>
          <t>rvc_1KXEHAAVZ1S06B39</t>
        </is>
      </c>
      <c r="B52">
        <f>Component!A48</f>
        <v/>
      </c>
      <c r="C52" t="inlineStr">
        <is>
          <t>Biochar Spreading Emissions</t>
        </is>
      </c>
      <c r="D52" t="inlineStr">
        <is>
          <t xml:space="preserve"> </t>
        </is>
      </c>
      <c r="E52" t="inlineStr">
        <is>
          <t>mass_based_ci_emissions</t>
        </is>
      </c>
      <c r="F52" t="inlineStr">
        <is>
          <t>Mass-based CI emissions</t>
        </is>
      </c>
      <c r="G52">
        <f>'GHG Entry'!A11</f>
        <v/>
      </c>
      <c r="H52" t="inlineStr">
        <is>
          <t>Biochar storage</t>
        </is>
      </c>
      <c r="I52" s="2">
        <f>Component!D48 * Datapoint!E181</f>
        <v/>
      </c>
      <c r="J52">
        <f>Component!E48 * Datapoint!E181</f>
        <v/>
      </c>
      <c r="K52">
        <f>Component!D48</f>
        <v/>
      </c>
      <c r="L52" t="inlineStr">
        <is>
          <t>partial</t>
        </is>
      </c>
      <c r="M52">
        <f>Datapoint!E181</f>
        <v/>
      </c>
      <c r="N52">
        <f>Datapoint!A181</f>
        <v/>
      </c>
      <c r="O52" t="inlineStr">
        <is>
          <t>activity</t>
        </is>
      </c>
    </row>
    <row r="53">
      <c r="A53" t="inlineStr">
        <is>
          <t>rvc_1KXEHAAVZ1S08KDJ</t>
        </is>
      </c>
      <c r="B53">
        <f>Component!A49</f>
        <v/>
      </c>
      <c r="C53" t="inlineStr">
        <is>
          <t>Biochar sequestration, 200 year durability</t>
        </is>
      </c>
      <c r="E53" t="inlineStr">
        <is>
          <t>biochar_sequestration_200_year_c_org</t>
        </is>
      </c>
      <c r="F53" t="inlineStr">
        <is>
          <t>Biochar sequestration, 200 year durability</t>
        </is>
      </c>
      <c r="G53">
        <f>'GHG Entry'!A11</f>
        <v/>
      </c>
      <c r="H53" t="inlineStr">
        <is>
          <t>Biochar storage</t>
        </is>
      </c>
      <c r="I53" s="2">
        <f>Component!D49 * Datapoint!E182</f>
        <v/>
      </c>
      <c r="J53">
        <f>Component!E49 * Datapoint!E182</f>
        <v/>
      </c>
      <c r="K53">
        <f>Component!D49</f>
        <v/>
      </c>
      <c r="L53" t="inlineStr">
        <is>
          <t>partial</t>
        </is>
      </c>
      <c r="M53">
        <f>Datapoint!E182</f>
        <v/>
      </c>
      <c r="N53">
        <f>Datapoint!A182</f>
        <v/>
      </c>
      <c r="O53" t="inlineStr">
        <is>
          <t>sequestration</t>
        </is>
      </c>
    </row>
    <row r="54">
      <c r="A54" t="inlineStr">
        <is>
          <t>rvc_1KXEHAAVZ1S0DMTK</t>
        </is>
      </c>
      <c r="B54">
        <f>Component!A50</f>
        <v/>
      </c>
      <c r="C54" t="inlineStr">
        <is>
          <t>CO Flatbed Truck Transport Embodied Emissions</t>
        </is>
      </c>
      <c r="D54" t="inlineStr">
        <is>
          <t xml:space="preserve"> </t>
        </is>
      </c>
      <c r="E54" t="inlineStr">
        <is>
          <t>distance_based_ci_emissions</t>
        </is>
      </c>
      <c r="F54" t="inlineStr">
        <is>
          <t>Distance-based emissions</t>
        </is>
      </c>
      <c r="G54">
        <f>'GHG Entry'!A11</f>
        <v/>
      </c>
      <c r="H54" t="inlineStr">
        <is>
          <t>Biochar transportation</t>
        </is>
      </c>
      <c r="I54" s="2">
        <f>Component!D50 * Datapoint!E178</f>
        <v/>
      </c>
      <c r="J54">
        <f>Component!E50 * Datapoint!E178</f>
        <v/>
      </c>
      <c r="K54">
        <f>Component!D50</f>
        <v/>
      </c>
      <c r="L54" t="inlineStr">
        <is>
          <t>partial</t>
        </is>
      </c>
      <c r="M54">
        <f>Datapoint!E178</f>
        <v/>
      </c>
      <c r="N54">
        <f>Datapoint!A178</f>
        <v/>
      </c>
      <c r="O54" t="inlineStr">
        <is>
          <t>activity</t>
        </is>
      </c>
    </row>
    <row r="55">
      <c r="A55" t="inlineStr">
        <is>
          <t>rvc_1KXEHAAVZ1S0MYHX</t>
        </is>
      </c>
      <c r="B55">
        <f>Component!A51</f>
        <v/>
      </c>
      <c r="C55" t="inlineStr">
        <is>
          <t>Biochar Production Emission (A)</t>
        </is>
      </c>
      <c r="D55" t="inlineStr">
        <is>
          <t xml:space="preserve"> </t>
        </is>
      </c>
      <c r="E55" t="inlineStr">
        <is>
          <t>mass_based_ci_emissions</t>
        </is>
      </c>
      <c r="F55" t="inlineStr">
        <is>
          <t>Mass-based CI emissions</t>
        </is>
      </c>
      <c r="G55">
        <f>'GHG Entry'!A11</f>
        <v/>
      </c>
      <c r="H55" t="inlineStr">
        <is>
          <t>Biochar production</t>
        </is>
      </c>
      <c r="I55" s="2">
        <f>Component!D51 * Datapoint!E179</f>
        <v/>
      </c>
      <c r="J55">
        <f>Component!E51 * Datapoint!E179</f>
        <v/>
      </c>
      <c r="K55">
        <f>Component!D51</f>
        <v/>
      </c>
      <c r="L55" t="inlineStr">
        <is>
          <t>partial</t>
        </is>
      </c>
      <c r="M55">
        <f>Datapoint!E179</f>
        <v/>
      </c>
      <c r="N55">
        <f>Datapoint!A179</f>
        <v/>
      </c>
      <c r="O55" t="inlineStr">
        <is>
          <t>activity</t>
        </is>
      </c>
    </row>
    <row r="56">
      <c r="A56" t="inlineStr">
        <is>
          <t>rvc_1KXEHAAVZ1S0SZYY</t>
        </is>
      </c>
      <c r="B56">
        <f>Component!A52</f>
        <v/>
      </c>
      <c r="C56" t="inlineStr">
        <is>
          <t>CO Flatbed Truck Transport Process Emissions</t>
        </is>
      </c>
      <c r="D56" t="inlineStr">
        <is>
          <t xml:space="preserve"> </t>
        </is>
      </c>
      <c r="E56" t="inlineStr">
        <is>
          <t>transport</t>
        </is>
      </c>
      <c r="F56" t="inlineStr">
        <is>
          <t>Transport emissions</t>
        </is>
      </c>
      <c r="G56">
        <f>'GHG Entry'!A11</f>
        <v/>
      </c>
      <c r="H56" t="inlineStr">
        <is>
          <t>Biochar transportation</t>
        </is>
      </c>
      <c r="I56" s="2">
        <f>Component!D52 * Datapoint!E180</f>
        <v/>
      </c>
      <c r="J56">
        <f>Component!E52 * Datapoint!E180</f>
        <v/>
      </c>
      <c r="K56">
        <f>Component!D52</f>
        <v/>
      </c>
      <c r="L56" t="inlineStr">
        <is>
          <t>partial</t>
        </is>
      </c>
      <c r="M56">
        <f>Datapoint!E180</f>
        <v/>
      </c>
      <c r="N56">
        <f>Datapoint!A180</f>
        <v/>
      </c>
      <c r="O56" t="inlineStr">
        <is>
          <t>activity</t>
        </is>
      </c>
    </row>
    <row r="57">
      <c r="A57" t="inlineStr">
        <is>
          <t>rvc_1KXEHM2ZW1S0JF0Q</t>
        </is>
      </c>
      <c r="B57">
        <f>Component!A53</f>
        <v/>
      </c>
      <c r="C57" t="inlineStr">
        <is>
          <t>BCU - Transport Process</t>
        </is>
      </c>
      <c r="E57" t="inlineStr">
        <is>
          <t>constant_reduction</t>
        </is>
      </c>
      <c r="F57" t="inlineStr">
        <is>
          <t>Constant CO₂ reduction</t>
        </is>
      </c>
      <c r="G57">
        <f>'GHG Entry'!A11</f>
        <v/>
      </c>
      <c r="H57" t="inlineStr">
        <is>
          <t>Biochar transportation</t>
        </is>
      </c>
      <c r="I57" s="2">
        <f>Component!D53 * Datapoint!E183</f>
        <v/>
      </c>
      <c r="J57">
        <f>Component!E53 * Datapoint!E183</f>
        <v/>
      </c>
      <c r="K57">
        <f>Component!D53</f>
        <v/>
      </c>
      <c r="L57" t="inlineStr">
        <is>
          <t>partial</t>
        </is>
      </c>
      <c r="M57">
        <f>Datapoint!E183</f>
        <v/>
      </c>
      <c r="N57">
        <f>Datapoint!A183</f>
        <v/>
      </c>
      <c r="O57" t="inlineStr">
        <is>
          <t>adjustment</t>
        </is>
      </c>
    </row>
    <row r="58">
      <c r="A58" t="inlineStr">
        <is>
          <t>rvc_1KXEJCGYM1S02JT8</t>
        </is>
      </c>
      <c r="B58">
        <f>Component!A54</f>
        <v/>
      </c>
      <c r="C58" t="inlineStr">
        <is>
          <t>Biochar Production Emission (A)</t>
        </is>
      </c>
      <c r="D58" t="inlineStr">
        <is>
          <t xml:space="preserve"> </t>
        </is>
      </c>
      <c r="E58" t="inlineStr">
        <is>
          <t>mass_based_ci_emissions</t>
        </is>
      </c>
      <c r="F58" t="inlineStr">
        <is>
          <t>Mass-based CI emissions</t>
        </is>
      </c>
      <c r="G58">
        <f>'GHG Entry'!A12</f>
        <v/>
      </c>
      <c r="H58" t="inlineStr">
        <is>
          <t>Biochar production</t>
        </is>
      </c>
      <c r="I58" s="2">
        <f>Component!D54 * Datapoint!E202</f>
        <v/>
      </c>
      <c r="J58">
        <f>Component!E54 * Datapoint!E202</f>
        <v/>
      </c>
      <c r="K58">
        <f>Component!D54</f>
        <v/>
      </c>
      <c r="L58" t="inlineStr">
        <is>
          <t>partial</t>
        </is>
      </c>
      <c r="M58">
        <f>Datapoint!E202</f>
        <v/>
      </c>
      <c r="N58">
        <f>Datapoint!A202</f>
        <v/>
      </c>
      <c r="O58" t="inlineStr">
        <is>
          <t>activity</t>
        </is>
      </c>
    </row>
    <row r="59">
      <c r="A59" t="inlineStr">
        <is>
          <t>rvc_1KXEJCGYM1S07M79</t>
        </is>
      </c>
      <c r="B59">
        <f>Component!A55</f>
        <v/>
      </c>
      <c r="C59" t="inlineStr">
        <is>
          <t>CO Flatbed Truck Transport Process Emissions</t>
        </is>
      </c>
      <c r="D59" t="inlineStr">
        <is>
          <t xml:space="preserve"> </t>
        </is>
      </c>
      <c r="E59" t="inlineStr">
        <is>
          <t>transport</t>
        </is>
      </c>
      <c r="F59" t="inlineStr">
        <is>
          <t>Transport emissions</t>
        </is>
      </c>
      <c r="G59">
        <f>'GHG Entry'!A12</f>
        <v/>
      </c>
      <c r="H59" t="inlineStr">
        <is>
          <t>Biochar transportation</t>
        </is>
      </c>
      <c r="I59" s="2">
        <f>Component!D55 * Datapoint!E203</f>
        <v/>
      </c>
      <c r="J59">
        <f>Component!E55 * Datapoint!E203</f>
        <v/>
      </c>
      <c r="K59">
        <f>Component!D55</f>
        <v/>
      </c>
      <c r="L59" t="inlineStr">
        <is>
          <t>partial</t>
        </is>
      </c>
      <c r="M59">
        <f>Datapoint!E203</f>
        <v/>
      </c>
      <c r="N59">
        <f>Datapoint!A203</f>
        <v/>
      </c>
      <c r="O59" t="inlineStr">
        <is>
          <t>activity</t>
        </is>
      </c>
    </row>
    <row r="60">
      <c r="A60" t="inlineStr">
        <is>
          <t>rvc_1KXEJCGYM1S0KZBM</t>
        </is>
      </c>
      <c r="B60">
        <f>Component!A56</f>
        <v/>
      </c>
      <c r="C60" t="inlineStr">
        <is>
          <t>Biochar Spreading Emissions</t>
        </is>
      </c>
      <c r="D60" t="inlineStr">
        <is>
          <t xml:space="preserve"> </t>
        </is>
      </c>
      <c r="E60" t="inlineStr">
        <is>
          <t>mass_based_ci_emissions</t>
        </is>
      </c>
      <c r="F60" t="inlineStr">
        <is>
          <t>Mass-based CI emissions</t>
        </is>
      </c>
      <c r="G60">
        <f>'GHG Entry'!A12</f>
        <v/>
      </c>
      <c r="H60" t="inlineStr">
        <is>
          <t>Biochar storage</t>
        </is>
      </c>
      <c r="I60" s="2">
        <f>Component!D56 * Datapoint!E199</f>
        <v/>
      </c>
      <c r="J60">
        <f>Component!E56 * Datapoint!E199</f>
        <v/>
      </c>
      <c r="K60">
        <f>Component!D56</f>
        <v/>
      </c>
      <c r="L60" t="inlineStr">
        <is>
          <t>partial</t>
        </is>
      </c>
      <c r="M60">
        <f>Datapoint!E199</f>
        <v/>
      </c>
      <c r="N60">
        <f>Datapoint!A199</f>
        <v/>
      </c>
      <c r="O60" t="inlineStr">
        <is>
          <t>activity</t>
        </is>
      </c>
    </row>
    <row r="61">
      <c r="A61" t="inlineStr">
        <is>
          <t>rvc_1KXEJCGYM1S0P7NX</t>
        </is>
      </c>
      <c r="B61">
        <f>Component!A57</f>
        <v/>
      </c>
      <c r="C61" t="inlineStr">
        <is>
          <t>Biochar sequestration, 200 year durability</t>
        </is>
      </c>
      <c r="E61" t="inlineStr">
        <is>
          <t>biochar_sequestration_200_year_c_org</t>
        </is>
      </c>
      <c r="F61" t="inlineStr">
        <is>
          <t>Biochar sequestration, 200 year durability</t>
        </is>
      </c>
      <c r="G61">
        <f>'GHG Entry'!A12</f>
        <v/>
      </c>
      <c r="H61" t="inlineStr">
        <is>
          <t>Biochar storage</t>
        </is>
      </c>
      <c r="I61" s="2">
        <f>Component!D57 * Datapoint!E200</f>
        <v/>
      </c>
      <c r="J61">
        <f>Component!E57 * Datapoint!E200</f>
        <v/>
      </c>
      <c r="K61">
        <f>Component!D57</f>
        <v/>
      </c>
      <c r="L61" t="inlineStr">
        <is>
          <t>partial</t>
        </is>
      </c>
      <c r="M61">
        <f>Datapoint!E200</f>
        <v/>
      </c>
      <c r="N61">
        <f>Datapoint!A200</f>
        <v/>
      </c>
      <c r="O61" t="inlineStr">
        <is>
          <t>sequestration</t>
        </is>
      </c>
    </row>
    <row r="62">
      <c r="A62" t="inlineStr">
        <is>
          <t>rvc_1KXEJCGYM1S0V92Y</t>
        </is>
      </c>
      <c r="B62">
        <f>Component!A58</f>
        <v/>
      </c>
      <c r="C62" t="inlineStr">
        <is>
          <t>CO Flatbed Truck Transport Embodied Emissions</t>
        </is>
      </c>
      <c r="D62" t="inlineStr">
        <is>
          <t xml:space="preserve"> </t>
        </is>
      </c>
      <c r="E62" t="inlineStr">
        <is>
          <t>distance_based_ci_emissions</t>
        </is>
      </c>
      <c r="F62" t="inlineStr">
        <is>
          <t>Distance-based emissions</t>
        </is>
      </c>
      <c r="G62">
        <f>'GHG Entry'!A12</f>
        <v/>
      </c>
      <c r="H62" t="inlineStr">
        <is>
          <t>Biochar transportation</t>
        </is>
      </c>
      <c r="I62" s="2">
        <f>Component!D58 * Datapoint!E201</f>
        <v/>
      </c>
      <c r="J62">
        <f>Component!E58 * Datapoint!E201</f>
        <v/>
      </c>
      <c r="K62">
        <f>Component!D58</f>
        <v/>
      </c>
      <c r="L62" t="inlineStr">
        <is>
          <t>partial</t>
        </is>
      </c>
      <c r="M62">
        <f>Datapoint!E201</f>
        <v/>
      </c>
      <c r="N62">
        <f>Datapoint!A201</f>
        <v/>
      </c>
      <c r="O62" t="inlineStr">
        <is>
          <t>activity</t>
        </is>
      </c>
    </row>
    <row r="63">
      <c r="A63" t="inlineStr">
        <is>
          <t>rvc_1KXEJDSXH1S00M1H</t>
        </is>
      </c>
      <c r="B63">
        <f>Component!A64</f>
        <v/>
      </c>
      <c r="C63" t="inlineStr">
        <is>
          <t>BCU - Transport Process</t>
        </is>
      </c>
      <c r="E63" t="inlineStr">
        <is>
          <t>constant_reduction</t>
        </is>
      </c>
      <c r="F63" t="inlineStr">
        <is>
          <t>Constant CO₂ reduction</t>
        </is>
      </c>
      <c r="G63">
        <f>'GHG Entry'!A12</f>
        <v/>
      </c>
      <c r="H63" t="inlineStr">
        <is>
          <t>Biochar transportation</t>
        </is>
      </c>
      <c r="I63" s="2">
        <f>Component!D64 * Datapoint!E223</f>
        <v/>
      </c>
      <c r="J63">
        <f>Component!E64 * Datapoint!E223</f>
        <v/>
      </c>
      <c r="K63">
        <f>Component!D64</f>
        <v/>
      </c>
      <c r="L63" t="inlineStr">
        <is>
          <t>partial</t>
        </is>
      </c>
      <c r="M63">
        <f>Datapoint!E223</f>
        <v/>
      </c>
      <c r="N63">
        <f>Datapoint!A223</f>
        <v/>
      </c>
      <c r="O63" t="inlineStr">
        <is>
          <t>adjustment</t>
        </is>
      </c>
    </row>
    <row r="64">
      <c r="A64" t="inlineStr">
        <is>
          <t>rvc_1KXEJD28G1S05G65</t>
        </is>
      </c>
      <c r="B64">
        <f>Component!A59</f>
        <v/>
      </c>
      <c r="C64" t="inlineStr">
        <is>
          <t>CO Flatbed Truck Transport Process Emissions</t>
        </is>
      </c>
      <c r="D64" t="inlineStr">
        <is>
          <t xml:space="preserve"> </t>
        </is>
      </c>
      <c r="E64" t="inlineStr">
        <is>
          <t>transport</t>
        </is>
      </c>
      <c r="F64" t="inlineStr">
        <is>
          <t>Transport emissions</t>
        </is>
      </c>
      <c r="G64">
        <f>'GHG Entry'!A13</f>
        <v/>
      </c>
      <c r="H64" t="inlineStr">
        <is>
          <t>Biochar transportation</t>
        </is>
      </c>
      <c r="I64" s="2">
        <f>Component!D59 * Datapoint!E222</f>
        <v/>
      </c>
      <c r="J64">
        <f>Component!E59 * Datapoint!E222</f>
        <v/>
      </c>
      <c r="K64">
        <f>Component!D59</f>
        <v/>
      </c>
      <c r="L64" t="inlineStr">
        <is>
          <t>partial</t>
        </is>
      </c>
      <c r="M64">
        <f>Datapoint!E222</f>
        <v/>
      </c>
      <c r="N64">
        <f>Datapoint!A222</f>
        <v/>
      </c>
      <c r="O64" t="inlineStr">
        <is>
          <t>activity</t>
        </is>
      </c>
    </row>
    <row r="65">
      <c r="A65" t="inlineStr">
        <is>
          <t>rvc_1KXEJD28G1S0HVAG</t>
        </is>
      </c>
      <c r="B65">
        <f>Component!A60</f>
        <v/>
      </c>
      <c r="C65" t="inlineStr">
        <is>
          <t>Biochar Spreading Emissions</t>
        </is>
      </c>
      <c r="D65" t="inlineStr">
        <is>
          <t xml:space="preserve"> </t>
        </is>
      </c>
      <c r="E65" t="inlineStr">
        <is>
          <t>mass_based_ci_emissions</t>
        </is>
      </c>
      <c r="F65" t="inlineStr">
        <is>
          <t>Mass-based CI emissions</t>
        </is>
      </c>
      <c r="G65">
        <f>'GHG Entry'!A13</f>
        <v/>
      </c>
      <c r="H65" t="inlineStr">
        <is>
          <t>Biochar storage</t>
        </is>
      </c>
      <c r="I65" s="2">
        <f>Component!D60 * Datapoint!E218</f>
        <v/>
      </c>
      <c r="J65">
        <f>Component!E60 * Datapoint!E218</f>
        <v/>
      </c>
      <c r="K65">
        <f>Component!D60</f>
        <v/>
      </c>
      <c r="L65" t="inlineStr">
        <is>
          <t>partial</t>
        </is>
      </c>
      <c r="M65">
        <f>Datapoint!E218</f>
        <v/>
      </c>
      <c r="N65">
        <f>Datapoint!A218</f>
        <v/>
      </c>
      <c r="O65" t="inlineStr">
        <is>
          <t>activity</t>
        </is>
      </c>
    </row>
    <row r="66">
      <c r="A66" t="inlineStr">
        <is>
          <t>rvc_1KXEJD28G1S0M3MS</t>
        </is>
      </c>
      <c r="B66">
        <f>Component!A61</f>
        <v/>
      </c>
      <c r="C66" t="inlineStr">
        <is>
          <t>Biochar sequestration, 200 year durability</t>
        </is>
      </c>
      <c r="E66" t="inlineStr">
        <is>
          <t>biochar_sequestration_200_year_c_org</t>
        </is>
      </c>
      <c r="F66" t="inlineStr">
        <is>
          <t>Biochar sequestration, 200 year durability</t>
        </is>
      </c>
      <c r="G66">
        <f>'GHG Entry'!A13</f>
        <v/>
      </c>
      <c r="H66" t="inlineStr">
        <is>
          <t>Biochar storage</t>
        </is>
      </c>
      <c r="I66" s="2">
        <f>Component!D61 * Datapoint!E219</f>
        <v/>
      </c>
      <c r="J66">
        <f>Component!E61 * Datapoint!E219</f>
        <v/>
      </c>
      <c r="K66">
        <f>Component!D61</f>
        <v/>
      </c>
      <c r="L66" t="inlineStr">
        <is>
          <t>partial</t>
        </is>
      </c>
      <c r="M66">
        <f>Datapoint!E219</f>
        <v/>
      </c>
      <c r="N66">
        <f>Datapoint!A219</f>
        <v/>
      </c>
      <c r="O66" t="inlineStr">
        <is>
          <t>sequestration</t>
        </is>
      </c>
    </row>
    <row r="67">
      <c r="A67" t="inlineStr">
        <is>
          <t>rvc_1KXEJD28G1S0S51T</t>
        </is>
      </c>
      <c r="B67">
        <f>Component!A62</f>
        <v/>
      </c>
      <c r="C67" t="inlineStr">
        <is>
          <t>CO Flatbed Truck Transport Embodied Emissions</t>
        </is>
      </c>
      <c r="D67" t="inlineStr">
        <is>
          <t xml:space="preserve"> </t>
        </is>
      </c>
      <c r="E67" t="inlineStr">
        <is>
          <t>distance_based_ci_emissions</t>
        </is>
      </c>
      <c r="F67" t="inlineStr">
        <is>
          <t>Distance-based emissions</t>
        </is>
      </c>
      <c r="G67">
        <f>'GHG Entry'!A13</f>
        <v/>
      </c>
      <c r="H67" t="inlineStr">
        <is>
          <t>Biochar transportation</t>
        </is>
      </c>
      <c r="I67" s="2">
        <f>Component!D62 * Datapoint!E220</f>
        <v/>
      </c>
      <c r="J67">
        <f>Component!E62 * Datapoint!E220</f>
        <v/>
      </c>
      <c r="K67">
        <f>Component!D62</f>
        <v/>
      </c>
      <c r="L67" t="inlineStr">
        <is>
          <t>partial</t>
        </is>
      </c>
      <c r="M67">
        <f>Datapoint!E220</f>
        <v/>
      </c>
      <c r="N67">
        <f>Datapoint!A220</f>
        <v/>
      </c>
      <c r="O67" t="inlineStr">
        <is>
          <t>activity</t>
        </is>
      </c>
    </row>
    <row r="68">
      <c r="A68" t="inlineStr">
        <is>
          <t>rvc_1KXEJD28G1S00ES4</t>
        </is>
      </c>
      <c r="B68">
        <f>Component!A63</f>
        <v/>
      </c>
      <c r="C68" t="inlineStr">
        <is>
          <t>Biochar Production Emission (A)</t>
        </is>
      </c>
      <c r="D68" t="inlineStr">
        <is>
          <t xml:space="preserve"> </t>
        </is>
      </c>
      <c r="E68" t="inlineStr">
        <is>
          <t>mass_based_ci_emissions</t>
        </is>
      </c>
      <c r="F68" t="inlineStr">
        <is>
          <t>Mass-based CI emissions</t>
        </is>
      </c>
      <c r="G68">
        <f>'GHG Entry'!A13</f>
        <v/>
      </c>
      <c r="H68" t="inlineStr">
        <is>
          <t>Biochar production</t>
        </is>
      </c>
      <c r="I68" s="2">
        <f>Component!D63 * Datapoint!E221</f>
        <v/>
      </c>
      <c r="J68">
        <f>Component!E63 * Datapoint!E221</f>
        <v/>
      </c>
      <c r="K68">
        <f>Component!D63</f>
        <v/>
      </c>
      <c r="L68" t="inlineStr">
        <is>
          <t>partial</t>
        </is>
      </c>
      <c r="M68">
        <f>Datapoint!E221</f>
        <v/>
      </c>
      <c r="N68">
        <f>Datapoint!A221</f>
        <v/>
      </c>
      <c r="O68" t="inlineStr">
        <is>
          <t>activity</t>
        </is>
      </c>
    </row>
    <row r="69">
      <c r="A69" t="inlineStr">
        <is>
          <t>rvc_1KYA8CMSQ1S0PP72</t>
        </is>
      </c>
      <c r="B69">
        <f>Component!A170</f>
        <v/>
      </c>
      <c r="C69" t="inlineStr">
        <is>
          <t>BCU - Transport Process</t>
        </is>
      </c>
      <c r="E69" t="inlineStr">
        <is>
          <t>constant_reduction</t>
        </is>
      </c>
      <c r="F69" t="inlineStr">
        <is>
          <t>Constant CO₂ reduction</t>
        </is>
      </c>
      <c r="G69">
        <f>'GHG Entry'!A13</f>
        <v/>
      </c>
      <c r="H69" t="inlineStr">
        <is>
          <t>Biochar storage</t>
        </is>
      </c>
      <c r="I69" s="2">
        <f>Component!D170 * Datapoint!E604</f>
        <v/>
      </c>
      <c r="J69">
        <f>Component!E170 * Datapoint!E604</f>
        <v/>
      </c>
      <c r="K69">
        <f>Component!D170</f>
        <v/>
      </c>
      <c r="L69" t="inlineStr">
        <is>
          <t>partial</t>
        </is>
      </c>
      <c r="M69">
        <f>Datapoint!E604</f>
        <v/>
      </c>
      <c r="N69">
        <f>Datapoint!A604</f>
        <v/>
      </c>
      <c r="O69" t="inlineStr">
        <is>
          <t>adjustment</t>
        </is>
      </c>
      <c r="P69" s="3" t="n">
        <v>46179</v>
      </c>
      <c r="Q69" s="3" t="n">
        <v>46179</v>
      </c>
    </row>
    <row r="70">
      <c r="A70" t="inlineStr">
        <is>
          <t>rvc_1KXERCP431S04XF6</t>
        </is>
      </c>
      <c r="B70">
        <f>Component!A65</f>
        <v/>
      </c>
      <c r="C70" t="inlineStr">
        <is>
          <t>Biochar Spreading Emissions</t>
        </is>
      </c>
      <c r="D70" t="inlineStr">
        <is>
          <t xml:space="preserve"> </t>
        </is>
      </c>
      <c r="E70" t="inlineStr">
        <is>
          <t>mass_based_ci_emissions</t>
        </is>
      </c>
      <c r="F70" t="inlineStr">
        <is>
          <t>Mass-based CI emissions</t>
        </is>
      </c>
      <c r="G70">
        <f>'GHG Entry'!A14</f>
        <v/>
      </c>
      <c r="H70" t="inlineStr">
        <is>
          <t>Biochar storage</t>
        </is>
      </c>
      <c r="I70" s="2">
        <f>Component!D65 * Datapoint!E242</f>
        <v/>
      </c>
      <c r="J70">
        <f>Component!E65 * Datapoint!E242</f>
        <v/>
      </c>
      <c r="K70">
        <f>Component!D65</f>
        <v/>
      </c>
      <c r="L70" t="inlineStr">
        <is>
          <t>partial</t>
        </is>
      </c>
      <c r="M70">
        <f>Datapoint!E242</f>
        <v/>
      </c>
      <c r="N70">
        <f>Datapoint!A242</f>
        <v/>
      </c>
      <c r="O70" t="inlineStr">
        <is>
          <t>activity</t>
        </is>
      </c>
    </row>
    <row r="71">
      <c r="A71" t="inlineStr">
        <is>
          <t>rvc_1KXERCP431S075SF</t>
        </is>
      </c>
      <c r="B71">
        <f>Component!A66</f>
        <v/>
      </c>
      <c r="C71" t="inlineStr">
        <is>
          <t>Biochar sequestration, 200 year durability</t>
        </is>
      </c>
      <c r="E71" t="inlineStr">
        <is>
          <t>biochar_sequestration_200_year_c_org</t>
        </is>
      </c>
      <c r="F71" t="inlineStr">
        <is>
          <t>Biochar sequestration, 200 year durability</t>
        </is>
      </c>
      <c r="G71">
        <f>'GHG Entry'!A14</f>
        <v/>
      </c>
      <c r="H71" t="inlineStr">
        <is>
          <t>Biochar storage</t>
        </is>
      </c>
      <c r="I71" s="2">
        <f>Component!D66 * Datapoint!E243</f>
        <v/>
      </c>
      <c r="J71">
        <f>Component!E66 * Datapoint!E243</f>
        <v/>
      </c>
      <c r="K71">
        <f>Component!D66</f>
        <v/>
      </c>
      <c r="L71" t="inlineStr">
        <is>
          <t>partial</t>
        </is>
      </c>
      <c r="M71">
        <f>Datapoint!E243</f>
        <v/>
      </c>
      <c r="N71">
        <f>Datapoint!A243</f>
        <v/>
      </c>
      <c r="O71" t="inlineStr">
        <is>
          <t>sequestration</t>
        </is>
      </c>
    </row>
    <row r="72">
      <c r="A72" t="inlineStr">
        <is>
          <t>rvc_1KXERCP431S0C76G</t>
        </is>
      </c>
      <c r="B72">
        <f>Component!A67</f>
        <v/>
      </c>
      <c r="C72" t="inlineStr">
        <is>
          <t>CO Flatbed Truck Transport Embodied Emissions</t>
        </is>
      </c>
      <c r="D72" t="inlineStr">
        <is>
          <t xml:space="preserve"> </t>
        </is>
      </c>
      <c r="E72" t="inlineStr">
        <is>
          <t>distance_based_ci_emissions</t>
        </is>
      </c>
      <c r="F72" t="inlineStr">
        <is>
          <t>Distance-based emissions</t>
        </is>
      </c>
      <c r="G72">
        <f>'GHG Entry'!A14</f>
        <v/>
      </c>
      <c r="H72" t="inlineStr">
        <is>
          <t>Biochar transportation</t>
        </is>
      </c>
      <c r="I72" s="2">
        <f>Component!D67 * Datapoint!E239</f>
        <v/>
      </c>
      <c r="J72">
        <f>Component!E67 * Datapoint!E239</f>
        <v/>
      </c>
      <c r="K72">
        <f>Component!D67</f>
        <v/>
      </c>
      <c r="L72" t="inlineStr">
        <is>
          <t>partial</t>
        </is>
      </c>
      <c r="M72">
        <f>Datapoint!E239</f>
        <v/>
      </c>
      <c r="N72">
        <f>Datapoint!A239</f>
        <v/>
      </c>
      <c r="O72" t="inlineStr">
        <is>
          <t>activity</t>
        </is>
      </c>
    </row>
    <row r="73">
      <c r="A73" t="inlineStr">
        <is>
          <t>rvc_1KXERCP431S0KGXT</t>
        </is>
      </c>
      <c r="B73">
        <f>Component!A68</f>
        <v/>
      </c>
      <c r="C73" t="inlineStr">
        <is>
          <t>Biochar Production Emission (A)</t>
        </is>
      </c>
      <c r="D73" t="inlineStr">
        <is>
          <t xml:space="preserve"> </t>
        </is>
      </c>
      <c r="E73" t="inlineStr">
        <is>
          <t>mass_based_ci_emissions</t>
        </is>
      </c>
      <c r="F73" t="inlineStr">
        <is>
          <t>Mass-based CI emissions</t>
        </is>
      </c>
      <c r="G73">
        <f>'GHG Entry'!A14</f>
        <v/>
      </c>
      <c r="H73" t="inlineStr">
        <is>
          <t>Biochar production</t>
        </is>
      </c>
      <c r="I73" s="2">
        <f>Component!D68 * Datapoint!E240</f>
        <v/>
      </c>
      <c r="J73">
        <f>Component!E68 * Datapoint!E240</f>
        <v/>
      </c>
      <c r="K73">
        <f>Component!D68</f>
        <v/>
      </c>
      <c r="L73" t="inlineStr">
        <is>
          <t>partial</t>
        </is>
      </c>
      <c r="M73">
        <f>Datapoint!E240</f>
        <v/>
      </c>
      <c r="N73">
        <f>Datapoint!A240</f>
        <v/>
      </c>
      <c r="O73" t="inlineStr">
        <is>
          <t>activity</t>
        </is>
      </c>
    </row>
    <row r="74">
      <c r="A74" t="inlineStr">
        <is>
          <t>rvc_1KXERCP431S0RJAV</t>
        </is>
      </c>
      <c r="B74">
        <f>Component!A69</f>
        <v/>
      </c>
      <c r="C74" t="inlineStr">
        <is>
          <t>CO Flatbed Truck Transport Process Emissions</t>
        </is>
      </c>
      <c r="D74" t="inlineStr">
        <is>
          <t xml:space="preserve"> </t>
        </is>
      </c>
      <c r="E74" t="inlineStr">
        <is>
          <t>transport</t>
        </is>
      </c>
      <c r="F74" t="inlineStr">
        <is>
          <t>Transport emissions</t>
        </is>
      </c>
      <c r="G74">
        <f>'GHG Entry'!A14</f>
        <v/>
      </c>
      <c r="H74" t="inlineStr">
        <is>
          <t>Biochar transportation</t>
        </is>
      </c>
      <c r="I74" s="2">
        <f>Component!D69 * Datapoint!E241</f>
        <v/>
      </c>
      <c r="J74">
        <f>Component!E69 * Datapoint!E241</f>
        <v/>
      </c>
      <c r="K74">
        <f>Component!D69</f>
        <v/>
      </c>
      <c r="L74" t="inlineStr">
        <is>
          <t>partial</t>
        </is>
      </c>
      <c r="M74">
        <f>Datapoint!E241</f>
        <v/>
      </c>
      <c r="N74">
        <f>Datapoint!A241</f>
        <v/>
      </c>
      <c r="O74" t="inlineStr">
        <is>
          <t>activity</t>
        </is>
      </c>
    </row>
    <row r="75">
      <c r="A75" t="inlineStr">
        <is>
          <t>rvc_1KXERHFPF1S0ES2B</t>
        </is>
      </c>
      <c r="B75">
        <f>Component!A75</f>
        <v/>
      </c>
      <c r="C75" t="inlineStr">
        <is>
          <t>BCU - Transport Process</t>
        </is>
      </c>
      <c r="E75" t="inlineStr">
        <is>
          <t>constant_reduction</t>
        </is>
      </c>
      <c r="F75" t="inlineStr">
        <is>
          <t>Constant CO₂ reduction</t>
        </is>
      </c>
      <c r="G75">
        <f>'GHG Entry'!A14</f>
        <v/>
      </c>
      <c r="H75" t="inlineStr">
        <is>
          <t>Biochar transportation</t>
        </is>
      </c>
      <c r="I75" s="2">
        <f>Component!D75 * Datapoint!E263</f>
        <v/>
      </c>
      <c r="J75">
        <f>Component!E75 * Datapoint!E263</f>
        <v/>
      </c>
      <c r="K75">
        <f>Component!D75</f>
        <v/>
      </c>
      <c r="L75" t="inlineStr">
        <is>
          <t>partial</t>
        </is>
      </c>
      <c r="M75">
        <f>Datapoint!E263</f>
        <v/>
      </c>
      <c r="N75">
        <f>Datapoint!A263</f>
        <v/>
      </c>
      <c r="O75" t="inlineStr">
        <is>
          <t>adjustment</t>
        </is>
      </c>
    </row>
    <row r="76">
      <c r="A76" t="inlineStr">
        <is>
          <t>rvc_1KXERD7151S02SE2</t>
        </is>
      </c>
      <c r="B76">
        <f>Component!A70</f>
        <v/>
      </c>
      <c r="C76" t="inlineStr">
        <is>
          <t>Biochar Spreading Emissions</t>
        </is>
      </c>
      <c r="D76" t="inlineStr">
        <is>
          <t xml:space="preserve"> </t>
        </is>
      </c>
      <c r="E76" t="inlineStr">
        <is>
          <t>mass_based_ci_emissions</t>
        </is>
      </c>
      <c r="F76" t="inlineStr">
        <is>
          <t>Mass-based CI emissions</t>
        </is>
      </c>
      <c r="G76">
        <f>'GHG Entry'!A15</f>
        <v/>
      </c>
      <c r="H76" t="inlineStr">
        <is>
          <t>Biochar storage</t>
        </is>
      </c>
      <c r="I76" s="2">
        <f>Component!D70 * Datapoint!E260</f>
        <v/>
      </c>
      <c r="J76">
        <f>Component!E70 * Datapoint!E260</f>
        <v/>
      </c>
      <c r="K76">
        <f>Component!D70</f>
        <v/>
      </c>
      <c r="L76" t="inlineStr">
        <is>
          <t>partial</t>
        </is>
      </c>
      <c r="M76">
        <f>Datapoint!E260</f>
        <v/>
      </c>
      <c r="N76">
        <f>Datapoint!A260</f>
        <v/>
      </c>
      <c r="O76" t="inlineStr">
        <is>
          <t>activity</t>
        </is>
      </c>
    </row>
    <row r="77">
      <c r="A77" t="inlineStr">
        <is>
          <t>rvc_1KXERD7151S051RB</t>
        </is>
      </c>
      <c r="B77">
        <f>Component!A71</f>
        <v/>
      </c>
      <c r="C77" t="inlineStr">
        <is>
          <t>Biochar sequestration, 200 year durability</t>
        </is>
      </c>
      <c r="E77" t="inlineStr">
        <is>
          <t>biochar_sequestration_200_year_c_org</t>
        </is>
      </c>
      <c r="F77" t="inlineStr">
        <is>
          <t>Biochar sequestration, 200 year durability</t>
        </is>
      </c>
      <c r="G77">
        <f>'GHG Entry'!A15</f>
        <v/>
      </c>
      <c r="H77" t="inlineStr">
        <is>
          <t>Biochar storage</t>
        </is>
      </c>
      <c r="I77" s="2">
        <f>Component!D71 * Datapoint!E261</f>
        <v/>
      </c>
      <c r="J77">
        <f>Component!E71 * Datapoint!E261</f>
        <v/>
      </c>
      <c r="K77">
        <f>Component!D71</f>
        <v/>
      </c>
      <c r="L77" t="inlineStr">
        <is>
          <t>partial</t>
        </is>
      </c>
      <c r="M77">
        <f>Datapoint!E261</f>
        <v/>
      </c>
      <c r="N77">
        <f>Datapoint!A261</f>
        <v/>
      </c>
      <c r="O77" t="inlineStr">
        <is>
          <t>sequestration</t>
        </is>
      </c>
    </row>
    <row r="78">
      <c r="A78" t="inlineStr">
        <is>
          <t>rvc_1KXERD7151S0A35C</t>
        </is>
      </c>
      <c r="B78">
        <f>Component!A72</f>
        <v/>
      </c>
      <c r="C78" t="inlineStr">
        <is>
          <t>CO Flatbed Truck Transport Embodied Emissions</t>
        </is>
      </c>
      <c r="D78" t="inlineStr">
        <is>
          <t xml:space="preserve"> </t>
        </is>
      </c>
      <c r="E78" t="inlineStr">
        <is>
          <t>distance_based_ci_emissions</t>
        </is>
      </c>
      <c r="F78" t="inlineStr">
        <is>
          <t>Distance-based emissions</t>
        </is>
      </c>
      <c r="G78">
        <f>'GHG Entry'!A15</f>
        <v/>
      </c>
      <c r="H78" t="inlineStr">
        <is>
          <t>Biochar transportation</t>
        </is>
      </c>
      <c r="I78" s="2">
        <f>Component!D72 * Datapoint!E262</f>
        <v/>
      </c>
      <c r="J78">
        <f>Component!E72 * Datapoint!E262</f>
        <v/>
      </c>
      <c r="K78">
        <f>Component!D72</f>
        <v/>
      </c>
      <c r="L78" t="inlineStr">
        <is>
          <t>partial</t>
        </is>
      </c>
      <c r="M78">
        <f>Datapoint!E262</f>
        <v/>
      </c>
      <c r="N78">
        <f>Datapoint!A262</f>
        <v/>
      </c>
      <c r="O78" t="inlineStr">
        <is>
          <t>activity</t>
        </is>
      </c>
    </row>
    <row r="79">
      <c r="A79" t="inlineStr">
        <is>
          <t>rvc_1KXERD7151S0HCWP</t>
        </is>
      </c>
      <c r="B79">
        <f>Component!A73</f>
        <v/>
      </c>
      <c r="C79" t="inlineStr">
        <is>
          <t>Biochar Production Emission (A)</t>
        </is>
      </c>
      <c r="D79" t="inlineStr">
        <is>
          <t xml:space="preserve"> </t>
        </is>
      </c>
      <c r="E79" t="inlineStr">
        <is>
          <t>mass_based_ci_emissions</t>
        </is>
      </c>
      <c r="F79" t="inlineStr">
        <is>
          <t>Mass-based CI emissions</t>
        </is>
      </c>
      <c r="G79">
        <f>'GHG Entry'!A15</f>
        <v/>
      </c>
      <c r="H79" t="inlineStr">
        <is>
          <t>Biochar production</t>
        </is>
      </c>
      <c r="I79" s="2">
        <f>Component!D73 * Datapoint!E258</f>
        <v/>
      </c>
      <c r="J79">
        <f>Component!E73 * Datapoint!E258</f>
        <v/>
      </c>
      <c r="K79">
        <f>Component!D73</f>
        <v/>
      </c>
      <c r="L79" t="inlineStr">
        <is>
          <t>partial</t>
        </is>
      </c>
      <c r="M79">
        <f>Datapoint!E258</f>
        <v/>
      </c>
      <c r="N79">
        <f>Datapoint!A258</f>
        <v/>
      </c>
      <c r="O79" t="inlineStr">
        <is>
          <t>activity</t>
        </is>
      </c>
    </row>
    <row r="80">
      <c r="A80" t="inlineStr">
        <is>
          <t>rvc_1KXERD7151S0PE9Q</t>
        </is>
      </c>
      <c r="B80">
        <f>Component!A74</f>
        <v/>
      </c>
      <c r="C80" t="inlineStr">
        <is>
          <t>CO Flatbed Truck Transport Process Emissions</t>
        </is>
      </c>
      <c r="D80" t="inlineStr">
        <is>
          <t xml:space="preserve"> </t>
        </is>
      </c>
      <c r="E80" t="inlineStr">
        <is>
          <t>transport</t>
        </is>
      </c>
      <c r="F80" t="inlineStr">
        <is>
          <t>Transport emissions</t>
        </is>
      </c>
      <c r="G80">
        <f>'GHG Entry'!A15</f>
        <v/>
      </c>
      <c r="H80" t="inlineStr">
        <is>
          <t>Biochar transportation</t>
        </is>
      </c>
      <c r="I80" s="2">
        <f>Component!D74 * Datapoint!E259</f>
        <v/>
      </c>
      <c r="J80">
        <f>Component!E74 * Datapoint!E259</f>
        <v/>
      </c>
      <c r="K80">
        <f>Component!D74</f>
        <v/>
      </c>
      <c r="L80" t="inlineStr">
        <is>
          <t>partial</t>
        </is>
      </c>
      <c r="M80">
        <f>Datapoint!E259</f>
        <v/>
      </c>
      <c r="N80">
        <f>Datapoint!A259</f>
        <v/>
      </c>
      <c r="O80" t="inlineStr">
        <is>
          <t>activity</t>
        </is>
      </c>
    </row>
    <row r="81">
      <c r="A81" t="inlineStr">
        <is>
          <t>rvc_1KYA8CW3S1S099HS</t>
        </is>
      </c>
      <c r="B81">
        <f>Component!A171</f>
        <v/>
      </c>
      <c r="C81" t="inlineStr">
        <is>
          <t>BCU - Transport Process</t>
        </is>
      </c>
      <c r="E81" t="inlineStr">
        <is>
          <t>constant_reduction</t>
        </is>
      </c>
      <c r="F81" t="inlineStr">
        <is>
          <t>Constant CO₂ reduction</t>
        </is>
      </c>
      <c r="G81">
        <f>'GHG Entry'!A15</f>
        <v/>
      </c>
      <c r="H81" t="inlineStr">
        <is>
          <t>Biochar storage</t>
        </is>
      </c>
      <c r="I81" s="2">
        <f>Component!D171 * Datapoint!E606</f>
        <v/>
      </c>
      <c r="J81">
        <f>Component!E171 * Datapoint!E606</f>
        <v/>
      </c>
      <c r="K81">
        <f>Component!D171</f>
        <v/>
      </c>
      <c r="L81" t="inlineStr">
        <is>
          <t>partial</t>
        </is>
      </c>
      <c r="M81">
        <f>Datapoint!E606</f>
        <v/>
      </c>
      <c r="N81">
        <f>Datapoint!A606</f>
        <v/>
      </c>
      <c r="O81" t="inlineStr">
        <is>
          <t>adjustment</t>
        </is>
      </c>
      <c r="P81" s="3" t="n">
        <v>46179</v>
      </c>
      <c r="Q81" s="3" t="n">
        <v>46179</v>
      </c>
    </row>
    <row r="82">
      <c r="A82" t="inlineStr">
        <is>
          <t>rvc_1KXGK2Y3V1S03H6G</t>
        </is>
      </c>
      <c r="B82">
        <f>Component!A76</f>
        <v/>
      </c>
      <c r="C82" t="inlineStr">
        <is>
          <t>CO Flatbed Truck Transport Embodied Emissions</t>
        </is>
      </c>
      <c r="D82" t="inlineStr">
        <is>
          <t xml:space="preserve"> </t>
        </is>
      </c>
      <c r="E82" t="inlineStr">
        <is>
          <t>distance_based_ci_emissions</t>
        </is>
      </c>
      <c r="F82" t="inlineStr">
        <is>
          <t>Distance-based emissions</t>
        </is>
      </c>
      <c r="G82">
        <f>'GHG Entry'!A16</f>
        <v/>
      </c>
      <c r="H82" t="inlineStr">
        <is>
          <t>Biochar transportation</t>
        </is>
      </c>
      <c r="I82" s="2">
        <f>Component!D76 * Datapoint!E282</f>
        <v/>
      </c>
      <c r="J82">
        <f>Component!E76 * Datapoint!E282</f>
        <v/>
      </c>
      <c r="K82">
        <f>Component!D76</f>
        <v/>
      </c>
      <c r="L82" t="inlineStr">
        <is>
          <t>partial</t>
        </is>
      </c>
      <c r="M82">
        <f>Datapoint!E282</f>
        <v/>
      </c>
      <c r="N82">
        <f>Datapoint!A282</f>
        <v/>
      </c>
      <c r="O82" t="inlineStr">
        <is>
          <t>activity</t>
        </is>
      </c>
    </row>
    <row r="83">
      <c r="A83" t="inlineStr">
        <is>
          <t>rvc_1KXGK2Y3V1S0ATXT</t>
        </is>
      </c>
      <c r="B83">
        <f>Component!A77</f>
        <v/>
      </c>
      <c r="C83" t="inlineStr">
        <is>
          <t>Biochar Production Emission (A)</t>
        </is>
      </c>
      <c r="D83" t="inlineStr">
        <is>
          <t xml:space="preserve"> </t>
        </is>
      </c>
      <c r="E83" t="inlineStr">
        <is>
          <t>mass_based_ci_emissions</t>
        </is>
      </c>
      <c r="F83" t="inlineStr">
        <is>
          <t>Mass-based CI emissions</t>
        </is>
      </c>
      <c r="G83">
        <f>'GHG Entry'!A16</f>
        <v/>
      </c>
      <c r="H83" t="inlineStr">
        <is>
          <t>Biochar production</t>
        </is>
      </c>
      <c r="I83" s="2">
        <f>Component!D77 * Datapoint!E283</f>
        <v/>
      </c>
      <c r="J83">
        <f>Component!E77 * Datapoint!E283</f>
        <v/>
      </c>
      <c r="K83">
        <f>Component!D77</f>
        <v/>
      </c>
      <c r="L83" t="inlineStr">
        <is>
          <t>partial</t>
        </is>
      </c>
      <c r="M83">
        <f>Datapoint!E283</f>
        <v/>
      </c>
      <c r="N83">
        <f>Datapoint!A283</f>
        <v/>
      </c>
      <c r="O83" t="inlineStr">
        <is>
          <t>activity</t>
        </is>
      </c>
    </row>
    <row r="84">
      <c r="A84" t="inlineStr">
        <is>
          <t>rvc_1KXGK2Y3V1S0FWAV</t>
        </is>
      </c>
      <c r="B84">
        <f>Component!A78</f>
        <v/>
      </c>
      <c r="C84" t="inlineStr">
        <is>
          <t>CO Flatbed Truck Transport Process Emissions</t>
        </is>
      </c>
      <c r="D84" t="inlineStr">
        <is>
          <t xml:space="preserve"> </t>
        </is>
      </c>
      <c r="E84" t="inlineStr">
        <is>
          <t>transport</t>
        </is>
      </c>
      <c r="F84" t="inlineStr">
        <is>
          <t>Transport emissions</t>
        </is>
      </c>
      <c r="G84">
        <f>'GHG Entry'!A16</f>
        <v/>
      </c>
      <c r="H84" t="inlineStr">
        <is>
          <t>Biochar transportation</t>
        </is>
      </c>
      <c r="I84" s="2">
        <f>Component!D78 * Datapoint!E279</f>
        <v/>
      </c>
      <c r="J84">
        <f>Component!E78 * Datapoint!E279</f>
        <v/>
      </c>
      <c r="K84">
        <f>Component!D78</f>
        <v/>
      </c>
      <c r="L84" t="inlineStr">
        <is>
          <t>partial</t>
        </is>
      </c>
      <c r="M84">
        <f>Datapoint!E279</f>
        <v/>
      </c>
      <c r="N84">
        <f>Datapoint!A279</f>
        <v/>
      </c>
      <c r="O84" t="inlineStr">
        <is>
          <t>activity</t>
        </is>
      </c>
    </row>
    <row r="85">
      <c r="A85" t="inlineStr">
        <is>
          <t>rvc_1KXGK2Y3V1S0W7F6</t>
        </is>
      </c>
      <c r="B85">
        <f>Component!A79</f>
        <v/>
      </c>
      <c r="C85" t="inlineStr">
        <is>
          <t>Biochar Spreading Emissions</t>
        </is>
      </c>
      <c r="D85" t="inlineStr">
        <is>
          <t xml:space="preserve"> </t>
        </is>
      </c>
      <c r="E85" t="inlineStr">
        <is>
          <t>mass_based_ci_emissions</t>
        </is>
      </c>
      <c r="F85" t="inlineStr">
        <is>
          <t>Mass-based CI emissions</t>
        </is>
      </c>
      <c r="G85">
        <f>'GHG Entry'!A16</f>
        <v/>
      </c>
      <c r="H85" t="inlineStr">
        <is>
          <t>Biochar storage</t>
        </is>
      </c>
      <c r="I85" s="2">
        <f>Component!D79 * Datapoint!E280</f>
        <v/>
      </c>
      <c r="J85">
        <f>Component!E79 * Datapoint!E280</f>
        <v/>
      </c>
      <c r="K85">
        <f>Component!D79</f>
        <v/>
      </c>
      <c r="L85" t="inlineStr">
        <is>
          <t>partial</t>
        </is>
      </c>
      <c r="M85">
        <f>Datapoint!E280</f>
        <v/>
      </c>
      <c r="N85">
        <f>Datapoint!A280</f>
        <v/>
      </c>
      <c r="O85" t="inlineStr">
        <is>
          <t>activity</t>
        </is>
      </c>
    </row>
    <row r="86">
      <c r="A86" t="inlineStr">
        <is>
          <t>rvc_1KXGK2Y3V1S0YFSF</t>
        </is>
      </c>
      <c r="B86">
        <f>Component!A80</f>
        <v/>
      </c>
      <c r="C86" t="inlineStr">
        <is>
          <t>Biochar sequestration, 200 year durability</t>
        </is>
      </c>
      <c r="E86" t="inlineStr">
        <is>
          <t>biochar_sequestration_200_year_c_org</t>
        </is>
      </c>
      <c r="F86" t="inlineStr">
        <is>
          <t>Biochar sequestration, 200 year durability</t>
        </is>
      </c>
      <c r="G86">
        <f>'GHG Entry'!A16</f>
        <v/>
      </c>
      <c r="H86" t="inlineStr">
        <is>
          <t>Biochar storage</t>
        </is>
      </c>
      <c r="I86" s="2">
        <f>Component!D80 * Datapoint!E281</f>
        <v/>
      </c>
      <c r="J86">
        <f>Component!E80 * Datapoint!E281</f>
        <v/>
      </c>
      <c r="K86">
        <f>Component!D80</f>
        <v/>
      </c>
      <c r="L86" t="inlineStr">
        <is>
          <t>partial</t>
        </is>
      </c>
      <c r="M86">
        <f>Datapoint!E281</f>
        <v/>
      </c>
      <c r="N86">
        <f>Datapoint!A281</f>
        <v/>
      </c>
      <c r="O86" t="inlineStr">
        <is>
          <t>sequestration</t>
        </is>
      </c>
    </row>
    <row r="87">
      <c r="A87" t="inlineStr">
        <is>
          <t>rvc_1KXGRVNQ41S05Y63</t>
        </is>
      </c>
      <c r="B87">
        <f>Component!A101</f>
        <v/>
      </c>
      <c r="C87" t="inlineStr">
        <is>
          <t>BCU - Transport Process</t>
        </is>
      </c>
      <c r="E87" t="inlineStr">
        <is>
          <t>constant_reduction</t>
        </is>
      </c>
      <c r="F87" t="inlineStr">
        <is>
          <t>Constant CO₂ reduction</t>
        </is>
      </c>
      <c r="G87">
        <f>'GHG Entry'!A16</f>
        <v/>
      </c>
      <c r="H87" t="inlineStr">
        <is>
          <t>Biochar transportation</t>
        </is>
      </c>
      <c r="I87" s="2">
        <f>Component!D101 * Datapoint!E358</f>
        <v/>
      </c>
      <c r="J87">
        <f>Component!E101 * Datapoint!E358</f>
        <v/>
      </c>
      <c r="K87">
        <f>Component!D101</f>
        <v/>
      </c>
      <c r="L87" t="inlineStr">
        <is>
          <t>partial</t>
        </is>
      </c>
      <c r="M87">
        <f>Datapoint!E358</f>
        <v/>
      </c>
      <c r="N87">
        <f>Datapoint!A358</f>
        <v/>
      </c>
      <c r="O87" t="inlineStr">
        <is>
          <t>adjustment</t>
        </is>
      </c>
    </row>
    <row r="88">
      <c r="A88" t="inlineStr">
        <is>
          <t>rvc_1KXGK3HP81S01D5C</t>
        </is>
      </c>
      <c r="B88">
        <f>Component!A81</f>
        <v/>
      </c>
      <c r="C88" t="inlineStr">
        <is>
          <t>CO Flatbed Truck Transport Embodied Emissions</t>
        </is>
      </c>
      <c r="D88" t="inlineStr">
        <is>
          <t xml:space="preserve"> </t>
        </is>
      </c>
      <c r="E88" t="inlineStr">
        <is>
          <t>distance_based_ci_emissions</t>
        </is>
      </c>
      <c r="F88" t="inlineStr">
        <is>
          <t>Distance-based emissions</t>
        </is>
      </c>
      <c r="G88">
        <f>'GHG Entry'!A17</f>
        <v/>
      </c>
      <c r="H88" t="inlineStr">
        <is>
          <t>Biochar transportation</t>
        </is>
      </c>
      <c r="I88" s="2">
        <f>Component!D81 * Datapoint!E301</f>
        <v/>
      </c>
      <c r="J88">
        <f>Component!E81 * Datapoint!E301</f>
        <v/>
      </c>
      <c r="K88">
        <f>Component!D81</f>
        <v/>
      </c>
      <c r="L88" t="inlineStr">
        <is>
          <t>partial</t>
        </is>
      </c>
      <c r="M88">
        <f>Datapoint!E301</f>
        <v/>
      </c>
      <c r="N88">
        <f>Datapoint!A301</f>
        <v/>
      </c>
      <c r="O88" t="inlineStr">
        <is>
          <t>activity</t>
        </is>
      </c>
    </row>
    <row r="89">
      <c r="A89" t="inlineStr">
        <is>
          <t>rvc_1KXGK3HP81S08PWP</t>
        </is>
      </c>
      <c r="B89">
        <f>Component!A82</f>
        <v/>
      </c>
      <c r="C89" t="inlineStr">
        <is>
          <t>Biochar Production Emission (A)</t>
        </is>
      </c>
      <c r="D89" t="inlineStr">
        <is>
          <t xml:space="preserve"> </t>
        </is>
      </c>
      <c r="E89" t="inlineStr">
        <is>
          <t>mass_based_ci_emissions</t>
        </is>
      </c>
      <c r="F89" t="inlineStr">
        <is>
          <t>Mass-based CI emissions</t>
        </is>
      </c>
      <c r="G89">
        <f>'GHG Entry'!A17</f>
        <v/>
      </c>
      <c r="H89" t="inlineStr">
        <is>
          <t>Biochar production</t>
        </is>
      </c>
      <c r="I89" s="2">
        <f>Component!D82 * Datapoint!E302</f>
        <v/>
      </c>
      <c r="J89">
        <f>Component!E82 * Datapoint!E302</f>
        <v/>
      </c>
      <c r="K89">
        <f>Component!D82</f>
        <v/>
      </c>
      <c r="L89" t="inlineStr">
        <is>
          <t>partial</t>
        </is>
      </c>
      <c r="M89">
        <f>Datapoint!E302</f>
        <v/>
      </c>
      <c r="N89">
        <f>Datapoint!A302</f>
        <v/>
      </c>
      <c r="O89" t="inlineStr">
        <is>
          <t>activity</t>
        </is>
      </c>
    </row>
    <row r="90">
      <c r="A90" t="inlineStr">
        <is>
          <t>rvc_1KXGK3HP81S0DR9Q</t>
        </is>
      </c>
      <c r="B90">
        <f>Component!A83</f>
        <v/>
      </c>
      <c r="C90" t="inlineStr">
        <is>
          <t>CO Flatbed Truck Transport Process Emissions</t>
        </is>
      </c>
      <c r="D90" t="inlineStr">
        <is>
          <t xml:space="preserve"> </t>
        </is>
      </c>
      <c r="E90" t="inlineStr">
        <is>
          <t>transport</t>
        </is>
      </c>
      <c r="F90" t="inlineStr">
        <is>
          <t>Transport emissions</t>
        </is>
      </c>
      <c r="G90">
        <f>'GHG Entry'!A17</f>
        <v/>
      </c>
      <c r="H90" t="inlineStr">
        <is>
          <t>Biochar transportation</t>
        </is>
      </c>
      <c r="I90" s="2">
        <f>Component!D83 * Datapoint!E298</f>
        <v/>
      </c>
      <c r="J90">
        <f>Component!E83 * Datapoint!E298</f>
        <v/>
      </c>
      <c r="K90">
        <f>Component!D83</f>
        <v/>
      </c>
      <c r="L90" t="inlineStr">
        <is>
          <t>partial</t>
        </is>
      </c>
      <c r="M90">
        <f>Datapoint!E298</f>
        <v/>
      </c>
      <c r="N90">
        <f>Datapoint!A298</f>
        <v/>
      </c>
      <c r="O90" t="inlineStr">
        <is>
          <t>activity</t>
        </is>
      </c>
    </row>
    <row r="91">
      <c r="A91" t="inlineStr">
        <is>
          <t>rvc_1KXGK3HP81S0T3E2</t>
        </is>
      </c>
      <c r="B91">
        <f>Component!A84</f>
        <v/>
      </c>
      <c r="C91" t="inlineStr">
        <is>
          <t>Biochar Spreading Emissions</t>
        </is>
      </c>
      <c r="D91" t="inlineStr">
        <is>
          <t xml:space="preserve"> </t>
        </is>
      </c>
      <c r="E91" t="inlineStr">
        <is>
          <t>mass_based_ci_emissions</t>
        </is>
      </c>
      <c r="F91" t="inlineStr">
        <is>
          <t>Mass-based CI emissions</t>
        </is>
      </c>
      <c r="G91">
        <f>'GHG Entry'!A17</f>
        <v/>
      </c>
      <c r="H91" t="inlineStr">
        <is>
          <t>Biochar storage</t>
        </is>
      </c>
      <c r="I91" s="2">
        <f>Component!D84 * Datapoint!E299</f>
        <v/>
      </c>
      <c r="J91">
        <f>Component!E84 * Datapoint!E299</f>
        <v/>
      </c>
      <c r="K91">
        <f>Component!D84</f>
        <v/>
      </c>
      <c r="L91" t="inlineStr">
        <is>
          <t>partial</t>
        </is>
      </c>
      <c r="M91">
        <f>Datapoint!E299</f>
        <v/>
      </c>
      <c r="N91">
        <f>Datapoint!A299</f>
        <v/>
      </c>
      <c r="O91" t="inlineStr">
        <is>
          <t>activity</t>
        </is>
      </c>
    </row>
    <row r="92">
      <c r="A92" t="inlineStr">
        <is>
          <t>rvc_1KXGK3HP81S0WBRB</t>
        </is>
      </c>
      <c r="B92">
        <f>Component!A85</f>
        <v/>
      </c>
      <c r="C92" t="inlineStr">
        <is>
          <t>Biochar sequestration, 200 year durability</t>
        </is>
      </c>
      <c r="E92" t="inlineStr">
        <is>
          <t>biochar_sequestration_200_year_c_org</t>
        </is>
      </c>
      <c r="F92" t="inlineStr">
        <is>
          <t>Biochar sequestration, 200 year durability</t>
        </is>
      </c>
      <c r="G92">
        <f>'GHG Entry'!A17</f>
        <v/>
      </c>
      <c r="H92" t="inlineStr">
        <is>
          <t>Biochar storage</t>
        </is>
      </c>
      <c r="I92" s="2">
        <f>Component!D85 * Datapoint!E300</f>
        <v/>
      </c>
      <c r="J92">
        <f>Component!E85 * Datapoint!E300</f>
        <v/>
      </c>
      <c r="K92">
        <f>Component!D85</f>
        <v/>
      </c>
      <c r="L92" t="inlineStr">
        <is>
          <t>partial</t>
        </is>
      </c>
      <c r="M92">
        <f>Datapoint!E300</f>
        <v/>
      </c>
      <c r="N92">
        <f>Datapoint!A300</f>
        <v/>
      </c>
      <c r="O92" t="inlineStr">
        <is>
          <t>sequestration</t>
        </is>
      </c>
    </row>
    <row r="93">
      <c r="A93" t="inlineStr">
        <is>
          <t>rvc_1KYA8D23J1S0FHR5</t>
        </is>
      </c>
      <c r="B93">
        <f>Component!A172</f>
        <v/>
      </c>
      <c r="C93" t="inlineStr">
        <is>
          <t>BCU - Transport Process</t>
        </is>
      </c>
      <c r="E93" t="inlineStr">
        <is>
          <t>constant_reduction</t>
        </is>
      </c>
      <c r="F93" t="inlineStr">
        <is>
          <t>Constant CO₂ reduction</t>
        </is>
      </c>
      <c r="G93">
        <f>'GHG Entry'!A17</f>
        <v/>
      </c>
      <c r="H93" t="inlineStr">
        <is>
          <t>Biochar storage</t>
        </is>
      </c>
      <c r="I93" s="2">
        <f>Component!D172 * Datapoint!E608</f>
        <v/>
      </c>
      <c r="J93">
        <f>Component!E172 * Datapoint!E608</f>
        <v/>
      </c>
      <c r="K93">
        <f>Component!D172</f>
        <v/>
      </c>
      <c r="L93" t="inlineStr">
        <is>
          <t>partial</t>
        </is>
      </c>
      <c r="M93">
        <f>Datapoint!E608</f>
        <v/>
      </c>
      <c r="N93">
        <f>Datapoint!A608</f>
        <v/>
      </c>
      <c r="O93" t="inlineStr">
        <is>
          <t>adjustment</t>
        </is>
      </c>
      <c r="P93" s="3" t="n">
        <v>46179</v>
      </c>
      <c r="Q93" s="3" t="n">
        <v>46179</v>
      </c>
    </row>
    <row r="94">
      <c r="A94" t="inlineStr">
        <is>
          <t>rvc_1KXGK45BZ1S06JVJ</t>
        </is>
      </c>
      <c r="B94">
        <f>Component!A86</f>
        <v/>
      </c>
      <c r="C94" t="inlineStr">
        <is>
          <t>Biochar Production Emission (A)</t>
        </is>
      </c>
      <c r="D94" t="inlineStr">
        <is>
          <t xml:space="preserve"> </t>
        </is>
      </c>
      <c r="E94" t="inlineStr">
        <is>
          <t>mass_based_ci_emissions</t>
        </is>
      </c>
      <c r="F94" t="inlineStr">
        <is>
          <t>Mass-based CI emissions</t>
        </is>
      </c>
      <c r="G94">
        <f>'GHG Entry'!A18</f>
        <v/>
      </c>
      <c r="H94" t="inlineStr">
        <is>
          <t>Biochar production</t>
        </is>
      </c>
      <c r="I94" s="2">
        <f>Component!D86 * Datapoint!E320</f>
        <v/>
      </c>
      <c r="J94">
        <f>Component!E86 * Datapoint!E320</f>
        <v/>
      </c>
      <c r="K94">
        <f>Component!D86</f>
        <v/>
      </c>
      <c r="L94" t="inlineStr">
        <is>
          <t>partial</t>
        </is>
      </c>
      <c r="M94">
        <f>Datapoint!E320</f>
        <v/>
      </c>
      <c r="N94">
        <f>Datapoint!A320</f>
        <v/>
      </c>
      <c r="O94" t="inlineStr">
        <is>
          <t>activity</t>
        </is>
      </c>
    </row>
    <row r="95">
      <c r="A95" t="inlineStr">
        <is>
          <t>rvc_1KXGK45BZ1S0BM8K</t>
        </is>
      </c>
      <c r="B95">
        <f>Component!A87</f>
        <v/>
      </c>
      <c r="C95" t="inlineStr">
        <is>
          <t>CO Flatbed Truck Transport Process Emissions</t>
        </is>
      </c>
      <c r="D95" t="inlineStr">
        <is>
          <t xml:space="preserve"> </t>
        </is>
      </c>
      <c r="E95" t="inlineStr">
        <is>
          <t>transport</t>
        </is>
      </c>
      <c r="F95" t="inlineStr">
        <is>
          <t>Transport emissions</t>
        </is>
      </c>
      <c r="G95">
        <f>'GHG Entry'!A18</f>
        <v/>
      </c>
      <c r="H95" t="inlineStr">
        <is>
          <t>Biochar transportation</t>
        </is>
      </c>
      <c r="I95" s="2">
        <f>Component!D87 * Datapoint!E321</f>
        <v/>
      </c>
      <c r="J95">
        <f>Component!E87 * Datapoint!E321</f>
        <v/>
      </c>
      <c r="K95">
        <f>Component!D87</f>
        <v/>
      </c>
      <c r="L95" t="inlineStr">
        <is>
          <t>partial</t>
        </is>
      </c>
      <c r="M95">
        <f>Datapoint!E321</f>
        <v/>
      </c>
      <c r="N95">
        <f>Datapoint!A321</f>
        <v/>
      </c>
      <c r="O95" t="inlineStr">
        <is>
          <t>activity</t>
        </is>
      </c>
    </row>
    <row r="96">
      <c r="A96" t="inlineStr">
        <is>
          <t>rvc_1KXGK45BZ1S0QZCY</t>
        </is>
      </c>
      <c r="B96">
        <f>Component!A88</f>
        <v/>
      </c>
      <c r="C96" t="inlineStr">
        <is>
          <t>Biochar Spreading Emissions</t>
        </is>
      </c>
      <c r="D96" t="inlineStr">
        <is>
          <t xml:space="preserve"> </t>
        </is>
      </c>
      <c r="E96" t="inlineStr">
        <is>
          <t>mass_based_ci_emissions</t>
        </is>
      </c>
      <c r="F96" t="inlineStr">
        <is>
          <t>Mass-based CI emissions</t>
        </is>
      </c>
      <c r="G96">
        <f>'GHG Entry'!A18</f>
        <v/>
      </c>
      <c r="H96" t="inlineStr">
        <is>
          <t>Biochar storage</t>
        </is>
      </c>
      <c r="I96" s="2">
        <f>Component!D88 * Datapoint!E317</f>
        <v/>
      </c>
      <c r="J96">
        <f>Component!E88 * Datapoint!E317</f>
        <v/>
      </c>
      <c r="K96">
        <f>Component!D88</f>
        <v/>
      </c>
      <c r="L96" t="inlineStr">
        <is>
          <t>partial</t>
        </is>
      </c>
      <c r="M96">
        <f>Datapoint!E317</f>
        <v/>
      </c>
      <c r="N96">
        <f>Datapoint!A317</f>
        <v/>
      </c>
      <c r="O96" t="inlineStr">
        <is>
          <t>activity</t>
        </is>
      </c>
    </row>
    <row r="97">
      <c r="A97" t="inlineStr">
        <is>
          <t>rvc_1KXGK45BZ1S0T7Q7</t>
        </is>
      </c>
      <c r="B97">
        <f>Component!A89</f>
        <v/>
      </c>
      <c r="C97" t="inlineStr">
        <is>
          <t>Biochar sequestration, 200 year durability</t>
        </is>
      </c>
      <c r="E97" t="inlineStr">
        <is>
          <t>biochar_sequestration_200_year_c_org</t>
        </is>
      </c>
      <c r="F97" t="inlineStr">
        <is>
          <t>Biochar sequestration, 200 year durability</t>
        </is>
      </c>
      <c r="G97">
        <f>'GHG Entry'!A18</f>
        <v/>
      </c>
      <c r="H97" t="inlineStr">
        <is>
          <t>Biochar storage</t>
        </is>
      </c>
      <c r="I97" s="2">
        <f>Component!D89 * Datapoint!E318</f>
        <v/>
      </c>
      <c r="J97">
        <f>Component!E89 * Datapoint!E318</f>
        <v/>
      </c>
      <c r="K97">
        <f>Component!D89</f>
        <v/>
      </c>
      <c r="L97" t="inlineStr">
        <is>
          <t>partial</t>
        </is>
      </c>
      <c r="M97">
        <f>Datapoint!E318</f>
        <v/>
      </c>
      <c r="N97">
        <f>Datapoint!A318</f>
        <v/>
      </c>
      <c r="O97" t="inlineStr">
        <is>
          <t>sequestration</t>
        </is>
      </c>
    </row>
    <row r="98">
      <c r="A98" t="inlineStr">
        <is>
          <t>rvc_1KXGK45BZ1S0Z948</t>
        </is>
      </c>
      <c r="B98">
        <f>Component!A90</f>
        <v/>
      </c>
      <c r="C98" t="inlineStr">
        <is>
          <t>CO Flatbed Truck Transport Embodied Emissions</t>
        </is>
      </c>
      <c r="D98" t="inlineStr">
        <is>
          <t xml:space="preserve"> </t>
        </is>
      </c>
      <c r="E98" t="inlineStr">
        <is>
          <t>distance_based_ci_emissions</t>
        </is>
      </c>
      <c r="F98" t="inlineStr">
        <is>
          <t>Distance-based emissions</t>
        </is>
      </c>
      <c r="G98">
        <f>'GHG Entry'!A18</f>
        <v/>
      </c>
      <c r="H98" t="inlineStr">
        <is>
          <t>Biochar transportation</t>
        </is>
      </c>
      <c r="I98" s="2">
        <f>Component!D90 * Datapoint!E319</f>
        <v/>
      </c>
      <c r="J98">
        <f>Component!E90 * Datapoint!E319</f>
        <v/>
      </c>
      <c r="K98">
        <f>Component!D90</f>
        <v/>
      </c>
      <c r="L98" t="inlineStr">
        <is>
          <t>partial</t>
        </is>
      </c>
      <c r="M98">
        <f>Datapoint!E319</f>
        <v/>
      </c>
      <c r="N98">
        <f>Datapoint!A319</f>
        <v/>
      </c>
      <c r="O98" t="inlineStr">
        <is>
          <t>activity</t>
        </is>
      </c>
    </row>
    <row r="99">
      <c r="A99" t="inlineStr">
        <is>
          <t>rvc_1KXGRA8D41S041BW</t>
        </is>
      </c>
      <c r="B99">
        <f>Component!A100</f>
        <v/>
      </c>
      <c r="C99" t="inlineStr">
        <is>
          <t>BCU - Transport Process</t>
        </is>
      </c>
      <c r="E99" t="inlineStr">
        <is>
          <t>constant_reduction</t>
        </is>
      </c>
      <c r="F99" t="inlineStr">
        <is>
          <t>Constant CO₂ reduction</t>
        </is>
      </c>
      <c r="G99">
        <f>'GHG Entry'!A18</f>
        <v/>
      </c>
      <c r="H99" t="inlineStr">
        <is>
          <t>Biochar transportation</t>
        </is>
      </c>
      <c r="I99" s="2">
        <f>Component!D100 * Datapoint!E356</f>
        <v/>
      </c>
      <c r="J99">
        <f>Component!E100 * Datapoint!E356</f>
        <v/>
      </c>
      <c r="K99">
        <f>Component!D100</f>
        <v/>
      </c>
      <c r="L99" t="inlineStr">
        <is>
          <t>partial</t>
        </is>
      </c>
      <c r="M99">
        <f>Datapoint!E356</f>
        <v/>
      </c>
      <c r="N99">
        <f>Datapoint!A356</f>
        <v/>
      </c>
      <c r="O99" t="inlineStr">
        <is>
          <t>adjustment</t>
        </is>
      </c>
    </row>
    <row r="100">
      <c r="A100" t="inlineStr">
        <is>
          <t>rvc_1KXGK4R131S04ZJX</t>
        </is>
      </c>
      <c r="B100">
        <f>Component!A91</f>
        <v/>
      </c>
      <c r="C100" t="inlineStr">
        <is>
          <t>CO Flatbed Truck Transport Process Emissions</t>
        </is>
      </c>
      <c r="D100" t="inlineStr">
        <is>
          <t xml:space="preserve"> </t>
        </is>
      </c>
      <c r="E100" t="inlineStr">
        <is>
          <t>transport</t>
        </is>
      </c>
      <c r="F100" t="inlineStr">
        <is>
          <t>Transport emissions</t>
        </is>
      </c>
      <c r="G100">
        <f>'GHG Entry'!A19</f>
        <v/>
      </c>
      <c r="H100" t="inlineStr">
        <is>
          <t>Biochar transportation</t>
        </is>
      </c>
      <c r="I100" s="2">
        <f>Component!D91 * Datapoint!E337</f>
        <v/>
      </c>
      <c r="J100">
        <f>Component!E91 * Datapoint!E337</f>
        <v/>
      </c>
      <c r="K100">
        <f>Component!D91</f>
        <v/>
      </c>
      <c r="L100" t="inlineStr">
        <is>
          <t>partial</t>
        </is>
      </c>
      <c r="M100">
        <f>Datapoint!E337</f>
        <v/>
      </c>
      <c r="N100">
        <f>Datapoint!A337</f>
        <v/>
      </c>
      <c r="O100" t="inlineStr">
        <is>
          <t>activity</t>
        </is>
      </c>
    </row>
    <row r="101">
      <c r="A101" t="inlineStr">
        <is>
          <t>rvc_1KXGK4R131S0HAQ8</t>
        </is>
      </c>
      <c r="B101">
        <f>Component!A92</f>
        <v/>
      </c>
      <c r="C101" t="inlineStr">
        <is>
          <t>Biochar Spreading Emissions</t>
        </is>
      </c>
      <c r="D101" t="inlineStr">
        <is>
          <t xml:space="preserve"> </t>
        </is>
      </c>
      <c r="E101" t="inlineStr">
        <is>
          <t>mass_based_ci_emissions</t>
        </is>
      </c>
      <c r="F101" t="inlineStr">
        <is>
          <t>Mass-based CI emissions</t>
        </is>
      </c>
      <c r="G101">
        <f>'GHG Entry'!A19</f>
        <v/>
      </c>
      <c r="H101" t="inlineStr">
        <is>
          <t>Biochar storage</t>
        </is>
      </c>
      <c r="I101" s="2">
        <f>Component!D92 * Datapoint!E334</f>
        <v/>
      </c>
      <c r="J101">
        <f>Component!E92 * Datapoint!E334</f>
        <v/>
      </c>
      <c r="K101">
        <f>Component!D92</f>
        <v/>
      </c>
      <c r="L101" t="inlineStr">
        <is>
          <t>partial</t>
        </is>
      </c>
      <c r="M101">
        <f>Datapoint!E334</f>
        <v/>
      </c>
      <c r="N101">
        <f>Datapoint!A334</f>
        <v/>
      </c>
      <c r="O101" t="inlineStr">
        <is>
          <t>activity</t>
        </is>
      </c>
    </row>
    <row r="102">
      <c r="A102" t="inlineStr">
        <is>
          <t>rvc_1KXGK4R131S0KK1H</t>
        </is>
      </c>
      <c r="B102">
        <f>Component!A93</f>
        <v/>
      </c>
      <c r="C102" t="inlineStr">
        <is>
          <t>Biochar sequestration, 200 year durability</t>
        </is>
      </c>
      <c r="E102" t="inlineStr">
        <is>
          <t>biochar_sequestration_200_year_c_org</t>
        </is>
      </c>
      <c r="F102" t="inlineStr">
        <is>
          <t>Biochar sequestration, 200 year durability</t>
        </is>
      </c>
      <c r="G102">
        <f>'GHG Entry'!A19</f>
        <v/>
      </c>
      <c r="H102" t="inlineStr">
        <is>
          <t>Biochar storage</t>
        </is>
      </c>
      <c r="I102" s="2">
        <f>Component!D93 * Datapoint!E335</f>
        <v/>
      </c>
      <c r="J102">
        <f>Component!E93 * Datapoint!E335</f>
        <v/>
      </c>
      <c r="K102">
        <f>Component!D93</f>
        <v/>
      </c>
      <c r="L102" t="inlineStr">
        <is>
          <t>partial</t>
        </is>
      </c>
      <c r="M102">
        <f>Datapoint!E335</f>
        <v/>
      </c>
      <c r="N102">
        <f>Datapoint!A335</f>
        <v/>
      </c>
      <c r="O102" t="inlineStr">
        <is>
          <t>sequestration</t>
        </is>
      </c>
    </row>
    <row r="103">
      <c r="A103" t="inlineStr">
        <is>
          <t>rvc_1KXGK4R131S0RMEJ</t>
        </is>
      </c>
      <c r="B103">
        <f>Component!A94</f>
        <v/>
      </c>
      <c r="C103" t="inlineStr">
        <is>
          <t>CO Flatbed Truck Transport Embodied Emissions</t>
        </is>
      </c>
      <c r="D103" t="inlineStr">
        <is>
          <t xml:space="preserve"> </t>
        </is>
      </c>
      <c r="E103" t="inlineStr">
        <is>
          <t>distance_based_ci_emissions</t>
        </is>
      </c>
      <c r="F103" t="inlineStr">
        <is>
          <t>Distance-based emissions</t>
        </is>
      </c>
      <c r="G103">
        <f>'GHG Entry'!A19</f>
        <v/>
      </c>
      <c r="H103" t="inlineStr">
        <is>
          <t>Biochar transportation</t>
        </is>
      </c>
      <c r="I103" s="2">
        <f>Component!D94 * Datapoint!E336</f>
        <v/>
      </c>
      <c r="J103">
        <f>Component!E94 * Datapoint!E336</f>
        <v/>
      </c>
      <c r="K103">
        <f>Component!D94</f>
        <v/>
      </c>
      <c r="L103" t="inlineStr">
        <is>
          <t>partial</t>
        </is>
      </c>
      <c r="M103">
        <f>Datapoint!E336</f>
        <v/>
      </c>
      <c r="N103">
        <f>Datapoint!A336</f>
        <v/>
      </c>
      <c r="O103" t="inlineStr">
        <is>
          <t>activity</t>
        </is>
      </c>
    </row>
    <row r="104">
      <c r="A104" t="inlineStr">
        <is>
          <t>rvc_1KYA8D7DF1S0252W</t>
        </is>
      </c>
      <c r="B104">
        <f>Component!A173</f>
        <v/>
      </c>
      <c r="C104" t="inlineStr">
        <is>
          <t>BCU - Transport Process</t>
        </is>
      </c>
      <c r="E104" t="inlineStr">
        <is>
          <t>constant_reduction</t>
        </is>
      </c>
      <c r="F104" t="inlineStr">
        <is>
          <t>Constant CO₂ reduction</t>
        </is>
      </c>
      <c r="G104">
        <f>'GHG Entry'!A19</f>
        <v/>
      </c>
      <c r="H104" t="inlineStr">
        <is>
          <t>Biochar storage</t>
        </is>
      </c>
      <c r="I104" s="2">
        <f>Component!D173 * Datapoint!E610</f>
        <v/>
      </c>
      <c r="J104">
        <f>Component!E173 * Datapoint!E610</f>
        <v/>
      </c>
      <c r="K104">
        <f>Component!D173</f>
        <v/>
      </c>
      <c r="L104" t="inlineStr">
        <is>
          <t>partial</t>
        </is>
      </c>
      <c r="M104">
        <f>Datapoint!E610</f>
        <v/>
      </c>
      <c r="N104">
        <f>Datapoint!A610</f>
        <v/>
      </c>
      <c r="O104" t="inlineStr">
        <is>
          <t>adjustment</t>
        </is>
      </c>
      <c r="P104" s="3" t="n">
        <v>46179</v>
      </c>
      <c r="Q104" s="3" t="n">
        <v>46179</v>
      </c>
    </row>
    <row r="105">
      <c r="A105" t="inlineStr">
        <is>
          <t>rvc_1KYABT6RW1S0V2QP</t>
        </is>
      </c>
      <c r="B105">
        <f>Component!A184</f>
        <v/>
      </c>
      <c r="C105" t="inlineStr">
        <is>
          <t>Biochar Production Emission (A)</t>
        </is>
      </c>
      <c r="E105" t="inlineStr">
        <is>
          <t>mass_based_ci_emissions</t>
        </is>
      </c>
      <c r="F105" t="inlineStr">
        <is>
          <t>Mass-based CI emissions</t>
        </is>
      </c>
      <c r="G105">
        <f>'GHG Entry'!A19</f>
        <v/>
      </c>
      <c r="H105" t="inlineStr">
        <is>
          <t>Biochar production</t>
        </is>
      </c>
      <c r="I105" s="2">
        <f>Component!D184 * Datapoint!E640</f>
        <v/>
      </c>
      <c r="J105">
        <f>Component!E184 * Datapoint!E640</f>
        <v/>
      </c>
      <c r="K105">
        <f>Component!D184</f>
        <v/>
      </c>
      <c r="L105" t="inlineStr">
        <is>
          <t>partial</t>
        </is>
      </c>
      <c r="M105">
        <f>Datapoint!E640</f>
        <v/>
      </c>
      <c r="N105">
        <f>Datapoint!A640</f>
        <v/>
      </c>
      <c r="O105" t="inlineStr">
        <is>
          <t>activity</t>
        </is>
      </c>
      <c r="P105" s="3" t="n">
        <v>46179</v>
      </c>
      <c r="Q105" s="3" t="n">
        <v>46179</v>
      </c>
    </row>
    <row r="106">
      <c r="A106" t="inlineStr">
        <is>
          <t>rvc_1KXGK5BMT1S00K7G</t>
        </is>
      </c>
      <c r="B106">
        <f>Component!A95</f>
        <v/>
      </c>
      <c r="C106" t="inlineStr">
        <is>
          <t>CO Flatbed Truck Transport Embodied Emissions</t>
        </is>
      </c>
      <c r="D106" t="inlineStr">
        <is>
          <t xml:space="preserve"> </t>
        </is>
      </c>
      <c r="E106" t="inlineStr">
        <is>
          <t>distance_based_ci_emissions</t>
        </is>
      </c>
      <c r="F106" t="inlineStr">
        <is>
          <t>Distance-based emissions</t>
        </is>
      </c>
      <c r="G106">
        <f>'GHG Entry'!A20</f>
        <v/>
      </c>
      <c r="H106" t="inlineStr">
        <is>
          <t>Biochar transportation</t>
        </is>
      </c>
      <c r="I106" s="2">
        <f>Component!D95 * Datapoint!E353</f>
        <v/>
      </c>
      <c r="J106">
        <f>Component!E95 * Datapoint!E353</f>
        <v/>
      </c>
      <c r="K106">
        <f>Component!D95</f>
        <v/>
      </c>
      <c r="L106" t="inlineStr">
        <is>
          <t>partial</t>
        </is>
      </c>
      <c r="M106">
        <f>Datapoint!E353</f>
        <v/>
      </c>
      <c r="N106">
        <f>Datapoint!A353</f>
        <v/>
      </c>
      <c r="O106" t="inlineStr">
        <is>
          <t>activity</t>
        </is>
      </c>
    </row>
    <row r="107">
      <c r="A107" t="inlineStr">
        <is>
          <t>rvc_1KXGK5BMT1S0CYBV</t>
        </is>
      </c>
      <c r="B107">
        <f>Component!A96</f>
        <v/>
      </c>
      <c r="C107" t="inlineStr">
        <is>
          <t>CO Flatbed Truck Transport Process Emissions</t>
        </is>
      </c>
      <c r="D107" t="inlineStr">
        <is>
          <t xml:space="preserve"> </t>
        </is>
      </c>
      <c r="E107" t="inlineStr">
        <is>
          <t>transport</t>
        </is>
      </c>
      <c r="F107" t="inlineStr">
        <is>
          <t>Transport emissions</t>
        </is>
      </c>
      <c r="G107">
        <f>'GHG Entry'!A20</f>
        <v/>
      </c>
      <c r="H107" t="inlineStr">
        <is>
          <t>Biochar transportation</t>
        </is>
      </c>
      <c r="I107" s="2">
        <f>Component!D96 * Datapoint!E350</f>
        <v/>
      </c>
      <c r="J107">
        <f>Component!E96 * Datapoint!E350</f>
        <v/>
      </c>
      <c r="K107">
        <f>Component!D96</f>
        <v/>
      </c>
      <c r="L107" t="inlineStr">
        <is>
          <t>partial</t>
        </is>
      </c>
      <c r="M107">
        <f>Datapoint!E350</f>
        <v/>
      </c>
      <c r="N107">
        <f>Datapoint!A350</f>
        <v/>
      </c>
      <c r="O107" t="inlineStr">
        <is>
          <t>activity</t>
        </is>
      </c>
    </row>
    <row r="108">
      <c r="A108" t="inlineStr">
        <is>
          <t>rvc_1KXGK5BMT1S0S9G6</t>
        </is>
      </c>
      <c r="B108">
        <f>Component!A97</f>
        <v/>
      </c>
      <c r="C108" t="inlineStr">
        <is>
          <t>Biochar Spreading Emissions</t>
        </is>
      </c>
      <c r="D108" t="inlineStr">
        <is>
          <t xml:space="preserve"> </t>
        </is>
      </c>
      <c r="E108" t="inlineStr">
        <is>
          <t>mass_based_ci_emissions</t>
        </is>
      </c>
      <c r="F108" t="inlineStr">
        <is>
          <t>Mass-based CI emissions</t>
        </is>
      </c>
      <c r="G108">
        <f>'GHG Entry'!A20</f>
        <v/>
      </c>
      <c r="H108" t="inlineStr">
        <is>
          <t>Biochar storage</t>
        </is>
      </c>
      <c r="I108" s="2">
        <f>Component!D97 * Datapoint!E351</f>
        <v/>
      </c>
      <c r="J108">
        <f>Component!E97 * Datapoint!E351</f>
        <v/>
      </c>
      <c r="K108">
        <f>Component!D97</f>
        <v/>
      </c>
      <c r="L108" t="inlineStr">
        <is>
          <t>partial</t>
        </is>
      </c>
      <c r="M108">
        <f>Datapoint!E351</f>
        <v/>
      </c>
      <c r="N108">
        <f>Datapoint!A351</f>
        <v/>
      </c>
      <c r="O108" t="inlineStr">
        <is>
          <t>activity</t>
        </is>
      </c>
    </row>
    <row r="109">
      <c r="A109" t="inlineStr">
        <is>
          <t>rvc_1KXGK5BMT1S0VHTF</t>
        </is>
      </c>
      <c r="B109">
        <f>Component!A98</f>
        <v/>
      </c>
      <c r="C109" t="inlineStr">
        <is>
          <t>Biochar sequestration, 200 year durability</t>
        </is>
      </c>
      <c r="E109" t="inlineStr">
        <is>
          <t>biochar_sequestration_200_year_c_org</t>
        </is>
      </c>
      <c r="F109" t="inlineStr">
        <is>
          <t>Biochar sequestration, 200 year durability</t>
        </is>
      </c>
      <c r="G109">
        <f>'GHG Entry'!A20</f>
        <v/>
      </c>
      <c r="H109" t="inlineStr">
        <is>
          <t>Biochar storage</t>
        </is>
      </c>
      <c r="I109" s="2">
        <f>Component!D98 * Datapoint!E352</f>
        <v/>
      </c>
      <c r="J109">
        <f>Component!E98 * Datapoint!E352</f>
        <v/>
      </c>
      <c r="K109">
        <f>Component!D98</f>
        <v/>
      </c>
      <c r="L109" t="inlineStr">
        <is>
          <t>partial</t>
        </is>
      </c>
      <c r="M109">
        <f>Datapoint!E352</f>
        <v/>
      </c>
      <c r="N109">
        <f>Datapoint!A352</f>
        <v/>
      </c>
      <c r="O109" t="inlineStr">
        <is>
          <t>sequestration</t>
        </is>
      </c>
    </row>
    <row r="110">
      <c r="A110" t="inlineStr">
        <is>
          <t>rvc_1KXGKF6PX1S0RY04</t>
        </is>
      </c>
      <c r="B110">
        <f>Component!A99</f>
        <v/>
      </c>
      <c r="C110" t="inlineStr">
        <is>
          <t>BCU - Transport Process</t>
        </is>
      </c>
      <c r="E110" t="inlineStr">
        <is>
          <t>constant_reduction</t>
        </is>
      </c>
      <c r="F110" t="inlineStr">
        <is>
          <t>Constant CO₂ reduction</t>
        </is>
      </c>
      <c r="G110">
        <f>'GHG Entry'!A20</f>
        <v/>
      </c>
      <c r="H110" t="inlineStr">
        <is>
          <t>Biochar transportation</t>
        </is>
      </c>
      <c r="I110" s="2">
        <f>Component!D99 * Datapoint!E354</f>
        <v/>
      </c>
      <c r="J110">
        <f>Component!E99 * Datapoint!E354</f>
        <v/>
      </c>
      <c r="K110">
        <f>Component!D99</f>
        <v/>
      </c>
      <c r="L110" t="inlineStr">
        <is>
          <t>partial</t>
        </is>
      </c>
      <c r="M110">
        <f>Datapoint!E354</f>
        <v/>
      </c>
      <c r="N110">
        <f>Datapoint!A354</f>
        <v/>
      </c>
      <c r="O110" t="inlineStr">
        <is>
          <t>adjustment</t>
        </is>
      </c>
    </row>
    <row r="111">
      <c r="A111" t="inlineStr">
        <is>
          <t>rvc_1KYABTC7Y1S0VRRJ</t>
        </is>
      </c>
      <c r="B111">
        <f>Component!A185</f>
        <v/>
      </c>
      <c r="C111" t="inlineStr">
        <is>
          <t>Biochar Production Emission (A)</t>
        </is>
      </c>
      <c r="E111" t="inlineStr">
        <is>
          <t>mass_based_ci_emissions</t>
        </is>
      </c>
      <c r="F111" t="inlineStr">
        <is>
          <t>Mass-based CI emissions</t>
        </is>
      </c>
      <c r="G111">
        <f>'GHG Entry'!A20</f>
        <v/>
      </c>
      <c r="H111" t="inlineStr">
        <is>
          <t>Biochar production</t>
        </is>
      </c>
      <c r="I111" s="2">
        <f>Component!D185 * Datapoint!E643</f>
        <v/>
      </c>
      <c r="J111">
        <f>Component!E185 * Datapoint!E643</f>
        <v/>
      </c>
      <c r="K111">
        <f>Component!D185</f>
        <v/>
      </c>
      <c r="L111" t="inlineStr">
        <is>
          <t>partial</t>
        </is>
      </c>
      <c r="M111">
        <f>Datapoint!E643</f>
        <v/>
      </c>
      <c r="N111">
        <f>Datapoint!A643</f>
        <v/>
      </c>
      <c r="O111" t="inlineStr">
        <is>
          <t>activity</t>
        </is>
      </c>
      <c r="P111" s="3" t="n">
        <v>46179</v>
      </c>
      <c r="Q111" s="3" t="n">
        <v>46179</v>
      </c>
    </row>
    <row r="112">
      <c r="A112" t="inlineStr">
        <is>
          <t>rvc_1KXKGW8131S0BCKT</t>
        </is>
      </c>
      <c r="B112">
        <f>Component!A102</f>
        <v/>
      </c>
      <c r="C112" t="inlineStr">
        <is>
          <t>CO Flatbed Truck Transport Process Emissions</t>
        </is>
      </c>
      <c r="D112" t="inlineStr">
        <is>
          <t xml:space="preserve"> </t>
        </is>
      </c>
      <c r="E112" t="inlineStr">
        <is>
          <t>transport</t>
        </is>
      </c>
      <c r="F112" t="inlineStr">
        <is>
          <t>Transport emissions</t>
        </is>
      </c>
      <c r="G112">
        <f>'GHG Entry'!A21</f>
        <v/>
      </c>
      <c r="H112" t="inlineStr">
        <is>
          <t>Biochar transportation</t>
        </is>
      </c>
      <c r="I112" s="2">
        <f>Component!D102 * Datapoint!E376</f>
        <v/>
      </c>
      <c r="J112">
        <f>Component!E102 * Datapoint!E376</f>
        <v/>
      </c>
      <c r="K112">
        <f>Component!D102</f>
        <v/>
      </c>
      <c r="L112" t="inlineStr">
        <is>
          <t>partial</t>
        </is>
      </c>
      <c r="M112">
        <f>Datapoint!E376</f>
        <v/>
      </c>
      <c r="N112">
        <f>Datapoint!A376</f>
        <v/>
      </c>
      <c r="O112" t="inlineStr">
        <is>
          <t>activity</t>
        </is>
      </c>
    </row>
    <row r="113">
      <c r="A113" t="inlineStr">
        <is>
          <t>rvc_1KXKGW8131S0JPB4</t>
        </is>
      </c>
      <c r="B113">
        <f>Component!A103</f>
        <v/>
      </c>
      <c r="C113" t="inlineStr">
        <is>
          <t>BCU - Transport Process</t>
        </is>
      </c>
      <c r="D113" t="inlineStr">
        <is>
          <t xml:space="preserve"> </t>
        </is>
      </c>
      <c r="E113" t="inlineStr">
        <is>
          <t>constant_reduction</t>
        </is>
      </c>
      <c r="F113" t="inlineStr">
        <is>
          <t>Constant CO₂ reduction</t>
        </is>
      </c>
      <c r="G113">
        <f>'GHG Entry'!A21</f>
        <v/>
      </c>
      <c r="H113" t="inlineStr">
        <is>
          <t>Biochar storage</t>
        </is>
      </c>
      <c r="I113" s="2">
        <f>Component!D103 * Datapoint!E372</f>
        <v/>
      </c>
      <c r="J113">
        <f>Component!E103 * Datapoint!E372</f>
        <v/>
      </c>
      <c r="K113">
        <f>Component!D103</f>
        <v/>
      </c>
      <c r="L113" t="inlineStr">
        <is>
          <t>partial</t>
        </is>
      </c>
      <c r="M113">
        <f>Datapoint!E372</f>
        <v/>
      </c>
      <c r="N113">
        <f>Datapoint!A372</f>
        <v/>
      </c>
      <c r="O113" t="inlineStr">
        <is>
          <t>adjustment</t>
        </is>
      </c>
    </row>
    <row r="114">
      <c r="A114" t="inlineStr">
        <is>
          <t>rvc_1KXKGW8131S0QQR5</t>
        </is>
      </c>
      <c r="B114">
        <f>Component!A104</f>
        <v/>
      </c>
      <c r="C114" t="inlineStr">
        <is>
          <t>Biochar Spreading Emissions</t>
        </is>
      </c>
      <c r="D114" t="inlineStr">
        <is>
          <t xml:space="preserve"> </t>
        </is>
      </c>
      <c r="E114" t="inlineStr">
        <is>
          <t>mass_based_ci_emissions</t>
        </is>
      </c>
      <c r="F114" t="inlineStr">
        <is>
          <t>Mass-based CI emissions</t>
        </is>
      </c>
      <c r="G114">
        <f>'GHG Entry'!A21</f>
        <v/>
      </c>
      <c r="H114" t="inlineStr">
        <is>
          <t>Biochar storage</t>
        </is>
      </c>
      <c r="I114" s="2">
        <f>Component!D104 * Datapoint!E373</f>
        <v/>
      </c>
      <c r="J114">
        <f>Component!E104 * Datapoint!E373</f>
        <v/>
      </c>
      <c r="K114">
        <f>Component!D104</f>
        <v/>
      </c>
      <c r="L114" t="inlineStr">
        <is>
          <t>partial</t>
        </is>
      </c>
      <c r="M114">
        <f>Datapoint!E373</f>
        <v/>
      </c>
      <c r="N114">
        <f>Datapoint!A373</f>
        <v/>
      </c>
      <c r="O114" t="inlineStr">
        <is>
          <t>activity</t>
        </is>
      </c>
    </row>
    <row r="115">
      <c r="A115" t="inlineStr">
        <is>
          <t>rvc_1KXKGW8131S0T02E</t>
        </is>
      </c>
      <c r="B115">
        <f>Component!A105</f>
        <v/>
      </c>
      <c r="C115" t="inlineStr">
        <is>
          <t>Biochar sequestration, 200 year durability</t>
        </is>
      </c>
      <c r="E115" t="inlineStr">
        <is>
          <t>biochar_sequestration_200_year_c_org</t>
        </is>
      </c>
      <c r="F115" t="inlineStr">
        <is>
          <t>Biochar sequestration, 200 year durability</t>
        </is>
      </c>
      <c r="G115">
        <f>'GHG Entry'!A21</f>
        <v/>
      </c>
      <c r="H115" t="inlineStr">
        <is>
          <t>Biochar storage</t>
        </is>
      </c>
      <c r="I115" s="2">
        <f>Component!D105 * Datapoint!E374</f>
        <v/>
      </c>
      <c r="J115">
        <f>Component!E105 * Datapoint!E374</f>
        <v/>
      </c>
      <c r="K115">
        <f>Component!D105</f>
        <v/>
      </c>
      <c r="L115" t="inlineStr">
        <is>
          <t>partial</t>
        </is>
      </c>
      <c r="M115">
        <f>Datapoint!E374</f>
        <v/>
      </c>
      <c r="N115">
        <f>Datapoint!A374</f>
        <v/>
      </c>
      <c r="O115" t="inlineStr">
        <is>
          <t>sequestration</t>
        </is>
      </c>
    </row>
    <row r="116">
      <c r="A116" t="inlineStr">
        <is>
          <t>rvc_1KXKGW8131S0Z1FF</t>
        </is>
      </c>
      <c r="B116">
        <f>Component!A106</f>
        <v/>
      </c>
      <c r="C116" t="inlineStr">
        <is>
          <t>CO Flatbed Truck Transport Embodied Emissions</t>
        </is>
      </c>
      <c r="D116" t="inlineStr">
        <is>
          <t xml:space="preserve"> </t>
        </is>
      </c>
      <c r="E116" t="inlineStr">
        <is>
          <t>distance_based_ci_emissions</t>
        </is>
      </c>
      <c r="F116" t="inlineStr">
        <is>
          <t>Distance-based emissions</t>
        </is>
      </c>
      <c r="G116">
        <f>'GHG Entry'!A21</f>
        <v/>
      </c>
      <c r="H116" t="inlineStr">
        <is>
          <t>Biochar transportation</t>
        </is>
      </c>
      <c r="I116" s="2">
        <f>Component!D106 * Datapoint!E375</f>
        <v/>
      </c>
      <c r="J116">
        <f>Component!E106 * Datapoint!E375</f>
        <v/>
      </c>
      <c r="K116">
        <f>Component!D106</f>
        <v/>
      </c>
      <c r="L116" t="inlineStr">
        <is>
          <t>partial</t>
        </is>
      </c>
      <c r="M116">
        <f>Datapoint!E375</f>
        <v/>
      </c>
      <c r="N116">
        <f>Datapoint!A375</f>
        <v/>
      </c>
      <c r="O116" t="inlineStr">
        <is>
          <t>activity</t>
        </is>
      </c>
    </row>
    <row r="117">
      <c r="A117" t="inlineStr">
        <is>
          <t>rvc_1KXKGXJB61S0C1NE</t>
        </is>
      </c>
      <c r="B117">
        <f>Component!A107</f>
        <v/>
      </c>
      <c r="C117" t="inlineStr">
        <is>
          <t>Biochar Spreading Emissions</t>
        </is>
      </c>
      <c r="D117" t="inlineStr">
        <is>
          <t xml:space="preserve"> </t>
        </is>
      </c>
      <c r="E117" t="inlineStr">
        <is>
          <t>mass_based_ci_emissions</t>
        </is>
      </c>
      <c r="F117" t="inlineStr">
        <is>
          <t>Mass-based CI emissions</t>
        </is>
      </c>
      <c r="G117">
        <f>'GHG Entry'!A22</f>
        <v/>
      </c>
      <c r="H117" t="inlineStr">
        <is>
          <t>Biochar storage</t>
        </is>
      </c>
      <c r="I117" s="2">
        <f>Component!D107 * Datapoint!E389</f>
        <v/>
      </c>
      <c r="J117">
        <f>Component!E107 * Datapoint!E389</f>
        <v/>
      </c>
      <c r="K117">
        <f>Component!D107</f>
        <v/>
      </c>
      <c r="L117" t="inlineStr">
        <is>
          <t>partial</t>
        </is>
      </c>
      <c r="M117">
        <f>Datapoint!E389</f>
        <v/>
      </c>
      <c r="N117">
        <f>Datapoint!A389</f>
        <v/>
      </c>
      <c r="O117" t="inlineStr">
        <is>
          <t>activity</t>
        </is>
      </c>
    </row>
    <row r="118">
      <c r="A118" t="inlineStr">
        <is>
          <t>rvc_1KXKGXJB61S0E9ZQ</t>
        </is>
      </c>
      <c r="B118">
        <f>Component!A108</f>
        <v/>
      </c>
      <c r="C118" t="inlineStr">
        <is>
          <t>Biochar sequestration, 200 year durability</t>
        </is>
      </c>
      <c r="E118" t="inlineStr">
        <is>
          <t>biochar_sequestration_200_year_c_org</t>
        </is>
      </c>
      <c r="F118" t="inlineStr">
        <is>
          <t>Biochar sequestration, 200 year durability</t>
        </is>
      </c>
      <c r="G118">
        <f>'GHG Entry'!A22</f>
        <v/>
      </c>
      <c r="H118" t="inlineStr">
        <is>
          <t>Biochar storage</t>
        </is>
      </c>
      <c r="I118" s="2">
        <f>Component!D108 * Datapoint!E390</f>
        <v/>
      </c>
      <c r="J118">
        <f>Component!E108 * Datapoint!E390</f>
        <v/>
      </c>
      <c r="K118">
        <f>Component!D108</f>
        <v/>
      </c>
      <c r="L118" t="inlineStr">
        <is>
          <t>partial</t>
        </is>
      </c>
      <c r="M118">
        <f>Datapoint!E390</f>
        <v/>
      </c>
      <c r="N118">
        <f>Datapoint!A390</f>
        <v/>
      </c>
      <c r="O118" t="inlineStr">
        <is>
          <t>sequestration</t>
        </is>
      </c>
    </row>
    <row r="119">
      <c r="A119" t="inlineStr">
        <is>
          <t>rvc_1KXKGXJB61S0KBCR</t>
        </is>
      </c>
      <c r="B119">
        <f>Component!A109</f>
        <v/>
      </c>
      <c r="C119" t="inlineStr">
        <is>
          <t>CO Flatbed Truck Transport Embodied Emissions</t>
        </is>
      </c>
      <c r="D119" t="inlineStr">
        <is>
          <t xml:space="preserve"> </t>
        </is>
      </c>
      <c r="E119" t="inlineStr">
        <is>
          <t>distance_based_ci_emissions</t>
        </is>
      </c>
      <c r="F119" t="inlineStr">
        <is>
          <t>Distance-based emissions</t>
        </is>
      </c>
      <c r="G119">
        <f>'GHG Entry'!A22</f>
        <v/>
      </c>
      <c r="H119" t="inlineStr">
        <is>
          <t>Biochar transportation</t>
        </is>
      </c>
      <c r="I119" s="2">
        <f>Component!D109 * Datapoint!E391</f>
        <v/>
      </c>
      <c r="J119">
        <f>Component!E109 * Datapoint!E391</f>
        <v/>
      </c>
      <c r="K119">
        <f>Component!D109</f>
        <v/>
      </c>
      <c r="L119" t="inlineStr">
        <is>
          <t>partial</t>
        </is>
      </c>
      <c r="M119">
        <f>Datapoint!E391</f>
        <v/>
      </c>
      <c r="N119">
        <f>Datapoint!A391</f>
        <v/>
      </c>
      <c r="O119" t="inlineStr">
        <is>
          <t>activity</t>
        </is>
      </c>
    </row>
    <row r="120">
      <c r="A120" t="inlineStr">
        <is>
          <t>rvc_1KXKGXJB61S0ZPH3</t>
        </is>
      </c>
      <c r="B120">
        <f>Component!A110</f>
        <v/>
      </c>
      <c r="C120" t="inlineStr">
        <is>
          <t>CO Flatbed Truck Transport Process Emissions</t>
        </is>
      </c>
      <c r="D120" t="inlineStr">
        <is>
          <t xml:space="preserve"> </t>
        </is>
      </c>
      <c r="E120" t="inlineStr">
        <is>
          <t>transport</t>
        </is>
      </c>
      <c r="F120" t="inlineStr">
        <is>
          <t>Transport emissions</t>
        </is>
      </c>
      <c r="G120">
        <f>'GHG Entry'!A22</f>
        <v/>
      </c>
      <c r="H120" t="inlineStr">
        <is>
          <t>Biochar transportation</t>
        </is>
      </c>
      <c r="I120" s="2">
        <f>Component!D110 * Datapoint!E392</f>
        <v/>
      </c>
      <c r="J120">
        <f>Component!E110 * Datapoint!E392</f>
        <v/>
      </c>
      <c r="K120">
        <f>Component!D110</f>
        <v/>
      </c>
      <c r="L120" t="inlineStr">
        <is>
          <t>partial</t>
        </is>
      </c>
      <c r="M120">
        <f>Datapoint!E392</f>
        <v/>
      </c>
      <c r="N120">
        <f>Datapoint!A392</f>
        <v/>
      </c>
      <c r="O120" t="inlineStr">
        <is>
          <t>activity</t>
        </is>
      </c>
    </row>
    <row r="121">
      <c r="A121" t="inlineStr">
        <is>
          <t>rvc_1KYA8CF0N1S0GE0P</t>
        </is>
      </c>
      <c r="B121">
        <f>Component!A169</f>
        <v/>
      </c>
      <c r="C121" t="inlineStr">
        <is>
          <t>BCU - Transport Process</t>
        </is>
      </c>
      <c r="E121" t="inlineStr">
        <is>
          <t>constant_reduction</t>
        </is>
      </c>
      <c r="F121" t="inlineStr">
        <is>
          <t>Constant CO₂ reduction</t>
        </is>
      </c>
      <c r="G121">
        <f>'GHG Entry'!A22</f>
        <v/>
      </c>
      <c r="H121" t="inlineStr">
        <is>
          <t>Biochar storage</t>
        </is>
      </c>
      <c r="I121" s="2">
        <f>Component!D169 * Datapoint!E602</f>
        <v/>
      </c>
      <c r="J121">
        <f>Component!E169 * Datapoint!E602</f>
        <v/>
      </c>
      <c r="K121">
        <f>Component!D169</f>
        <v/>
      </c>
      <c r="L121" t="inlineStr">
        <is>
          <t>partial</t>
        </is>
      </c>
      <c r="M121">
        <f>Datapoint!E602</f>
        <v/>
      </c>
      <c r="N121">
        <f>Datapoint!A602</f>
        <v/>
      </c>
      <c r="O121" t="inlineStr">
        <is>
          <t>adjustment</t>
        </is>
      </c>
      <c r="P121" s="3" t="n">
        <v>46179</v>
      </c>
      <c r="Q121" s="3" t="n">
        <v>46179</v>
      </c>
    </row>
    <row r="122">
      <c r="A122" t="inlineStr">
        <is>
          <t>rvc_1KXKP77Q21S01R0M</t>
        </is>
      </c>
      <c r="B122">
        <f>Component!A111</f>
        <v/>
      </c>
      <c r="C122" t="inlineStr">
        <is>
          <t>Biochar Production Emission (A)</t>
        </is>
      </c>
      <c r="D122" t="inlineStr">
        <is>
          <t xml:space="preserve"> </t>
        </is>
      </c>
      <c r="E122" t="inlineStr">
        <is>
          <t>mass_based_ci_emissions</t>
        </is>
      </c>
      <c r="F122" t="inlineStr">
        <is>
          <t>Mass-based CI emissions</t>
        </is>
      </c>
      <c r="G122">
        <f>'GHG Entry'!A23</f>
        <v/>
      </c>
      <c r="H122" t="inlineStr">
        <is>
          <t>Biochar production</t>
        </is>
      </c>
      <c r="I122" s="2">
        <f>Component!D111 * Datapoint!E411</f>
        <v/>
      </c>
      <c r="J122">
        <f>Component!E111 * Datapoint!E411</f>
        <v/>
      </c>
      <c r="K122">
        <f>Component!D111</f>
        <v/>
      </c>
      <c r="L122" t="inlineStr">
        <is>
          <t>partial</t>
        </is>
      </c>
      <c r="M122">
        <f>Datapoint!E411</f>
        <v/>
      </c>
      <c r="N122">
        <f>Datapoint!A411</f>
        <v/>
      </c>
      <c r="O122" t="inlineStr">
        <is>
          <t>activity</t>
        </is>
      </c>
    </row>
    <row r="123">
      <c r="A123" t="inlineStr">
        <is>
          <t>rvc_1KXKP77Q21S06SDN</t>
        </is>
      </c>
      <c r="B123">
        <f>Component!A112</f>
        <v/>
      </c>
      <c r="C123" t="inlineStr">
        <is>
          <t>CO Flatbed Truck Transport Process Emissions</t>
        </is>
      </c>
      <c r="D123" t="inlineStr">
        <is>
          <t xml:space="preserve"> </t>
        </is>
      </c>
      <c r="E123" t="inlineStr">
        <is>
          <t>transport</t>
        </is>
      </c>
      <c r="F123" t="inlineStr">
        <is>
          <t>Transport emissions</t>
        </is>
      </c>
      <c r="G123">
        <f>'GHG Entry'!A23</f>
        <v/>
      </c>
      <c r="H123" t="inlineStr">
        <is>
          <t>Biochar transportation</t>
        </is>
      </c>
      <c r="I123" s="2">
        <f>Component!D112 * Datapoint!E412</f>
        <v/>
      </c>
      <c r="J123">
        <f>Component!E112 * Datapoint!E412</f>
        <v/>
      </c>
      <c r="K123">
        <f>Component!D112</f>
        <v/>
      </c>
      <c r="L123" t="inlineStr">
        <is>
          <t>partial</t>
        </is>
      </c>
      <c r="M123">
        <f>Datapoint!E412</f>
        <v/>
      </c>
      <c r="N123">
        <f>Datapoint!A412</f>
        <v/>
      </c>
      <c r="O123" t="inlineStr">
        <is>
          <t>activity</t>
        </is>
      </c>
    </row>
    <row r="124">
      <c r="A124" t="inlineStr">
        <is>
          <t>rvc_1KXKP77Q21S0K4J0</t>
        </is>
      </c>
      <c r="B124">
        <f>Component!A113</f>
        <v/>
      </c>
      <c r="C124" t="inlineStr">
        <is>
          <t>Biochar Spreading Emissions</t>
        </is>
      </c>
      <c r="D124" t="inlineStr">
        <is>
          <t xml:space="preserve"> </t>
        </is>
      </c>
      <c r="E124" t="inlineStr">
        <is>
          <t>mass_based_ci_emissions</t>
        </is>
      </c>
      <c r="F124" t="inlineStr">
        <is>
          <t>Mass-based CI emissions</t>
        </is>
      </c>
      <c r="G124">
        <f>'GHG Entry'!A23</f>
        <v/>
      </c>
      <c r="H124" t="inlineStr">
        <is>
          <t>Biochar storage</t>
        </is>
      </c>
      <c r="I124" s="2">
        <f>Component!D113 * Datapoint!E408</f>
        <v/>
      </c>
      <c r="J124">
        <f>Component!E113 * Datapoint!E408</f>
        <v/>
      </c>
      <c r="K124">
        <f>Component!D113</f>
        <v/>
      </c>
      <c r="L124" t="inlineStr">
        <is>
          <t>partial</t>
        </is>
      </c>
      <c r="M124">
        <f>Datapoint!E408</f>
        <v/>
      </c>
      <c r="N124">
        <f>Datapoint!A408</f>
        <v/>
      </c>
      <c r="O124" t="inlineStr">
        <is>
          <t>activity</t>
        </is>
      </c>
    </row>
    <row r="125">
      <c r="A125" t="inlineStr">
        <is>
          <t>rvc_1KXKP77Q21S0NCW9</t>
        </is>
      </c>
      <c r="B125">
        <f>Component!A114</f>
        <v/>
      </c>
      <c r="C125" t="inlineStr">
        <is>
          <t>Biochar sequestration, 200 year durability</t>
        </is>
      </c>
      <c r="E125" t="inlineStr">
        <is>
          <t>biochar_sequestration_200_year_c_org</t>
        </is>
      </c>
      <c r="F125" t="inlineStr">
        <is>
          <t>Biochar sequestration, 200 year durability</t>
        </is>
      </c>
      <c r="G125">
        <f>'GHG Entry'!A23</f>
        <v/>
      </c>
      <c r="H125" t="inlineStr">
        <is>
          <t>Biochar storage</t>
        </is>
      </c>
      <c r="I125" s="2">
        <f>Component!D114 * Datapoint!E409</f>
        <v/>
      </c>
      <c r="J125">
        <f>Component!E114 * Datapoint!E409</f>
        <v/>
      </c>
      <c r="K125">
        <f>Component!D114</f>
        <v/>
      </c>
      <c r="L125" t="inlineStr">
        <is>
          <t>partial</t>
        </is>
      </c>
      <c r="M125">
        <f>Datapoint!E409</f>
        <v/>
      </c>
      <c r="N125">
        <f>Datapoint!A409</f>
        <v/>
      </c>
      <c r="O125" t="inlineStr">
        <is>
          <t>sequestration</t>
        </is>
      </c>
    </row>
    <row r="126">
      <c r="A126" t="inlineStr">
        <is>
          <t>rvc_1KXKP77Q21S0TE9A</t>
        </is>
      </c>
      <c r="B126">
        <f>Component!A115</f>
        <v/>
      </c>
      <c r="C126" t="inlineStr">
        <is>
          <t>CO Flatbed Truck Transport Embodied Emissions</t>
        </is>
      </c>
      <c r="D126" t="inlineStr">
        <is>
          <t xml:space="preserve"> </t>
        </is>
      </c>
      <c r="E126" t="inlineStr">
        <is>
          <t>distance_based_ci_emissions</t>
        </is>
      </c>
      <c r="F126" t="inlineStr">
        <is>
          <t>Distance-based emissions</t>
        </is>
      </c>
      <c r="G126">
        <f>'GHG Entry'!A23</f>
        <v/>
      </c>
      <c r="H126" t="inlineStr">
        <is>
          <t>Biochar transportation</t>
        </is>
      </c>
      <c r="I126" s="2">
        <f>Component!D115 * Datapoint!E410</f>
        <v/>
      </c>
      <c r="J126">
        <f>Component!E115 * Datapoint!E410</f>
        <v/>
      </c>
      <c r="K126">
        <f>Component!D115</f>
        <v/>
      </c>
      <c r="L126" t="inlineStr">
        <is>
          <t>partial</t>
        </is>
      </c>
      <c r="M126">
        <f>Datapoint!E410</f>
        <v/>
      </c>
      <c r="N126">
        <f>Datapoint!A410</f>
        <v/>
      </c>
      <c r="O126" t="inlineStr">
        <is>
          <t>activity</t>
        </is>
      </c>
    </row>
    <row r="127">
      <c r="A127" t="inlineStr">
        <is>
          <t>rvc_1KYA8C7131S0A5TA</t>
        </is>
      </c>
      <c r="B127">
        <f>Component!A168</f>
        <v/>
      </c>
      <c r="C127" t="inlineStr">
        <is>
          <t>BCU - Transport Process</t>
        </is>
      </c>
      <c r="E127" t="inlineStr">
        <is>
          <t>constant_reduction</t>
        </is>
      </c>
      <c r="F127" t="inlineStr">
        <is>
          <t>Constant CO₂ reduction</t>
        </is>
      </c>
      <c r="G127">
        <f>'GHG Entry'!A23</f>
        <v/>
      </c>
      <c r="H127" t="inlineStr">
        <is>
          <t>Biochar storage</t>
        </is>
      </c>
      <c r="I127" s="2">
        <f>Component!D168 * Datapoint!E600</f>
        <v/>
      </c>
      <c r="J127">
        <f>Component!E168 * Datapoint!E600</f>
        <v/>
      </c>
      <c r="K127">
        <f>Component!D168</f>
        <v/>
      </c>
      <c r="L127" t="inlineStr">
        <is>
          <t>partial</t>
        </is>
      </c>
      <c r="M127">
        <f>Datapoint!E600</f>
        <v/>
      </c>
      <c r="N127">
        <f>Datapoint!A600</f>
        <v/>
      </c>
      <c r="O127" t="inlineStr">
        <is>
          <t>adjustment</t>
        </is>
      </c>
      <c r="P127" s="3" t="n">
        <v>46179</v>
      </c>
      <c r="Q127" s="3" t="n">
        <v>46179</v>
      </c>
    </row>
    <row r="128">
      <c r="A128" t="inlineStr">
        <is>
          <t>rvc_1KY02PC6H1S08X5B</t>
        </is>
      </c>
      <c r="B128">
        <f>Component!A116</f>
        <v/>
      </c>
      <c r="C128" t="inlineStr">
        <is>
          <t>CO Flatbed Truck Transport Process Emissions</t>
        </is>
      </c>
      <c r="D128" t="inlineStr">
        <is>
          <t xml:space="preserve"> </t>
        </is>
      </c>
      <c r="E128" t="inlineStr">
        <is>
          <t>transport</t>
        </is>
      </c>
      <c r="F128" t="inlineStr">
        <is>
          <t>Transport emissions</t>
        </is>
      </c>
      <c r="G128">
        <f>'GHG Entry'!A24</f>
        <v/>
      </c>
      <c r="H128" t="inlineStr">
        <is>
          <t>Biochar transportation</t>
        </is>
      </c>
      <c r="I128" s="2">
        <f>Component!D116 * Datapoint!E428</f>
        <v/>
      </c>
      <c r="J128">
        <f>Component!E116 * Datapoint!E428</f>
        <v/>
      </c>
      <c r="K128">
        <f>Component!D116</f>
        <v/>
      </c>
      <c r="L128" t="inlineStr">
        <is>
          <t>partial</t>
        </is>
      </c>
      <c r="M128">
        <f>Datapoint!E428</f>
        <v/>
      </c>
      <c r="N128">
        <f>Datapoint!A428</f>
        <v/>
      </c>
      <c r="O128" t="inlineStr">
        <is>
          <t>activity</t>
        </is>
      </c>
    </row>
    <row r="129">
      <c r="A129" t="inlineStr">
        <is>
          <t>rvc_1KY02PC6H1S0N89P</t>
        </is>
      </c>
      <c r="B129">
        <f>Component!A117</f>
        <v/>
      </c>
      <c r="C129" t="inlineStr">
        <is>
          <t>Biochar Spreading Emissions</t>
        </is>
      </c>
      <c r="D129" t="inlineStr">
        <is>
          <t xml:space="preserve"> </t>
        </is>
      </c>
      <c r="E129" t="inlineStr">
        <is>
          <t>mass_based_ci_emissions</t>
        </is>
      </c>
      <c r="F129" t="inlineStr">
        <is>
          <t>Mass-based CI emissions</t>
        </is>
      </c>
      <c r="G129">
        <f>'GHG Entry'!A24</f>
        <v/>
      </c>
      <c r="H129" t="inlineStr">
        <is>
          <t>Biochar storage</t>
        </is>
      </c>
      <c r="I129" s="2">
        <f>Component!D117 * Datapoint!E425</f>
        <v/>
      </c>
      <c r="J129">
        <f>Component!E117 * Datapoint!E425</f>
        <v/>
      </c>
      <c r="K129">
        <f>Component!D117</f>
        <v/>
      </c>
      <c r="L129" t="inlineStr">
        <is>
          <t>partial</t>
        </is>
      </c>
      <c r="M129">
        <f>Datapoint!E425</f>
        <v/>
      </c>
      <c r="N129">
        <f>Datapoint!A425</f>
        <v/>
      </c>
      <c r="O129" t="inlineStr">
        <is>
          <t>activity</t>
        </is>
      </c>
    </row>
    <row r="130">
      <c r="A130" t="inlineStr">
        <is>
          <t>rvc_1KY02PC6H1S0QGKZ</t>
        </is>
      </c>
      <c r="B130">
        <f>Component!A118</f>
        <v/>
      </c>
      <c r="C130" t="inlineStr">
        <is>
          <t>Biochar sequestration, 200 year durability</t>
        </is>
      </c>
      <c r="E130" t="inlineStr">
        <is>
          <t>biochar_sequestration_200_year_c_org</t>
        </is>
      </c>
      <c r="F130" t="inlineStr">
        <is>
          <t>Biochar sequestration, 200 year durability</t>
        </is>
      </c>
      <c r="G130">
        <f>'GHG Entry'!A24</f>
        <v/>
      </c>
      <c r="H130" t="inlineStr">
        <is>
          <t>Biochar storage</t>
        </is>
      </c>
      <c r="I130" s="2">
        <f>Component!D118 * Datapoint!E426</f>
        <v/>
      </c>
      <c r="J130">
        <f>Component!E118 * Datapoint!E426</f>
        <v/>
      </c>
      <c r="K130">
        <f>Component!D118</f>
        <v/>
      </c>
      <c r="L130" t="inlineStr">
        <is>
          <t>partial</t>
        </is>
      </c>
      <c r="M130">
        <f>Datapoint!E426</f>
        <v/>
      </c>
      <c r="N130">
        <f>Datapoint!A426</f>
        <v/>
      </c>
      <c r="O130" t="inlineStr">
        <is>
          <t>sequestration</t>
        </is>
      </c>
    </row>
    <row r="131">
      <c r="A131" t="inlineStr">
        <is>
          <t>rvc_1KY02PC6H1S0WJ10</t>
        </is>
      </c>
      <c r="B131">
        <f>Component!A119</f>
        <v/>
      </c>
      <c r="C131" t="inlineStr">
        <is>
          <t>CO Flatbed Truck Transport Embodied Emissions</t>
        </is>
      </c>
      <c r="D131" t="inlineStr">
        <is>
          <t xml:space="preserve"> </t>
        </is>
      </c>
      <c r="E131" t="inlineStr">
        <is>
          <t>distance_based_ci_emissions</t>
        </is>
      </c>
      <c r="F131" t="inlineStr">
        <is>
          <t>Distance-based emissions</t>
        </is>
      </c>
      <c r="G131">
        <f>'GHG Entry'!A24</f>
        <v/>
      </c>
      <c r="H131" t="inlineStr">
        <is>
          <t>Biochar transportation</t>
        </is>
      </c>
      <c r="I131" s="2">
        <f>Component!D119 * Datapoint!E427</f>
        <v/>
      </c>
      <c r="J131">
        <f>Component!E119 * Datapoint!E427</f>
        <v/>
      </c>
      <c r="K131">
        <f>Component!D119</f>
        <v/>
      </c>
      <c r="L131" t="inlineStr">
        <is>
          <t>partial</t>
        </is>
      </c>
      <c r="M131">
        <f>Datapoint!E427</f>
        <v/>
      </c>
      <c r="N131">
        <f>Datapoint!A427</f>
        <v/>
      </c>
      <c r="O131" t="inlineStr">
        <is>
          <t>activity</t>
        </is>
      </c>
    </row>
    <row r="132">
      <c r="A132" t="inlineStr">
        <is>
          <t>rvc_1KYA88P3H1S0G4F4</t>
        </is>
      </c>
      <c r="B132">
        <f>Component!A158</f>
        <v/>
      </c>
      <c r="C132" t="inlineStr">
        <is>
          <t>BCU - Transport Process</t>
        </is>
      </c>
      <c r="E132" t="inlineStr">
        <is>
          <t>constant_reduction</t>
        </is>
      </c>
      <c r="F132" t="inlineStr">
        <is>
          <t>Constant CO₂ reduction</t>
        </is>
      </c>
      <c r="G132">
        <f>'GHG Entry'!A24</f>
        <v/>
      </c>
      <c r="H132" t="inlineStr">
        <is>
          <t>Biochar storage</t>
        </is>
      </c>
      <c r="I132" s="2">
        <f>Component!D158 * Datapoint!E580</f>
        <v/>
      </c>
      <c r="J132">
        <f>Component!E158 * Datapoint!E580</f>
        <v/>
      </c>
      <c r="K132">
        <f>Component!D158</f>
        <v/>
      </c>
      <c r="L132" t="inlineStr">
        <is>
          <t>partial</t>
        </is>
      </c>
      <c r="M132">
        <f>Datapoint!E580</f>
        <v/>
      </c>
      <c r="N132">
        <f>Datapoint!A580</f>
        <v/>
      </c>
      <c r="O132" t="inlineStr">
        <is>
          <t>adjustment</t>
        </is>
      </c>
      <c r="P132" s="3" t="n">
        <v>46042</v>
      </c>
      <c r="Q132" s="3" t="n">
        <v>46042</v>
      </c>
    </row>
    <row r="133">
      <c r="A133" t="inlineStr">
        <is>
          <t>rvc_1KYABR8761S0D78E</t>
        </is>
      </c>
      <c r="B133">
        <f>Component!A177</f>
        <v/>
      </c>
      <c r="C133" t="inlineStr">
        <is>
          <t>Biochar Production Emission (A)</t>
        </is>
      </c>
      <c r="E133" t="inlineStr">
        <is>
          <t>mass_based_ci_emissions</t>
        </is>
      </c>
      <c r="F133" t="inlineStr">
        <is>
          <t>Mass-based CI emissions</t>
        </is>
      </c>
      <c r="G133">
        <f>'GHG Entry'!A24</f>
        <v/>
      </c>
      <c r="H133" t="inlineStr">
        <is>
          <t>Biochar production</t>
        </is>
      </c>
      <c r="I133" s="2">
        <f>Component!D177 * Datapoint!E619</f>
        <v/>
      </c>
      <c r="J133">
        <f>Component!E177 * Datapoint!E619</f>
        <v/>
      </c>
      <c r="K133">
        <f>Component!D177</f>
        <v/>
      </c>
      <c r="L133" t="inlineStr">
        <is>
          <t>partial</t>
        </is>
      </c>
      <c r="M133">
        <f>Datapoint!E619</f>
        <v/>
      </c>
      <c r="N133">
        <f>Datapoint!A619</f>
        <v/>
      </c>
      <c r="O133" t="inlineStr">
        <is>
          <t>activity</t>
        </is>
      </c>
      <c r="P133" s="3" t="n">
        <v>46042</v>
      </c>
      <c r="Q133" s="3" t="n">
        <v>46042</v>
      </c>
    </row>
    <row r="134">
      <c r="A134" t="inlineStr">
        <is>
          <t>rvc_1KYN3YECW1S0YWD1</t>
        </is>
      </c>
      <c r="B134">
        <f>Component!A186</f>
        <v/>
      </c>
      <c r="C134" t="inlineStr">
        <is>
          <t>Over Allocated Emissions</t>
        </is>
      </c>
      <c r="E134" t="inlineStr">
        <is>
          <t>constant_activity_emissions</t>
        </is>
      </c>
      <c r="F134" t="inlineStr">
        <is>
          <t>Constant emissions</t>
        </is>
      </c>
      <c r="G134">
        <f>'GHG Entry'!A24</f>
        <v/>
      </c>
      <c r="H134" t="inlineStr">
        <is>
          <t>Biochar production</t>
        </is>
      </c>
      <c r="I134" s="2">
        <f>Component!D186 * Datapoint!E645</f>
        <v/>
      </c>
      <c r="J134">
        <f>Component!E186 * Datapoint!E645</f>
        <v/>
      </c>
      <c r="K134">
        <f>Component!D186</f>
        <v/>
      </c>
      <c r="L134" t="inlineStr">
        <is>
          <t>partial</t>
        </is>
      </c>
      <c r="M134">
        <f>Datapoint!E645</f>
        <v/>
      </c>
      <c r="N134">
        <f>Datapoint!A645</f>
        <v/>
      </c>
      <c r="O134" t="inlineStr">
        <is>
          <t>activity</t>
        </is>
      </c>
    </row>
    <row r="135">
      <c r="A135" t="inlineStr">
        <is>
          <t>rvc_1KY02PYB11S0ZFCX</t>
        </is>
      </c>
      <c r="B135">
        <f>Component!A120</f>
        <v/>
      </c>
      <c r="C135" t="inlineStr">
        <is>
          <t>Biochar sequestration, 200 year durability</t>
        </is>
      </c>
      <c r="E135" t="inlineStr">
        <is>
          <t>biochar_sequestration_200_year_c_org</t>
        </is>
      </c>
      <c r="F135" t="inlineStr">
        <is>
          <t>Biochar sequestration, 200 year durability</t>
        </is>
      </c>
      <c r="G135">
        <f>'GHG Entry'!A25</f>
        <v/>
      </c>
      <c r="H135" t="inlineStr">
        <is>
          <t>Biochar storage</t>
        </is>
      </c>
      <c r="I135" s="2">
        <f>Component!D120 * Datapoint!E443</f>
        <v/>
      </c>
      <c r="J135">
        <f>Component!E120 * Datapoint!E443</f>
        <v/>
      </c>
      <c r="K135">
        <f>Component!D120</f>
        <v/>
      </c>
      <c r="L135" t="inlineStr">
        <is>
          <t>partial</t>
        </is>
      </c>
      <c r="M135">
        <f>Datapoint!E443</f>
        <v/>
      </c>
      <c r="N135">
        <f>Datapoint!A443</f>
        <v/>
      </c>
      <c r="O135" t="inlineStr">
        <is>
          <t>sequestration</t>
        </is>
      </c>
    </row>
    <row r="136">
      <c r="A136" t="inlineStr">
        <is>
          <t>rvc_1KY02PYB11S04GSY</t>
        </is>
      </c>
      <c r="B136">
        <f>Component!A121</f>
        <v/>
      </c>
      <c r="C136" t="inlineStr">
        <is>
          <t>CO Flatbed Truck Transport Embodied Emissions</t>
        </is>
      </c>
      <c r="D136" t="inlineStr">
        <is>
          <t xml:space="preserve"> </t>
        </is>
      </c>
      <c r="E136" t="inlineStr">
        <is>
          <t>distance_based_ci_emissions</t>
        </is>
      </c>
      <c r="F136" t="inlineStr">
        <is>
          <t>Distance-based emissions</t>
        </is>
      </c>
      <c r="G136">
        <f>'GHG Entry'!A25</f>
        <v/>
      </c>
      <c r="H136" t="inlineStr">
        <is>
          <t>Biochar transportation</t>
        </is>
      </c>
      <c r="I136" s="2">
        <f>Component!D121 * Datapoint!E444</f>
        <v/>
      </c>
      <c r="J136">
        <f>Component!E121 * Datapoint!E444</f>
        <v/>
      </c>
      <c r="K136">
        <f>Component!D121</f>
        <v/>
      </c>
      <c r="L136" t="inlineStr">
        <is>
          <t>partial</t>
        </is>
      </c>
      <c r="M136">
        <f>Datapoint!E444</f>
        <v/>
      </c>
      <c r="N136">
        <f>Datapoint!A444</f>
        <v/>
      </c>
      <c r="O136" t="inlineStr">
        <is>
          <t>activity</t>
        </is>
      </c>
    </row>
    <row r="137">
      <c r="A137" t="inlineStr">
        <is>
          <t>rvc_1KY02PYB11S0GVY9</t>
        </is>
      </c>
      <c r="B137">
        <f>Component!A122</f>
        <v/>
      </c>
      <c r="C137" t="inlineStr">
        <is>
          <t>CO Flatbed Truck Transport Process Emissions</t>
        </is>
      </c>
      <c r="D137" t="inlineStr">
        <is>
          <t xml:space="preserve"> </t>
        </is>
      </c>
      <c r="E137" t="inlineStr">
        <is>
          <t>transport</t>
        </is>
      </c>
      <c r="F137" t="inlineStr">
        <is>
          <t>Transport emissions</t>
        </is>
      </c>
      <c r="G137">
        <f>'GHG Entry'!A25</f>
        <v/>
      </c>
      <c r="H137" t="inlineStr">
        <is>
          <t>Biochar transportation</t>
        </is>
      </c>
      <c r="I137" s="2">
        <f>Component!D122 * Datapoint!E441</f>
        <v/>
      </c>
      <c r="J137">
        <f>Component!E122 * Datapoint!E441</f>
        <v/>
      </c>
      <c r="K137">
        <f>Component!D122</f>
        <v/>
      </c>
      <c r="L137" t="inlineStr">
        <is>
          <t>partial</t>
        </is>
      </c>
      <c r="M137">
        <f>Datapoint!E441</f>
        <v/>
      </c>
      <c r="N137">
        <f>Datapoint!A441</f>
        <v/>
      </c>
      <c r="O137" t="inlineStr">
        <is>
          <t>activity</t>
        </is>
      </c>
    </row>
    <row r="138">
      <c r="A138" t="inlineStr">
        <is>
          <t>rvc_1KY02PYB11S0X72M</t>
        </is>
      </c>
      <c r="B138">
        <f>Component!A123</f>
        <v/>
      </c>
      <c r="C138" t="inlineStr">
        <is>
          <t>Biochar Spreading Emissions</t>
        </is>
      </c>
      <c r="D138" t="inlineStr">
        <is>
          <t xml:space="preserve"> </t>
        </is>
      </c>
      <c r="E138" t="inlineStr">
        <is>
          <t>mass_based_ci_emissions</t>
        </is>
      </c>
      <c r="F138" t="inlineStr">
        <is>
          <t>Mass-based CI emissions</t>
        </is>
      </c>
      <c r="G138">
        <f>'GHG Entry'!A25</f>
        <v/>
      </c>
      <c r="H138" t="inlineStr">
        <is>
          <t>Biochar storage</t>
        </is>
      </c>
      <c r="I138" s="2">
        <f>Component!D123 * Datapoint!E442</f>
        <v/>
      </c>
      <c r="J138">
        <f>Component!E123 * Datapoint!E442</f>
        <v/>
      </c>
      <c r="K138">
        <f>Component!D123</f>
        <v/>
      </c>
      <c r="L138" t="inlineStr">
        <is>
          <t>partial</t>
        </is>
      </c>
      <c r="M138">
        <f>Datapoint!E442</f>
        <v/>
      </c>
      <c r="N138">
        <f>Datapoint!A442</f>
        <v/>
      </c>
      <c r="O138" t="inlineStr">
        <is>
          <t>activity</t>
        </is>
      </c>
    </row>
    <row r="139">
      <c r="A139" t="inlineStr">
        <is>
          <t>rvc_1KYA8ACRW1S02QSV</t>
        </is>
      </c>
      <c r="B139">
        <f>Component!A159</f>
        <v/>
      </c>
      <c r="C139" t="inlineStr">
        <is>
          <t>BCU - Transport Process</t>
        </is>
      </c>
      <c r="E139" t="inlineStr">
        <is>
          <t>constant_reduction</t>
        </is>
      </c>
      <c r="F139" t="inlineStr">
        <is>
          <t>Constant CO₂ reduction</t>
        </is>
      </c>
      <c r="G139">
        <f>'GHG Entry'!A25</f>
        <v/>
      </c>
      <c r="H139" t="inlineStr">
        <is>
          <t>Biochar storage</t>
        </is>
      </c>
      <c r="I139" s="2">
        <f>Component!D159 * Datapoint!E582</f>
        <v/>
      </c>
      <c r="J139">
        <f>Component!E159 * Datapoint!E582</f>
        <v/>
      </c>
      <c r="K139">
        <f>Component!D159</f>
        <v/>
      </c>
      <c r="L139" t="inlineStr">
        <is>
          <t>partial</t>
        </is>
      </c>
      <c r="M139">
        <f>Datapoint!E582</f>
        <v/>
      </c>
      <c r="N139">
        <f>Datapoint!A582</f>
        <v/>
      </c>
      <c r="O139" t="inlineStr">
        <is>
          <t>adjustment</t>
        </is>
      </c>
      <c r="P139" s="3" t="n">
        <v>46042</v>
      </c>
      <c r="Q139" s="3" t="n">
        <v>46042</v>
      </c>
    </row>
    <row r="140">
      <c r="A140" t="inlineStr">
        <is>
          <t>rvc_1KYABS5E81S0TYEH</t>
        </is>
      </c>
      <c r="B140">
        <f>Component!A178</f>
        <v/>
      </c>
      <c r="C140" t="inlineStr">
        <is>
          <t>Biochar Production Emission (A)</t>
        </is>
      </c>
      <c r="E140" t="inlineStr">
        <is>
          <t>mass_based_ci_emissions</t>
        </is>
      </c>
      <c r="F140" t="inlineStr">
        <is>
          <t>Mass-based CI emissions</t>
        </is>
      </c>
      <c r="G140">
        <f>'GHG Entry'!A25</f>
        <v/>
      </c>
      <c r="H140" t="inlineStr">
        <is>
          <t>Biochar production</t>
        </is>
      </c>
      <c r="I140" s="2">
        <f>Component!D178 * Datapoint!E622</f>
        <v/>
      </c>
      <c r="J140">
        <f>Component!E178 * Datapoint!E622</f>
        <v/>
      </c>
      <c r="K140">
        <f>Component!D178</f>
        <v/>
      </c>
      <c r="L140" t="inlineStr">
        <is>
          <t>partial</t>
        </is>
      </c>
      <c r="M140">
        <f>Datapoint!E622</f>
        <v/>
      </c>
      <c r="N140">
        <f>Datapoint!A622</f>
        <v/>
      </c>
      <c r="O140" t="inlineStr">
        <is>
          <t>activity</t>
        </is>
      </c>
      <c r="P140" s="3" t="n">
        <v>46042</v>
      </c>
      <c r="Q140" s="3" t="n">
        <v>46042</v>
      </c>
    </row>
    <row r="141">
      <c r="A141" t="inlineStr">
        <is>
          <t>rvc_1KY38KE1C1S0ZKYS</t>
        </is>
      </c>
      <c r="B141">
        <f>Component!A124</f>
        <v/>
      </c>
      <c r="C141" t="inlineStr">
        <is>
          <t>CO Flatbed Truck Transport Process Emissions</t>
        </is>
      </c>
      <c r="D141" t="inlineStr">
        <is>
          <t xml:space="preserve"> </t>
        </is>
      </c>
      <c r="E141" t="inlineStr">
        <is>
          <t>transport</t>
        </is>
      </c>
      <c r="F141" t="inlineStr">
        <is>
          <t>Transport emissions</t>
        </is>
      </c>
      <c r="G141">
        <f>'GHG Entry'!A26</f>
        <v/>
      </c>
      <c r="H141" t="inlineStr">
        <is>
          <t>Biochar transportation</t>
        </is>
      </c>
      <c r="I141" s="2">
        <f>Component!D124 * Datapoint!E460</f>
        <v/>
      </c>
      <c r="J141">
        <f>Component!E124 * Datapoint!E460</f>
        <v/>
      </c>
      <c r="K141">
        <f>Component!D124</f>
        <v/>
      </c>
      <c r="L141" t="inlineStr">
        <is>
          <t>partial</t>
        </is>
      </c>
      <c r="M141">
        <f>Datapoint!E460</f>
        <v/>
      </c>
      <c r="N141">
        <f>Datapoint!A460</f>
        <v/>
      </c>
      <c r="O141" t="inlineStr">
        <is>
          <t>activity</t>
        </is>
      </c>
    </row>
    <row r="142">
      <c r="A142" t="inlineStr">
        <is>
          <t>rvc_1KY38KE1C1S0BZ34</t>
        </is>
      </c>
      <c r="B142">
        <f>Component!A125</f>
        <v/>
      </c>
      <c r="C142" t="inlineStr">
        <is>
          <t>Biochar Spreading Emissions</t>
        </is>
      </c>
      <c r="D142" t="inlineStr">
        <is>
          <t xml:space="preserve"> </t>
        </is>
      </c>
      <c r="E142" t="inlineStr">
        <is>
          <t>mass_based_ci_emissions</t>
        </is>
      </c>
      <c r="F142" t="inlineStr">
        <is>
          <t>Mass-based CI emissions</t>
        </is>
      </c>
      <c r="G142">
        <f>'GHG Entry'!A26</f>
        <v/>
      </c>
      <c r="H142" t="inlineStr">
        <is>
          <t>Biochar storage</t>
        </is>
      </c>
      <c r="I142" s="2">
        <f>Component!D125 * Datapoint!E457</f>
        <v/>
      </c>
      <c r="J142">
        <f>Component!E125 * Datapoint!E457</f>
        <v/>
      </c>
      <c r="K142">
        <f>Component!D125</f>
        <v/>
      </c>
      <c r="L142" t="inlineStr">
        <is>
          <t>partial</t>
        </is>
      </c>
      <c r="M142">
        <f>Datapoint!E457</f>
        <v/>
      </c>
      <c r="N142">
        <f>Datapoint!A457</f>
        <v/>
      </c>
      <c r="O142" t="inlineStr">
        <is>
          <t>activity</t>
        </is>
      </c>
    </row>
    <row r="143">
      <c r="A143" t="inlineStr">
        <is>
          <t>rvc_1KY38KE1C1S0E7DD</t>
        </is>
      </c>
      <c r="B143">
        <f>Component!A126</f>
        <v/>
      </c>
      <c r="C143" t="inlineStr">
        <is>
          <t>Biochar sequestration, 200 year durability</t>
        </is>
      </c>
      <c r="E143" t="inlineStr">
        <is>
          <t>biochar_sequestration_200_year_c_org</t>
        </is>
      </c>
      <c r="F143" t="inlineStr">
        <is>
          <t>Biochar sequestration, 200 year durability</t>
        </is>
      </c>
      <c r="G143">
        <f>'GHG Entry'!A26</f>
        <v/>
      </c>
      <c r="H143" t="inlineStr">
        <is>
          <t>Biochar storage</t>
        </is>
      </c>
      <c r="I143" s="2">
        <f>Component!D126 * Datapoint!E458</f>
        <v/>
      </c>
      <c r="J143">
        <f>Component!E126 * Datapoint!E458</f>
        <v/>
      </c>
      <c r="K143">
        <f>Component!D126</f>
        <v/>
      </c>
      <c r="L143" t="inlineStr">
        <is>
          <t>partial</t>
        </is>
      </c>
      <c r="M143">
        <f>Datapoint!E458</f>
        <v/>
      </c>
      <c r="N143">
        <f>Datapoint!A458</f>
        <v/>
      </c>
      <c r="O143" t="inlineStr">
        <is>
          <t>sequestration</t>
        </is>
      </c>
    </row>
    <row r="144">
      <c r="A144" t="inlineStr">
        <is>
          <t>rvc_1KY38KE1C1S0K8TE</t>
        </is>
      </c>
      <c r="B144">
        <f>Component!A127</f>
        <v/>
      </c>
      <c r="C144" t="inlineStr">
        <is>
          <t>CO Flatbed Truck Transport Embodied Emissions</t>
        </is>
      </c>
      <c r="D144" t="inlineStr">
        <is>
          <t xml:space="preserve"> </t>
        </is>
      </c>
      <c r="E144" t="inlineStr">
        <is>
          <t>distance_based_ci_emissions</t>
        </is>
      </c>
      <c r="F144" t="inlineStr">
        <is>
          <t>Distance-based emissions</t>
        </is>
      </c>
      <c r="G144">
        <f>'GHG Entry'!A26</f>
        <v/>
      </c>
      <c r="H144" t="inlineStr">
        <is>
          <t>Biochar transportation</t>
        </is>
      </c>
      <c r="I144" s="2">
        <f>Component!D127 * Datapoint!E459</f>
        <v/>
      </c>
      <c r="J144">
        <f>Component!E127 * Datapoint!E459</f>
        <v/>
      </c>
      <c r="K144">
        <f>Component!D127</f>
        <v/>
      </c>
      <c r="L144" t="inlineStr">
        <is>
          <t>partial</t>
        </is>
      </c>
      <c r="M144">
        <f>Datapoint!E459</f>
        <v/>
      </c>
      <c r="N144">
        <f>Datapoint!A459</f>
        <v/>
      </c>
      <c r="O144" t="inlineStr">
        <is>
          <t>activity</t>
        </is>
      </c>
    </row>
    <row r="145">
      <c r="A145" t="inlineStr">
        <is>
          <t>rvc_1KYA8BFYR1S0ZRFE</t>
        </is>
      </c>
      <c r="B145">
        <f>Component!A164</f>
        <v/>
      </c>
      <c r="C145" t="inlineStr">
        <is>
          <t>BCU - Transport Process</t>
        </is>
      </c>
      <c r="E145" t="inlineStr">
        <is>
          <t>constant_reduction</t>
        </is>
      </c>
      <c r="F145" t="inlineStr">
        <is>
          <t>Constant CO₂ reduction</t>
        </is>
      </c>
      <c r="G145">
        <f>'GHG Entry'!A26</f>
        <v/>
      </c>
      <c r="H145" t="inlineStr">
        <is>
          <t>Biochar storage</t>
        </is>
      </c>
      <c r="I145" s="2">
        <f>Component!D164 * Datapoint!E592</f>
        <v/>
      </c>
      <c r="J145">
        <f>Component!E164 * Datapoint!E592</f>
        <v/>
      </c>
      <c r="K145">
        <f>Component!D164</f>
        <v/>
      </c>
      <c r="L145" t="inlineStr">
        <is>
          <t>partial</t>
        </is>
      </c>
      <c r="M145">
        <f>Datapoint!E592</f>
        <v/>
      </c>
      <c r="N145">
        <f>Datapoint!A592</f>
        <v/>
      </c>
      <c r="O145" t="inlineStr">
        <is>
          <t>adjustment</t>
        </is>
      </c>
      <c r="P145" s="3" t="n">
        <v>46101</v>
      </c>
      <c r="Q145" s="3" t="n">
        <v>46101</v>
      </c>
    </row>
    <row r="146">
      <c r="A146" t="inlineStr">
        <is>
          <t>rvc_1KYABSVPC1S0AJEV</t>
        </is>
      </c>
      <c r="B146">
        <f>Component!A182</f>
        <v/>
      </c>
      <c r="C146" t="inlineStr">
        <is>
          <t>Biochar Production Emission (A)</t>
        </is>
      </c>
      <c r="E146" t="inlineStr">
        <is>
          <t>mass_based_ci_emissions</t>
        </is>
      </c>
      <c r="F146" t="inlineStr">
        <is>
          <t>Mass-based CI emissions</t>
        </is>
      </c>
      <c r="G146">
        <f>'GHG Entry'!A26</f>
        <v/>
      </c>
      <c r="H146" t="inlineStr">
        <is>
          <t>Biochar production</t>
        </is>
      </c>
      <c r="I146" s="2">
        <f>Component!D182 * Datapoint!E634</f>
        <v/>
      </c>
      <c r="J146">
        <f>Component!E182 * Datapoint!E634</f>
        <v/>
      </c>
      <c r="K146">
        <f>Component!D182</f>
        <v/>
      </c>
      <c r="L146" t="inlineStr">
        <is>
          <t>partial</t>
        </is>
      </c>
      <c r="M146">
        <f>Datapoint!E634</f>
        <v/>
      </c>
      <c r="N146">
        <f>Datapoint!A634</f>
        <v/>
      </c>
      <c r="O146" t="inlineStr">
        <is>
          <t>activity</t>
        </is>
      </c>
      <c r="P146" s="3" t="n">
        <v>46101</v>
      </c>
      <c r="Q146" s="3" t="n">
        <v>46101</v>
      </c>
    </row>
    <row r="147">
      <c r="A147" t="inlineStr">
        <is>
          <t>rvc_1KY57M9F81S0ZEFE</t>
        </is>
      </c>
      <c r="B147">
        <f>Component!A128</f>
        <v/>
      </c>
      <c r="C147" t="inlineStr">
        <is>
          <t>CO Flatbed Truck Transport Process Emissions</t>
        </is>
      </c>
      <c r="D147" t="inlineStr">
        <is>
          <t xml:space="preserve"> </t>
        </is>
      </c>
      <c r="E147" t="inlineStr">
        <is>
          <t>transport</t>
        </is>
      </c>
      <c r="F147" t="inlineStr">
        <is>
          <t>Transport emissions</t>
        </is>
      </c>
      <c r="G147">
        <f>'GHG Entry'!A27</f>
        <v/>
      </c>
      <c r="H147" t="inlineStr">
        <is>
          <t>Biochar transportation</t>
        </is>
      </c>
      <c r="I147" s="2">
        <f>Component!D128 * Datapoint!E475</f>
        <v/>
      </c>
      <c r="J147">
        <f>Component!E128 * Datapoint!E475</f>
        <v/>
      </c>
      <c r="K147">
        <f>Component!D128</f>
        <v/>
      </c>
      <c r="L147" t="inlineStr">
        <is>
          <t>partial</t>
        </is>
      </c>
      <c r="M147">
        <f>Datapoint!E475</f>
        <v/>
      </c>
      <c r="N147">
        <f>Datapoint!A475</f>
        <v/>
      </c>
      <c r="O147" t="inlineStr">
        <is>
          <t>activity</t>
        </is>
      </c>
    </row>
    <row r="148">
      <c r="A148" t="inlineStr">
        <is>
          <t>rvc_1KY57M9F81S0BSKS</t>
        </is>
      </c>
      <c r="B148">
        <f>Component!A129</f>
        <v/>
      </c>
      <c r="C148" t="inlineStr">
        <is>
          <t>Biochar Spreading Emissions</t>
        </is>
      </c>
      <c r="D148" t="inlineStr">
        <is>
          <t xml:space="preserve"> </t>
        </is>
      </c>
      <c r="E148" t="inlineStr">
        <is>
          <t>mass_based_ci_emissions</t>
        </is>
      </c>
      <c r="F148" t="inlineStr">
        <is>
          <t>Mass-based CI emissions</t>
        </is>
      </c>
      <c r="G148">
        <f>'GHG Entry'!A27</f>
        <v/>
      </c>
      <c r="H148" t="inlineStr">
        <is>
          <t>Biochar storage</t>
        </is>
      </c>
      <c r="I148" s="2">
        <f>Component!D129 * Datapoint!E476</f>
        <v/>
      </c>
      <c r="J148">
        <f>Component!E129 * Datapoint!E476</f>
        <v/>
      </c>
      <c r="K148">
        <f>Component!D129</f>
        <v/>
      </c>
      <c r="L148" t="inlineStr">
        <is>
          <t>partial</t>
        </is>
      </c>
      <c r="M148">
        <f>Datapoint!E476</f>
        <v/>
      </c>
      <c r="N148">
        <f>Datapoint!A476</f>
        <v/>
      </c>
      <c r="O148" t="inlineStr">
        <is>
          <t>activity</t>
        </is>
      </c>
    </row>
    <row r="149">
      <c r="A149" t="inlineStr">
        <is>
          <t>rvc_1KY57M9F81S0E1Y2</t>
        </is>
      </c>
      <c r="B149">
        <f>Component!A130</f>
        <v/>
      </c>
      <c r="C149" t="inlineStr">
        <is>
          <t>Biochar sequestration, 200 year durability</t>
        </is>
      </c>
      <c r="E149" t="inlineStr">
        <is>
          <t>biochar_sequestration_200_year_c_org</t>
        </is>
      </c>
      <c r="F149" t="inlineStr">
        <is>
          <t>Biochar sequestration, 200 year durability</t>
        </is>
      </c>
      <c r="G149">
        <f>'GHG Entry'!A27</f>
        <v/>
      </c>
      <c r="H149" t="inlineStr">
        <is>
          <t>Biochar storage</t>
        </is>
      </c>
      <c r="I149" s="2">
        <f>Component!D130 * Datapoint!E473</f>
        <v/>
      </c>
      <c r="J149">
        <f>Component!E130 * Datapoint!E473</f>
        <v/>
      </c>
      <c r="K149">
        <f>Component!D130</f>
        <v/>
      </c>
      <c r="L149" t="inlineStr">
        <is>
          <t>partial</t>
        </is>
      </c>
      <c r="M149">
        <f>Datapoint!E473</f>
        <v/>
      </c>
      <c r="N149">
        <f>Datapoint!A473</f>
        <v/>
      </c>
      <c r="O149" t="inlineStr">
        <is>
          <t>sequestration</t>
        </is>
      </c>
    </row>
    <row r="150">
      <c r="A150" t="inlineStr">
        <is>
          <t>rvc_1KY57M9F81S0K3B3</t>
        </is>
      </c>
      <c r="B150">
        <f>Component!A131</f>
        <v/>
      </c>
      <c r="C150" t="inlineStr">
        <is>
          <t>CO Flatbed Truck Transport Embodied Emissions</t>
        </is>
      </c>
      <c r="D150" t="inlineStr">
        <is>
          <t xml:space="preserve"> </t>
        </is>
      </c>
      <c r="E150" t="inlineStr">
        <is>
          <t>distance_based_ci_emissions</t>
        </is>
      </c>
      <c r="F150" t="inlineStr">
        <is>
          <t>Distance-based emissions</t>
        </is>
      </c>
      <c r="G150">
        <f>'GHG Entry'!A27</f>
        <v/>
      </c>
      <c r="H150" t="inlineStr">
        <is>
          <t>Biochar transportation</t>
        </is>
      </c>
      <c r="I150" s="2">
        <f>Component!D131 * Datapoint!E474</f>
        <v/>
      </c>
      <c r="J150">
        <f>Component!E131 * Datapoint!E474</f>
        <v/>
      </c>
      <c r="K150">
        <f>Component!D131</f>
        <v/>
      </c>
      <c r="L150" t="inlineStr">
        <is>
          <t>partial</t>
        </is>
      </c>
      <c r="M150">
        <f>Datapoint!E474</f>
        <v/>
      </c>
      <c r="N150">
        <f>Datapoint!A474</f>
        <v/>
      </c>
      <c r="O150" t="inlineStr">
        <is>
          <t>activity</t>
        </is>
      </c>
    </row>
    <row r="151">
      <c r="A151" t="inlineStr">
        <is>
          <t>rvc_1KYA8AVFH1S07YF9</t>
        </is>
      </c>
      <c r="B151">
        <f>Component!A161</f>
        <v/>
      </c>
      <c r="C151" t="inlineStr">
        <is>
          <t>BCU - Transport Process</t>
        </is>
      </c>
      <c r="E151" t="inlineStr">
        <is>
          <t>constant_reduction</t>
        </is>
      </c>
      <c r="F151" t="inlineStr">
        <is>
          <t>Constant CO₂ reduction</t>
        </is>
      </c>
      <c r="G151">
        <f>'GHG Entry'!A27</f>
        <v/>
      </c>
      <c r="H151" t="inlineStr">
        <is>
          <t>Biochar storage</t>
        </is>
      </c>
      <c r="I151" s="2">
        <f>Component!D161 * Datapoint!E586</f>
        <v/>
      </c>
      <c r="J151">
        <f>Component!E161 * Datapoint!E586</f>
        <v/>
      </c>
      <c r="K151">
        <f>Component!D161</f>
        <v/>
      </c>
      <c r="L151" t="inlineStr">
        <is>
          <t>partial</t>
        </is>
      </c>
      <c r="M151">
        <f>Datapoint!E586</f>
        <v/>
      </c>
      <c r="N151">
        <f>Datapoint!A586</f>
        <v/>
      </c>
      <c r="O151" t="inlineStr">
        <is>
          <t>adjustment</t>
        </is>
      </c>
      <c r="P151" s="3" t="n">
        <v>46092</v>
      </c>
      <c r="Q151" s="3" t="n">
        <v>46092</v>
      </c>
    </row>
    <row r="152">
      <c r="A152" t="inlineStr">
        <is>
          <t>rvc_1KYABSAWZ1S0F9B2</t>
        </is>
      </c>
      <c r="B152">
        <f>Component!A179</f>
        <v/>
      </c>
      <c r="C152" t="inlineStr">
        <is>
          <t>Biochar Production Emission (A)</t>
        </is>
      </c>
      <c r="E152" t="inlineStr">
        <is>
          <t>mass_based_ci_emissions</t>
        </is>
      </c>
      <c r="F152" t="inlineStr">
        <is>
          <t>Mass-based CI emissions</t>
        </is>
      </c>
      <c r="G152">
        <f>'GHG Entry'!A27</f>
        <v/>
      </c>
      <c r="H152" t="inlineStr">
        <is>
          <t>Biochar production</t>
        </is>
      </c>
      <c r="I152" s="2">
        <f>Component!D179 * Datapoint!E625</f>
        <v/>
      </c>
      <c r="J152">
        <f>Component!E179 * Datapoint!E625</f>
        <v/>
      </c>
      <c r="K152">
        <f>Component!D179</f>
        <v/>
      </c>
      <c r="L152" t="inlineStr">
        <is>
          <t>partial</t>
        </is>
      </c>
      <c r="M152">
        <f>Datapoint!E625</f>
        <v/>
      </c>
      <c r="N152">
        <f>Datapoint!A625</f>
        <v/>
      </c>
      <c r="O152" t="inlineStr">
        <is>
          <t>activity</t>
        </is>
      </c>
      <c r="P152" s="3" t="n">
        <v>46092</v>
      </c>
      <c r="Q152" s="3" t="n">
        <v>46092</v>
      </c>
    </row>
    <row r="153">
      <c r="A153" t="inlineStr">
        <is>
          <t>rvc_1KY57MT101S07D8C</t>
        </is>
      </c>
      <c r="B153">
        <f>Component!A132</f>
        <v/>
      </c>
      <c r="C153" t="inlineStr">
        <is>
          <t>CO Flatbed Truck Transport Process Emissions</t>
        </is>
      </c>
      <c r="D153" t="inlineStr">
        <is>
          <t xml:space="preserve"> </t>
        </is>
      </c>
      <c r="E153" t="inlineStr">
        <is>
          <t>transport</t>
        </is>
      </c>
      <c r="F153" t="inlineStr">
        <is>
          <t>Transport emissions</t>
        </is>
      </c>
      <c r="G153">
        <f>'GHG Entry'!A28</f>
        <v/>
      </c>
      <c r="H153" t="inlineStr">
        <is>
          <t>Biochar transportation</t>
        </is>
      </c>
      <c r="I153" s="2">
        <f>Component!D132 * Datapoint!E492</f>
        <v/>
      </c>
      <c r="J153">
        <f>Component!E132 * Datapoint!E492</f>
        <v/>
      </c>
      <c r="K153">
        <f>Component!D132</f>
        <v/>
      </c>
      <c r="L153" t="inlineStr">
        <is>
          <t>partial</t>
        </is>
      </c>
      <c r="M153">
        <f>Datapoint!E492</f>
        <v/>
      </c>
      <c r="N153">
        <f>Datapoint!A492</f>
        <v/>
      </c>
      <c r="O153" t="inlineStr">
        <is>
          <t>activity</t>
        </is>
      </c>
    </row>
    <row r="154">
      <c r="A154" t="inlineStr">
        <is>
          <t>rvc_1KY57MT101S0KRCQ</t>
        </is>
      </c>
      <c r="B154">
        <f>Component!A133</f>
        <v/>
      </c>
      <c r="C154" t="inlineStr">
        <is>
          <t>Biochar Spreading Emissions</t>
        </is>
      </c>
      <c r="D154" t="inlineStr">
        <is>
          <t xml:space="preserve"> </t>
        </is>
      </c>
      <c r="E154" t="inlineStr">
        <is>
          <t>mass_based_ci_emissions</t>
        </is>
      </c>
      <c r="F154" t="inlineStr">
        <is>
          <t>Mass-based CI emissions</t>
        </is>
      </c>
      <c r="G154">
        <f>'GHG Entry'!A28</f>
        <v/>
      </c>
      <c r="H154" t="inlineStr">
        <is>
          <t>Biochar storage</t>
        </is>
      </c>
      <c r="I154" s="2">
        <f>Component!D133 * Datapoint!E489</f>
        <v/>
      </c>
      <c r="J154">
        <f>Component!E133 * Datapoint!E489</f>
        <v/>
      </c>
      <c r="K154">
        <f>Component!D133</f>
        <v/>
      </c>
      <c r="L154" t="inlineStr">
        <is>
          <t>partial</t>
        </is>
      </c>
      <c r="M154">
        <f>Datapoint!E489</f>
        <v/>
      </c>
      <c r="N154">
        <f>Datapoint!A489</f>
        <v/>
      </c>
      <c r="O154" t="inlineStr">
        <is>
          <t>activity</t>
        </is>
      </c>
    </row>
    <row r="155">
      <c r="A155" t="inlineStr">
        <is>
          <t>rvc_1KY57MT101S0P0Q0</t>
        </is>
      </c>
      <c r="B155">
        <f>Component!A134</f>
        <v/>
      </c>
      <c r="C155" t="inlineStr">
        <is>
          <t>Biochar sequestration, 200 year durability</t>
        </is>
      </c>
      <c r="E155" t="inlineStr">
        <is>
          <t>biochar_sequestration_200_year_c_org</t>
        </is>
      </c>
      <c r="F155" t="inlineStr">
        <is>
          <t>Biochar sequestration, 200 year durability</t>
        </is>
      </c>
      <c r="G155">
        <f>'GHG Entry'!A28</f>
        <v/>
      </c>
      <c r="H155" t="inlineStr">
        <is>
          <t>Biochar storage</t>
        </is>
      </c>
      <c r="I155" s="2">
        <f>Component!D134 * Datapoint!E490</f>
        <v/>
      </c>
      <c r="J155">
        <f>Component!E134 * Datapoint!E490</f>
        <v/>
      </c>
      <c r="K155">
        <f>Component!D134</f>
        <v/>
      </c>
      <c r="L155" t="inlineStr">
        <is>
          <t>partial</t>
        </is>
      </c>
      <c r="M155">
        <f>Datapoint!E490</f>
        <v/>
      </c>
      <c r="N155">
        <f>Datapoint!A490</f>
        <v/>
      </c>
      <c r="O155" t="inlineStr">
        <is>
          <t>sequestration</t>
        </is>
      </c>
    </row>
    <row r="156">
      <c r="A156" t="inlineStr">
        <is>
          <t>rvc_1KY57MT101S0V241</t>
        </is>
      </c>
      <c r="B156">
        <f>Component!A135</f>
        <v/>
      </c>
      <c r="C156" t="inlineStr">
        <is>
          <t>CO Flatbed Truck Transport Embodied Emissions</t>
        </is>
      </c>
      <c r="D156" t="inlineStr">
        <is>
          <t xml:space="preserve"> </t>
        </is>
      </c>
      <c r="E156" t="inlineStr">
        <is>
          <t>distance_based_ci_emissions</t>
        </is>
      </c>
      <c r="F156" t="inlineStr">
        <is>
          <t>Distance-based emissions</t>
        </is>
      </c>
      <c r="G156">
        <f>'GHG Entry'!A28</f>
        <v/>
      </c>
      <c r="H156" t="inlineStr">
        <is>
          <t>Biochar transportation</t>
        </is>
      </c>
      <c r="I156" s="2">
        <f>Component!D135 * Datapoint!E491</f>
        <v/>
      </c>
      <c r="J156">
        <f>Component!E135 * Datapoint!E491</f>
        <v/>
      </c>
      <c r="K156">
        <f>Component!D135</f>
        <v/>
      </c>
      <c r="L156" t="inlineStr">
        <is>
          <t>partial</t>
        </is>
      </c>
      <c r="M156">
        <f>Datapoint!E491</f>
        <v/>
      </c>
      <c r="N156">
        <f>Datapoint!A491</f>
        <v/>
      </c>
      <c r="O156" t="inlineStr">
        <is>
          <t>activity</t>
        </is>
      </c>
    </row>
    <row r="157">
      <c r="A157" t="inlineStr">
        <is>
          <t>rvc_1KYA8B11X1S0THT0</t>
        </is>
      </c>
      <c r="B157">
        <f>Component!A162</f>
        <v/>
      </c>
      <c r="C157" t="inlineStr">
        <is>
          <t>BCU - Transport Process</t>
        </is>
      </c>
      <c r="E157" t="inlineStr">
        <is>
          <t>constant_reduction</t>
        </is>
      </c>
      <c r="F157" t="inlineStr">
        <is>
          <t>Constant CO₂ reduction</t>
        </is>
      </c>
      <c r="G157">
        <f>'GHG Entry'!A28</f>
        <v/>
      </c>
      <c r="H157" t="inlineStr">
        <is>
          <t>Biochar storage</t>
        </is>
      </c>
      <c r="I157" s="2">
        <f>Component!D162 * Datapoint!E588</f>
        <v/>
      </c>
      <c r="J157">
        <f>Component!E162 * Datapoint!E588</f>
        <v/>
      </c>
      <c r="K157">
        <f>Component!D162</f>
        <v/>
      </c>
      <c r="L157" t="inlineStr">
        <is>
          <t>partial</t>
        </is>
      </c>
      <c r="M157">
        <f>Datapoint!E588</f>
        <v/>
      </c>
      <c r="N157">
        <f>Datapoint!A588</f>
        <v/>
      </c>
      <c r="O157" t="inlineStr">
        <is>
          <t>adjustment</t>
        </is>
      </c>
      <c r="P157" s="3" t="n">
        <v>46092</v>
      </c>
      <c r="Q157" s="3" t="n">
        <v>46092</v>
      </c>
    </row>
    <row r="158">
      <c r="A158" t="inlineStr">
        <is>
          <t>rvc_1KYABSG681S0BEQC</t>
        </is>
      </c>
      <c r="B158">
        <f>Component!A180</f>
        <v/>
      </c>
      <c r="C158" t="inlineStr">
        <is>
          <t>Biochar Production Emission (A)</t>
        </is>
      </c>
      <c r="E158" t="inlineStr">
        <is>
          <t>mass_based_ci_emissions</t>
        </is>
      </c>
      <c r="F158" t="inlineStr">
        <is>
          <t>Mass-based CI emissions</t>
        </is>
      </c>
      <c r="G158">
        <f>'GHG Entry'!A28</f>
        <v/>
      </c>
      <c r="H158" t="inlineStr">
        <is>
          <t>Biochar production</t>
        </is>
      </c>
      <c r="I158" s="2">
        <f>Component!D180 * Datapoint!E628</f>
        <v/>
      </c>
      <c r="J158">
        <f>Component!E180 * Datapoint!E628</f>
        <v/>
      </c>
      <c r="K158">
        <f>Component!D180</f>
        <v/>
      </c>
      <c r="L158" t="inlineStr">
        <is>
          <t>partial</t>
        </is>
      </c>
      <c r="M158">
        <f>Datapoint!E628</f>
        <v/>
      </c>
      <c r="N158">
        <f>Datapoint!A628</f>
        <v/>
      </c>
      <c r="O158" t="inlineStr">
        <is>
          <t>activity</t>
        </is>
      </c>
      <c r="P158" s="3" t="n">
        <v>46092</v>
      </c>
      <c r="Q158" s="3" t="n">
        <v>46092</v>
      </c>
    </row>
    <row r="159">
      <c r="A159" t="inlineStr">
        <is>
          <t>rvc_1KY57NCC21S05978</t>
        </is>
      </c>
      <c r="B159">
        <f>Component!A136</f>
        <v/>
      </c>
      <c r="C159" t="inlineStr">
        <is>
          <t>Biochar Spreading Emissions</t>
        </is>
      </c>
      <c r="D159" t="inlineStr">
        <is>
          <t xml:space="preserve"> </t>
        </is>
      </c>
      <c r="E159" t="inlineStr">
        <is>
          <t>mass_based_ci_emissions</t>
        </is>
      </c>
      <c r="F159" t="inlineStr">
        <is>
          <t>Mass-based CI emissions</t>
        </is>
      </c>
      <c r="G159">
        <f>'GHG Entry'!A29</f>
        <v/>
      </c>
      <c r="H159" t="inlineStr">
        <is>
          <t>Biochar storage</t>
        </is>
      </c>
      <c r="I159" s="2">
        <f>Component!D136 * Datapoint!E510</f>
        <v/>
      </c>
      <c r="J159">
        <f>Component!E136 * Datapoint!E510</f>
        <v/>
      </c>
      <c r="K159">
        <f>Component!D136</f>
        <v/>
      </c>
      <c r="L159" t="inlineStr">
        <is>
          <t>partial</t>
        </is>
      </c>
      <c r="M159">
        <f>Datapoint!E510</f>
        <v/>
      </c>
      <c r="N159">
        <f>Datapoint!A510</f>
        <v/>
      </c>
      <c r="O159" t="inlineStr">
        <is>
          <t>activity</t>
        </is>
      </c>
    </row>
    <row r="160">
      <c r="A160" t="inlineStr">
        <is>
          <t>rvc_1KY57NCC21S07HHH</t>
        </is>
      </c>
      <c r="B160">
        <f>Component!A137</f>
        <v/>
      </c>
      <c r="C160" t="inlineStr">
        <is>
          <t>Biochar sequestration, 200 year durability</t>
        </is>
      </c>
      <c r="E160" t="inlineStr">
        <is>
          <t>biochar_sequestration_200_year_c_org</t>
        </is>
      </c>
      <c r="F160" t="inlineStr">
        <is>
          <t>Biochar sequestration, 200 year durability</t>
        </is>
      </c>
      <c r="G160">
        <f>'GHG Entry'!A29</f>
        <v/>
      </c>
      <c r="H160" t="inlineStr">
        <is>
          <t>Biochar storage</t>
        </is>
      </c>
      <c r="I160" s="2">
        <f>Component!D137 * Datapoint!E511</f>
        <v/>
      </c>
      <c r="J160">
        <f>Component!E137 * Datapoint!E511</f>
        <v/>
      </c>
      <c r="K160">
        <f>Component!D137</f>
        <v/>
      </c>
      <c r="L160" t="inlineStr">
        <is>
          <t>partial</t>
        </is>
      </c>
      <c r="M160">
        <f>Datapoint!E511</f>
        <v/>
      </c>
      <c r="N160">
        <f>Datapoint!A511</f>
        <v/>
      </c>
      <c r="O160" t="inlineStr">
        <is>
          <t>sequestration</t>
        </is>
      </c>
    </row>
    <row r="161">
      <c r="A161" t="inlineStr">
        <is>
          <t>rvc_1KY57NCC21S0CJYJ</t>
        </is>
      </c>
      <c r="B161">
        <f>Component!A138</f>
        <v/>
      </c>
      <c r="C161" t="inlineStr">
        <is>
          <t>CO Flatbed Truck Transport Embodied Emissions</t>
        </is>
      </c>
      <c r="D161" t="inlineStr">
        <is>
          <t xml:space="preserve"> </t>
        </is>
      </c>
      <c r="E161" t="inlineStr">
        <is>
          <t>distance_based_ci_emissions</t>
        </is>
      </c>
      <c r="F161" t="inlineStr">
        <is>
          <t>Distance-based emissions</t>
        </is>
      </c>
      <c r="G161">
        <f>'GHG Entry'!A29</f>
        <v/>
      </c>
      <c r="H161" t="inlineStr">
        <is>
          <t>Biochar transportation</t>
        </is>
      </c>
      <c r="I161" s="2">
        <f>Component!D138 * Datapoint!E507</f>
        <v/>
      </c>
      <c r="J161">
        <f>Component!E138 * Datapoint!E507</f>
        <v/>
      </c>
      <c r="K161">
        <f>Component!D138</f>
        <v/>
      </c>
      <c r="L161" t="inlineStr">
        <is>
          <t>partial</t>
        </is>
      </c>
      <c r="M161">
        <f>Datapoint!E507</f>
        <v/>
      </c>
      <c r="N161">
        <f>Datapoint!A507</f>
        <v/>
      </c>
      <c r="O161" t="inlineStr">
        <is>
          <t>activity</t>
        </is>
      </c>
    </row>
    <row r="162">
      <c r="A162" t="inlineStr">
        <is>
          <t>rvc_1KY57NCC21S0KWNW</t>
        </is>
      </c>
      <c r="B162">
        <f>Component!A139</f>
        <v/>
      </c>
      <c r="C162" t="inlineStr">
        <is>
          <t>Biochar Production Emission (A)</t>
        </is>
      </c>
      <c r="D162" t="inlineStr">
        <is>
          <t xml:space="preserve"> </t>
        </is>
      </c>
      <c r="E162" t="inlineStr">
        <is>
          <t>mass_based_ci_emissions</t>
        </is>
      </c>
      <c r="F162" t="inlineStr">
        <is>
          <t>Mass-based CI emissions</t>
        </is>
      </c>
      <c r="G162">
        <f>'GHG Entry'!A29</f>
        <v/>
      </c>
      <c r="H162" t="inlineStr">
        <is>
          <t>Biochar production</t>
        </is>
      </c>
      <c r="I162" s="2">
        <f>Component!D139 * Datapoint!E508</f>
        <v/>
      </c>
      <c r="J162">
        <f>Component!E139 * Datapoint!E508</f>
        <v/>
      </c>
      <c r="K162">
        <f>Component!D139</f>
        <v/>
      </c>
      <c r="L162" t="inlineStr">
        <is>
          <t>partial</t>
        </is>
      </c>
      <c r="M162">
        <f>Datapoint!E508</f>
        <v/>
      </c>
      <c r="N162">
        <f>Datapoint!A508</f>
        <v/>
      </c>
      <c r="O162" t="inlineStr">
        <is>
          <t>activity</t>
        </is>
      </c>
    </row>
    <row r="163">
      <c r="A163" t="inlineStr">
        <is>
          <t>rvc_1KY57NCC21S0RY2X</t>
        </is>
      </c>
      <c r="B163">
        <f>Component!A140</f>
        <v/>
      </c>
      <c r="C163" t="inlineStr">
        <is>
          <t>CO Flatbed Truck Transport Process Emissions</t>
        </is>
      </c>
      <c r="D163" t="inlineStr">
        <is>
          <t xml:space="preserve"> </t>
        </is>
      </c>
      <c r="E163" t="inlineStr">
        <is>
          <t>transport</t>
        </is>
      </c>
      <c r="F163" t="inlineStr">
        <is>
          <t>Transport emissions</t>
        </is>
      </c>
      <c r="G163">
        <f>'GHG Entry'!A29</f>
        <v/>
      </c>
      <c r="H163" t="inlineStr">
        <is>
          <t>Biochar transportation</t>
        </is>
      </c>
      <c r="I163" s="2">
        <f>Component!D140 * Datapoint!E509</f>
        <v/>
      </c>
      <c r="J163">
        <f>Component!E140 * Datapoint!E509</f>
        <v/>
      </c>
      <c r="K163">
        <f>Component!D140</f>
        <v/>
      </c>
      <c r="L163" t="inlineStr">
        <is>
          <t>partial</t>
        </is>
      </c>
      <c r="M163">
        <f>Datapoint!E509</f>
        <v/>
      </c>
      <c r="N163">
        <f>Datapoint!A509</f>
        <v/>
      </c>
      <c r="O163" t="inlineStr">
        <is>
          <t>activity</t>
        </is>
      </c>
    </row>
    <row r="164">
      <c r="A164" t="inlineStr">
        <is>
          <t>rvc_1KYA8AKC61S0NB4J</t>
        </is>
      </c>
      <c r="B164">
        <f>Component!A160</f>
        <v/>
      </c>
      <c r="C164" t="inlineStr">
        <is>
          <t>BCU - Transport Process</t>
        </is>
      </c>
      <c r="E164" t="inlineStr">
        <is>
          <t>constant_reduction</t>
        </is>
      </c>
      <c r="F164" t="inlineStr">
        <is>
          <t>Constant CO₂ reduction</t>
        </is>
      </c>
      <c r="G164">
        <f>'GHG Entry'!A29</f>
        <v/>
      </c>
      <c r="H164" t="inlineStr">
        <is>
          <t>Biochar storage</t>
        </is>
      </c>
      <c r="I164" s="2">
        <f>Component!D160 * Datapoint!E584</f>
        <v/>
      </c>
      <c r="J164">
        <f>Component!E160 * Datapoint!E584</f>
        <v/>
      </c>
      <c r="K164">
        <f>Component!D160</f>
        <v/>
      </c>
      <c r="L164" t="inlineStr">
        <is>
          <t>partial</t>
        </is>
      </c>
      <c r="M164">
        <f>Datapoint!E584</f>
        <v/>
      </c>
      <c r="N164">
        <f>Datapoint!A584</f>
        <v/>
      </c>
      <c r="O164" t="inlineStr">
        <is>
          <t>adjustment</t>
        </is>
      </c>
      <c r="P164" s="3" t="n">
        <v>46092</v>
      </c>
      <c r="Q164" s="3" t="n">
        <v>46092</v>
      </c>
    </row>
    <row r="165">
      <c r="A165" t="inlineStr">
        <is>
          <t>rvc_1KY5G7F3N1S0Z4AS</t>
        </is>
      </c>
      <c r="B165">
        <f>Component!A141</f>
        <v/>
      </c>
      <c r="C165" t="inlineStr">
        <is>
          <t>Biochar sequestration, 200 year durability</t>
        </is>
      </c>
      <c r="E165" t="inlineStr">
        <is>
          <t>biochar_sequestration_200_year_c_org</t>
        </is>
      </c>
      <c r="F165" t="inlineStr">
        <is>
          <t>Biochar sequestration, 200 year durability</t>
        </is>
      </c>
      <c r="G165">
        <f>'GHG Entry'!A30</f>
        <v/>
      </c>
      <c r="H165" t="inlineStr">
        <is>
          <t>Biochar storage</t>
        </is>
      </c>
      <c r="I165" s="2">
        <f>Component!D141 * Datapoint!E526</f>
        <v/>
      </c>
      <c r="J165">
        <f>Component!E141 * Datapoint!E526</f>
        <v/>
      </c>
      <c r="K165">
        <f>Component!D141</f>
        <v/>
      </c>
      <c r="L165" t="inlineStr">
        <is>
          <t>partial</t>
        </is>
      </c>
      <c r="M165">
        <f>Datapoint!E526</f>
        <v/>
      </c>
      <c r="N165">
        <f>Datapoint!A526</f>
        <v/>
      </c>
      <c r="O165" t="inlineStr">
        <is>
          <t>sequestration</t>
        </is>
      </c>
    </row>
    <row r="166">
      <c r="A166" t="inlineStr">
        <is>
          <t>rvc_1KY5G7F3N1S045QT</t>
        </is>
      </c>
      <c r="B166">
        <f>Component!A142</f>
        <v/>
      </c>
      <c r="C166" t="inlineStr">
        <is>
          <t>CO Flatbed Truck Transport Embodied Emissions</t>
        </is>
      </c>
      <c r="D166" t="inlineStr">
        <is>
          <t xml:space="preserve"> </t>
        </is>
      </c>
      <c r="E166" t="inlineStr">
        <is>
          <t>distance_based_ci_emissions</t>
        </is>
      </c>
      <c r="F166" t="inlineStr">
        <is>
          <t>Distance-based emissions</t>
        </is>
      </c>
      <c r="G166">
        <f>'GHG Entry'!A30</f>
        <v/>
      </c>
      <c r="H166" t="inlineStr">
        <is>
          <t>Biochar transportation</t>
        </is>
      </c>
      <c r="I166" s="2">
        <f>Component!D142 * Datapoint!E527</f>
        <v/>
      </c>
      <c r="J166">
        <f>Component!E142 * Datapoint!E527</f>
        <v/>
      </c>
      <c r="K166">
        <f>Component!D142</f>
        <v/>
      </c>
      <c r="L166" t="inlineStr">
        <is>
          <t>partial</t>
        </is>
      </c>
      <c r="M166">
        <f>Datapoint!E527</f>
        <v/>
      </c>
      <c r="N166">
        <f>Datapoint!A527</f>
        <v/>
      </c>
      <c r="O166" t="inlineStr">
        <is>
          <t>activity</t>
        </is>
      </c>
    </row>
    <row r="167">
      <c r="A167" t="inlineStr">
        <is>
          <t>rvc_1KY5G7F3N1S0GGW5</t>
        </is>
      </c>
      <c r="B167">
        <f>Component!A143</f>
        <v/>
      </c>
      <c r="C167" t="inlineStr">
        <is>
          <t>CO Flatbed Truck Transport Process Emissions</t>
        </is>
      </c>
      <c r="D167" t="inlineStr">
        <is>
          <t xml:space="preserve"> </t>
        </is>
      </c>
      <c r="E167" t="inlineStr">
        <is>
          <t>transport</t>
        </is>
      </c>
      <c r="F167" t="inlineStr">
        <is>
          <t>Transport emissions</t>
        </is>
      </c>
      <c r="G167">
        <f>'GHG Entry'!A30</f>
        <v/>
      </c>
      <c r="H167" t="inlineStr">
        <is>
          <t>Biochar transportation</t>
        </is>
      </c>
      <c r="I167" s="2">
        <f>Component!D143 * Datapoint!E524</f>
        <v/>
      </c>
      <c r="J167">
        <f>Component!E143 * Datapoint!E524</f>
        <v/>
      </c>
      <c r="K167">
        <f>Component!D143</f>
        <v/>
      </c>
      <c r="L167" t="inlineStr">
        <is>
          <t>partial</t>
        </is>
      </c>
      <c r="M167">
        <f>Datapoint!E524</f>
        <v/>
      </c>
      <c r="N167">
        <f>Datapoint!A524</f>
        <v/>
      </c>
      <c r="O167" t="inlineStr">
        <is>
          <t>activity</t>
        </is>
      </c>
    </row>
    <row r="168">
      <c r="A168" t="inlineStr">
        <is>
          <t>rvc_1KY5G7F3N1S0WW0G</t>
        </is>
      </c>
      <c r="B168">
        <f>Component!A144</f>
        <v/>
      </c>
      <c r="C168" t="inlineStr">
        <is>
          <t>Biochar Spreading Emissions</t>
        </is>
      </c>
      <c r="D168" t="inlineStr">
        <is>
          <t xml:space="preserve"> </t>
        </is>
      </c>
      <c r="E168" t="inlineStr">
        <is>
          <t>mass_based_ci_emissions</t>
        </is>
      </c>
      <c r="F168" t="inlineStr">
        <is>
          <t>Mass-based CI emissions</t>
        </is>
      </c>
      <c r="G168">
        <f>'GHG Entry'!A30</f>
        <v/>
      </c>
      <c r="H168" t="inlineStr">
        <is>
          <t>Biochar storage</t>
        </is>
      </c>
      <c r="I168" s="2">
        <f>Component!D144 * Datapoint!E525</f>
        <v/>
      </c>
      <c r="J168">
        <f>Component!E144 * Datapoint!E525</f>
        <v/>
      </c>
      <c r="K168">
        <f>Component!D144</f>
        <v/>
      </c>
      <c r="L168" t="inlineStr">
        <is>
          <t>partial</t>
        </is>
      </c>
      <c r="M168">
        <f>Datapoint!E525</f>
        <v/>
      </c>
      <c r="N168">
        <f>Datapoint!A525</f>
        <v/>
      </c>
      <c r="O168" t="inlineStr">
        <is>
          <t>activity</t>
        </is>
      </c>
    </row>
    <row r="169">
      <c r="A169" t="inlineStr">
        <is>
          <t>rvc_1KYA8B8MY1S0D54Q</t>
        </is>
      </c>
      <c r="B169">
        <f>Component!A163</f>
        <v/>
      </c>
      <c r="C169" t="inlineStr">
        <is>
          <t>BCU - Transport Process</t>
        </is>
      </c>
      <c r="E169" t="inlineStr">
        <is>
          <t>constant_reduction</t>
        </is>
      </c>
      <c r="F169" t="inlineStr">
        <is>
          <t>Constant CO₂ reduction</t>
        </is>
      </c>
      <c r="G169">
        <f>'GHG Entry'!A30</f>
        <v/>
      </c>
      <c r="H169" t="inlineStr">
        <is>
          <t>Biochar storage</t>
        </is>
      </c>
      <c r="I169" s="2">
        <f>Component!D163 * Datapoint!E590</f>
        <v/>
      </c>
      <c r="J169">
        <f>Component!E163 * Datapoint!E590</f>
        <v/>
      </c>
      <c r="K169">
        <f>Component!D163</f>
        <v/>
      </c>
      <c r="L169" t="inlineStr">
        <is>
          <t>partial</t>
        </is>
      </c>
      <c r="M169">
        <f>Datapoint!E590</f>
        <v/>
      </c>
      <c r="N169">
        <f>Datapoint!A590</f>
        <v/>
      </c>
      <c r="O169" t="inlineStr">
        <is>
          <t>adjustment</t>
        </is>
      </c>
      <c r="P169" s="3" t="n">
        <v>46092</v>
      </c>
      <c r="Q169" s="3" t="n">
        <v>46092</v>
      </c>
    </row>
    <row r="170">
      <c r="A170" t="inlineStr">
        <is>
          <t>rvc_1KYABSN6J1S04V0Y</t>
        </is>
      </c>
      <c r="B170">
        <f>Component!A181</f>
        <v/>
      </c>
      <c r="C170" t="inlineStr">
        <is>
          <t>Biochar Production Emission (A)</t>
        </is>
      </c>
      <c r="E170" t="inlineStr">
        <is>
          <t>mass_based_ci_emissions</t>
        </is>
      </c>
      <c r="F170" t="inlineStr">
        <is>
          <t>Mass-based CI emissions</t>
        </is>
      </c>
      <c r="G170">
        <f>'GHG Entry'!A30</f>
        <v/>
      </c>
      <c r="H170" t="inlineStr">
        <is>
          <t>Biochar production</t>
        </is>
      </c>
      <c r="I170" s="2">
        <f>Component!D181 * Datapoint!E631</f>
        <v/>
      </c>
      <c r="J170">
        <f>Component!E181 * Datapoint!E631</f>
        <v/>
      </c>
      <c r="K170">
        <f>Component!D181</f>
        <v/>
      </c>
      <c r="L170" t="inlineStr">
        <is>
          <t>partial</t>
        </is>
      </c>
      <c r="M170">
        <f>Datapoint!E631</f>
        <v/>
      </c>
      <c r="N170">
        <f>Datapoint!A631</f>
        <v/>
      </c>
      <c r="O170" t="inlineStr">
        <is>
          <t>activity</t>
        </is>
      </c>
      <c r="P170" s="3" t="n">
        <v>46092</v>
      </c>
      <c r="Q170" s="3" t="n">
        <v>46092</v>
      </c>
    </row>
    <row r="171">
      <c r="A171" t="inlineStr">
        <is>
          <t>rvc_1KYA6ANEE1S0NRR1</t>
        </is>
      </c>
      <c r="B171">
        <f>Component!A145</f>
        <v/>
      </c>
      <c r="C171" t="inlineStr">
        <is>
          <t>Biochar Spreading Emissions</t>
        </is>
      </c>
      <c r="D171" t="inlineStr">
        <is>
          <t xml:space="preserve"> </t>
        </is>
      </c>
      <c r="E171" t="inlineStr">
        <is>
          <t>mass_based_ci_emissions</t>
        </is>
      </c>
      <c r="F171" t="inlineStr">
        <is>
          <t>Mass-based CI emissions</t>
        </is>
      </c>
      <c r="G171">
        <f>'GHG Entry'!A31</f>
        <v/>
      </c>
      <c r="H171" t="inlineStr">
        <is>
          <t>Biochar storage</t>
        </is>
      </c>
      <c r="I171" s="2">
        <f>Component!D145 * Datapoint!E544</f>
        <v/>
      </c>
      <c r="J171">
        <f>Component!E145 * Datapoint!E544</f>
        <v/>
      </c>
      <c r="K171">
        <f>Component!D145</f>
        <v/>
      </c>
      <c r="L171" t="inlineStr">
        <is>
          <t>partial</t>
        </is>
      </c>
      <c r="M171">
        <f>Datapoint!E544</f>
        <v/>
      </c>
      <c r="N171">
        <f>Datapoint!A544</f>
        <v/>
      </c>
      <c r="O171" t="inlineStr">
        <is>
          <t>activity</t>
        </is>
      </c>
    </row>
    <row r="172">
      <c r="A172" t="inlineStr">
        <is>
          <t>rvc_1KYA6ANEE1S0R12A</t>
        </is>
      </c>
      <c r="B172">
        <f>Component!A146</f>
        <v/>
      </c>
      <c r="C172" t="inlineStr">
        <is>
          <t>Biochar sequestration, 200 year durability</t>
        </is>
      </c>
      <c r="E172" t="inlineStr">
        <is>
          <t>biochar_sequestration_200_year_c_org</t>
        </is>
      </c>
      <c r="F172" t="inlineStr">
        <is>
          <t>Biochar sequestration, 200 year durability</t>
        </is>
      </c>
      <c r="G172">
        <f>'GHG Entry'!A31</f>
        <v/>
      </c>
      <c r="H172" t="inlineStr">
        <is>
          <t>Biochar storage</t>
        </is>
      </c>
      <c r="I172" s="2">
        <f>Component!D146 * Datapoint!E545</f>
        <v/>
      </c>
      <c r="J172">
        <f>Component!E146 * Datapoint!E545</f>
        <v/>
      </c>
      <c r="K172">
        <f>Component!D146</f>
        <v/>
      </c>
      <c r="L172" t="inlineStr">
        <is>
          <t>partial</t>
        </is>
      </c>
      <c r="M172">
        <f>Datapoint!E545</f>
        <v/>
      </c>
      <c r="N172">
        <f>Datapoint!A545</f>
        <v/>
      </c>
      <c r="O172" t="inlineStr">
        <is>
          <t>sequestration</t>
        </is>
      </c>
    </row>
    <row r="173">
      <c r="A173" t="inlineStr">
        <is>
          <t>rvc_1KYA6ANEE1S0X2FB</t>
        </is>
      </c>
      <c r="B173">
        <f>Component!A147</f>
        <v/>
      </c>
      <c r="C173" t="inlineStr">
        <is>
          <t>CO Flatbed Truck Transport Embodied Emissions</t>
        </is>
      </c>
      <c r="D173" t="inlineStr">
        <is>
          <t xml:space="preserve"> </t>
        </is>
      </c>
      <c r="E173" t="inlineStr">
        <is>
          <t>distance_based_ci_emissions</t>
        </is>
      </c>
      <c r="F173" t="inlineStr">
        <is>
          <t>Distance-based emissions</t>
        </is>
      </c>
      <c r="G173">
        <f>'GHG Entry'!A31</f>
        <v/>
      </c>
      <c r="H173" t="inlineStr">
        <is>
          <t>Biochar transportation</t>
        </is>
      </c>
      <c r="I173" s="2">
        <f>Component!D147 * Datapoint!E546</f>
        <v/>
      </c>
      <c r="J173">
        <f>Component!E147 * Datapoint!E546</f>
        <v/>
      </c>
      <c r="K173">
        <f>Component!D147</f>
        <v/>
      </c>
      <c r="L173" t="inlineStr">
        <is>
          <t>partial</t>
        </is>
      </c>
      <c r="M173">
        <f>Datapoint!E546</f>
        <v/>
      </c>
      <c r="N173">
        <f>Datapoint!A546</f>
        <v/>
      </c>
      <c r="O173" t="inlineStr">
        <is>
          <t>activity</t>
        </is>
      </c>
    </row>
    <row r="174">
      <c r="A174" t="inlineStr">
        <is>
          <t>rvc_1KYA6ANEE1S04C6N</t>
        </is>
      </c>
      <c r="B174">
        <f>Component!A148</f>
        <v/>
      </c>
      <c r="C174" t="inlineStr">
        <is>
          <t>Biochar Production Emission (A)</t>
        </is>
      </c>
      <c r="D174" t="inlineStr">
        <is>
          <t xml:space="preserve"> </t>
        </is>
      </c>
      <c r="E174" t="inlineStr">
        <is>
          <t>mass_based_ci_emissions</t>
        </is>
      </c>
      <c r="F174" t="inlineStr">
        <is>
          <t>Mass-based CI emissions</t>
        </is>
      </c>
      <c r="G174">
        <f>'GHG Entry'!A31</f>
        <v/>
      </c>
      <c r="H174" t="inlineStr">
        <is>
          <t>Biochar production</t>
        </is>
      </c>
      <c r="I174" s="2">
        <f>Component!D148 * Datapoint!E542</f>
        <v/>
      </c>
      <c r="J174">
        <f>Component!E148 * Datapoint!E542</f>
        <v/>
      </c>
      <c r="K174">
        <f>Component!D148</f>
        <v/>
      </c>
      <c r="L174" t="inlineStr">
        <is>
          <t>partial</t>
        </is>
      </c>
      <c r="M174">
        <f>Datapoint!E542</f>
        <v/>
      </c>
      <c r="N174">
        <f>Datapoint!A542</f>
        <v/>
      </c>
      <c r="O174" t="inlineStr">
        <is>
          <t>activity</t>
        </is>
      </c>
    </row>
    <row r="175">
      <c r="A175" t="inlineStr">
        <is>
          <t>rvc_1KYA6ANEE1S09DKP</t>
        </is>
      </c>
      <c r="B175">
        <f>Component!A149</f>
        <v/>
      </c>
      <c r="C175" t="inlineStr">
        <is>
          <t>CO Flatbed Truck Transport Process Emissions</t>
        </is>
      </c>
      <c r="D175" t="inlineStr">
        <is>
          <t xml:space="preserve"> </t>
        </is>
      </c>
      <c r="E175" t="inlineStr">
        <is>
          <t>transport</t>
        </is>
      </c>
      <c r="F175" t="inlineStr">
        <is>
          <t>Transport emissions</t>
        </is>
      </c>
      <c r="G175">
        <f>'GHG Entry'!A31</f>
        <v/>
      </c>
      <c r="H175" t="inlineStr">
        <is>
          <t>Biochar transportation</t>
        </is>
      </c>
      <c r="I175" s="2">
        <f>Component!D149 * Datapoint!E543</f>
        <v/>
      </c>
      <c r="J175">
        <f>Component!E149 * Datapoint!E543</f>
        <v/>
      </c>
      <c r="K175">
        <f>Component!D149</f>
        <v/>
      </c>
      <c r="L175" t="inlineStr">
        <is>
          <t>partial</t>
        </is>
      </c>
      <c r="M175">
        <f>Datapoint!E543</f>
        <v/>
      </c>
      <c r="N175">
        <f>Datapoint!A543</f>
        <v/>
      </c>
      <c r="O175" t="inlineStr">
        <is>
          <t>activity</t>
        </is>
      </c>
    </row>
    <row r="176">
      <c r="A176" t="inlineStr">
        <is>
          <t>rvc_1KYA93AQT1S0CQP5</t>
        </is>
      </c>
      <c r="B176">
        <f>Component!A174</f>
        <v/>
      </c>
      <c r="C176" t="inlineStr">
        <is>
          <t>BCU - Transport Process</t>
        </is>
      </c>
      <c r="E176" t="inlineStr">
        <is>
          <t>constant_reduction</t>
        </is>
      </c>
      <c r="F176" t="inlineStr">
        <is>
          <t>Constant CO₂ reduction</t>
        </is>
      </c>
      <c r="G176">
        <f>'GHG Entry'!A31</f>
        <v/>
      </c>
      <c r="H176" t="inlineStr">
        <is>
          <t>Biochar storage</t>
        </is>
      </c>
      <c r="I176" s="2">
        <f>Component!D174 * Datapoint!E612</f>
        <v/>
      </c>
      <c r="J176">
        <f>Component!E174 * Datapoint!E612</f>
        <v/>
      </c>
      <c r="K176">
        <f>Component!D174</f>
        <v/>
      </c>
      <c r="L176" t="inlineStr">
        <is>
          <t>partial</t>
        </is>
      </c>
      <c r="M176">
        <f>Datapoint!E612</f>
        <v/>
      </c>
      <c r="N176">
        <f>Datapoint!A612</f>
        <v/>
      </c>
      <c r="O176" t="inlineStr">
        <is>
          <t>adjustment</t>
        </is>
      </c>
      <c r="P176" s="3" t="n">
        <v>46042</v>
      </c>
      <c r="Q176" s="3" t="n">
        <v>46042</v>
      </c>
    </row>
    <row r="177">
      <c r="A177" t="inlineStr">
        <is>
          <t>rvc_1KYN4431R1S07CXP</t>
        </is>
      </c>
      <c r="B177">
        <f>Component!A187</f>
        <v/>
      </c>
      <c r="C177" t="inlineStr">
        <is>
          <t>Over Allocated Emissions</t>
        </is>
      </c>
      <c r="E177" t="inlineStr">
        <is>
          <t>constant_activity_emissions</t>
        </is>
      </c>
      <c r="F177" t="inlineStr">
        <is>
          <t>Constant emissions</t>
        </is>
      </c>
      <c r="G177">
        <f>'GHG Entry'!A31</f>
        <v/>
      </c>
      <c r="H177" t="inlineStr">
        <is>
          <t>Biochar production</t>
        </is>
      </c>
      <c r="I177" s="2">
        <f>Component!D187 * Datapoint!E647</f>
        <v/>
      </c>
      <c r="J177">
        <f>Component!E187 * Datapoint!E647</f>
        <v/>
      </c>
      <c r="K177">
        <f>Component!D187</f>
        <v/>
      </c>
      <c r="L177" t="inlineStr">
        <is>
          <t>partial</t>
        </is>
      </c>
      <c r="M177">
        <f>Datapoint!E647</f>
        <v/>
      </c>
      <c r="N177">
        <f>Datapoint!A647</f>
        <v/>
      </c>
      <c r="O177" t="inlineStr">
        <is>
          <t>activity</t>
        </is>
      </c>
    </row>
    <row r="178">
      <c r="A178" t="inlineStr">
        <is>
          <t>rvc_1KYA74ZX41S02QF7</t>
        </is>
      </c>
      <c r="B178">
        <f>Component!A150</f>
        <v/>
      </c>
      <c r="C178" t="inlineStr">
        <is>
          <t>CO Flatbed Truck Transport Embodied Emissions</t>
        </is>
      </c>
      <c r="D178" t="inlineStr">
        <is>
          <t xml:space="preserve"> </t>
        </is>
      </c>
      <c r="E178" t="inlineStr">
        <is>
          <t>distance_based_ci_emissions</t>
        </is>
      </c>
      <c r="F178" t="inlineStr">
        <is>
          <t>Distance-based emissions</t>
        </is>
      </c>
      <c r="G178">
        <f>'GHG Entry'!A32</f>
        <v/>
      </c>
      <c r="H178" t="inlineStr">
        <is>
          <t>Biochar transportation</t>
        </is>
      </c>
      <c r="I178" s="2">
        <f>Component!D150 * Datapoint!E562</f>
        <v/>
      </c>
      <c r="J178">
        <f>Component!E150 * Datapoint!E562</f>
        <v/>
      </c>
      <c r="K178">
        <f>Component!D150</f>
        <v/>
      </c>
      <c r="L178" t="inlineStr">
        <is>
          <t>partial</t>
        </is>
      </c>
      <c r="M178">
        <f>Datapoint!E562</f>
        <v/>
      </c>
      <c r="N178">
        <f>Datapoint!A562</f>
        <v/>
      </c>
      <c r="O178" t="inlineStr">
        <is>
          <t>activity</t>
        </is>
      </c>
    </row>
    <row r="179">
      <c r="A179" t="inlineStr">
        <is>
          <t>rvc_1KYA74ZX41S0F2KJ</t>
        </is>
      </c>
      <c r="B179">
        <f>Component!A151</f>
        <v/>
      </c>
      <c r="C179" t="inlineStr">
        <is>
          <t>CO Flatbed Truck Transport Process Emissions</t>
        </is>
      </c>
      <c r="D179" t="inlineStr">
        <is>
          <t xml:space="preserve"> </t>
        </is>
      </c>
      <c r="E179" t="inlineStr">
        <is>
          <t>transport</t>
        </is>
      </c>
      <c r="F179" t="inlineStr">
        <is>
          <t>Transport emissions</t>
        </is>
      </c>
      <c r="G179">
        <f>'GHG Entry'!A32</f>
        <v/>
      </c>
      <c r="H179" t="inlineStr">
        <is>
          <t>Biochar transportation</t>
        </is>
      </c>
      <c r="I179" s="2">
        <f>Component!D151 * Datapoint!E559</f>
        <v/>
      </c>
      <c r="J179">
        <f>Component!E151 * Datapoint!E559</f>
        <v/>
      </c>
      <c r="K179">
        <f>Component!D151</f>
        <v/>
      </c>
      <c r="L179" t="inlineStr">
        <is>
          <t>partial</t>
        </is>
      </c>
      <c r="M179">
        <f>Datapoint!E559</f>
        <v/>
      </c>
      <c r="N179">
        <f>Datapoint!A559</f>
        <v/>
      </c>
      <c r="O179" t="inlineStr">
        <is>
          <t>activity</t>
        </is>
      </c>
    </row>
    <row r="180">
      <c r="A180" t="inlineStr">
        <is>
          <t>rvc_1KYA74ZX41S0VDQX</t>
        </is>
      </c>
      <c r="B180">
        <f>Component!A152</f>
        <v/>
      </c>
      <c r="C180" t="inlineStr">
        <is>
          <t>Biochar Spreading Emissions</t>
        </is>
      </c>
      <c r="D180" t="inlineStr">
        <is>
          <t xml:space="preserve"> </t>
        </is>
      </c>
      <c r="E180" t="inlineStr">
        <is>
          <t>mass_based_ci_emissions</t>
        </is>
      </c>
      <c r="F180" t="inlineStr">
        <is>
          <t>Mass-based CI emissions</t>
        </is>
      </c>
      <c r="G180">
        <f>'GHG Entry'!A32</f>
        <v/>
      </c>
      <c r="H180" t="inlineStr">
        <is>
          <t>Biochar storage</t>
        </is>
      </c>
      <c r="I180" s="2">
        <f>Component!D152 * Datapoint!E560</f>
        <v/>
      </c>
      <c r="J180">
        <f>Component!E152 * Datapoint!E560</f>
        <v/>
      </c>
      <c r="K180">
        <f>Component!D152</f>
        <v/>
      </c>
      <c r="L180" t="inlineStr">
        <is>
          <t>partial</t>
        </is>
      </c>
      <c r="M180">
        <f>Datapoint!E560</f>
        <v/>
      </c>
      <c r="N180">
        <f>Datapoint!A560</f>
        <v/>
      </c>
      <c r="O180" t="inlineStr">
        <is>
          <t>activity</t>
        </is>
      </c>
    </row>
    <row r="181">
      <c r="A181" t="inlineStr">
        <is>
          <t>rvc_1KYA74ZX41S0XP26</t>
        </is>
      </c>
      <c r="B181">
        <f>Component!A153</f>
        <v/>
      </c>
      <c r="C181" t="inlineStr">
        <is>
          <t>Biochar sequestration, 200 year durability</t>
        </is>
      </c>
      <c r="E181" t="inlineStr">
        <is>
          <t>biochar_sequestration_200_year_c_org</t>
        </is>
      </c>
      <c r="F181" t="inlineStr">
        <is>
          <t>Biochar sequestration, 200 year durability</t>
        </is>
      </c>
      <c r="G181">
        <f>'GHG Entry'!A32</f>
        <v/>
      </c>
      <c r="H181" t="inlineStr">
        <is>
          <t>Biochar storage</t>
        </is>
      </c>
      <c r="I181" s="2">
        <f>Component!D153 * Datapoint!E561</f>
        <v/>
      </c>
      <c r="J181">
        <f>Component!E153 * Datapoint!E561</f>
        <v/>
      </c>
      <c r="K181">
        <f>Component!D153</f>
        <v/>
      </c>
      <c r="L181" t="inlineStr">
        <is>
          <t>partial</t>
        </is>
      </c>
      <c r="M181">
        <f>Datapoint!E561</f>
        <v/>
      </c>
      <c r="N181">
        <f>Datapoint!A561</f>
        <v/>
      </c>
      <c r="O181" t="inlineStr">
        <is>
          <t>sequestration</t>
        </is>
      </c>
    </row>
    <row r="182">
      <c r="A182" t="inlineStr">
        <is>
          <t>rvc_1KYA93M5R1S0DYFG</t>
        </is>
      </c>
      <c r="B182">
        <f>Component!A175</f>
        <v/>
      </c>
      <c r="C182" t="inlineStr">
        <is>
          <t>BCU - Transport Process</t>
        </is>
      </c>
      <c r="E182" t="inlineStr">
        <is>
          <t>constant_reduction</t>
        </is>
      </c>
      <c r="F182" t="inlineStr">
        <is>
          <t>Constant CO₂ reduction</t>
        </is>
      </c>
      <c r="G182">
        <f>'GHG Entry'!A32</f>
        <v/>
      </c>
      <c r="H182" t="inlineStr">
        <is>
          <t>Biochar storage</t>
        </is>
      </c>
      <c r="I182" s="2">
        <f>Component!D175 * Datapoint!E614</f>
        <v/>
      </c>
      <c r="J182">
        <f>Component!E175 * Datapoint!E614</f>
        <v/>
      </c>
      <c r="K182">
        <f>Component!D175</f>
        <v/>
      </c>
      <c r="L182" t="inlineStr">
        <is>
          <t>partial</t>
        </is>
      </c>
      <c r="M182">
        <f>Datapoint!E614</f>
        <v/>
      </c>
      <c r="N182">
        <f>Datapoint!A614</f>
        <v/>
      </c>
      <c r="O182" t="inlineStr">
        <is>
          <t>adjustment</t>
        </is>
      </c>
      <c r="P182" s="3" t="n">
        <v>46101</v>
      </c>
      <c r="Q182" s="3" t="n">
        <v>46101</v>
      </c>
    </row>
    <row r="183">
      <c r="A183" t="inlineStr">
        <is>
          <t>rvc_1KYA75EW41S03CGV</t>
        </is>
      </c>
      <c r="B183">
        <f>Component!A154</f>
        <v/>
      </c>
      <c r="C183" t="inlineStr">
        <is>
          <t>CO Flatbed Truck Transport Process Emissions</t>
        </is>
      </c>
      <c r="D183" t="inlineStr">
        <is>
          <t xml:space="preserve"> </t>
        </is>
      </c>
      <c r="E183" t="inlineStr">
        <is>
          <t>transport</t>
        </is>
      </c>
      <c r="F183" t="inlineStr">
        <is>
          <t>Transport emissions</t>
        </is>
      </c>
      <c r="G183">
        <f>'GHG Entry'!A33</f>
        <v/>
      </c>
      <c r="H183" t="inlineStr">
        <is>
          <t>Biochar transportation</t>
        </is>
      </c>
      <c r="I183" s="2">
        <f>Component!D154 * Datapoint!E578</f>
        <v/>
      </c>
      <c r="J183">
        <f>Component!E154 * Datapoint!E578</f>
        <v/>
      </c>
      <c r="K183">
        <f>Component!D154</f>
        <v/>
      </c>
      <c r="L183" t="inlineStr">
        <is>
          <t>partial</t>
        </is>
      </c>
      <c r="M183">
        <f>Datapoint!E578</f>
        <v/>
      </c>
      <c r="N183">
        <f>Datapoint!A578</f>
        <v/>
      </c>
      <c r="O183" t="inlineStr">
        <is>
          <t>activity</t>
        </is>
      </c>
    </row>
    <row r="184">
      <c r="A184" t="inlineStr">
        <is>
          <t>rvc_1KYA75EW41S0FQN6</t>
        </is>
      </c>
      <c r="B184">
        <f>Component!A155</f>
        <v/>
      </c>
      <c r="C184" t="inlineStr">
        <is>
          <t>Biochar Spreading Emissions</t>
        </is>
      </c>
      <c r="D184" t="inlineStr">
        <is>
          <t xml:space="preserve"> </t>
        </is>
      </c>
      <c r="E184" t="inlineStr">
        <is>
          <t>mass_based_ci_emissions</t>
        </is>
      </c>
      <c r="F184" t="inlineStr">
        <is>
          <t>Mass-based CI emissions</t>
        </is>
      </c>
      <c r="G184">
        <f>'GHG Entry'!A33</f>
        <v/>
      </c>
      <c r="H184" t="inlineStr">
        <is>
          <t>Biochar storage</t>
        </is>
      </c>
      <c r="I184" s="2">
        <f>Component!D155 * Datapoint!E575</f>
        <v/>
      </c>
      <c r="J184">
        <f>Component!E155 * Datapoint!E575</f>
        <v/>
      </c>
      <c r="K184">
        <f>Component!D155</f>
        <v/>
      </c>
      <c r="L184" t="inlineStr">
        <is>
          <t>partial</t>
        </is>
      </c>
      <c r="M184">
        <f>Datapoint!E575</f>
        <v/>
      </c>
      <c r="N184">
        <f>Datapoint!A575</f>
        <v/>
      </c>
      <c r="O184" t="inlineStr">
        <is>
          <t>activity</t>
        </is>
      </c>
    </row>
    <row r="185">
      <c r="A185" t="inlineStr">
        <is>
          <t>rvc_1KYA75EW41S0HZZF</t>
        </is>
      </c>
      <c r="B185">
        <f>Component!A156</f>
        <v/>
      </c>
      <c r="C185" t="inlineStr">
        <is>
          <t>Biochar sequestration, 200 year durability</t>
        </is>
      </c>
      <c r="E185" t="inlineStr">
        <is>
          <t>biochar_sequestration_200_year_c_org</t>
        </is>
      </c>
      <c r="F185" t="inlineStr">
        <is>
          <t>Biochar sequestration, 200 year durability</t>
        </is>
      </c>
      <c r="G185">
        <f>'GHG Entry'!A33</f>
        <v/>
      </c>
      <c r="H185" t="inlineStr">
        <is>
          <t>Biochar storage</t>
        </is>
      </c>
      <c r="I185" s="2">
        <f>Component!D156 * Datapoint!E576</f>
        <v/>
      </c>
      <c r="J185">
        <f>Component!E156 * Datapoint!E576</f>
        <v/>
      </c>
      <c r="K185">
        <f>Component!D156</f>
        <v/>
      </c>
      <c r="L185" t="inlineStr">
        <is>
          <t>partial</t>
        </is>
      </c>
      <c r="M185">
        <f>Datapoint!E576</f>
        <v/>
      </c>
      <c r="N185">
        <f>Datapoint!A576</f>
        <v/>
      </c>
      <c r="O185" t="inlineStr">
        <is>
          <t>sequestration</t>
        </is>
      </c>
    </row>
    <row r="186">
      <c r="A186" t="inlineStr">
        <is>
          <t>rvc_1KYA75EW41S0Q1CG</t>
        </is>
      </c>
      <c r="B186">
        <f>Component!A157</f>
        <v/>
      </c>
      <c r="C186" t="inlineStr">
        <is>
          <t>CO Flatbed Truck Transport Embodied Emissions</t>
        </is>
      </c>
      <c r="D186" t="inlineStr">
        <is>
          <t xml:space="preserve"> </t>
        </is>
      </c>
      <c r="E186" t="inlineStr">
        <is>
          <t>distance_based_ci_emissions</t>
        </is>
      </c>
      <c r="F186" t="inlineStr">
        <is>
          <t>Distance-based emissions</t>
        </is>
      </c>
      <c r="G186">
        <f>'GHG Entry'!A33</f>
        <v/>
      </c>
      <c r="H186" t="inlineStr">
        <is>
          <t>Biochar transportation</t>
        </is>
      </c>
      <c r="I186" s="2">
        <f>Component!D157 * Datapoint!E577</f>
        <v/>
      </c>
      <c r="J186">
        <f>Component!E157 * Datapoint!E577</f>
        <v/>
      </c>
      <c r="K186">
        <f>Component!D157</f>
        <v/>
      </c>
      <c r="L186" t="inlineStr">
        <is>
          <t>partial</t>
        </is>
      </c>
      <c r="M186">
        <f>Datapoint!E577</f>
        <v/>
      </c>
      <c r="N186">
        <f>Datapoint!A577</f>
        <v/>
      </c>
      <c r="O186" t="inlineStr">
        <is>
          <t>activity</t>
        </is>
      </c>
    </row>
    <row r="187">
      <c r="A187" t="inlineStr">
        <is>
          <t>rvc_1KYA93Y3Q1S00HT7</t>
        </is>
      </c>
      <c r="B187">
        <f>Component!A176</f>
        <v/>
      </c>
      <c r="C187" t="inlineStr">
        <is>
          <t>BCU - Transport Process</t>
        </is>
      </c>
      <c r="E187" t="inlineStr">
        <is>
          <t>constant_reduction</t>
        </is>
      </c>
      <c r="F187" t="inlineStr">
        <is>
          <t>Constant CO₂ reduction</t>
        </is>
      </c>
      <c r="G187">
        <f>'GHG Entry'!A33</f>
        <v/>
      </c>
      <c r="H187" t="inlineStr">
        <is>
          <t>Biochar storage</t>
        </is>
      </c>
      <c r="I187" s="2">
        <f>Component!D176 * Datapoint!E616</f>
        <v/>
      </c>
      <c r="J187">
        <f>Component!E176 * Datapoint!E616</f>
        <v/>
      </c>
      <c r="K187">
        <f>Component!D176</f>
        <v/>
      </c>
      <c r="L187" t="inlineStr">
        <is>
          <t>partial</t>
        </is>
      </c>
      <c r="M187">
        <f>Datapoint!E616</f>
        <v/>
      </c>
      <c r="N187">
        <f>Datapoint!A616</f>
        <v/>
      </c>
      <c r="O187" t="inlineStr">
        <is>
          <t>adjustment</t>
        </is>
      </c>
      <c r="P187" s="3" t="n">
        <v>46101</v>
      </c>
      <c r="Q187" s="3" t="n">
        <v>46101</v>
      </c>
    </row>
    <row r="188">
      <c r="A188" t="inlineStr">
        <is>
          <t>rvc_1KYABT0NR1S01PE4</t>
        </is>
      </c>
      <c r="B188">
        <f>Component!A183</f>
        <v/>
      </c>
      <c r="C188" t="inlineStr">
        <is>
          <t>Biochar Production Emission (A)</t>
        </is>
      </c>
      <c r="E188" t="inlineStr">
        <is>
          <t>mass_based_ci_emissions</t>
        </is>
      </c>
      <c r="F188" t="inlineStr">
        <is>
          <t>Mass-based CI emissions</t>
        </is>
      </c>
      <c r="G188">
        <f>'GHG Entry'!A33</f>
        <v/>
      </c>
      <c r="H188" t="inlineStr">
        <is>
          <t>Biochar production</t>
        </is>
      </c>
      <c r="I188" s="2">
        <f>Component!D183 * Datapoint!E637</f>
        <v/>
      </c>
      <c r="J188">
        <f>Component!E183 * Datapoint!E637</f>
        <v/>
      </c>
      <c r="K188">
        <f>Component!D183</f>
        <v/>
      </c>
      <c r="L188" t="inlineStr">
        <is>
          <t>partial</t>
        </is>
      </c>
      <c r="M188">
        <f>Datapoint!E637</f>
        <v/>
      </c>
      <c r="N188">
        <f>Datapoint!A637</f>
        <v/>
      </c>
      <c r="O188" t="inlineStr">
        <is>
          <t>activity</t>
        </is>
      </c>
      <c r="P188" s="3" t="n">
        <v>46101</v>
      </c>
      <c r="Q188" s="3" t="n">
        <v>46101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Component ID</t>
        </is>
      </c>
      <c r="B1" s="1" t="inlineStr">
        <is>
          <t>Blueprint Key</t>
        </is>
      </c>
      <c r="C1" s="1" t="inlineStr">
        <is>
          <t>Blueprint Name</t>
        </is>
      </c>
      <c r="D1" s="4" t="inlineStr">
        <is>
          <t>CO2 Flux in kg</t>
        </is>
      </c>
      <c r="E1" s="1" t="inlineStr">
        <is>
          <t>CO₂e uncertainty (kg)</t>
        </is>
      </c>
      <c r="F1" s="1" t="inlineStr">
        <is>
          <t>Component Type</t>
        </is>
      </c>
      <c r="G1" s="1" t="inlineStr">
        <is>
          <t>Component Scope</t>
        </is>
      </c>
      <c r="H1" s="1" t="inlineStr">
        <is>
          <t>Display Name</t>
        </is>
      </c>
      <c r="I1" s="1" t="inlineStr">
        <is>
          <t>Description</t>
        </is>
      </c>
      <c r="J1" s="1" t="inlineStr">
        <is>
          <t>Date Activity Started</t>
        </is>
      </c>
      <c r="K1" s="1" t="inlineStr">
        <is>
          <t>Date Activity Completed</t>
        </is>
      </c>
      <c r="L1" s="1" t="inlineStr">
        <is>
          <t>Supplier reference ID</t>
        </is>
      </c>
    </row>
    <row r="2">
      <c r="D2" s="2" t="n"/>
    </row>
    <row r="3">
      <c r="A3" t="inlineStr">
        <is>
          <t>cmp_1KWCC0FY31S00Z7D</t>
        </is>
      </c>
      <c r="B3" t="inlineStr">
        <is>
          <t>mass_based_ci_emissions</t>
        </is>
      </c>
      <c r="C3" t="inlineStr">
        <is>
          <t>Mass-based CI emissions</t>
        </is>
      </c>
      <c r="D3" s="2">
        <f>Expression!E464</f>
        <v/>
      </c>
      <c r="E3">
        <f>Expression!F464</f>
        <v/>
      </c>
      <c r="F3" t="inlineStr">
        <is>
          <t>activity</t>
        </is>
      </c>
      <c r="G3" t="inlineStr">
        <is>
          <t>removal</t>
        </is>
      </c>
      <c r="H3" t="inlineStr">
        <is>
          <t>Biochar Spreading Emissions</t>
        </is>
      </c>
      <c r="I3" t="inlineStr">
        <is>
          <t xml:space="preserve"> </t>
        </is>
      </c>
    </row>
    <row r="4">
      <c r="A4" t="inlineStr">
        <is>
          <t>cmp_1KWCC0FY31S037HP</t>
        </is>
      </c>
      <c r="B4" t="inlineStr">
        <is>
          <t>biochar_sequestration_200_year_c_org</t>
        </is>
      </c>
      <c r="C4" t="inlineStr">
        <is>
          <t>Biochar sequestration, 200 year durability</t>
        </is>
      </c>
      <c r="D4" s="2">
        <f>Expression!E475</f>
        <v/>
      </c>
      <c r="E4">
        <f>Expression!F475</f>
        <v/>
      </c>
      <c r="F4" t="inlineStr">
        <is>
          <t>sequestration</t>
        </is>
      </c>
      <c r="G4" t="inlineStr">
        <is>
          <t>removal</t>
        </is>
      </c>
      <c r="H4" t="inlineStr">
        <is>
          <t>Biochar sequestration, 200 year durability</t>
        </is>
      </c>
    </row>
    <row r="5">
      <c r="A5" t="inlineStr">
        <is>
          <t>cmp_1KWCC0FY31S088YQ</t>
        </is>
      </c>
      <c r="B5" t="inlineStr">
        <is>
          <t>distance_based_ci_emissions</t>
        </is>
      </c>
      <c r="C5" t="inlineStr">
        <is>
          <t>Distance-based emissions</t>
        </is>
      </c>
      <c r="D5" s="2">
        <f>Expression!E196</f>
        <v/>
      </c>
      <c r="E5">
        <f>Expression!F196</f>
        <v/>
      </c>
      <c r="F5" t="inlineStr">
        <is>
          <t>activity</t>
        </is>
      </c>
      <c r="G5" t="inlineStr">
        <is>
          <t>removal</t>
        </is>
      </c>
      <c r="H5" t="inlineStr">
        <is>
          <t>CO Flatbed Truck Transport Embodied Emissions</t>
        </is>
      </c>
      <c r="I5" t="inlineStr">
        <is>
          <t xml:space="preserve"> </t>
        </is>
      </c>
    </row>
    <row r="6">
      <c r="A6" t="inlineStr">
        <is>
          <t>cmp_1KWCC0FY31S0FJP1</t>
        </is>
      </c>
      <c r="B6" t="inlineStr">
        <is>
          <t>mass_based_ci_emissions</t>
        </is>
      </c>
      <c r="C6" t="inlineStr">
        <is>
          <t>Mass-based CI emissions</t>
        </is>
      </c>
      <c r="D6" s="2">
        <f>Expression!E257</f>
        <v/>
      </c>
      <c r="E6">
        <f>Expression!F257</f>
        <v/>
      </c>
      <c r="F6" t="inlineStr">
        <is>
          <t>activity</t>
        </is>
      </c>
      <c r="G6" t="inlineStr">
        <is>
          <t>removal</t>
        </is>
      </c>
      <c r="H6" t="inlineStr">
        <is>
          <t>Biochar Production Emission (A)</t>
        </is>
      </c>
      <c r="I6" t="inlineStr">
        <is>
          <t xml:space="preserve"> </t>
        </is>
      </c>
    </row>
    <row r="7">
      <c r="A7" t="inlineStr">
        <is>
          <t>cmp_1KWCC0FY31S0MM32</t>
        </is>
      </c>
      <c r="B7" t="inlineStr">
        <is>
          <t>transport</t>
        </is>
      </c>
      <c r="C7" t="inlineStr">
        <is>
          <t>Transport emissions</t>
        </is>
      </c>
      <c r="D7" s="2">
        <f>Expression!E157</f>
        <v/>
      </c>
      <c r="E7">
        <f>Expression!F157</f>
        <v/>
      </c>
      <c r="F7" t="inlineStr">
        <is>
          <t>activity</t>
        </is>
      </c>
      <c r="G7" t="inlineStr">
        <is>
          <t>removal</t>
        </is>
      </c>
      <c r="H7" t="inlineStr">
        <is>
          <t>CO Flatbed Truck Transport Process Emissions</t>
        </is>
      </c>
      <c r="I7" t="inlineStr">
        <is>
          <t xml:space="preserve"> </t>
        </is>
      </c>
    </row>
    <row r="8">
      <c r="A8" t="inlineStr">
        <is>
          <t>cmp_1KWCSDFQF1S04YWJ</t>
        </is>
      </c>
      <c r="B8" t="inlineStr">
        <is>
          <t>mass_based_ci_emissions</t>
        </is>
      </c>
      <c r="C8" t="inlineStr">
        <is>
          <t>Mass-based CI emissions</t>
        </is>
      </c>
      <c r="D8" s="2">
        <f>Expression!E155</f>
        <v/>
      </c>
      <c r="E8">
        <f>Expression!F155</f>
        <v/>
      </c>
      <c r="F8" t="inlineStr">
        <is>
          <t>activity</t>
        </is>
      </c>
      <c r="G8" t="inlineStr">
        <is>
          <t>removal</t>
        </is>
      </c>
      <c r="H8" t="inlineStr">
        <is>
          <t>Biochar Production Emission (A)</t>
        </is>
      </c>
      <c r="I8" t="inlineStr">
        <is>
          <t xml:space="preserve"> </t>
        </is>
      </c>
    </row>
    <row r="9">
      <c r="A9" t="inlineStr">
        <is>
          <t>cmp_1KWCSDFQF1S0A09K</t>
        </is>
      </c>
      <c r="B9" t="inlineStr">
        <is>
          <t>transport</t>
        </is>
      </c>
      <c r="C9" t="inlineStr">
        <is>
          <t>Transport emissions</t>
        </is>
      </c>
      <c r="D9" s="2">
        <f>Expression!E23</f>
        <v/>
      </c>
      <c r="E9">
        <f>Expression!F23</f>
        <v/>
      </c>
      <c r="F9" t="inlineStr">
        <is>
          <t>activity</t>
        </is>
      </c>
      <c r="G9" t="inlineStr">
        <is>
          <t>removal</t>
        </is>
      </c>
      <c r="H9" t="inlineStr">
        <is>
          <t>CO Flatbed Truck Transport Process Emissions</t>
        </is>
      </c>
      <c r="I9" t="inlineStr">
        <is>
          <t xml:space="preserve"> </t>
        </is>
      </c>
    </row>
    <row r="10">
      <c r="A10" t="inlineStr">
        <is>
          <t>cmp_1KWCSDFQF1S0PBDY</t>
        </is>
      </c>
      <c r="B10" t="inlineStr">
        <is>
          <t>mass_based_ci_emissions</t>
        </is>
      </c>
      <c r="C10" t="inlineStr">
        <is>
          <t>Mass-based CI emissions</t>
        </is>
      </c>
      <c r="D10" s="2">
        <f>Expression!E123</f>
        <v/>
      </c>
      <c r="E10">
        <f>Expression!F123</f>
        <v/>
      </c>
      <c r="F10" t="inlineStr">
        <is>
          <t>activity</t>
        </is>
      </c>
      <c r="G10" t="inlineStr">
        <is>
          <t>removal</t>
        </is>
      </c>
      <c r="H10" t="inlineStr">
        <is>
          <t>Biochar Spreading Emissions</t>
        </is>
      </c>
      <c r="I10" t="inlineStr">
        <is>
          <t xml:space="preserve"> </t>
        </is>
      </c>
    </row>
    <row r="11">
      <c r="A11" t="inlineStr">
        <is>
          <t>cmp_1KWCSDFQF1S0RKR7</t>
        </is>
      </c>
      <c r="B11" t="inlineStr">
        <is>
          <t>biochar_sequestration_200_year_c_org</t>
        </is>
      </c>
      <c r="C11" t="inlineStr">
        <is>
          <t>Biochar sequestration, 200 year durability</t>
        </is>
      </c>
      <c r="D11" s="2">
        <f>Expression!E397</f>
        <v/>
      </c>
      <c r="E11">
        <f>Expression!F397</f>
        <v/>
      </c>
      <c r="F11" t="inlineStr">
        <is>
          <t>sequestration</t>
        </is>
      </c>
      <c r="G11" t="inlineStr">
        <is>
          <t>removal</t>
        </is>
      </c>
      <c r="H11" t="inlineStr">
        <is>
          <t>Biochar sequestration, 200 year durability</t>
        </is>
      </c>
    </row>
    <row r="12">
      <c r="A12" t="inlineStr">
        <is>
          <t>cmp_1KWCSDFQF1S0XN58</t>
        </is>
      </c>
      <c r="B12" t="inlineStr">
        <is>
          <t>distance_based_ci_emissions</t>
        </is>
      </c>
      <c r="C12" t="inlineStr">
        <is>
          <t>Distance-based emissions</t>
        </is>
      </c>
      <c r="D12" s="2">
        <f>Expression!E365</f>
        <v/>
      </c>
      <c r="E12">
        <f>Expression!F365</f>
        <v/>
      </c>
      <c r="F12" t="inlineStr">
        <is>
          <t>activity</t>
        </is>
      </c>
      <c r="G12" t="inlineStr">
        <is>
          <t>removal</t>
        </is>
      </c>
      <c r="H12" t="inlineStr">
        <is>
          <t>CO Flatbed Truck Transport Embodied Emissions</t>
        </is>
      </c>
      <c r="I12" t="inlineStr">
        <is>
          <t xml:space="preserve"> </t>
        </is>
      </c>
    </row>
    <row r="13">
      <c r="A13" t="inlineStr">
        <is>
          <t>cmp_1KWCY0G8W1S018J1</t>
        </is>
      </c>
      <c r="B13" t="inlineStr">
        <is>
          <t>mass_based_ci_emissions</t>
        </is>
      </c>
      <c r="C13" t="inlineStr">
        <is>
          <t>Mass-based CI emissions</t>
        </is>
      </c>
      <c r="D13" s="2">
        <f>Expression!E442</f>
        <v/>
      </c>
      <c r="E13">
        <f>Expression!F442</f>
        <v/>
      </c>
      <c r="F13" t="inlineStr">
        <is>
          <t>activity</t>
        </is>
      </c>
      <c r="G13" t="inlineStr">
        <is>
          <t>removal</t>
        </is>
      </c>
      <c r="H13" t="inlineStr">
        <is>
          <t>Biochar Production Emission (A)</t>
        </is>
      </c>
      <c r="I13" t="inlineStr">
        <is>
          <t xml:space="preserve"> </t>
        </is>
      </c>
    </row>
    <row r="14">
      <c r="A14" t="inlineStr">
        <is>
          <t>cmp_1KWCY0G8W1S069Z2</t>
        </is>
      </c>
      <c r="B14" t="inlineStr">
        <is>
          <t>transport</t>
        </is>
      </c>
      <c r="C14" t="inlineStr">
        <is>
          <t>Transport emissions</t>
        </is>
      </c>
      <c r="D14" s="2">
        <f>Expression!E336</f>
        <v/>
      </c>
      <c r="E14">
        <f>Expression!F336</f>
        <v/>
      </c>
      <c r="F14" t="inlineStr">
        <is>
          <t>activity</t>
        </is>
      </c>
      <c r="G14" t="inlineStr">
        <is>
          <t>removal</t>
        </is>
      </c>
      <c r="H14" t="inlineStr">
        <is>
          <t>CO Flatbed Truck Transport Process Emissions</t>
        </is>
      </c>
      <c r="I14" t="inlineStr">
        <is>
          <t xml:space="preserve"> </t>
        </is>
      </c>
    </row>
    <row r="15">
      <c r="A15" t="inlineStr">
        <is>
          <t>cmp_1KWCY0G8W1S0JN3D</t>
        </is>
      </c>
      <c r="B15" t="inlineStr">
        <is>
          <t>mass_based_ci_emissions</t>
        </is>
      </c>
      <c r="C15" t="inlineStr">
        <is>
          <t>Mass-based CI emissions</t>
        </is>
      </c>
      <c r="D15" s="2">
        <f>Expression!E220</f>
        <v/>
      </c>
      <c r="E15">
        <f>Expression!F220</f>
        <v/>
      </c>
      <c r="F15" t="inlineStr">
        <is>
          <t>activity</t>
        </is>
      </c>
      <c r="G15" t="inlineStr">
        <is>
          <t>removal</t>
        </is>
      </c>
      <c r="H15" t="inlineStr">
        <is>
          <t>Biochar Spreading Emissions</t>
        </is>
      </c>
      <c r="I15" t="inlineStr">
        <is>
          <t xml:space="preserve"> </t>
        </is>
      </c>
    </row>
    <row r="16">
      <c r="A16" t="inlineStr">
        <is>
          <t>cmp_1KWCY0G8W1S0MXDP</t>
        </is>
      </c>
      <c r="B16" t="inlineStr">
        <is>
          <t>biochar_sequestration_200_year_c_org</t>
        </is>
      </c>
      <c r="C16" t="inlineStr">
        <is>
          <t>Biochar sequestration, 200 year durability</t>
        </is>
      </c>
      <c r="D16" s="2">
        <f>Expression!E529</f>
        <v/>
      </c>
      <c r="E16">
        <f>Expression!F529</f>
        <v/>
      </c>
      <c r="F16" t="inlineStr">
        <is>
          <t>sequestration</t>
        </is>
      </c>
      <c r="G16" t="inlineStr">
        <is>
          <t>removal</t>
        </is>
      </c>
      <c r="H16" t="inlineStr">
        <is>
          <t>Biochar sequestration, 200 year durability</t>
        </is>
      </c>
    </row>
    <row r="17">
      <c r="A17" t="inlineStr">
        <is>
          <t>cmp_1KWCY0G8W1S0SYTQ</t>
        </is>
      </c>
      <c r="B17" t="inlineStr">
        <is>
          <t>distance_based_ci_emissions</t>
        </is>
      </c>
      <c r="C17" t="inlineStr">
        <is>
          <t>Distance-based emissions</t>
        </is>
      </c>
      <c r="D17" s="2">
        <f>Expression!E270</f>
        <v/>
      </c>
      <c r="E17">
        <f>Expression!F270</f>
        <v/>
      </c>
      <c r="F17" t="inlineStr">
        <is>
          <t>activity</t>
        </is>
      </c>
      <c r="G17" t="inlineStr">
        <is>
          <t>removal</t>
        </is>
      </c>
      <c r="H17" t="inlineStr">
        <is>
          <t>CO Flatbed Truck Transport Embodied Emissions</t>
        </is>
      </c>
      <c r="I17" t="inlineStr">
        <is>
          <t xml:space="preserve"> </t>
        </is>
      </c>
    </row>
    <row r="18">
      <c r="A18" t="inlineStr">
        <is>
          <t>cmp_1KWCZP1M61S0C5P4</t>
        </is>
      </c>
      <c r="B18" t="inlineStr">
        <is>
          <t>mass_based_ci_emissions</t>
        </is>
      </c>
      <c r="C18" t="inlineStr">
        <is>
          <t>Mass-based CI emissions</t>
        </is>
      </c>
      <c r="D18" s="2">
        <f>Expression!E89</f>
        <v/>
      </c>
      <c r="E18">
        <f>Expression!F89</f>
        <v/>
      </c>
      <c r="F18" t="inlineStr">
        <is>
          <t>activity</t>
        </is>
      </c>
      <c r="G18" t="inlineStr">
        <is>
          <t>removal</t>
        </is>
      </c>
      <c r="H18" t="inlineStr">
        <is>
          <t>Biochar Spreading Emissions</t>
        </is>
      </c>
      <c r="I18" t="inlineStr">
        <is>
          <t xml:space="preserve"> </t>
        </is>
      </c>
    </row>
    <row r="19">
      <c r="A19" t="inlineStr">
        <is>
          <t>cmp_1KWCZP1M61S0EE0D</t>
        </is>
      </c>
      <c r="B19" t="inlineStr">
        <is>
          <t>biochar_sequestration_200_year_c_org</t>
        </is>
      </c>
      <c r="C19" t="inlineStr">
        <is>
          <t>Biochar sequestration, 200 year durability</t>
        </is>
      </c>
      <c r="D19" s="2">
        <f>Expression!E120</f>
        <v/>
      </c>
      <c r="E19">
        <f>Expression!F120</f>
        <v/>
      </c>
      <c r="F19" t="inlineStr">
        <is>
          <t>sequestration</t>
        </is>
      </c>
      <c r="G19" t="inlineStr">
        <is>
          <t>removal</t>
        </is>
      </c>
      <c r="H19" t="inlineStr">
        <is>
          <t>Biochar sequestration, 200 year durability</t>
        </is>
      </c>
    </row>
    <row r="20">
      <c r="A20" t="inlineStr">
        <is>
          <t>cmp_1KWCZP1M61S0KFDE</t>
        </is>
      </c>
      <c r="B20" t="inlineStr">
        <is>
          <t>distance_based_ci_emissions</t>
        </is>
      </c>
      <c r="C20" t="inlineStr">
        <is>
          <t>Distance-based emissions</t>
        </is>
      </c>
      <c r="D20" s="2">
        <f>Expression!E428</f>
        <v/>
      </c>
      <c r="E20">
        <f>Expression!F428</f>
        <v/>
      </c>
      <c r="F20" t="inlineStr">
        <is>
          <t>activity</t>
        </is>
      </c>
      <c r="G20" t="inlineStr">
        <is>
          <t>removal</t>
        </is>
      </c>
      <c r="H20" t="inlineStr">
        <is>
          <t>CO Flatbed Truck Transport Embodied Emissions</t>
        </is>
      </c>
      <c r="I20" t="inlineStr">
        <is>
          <t xml:space="preserve"> </t>
        </is>
      </c>
    </row>
    <row r="21">
      <c r="A21" t="inlineStr">
        <is>
          <t>cmp_1KWCZP1M61S0TS4R</t>
        </is>
      </c>
      <c r="B21" t="inlineStr">
        <is>
          <t>mass_based_ci_emissions</t>
        </is>
      </c>
      <c r="C21" t="inlineStr">
        <is>
          <t>Mass-based CI emissions</t>
        </is>
      </c>
      <c r="D21" s="2">
        <f>Expression!E22</f>
        <v/>
      </c>
      <c r="E21">
        <f>Expression!F22</f>
        <v/>
      </c>
      <c r="F21" t="inlineStr">
        <is>
          <t>activity</t>
        </is>
      </c>
      <c r="G21" t="inlineStr">
        <is>
          <t>removal</t>
        </is>
      </c>
      <c r="H21" t="inlineStr">
        <is>
          <t>Biochar Production Emission (A)</t>
        </is>
      </c>
      <c r="I21" t="inlineStr">
        <is>
          <t xml:space="preserve"> </t>
        </is>
      </c>
    </row>
    <row r="22">
      <c r="A22" t="inlineStr">
        <is>
          <t>cmp_1KWCZP1M61S0ZTHS</t>
        </is>
      </c>
      <c r="B22" t="inlineStr">
        <is>
          <t>transport</t>
        </is>
      </c>
      <c r="C22" t="inlineStr">
        <is>
          <t>Transport emissions</t>
        </is>
      </c>
      <c r="D22" s="2">
        <f>Expression!E66</f>
        <v/>
      </c>
      <c r="E22">
        <f>Expression!F66</f>
        <v/>
      </c>
      <c r="F22" t="inlineStr">
        <is>
          <t>activity</t>
        </is>
      </c>
      <c r="G22" t="inlineStr">
        <is>
          <t>removal</t>
        </is>
      </c>
      <c r="H22" t="inlineStr">
        <is>
          <t>CO Flatbed Truck Transport Process Emissions</t>
        </is>
      </c>
      <c r="I22" t="inlineStr">
        <is>
          <t xml:space="preserve"> </t>
        </is>
      </c>
    </row>
    <row r="23">
      <c r="A23" t="inlineStr">
        <is>
          <t>cmp_1KXE4AHAG1S02RGH</t>
        </is>
      </c>
      <c r="B23" t="inlineStr">
        <is>
          <t>mass_based_ci_emissions</t>
        </is>
      </c>
      <c r="C23" t="inlineStr">
        <is>
          <t>Mass-based CI emissions</t>
        </is>
      </c>
      <c r="D23" s="2">
        <f>Expression!E156</f>
        <v/>
      </c>
      <c r="E23">
        <f>Expression!F156</f>
        <v/>
      </c>
      <c r="F23" t="inlineStr">
        <is>
          <t>activity</t>
        </is>
      </c>
      <c r="G23" t="inlineStr">
        <is>
          <t>removal</t>
        </is>
      </c>
      <c r="H23" t="inlineStr">
        <is>
          <t>Biochar Production Emission (A)</t>
        </is>
      </c>
      <c r="I23" t="inlineStr">
        <is>
          <t xml:space="preserve"> </t>
        </is>
      </c>
    </row>
    <row r="24">
      <c r="A24" t="inlineStr">
        <is>
          <t>cmp_1KXE4AHAG1S07SXJ</t>
        </is>
      </c>
      <c r="B24" t="inlineStr">
        <is>
          <t>transport</t>
        </is>
      </c>
      <c r="C24" t="inlineStr">
        <is>
          <t>Transport emissions</t>
        </is>
      </c>
      <c r="D24" s="2">
        <f>Expression!E510</f>
        <v/>
      </c>
      <c r="E24">
        <f>Expression!F510</f>
        <v/>
      </c>
      <c r="F24" t="inlineStr">
        <is>
          <t>activity</t>
        </is>
      </c>
      <c r="G24" t="inlineStr">
        <is>
          <t>removal</t>
        </is>
      </c>
      <c r="H24" t="inlineStr">
        <is>
          <t>CO Flatbed Truck Transport Process Emissions</t>
        </is>
      </c>
      <c r="I24" t="inlineStr">
        <is>
          <t xml:space="preserve"> </t>
        </is>
      </c>
    </row>
    <row r="25">
      <c r="A25" t="inlineStr">
        <is>
          <t>cmp_1KXE4AHAG1S0M51X</t>
        </is>
      </c>
      <c r="B25" t="inlineStr">
        <is>
          <t>mass_based_ci_emissions</t>
        </is>
      </c>
      <c r="C25" t="inlineStr">
        <is>
          <t>Mass-based CI emissions</t>
        </is>
      </c>
      <c r="D25" s="2">
        <f>Expression!E350</f>
        <v/>
      </c>
      <c r="E25">
        <f>Expression!F350</f>
        <v/>
      </c>
      <c r="F25" t="inlineStr">
        <is>
          <t>activity</t>
        </is>
      </c>
      <c r="G25" t="inlineStr">
        <is>
          <t>removal</t>
        </is>
      </c>
      <c r="H25" t="inlineStr">
        <is>
          <t>Biochar Spreading Emissions</t>
        </is>
      </c>
      <c r="I25" t="inlineStr">
        <is>
          <t xml:space="preserve"> </t>
        </is>
      </c>
    </row>
    <row r="26">
      <c r="A26" t="inlineStr">
        <is>
          <t>cmp_1KXE4AHAG1S0PDC6</t>
        </is>
      </c>
      <c r="B26" t="inlineStr">
        <is>
          <t>biochar_sequestration_200_year_c_org</t>
        </is>
      </c>
      <c r="C26" t="inlineStr">
        <is>
          <t>Biochar sequestration, 200 year durability</t>
        </is>
      </c>
      <c r="D26" s="2">
        <f>Expression!E168</f>
        <v/>
      </c>
      <c r="E26">
        <f>Expression!F168</f>
        <v/>
      </c>
      <c r="F26" t="inlineStr">
        <is>
          <t>sequestration</t>
        </is>
      </c>
      <c r="G26" t="inlineStr">
        <is>
          <t>removal</t>
        </is>
      </c>
      <c r="H26" t="inlineStr">
        <is>
          <t>Biochar sequestration, 200 year durability</t>
        </is>
      </c>
    </row>
    <row r="27">
      <c r="A27" t="inlineStr">
        <is>
          <t>cmp_1KXE4AHAG1S0VES7</t>
        </is>
      </c>
      <c r="B27" t="inlineStr">
        <is>
          <t>distance_based_ci_emissions</t>
        </is>
      </c>
      <c r="C27" t="inlineStr">
        <is>
          <t>Distance-based emissions</t>
        </is>
      </c>
      <c r="D27" s="2">
        <f>Expression!E213</f>
        <v/>
      </c>
      <c r="E27">
        <f>Expression!F213</f>
        <v/>
      </c>
      <c r="F27" t="inlineStr">
        <is>
          <t>activity</t>
        </is>
      </c>
      <c r="G27" t="inlineStr">
        <is>
          <t>removal</t>
        </is>
      </c>
      <c r="H27" t="inlineStr">
        <is>
          <t>CO Flatbed Truck Transport Embodied Emissions</t>
        </is>
      </c>
      <c r="I27" t="inlineStr">
        <is>
          <t xml:space="preserve"> </t>
        </is>
      </c>
    </row>
    <row r="28">
      <c r="A28" t="inlineStr">
        <is>
          <t>cmp_1KXE9RCXD1S0GF3H</t>
        </is>
      </c>
      <c r="B28" t="inlineStr">
        <is>
          <t>constant_reduction</t>
        </is>
      </c>
      <c r="C28" t="inlineStr">
        <is>
          <t>Constant CO₂ reduction</t>
        </is>
      </c>
      <c r="D28" s="2">
        <f>Expression!E6</f>
        <v/>
      </c>
      <c r="E28">
        <f>Expression!F6</f>
        <v/>
      </c>
      <c r="F28" t="inlineStr">
        <is>
          <t>adjustment</t>
        </is>
      </c>
      <c r="G28" t="inlineStr">
        <is>
          <t>removal</t>
        </is>
      </c>
      <c r="H28" t="inlineStr">
        <is>
          <t>BCU - Transport Process</t>
        </is>
      </c>
    </row>
    <row r="29">
      <c r="A29" t="inlineStr">
        <is>
          <t>cmp_1KXEA1TH21S01ND8</t>
        </is>
      </c>
      <c r="B29" t="inlineStr">
        <is>
          <t>transport</t>
        </is>
      </c>
      <c r="C29" t="inlineStr">
        <is>
          <t>Transport emissions</t>
        </is>
      </c>
      <c r="D29" s="2">
        <f>Expression!E477</f>
        <v/>
      </c>
      <c r="E29">
        <f>Expression!F477</f>
        <v/>
      </c>
      <c r="F29" t="inlineStr">
        <is>
          <t>activity</t>
        </is>
      </c>
      <c r="G29" t="inlineStr">
        <is>
          <t>removal</t>
        </is>
      </c>
      <c r="H29" t="inlineStr">
        <is>
          <t>CO Flatbed Truck Transport Process Emissions</t>
        </is>
      </c>
      <c r="I29" t="inlineStr">
        <is>
          <t xml:space="preserve"> </t>
        </is>
      </c>
    </row>
    <row r="30">
      <c r="A30" t="inlineStr">
        <is>
          <t>cmp_1KXEA1TH21S0E0HK</t>
        </is>
      </c>
      <c r="B30" t="inlineStr">
        <is>
          <t>mass_based_ci_emissions</t>
        </is>
      </c>
      <c r="C30" t="inlineStr">
        <is>
          <t>Mass-based CI emissions</t>
        </is>
      </c>
      <c r="D30" s="2">
        <f>Expression!E209</f>
        <v/>
      </c>
      <c r="E30">
        <f>Expression!F209</f>
        <v/>
      </c>
      <c r="F30" t="inlineStr">
        <is>
          <t>activity</t>
        </is>
      </c>
      <c r="G30" t="inlineStr">
        <is>
          <t>removal</t>
        </is>
      </c>
      <c r="H30" t="inlineStr">
        <is>
          <t>Biochar Spreading Emissions</t>
        </is>
      </c>
      <c r="I30" t="inlineStr">
        <is>
          <t xml:space="preserve"> </t>
        </is>
      </c>
    </row>
    <row r="31">
      <c r="A31" t="inlineStr">
        <is>
          <t>cmp_1KXEA1TH21S0G8VW</t>
        </is>
      </c>
      <c r="B31" t="inlineStr">
        <is>
          <t>biochar_sequestration_200_year_c_org</t>
        </is>
      </c>
      <c r="C31" t="inlineStr">
        <is>
          <t>Biochar sequestration, 200 year durability</t>
        </is>
      </c>
      <c r="D31" s="2">
        <f>Expression!E347</f>
        <v/>
      </c>
      <c r="E31">
        <f>Expression!F347</f>
        <v/>
      </c>
      <c r="F31" t="inlineStr">
        <is>
          <t>sequestration</t>
        </is>
      </c>
      <c r="G31" t="inlineStr">
        <is>
          <t>removal</t>
        </is>
      </c>
      <c r="H31" t="inlineStr">
        <is>
          <t>Biochar sequestration, 200 year durability</t>
        </is>
      </c>
    </row>
    <row r="32">
      <c r="A32" t="inlineStr">
        <is>
          <t>cmp_1KXEA1TH21S0NA8X</t>
        </is>
      </c>
      <c r="B32" t="inlineStr">
        <is>
          <t>distance_based_ci_emissions</t>
        </is>
      </c>
      <c r="C32" t="inlineStr">
        <is>
          <t>Distance-based emissions</t>
        </is>
      </c>
      <c r="D32" s="2">
        <f>Expression!E87</f>
        <v/>
      </c>
      <c r="E32">
        <f>Expression!F87</f>
        <v/>
      </c>
      <c r="F32" t="inlineStr">
        <is>
          <t>activity</t>
        </is>
      </c>
      <c r="G32" t="inlineStr">
        <is>
          <t>removal</t>
        </is>
      </c>
      <c r="H32" t="inlineStr">
        <is>
          <t>CO Flatbed Truck Transport Embodied Emissions</t>
        </is>
      </c>
      <c r="I32" t="inlineStr">
        <is>
          <t xml:space="preserve"> </t>
        </is>
      </c>
    </row>
    <row r="33">
      <c r="A33" t="inlineStr">
        <is>
          <t>cmp_1KXEA1TH21S0WM07</t>
        </is>
      </c>
      <c r="B33" t="inlineStr">
        <is>
          <t>mass_based_ci_emissions</t>
        </is>
      </c>
      <c r="C33" t="inlineStr">
        <is>
          <t>Mass-based CI emissions</t>
        </is>
      </c>
      <c r="D33" s="2">
        <f>Expression!E449</f>
        <v/>
      </c>
      <c r="E33">
        <f>Expression!F449</f>
        <v/>
      </c>
      <c r="F33" t="inlineStr">
        <is>
          <t>activity</t>
        </is>
      </c>
      <c r="G33" t="inlineStr">
        <is>
          <t>removal</t>
        </is>
      </c>
      <c r="H33" t="inlineStr">
        <is>
          <t>Biochar Production Emission (A)</t>
        </is>
      </c>
      <c r="I33" t="inlineStr">
        <is>
          <t xml:space="preserve"> </t>
        </is>
      </c>
    </row>
    <row r="34">
      <c r="A34" t="inlineStr">
        <is>
          <t>cmp_1KXEA3E4Q1S0VC7M</t>
        </is>
      </c>
      <c r="B34" t="inlineStr">
        <is>
          <t>constant_reduction</t>
        </is>
      </c>
      <c r="C34" t="inlineStr">
        <is>
          <t>Constant CO₂ reduction</t>
        </is>
      </c>
      <c r="D34" s="2">
        <f>Expression!E426</f>
        <v/>
      </c>
      <c r="E34">
        <f>Expression!F426</f>
        <v/>
      </c>
      <c r="F34" t="inlineStr">
        <is>
          <t>adjustment</t>
        </is>
      </c>
      <c r="G34" t="inlineStr">
        <is>
          <t>removal</t>
        </is>
      </c>
      <c r="H34" t="inlineStr">
        <is>
          <t>BCU - Transport Process</t>
        </is>
      </c>
    </row>
    <row r="35">
      <c r="A35" t="inlineStr">
        <is>
          <t>cmp_1KXEB42X91S0VGGS</t>
        </is>
      </c>
      <c r="B35" t="inlineStr">
        <is>
          <t>constant_reduction</t>
        </is>
      </c>
      <c r="C35" t="inlineStr">
        <is>
          <t>Constant CO₂ reduction</t>
        </is>
      </c>
      <c r="D35" s="2">
        <f>Expression!E169</f>
        <v/>
      </c>
      <c r="E35">
        <f>Expression!F169</f>
        <v/>
      </c>
      <c r="F35" t="inlineStr">
        <is>
          <t>adjustment</t>
        </is>
      </c>
      <c r="G35" t="inlineStr">
        <is>
          <t>removal</t>
        </is>
      </c>
      <c r="H35" t="inlineStr">
        <is>
          <t>BCU - Transport Process</t>
        </is>
      </c>
    </row>
    <row r="36">
      <c r="A36" t="inlineStr">
        <is>
          <t>cmp_1KXEBV2PW1S02CSH</t>
        </is>
      </c>
      <c r="B36" t="inlineStr">
        <is>
          <t>mass_based_ci_emissions</t>
        </is>
      </c>
      <c r="C36" t="inlineStr">
        <is>
          <t>Mass-based CI emissions</t>
        </is>
      </c>
      <c r="D36" s="2">
        <f>Expression!E181</f>
        <v/>
      </c>
      <c r="E36">
        <f>Expression!F181</f>
        <v/>
      </c>
      <c r="F36" t="inlineStr">
        <is>
          <t>activity</t>
        </is>
      </c>
      <c r="G36" t="inlineStr">
        <is>
          <t>removal</t>
        </is>
      </c>
      <c r="H36" t="inlineStr">
        <is>
          <t>Biochar Production Emission (A)</t>
        </is>
      </c>
      <c r="I36" t="inlineStr">
        <is>
          <t xml:space="preserve"> </t>
        </is>
      </c>
    </row>
    <row r="37">
      <c r="A37" t="inlineStr">
        <is>
          <t>cmp_1KXEBV2PW1S07E6J</t>
        </is>
      </c>
      <c r="B37" t="inlineStr">
        <is>
          <t>transport</t>
        </is>
      </c>
      <c r="C37" t="inlineStr">
        <is>
          <t>Transport emissions</t>
        </is>
      </c>
      <c r="D37" s="2">
        <f>Expression!E452</f>
        <v/>
      </c>
      <c r="E37">
        <f>Expression!F452</f>
        <v/>
      </c>
      <c r="F37" t="inlineStr">
        <is>
          <t>activity</t>
        </is>
      </c>
      <c r="G37" t="inlineStr">
        <is>
          <t>removal</t>
        </is>
      </c>
      <c r="H37" t="inlineStr">
        <is>
          <t>CO Flatbed Truck Transport Process Emissions</t>
        </is>
      </c>
      <c r="I37" t="inlineStr">
        <is>
          <t xml:space="preserve"> </t>
        </is>
      </c>
    </row>
    <row r="38">
      <c r="A38" t="inlineStr">
        <is>
          <t>cmp_1KXEBV2PW1S0KSAX</t>
        </is>
      </c>
      <c r="B38" t="inlineStr">
        <is>
          <t>mass_based_ci_emissions</t>
        </is>
      </c>
      <c r="C38" t="inlineStr">
        <is>
          <t>Mass-based CI emissions</t>
        </is>
      </c>
      <c r="D38" s="2">
        <f>Expression!E372</f>
        <v/>
      </c>
      <c r="E38">
        <f>Expression!F372</f>
        <v/>
      </c>
      <c r="F38" t="inlineStr">
        <is>
          <t>activity</t>
        </is>
      </c>
      <c r="G38" t="inlineStr">
        <is>
          <t>removal</t>
        </is>
      </c>
      <c r="H38" t="inlineStr">
        <is>
          <t>Biochar Spreading Emissions</t>
        </is>
      </c>
      <c r="I38" t="inlineStr">
        <is>
          <t xml:space="preserve"> </t>
        </is>
      </c>
    </row>
    <row r="39">
      <c r="A39" t="inlineStr">
        <is>
          <t>cmp_1KXEBV2PW1S0P1N6</t>
        </is>
      </c>
      <c r="B39" t="inlineStr">
        <is>
          <t>biochar_sequestration_200_year_c_org</t>
        </is>
      </c>
      <c r="C39" t="inlineStr">
        <is>
          <t>Biochar sequestration, 200 year durability</t>
        </is>
      </c>
      <c r="D39" s="2">
        <f>Expression!E463</f>
        <v/>
      </c>
      <c r="E39">
        <f>Expression!F463</f>
        <v/>
      </c>
      <c r="F39" t="inlineStr">
        <is>
          <t>sequestration</t>
        </is>
      </c>
      <c r="G39" t="inlineStr">
        <is>
          <t>removal</t>
        </is>
      </c>
      <c r="H39" t="inlineStr">
        <is>
          <t>Biochar sequestration, 200 year durability</t>
        </is>
      </c>
    </row>
    <row r="40">
      <c r="A40" t="inlineStr">
        <is>
          <t>cmp_1KXEBV2PW1S0V327</t>
        </is>
      </c>
      <c r="B40" t="inlineStr">
        <is>
          <t>distance_based_ci_emissions</t>
        </is>
      </c>
      <c r="C40" t="inlineStr">
        <is>
          <t>Distance-based emissions</t>
        </is>
      </c>
      <c r="D40" s="2">
        <f>Expression!E108</f>
        <v/>
      </c>
      <c r="E40">
        <f>Expression!F108</f>
        <v/>
      </c>
      <c r="F40" t="inlineStr">
        <is>
          <t>activity</t>
        </is>
      </c>
      <c r="G40" t="inlineStr">
        <is>
          <t>removal</t>
        </is>
      </c>
      <c r="H40" t="inlineStr">
        <is>
          <t>CO Flatbed Truck Transport Embodied Emissions</t>
        </is>
      </c>
      <c r="I40" t="inlineStr">
        <is>
          <t xml:space="preserve"> </t>
        </is>
      </c>
    </row>
    <row r="41">
      <c r="A41" t="inlineStr">
        <is>
          <t>cmp_1KXEBZVFK1S00M8F</t>
        </is>
      </c>
      <c r="B41" t="inlineStr">
        <is>
          <t>constant_reduction</t>
        </is>
      </c>
      <c r="C41" t="inlineStr">
        <is>
          <t>Constant CO₂ reduction</t>
        </is>
      </c>
      <c r="D41" s="2">
        <f>Expression!E515</f>
        <v/>
      </c>
      <c r="E41">
        <f>Expression!F515</f>
        <v/>
      </c>
      <c r="F41" t="inlineStr">
        <is>
          <t>adjustment</t>
        </is>
      </c>
      <c r="G41" t="inlineStr">
        <is>
          <t>removal</t>
        </is>
      </c>
      <c r="H41" t="inlineStr">
        <is>
          <t>BCU - Transport Process</t>
        </is>
      </c>
    </row>
    <row r="42">
      <c r="A42" t="inlineStr">
        <is>
          <t>cmp_1KXECAV741S00D1J</t>
        </is>
      </c>
      <c r="B42" t="inlineStr">
        <is>
          <t>mass_based_ci_emissions</t>
        </is>
      </c>
      <c r="C42" t="inlineStr">
        <is>
          <t>Mass-based CI emissions</t>
        </is>
      </c>
      <c r="D42" s="2">
        <f>Expression!E351</f>
        <v/>
      </c>
      <c r="E42">
        <f>Expression!F351</f>
        <v/>
      </c>
      <c r="F42" t="inlineStr">
        <is>
          <t>activity</t>
        </is>
      </c>
      <c r="G42" t="inlineStr">
        <is>
          <t>removal</t>
        </is>
      </c>
      <c r="H42" t="inlineStr">
        <is>
          <t>Biochar Production Emission (A)</t>
        </is>
      </c>
      <c r="I42" t="inlineStr">
        <is>
          <t xml:space="preserve"> </t>
        </is>
      </c>
    </row>
    <row r="43">
      <c r="A43" t="inlineStr">
        <is>
          <t>cmp_1KXECAV741S05EEK</t>
        </is>
      </c>
      <c r="B43" t="inlineStr">
        <is>
          <t>transport</t>
        </is>
      </c>
      <c r="C43" t="inlineStr">
        <is>
          <t>Transport emissions</t>
        </is>
      </c>
      <c r="D43" s="2">
        <f>Expression!E507</f>
        <v/>
      </c>
      <c r="E43">
        <f>Expression!F507</f>
        <v/>
      </c>
      <c r="F43" t="inlineStr">
        <is>
          <t>activity</t>
        </is>
      </c>
      <c r="G43" t="inlineStr">
        <is>
          <t>removal</t>
        </is>
      </c>
      <c r="H43" t="inlineStr">
        <is>
          <t>CO Flatbed Truck Transport Process Emissions</t>
        </is>
      </c>
      <c r="I43" t="inlineStr">
        <is>
          <t xml:space="preserve"> </t>
        </is>
      </c>
    </row>
    <row r="44">
      <c r="A44" t="inlineStr">
        <is>
          <t>cmp_1KXECAV741S0HSJY</t>
        </is>
      </c>
      <c r="B44" t="inlineStr">
        <is>
          <t>mass_based_ci_emissions</t>
        </is>
      </c>
      <c r="C44" t="inlineStr">
        <is>
          <t>Mass-based CI emissions</t>
        </is>
      </c>
      <c r="D44" s="2">
        <f>Expression!E255</f>
        <v/>
      </c>
      <c r="E44">
        <f>Expression!F255</f>
        <v/>
      </c>
      <c r="F44" t="inlineStr">
        <is>
          <t>activity</t>
        </is>
      </c>
      <c r="G44" t="inlineStr">
        <is>
          <t>removal</t>
        </is>
      </c>
      <c r="H44" t="inlineStr">
        <is>
          <t>Biochar Spreading Emissions</t>
        </is>
      </c>
      <c r="I44" t="inlineStr">
        <is>
          <t xml:space="preserve"> </t>
        </is>
      </c>
    </row>
    <row r="45">
      <c r="A45" t="inlineStr">
        <is>
          <t>cmp_1KXECAV741S0M1X7</t>
        </is>
      </c>
      <c r="B45" t="inlineStr">
        <is>
          <t>biochar_sequestration_200_year_c_org</t>
        </is>
      </c>
      <c r="C45" t="inlineStr">
        <is>
          <t>Biochar sequestration, 200 year durability</t>
        </is>
      </c>
      <c r="D45" s="2">
        <f>Expression!E283</f>
        <v/>
      </c>
      <c r="E45">
        <f>Expression!F283</f>
        <v/>
      </c>
      <c r="F45" t="inlineStr">
        <is>
          <t>sequestration</t>
        </is>
      </c>
      <c r="G45" t="inlineStr">
        <is>
          <t>removal</t>
        </is>
      </c>
      <c r="H45" t="inlineStr">
        <is>
          <t>Biochar sequestration, 200 year durability</t>
        </is>
      </c>
    </row>
    <row r="46">
      <c r="A46" t="inlineStr">
        <is>
          <t>cmp_1KXECAV741S0S3A8</t>
        </is>
      </c>
      <c r="B46" t="inlineStr">
        <is>
          <t>distance_based_ci_emissions</t>
        </is>
      </c>
      <c r="C46" t="inlineStr">
        <is>
          <t>Distance-based emissions</t>
        </is>
      </c>
      <c r="D46" s="2">
        <f>Expression!E441</f>
        <v/>
      </c>
      <c r="E46">
        <f>Expression!F441</f>
        <v/>
      </c>
      <c r="F46" t="inlineStr">
        <is>
          <t>activity</t>
        </is>
      </c>
      <c r="G46" t="inlineStr">
        <is>
          <t>removal</t>
        </is>
      </c>
      <c r="H46" t="inlineStr">
        <is>
          <t>CO Flatbed Truck Transport Embodied Emissions</t>
        </is>
      </c>
      <c r="I46" t="inlineStr">
        <is>
          <t xml:space="preserve"> </t>
        </is>
      </c>
    </row>
    <row r="47">
      <c r="A47" t="inlineStr">
        <is>
          <t>cmp_1KXECGAQV1S0K4NE</t>
        </is>
      </c>
      <c r="B47" t="inlineStr">
        <is>
          <t>constant_reduction</t>
        </is>
      </c>
      <c r="C47" t="inlineStr">
        <is>
          <t>Constant CO₂ reduction</t>
        </is>
      </c>
      <c r="D47" s="2">
        <f>Expression!E301</f>
        <v/>
      </c>
      <c r="E47">
        <f>Expression!F301</f>
        <v/>
      </c>
      <c r="F47" t="inlineStr">
        <is>
          <t>adjustment</t>
        </is>
      </c>
      <c r="G47" t="inlineStr">
        <is>
          <t>removal</t>
        </is>
      </c>
      <c r="H47" t="inlineStr">
        <is>
          <t>BCU - Transport Process</t>
        </is>
      </c>
    </row>
    <row r="48">
      <c r="A48" t="inlineStr">
        <is>
          <t>cmp_1KXEHAAVZ1S05FT0</t>
        </is>
      </c>
      <c r="B48" t="inlineStr">
        <is>
          <t>mass_based_ci_emissions</t>
        </is>
      </c>
      <c r="C48" t="inlineStr">
        <is>
          <t>Mass-based CI emissions</t>
        </is>
      </c>
      <c r="D48" s="2">
        <f>Expression!E229</f>
        <v/>
      </c>
      <c r="E48">
        <f>Expression!F229</f>
        <v/>
      </c>
      <c r="F48" t="inlineStr">
        <is>
          <t>activity</t>
        </is>
      </c>
      <c r="G48" t="inlineStr">
        <is>
          <t>removal</t>
        </is>
      </c>
      <c r="H48" t="inlineStr">
        <is>
          <t>Biochar Spreading Emissions</t>
        </is>
      </c>
      <c r="I48" t="inlineStr">
        <is>
          <t xml:space="preserve"> </t>
        </is>
      </c>
    </row>
    <row r="49">
      <c r="A49" t="inlineStr">
        <is>
          <t>cmp_1KXEHAAVZ1S07R49</t>
        </is>
      </c>
      <c r="B49" t="inlineStr">
        <is>
          <t>biochar_sequestration_200_year_c_org</t>
        </is>
      </c>
      <c r="C49" t="inlineStr">
        <is>
          <t>Biochar sequestration, 200 year durability</t>
        </is>
      </c>
      <c r="D49" s="2">
        <f>Expression!E193</f>
        <v/>
      </c>
      <c r="E49">
        <f>Expression!F193</f>
        <v/>
      </c>
      <c r="F49" t="inlineStr">
        <is>
          <t>sequestration</t>
        </is>
      </c>
      <c r="G49" t="inlineStr">
        <is>
          <t>removal</t>
        </is>
      </c>
      <c r="H49" t="inlineStr">
        <is>
          <t>Biochar sequestration, 200 year durability</t>
        </is>
      </c>
    </row>
    <row r="50">
      <c r="A50" t="inlineStr">
        <is>
          <t>cmp_1KXEHAAVZ1S0CSHA</t>
        </is>
      </c>
      <c r="B50" t="inlineStr">
        <is>
          <t>distance_based_ci_emissions</t>
        </is>
      </c>
      <c r="C50" t="inlineStr">
        <is>
          <t>Distance-based emissions</t>
        </is>
      </c>
      <c r="D50" s="2">
        <f>Expression!E425</f>
        <v/>
      </c>
      <c r="E50">
        <f>Expression!F425</f>
        <v/>
      </c>
      <c r="F50" t="inlineStr">
        <is>
          <t>activity</t>
        </is>
      </c>
      <c r="G50" t="inlineStr">
        <is>
          <t>removal</t>
        </is>
      </c>
      <c r="H50" t="inlineStr">
        <is>
          <t>CO Flatbed Truck Transport Embodied Emissions</t>
        </is>
      </c>
      <c r="I50" t="inlineStr">
        <is>
          <t xml:space="preserve"> </t>
        </is>
      </c>
    </row>
    <row r="51">
      <c r="A51" t="inlineStr">
        <is>
          <t>cmp_1KXEHAAVZ1S0M38M</t>
        </is>
      </c>
      <c r="B51" t="inlineStr">
        <is>
          <t>mass_based_ci_emissions</t>
        </is>
      </c>
      <c r="C51" t="inlineStr">
        <is>
          <t>Mass-based CI emissions</t>
        </is>
      </c>
      <c r="D51" s="2">
        <f>Expression!E476</f>
        <v/>
      </c>
      <c r="E51">
        <f>Expression!F476</f>
        <v/>
      </c>
      <c r="F51" t="inlineStr">
        <is>
          <t>activity</t>
        </is>
      </c>
      <c r="G51" t="inlineStr">
        <is>
          <t>removal</t>
        </is>
      </c>
      <c r="H51" t="inlineStr">
        <is>
          <t>Biochar Production Emission (A)</t>
        </is>
      </c>
      <c r="I51" t="inlineStr">
        <is>
          <t xml:space="preserve"> </t>
        </is>
      </c>
    </row>
    <row r="52">
      <c r="A52" t="inlineStr">
        <is>
          <t>cmp_1KXEHAAVZ1S0S4NN</t>
        </is>
      </c>
      <c r="B52" t="inlineStr">
        <is>
          <t>transport</t>
        </is>
      </c>
      <c r="C52" t="inlineStr">
        <is>
          <t>Transport emissions</t>
        </is>
      </c>
      <c r="D52" s="2">
        <f>Expression!E254</f>
        <v/>
      </c>
      <c r="E52">
        <f>Expression!F254</f>
        <v/>
      </c>
      <c r="F52" t="inlineStr">
        <is>
          <t>activity</t>
        </is>
      </c>
      <c r="G52" t="inlineStr">
        <is>
          <t>removal</t>
        </is>
      </c>
      <c r="H52" t="inlineStr">
        <is>
          <t>CO Flatbed Truck Transport Process Emissions</t>
        </is>
      </c>
      <c r="I52" t="inlineStr">
        <is>
          <t xml:space="preserve"> </t>
        </is>
      </c>
    </row>
    <row r="53">
      <c r="A53" t="inlineStr">
        <is>
          <t>cmp_1KXEHM2ZW1S0G6PE</t>
        </is>
      </c>
      <c r="B53" t="inlineStr">
        <is>
          <t>constant_reduction</t>
        </is>
      </c>
      <c r="C53" t="inlineStr">
        <is>
          <t>Constant CO₂ reduction</t>
        </is>
      </c>
      <c r="D53" s="2">
        <f>Expression!E122</f>
        <v/>
      </c>
      <c r="E53">
        <f>Expression!F122</f>
        <v/>
      </c>
      <c r="F53" t="inlineStr">
        <is>
          <t>adjustment</t>
        </is>
      </c>
      <c r="G53" t="inlineStr">
        <is>
          <t>removal</t>
        </is>
      </c>
      <c r="H53" t="inlineStr">
        <is>
          <t>BCU - Transport Process</t>
        </is>
      </c>
    </row>
    <row r="54">
      <c r="A54" t="inlineStr">
        <is>
          <t>cmp_1KXEJCGYM1S01QGZ</t>
        </is>
      </c>
      <c r="B54" t="inlineStr">
        <is>
          <t>mass_based_ci_emissions</t>
        </is>
      </c>
      <c r="C54" t="inlineStr">
        <is>
          <t>Mass-based CI emissions</t>
        </is>
      </c>
      <c r="D54" s="2">
        <f>Expression!E173</f>
        <v/>
      </c>
      <c r="E54">
        <f>Expression!F173</f>
        <v/>
      </c>
      <c r="F54" t="inlineStr">
        <is>
          <t>activity</t>
        </is>
      </c>
      <c r="G54" t="inlineStr">
        <is>
          <t>removal</t>
        </is>
      </c>
      <c r="H54" t="inlineStr">
        <is>
          <t>Biochar Production Emission (A)</t>
        </is>
      </c>
      <c r="I54" t="inlineStr">
        <is>
          <t xml:space="preserve"> </t>
        </is>
      </c>
    </row>
    <row r="55">
      <c r="A55" t="inlineStr">
        <is>
          <t>cmp_1KXEJCGYM1S06RY0</t>
        </is>
      </c>
      <c r="B55" t="inlineStr">
        <is>
          <t>transport</t>
        </is>
      </c>
      <c r="C55" t="inlineStr">
        <is>
          <t>Transport emissions</t>
        </is>
      </c>
      <c r="D55" s="2">
        <f>Expression!E369</f>
        <v/>
      </c>
      <c r="E55">
        <f>Expression!F369</f>
        <v/>
      </c>
      <c r="F55" t="inlineStr">
        <is>
          <t>activity</t>
        </is>
      </c>
      <c r="G55" t="inlineStr">
        <is>
          <t>removal</t>
        </is>
      </c>
      <c r="H55" t="inlineStr">
        <is>
          <t>CO Flatbed Truck Transport Process Emissions</t>
        </is>
      </c>
      <c r="I55" t="inlineStr">
        <is>
          <t xml:space="preserve"> </t>
        </is>
      </c>
    </row>
    <row r="56">
      <c r="A56" t="inlineStr">
        <is>
          <t>cmp_1KXEJCGYM1S0K42B</t>
        </is>
      </c>
      <c r="B56" t="inlineStr">
        <is>
          <t>mass_based_ci_emissions</t>
        </is>
      </c>
      <c r="C56" t="inlineStr">
        <is>
          <t>Mass-based CI emissions</t>
        </is>
      </c>
      <c r="D56" s="2">
        <f>Expression!E179</f>
        <v/>
      </c>
      <c r="E56">
        <f>Expression!F179</f>
        <v/>
      </c>
      <c r="F56" t="inlineStr">
        <is>
          <t>activity</t>
        </is>
      </c>
      <c r="G56" t="inlineStr">
        <is>
          <t>removal</t>
        </is>
      </c>
      <c r="H56" t="inlineStr">
        <is>
          <t>Biochar Spreading Emissions</t>
        </is>
      </c>
      <c r="I56" t="inlineStr">
        <is>
          <t xml:space="preserve"> </t>
        </is>
      </c>
    </row>
    <row r="57">
      <c r="A57" t="inlineStr">
        <is>
          <t>cmp_1KXEJCGYM1S0NCCM</t>
        </is>
      </c>
      <c r="B57" t="inlineStr">
        <is>
          <t>biochar_sequestration_200_year_c_org</t>
        </is>
      </c>
      <c r="C57" t="inlineStr">
        <is>
          <t>Biochar sequestration, 200 year durability</t>
        </is>
      </c>
      <c r="D57" s="2">
        <f>Expression!E36</f>
        <v/>
      </c>
      <c r="E57">
        <f>Expression!F36</f>
        <v/>
      </c>
      <c r="F57" t="inlineStr">
        <is>
          <t>sequestration</t>
        </is>
      </c>
      <c r="G57" t="inlineStr">
        <is>
          <t>removal</t>
        </is>
      </c>
      <c r="H57" t="inlineStr">
        <is>
          <t>Biochar sequestration, 200 year durability</t>
        </is>
      </c>
    </row>
    <row r="58">
      <c r="A58" t="inlineStr">
        <is>
          <t>cmp_1KXEJCGYM1S0TDSN</t>
        </is>
      </c>
      <c r="B58" t="inlineStr">
        <is>
          <t>distance_based_ci_emissions</t>
        </is>
      </c>
      <c r="C58" t="inlineStr">
        <is>
          <t>Distance-based emissions</t>
        </is>
      </c>
      <c r="D58" s="2">
        <f>Expression!E80</f>
        <v/>
      </c>
      <c r="E58">
        <f>Expression!F80</f>
        <v/>
      </c>
      <c r="F58" t="inlineStr">
        <is>
          <t>activity</t>
        </is>
      </c>
      <c r="G58" t="inlineStr">
        <is>
          <t>removal</t>
        </is>
      </c>
      <c r="H58" t="inlineStr">
        <is>
          <t>CO Flatbed Truck Transport Embodied Emissions</t>
        </is>
      </c>
      <c r="I58" t="inlineStr">
        <is>
          <t xml:space="preserve"> </t>
        </is>
      </c>
    </row>
    <row r="59">
      <c r="A59" t="inlineStr">
        <is>
          <t>cmp_1KXEJD28G1S04MWW</t>
        </is>
      </c>
      <c r="B59" t="inlineStr">
        <is>
          <t>transport</t>
        </is>
      </c>
      <c r="C59" t="inlineStr">
        <is>
          <t>Transport emissions</t>
        </is>
      </c>
      <c r="D59" s="2">
        <f>Expression!E84</f>
        <v/>
      </c>
      <c r="E59">
        <f>Expression!F84</f>
        <v/>
      </c>
      <c r="F59" t="inlineStr">
        <is>
          <t>activity</t>
        </is>
      </c>
      <c r="G59" t="inlineStr">
        <is>
          <t>removal</t>
        </is>
      </c>
      <c r="H59" t="inlineStr">
        <is>
          <t>CO Flatbed Truck Transport Process Emissions</t>
        </is>
      </c>
      <c r="I59" t="inlineStr">
        <is>
          <t xml:space="preserve"> </t>
        </is>
      </c>
    </row>
    <row r="60">
      <c r="A60" t="inlineStr">
        <is>
          <t>cmp_1KXEJD28G1S0H017</t>
        </is>
      </c>
      <c r="B60" t="inlineStr">
        <is>
          <t>mass_based_ci_emissions</t>
        </is>
      </c>
      <c r="C60" t="inlineStr">
        <is>
          <t>Mass-based CI emissions</t>
        </is>
      </c>
      <c r="D60" s="2">
        <f>Expression!E174</f>
        <v/>
      </c>
      <c r="E60">
        <f>Expression!F174</f>
        <v/>
      </c>
      <c r="F60" t="inlineStr">
        <is>
          <t>activity</t>
        </is>
      </c>
      <c r="G60" t="inlineStr">
        <is>
          <t>removal</t>
        </is>
      </c>
      <c r="H60" t="inlineStr">
        <is>
          <t>Biochar Spreading Emissions</t>
        </is>
      </c>
      <c r="I60" t="inlineStr">
        <is>
          <t xml:space="preserve"> </t>
        </is>
      </c>
    </row>
    <row r="61">
      <c r="A61" t="inlineStr">
        <is>
          <t>cmp_1KXEJD28G1S0K8BG</t>
        </is>
      </c>
      <c r="B61" t="inlineStr">
        <is>
          <t>biochar_sequestration_200_year_c_org</t>
        </is>
      </c>
      <c r="C61" t="inlineStr">
        <is>
          <t>Biochar sequestration, 200 year durability</t>
        </is>
      </c>
      <c r="D61" s="2">
        <f>Expression!E101</f>
        <v/>
      </c>
      <c r="E61">
        <f>Expression!F101</f>
        <v/>
      </c>
      <c r="F61" t="inlineStr">
        <is>
          <t>sequestration</t>
        </is>
      </c>
      <c r="G61" t="inlineStr">
        <is>
          <t>removal</t>
        </is>
      </c>
      <c r="H61" t="inlineStr">
        <is>
          <t>Biochar sequestration, 200 year durability</t>
        </is>
      </c>
    </row>
    <row r="62">
      <c r="A62" t="inlineStr">
        <is>
          <t>cmp_1KXEJD28G1S0R9RH</t>
        </is>
      </c>
      <c r="B62" t="inlineStr">
        <is>
          <t>distance_based_ci_emissions</t>
        </is>
      </c>
      <c r="C62" t="inlineStr">
        <is>
          <t>Distance-based emissions</t>
        </is>
      </c>
      <c r="D62" s="2">
        <f>Expression!E509</f>
        <v/>
      </c>
      <c r="E62">
        <f>Expression!F509</f>
        <v/>
      </c>
      <c r="F62" t="inlineStr">
        <is>
          <t>activity</t>
        </is>
      </c>
      <c r="G62" t="inlineStr">
        <is>
          <t>removal</t>
        </is>
      </c>
      <c r="H62" t="inlineStr">
        <is>
          <t>CO Flatbed Truck Transport Embodied Emissions</t>
        </is>
      </c>
      <c r="I62" t="inlineStr">
        <is>
          <t xml:space="preserve"> </t>
        </is>
      </c>
    </row>
    <row r="63">
      <c r="A63" t="inlineStr">
        <is>
          <t>cmp_1KXEJD28G1S0ZKFV</t>
        </is>
      </c>
      <c r="B63" t="inlineStr">
        <is>
          <t>mass_based_ci_emissions</t>
        </is>
      </c>
      <c r="C63" t="inlineStr">
        <is>
          <t>Mass-based CI emissions</t>
        </is>
      </c>
      <c r="D63" s="2">
        <f>Expression!E25</f>
        <v/>
      </c>
      <c r="E63">
        <f>Expression!F25</f>
        <v/>
      </c>
      <c r="F63" t="inlineStr">
        <is>
          <t>activity</t>
        </is>
      </c>
      <c r="G63" t="inlineStr">
        <is>
          <t>removal</t>
        </is>
      </c>
      <c r="H63" t="inlineStr">
        <is>
          <t>Biochar Production Emission (A)</t>
        </is>
      </c>
      <c r="I63" t="inlineStr">
        <is>
          <t xml:space="preserve"> </t>
        </is>
      </c>
    </row>
    <row r="64">
      <c r="A64" t="inlineStr">
        <is>
          <t>cmp_1KXEJDSXH1S0YBQ8</t>
        </is>
      </c>
      <c r="B64" t="inlineStr">
        <is>
          <t>constant_reduction</t>
        </is>
      </c>
      <c r="C64" t="inlineStr">
        <is>
          <t>Constant CO₂ reduction</t>
        </is>
      </c>
      <c r="D64" s="2">
        <f>Expression!E446</f>
        <v/>
      </c>
      <c r="E64">
        <f>Expression!F446</f>
        <v/>
      </c>
      <c r="F64" t="inlineStr">
        <is>
          <t>adjustment</t>
        </is>
      </c>
      <c r="G64" t="inlineStr">
        <is>
          <t>removal</t>
        </is>
      </c>
      <c r="H64" t="inlineStr">
        <is>
          <t>BCU - Transport Process</t>
        </is>
      </c>
    </row>
    <row r="65">
      <c r="A65" t="inlineStr">
        <is>
          <t>cmp_1KXERCP431S0425X</t>
        </is>
      </c>
      <c r="B65" t="inlineStr">
        <is>
          <t>mass_based_ci_emissions</t>
        </is>
      </c>
      <c r="C65" t="inlineStr">
        <is>
          <t>Mass-based CI emissions</t>
        </is>
      </c>
      <c r="D65" s="2">
        <f>Expression!E445</f>
        <v/>
      </c>
      <c r="E65">
        <f>Expression!F445</f>
        <v/>
      </c>
      <c r="F65" t="inlineStr">
        <is>
          <t>activity</t>
        </is>
      </c>
      <c r="G65" t="inlineStr">
        <is>
          <t>removal</t>
        </is>
      </c>
      <c r="H65" t="inlineStr">
        <is>
          <t>Biochar Spreading Emissions</t>
        </is>
      </c>
      <c r="I65" t="inlineStr">
        <is>
          <t xml:space="preserve"> </t>
        </is>
      </c>
    </row>
    <row r="66">
      <c r="A66" t="inlineStr">
        <is>
          <t>cmp_1KXERCP431S06AG6</t>
        </is>
      </c>
      <c r="B66" t="inlineStr">
        <is>
          <t>biochar_sequestration_200_year_c_org</t>
        </is>
      </c>
      <c r="C66" t="inlineStr">
        <is>
          <t>Biochar sequestration, 200 year durability</t>
        </is>
      </c>
      <c r="D66" s="2">
        <f>Expression!E18</f>
        <v/>
      </c>
      <c r="E66">
        <f>Expression!F18</f>
        <v/>
      </c>
      <c r="F66" t="inlineStr">
        <is>
          <t>sequestration</t>
        </is>
      </c>
      <c r="G66" t="inlineStr">
        <is>
          <t>removal</t>
        </is>
      </c>
      <c r="H66" t="inlineStr">
        <is>
          <t>Biochar sequestration, 200 year durability</t>
        </is>
      </c>
    </row>
    <row r="67">
      <c r="A67" t="inlineStr">
        <is>
          <t>cmp_1KXERCP431S0BBX7</t>
        </is>
      </c>
      <c r="B67" t="inlineStr">
        <is>
          <t>distance_based_ci_emissions</t>
        </is>
      </c>
      <c r="C67" t="inlineStr">
        <is>
          <t>Distance-based emissions</t>
        </is>
      </c>
      <c r="D67" s="2">
        <f>Expression!E513</f>
        <v/>
      </c>
      <c r="E67">
        <f>Expression!F513</f>
        <v/>
      </c>
      <c r="F67" t="inlineStr">
        <is>
          <t>activity</t>
        </is>
      </c>
      <c r="G67" t="inlineStr">
        <is>
          <t>removal</t>
        </is>
      </c>
      <c r="H67" t="inlineStr">
        <is>
          <t>CO Flatbed Truck Transport Embodied Emissions</t>
        </is>
      </c>
      <c r="I67" t="inlineStr">
        <is>
          <t xml:space="preserve"> </t>
        </is>
      </c>
    </row>
    <row r="68">
      <c r="A68" t="inlineStr">
        <is>
          <t>cmp_1KXERCP431S0JNMH</t>
        </is>
      </c>
      <c r="B68" t="inlineStr">
        <is>
          <t>mass_based_ci_emissions</t>
        </is>
      </c>
      <c r="C68" t="inlineStr">
        <is>
          <t>Mass-based CI emissions</t>
        </is>
      </c>
      <c r="D68" s="2">
        <f>Expression!E24</f>
        <v/>
      </c>
      <c r="E68">
        <f>Expression!F24</f>
        <v/>
      </c>
      <c r="F68" t="inlineStr">
        <is>
          <t>activity</t>
        </is>
      </c>
      <c r="G68" t="inlineStr">
        <is>
          <t>removal</t>
        </is>
      </c>
      <c r="H68" t="inlineStr">
        <is>
          <t>Biochar Production Emission (A)</t>
        </is>
      </c>
      <c r="I68" t="inlineStr">
        <is>
          <t xml:space="preserve"> </t>
        </is>
      </c>
    </row>
    <row r="69">
      <c r="A69" t="inlineStr">
        <is>
          <t>cmp_1KXERCP431S0QQ1J</t>
        </is>
      </c>
      <c r="B69" t="inlineStr">
        <is>
          <t>transport</t>
        </is>
      </c>
      <c r="C69" t="inlineStr">
        <is>
          <t>Transport emissions</t>
        </is>
      </c>
      <c r="D69" s="2">
        <f>Expression!E204</f>
        <v/>
      </c>
      <c r="E69">
        <f>Expression!F204</f>
        <v/>
      </c>
      <c r="F69" t="inlineStr">
        <is>
          <t>activity</t>
        </is>
      </c>
      <c r="G69" t="inlineStr">
        <is>
          <t>removal</t>
        </is>
      </c>
      <c r="H69" t="inlineStr">
        <is>
          <t>CO Flatbed Truck Transport Process Emissions</t>
        </is>
      </c>
      <c r="I69" t="inlineStr">
        <is>
          <t xml:space="preserve"> </t>
        </is>
      </c>
    </row>
    <row r="70">
      <c r="A70" t="inlineStr">
        <is>
          <t>cmp_1KXERD7151S01Y4S</t>
        </is>
      </c>
      <c r="B70" t="inlineStr">
        <is>
          <t>mass_based_ci_emissions</t>
        </is>
      </c>
      <c r="C70" t="inlineStr">
        <is>
          <t>Mass-based CI emissions</t>
        </is>
      </c>
      <c r="D70" s="2">
        <f>Expression!E223</f>
        <v/>
      </c>
      <c r="E70">
        <f>Expression!F223</f>
        <v/>
      </c>
      <c r="F70" t="inlineStr">
        <is>
          <t>activity</t>
        </is>
      </c>
      <c r="G70" t="inlineStr">
        <is>
          <t>removal</t>
        </is>
      </c>
      <c r="H70" t="inlineStr">
        <is>
          <t>Biochar Spreading Emissions</t>
        </is>
      </c>
      <c r="I70" t="inlineStr">
        <is>
          <t xml:space="preserve"> </t>
        </is>
      </c>
    </row>
    <row r="71">
      <c r="A71" t="inlineStr">
        <is>
          <t>cmp_1KXERD7151S046F2</t>
        </is>
      </c>
      <c r="B71" t="inlineStr">
        <is>
          <t>biochar_sequestration_200_year_c_org</t>
        </is>
      </c>
      <c r="C71" t="inlineStr">
        <is>
          <t>Biochar sequestration, 200 year durability</t>
        </is>
      </c>
      <c r="D71" s="2">
        <f>Expression!E312</f>
        <v/>
      </c>
      <c r="E71">
        <f>Expression!F312</f>
        <v/>
      </c>
      <c r="F71" t="inlineStr">
        <is>
          <t>sequestration</t>
        </is>
      </c>
      <c r="G71" t="inlineStr">
        <is>
          <t>removal</t>
        </is>
      </c>
      <c r="H71" t="inlineStr">
        <is>
          <t>Biochar sequestration, 200 year durability</t>
        </is>
      </c>
    </row>
    <row r="72">
      <c r="A72" t="inlineStr">
        <is>
          <t>cmp_1KXERD7151S097W3</t>
        </is>
      </c>
      <c r="B72" t="inlineStr">
        <is>
          <t>distance_based_ci_emissions</t>
        </is>
      </c>
      <c r="C72" t="inlineStr">
        <is>
          <t>Distance-based emissions</t>
        </is>
      </c>
      <c r="D72" s="2">
        <f>Expression!E20</f>
        <v/>
      </c>
      <c r="E72">
        <f>Expression!F20</f>
        <v/>
      </c>
      <c r="F72" t="inlineStr">
        <is>
          <t>activity</t>
        </is>
      </c>
      <c r="G72" t="inlineStr">
        <is>
          <t>removal</t>
        </is>
      </c>
      <c r="H72" t="inlineStr">
        <is>
          <t>CO Flatbed Truck Transport Embodied Emissions</t>
        </is>
      </c>
      <c r="I72" t="inlineStr">
        <is>
          <t xml:space="preserve"> </t>
        </is>
      </c>
    </row>
    <row r="73">
      <c r="A73" t="inlineStr">
        <is>
          <t>cmp_1KXERD7151S0GHKD</t>
        </is>
      </c>
      <c r="B73" t="inlineStr">
        <is>
          <t>mass_based_ci_emissions</t>
        </is>
      </c>
      <c r="C73" t="inlineStr">
        <is>
          <t>Mass-based CI emissions</t>
        </is>
      </c>
      <c r="D73" s="2">
        <f>Expression!E82</f>
        <v/>
      </c>
      <c r="E73">
        <f>Expression!F82</f>
        <v/>
      </c>
      <c r="F73" t="inlineStr">
        <is>
          <t>activity</t>
        </is>
      </c>
      <c r="G73" t="inlineStr">
        <is>
          <t>removal</t>
        </is>
      </c>
      <c r="H73" t="inlineStr">
        <is>
          <t>Biochar Production Emission (A)</t>
        </is>
      </c>
      <c r="I73" t="inlineStr">
        <is>
          <t xml:space="preserve"> </t>
        </is>
      </c>
    </row>
    <row r="74">
      <c r="A74" t="inlineStr">
        <is>
          <t>cmp_1KXERD7151S0NK0E</t>
        </is>
      </c>
      <c r="B74" t="inlineStr">
        <is>
          <t>transport</t>
        </is>
      </c>
      <c r="C74" t="inlineStr">
        <is>
          <t>Transport emissions</t>
        </is>
      </c>
      <c r="D74" s="2">
        <f>Expression!E494</f>
        <v/>
      </c>
      <c r="E74">
        <f>Expression!F494</f>
        <v/>
      </c>
      <c r="F74" t="inlineStr">
        <is>
          <t>activity</t>
        </is>
      </c>
      <c r="G74" t="inlineStr">
        <is>
          <t>removal</t>
        </is>
      </c>
      <c r="H74" t="inlineStr">
        <is>
          <t>CO Flatbed Truck Transport Process Emissions</t>
        </is>
      </c>
      <c r="I74" t="inlineStr">
        <is>
          <t xml:space="preserve"> </t>
        </is>
      </c>
    </row>
    <row r="75">
      <c r="A75" t="inlineStr">
        <is>
          <t>cmp_1KXERHFPF1S0CGR2</t>
        </is>
      </c>
      <c r="B75" t="inlineStr">
        <is>
          <t>constant_reduction</t>
        </is>
      </c>
      <c r="C75" t="inlineStr">
        <is>
          <t>Constant CO₂ reduction</t>
        </is>
      </c>
      <c r="D75" s="2">
        <f>Expression!E151</f>
        <v/>
      </c>
      <c r="E75">
        <f>Expression!F151</f>
        <v/>
      </c>
      <c r="F75" t="inlineStr">
        <is>
          <t>adjustment</t>
        </is>
      </c>
      <c r="G75" t="inlineStr">
        <is>
          <t>removal</t>
        </is>
      </c>
      <c r="H75" t="inlineStr">
        <is>
          <t>BCU - Transport Process</t>
        </is>
      </c>
    </row>
    <row r="76">
      <c r="A76" t="inlineStr">
        <is>
          <t>cmp_1KXGK2Y3V1S02NX7</t>
        </is>
      </c>
      <c r="B76" t="inlineStr">
        <is>
          <t>distance_based_ci_emissions</t>
        </is>
      </c>
      <c r="C76" t="inlineStr">
        <is>
          <t>Distance-based emissions</t>
        </is>
      </c>
      <c r="D76" s="2">
        <f>Expression!E218</f>
        <v/>
      </c>
      <c r="E76">
        <f>Expression!F218</f>
        <v/>
      </c>
      <c r="F76" t="inlineStr">
        <is>
          <t>activity</t>
        </is>
      </c>
      <c r="G76" t="inlineStr">
        <is>
          <t>removal</t>
        </is>
      </c>
      <c r="H76" t="inlineStr">
        <is>
          <t>CO Flatbed Truck Transport Embodied Emissions</t>
        </is>
      </c>
      <c r="I76" t="inlineStr">
        <is>
          <t xml:space="preserve"> </t>
        </is>
      </c>
    </row>
    <row r="77">
      <c r="A77" t="inlineStr">
        <is>
          <t>cmp_1KXGK2Y3V1S09ZMH</t>
        </is>
      </c>
      <c r="B77" t="inlineStr">
        <is>
          <t>mass_based_ci_emissions</t>
        </is>
      </c>
      <c r="C77" t="inlineStr">
        <is>
          <t>Mass-based CI emissions</t>
        </is>
      </c>
      <c r="D77" s="2">
        <f>Expression!E124</f>
        <v/>
      </c>
      <c r="E77">
        <f>Expression!F124</f>
        <v/>
      </c>
      <c r="F77" t="inlineStr">
        <is>
          <t>activity</t>
        </is>
      </c>
      <c r="G77" t="inlineStr">
        <is>
          <t>removal</t>
        </is>
      </c>
      <c r="H77" t="inlineStr">
        <is>
          <t>Biochar Production Emission (A)</t>
        </is>
      </c>
      <c r="I77" t="inlineStr">
        <is>
          <t xml:space="preserve"> </t>
        </is>
      </c>
    </row>
    <row r="78">
      <c r="A78" t="inlineStr">
        <is>
          <t>cmp_1KXGK2Y3V1S0F11J</t>
        </is>
      </c>
      <c r="B78" t="inlineStr">
        <is>
          <t>transport</t>
        </is>
      </c>
      <c r="C78" t="inlineStr">
        <is>
          <t>Transport emissions</t>
        </is>
      </c>
      <c r="D78" s="2">
        <f>Expression!E451</f>
        <v/>
      </c>
      <c r="E78">
        <f>Expression!F451</f>
        <v/>
      </c>
      <c r="F78" t="inlineStr">
        <is>
          <t>activity</t>
        </is>
      </c>
      <c r="G78" t="inlineStr">
        <is>
          <t>removal</t>
        </is>
      </c>
      <c r="H78" t="inlineStr">
        <is>
          <t>CO Flatbed Truck Transport Process Emissions</t>
        </is>
      </c>
      <c r="I78" t="inlineStr">
        <is>
          <t xml:space="preserve"> </t>
        </is>
      </c>
    </row>
    <row r="79">
      <c r="A79" t="inlineStr">
        <is>
          <t>cmp_1KXGK2Y3V1S0VC5X</t>
        </is>
      </c>
      <c r="B79" t="inlineStr">
        <is>
          <t>mass_based_ci_emissions</t>
        </is>
      </c>
      <c r="C79" t="inlineStr">
        <is>
          <t>Mass-based CI emissions</t>
        </is>
      </c>
      <c r="D79" s="2">
        <f>Expression!E373</f>
        <v/>
      </c>
      <c r="E79">
        <f>Expression!F373</f>
        <v/>
      </c>
      <c r="F79" t="inlineStr">
        <is>
          <t>activity</t>
        </is>
      </c>
      <c r="G79" t="inlineStr">
        <is>
          <t>removal</t>
        </is>
      </c>
      <c r="H79" t="inlineStr">
        <is>
          <t>Biochar Spreading Emissions</t>
        </is>
      </c>
      <c r="I79" t="inlineStr">
        <is>
          <t xml:space="preserve"> </t>
        </is>
      </c>
    </row>
    <row r="80">
      <c r="A80" t="inlineStr">
        <is>
          <t>cmp_1KXGK2Y3V1S0XMG6</t>
        </is>
      </c>
      <c r="B80" t="inlineStr">
        <is>
          <t>biochar_sequestration_200_year_c_org</t>
        </is>
      </c>
      <c r="C80" t="inlineStr">
        <is>
          <t>Biochar sequestration, 200 year durability</t>
        </is>
      </c>
      <c r="D80" s="2">
        <f>Expression!E149</f>
        <v/>
      </c>
      <c r="E80">
        <f>Expression!F149</f>
        <v/>
      </c>
      <c r="F80" t="inlineStr">
        <is>
          <t>sequestration</t>
        </is>
      </c>
      <c r="G80" t="inlineStr">
        <is>
          <t>removal</t>
        </is>
      </c>
      <c r="H80" t="inlineStr">
        <is>
          <t>Biochar sequestration, 200 year durability</t>
        </is>
      </c>
    </row>
    <row r="81">
      <c r="A81" t="inlineStr">
        <is>
          <t>cmp_1KXGK3HP81S00HW3</t>
        </is>
      </c>
      <c r="B81" t="inlineStr">
        <is>
          <t>distance_based_ci_emissions</t>
        </is>
      </c>
      <c r="C81" t="inlineStr">
        <is>
          <t>Distance-based emissions</t>
        </is>
      </c>
      <c r="D81" s="2">
        <f>Expression!E518</f>
        <v/>
      </c>
      <c r="E81">
        <f>Expression!F518</f>
        <v/>
      </c>
      <c r="F81" t="inlineStr">
        <is>
          <t>activity</t>
        </is>
      </c>
      <c r="G81" t="inlineStr">
        <is>
          <t>removal</t>
        </is>
      </c>
      <c r="H81" t="inlineStr">
        <is>
          <t>CO Flatbed Truck Transport Embodied Emissions</t>
        </is>
      </c>
      <c r="I81" t="inlineStr">
        <is>
          <t xml:space="preserve"> </t>
        </is>
      </c>
    </row>
    <row r="82">
      <c r="A82" t="inlineStr">
        <is>
          <t>cmp_1KXGK3HP81S07VKD</t>
        </is>
      </c>
      <c r="B82" t="inlineStr">
        <is>
          <t>mass_based_ci_emissions</t>
        </is>
      </c>
      <c r="C82" t="inlineStr">
        <is>
          <t>Mass-based CI emissions</t>
        </is>
      </c>
      <c r="D82" s="2">
        <f>Expression!E210</f>
        <v/>
      </c>
      <c r="E82">
        <f>Expression!F210</f>
        <v/>
      </c>
      <c r="F82" t="inlineStr">
        <is>
          <t>activity</t>
        </is>
      </c>
      <c r="G82" t="inlineStr">
        <is>
          <t>removal</t>
        </is>
      </c>
      <c r="H82" t="inlineStr">
        <is>
          <t>Biochar Production Emission (A)</t>
        </is>
      </c>
      <c r="I82" t="inlineStr">
        <is>
          <t xml:space="preserve"> </t>
        </is>
      </c>
    </row>
    <row r="83">
      <c r="A83" t="inlineStr">
        <is>
          <t>cmp_1KXGK3HP81S0CX0E</t>
        </is>
      </c>
      <c r="B83" t="inlineStr">
        <is>
          <t>transport</t>
        </is>
      </c>
      <c r="C83" t="inlineStr">
        <is>
          <t>Transport emissions</t>
        </is>
      </c>
      <c r="D83" s="2">
        <f>Expression!E219</f>
        <v/>
      </c>
      <c r="E83">
        <f>Expression!F219</f>
        <v/>
      </c>
      <c r="F83" t="inlineStr">
        <is>
          <t>activity</t>
        </is>
      </c>
      <c r="G83" t="inlineStr">
        <is>
          <t>removal</t>
        </is>
      </c>
      <c r="H83" t="inlineStr">
        <is>
          <t>CO Flatbed Truck Transport Process Emissions</t>
        </is>
      </c>
      <c r="I83" t="inlineStr">
        <is>
          <t xml:space="preserve"> </t>
        </is>
      </c>
    </row>
    <row r="84">
      <c r="A84" t="inlineStr">
        <is>
          <t>cmp_1KXGK3HP81S0S84S</t>
        </is>
      </c>
      <c r="B84" t="inlineStr">
        <is>
          <t>mass_based_ci_emissions</t>
        </is>
      </c>
      <c r="C84" t="inlineStr">
        <is>
          <t>Mass-based CI emissions</t>
        </is>
      </c>
      <c r="D84" s="2">
        <f>Expression!E224</f>
        <v/>
      </c>
      <c r="E84">
        <f>Expression!F224</f>
        <v/>
      </c>
      <c r="F84" t="inlineStr">
        <is>
          <t>activity</t>
        </is>
      </c>
      <c r="G84" t="inlineStr">
        <is>
          <t>removal</t>
        </is>
      </c>
      <c r="H84" t="inlineStr">
        <is>
          <t>Biochar Spreading Emissions</t>
        </is>
      </c>
      <c r="I84" t="inlineStr">
        <is>
          <t xml:space="preserve"> </t>
        </is>
      </c>
    </row>
    <row r="85">
      <c r="A85" t="inlineStr">
        <is>
          <t>cmp_1KXGK3HP81S0VGF2</t>
        </is>
      </c>
      <c r="B85" t="inlineStr">
        <is>
          <t>biochar_sequestration_200_year_c_org</t>
        </is>
      </c>
      <c r="C85" t="inlineStr">
        <is>
          <t>Biochar sequestration, 200 year durability</t>
        </is>
      </c>
      <c r="D85" s="2">
        <f>Expression!E335</f>
        <v/>
      </c>
      <c r="E85">
        <f>Expression!F335</f>
        <v/>
      </c>
      <c r="F85" t="inlineStr">
        <is>
          <t>sequestration</t>
        </is>
      </c>
      <c r="G85" t="inlineStr">
        <is>
          <t>removal</t>
        </is>
      </c>
      <c r="H85" t="inlineStr">
        <is>
          <t>Biochar sequestration, 200 year durability</t>
        </is>
      </c>
    </row>
    <row r="86">
      <c r="A86" t="inlineStr">
        <is>
          <t>cmp_1KXGK45BZ1S05QJ9</t>
        </is>
      </c>
      <c r="B86" t="inlineStr">
        <is>
          <t>mass_based_ci_emissions</t>
        </is>
      </c>
      <c r="C86" t="inlineStr">
        <is>
          <t>Mass-based CI emissions</t>
        </is>
      </c>
      <c r="D86" s="2">
        <f>Expression!E198</f>
        <v/>
      </c>
      <c r="E86">
        <f>Expression!F198</f>
        <v/>
      </c>
      <c r="F86" t="inlineStr">
        <is>
          <t>activity</t>
        </is>
      </c>
      <c r="G86" t="inlineStr">
        <is>
          <t>removal</t>
        </is>
      </c>
      <c r="H86" t="inlineStr">
        <is>
          <t>Biochar Production Emission (A)</t>
        </is>
      </c>
      <c r="I86" t="inlineStr">
        <is>
          <t xml:space="preserve"> </t>
        </is>
      </c>
    </row>
    <row r="87">
      <c r="A87" t="inlineStr">
        <is>
          <t>cmp_1KXGK45BZ1S0ARZA</t>
        </is>
      </c>
      <c r="B87" t="inlineStr">
        <is>
          <t>transport</t>
        </is>
      </c>
      <c r="C87" t="inlineStr">
        <is>
          <t>Transport emissions</t>
        </is>
      </c>
      <c r="D87" s="2">
        <f>Expression!E182</f>
        <v/>
      </c>
      <c r="E87">
        <f>Expression!F182</f>
        <v/>
      </c>
      <c r="F87" t="inlineStr">
        <is>
          <t>activity</t>
        </is>
      </c>
      <c r="G87" t="inlineStr">
        <is>
          <t>removal</t>
        </is>
      </c>
      <c r="H87" t="inlineStr">
        <is>
          <t>CO Flatbed Truck Transport Process Emissions</t>
        </is>
      </c>
      <c r="I87" t="inlineStr">
        <is>
          <t xml:space="preserve"> </t>
        </is>
      </c>
    </row>
    <row r="88">
      <c r="A88" t="inlineStr">
        <is>
          <t>cmp_1KXGK45BZ1S0Q43N</t>
        </is>
      </c>
      <c r="B88" t="inlineStr">
        <is>
          <t>mass_based_ci_emissions</t>
        </is>
      </c>
      <c r="C88" t="inlineStr">
        <is>
          <t>Mass-based CI emissions</t>
        </is>
      </c>
      <c r="D88" s="2">
        <f>Expression!E226</f>
        <v/>
      </c>
      <c r="E88">
        <f>Expression!F226</f>
        <v/>
      </c>
      <c r="F88" t="inlineStr">
        <is>
          <t>activity</t>
        </is>
      </c>
      <c r="G88" t="inlineStr">
        <is>
          <t>removal</t>
        </is>
      </c>
      <c r="H88" t="inlineStr">
        <is>
          <t>Biochar Spreading Emissions</t>
        </is>
      </c>
      <c r="I88" t="inlineStr">
        <is>
          <t xml:space="preserve"> </t>
        </is>
      </c>
    </row>
    <row r="89">
      <c r="A89" t="inlineStr">
        <is>
          <t>cmp_1KXGK45BZ1S0SCDY</t>
        </is>
      </c>
      <c r="B89" t="inlineStr">
        <is>
          <t>biochar_sequestration_200_year_c_org</t>
        </is>
      </c>
      <c r="C89" t="inlineStr">
        <is>
          <t>Biochar sequestration, 200 year durability</t>
        </is>
      </c>
      <c r="D89" s="2">
        <f>Expression!E52</f>
        <v/>
      </c>
      <c r="E89">
        <f>Expression!F52</f>
        <v/>
      </c>
      <c r="F89" t="inlineStr">
        <is>
          <t>sequestration</t>
        </is>
      </c>
      <c r="G89" t="inlineStr">
        <is>
          <t>removal</t>
        </is>
      </c>
      <c r="H89" t="inlineStr">
        <is>
          <t>Biochar sequestration, 200 year durability</t>
        </is>
      </c>
    </row>
    <row r="90">
      <c r="A90" t="inlineStr">
        <is>
          <t>cmp_1KXGK45BZ1S0YDTZ</t>
        </is>
      </c>
      <c r="B90" t="inlineStr">
        <is>
          <t>distance_based_ci_emissions</t>
        </is>
      </c>
      <c r="C90" t="inlineStr">
        <is>
          <t>Distance-based emissions</t>
        </is>
      </c>
      <c r="D90" s="2">
        <f>Expression!E4</f>
        <v/>
      </c>
      <c r="E90">
        <f>Expression!F4</f>
        <v/>
      </c>
      <c r="F90" t="inlineStr">
        <is>
          <t>activity</t>
        </is>
      </c>
      <c r="G90" t="inlineStr">
        <is>
          <t>removal</t>
        </is>
      </c>
      <c r="H90" t="inlineStr">
        <is>
          <t>CO Flatbed Truck Transport Embodied Emissions</t>
        </is>
      </c>
      <c r="I90" t="inlineStr">
        <is>
          <t xml:space="preserve"> </t>
        </is>
      </c>
    </row>
    <row r="91">
      <c r="A91" t="inlineStr">
        <is>
          <t>cmp_1KXGK4R131S06CKX</t>
        </is>
      </c>
      <c r="B91" t="inlineStr">
        <is>
          <t>transport</t>
        </is>
      </c>
      <c r="C91" t="inlineStr">
        <is>
          <t>Transport emissions</t>
        </is>
      </c>
      <c r="D91" s="2">
        <f>Expression!E284</f>
        <v/>
      </c>
      <c r="E91">
        <f>Expression!F284</f>
        <v/>
      </c>
      <c r="F91" t="inlineStr">
        <is>
          <t>activity</t>
        </is>
      </c>
      <c r="G91" t="inlineStr">
        <is>
          <t>removal</t>
        </is>
      </c>
      <c r="H91" t="inlineStr">
        <is>
          <t>CO Flatbed Truck Transport Process Emissions</t>
        </is>
      </c>
      <c r="I91" t="inlineStr">
        <is>
          <t xml:space="preserve"> </t>
        </is>
      </c>
    </row>
    <row r="92">
      <c r="A92" t="inlineStr">
        <is>
          <t>cmp_1KXGK4R131S0JQR8</t>
        </is>
      </c>
      <c r="B92" t="inlineStr">
        <is>
          <t>mass_based_ci_emissions</t>
        </is>
      </c>
      <c r="C92" t="inlineStr">
        <is>
          <t>Mass-based CI emissions</t>
        </is>
      </c>
      <c r="D92" s="2">
        <f>Expression!E194</f>
        <v/>
      </c>
      <c r="E92">
        <f>Expression!F194</f>
        <v/>
      </c>
      <c r="F92" t="inlineStr">
        <is>
          <t>activity</t>
        </is>
      </c>
      <c r="G92" t="inlineStr">
        <is>
          <t>removal</t>
        </is>
      </c>
      <c r="H92" t="inlineStr">
        <is>
          <t>Biochar Spreading Emissions</t>
        </is>
      </c>
      <c r="I92" t="inlineStr">
        <is>
          <t xml:space="preserve"> </t>
        </is>
      </c>
    </row>
    <row r="93">
      <c r="A93" t="inlineStr">
        <is>
          <t>cmp_1KXGK4R131S0N02H</t>
        </is>
      </c>
      <c r="B93" t="inlineStr">
        <is>
          <t>biochar_sequestration_200_year_c_org</t>
        </is>
      </c>
      <c r="C93" t="inlineStr">
        <is>
          <t>Biochar sequestration, 200 year durability</t>
        </is>
      </c>
      <c r="D93" s="2">
        <f>Expression!E439</f>
        <v/>
      </c>
      <c r="E93">
        <f>Expression!F439</f>
        <v/>
      </c>
      <c r="F93" t="inlineStr">
        <is>
          <t>sequestration</t>
        </is>
      </c>
      <c r="G93" t="inlineStr">
        <is>
          <t>removal</t>
        </is>
      </c>
      <c r="H93" t="inlineStr">
        <is>
          <t>Biochar sequestration, 200 year durability</t>
        </is>
      </c>
    </row>
    <row r="94">
      <c r="A94" t="inlineStr">
        <is>
          <t>cmp_1KXGK4R131S0T1FJ</t>
        </is>
      </c>
      <c r="B94" t="inlineStr">
        <is>
          <t>distance_based_ci_emissions</t>
        </is>
      </c>
      <c r="C94" t="inlineStr">
        <is>
          <t>Distance-based emissions</t>
        </is>
      </c>
      <c r="D94" s="2">
        <f>Expression!E349</f>
        <v/>
      </c>
      <c r="E94">
        <f>Expression!F349</f>
        <v/>
      </c>
      <c r="F94" t="inlineStr">
        <is>
          <t>activity</t>
        </is>
      </c>
      <c r="G94" t="inlineStr">
        <is>
          <t>removal</t>
        </is>
      </c>
      <c r="H94" t="inlineStr">
        <is>
          <t>CO Flatbed Truck Transport Embodied Emissions</t>
        </is>
      </c>
      <c r="I94" t="inlineStr">
        <is>
          <t xml:space="preserve"> </t>
        </is>
      </c>
    </row>
    <row r="95">
      <c r="A95" t="inlineStr">
        <is>
          <t>cmp_1KXGK5BMT1S0208G</t>
        </is>
      </c>
      <c r="B95" t="inlineStr">
        <is>
          <t>distance_based_ci_emissions</t>
        </is>
      </c>
      <c r="C95" t="inlineStr">
        <is>
          <t>Distance-based emissions</t>
        </is>
      </c>
      <c r="D95" s="2">
        <f>Expression!E203</f>
        <v/>
      </c>
      <c r="E95">
        <f>Expression!F203</f>
        <v/>
      </c>
      <c r="F95" t="inlineStr">
        <is>
          <t>activity</t>
        </is>
      </c>
      <c r="G95" t="inlineStr">
        <is>
          <t>removal</t>
        </is>
      </c>
      <c r="H95" t="inlineStr">
        <is>
          <t>CO Flatbed Truck Transport Embodied Emissions</t>
        </is>
      </c>
      <c r="I95" t="inlineStr">
        <is>
          <t xml:space="preserve"> </t>
        </is>
      </c>
    </row>
    <row r="96">
      <c r="A96" t="inlineStr">
        <is>
          <t>cmp_1KXGK5BMT1S0EBCV</t>
        </is>
      </c>
      <c r="B96" t="inlineStr">
        <is>
          <t>transport</t>
        </is>
      </c>
      <c r="C96" t="inlineStr">
        <is>
          <t>Transport emissions</t>
        </is>
      </c>
      <c r="D96" s="2">
        <f>Expression!E225</f>
        <v/>
      </c>
      <c r="E96">
        <f>Expression!F225</f>
        <v/>
      </c>
      <c r="F96" t="inlineStr">
        <is>
          <t>activity</t>
        </is>
      </c>
      <c r="G96" t="inlineStr">
        <is>
          <t>removal</t>
        </is>
      </c>
      <c r="H96" t="inlineStr">
        <is>
          <t>CO Flatbed Truck Transport Process Emissions</t>
        </is>
      </c>
      <c r="I96" t="inlineStr">
        <is>
          <t xml:space="preserve"> </t>
        </is>
      </c>
    </row>
    <row r="97">
      <c r="A97" t="inlineStr">
        <is>
          <t>cmp_1KXGK5BMT1S0TPH6</t>
        </is>
      </c>
      <c r="B97" t="inlineStr">
        <is>
          <t>mass_based_ci_emissions</t>
        </is>
      </c>
      <c r="C97" t="inlineStr">
        <is>
          <t>Mass-based CI emissions</t>
        </is>
      </c>
      <c r="D97" s="2">
        <f>Expression!E375</f>
        <v/>
      </c>
      <c r="E97">
        <f>Expression!F375</f>
        <v/>
      </c>
      <c r="F97" t="inlineStr">
        <is>
          <t>activity</t>
        </is>
      </c>
      <c r="G97" t="inlineStr">
        <is>
          <t>removal</t>
        </is>
      </c>
      <c r="H97" t="inlineStr">
        <is>
          <t>Biochar Spreading Emissions</t>
        </is>
      </c>
      <c r="I97" t="inlineStr">
        <is>
          <t xml:space="preserve"> </t>
        </is>
      </c>
    </row>
    <row r="98">
      <c r="A98" t="inlineStr">
        <is>
          <t>cmp_1KXGK5BMT1S0WYVF</t>
        </is>
      </c>
      <c r="B98" t="inlineStr">
        <is>
          <t>biochar_sequestration_200_year_c_org</t>
        </is>
      </c>
      <c r="C98" t="inlineStr">
        <is>
          <t>Biochar sequestration, 200 year durability</t>
        </is>
      </c>
      <c r="D98" s="2">
        <f>Expression!E242</f>
        <v/>
      </c>
      <c r="E98">
        <f>Expression!F242</f>
        <v/>
      </c>
      <c r="F98" t="inlineStr">
        <is>
          <t>sequestration</t>
        </is>
      </c>
      <c r="G98" t="inlineStr">
        <is>
          <t>removal</t>
        </is>
      </c>
      <c r="H98" t="inlineStr">
        <is>
          <t>Biochar sequestration, 200 year durability</t>
        </is>
      </c>
    </row>
    <row r="99">
      <c r="A99" t="inlineStr">
        <is>
          <t>cmp_1KXGKF6PX1S0PNNV</t>
        </is>
      </c>
      <c r="B99" t="inlineStr">
        <is>
          <t>constant_reduction</t>
        </is>
      </c>
      <c r="C99" t="inlineStr">
        <is>
          <t>Constant CO₂ reduction</t>
        </is>
      </c>
      <c r="D99" s="2">
        <f>Expression!E175</f>
        <v/>
      </c>
      <c r="E99">
        <f>Expression!F175</f>
        <v/>
      </c>
      <c r="F99" t="inlineStr">
        <is>
          <t>adjustment</t>
        </is>
      </c>
      <c r="G99" t="inlineStr">
        <is>
          <t>removal</t>
        </is>
      </c>
      <c r="H99" t="inlineStr">
        <is>
          <t>BCU - Transport Process</t>
        </is>
      </c>
    </row>
    <row r="100">
      <c r="A100" t="inlineStr">
        <is>
          <t>cmp_1KXGRA8D41S01S1K</t>
        </is>
      </c>
      <c r="B100" t="inlineStr">
        <is>
          <t>constant_reduction</t>
        </is>
      </c>
      <c r="C100" t="inlineStr">
        <is>
          <t>Constant CO₂ reduction</t>
        </is>
      </c>
      <c r="D100" s="2">
        <f>Expression!E85</f>
        <v/>
      </c>
      <c r="E100">
        <f>Expression!F85</f>
        <v/>
      </c>
      <c r="F100" t="inlineStr">
        <is>
          <t>adjustment</t>
        </is>
      </c>
      <c r="G100" t="inlineStr">
        <is>
          <t>removal</t>
        </is>
      </c>
      <c r="H100" t="inlineStr">
        <is>
          <t>BCU - Transport Process</t>
        </is>
      </c>
    </row>
    <row r="101">
      <c r="A101" t="inlineStr">
        <is>
          <t>cmp_1KXGRVNQ41S03NVT</t>
        </is>
      </c>
      <c r="B101" t="inlineStr">
        <is>
          <t>constant_reduction</t>
        </is>
      </c>
      <c r="C101" t="inlineStr">
        <is>
          <t>Constant CO₂ reduction</t>
        </is>
      </c>
      <c r="D101" s="2">
        <f>Expression!E222</f>
        <v/>
      </c>
      <c r="E101">
        <f>Expression!F222</f>
        <v/>
      </c>
      <c r="F101" t="inlineStr">
        <is>
          <t>adjustment</t>
        </is>
      </c>
      <c r="G101" t="inlineStr">
        <is>
          <t>removal</t>
        </is>
      </c>
      <c r="H101" t="inlineStr">
        <is>
          <t>BCU - Transport Process</t>
        </is>
      </c>
    </row>
    <row r="102">
      <c r="A102" t="inlineStr">
        <is>
          <t>cmp_1KXKGW8131S0AHAH</t>
        </is>
      </c>
      <c r="B102" t="inlineStr">
        <is>
          <t>transport</t>
        </is>
      </c>
      <c r="C102" t="inlineStr">
        <is>
          <t>Transport emissions</t>
        </is>
      </c>
      <c r="D102" s="2">
        <f>Expression!E88</f>
        <v/>
      </c>
      <c r="E102">
        <f>Expression!F88</f>
        <v/>
      </c>
      <c r="F102" t="inlineStr">
        <is>
          <t>activity</t>
        </is>
      </c>
      <c r="G102" t="inlineStr">
        <is>
          <t>removal</t>
        </is>
      </c>
      <c r="H102" t="inlineStr">
        <is>
          <t>CO Flatbed Truck Transport Process Emissions</t>
        </is>
      </c>
      <c r="I102" t="inlineStr">
        <is>
          <t xml:space="preserve"> </t>
        </is>
      </c>
    </row>
    <row r="103">
      <c r="A103" t="inlineStr">
        <is>
          <t>cmp_1KXKGW8131S0HV1V</t>
        </is>
      </c>
      <c r="B103" t="inlineStr">
        <is>
          <t>constant_reduction</t>
        </is>
      </c>
      <c r="C103" t="inlineStr">
        <is>
          <t>Constant CO₂ reduction</t>
        </is>
      </c>
      <c r="D103" s="2">
        <f>Expression!E516</f>
        <v/>
      </c>
      <c r="E103">
        <f>Expression!F516</f>
        <v/>
      </c>
      <c r="F103" t="inlineStr">
        <is>
          <t>adjustment</t>
        </is>
      </c>
      <c r="G103" t="inlineStr">
        <is>
          <t>removal</t>
        </is>
      </c>
      <c r="H103" t="inlineStr">
        <is>
          <t>BCU - Transport Process</t>
        </is>
      </c>
      <c r="I103" t="inlineStr">
        <is>
          <t xml:space="preserve"> </t>
        </is>
      </c>
    </row>
    <row r="104">
      <c r="A104" t="inlineStr">
        <is>
          <t>cmp_1KXKGW8131S0PWEW</t>
        </is>
      </c>
      <c r="B104" t="inlineStr">
        <is>
          <t>mass_based_ci_emissions</t>
        </is>
      </c>
      <c r="C104" t="inlineStr">
        <is>
          <t>Mass-based CI emissions</t>
        </is>
      </c>
      <c r="D104" s="2">
        <f>Expression!E127</f>
        <v/>
      </c>
      <c r="E104">
        <f>Expression!F127</f>
        <v/>
      </c>
      <c r="F104" t="inlineStr">
        <is>
          <t>activity</t>
        </is>
      </c>
      <c r="G104" t="inlineStr">
        <is>
          <t>removal</t>
        </is>
      </c>
      <c r="H104" t="inlineStr">
        <is>
          <t>Biochar Spreading Emissions</t>
        </is>
      </c>
      <c r="I104" t="inlineStr">
        <is>
          <t xml:space="preserve"> </t>
        </is>
      </c>
    </row>
    <row r="105">
      <c r="A105" t="inlineStr">
        <is>
          <t>cmp_1KXKGW8131S0S4S5</t>
        </is>
      </c>
      <c r="B105" t="inlineStr">
        <is>
          <t>biochar_sequestration_200_year_c_org</t>
        </is>
      </c>
      <c r="C105" t="inlineStr">
        <is>
          <t>Biochar sequestration, 200 year durability</t>
        </is>
      </c>
      <c r="D105" s="2">
        <f>Expression!E493</f>
        <v/>
      </c>
      <c r="E105">
        <f>Expression!F493</f>
        <v/>
      </c>
      <c r="F105" t="inlineStr">
        <is>
          <t>sequestration</t>
        </is>
      </c>
      <c r="G105" t="inlineStr">
        <is>
          <t>removal</t>
        </is>
      </c>
      <c r="H105" t="inlineStr">
        <is>
          <t>Biochar sequestration, 200 year durability</t>
        </is>
      </c>
    </row>
    <row r="106">
      <c r="A106" t="inlineStr">
        <is>
          <t>cmp_1KXKGW8131S0Y666</t>
        </is>
      </c>
      <c r="B106" t="inlineStr">
        <is>
          <t>distance_based_ci_emissions</t>
        </is>
      </c>
      <c r="C106" t="inlineStr">
        <is>
          <t>Distance-based emissions</t>
        </is>
      </c>
      <c r="D106" s="2">
        <f>Expression!E154</f>
        <v/>
      </c>
      <c r="E106">
        <f>Expression!F154</f>
        <v/>
      </c>
      <c r="F106" t="inlineStr">
        <is>
          <t>activity</t>
        </is>
      </c>
      <c r="G106" t="inlineStr">
        <is>
          <t>removal</t>
        </is>
      </c>
      <c r="H106" t="inlineStr">
        <is>
          <t>CO Flatbed Truck Transport Embodied Emissions</t>
        </is>
      </c>
      <c r="I106" t="inlineStr">
        <is>
          <t xml:space="preserve"> </t>
        </is>
      </c>
    </row>
    <row r="107">
      <c r="A107" t="inlineStr">
        <is>
          <t>cmp_1KXKGXJB61S0B6C5</t>
        </is>
      </c>
      <c r="B107" t="inlineStr">
        <is>
          <t>mass_based_ci_emissions</t>
        </is>
      </c>
      <c r="C107" t="inlineStr">
        <is>
          <t>Mass-based CI emissions</t>
        </is>
      </c>
      <c r="D107" s="2">
        <f>Expression!E90</f>
        <v/>
      </c>
      <c r="E107">
        <f>Expression!F90</f>
        <v/>
      </c>
      <c r="F107" t="inlineStr">
        <is>
          <t>activity</t>
        </is>
      </c>
      <c r="G107" t="inlineStr">
        <is>
          <t>removal</t>
        </is>
      </c>
      <c r="H107" t="inlineStr">
        <is>
          <t>Biochar Spreading Emissions</t>
        </is>
      </c>
      <c r="I107" t="inlineStr">
        <is>
          <t xml:space="preserve"> </t>
        </is>
      </c>
    </row>
    <row r="108">
      <c r="A108" t="inlineStr">
        <is>
          <t>cmp_1KXKGXJB61S0DEPE</t>
        </is>
      </c>
      <c r="B108" t="inlineStr">
        <is>
          <t>biochar_sequestration_200_year_c_org</t>
        </is>
      </c>
      <c r="C108" t="inlineStr">
        <is>
          <t>Biochar sequestration, 200 year durability</t>
        </is>
      </c>
      <c r="D108" s="2">
        <f>Expression!E77</f>
        <v/>
      </c>
      <c r="E108">
        <f>Expression!F77</f>
        <v/>
      </c>
      <c r="F108" t="inlineStr">
        <is>
          <t>sequestration</t>
        </is>
      </c>
      <c r="G108" t="inlineStr">
        <is>
          <t>removal</t>
        </is>
      </c>
      <c r="H108" t="inlineStr">
        <is>
          <t>Biochar sequestration, 200 year durability</t>
        </is>
      </c>
    </row>
    <row r="109">
      <c r="A109" t="inlineStr">
        <is>
          <t>cmp_1KXKGXJB61S0JG3F</t>
        </is>
      </c>
      <c r="B109" t="inlineStr">
        <is>
          <t>distance_based_ci_emissions</t>
        </is>
      </c>
      <c r="C109" t="inlineStr">
        <is>
          <t>Distance-based emissions</t>
        </is>
      </c>
      <c r="D109" s="2">
        <f>Expression!E177</f>
        <v/>
      </c>
      <c r="E109">
        <f>Expression!F177</f>
        <v/>
      </c>
      <c r="F109" t="inlineStr">
        <is>
          <t>activity</t>
        </is>
      </c>
      <c r="G109" t="inlineStr">
        <is>
          <t>removal</t>
        </is>
      </c>
      <c r="H109" t="inlineStr">
        <is>
          <t>CO Flatbed Truck Transport Embodied Emissions</t>
        </is>
      </c>
      <c r="I109" t="inlineStr">
        <is>
          <t xml:space="preserve"> </t>
        </is>
      </c>
    </row>
    <row r="110">
      <c r="A110" t="inlineStr">
        <is>
          <t>cmp_1KXKGXJB61S0YV7T</t>
        </is>
      </c>
      <c r="B110" t="inlineStr">
        <is>
          <t>transport</t>
        </is>
      </c>
      <c r="C110" t="inlineStr">
        <is>
          <t>Transport emissions</t>
        </is>
      </c>
      <c r="D110" s="2">
        <f>Expression!E288</f>
        <v/>
      </c>
      <c r="E110">
        <f>Expression!F288</f>
        <v/>
      </c>
      <c r="F110" t="inlineStr">
        <is>
          <t>activity</t>
        </is>
      </c>
      <c r="G110" t="inlineStr">
        <is>
          <t>removal</t>
        </is>
      </c>
      <c r="H110" t="inlineStr">
        <is>
          <t>CO Flatbed Truck Transport Process Emissions</t>
        </is>
      </c>
      <c r="I110" t="inlineStr">
        <is>
          <t xml:space="preserve"> </t>
        </is>
      </c>
    </row>
    <row r="111">
      <c r="A111" t="inlineStr">
        <is>
          <t>cmp_1KXKP77Q21S00WQB</t>
        </is>
      </c>
      <c r="B111" t="inlineStr">
        <is>
          <t>mass_based_ci_emissions</t>
        </is>
      </c>
      <c r="C111" t="inlineStr">
        <is>
          <t>Mass-based CI emissions</t>
        </is>
      </c>
      <c r="D111" s="2">
        <f>Expression!E221</f>
        <v/>
      </c>
      <c r="E111">
        <f>Expression!F221</f>
        <v/>
      </c>
      <c r="F111" t="inlineStr">
        <is>
          <t>activity</t>
        </is>
      </c>
      <c r="G111" t="inlineStr">
        <is>
          <t>removal</t>
        </is>
      </c>
      <c r="H111" t="inlineStr">
        <is>
          <t>Biochar Production Emission (A)</t>
        </is>
      </c>
      <c r="I111" t="inlineStr">
        <is>
          <t xml:space="preserve"> </t>
        </is>
      </c>
    </row>
    <row r="112">
      <c r="A112" t="inlineStr">
        <is>
          <t>cmp_1KXKP77Q21S05Y4C</t>
        </is>
      </c>
      <c r="B112" t="inlineStr">
        <is>
          <t>transport</t>
        </is>
      </c>
      <c r="C112" t="inlineStr">
        <is>
          <t>Transport emissions</t>
        </is>
      </c>
      <c r="D112" s="2">
        <f>Expression!E7</f>
        <v/>
      </c>
      <c r="E112">
        <f>Expression!F7</f>
        <v/>
      </c>
      <c r="F112" t="inlineStr">
        <is>
          <t>activity</t>
        </is>
      </c>
      <c r="G112" t="inlineStr">
        <is>
          <t>removal</t>
        </is>
      </c>
      <c r="H112" t="inlineStr">
        <is>
          <t>CO Flatbed Truck Transport Process Emissions</t>
        </is>
      </c>
      <c r="I112" t="inlineStr">
        <is>
          <t xml:space="preserve"> </t>
        </is>
      </c>
    </row>
    <row r="113">
      <c r="A113" t="inlineStr">
        <is>
          <t>cmp_1KXKP77Q21S0J98Q</t>
        </is>
      </c>
      <c r="B113" t="inlineStr">
        <is>
          <t>mass_based_ci_emissions</t>
        </is>
      </c>
      <c r="C113" t="inlineStr">
        <is>
          <t>Mass-based CI emissions</t>
        </is>
      </c>
      <c r="D113" s="2">
        <f>Expression!E38</f>
        <v/>
      </c>
      <c r="E113">
        <f>Expression!F38</f>
        <v/>
      </c>
      <c r="F113" t="inlineStr">
        <is>
          <t>activity</t>
        </is>
      </c>
      <c r="G113" t="inlineStr">
        <is>
          <t>removal</t>
        </is>
      </c>
      <c r="H113" t="inlineStr">
        <is>
          <t>Biochar Spreading Emissions</t>
        </is>
      </c>
      <c r="I113" t="inlineStr">
        <is>
          <t xml:space="preserve"> </t>
        </is>
      </c>
    </row>
    <row r="114">
      <c r="A114" t="inlineStr">
        <is>
          <t>cmp_1KXKP77Q21S0MHK0</t>
        </is>
      </c>
      <c r="B114" t="inlineStr">
        <is>
          <t>biochar_sequestration_200_year_c_org</t>
        </is>
      </c>
      <c r="C114" t="inlineStr">
        <is>
          <t>Biochar sequestration, 200 year durability</t>
        </is>
      </c>
      <c r="D114" s="2">
        <f>Expression!E138</f>
        <v/>
      </c>
      <c r="E114">
        <f>Expression!F138</f>
        <v/>
      </c>
      <c r="F114" t="inlineStr">
        <is>
          <t>sequestration</t>
        </is>
      </c>
      <c r="G114" t="inlineStr">
        <is>
          <t>removal</t>
        </is>
      </c>
      <c r="H114" t="inlineStr">
        <is>
          <t>Biochar sequestration, 200 year durability</t>
        </is>
      </c>
    </row>
    <row r="115">
      <c r="A115" t="inlineStr">
        <is>
          <t>cmp_1KXKP77Q21S0SK01</t>
        </is>
      </c>
      <c r="B115" t="inlineStr">
        <is>
          <t>distance_based_ci_emissions</t>
        </is>
      </c>
      <c r="C115" t="inlineStr">
        <is>
          <t>Distance-based emissions</t>
        </is>
      </c>
      <c r="D115" s="2">
        <f>Expression!E272</f>
        <v/>
      </c>
      <c r="E115">
        <f>Expression!F272</f>
        <v/>
      </c>
      <c r="F115" t="inlineStr">
        <is>
          <t>activity</t>
        </is>
      </c>
      <c r="G115" t="inlineStr">
        <is>
          <t>removal</t>
        </is>
      </c>
      <c r="H115" t="inlineStr">
        <is>
          <t>CO Flatbed Truck Transport Embodied Emissions</t>
        </is>
      </c>
      <c r="I115" t="inlineStr">
        <is>
          <t xml:space="preserve"> </t>
        </is>
      </c>
    </row>
    <row r="116">
      <c r="A116" t="inlineStr">
        <is>
          <t>cmp_1KY02PC6H1S0AA6B</t>
        </is>
      </c>
      <c r="B116" t="inlineStr">
        <is>
          <t>transport</t>
        </is>
      </c>
      <c r="C116" t="inlineStr">
        <is>
          <t>Transport emissions</t>
        </is>
      </c>
      <c r="D116" s="2">
        <f>Expression!E495</f>
        <v/>
      </c>
      <c r="E116">
        <f>Expression!F495</f>
        <v/>
      </c>
      <c r="F116" t="inlineStr">
        <is>
          <t>activity</t>
        </is>
      </c>
      <c r="G116" t="inlineStr">
        <is>
          <t>removal</t>
        </is>
      </c>
      <c r="H116" t="inlineStr">
        <is>
          <t>CO Flatbed Truck Transport Process Emissions</t>
        </is>
      </c>
      <c r="I116" t="inlineStr">
        <is>
          <t xml:space="preserve"> </t>
        </is>
      </c>
    </row>
    <row r="117">
      <c r="A117" t="inlineStr">
        <is>
          <t>cmp_1KY02PC6H1S0PNAP</t>
        </is>
      </c>
      <c r="B117" t="inlineStr">
        <is>
          <t>mass_based_ci_emissions</t>
        </is>
      </c>
      <c r="C117" t="inlineStr">
        <is>
          <t>Mass-based CI emissions</t>
        </is>
      </c>
      <c r="D117" s="2">
        <f>Expression!E178</f>
        <v/>
      </c>
      <c r="E117">
        <f>Expression!F178</f>
        <v/>
      </c>
      <c r="F117" t="inlineStr">
        <is>
          <t>activity</t>
        </is>
      </c>
      <c r="G117" t="inlineStr">
        <is>
          <t>removal</t>
        </is>
      </c>
      <c r="H117" t="inlineStr">
        <is>
          <t>Biochar Spreading Emissions</t>
        </is>
      </c>
      <c r="I117" t="inlineStr">
        <is>
          <t xml:space="preserve"> </t>
        </is>
      </c>
    </row>
    <row r="118">
      <c r="A118" t="inlineStr">
        <is>
          <t>cmp_1KY02PC6H1S0RXMZ</t>
        </is>
      </c>
      <c r="B118" t="inlineStr">
        <is>
          <t>biochar_sequestration_200_year_c_org</t>
        </is>
      </c>
      <c r="C118" t="inlineStr">
        <is>
          <t>Biochar sequestration, 200 year durability</t>
        </is>
      </c>
      <c r="D118" s="2">
        <f>Expression!E409</f>
        <v/>
      </c>
      <c r="E118">
        <f>Expression!F409</f>
        <v/>
      </c>
      <c r="F118" t="inlineStr">
        <is>
          <t>sequestration</t>
        </is>
      </c>
      <c r="G118" t="inlineStr">
        <is>
          <t>removal</t>
        </is>
      </c>
      <c r="H118" t="inlineStr">
        <is>
          <t>Biochar sequestration, 200 year durability</t>
        </is>
      </c>
    </row>
    <row r="119">
      <c r="A119" t="inlineStr">
        <is>
          <t>cmp_1KY02PC6H1S0XZ20</t>
        </is>
      </c>
      <c r="B119" t="inlineStr">
        <is>
          <t>distance_based_ci_emissions</t>
        </is>
      </c>
      <c r="C119" t="inlineStr">
        <is>
          <t>Distance-based emissions</t>
        </is>
      </c>
      <c r="D119" s="2">
        <f>Expression!E171</f>
        <v/>
      </c>
      <c r="E119">
        <f>Expression!F171</f>
        <v/>
      </c>
      <c r="F119" t="inlineStr">
        <is>
          <t>activity</t>
        </is>
      </c>
      <c r="G119" t="inlineStr">
        <is>
          <t>removal</t>
        </is>
      </c>
      <c r="H119" t="inlineStr">
        <is>
          <t>CO Flatbed Truck Transport Embodied Emissions</t>
        </is>
      </c>
      <c r="I119" t="inlineStr">
        <is>
          <t xml:space="preserve"> </t>
        </is>
      </c>
    </row>
    <row r="120">
      <c r="A120" t="inlineStr">
        <is>
          <t>cmp_1KY02PYB11S00WDX</t>
        </is>
      </c>
      <c r="B120" t="inlineStr">
        <is>
          <t>biochar_sequestration_200_year_c_org</t>
        </is>
      </c>
      <c r="C120" t="inlineStr">
        <is>
          <t>Biochar sequestration, 200 year durability</t>
        </is>
      </c>
      <c r="D120" s="2">
        <f>Expression!E363</f>
        <v/>
      </c>
      <c r="E120">
        <f>Expression!F363</f>
        <v/>
      </c>
      <c r="F120" t="inlineStr">
        <is>
          <t>sequestration</t>
        </is>
      </c>
      <c r="G120" t="inlineStr">
        <is>
          <t>removal</t>
        </is>
      </c>
      <c r="H120" t="inlineStr">
        <is>
          <t>Biochar sequestration, 200 year durability</t>
        </is>
      </c>
    </row>
    <row r="121">
      <c r="A121" t="inlineStr">
        <is>
          <t>cmp_1KY02PYB11S05XTY</t>
        </is>
      </c>
      <c r="B121" t="inlineStr">
        <is>
          <t>distance_based_ci_emissions</t>
        </is>
      </c>
      <c r="C121" t="inlineStr">
        <is>
          <t>Distance-based emissions</t>
        </is>
      </c>
      <c r="D121" s="2">
        <f>Expression!E423</f>
        <v/>
      </c>
      <c r="E121">
        <f>Expression!F423</f>
        <v/>
      </c>
      <c r="F121" t="inlineStr">
        <is>
          <t>activity</t>
        </is>
      </c>
      <c r="G121" t="inlineStr">
        <is>
          <t>removal</t>
        </is>
      </c>
      <c r="H121" t="inlineStr">
        <is>
          <t>CO Flatbed Truck Transport Embodied Emissions</t>
        </is>
      </c>
      <c r="I121" t="inlineStr">
        <is>
          <t xml:space="preserve"> </t>
        </is>
      </c>
    </row>
    <row r="122">
      <c r="A122" t="inlineStr">
        <is>
          <t>cmp_1KY02PYB11S0J8Z9</t>
        </is>
      </c>
      <c r="B122" t="inlineStr">
        <is>
          <t>transport</t>
        </is>
      </c>
      <c r="C122" t="inlineStr">
        <is>
          <t>Transport emissions</t>
        </is>
      </c>
      <c r="D122" s="2">
        <f>Expression!E447</f>
        <v/>
      </c>
      <c r="E122">
        <f>Expression!F447</f>
        <v/>
      </c>
      <c r="F122" t="inlineStr">
        <is>
          <t>activity</t>
        </is>
      </c>
      <c r="G122" t="inlineStr">
        <is>
          <t>removal</t>
        </is>
      </c>
      <c r="H122" t="inlineStr">
        <is>
          <t>CO Flatbed Truck Transport Process Emissions</t>
        </is>
      </c>
      <c r="I122" t="inlineStr">
        <is>
          <t xml:space="preserve"> </t>
        </is>
      </c>
    </row>
    <row r="123">
      <c r="A123" t="inlineStr">
        <is>
          <t>cmp_1KY02PYB11S0YM3M</t>
        </is>
      </c>
      <c r="B123" t="inlineStr">
        <is>
          <t>mass_based_ci_emissions</t>
        </is>
      </c>
      <c r="C123" t="inlineStr">
        <is>
          <t>Mass-based CI emissions</t>
        </is>
      </c>
      <c r="D123" s="2">
        <f>Expression!E21</f>
        <v/>
      </c>
      <c r="E123">
        <f>Expression!F21</f>
        <v/>
      </c>
      <c r="F123" t="inlineStr">
        <is>
          <t>activity</t>
        </is>
      </c>
      <c r="G123" t="inlineStr">
        <is>
          <t>removal</t>
        </is>
      </c>
      <c r="H123" t="inlineStr">
        <is>
          <t>Biochar Spreading Emissions</t>
        </is>
      </c>
      <c r="I123" t="inlineStr">
        <is>
          <t xml:space="preserve"> </t>
        </is>
      </c>
    </row>
    <row r="124">
      <c r="A124" t="inlineStr">
        <is>
          <t>cmp_1KY38KE1C1S010ZS</t>
        </is>
      </c>
      <c r="B124" t="inlineStr">
        <is>
          <t>transport</t>
        </is>
      </c>
      <c r="C124" t="inlineStr">
        <is>
          <t>Transport emissions</t>
        </is>
      </c>
      <c r="D124" s="2">
        <f>Expression!E421</f>
        <v/>
      </c>
      <c r="E124">
        <f>Expression!F421</f>
        <v/>
      </c>
      <c r="F124" t="inlineStr">
        <is>
          <t>activity</t>
        </is>
      </c>
      <c r="G124" t="inlineStr">
        <is>
          <t>removal</t>
        </is>
      </c>
      <c r="H124" t="inlineStr">
        <is>
          <t>CO Flatbed Truck Transport Process Emissions</t>
        </is>
      </c>
      <c r="I124" t="inlineStr">
        <is>
          <t xml:space="preserve"> </t>
        </is>
      </c>
    </row>
    <row r="125">
      <c r="A125" t="inlineStr">
        <is>
          <t>cmp_1KY38KE1C1S0DC44</t>
        </is>
      </c>
      <c r="B125" t="inlineStr">
        <is>
          <t>mass_based_ci_emissions</t>
        </is>
      </c>
      <c r="C125" t="inlineStr">
        <is>
          <t>Mass-based CI emissions</t>
        </is>
      </c>
      <c r="D125" s="2">
        <f>Expression!E102</f>
        <v/>
      </c>
      <c r="E125">
        <f>Expression!F102</f>
        <v/>
      </c>
      <c r="F125" t="inlineStr">
        <is>
          <t>activity</t>
        </is>
      </c>
      <c r="G125" t="inlineStr">
        <is>
          <t>removal</t>
        </is>
      </c>
      <c r="H125" t="inlineStr">
        <is>
          <t>Biochar Spreading Emissions</t>
        </is>
      </c>
      <c r="I125" t="inlineStr">
        <is>
          <t xml:space="preserve"> </t>
        </is>
      </c>
    </row>
    <row r="126">
      <c r="A126" t="inlineStr">
        <is>
          <t>cmp_1KY38KE1C1S0FMED</t>
        </is>
      </c>
      <c r="B126" t="inlineStr">
        <is>
          <t>biochar_sequestration_200_year_c_org</t>
        </is>
      </c>
      <c r="C126" t="inlineStr">
        <is>
          <t>Biochar sequestration, 200 year durability</t>
        </is>
      </c>
      <c r="D126" s="2">
        <f>Expression!E299</f>
        <v/>
      </c>
      <c r="E126">
        <f>Expression!F299</f>
        <v/>
      </c>
      <c r="F126" t="inlineStr">
        <is>
          <t>sequestration</t>
        </is>
      </c>
      <c r="G126" t="inlineStr">
        <is>
          <t>removal</t>
        </is>
      </c>
      <c r="H126" t="inlineStr">
        <is>
          <t>Biochar sequestration, 200 year durability</t>
        </is>
      </c>
    </row>
    <row r="127">
      <c r="A127" t="inlineStr">
        <is>
          <t>cmp_1KY38KE1C1S0MNVE</t>
        </is>
      </c>
      <c r="B127" t="inlineStr">
        <is>
          <t>distance_based_ci_emissions</t>
        </is>
      </c>
      <c r="C127" t="inlineStr">
        <is>
          <t>Distance-based emissions</t>
        </is>
      </c>
      <c r="D127" s="2">
        <f>Expression!E286</f>
        <v/>
      </c>
      <c r="E127">
        <f>Expression!F286</f>
        <v/>
      </c>
      <c r="F127" t="inlineStr">
        <is>
          <t>activity</t>
        </is>
      </c>
      <c r="G127" t="inlineStr">
        <is>
          <t>removal</t>
        </is>
      </c>
      <c r="H127" t="inlineStr">
        <is>
          <t>CO Flatbed Truck Transport Embodied Emissions</t>
        </is>
      </c>
      <c r="I127" t="inlineStr">
        <is>
          <t xml:space="preserve"> </t>
        </is>
      </c>
    </row>
    <row r="128">
      <c r="A128" t="inlineStr">
        <is>
          <t>cmp_1KY57M9F81S00VGE</t>
        </is>
      </c>
      <c r="B128" t="inlineStr">
        <is>
          <t>transport</t>
        </is>
      </c>
      <c r="C128" t="inlineStr">
        <is>
          <t>Transport emissions</t>
        </is>
      </c>
      <c r="D128" s="2">
        <f>Expression!E125</f>
        <v/>
      </c>
      <c r="E128">
        <f>Expression!F125</f>
        <v/>
      </c>
      <c r="F128" t="inlineStr">
        <is>
          <t>activity</t>
        </is>
      </c>
      <c r="G128" t="inlineStr">
        <is>
          <t>removal</t>
        </is>
      </c>
      <c r="H128" t="inlineStr">
        <is>
          <t>CO Flatbed Truck Transport Process Emissions</t>
        </is>
      </c>
      <c r="I128" t="inlineStr">
        <is>
          <t xml:space="preserve"> </t>
        </is>
      </c>
    </row>
    <row r="129">
      <c r="A129" t="inlineStr">
        <is>
          <t>cmp_1KY57M9F81S0D6MS</t>
        </is>
      </c>
      <c r="B129" t="inlineStr">
        <is>
          <t>mass_based_ci_emissions</t>
        </is>
      </c>
      <c r="C129" t="inlineStr">
        <is>
          <t>Mass-based CI emissions</t>
        </is>
      </c>
      <c r="D129" s="2">
        <f>Expression!E199</f>
        <v/>
      </c>
      <c r="E129">
        <f>Expression!F199</f>
        <v/>
      </c>
      <c r="F129" t="inlineStr">
        <is>
          <t>activity</t>
        </is>
      </c>
      <c r="G129" t="inlineStr">
        <is>
          <t>removal</t>
        </is>
      </c>
      <c r="H129" t="inlineStr">
        <is>
          <t>Biochar Spreading Emissions</t>
        </is>
      </c>
      <c r="I129" t="inlineStr">
        <is>
          <t xml:space="preserve"> </t>
        </is>
      </c>
    </row>
    <row r="130">
      <c r="A130" t="inlineStr">
        <is>
          <t>cmp_1KY57M9F81S0FEZ2</t>
        </is>
      </c>
      <c r="B130" t="inlineStr">
        <is>
          <t>biochar_sequestration_200_year_c_org</t>
        </is>
      </c>
      <c r="C130" t="inlineStr">
        <is>
          <t>Biochar sequestration, 200 year durability</t>
        </is>
      </c>
      <c r="D130" s="2">
        <f>Expression!E386</f>
        <v/>
      </c>
      <c r="E130">
        <f>Expression!F386</f>
        <v/>
      </c>
      <c r="F130" t="inlineStr">
        <is>
          <t>sequestration</t>
        </is>
      </c>
      <c r="G130" t="inlineStr">
        <is>
          <t>removal</t>
        </is>
      </c>
      <c r="H130" t="inlineStr">
        <is>
          <t>Biochar sequestration, 200 year durability</t>
        </is>
      </c>
    </row>
    <row r="131">
      <c r="A131" t="inlineStr">
        <is>
          <t>cmp_1KY57M9F81S0MGC3</t>
        </is>
      </c>
      <c r="B131" t="inlineStr">
        <is>
          <t>distance_based_ci_emissions</t>
        </is>
      </c>
      <c r="C131" t="inlineStr">
        <is>
          <t>Distance-based emissions</t>
        </is>
      </c>
      <c r="D131" s="2">
        <f>Expression!E40</f>
        <v/>
      </c>
      <c r="E131">
        <f>Expression!F40</f>
        <v/>
      </c>
      <c r="F131" t="inlineStr">
        <is>
          <t>activity</t>
        </is>
      </c>
      <c r="G131" t="inlineStr">
        <is>
          <t>removal</t>
        </is>
      </c>
      <c r="H131" t="inlineStr">
        <is>
          <t>CO Flatbed Truck Transport Embodied Emissions</t>
        </is>
      </c>
      <c r="I131" t="inlineStr">
        <is>
          <t xml:space="preserve"> </t>
        </is>
      </c>
    </row>
    <row r="132">
      <c r="A132" t="inlineStr">
        <is>
          <t>cmp_1KY57MT101S08T9C</t>
        </is>
      </c>
      <c r="B132" t="inlineStr">
        <is>
          <t>transport</t>
        </is>
      </c>
      <c r="C132" t="inlineStr">
        <is>
          <t>Transport emissions</t>
        </is>
      </c>
      <c r="D132" s="2">
        <f>Expression!E106</f>
        <v/>
      </c>
      <c r="E132">
        <f>Expression!F106</f>
        <v/>
      </c>
      <c r="F132" t="inlineStr">
        <is>
          <t>activity</t>
        </is>
      </c>
      <c r="G132" t="inlineStr">
        <is>
          <t>removal</t>
        </is>
      </c>
      <c r="H132" t="inlineStr">
        <is>
          <t>CO Flatbed Truck Transport Process Emissions</t>
        </is>
      </c>
      <c r="I132" t="inlineStr">
        <is>
          <t xml:space="preserve"> </t>
        </is>
      </c>
    </row>
    <row r="133">
      <c r="A133" t="inlineStr">
        <is>
          <t>cmp_1KY57MT101S0N5DQ</t>
        </is>
      </c>
      <c r="B133" t="inlineStr">
        <is>
          <t>mass_based_ci_emissions</t>
        </is>
      </c>
      <c r="C133" t="inlineStr">
        <is>
          <t>Mass-based CI emissions</t>
        </is>
      </c>
      <c r="D133" s="2">
        <f>Expression!E300</f>
        <v/>
      </c>
      <c r="E133">
        <f>Expression!F300</f>
        <v/>
      </c>
      <c r="F133" t="inlineStr">
        <is>
          <t>activity</t>
        </is>
      </c>
      <c r="G133" t="inlineStr">
        <is>
          <t>removal</t>
        </is>
      </c>
      <c r="H133" t="inlineStr">
        <is>
          <t>Biochar Spreading Emissions</t>
        </is>
      </c>
      <c r="I133" t="inlineStr">
        <is>
          <t xml:space="preserve"> </t>
        </is>
      </c>
    </row>
    <row r="134">
      <c r="A134" t="inlineStr">
        <is>
          <t>cmp_1KY57MT101S0QDR0</t>
        </is>
      </c>
      <c r="B134" t="inlineStr">
        <is>
          <t>biochar_sequestration_200_year_c_org</t>
        </is>
      </c>
      <c r="C134" t="inlineStr">
        <is>
          <t>Biochar sequestration, 200 year durability</t>
        </is>
      </c>
      <c r="D134" s="2">
        <f>Expression!E324</f>
        <v/>
      </c>
      <c r="E134">
        <f>Expression!F324</f>
        <v/>
      </c>
      <c r="F134" t="inlineStr">
        <is>
          <t>sequestration</t>
        </is>
      </c>
      <c r="G134" t="inlineStr">
        <is>
          <t>removal</t>
        </is>
      </c>
      <c r="H134" t="inlineStr">
        <is>
          <t>Biochar sequestration, 200 year durability</t>
        </is>
      </c>
    </row>
    <row r="135">
      <c r="A135" t="inlineStr">
        <is>
          <t>cmp_1KY57MT101S0WF51</t>
        </is>
      </c>
      <c r="B135" t="inlineStr">
        <is>
          <t>distance_based_ci_emissions</t>
        </is>
      </c>
      <c r="C135" t="inlineStr">
        <is>
          <t>Distance-based emissions</t>
        </is>
      </c>
      <c r="D135" s="2">
        <f>Expression!E368</f>
        <v/>
      </c>
      <c r="E135">
        <f>Expression!F368</f>
        <v/>
      </c>
      <c r="F135" t="inlineStr">
        <is>
          <t>activity</t>
        </is>
      </c>
      <c r="G135" t="inlineStr">
        <is>
          <t>removal</t>
        </is>
      </c>
      <c r="H135" t="inlineStr">
        <is>
          <t>CO Flatbed Truck Transport Embodied Emissions</t>
        </is>
      </c>
      <c r="I135" t="inlineStr">
        <is>
          <t xml:space="preserve"> </t>
        </is>
      </c>
    </row>
    <row r="136">
      <c r="A136" t="inlineStr">
        <is>
          <t>cmp_1KY57NCC21S04DXZ</t>
        </is>
      </c>
      <c r="B136" t="inlineStr">
        <is>
          <t>mass_based_ci_emissions</t>
        </is>
      </c>
      <c r="C136" t="inlineStr">
        <is>
          <t>Mass-based CI emissions</t>
        </is>
      </c>
      <c r="D136" s="2">
        <f>Expression!E205</f>
        <v/>
      </c>
      <c r="E136">
        <f>Expression!F205</f>
        <v/>
      </c>
      <c r="F136" t="inlineStr">
        <is>
          <t>activity</t>
        </is>
      </c>
      <c r="G136" t="inlineStr">
        <is>
          <t>removal</t>
        </is>
      </c>
      <c r="H136" t="inlineStr">
        <is>
          <t>Biochar Spreading Emissions</t>
        </is>
      </c>
      <c r="I136" t="inlineStr">
        <is>
          <t xml:space="preserve"> </t>
        </is>
      </c>
    </row>
    <row r="137">
      <c r="A137" t="inlineStr">
        <is>
          <t>cmp_1KY57NCC21S06P88</t>
        </is>
      </c>
      <c r="B137" t="inlineStr">
        <is>
          <t>biochar_sequestration_200_year_c_org</t>
        </is>
      </c>
      <c r="C137" t="inlineStr">
        <is>
          <t>Biochar sequestration, 200 year durability</t>
        </is>
      </c>
      <c r="D137" s="2">
        <f>Expression!E65</f>
        <v/>
      </c>
      <c r="E137">
        <f>Expression!F65</f>
        <v/>
      </c>
      <c r="F137" t="inlineStr">
        <is>
          <t>sequestration</t>
        </is>
      </c>
      <c r="G137" t="inlineStr">
        <is>
          <t>removal</t>
        </is>
      </c>
      <c r="H137" t="inlineStr">
        <is>
          <t>Biochar sequestration, 200 year durability</t>
        </is>
      </c>
    </row>
    <row r="138">
      <c r="A138" t="inlineStr">
        <is>
          <t>cmp_1KY57NCC21S0BQN9</t>
        </is>
      </c>
      <c r="B138" t="inlineStr">
        <is>
          <t>distance_based_ci_emissions</t>
        </is>
      </c>
      <c r="C138" t="inlineStr">
        <is>
          <t>Distance-based emissions</t>
        </is>
      </c>
      <c r="D138" s="2">
        <f>Expression!E228</f>
        <v/>
      </c>
      <c r="E138">
        <f>Expression!F228</f>
        <v/>
      </c>
      <c r="F138" t="inlineStr">
        <is>
          <t>activity</t>
        </is>
      </c>
      <c r="G138" t="inlineStr">
        <is>
          <t>removal</t>
        </is>
      </c>
      <c r="H138" t="inlineStr">
        <is>
          <t>CO Flatbed Truck Transport Embodied Emissions</t>
        </is>
      </c>
      <c r="I138" t="inlineStr">
        <is>
          <t xml:space="preserve"> </t>
        </is>
      </c>
    </row>
    <row r="139">
      <c r="A139" t="inlineStr">
        <is>
          <t>cmp_1KY57NCC21S0K1CK</t>
        </is>
      </c>
      <c r="B139" t="inlineStr">
        <is>
          <t>mass_based_ci_emissions</t>
        </is>
      </c>
      <c r="C139" t="inlineStr">
        <is>
          <t>Mass-based CI emissions</t>
        </is>
      </c>
      <c r="D139" s="2">
        <f>Expression!E448</f>
        <v/>
      </c>
      <c r="E139">
        <f>Expression!F448</f>
        <v/>
      </c>
      <c r="F139" t="inlineStr">
        <is>
          <t>activity</t>
        </is>
      </c>
      <c r="G139" t="inlineStr">
        <is>
          <t>removal</t>
        </is>
      </c>
      <c r="H139" t="inlineStr">
        <is>
          <t>Biochar Production Emission (A)</t>
        </is>
      </c>
      <c r="I139" t="inlineStr">
        <is>
          <t xml:space="preserve"> </t>
        </is>
      </c>
    </row>
    <row r="140">
      <c r="A140" t="inlineStr">
        <is>
          <t>cmp_1KY57NCC21S0R2SM</t>
        </is>
      </c>
      <c r="B140" t="inlineStr">
        <is>
          <t>transport</t>
        </is>
      </c>
      <c r="C140" t="inlineStr">
        <is>
          <t>Transport emissions</t>
        </is>
      </c>
      <c r="D140" s="2">
        <f>Expression!E366</f>
        <v/>
      </c>
      <c r="E140">
        <f>Expression!F366</f>
        <v/>
      </c>
      <c r="F140" t="inlineStr">
        <is>
          <t>activity</t>
        </is>
      </c>
      <c r="G140" t="inlineStr">
        <is>
          <t>removal</t>
        </is>
      </c>
      <c r="H140" t="inlineStr">
        <is>
          <t>CO Flatbed Truck Transport Process Emissions</t>
        </is>
      </c>
      <c r="I140" t="inlineStr">
        <is>
          <t xml:space="preserve"> </t>
        </is>
      </c>
    </row>
    <row r="141">
      <c r="A141" t="inlineStr">
        <is>
          <t>cmp_1KY5G7F3N1S00HBS</t>
        </is>
      </c>
      <c r="B141" t="inlineStr">
        <is>
          <t>biochar_sequestration_200_year_c_org</t>
        </is>
      </c>
      <c r="C141" t="inlineStr">
        <is>
          <t>Biochar sequestration, 200 year durability</t>
        </is>
      </c>
      <c r="D141" s="2">
        <f>Expression!E506</f>
        <v/>
      </c>
      <c r="E141">
        <f>Expression!F506</f>
        <v/>
      </c>
      <c r="F141" t="inlineStr">
        <is>
          <t>sequestration</t>
        </is>
      </c>
      <c r="G141" t="inlineStr">
        <is>
          <t>removal</t>
        </is>
      </c>
      <c r="H141" t="inlineStr">
        <is>
          <t>Biochar sequestration, 200 year durability</t>
        </is>
      </c>
    </row>
    <row r="142">
      <c r="A142" t="inlineStr">
        <is>
          <t>cmp_1KY5G7F3N1S05JRT</t>
        </is>
      </c>
      <c r="B142" t="inlineStr">
        <is>
          <t>distance_based_ci_emissions</t>
        </is>
      </c>
      <c r="C142" t="inlineStr">
        <is>
          <t>Distance-based emissions</t>
        </is>
      </c>
      <c r="D142" s="2">
        <f>Expression!E54</f>
        <v/>
      </c>
      <c r="E142">
        <f>Expression!F54</f>
        <v/>
      </c>
      <c r="F142" t="inlineStr">
        <is>
          <t>activity</t>
        </is>
      </c>
      <c r="G142" t="inlineStr">
        <is>
          <t>removal</t>
        </is>
      </c>
      <c r="H142" t="inlineStr">
        <is>
          <t>CO Flatbed Truck Transport Embodied Emissions</t>
        </is>
      </c>
      <c r="I142" t="inlineStr">
        <is>
          <t xml:space="preserve"> </t>
        </is>
      </c>
    </row>
    <row r="143">
      <c r="A143" t="inlineStr">
        <is>
          <t>cmp_1KY5G7F3N1S0HXX5</t>
        </is>
      </c>
      <c r="B143" t="inlineStr">
        <is>
          <t>transport</t>
        </is>
      </c>
      <c r="C143" t="inlineStr">
        <is>
          <t>Transport emissions</t>
        </is>
      </c>
      <c r="D143" s="2">
        <f>Expression!E197</f>
        <v/>
      </c>
      <c r="E143">
        <f>Expression!F197</f>
        <v/>
      </c>
      <c r="F143" t="inlineStr">
        <is>
          <t>activity</t>
        </is>
      </c>
      <c r="G143" t="inlineStr">
        <is>
          <t>removal</t>
        </is>
      </c>
      <c r="H143" t="inlineStr">
        <is>
          <t>CO Flatbed Truck Transport Process Emissions</t>
        </is>
      </c>
      <c r="I143" t="inlineStr">
        <is>
          <t xml:space="preserve"> </t>
        </is>
      </c>
    </row>
    <row r="144">
      <c r="A144" t="inlineStr">
        <is>
          <t>cmp_1KY5G7F3N1S0Y91G</t>
        </is>
      </c>
      <c r="B144" t="inlineStr">
        <is>
          <t>mass_based_ci_emissions</t>
        </is>
      </c>
      <c r="C144" t="inlineStr">
        <is>
          <t>Mass-based CI emissions</t>
        </is>
      </c>
      <c r="D144" s="2">
        <f>Expression!E313</f>
        <v/>
      </c>
      <c r="E144">
        <f>Expression!F313</f>
        <v/>
      </c>
      <c r="F144" t="inlineStr">
        <is>
          <t>activity</t>
        </is>
      </c>
      <c r="G144" t="inlineStr">
        <is>
          <t>removal</t>
        </is>
      </c>
      <c r="H144" t="inlineStr">
        <is>
          <t>Biochar Spreading Emissions</t>
        </is>
      </c>
      <c r="I144" t="inlineStr">
        <is>
          <t xml:space="preserve"> </t>
        </is>
      </c>
    </row>
    <row r="145">
      <c r="A145" t="inlineStr">
        <is>
          <t>cmp_1KYA6ANEE1S00E92</t>
        </is>
      </c>
      <c r="B145" t="inlineStr">
        <is>
          <t>mass_based_ci_emissions</t>
        </is>
      </c>
      <c r="C145" t="inlineStr">
        <is>
          <t>Mass-based CI emissions</t>
        </is>
      </c>
      <c r="D145" s="2">
        <f>Expression!E482</f>
        <v/>
      </c>
      <c r="E145">
        <f>Expression!F482</f>
        <v/>
      </c>
      <c r="F145" t="inlineStr">
        <is>
          <t>activity</t>
        </is>
      </c>
      <c r="G145" t="inlineStr">
        <is>
          <t>removal</t>
        </is>
      </c>
      <c r="H145" t="inlineStr">
        <is>
          <t>Biochar Spreading Emissions</t>
        </is>
      </c>
      <c r="I145" t="inlineStr">
        <is>
          <t xml:space="preserve"> </t>
        </is>
      </c>
    </row>
    <row r="146">
      <c r="A146" t="inlineStr">
        <is>
          <t>cmp_1KYA6ANEE1S02PKB</t>
        </is>
      </c>
      <c r="B146" t="inlineStr">
        <is>
          <t>biochar_sequestration_200_year_c_org</t>
        </is>
      </c>
      <c r="C146" t="inlineStr">
        <is>
          <t>Biochar sequestration, 200 year durability</t>
        </is>
      </c>
      <c r="D146" s="2">
        <f>Expression!E253</f>
        <v/>
      </c>
      <c r="E146">
        <f>Expression!F253</f>
        <v/>
      </c>
      <c r="F146" t="inlineStr">
        <is>
          <t>sequestration</t>
        </is>
      </c>
      <c r="G146" t="inlineStr">
        <is>
          <t>removal</t>
        </is>
      </c>
      <c r="H146" t="inlineStr">
        <is>
          <t>Biochar sequestration, 200 year durability</t>
        </is>
      </c>
    </row>
    <row r="147">
      <c r="A147" t="inlineStr">
        <is>
          <t>cmp_1KYA6ANEE1S07R0C</t>
        </is>
      </c>
      <c r="B147" t="inlineStr">
        <is>
          <t>distance_based_ci_emissions</t>
        </is>
      </c>
      <c r="C147" t="inlineStr">
        <is>
          <t>Distance-based emissions</t>
        </is>
      </c>
      <c r="D147" s="2">
        <f>Expression!E208</f>
        <v/>
      </c>
      <c r="E147">
        <f>Expression!F208</f>
        <v/>
      </c>
      <c r="F147" t="inlineStr">
        <is>
          <t>activity</t>
        </is>
      </c>
      <c r="G147" t="inlineStr">
        <is>
          <t>removal</t>
        </is>
      </c>
      <c r="H147" t="inlineStr">
        <is>
          <t>CO Flatbed Truck Transport Embodied Emissions</t>
        </is>
      </c>
      <c r="I147" t="inlineStr">
        <is>
          <t xml:space="preserve"> </t>
        </is>
      </c>
    </row>
    <row r="148">
      <c r="A148" t="inlineStr">
        <is>
          <t>cmp_1KYA6ANEE1S0F1QP</t>
        </is>
      </c>
      <c r="B148" t="inlineStr">
        <is>
          <t>mass_based_ci_emissions</t>
        </is>
      </c>
      <c r="C148" t="inlineStr">
        <is>
          <t>Mass-based CI emissions</t>
        </is>
      </c>
      <c r="D148" s="2">
        <f>Expression!E443</f>
        <v/>
      </c>
      <c r="E148">
        <f>Expression!F443</f>
        <v/>
      </c>
      <c r="F148" t="inlineStr">
        <is>
          <t>activity</t>
        </is>
      </c>
      <c r="G148" t="inlineStr">
        <is>
          <t>removal</t>
        </is>
      </c>
      <c r="H148" t="inlineStr">
        <is>
          <t>Biochar Production Emission (A)</t>
        </is>
      </c>
      <c r="I148" t="inlineStr">
        <is>
          <t xml:space="preserve"> </t>
        </is>
      </c>
    </row>
    <row r="149">
      <c r="A149" t="inlineStr">
        <is>
          <t>cmp_1KYA6ANEE1S0M34Q</t>
        </is>
      </c>
      <c r="B149" t="inlineStr">
        <is>
          <t>transport</t>
        </is>
      </c>
      <c r="C149" t="inlineStr">
        <is>
          <t>Transport emissions</t>
        </is>
      </c>
      <c r="D149" s="2">
        <f>Expression!E41</f>
        <v/>
      </c>
      <c r="E149">
        <f>Expression!F41</f>
        <v/>
      </c>
      <c r="F149" t="inlineStr">
        <is>
          <t>activity</t>
        </is>
      </c>
      <c r="G149" t="inlineStr">
        <is>
          <t>removal</t>
        </is>
      </c>
      <c r="H149" t="inlineStr">
        <is>
          <t>CO Flatbed Truck Transport Process Emissions</t>
        </is>
      </c>
      <c r="I149" t="inlineStr">
        <is>
          <t xml:space="preserve"> </t>
        </is>
      </c>
    </row>
    <row r="150">
      <c r="A150" t="inlineStr">
        <is>
          <t>cmp_1KYA74ZX41S01W5Y</t>
        </is>
      </c>
      <c r="B150" t="inlineStr">
        <is>
          <t>distance_based_ci_emissions</t>
        </is>
      </c>
      <c r="C150" t="inlineStr">
        <is>
          <t>Distance-based emissions</t>
        </is>
      </c>
      <c r="D150" s="2">
        <f>Expression!E479</f>
        <v/>
      </c>
      <c r="E150">
        <f>Expression!F479</f>
        <v/>
      </c>
      <c r="F150" t="inlineStr">
        <is>
          <t>activity</t>
        </is>
      </c>
      <c r="G150" t="inlineStr">
        <is>
          <t>removal</t>
        </is>
      </c>
      <c r="H150" t="inlineStr">
        <is>
          <t>CO Flatbed Truck Transport Embodied Emissions</t>
        </is>
      </c>
      <c r="I150" t="inlineStr">
        <is>
          <t xml:space="preserve"> </t>
        </is>
      </c>
    </row>
    <row r="151">
      <c r="A151" t="inlineStr">
        <is>
          <t>cmp_1KYA74ZX41S0E7A9</t>
        </is>
      </c>
      <c r="B151" t="inlineStr">
        <is>
          <t>transport</t>
        </is>
      </c>
      <c r="C151" t="inlineStr">
        <is>
          <t>Transport emissions</t>
        </is>
      </c>
      <c r="D151" s="2">
        <f>Expression!E152</f>
        <v/>
      </c>
      <c r="E151">
        <f>Expression!F152</f>
        <v/>
      </c>
      <c r="F151" t="inlineStr">
        <is>
          <t>activity</t>
        </is>
      </c>
      <c r="G151" t="inlineStr">
        <is>
          <t>removal</t>
        </is>
      </c>
      <c r="H151" t="inlineStr">
        <is>
          <t>CO Flatbed Truck Transport Process Emissions</t>
        </is>
      </c>
      <c r="I151" t="inlineStr">
        <is>
          <t xml:space="preserve"> </t>
        </is>
      </c>
    </row>
    <row r="152">
      <c r="A152" t="inlineStr">
        <is>
          <t>cmp_1KYA74ZX41S0TJEM</t>
        </is>
      </c>
      <c r="B152" t="inlineStr">
        <is>
          <t>mass_based_ci_emissions</t>
        </is>
      </c>
      <c r="C152" t="inlineStr">
        <is>
          <t>Mass-based CI emissions</t>
        </is>
      </c>
      <c r="D152" s="2">
        <f>Expression!E214</f>
        <v/>
      </c>
      <c r="E152">
        <f>Expression!F214</f>
        <v/>
      </c>
      <c r="F152" t="inlineStr">
        <is>
          <t>activity</t>
        </is>
      </c>
      <c r="G152" t="inlineStr">
        <is>
          <t>removal</t>
        </is>
      </c>
      <c r="H152" t="inlineStr">
        <is>
          <t>Biochar Spreading Emissions</t>
        </is>
      </c>
      <c r="I152" t="inlineStr">
        <is>
          <t xml:space="preserve"> </t>
        </is>
      </c>
    </row>
    <row r="153">
      <c r="A153" t="inlineStr">
        <is>
          <t>cmp_1KYA74ZX41S0WTRX</t>
        </is>
      </c>
      <c r="B153" t="inlineStr">
        <is>
          <t>biochar_sequestration_200_year_c_org</t>
        </is>
      </c>
      <c r="C153" t="inlineStr">
        <is>
          <t>Biochar sequestration, 200 year durability</t>
        </is>
      </c>
      <c r="D153" s="2">
        <f>Expression!E268</f>
        <v/>
      </c>
      <c r="E153">
        <f>Expression!F268</f>
        <v/>
      </c>
      <c r="F153" t="inlineStr">
        <is>
          <t>sequestration</t>
        </is>
      </c>
      <c r="G153" t="inlineStr">
        <is>
          <t>removal</t>
        </is>
      </c>
      <c r="H153" t="inlineStr">
        <is>
          <t>Biochar sequestration, 200 year durability</t>
        </is>
      </c>
    </row>
    <row r="154">
      <c r="A154" t="inlineStr">
        <is>
          <t>cmp_1KYA75EW41S04SHV</t>
        </is>
      </c>
      <c r="B154" t="inlineStr">
        <is>
          <t>transport</t>
        </is>
      </c>
      <c r="C154" t="inlineStr">
        <is>
          <t>Transport emissions</t>
        </is>
      </c>
      <c r="D154" s="2">
        <f>Expression!E105</f>
        <v/>
      </c>
      <c r="E154">
        <f>Expression!F105</f>
        <v/>
      </c>
      <c r="F154" t="inlineStr">
        <is>
          <t>activity</t>
        </is>
      </c>
      <c r="G154" t="inlineStr">
        <is>
          <t>removal</t>
        </is>
      </c>
      <c r="H154" t="inlineStr">
        <is>
          <t>CO Flatbed Truck Transport Process Emissions</t>
        </is>
      </c>
      <c r="I154" t="inlineStr">
        <is>
          <t xml:space="preserve"> </t>
        </is>
      </c>
    </row>
    <row r="155">
      <c r="A155" t="inlineStr">
        <is>
          <t>cmp_1KYA75EW41S0H4P6</t>
        </is>
      </c>
      <c r="B155" t="inlineStr">
        <is>
          <t>mass_based_ci_emissions</t>
        </is>
      </c>
      <c r="C155" t="inlineStr">
        <is>
          <t>Mass-based CI emissions</t>
        </is>
      </c>
      <c r="D155" s="2">
        <f>Expression!E256</f>
        <v/>
      </c>
      <c r="E155">
        <f>Expression!F256</f>
        <v/>
      </c>
      <c r="F155" t="inlineStr">
        <is>
          <t>activity</t>
        </is>
      </c>
      <c r="G155" t="inlineStr">
        <is>
          <t>removal</t>
        </is>
      </c>
      <c r="H155" t="inlineStr">
        <is>
          <t>Biochar Spreading Emissions</t>
        </is>
      </c>
      <c r="I155" t="inlineStr">
        <is>
          <t xml:space="preserve"> </t>
        </is>
      </c>
    </row>
    <row r="156">
      <c r="A156" t="inlineStr">
        <is>
          <t>cmp_1KYA75EW41S0KD0F</t>
        </is>
      </c>
      <c r="B156" t="inlineStr">
        <is>
          <t>biochar_sequestration_200_year_c_org</t>
        </is>
      </c>
      <c r="C156" t="inlineStr">
        <is>
          <t>Biochar sequestration, 200 year durability</t>
        </is>
      </c>
      <c r="D156" s="2">
        <f>Expression!E420</f>
        <v/>
      </c>
      <c r="E156">
        <f>Expression!F420</f>
        <v/>
      </c>
      <c r="F156" t="inlineStr">
        <is>
          <t>sequestration</t>
        </is>
      </c>
      <c r="G156" t="inlineStr">
        <is>
          <t>removal</t>
        </is>
      </c>
      <c r="H156" t="inlineStr">
        <is>
          <t>Biochar sequestration, 200 year durability</t>
        </is>
      </c>
    </row>
    <row r="157">
      <c r="A157" t="inlineStr">
        <is>
          <t>cmp_1KYA75EW41S0REDG</t>
        </is>
      </c>
      <c r="B157" t="inlineStr">
        <is>
          <t>distance_based_ci_emissions</t>
        </is>
      </c>
      <c r="C157" t="inlineStr">
        <is>
          <t>Distance-based emissions</t>
        </is>
      </c>
      <c r="D157" s="2">
        <f>Expression!E104</f>
        <v/>
      </c>
      <c r="E157">
        <f>Expression!F104</f>
        <v/>
      </c>
      <c r="F157" t="inlineStr">
        <is>
          <t>activity</t>
        </is>
      </c>
      <c r="G157" t="inlineStr">
        <is>
          <t>removal</t>
        </is>
      </c>
      <c r="H157" t="inlineStr">
        <is>
          <t>CO Flatbed Truck Transport Embodied Emissions</t>
        </is>
      </c>
      <c r="I157" t="inlineStr">
        <is>
          <t xml:space="preserve"> </t>
        </is>
      </c>
    </row>
    <row r="158">
      <c r="A158" t="inlineStr">
        <is>
          <t>cmp_1KYA88NCH1S0Z8P7</t>
        </is>
      </c>
      <c r="B158" t="inlineStr">
        <is>
          <t>constant_reduction</t>
        </is>
      </c>
      <c r="C158" t="inlineStr">
        <is>
          <t>Constant CO₂ reduction</t>
        </is>
      </c>
      <c r="D158" s="2">
        <f>Expression!E511</f>
        <v/>
      </c>
      <c r="E158">
        <f>Expression!F511</f>
        <v/>
      </c>
      <c r="F158" t="inlineStr">
        <is>
          <t>adjustment</t>
        </is>
      </c>
      <c r="G158" t="inlineStr">
        <is>
          <t>removal</t>
        </is>
      </c>
      <c r="H158" t="inlineStr">
        <is>
          <t>BCU - Transport Process</t>
        </is>
      </c>
      <c r="J158" s="3" t="n">
        <v>46042</v>
      </c>
      <c r="K158" s="3" t="n">
        <v>46042</v>
      </c>
      <c r="L158" t="inlineStr">
        <is>
          <t>bcu-cmp-rmv_1KY02PC6H1S0D393</t>
        </is>
      </c>
    </row>
    <row r="159">
      <c r="A159" t="inlineStr">
        <is>
          <t>cmp_1KYA8AC2H1S0HW0Y</t>
        </is>
      </c>
      <c r="B159" t="inlineStr">
        <is>
          <t>constant_reduction</t>
        </is>
      </c>
      <c r="C159" t="inlineStr">
        <is>
          <t>Constant CO₂ reduction</t>
        </is>
      </c>
      <c r="D159" s="2">
        <f>Expression!E200</f>
        <v/>
      </c>
      <c r="E159">
        <f>Expression!F200</f>
        <v/>
      </c>
      <c r="F159" t="inlineStr">
        <is>
          <t>adjustment</t>
        </is>
      </c>
      <c r="G159" t="inlineStr">
        <is>
          <t>removal</t>
        </is>
      </c>
      <c r="H159" t="inlineStr">
        <is>
          <t>BCU - Transport Process</t>
        </is>
      </c>
      <c r="J159" s="3" t="n">
        <v>46042</v>
      </c>
      <c r="K159" s="3" t="n">
        <v>46042</v>
      </c>
      <c r="L159" t="inlineStr">
        <is>
          <t>bcu-cmp-rmv_1KY02PYB11S0N221</t>
        </is>
      </c>
    </row>
    <row r="160">
      <c r="A160" t="inlineStr">
        <is>
          <t>cmp_1KYA8AJNG1S04FBN</t>
        </is>
      </c>
      <c r="B160" t="inlineStr">
        <is>
          <t>constant_reduction</t>
        </is>
      </c>
      <c r="C160" t="inlineStr">
        <is>
          <t>Constant CO₂ reduction</t>
        </is>
      </c>
      <c r="D160" s="2">
        <f>Expression!E215</f>
        <v/>
      </c>
      <c r="E160">
        <f>Expression!F215</f>
        <v/>
      </c>
      <c r="F160" t="inlineStr">
        <is>
          <t>adjustment</t>
        </is>
      </c>
      <c r="G160" t="inlineStr">
        <is>
          <t>removal</t>
        </is>
      </c>
      <c r="H160" t="inlineStr">
        <is>
          <t>BCU - Transport Process</t>
        </is>
      </c>
      <c r="J160" s="3" t="n">
        <v>46092</v>
      </c>
      <c r="K160" s="3" t="n">
        <v>46092</v>
      </c>
      <c r="L160" t="inlineStr">
        <is>
          <t>bcu-cmp-rmv_1KY57NCC21S0TVWC</t>
        </is>
      </c>
    </row>
    <row r="161">
      <c r="A161" t="inlineStr">
        <is>
          <t>cmp_1KYA8AV061S0Q2PC</t>
        </is>
      </c>
      <c r="B161" t="inlineStr">
        <is>
          <t>constant_reduction</t>
        </is>
      </c>
      <c r="C161" t="inlineStr">
        <is>
          <t>Constant CO₂ reduction</t>
        </is>
      </c>
      <c r="D161" s="2">
        <f>Expression!E81</f>
        <v/>
      </c>
      <c r="E161">
        <f>Expression!F81</f>
        <v/>
      </c>
      <c r="F161" t="inlineStr">
        <is>
          <t>adjustment</t>
        </is>
      </c>
      <c r="G161" t="inlineStr">
        <is>
          <t>removal</t>
        </is>
      </c>
      <c r="H161" t="inlineStr">
        <is>
          <t>BCU - Transport Process</t>
        </is>
      </c>
      <c r="J161" s="3" t="n">
        <v>46092</v>
      </c>
      <c r="K161" s="3" t="n">
        <v>46092</v>
      </c>
      <c r="L161" t="inlineStr">
        <is>
          <t>bcu-cmp-rmv_1KY57M9F81S03MK6</t>
        </is>
      </c>
    </row>
    <row r="162">
      <c r="A162" t="inlineStr">
        <is>
          <t>cmp_1KYA8B0MV1S09P13</t>
        </is>
      </c>
      <c r="B162" t="inlineStr">
        <is>
          <t>constant_reduction</t>
        </is>
      </c>
      <c r="C162" t="inlineStr">
        <is>
          <t>Constant CO₂ reduction</t>
        </is>
      </c>
      <c r="D162" s="2">
        <f>Expression!E514</f>
        <v/>
      </c>
      <c r="E162">
        <f>Expression!F514</f>
        <v/>
      </c>
      <c r="F162" t="inlineStr">
        <is>
          <t>adjustment</t>
        </is>
      </c>
      <c r="G162" t="inlineStr">
        <is>
          <t>removal</t>
        </is>
      </c>
      <c r="H162" t="inlineStr">
        <is>
          <t>BCU - Transport Process</t>
        </is>
      </c>
      <c r="J162" s="3" t="n">
        <v>46092</v>
      </c>
      <c r="K162" s="3" t="n">
        <v>46092</v>
      </c>
      <c r="L162" t="inlineStr">
        <is>
          <t>bcu-cmp-rmv_1KY57MT101S0BKC4</t>
        </is>
      </c>
    </row>
    <row r="163">
      <c r="A163" t="inlineStr">
        <is>
          <t>cmp_1KYA8B7Y01S0W9BT</t>
        </is>
      </c>
      <c r="B163" t="inlineStr">
        <is>
          <t>constant_reduction</t>
        </is>
      </c>
      <c r="C163" t="inlineStr">
        <is>
          <t>Constant CO₂ reduction</t>
        </is>
      </c>
      <c r="D163" s="2">
        <f>Expression!E450</f>
        <v/>
      </c>
      <c r="E163">
        <f>Expression!F450</f>
        <v/>
      </c>
      <c r="F163" t="inlineStr">
        <is>
          <t>adjustment</t>
        </is>
      </c>
      <c r="G163" t="inlineStr">
        <is>
          <t>removal</t>
        </is>
      </c>
      <c r="H163" t="inlineStr">
        <is>
          <t>BCU - Transport Process</t>
        </is>
      </c>
      <c r="J163" s="3" t="n">
        <v>46092</v>
      </c>
      <c r="K163" s="3" t="n">
        <v>46092</v>
      </c>
      <c r="L163" t="inlineStr">
        <is>
          <t>bcu-cmp-rmv_1KY5G7F3N1S0MPZX</t>
        </is>
      </c>
    </row>
    <row r="164">
      <c r="A164" t="inlineStr">
        <is>
          <t>cmp_1KYA8BFJ71S0EWPH</t>
        </is>
      </c>
      <c r="B164" t="inlineStr">
        <is>
          <t>constant_reduction</t>
        </is>
      </c>
      <c r="C164" t="inlineStr">
        <is>
          <t>Constant CO₂ reduction</t>
        </is>
      </c>
      <c r="D164" s="2">
        <f>Expression!E5</f>
        <v/>
      </c>
      <c r="E164">
        <f>Expression!F5</f>
        <v/>
      </c>
      <c r="F164" t="inlineStr">
        <is>
          <t>adjustment</t>
        </is>
      </c>
      <c r="G164" t="inlineStr">
        <is>
          <t>removal</t>
        </is>
      </c>
      <c r="H164" t="inlineStr">
        <is>
          <t>BCU - Transport Process</t>
        </is>
      </c>
      <c r="J164" s="3" t="n">
        <v>46101</v>
      </c>
      <c r="K164" s="3" t="n">
        <v>46101</v>
      </c>
      <c r="L164" t="inlineStr">
        <is>
          <t>bcu-cmp-rmv_1KY38KE1C1S03T2H</t>
        </is>
      </c>
    </row>
    <row r="165">
      <c r="A165" t="inlineStr">
        <is>
          <t>cmp_1KYA8BMMT1S01G18</t>
        </is>
      </c>
      <c r="B165" t="inlineStr">
        <is>
          <t>constant_reduction</t>
        </is>
      </c>
      <c r="C165" t="inlineStr">
        <is>
          <t>Constant CO₂ reduction</t>
        </is>
      </c>
      <c r="D165" s="2">
        <f>Expression!E172</f>
        <v/>
      </c>
      <c r="E165">
        <f>Expression!F172</f>
        <v/>
      </c>
      <c r="F165" t="inlineStr">
        <is>
          <t>adjustment</t>
        </is>
      </c>
      <c r="G165" t="inlineStr">
        <is>
          <t>removal</t>
        </is>
      </c>
      <c r="H165" t="inlineStr">
        <is>
          <t>BCU - Transport Process</t>
        </is>
      </c>
      <c r="J165" s="3" t="n">
        <v>46172</v>
      </c>
      <c r="K165" s="3" t="n">
        <v>46172</v>
      </c>
      <c r="L165" t="inlineStr">
        <is>
          <t>bcu-cmp-rmv_1KWCSDFQF1S0CSCB</t>
        </is>
      </c>
    </row>
    <row r="166">
      <c r="A166" t="inlineStr">
        <is>
          <t>cmp_1KYA8BVBA1S0M3BZ</t>
        </is>
      </c>
      <c r="B166" t="inlineStr">
        <is>
          <t>constant_reduction</t>
        </is>
      </c>
      <c r="C166" t="inlineStr">
        <is>
          <t>Constant CO₂ reduction</t>
        </is>
      </c>
      <c r="D166" s="2">
        <f>Expression!E352</f>
        <v/>
      </c>
      <c r="E166">
        <f>Expression!F352</f>
        <v/>
      </c>
      <c r="F166" t="inlineStr">
        <is>
          <t>adjustment</t>
        </is>
      </c>
      <c r="G166" t="inlineStr">
        <is>
          <t>removal</t>
        </is>
      </c>
      <c r="H166" t="inlineStr">
        <is>
          <t>BCU - Transport Process</t>
        </is>
      </c>
      <c r="J166" s="3" t="n">
        <v>46172</v>
      </c>
      <c r="K166" s="3" t="n">
        <v>46172</v>
      </c>
      <c r="L166" t="inlineStr">
        <is>
          <t>bcu-cmp-rmv_1KWCC0FY31S0QD5T</t>
        </is>
      </c>
    </row>
    <row r="167">
      <c r="A167" t="inlineStr">
        <is>
          <t>cmp_1KYA8C19J1S06PPP</t>
        </is>
      </c>
      <c r="B167" t="inlineStr">
        <is>
          <t>constant_reduction</t>
        </is>
      </c>
      <c r="C167" t="inlineStr">
        <is>
          <t>Constant CO₂ reduction</t>
        </is>
      </c>
      <c r="D167" s="2">
        <f>Expression!E109</f>
        <v/>
      </c>
      <c r="E167">
        <f>Expression!F109</f>
        <v/>
      </c>
      <c r="F167" t="inlineStr">
        <is>
          <t>adjustment</t>
        </is>
      </c>
      <c r="G167" t="inlineStr">
        <is>
          <t>removal</t>
        </is>
      </c>
      <c r="H167" t="inlineStr">
        <is>
          <t>BCU - Transport Process</t>
        </is>
      </c>
      <c r="J167" s="3" t="n">
        <v>46172</v>
      </c>
      <c r="K167" s="3" t="n">
        <v>46172</v>
      </c>
      <c r="L167" t="inlineStr">
        <is>
          <t>bcu-cmp-rmv_1KWCZP1M61S02KMH</t>
        </is>
      </c>
    </row>
    <row r="168">
      <c r="A168" t="inlineStr">
        <is>
          <t>cmp_1KYA8C6KP1S0SA1D</t>
        </is>
      </c>
      <c r="B168" t="inlineStr">
        <is>
          <t>constant_reduction</t>
        </is>
      </c>
      <c r="C168" t="inlineStr">
        <is>
          <t>Constant CO₂ reduction</t>
        </is>
      </c>
      <c r="D168" s="2">
        <f>Expression!E371</f>
        <v/>
      </c>
      <c r="E168">
        <f>Expression!F371</f>
        <v/>
      </c>
      <c r="F168" t="inlineStr">
        <is>
          <t>adjustment</t>
        </is>
      </c>
      <c r="G168" t="inlineStr">
        <is>
          <t>removal</t>
        </is>
      </c>
      <c r="H168" t="inlineStr">
        <is>
          <t>BCU - Transport Process</t>
        </is>
      </c>
      <c r="J168" s="3" t="n">
        <v>46179</v>
      </c>
      <c r="K168" s="3" t="n">
        <v>46179</v>
      </c>
      <c r="L168" t="inlineStr">
        <is>
          <t>bcu-cmp-rmv_1KXKP77Q21S08Q74</t>
        </is>
      </c>
    </row>
    <row r="169">
      <c r="A169" t="inlineStr">
        <is>
          <t>cmp_1KYA8CE8V1S0ZJ7S</t>
        </is>
      </c>
      <c r="B169" t="inlineStr">
        <is>
          <t>constant_reduction</t>
        </is>
      </c>
      <c r="C169" t="inlineStr">
        <is>
          <t>Constant CO₂ reduction</t>
        </is>
      </c>
      <c r="D169" s="2">
        <f>Expression!E287</f>
        <v/>
      </c>
      <c r="E169">
        <f>Expression!F287</f>
        <v/>
      </c>
      <c r="F169" t="inlineStr">
        <is>
          <t>adjustment</t>
        </is>
      </c>
      <c r="G169" t="inlineStr">
        <is>
          <t>removal</t>
        </is>
      </c>
      <c r="H169" t="inlineStr">
        <is>
          <t>BCU - Transport Process</t>
        </is>
      </c>
      <c r="J169" s="3" t="n">
        <v>46179</v>
      </c>
      <c r="K169" s="3" t="n">
        <v>46179</v>
      </c>
      <c r="L169" t="inlineStr">
        <is>
          <t>bcu-cmp-rmv_1KXKGXJB61S01MAJ</t>
        </is>
      </c>
    </row>
    <row r="170">
      <c r="A170" t="inlineStr">
        <is>
          <t>cmp_1KYA8CM3F1S05TE5</t>
        </is>
      </c>
      <c r="B170" t="inlineStr">
        <is>
          <t>constant_reduction</t>
        </is>
      </c>
      <c r="C170" t="inlineStr">
        <is>
          <t>Constant CO₂ reduction</t>
        </is>
      </c>
      <c r="D170" s="2">
        <f>Expression!E398</f>
        <v/>
      </c>
      <c r="E170">
        <f>Expression!F398</f>
        <v/>
      </c>
      <c r="F170" t="inlineStr">
        <is>
          <t>adjustment</t>
        </is>
      </c>
      <c r="G170" t="inlineStr">
        <is>
          <t>removal</t>
        </is>
      </c>
      <c r="H170" t="inlineStr">
        <is>
          <t>BCU - Transport Process</t>
        </is>
      </c>
      <c r="J170" s="3" t="n">
        <v>46179</v>
      </c>
      <c r="K170" s="3" t="n">
        <v>46179</v>
      </c>
      <c r="L170" t="inlineStr">
        <is>
          <t>bcu-cmp-rmv_1KXEJD28G1S07DZM</t>
        </is>
      </c>
    </row>
    <row r="171">
      <c r="A171" t="inlineStr">
        <is>
          <t>cmp_1KYA8CVCR1S0RDRW</t>
        </is>
      </c>
      <c r="B171" t="inlineStr">
        <is>
          <t>constant_reduction</t>
        </is>
      </c>
      <c r="C171" t="inlineStr">
        <is>
          <t>Constant CO₂ reduction</t>
        </is>
      </c>
      <c r="D171" s="2">
        <f>Expression!E370</f>
        <v/>
      </c>
      <c r="E171">
        <f>Expression!F370</f>
        <v/>
      </c>
      <c r="F171" t="inlineStr">
        <is>
          <t>adjustment</t>
        </is>
      </c>
      <c r="G171" t="inlineStr">
        <is>
          <t>removal</t>
        </is>
      </c>
      <c r="H171" t="inlineStr">
        <is>
          <t>BCU - Transport Process</t>
        </is>
      </c>
      <c r="J171" s="3" t="n">
        <v>46179</v>
      </c>
      <c r="K171" s="3" t="n">
        <v>46179</v>
      </c>
      <c r="L171" t="inlineStr">
        <is>
          <t>bcu-cmp-rmv_1KXERD7151S0RC36</t>
        </is>
      </c>
    </row>
    <row r="172">
      <c r="A172" t="inlineStr">
        <is>
          <t>cmp_1KYA8D1QE1S0YNZ8</t>
        </is>
      </c>
      <c r="B172" t="inlineStr">
        <is>
          <t>constant_reduction</t>
        </is>
      </c>
      <c r="C172" t="inlineStr">
        <is>
          <t>Constant CO₂ reduction</t>
        </is>
      </c>
      <c r="D172" s="2">
        <f>Expression!E126</f>
        <v/>
      </c>
      <c r="E172">
        <f>Expression!F126</f>
        <v/>
      </c>
      <c r="F172" t="inlineStr">
        <is>
          <t>adjustment</t>
        </is>
      </c>
      <c r="G172" t="inlineStr">
        <is>
          <t>removal</t>
        </is>
      </c>
      <c r="H172" t="inlineStr">
        <is>
          <t>BCU - Transport Process</t>
        </is>
      </c>
      <c r="J172" s="3" t="n">
        <v>46179</v>
      </c>
      <c r="K172" s="3" t="n">
        <v>46179</v>
      </c>
      <c r="L172" t="inlineStr">
        <is>
          <t>bcu-cmp-rmv_1KXGK3HP81S0FP36</t>
        </is>
      </c>
    </row>
    <row r="173">
      <c r="A173" t="inlineStr">
        <is>
          <t>cmp_1KYA8D6PQ1S0H99Z</t>
        </is>
      </c>
      <c r="B173" t="inlineStr">
        <is>
          <t>constant_reduction</t>
        </is>
      </c>
      <c r="C173" t="inlineStr">
        <is>
          <t>Constant CO₂ reduction</t>
        </is>
      </c>
      <c r="D173" s="2">
        <f>Expression!E83</f>
        <v/>
      </c>
      <c r="E173">
        <f>Expression!F83</f>
        <v/>
      </c>
      <c r="F173" t="inlineStr">
        <is>
          <t>adjustment</t>
        </is>
      </c>
      <c r="G173" t="inlineStr">
        <is>
          <t>removal</t>
        </is>
      </c>
      <c r="H173" t="inlineStr">
        <is>
          <t>BCU - Transport Process</t>
        </is>
      </c>
      <c r="J173" s="3" t="n">
        <v>46179</v>
      </c>
      <c r="K173" s="3" t="n">
        <v>46179</v>
      </c>
      <c r="L173" t="inlineStr">
        <is>
          <t>bcu-cmp-rmv_1KXGK4R131S095PN</t>
        </is>
      </c>
    </row>
    <row r="174">
      <c r="A174" t="inlineStr">
        <is>
          <t>cmp_1KYA939Z81S0VVX8</t>
        </is>
      </c>
      <c r="B174" t="inlineStr">
        <is>
          <t>constant_reduction</t>
        </is>
      </c>
      <c r="C174" t="inlineStr">
        <is>
          <t>Constant CO₂ reduction</t>
        </is>
      </c>
      <c r="D174" s="2">
        <f>Expression!E206</f>
        <v/>
      </c>
      <c r="E174">
        <f>Expression!F206</f>
        <v/>
      </c>
      <c r="F174" t="inlineStr">
        <is>
          <t>adjustment</t>
        </is>
      </c>
      <c r="G174" t="inlineStr">
        <is>
          <t>removal</t>
        </is>
      </c>
      <c r="H174" t="inlineStr">
        <is>
          <t>BCU - Transport Process</t>
        </is>
      </c>
      <c r="J174" s="3" t="n">
        <v>46042</v>
      </c>
      <c r="K174" s="3" t="n">
        <v>46042</v>
      </c>
      <c r="L174" t="inlineStr">
        <is>
          <t>bcu-cmp-rmv_1KYA6ANEE1S0PW7F</t>
        </is>
      </c>
    </row>
    <row r="175">
      <c r="A175" t="inlineStr">
        <is>
          <t>cmp_1KYA93KPV1S0X2PK</t>
        </is>
      </c>
      <c r="B175" t="inlineStr">
        <is>
          <t>constant_reduction</t>
        </is>
      </c>
      <c r="C175" t="inlineStr">
        <is>
          <t>Constant CO₂ reduction</t>
        </is>
      </c>
      <c r="D175" s="2">
        <f>Expression!E231</f>
        <v/>
      </c>
      <c r="E175">
        <f>Expression!F231</f>
        <v/>
      </c>
      <c r="F175" t="inlineStr">
        <is>
          <t>adjustment</t>
        </is>
      </c>
      <c r="G175" t="inlineStr">
        <is>
          <t>removal</t>
        </is>
      </c>
      <c r="H175" t="inlineStr">
        <is>
          <t>BCU - Transport Process</t>
        </is>
      </c>
      <c r="J175" s="3" t="n">
        <v>46101</v>
      </c>
      <c r="K175" s="3" t="n">
        <v>46101</v>
      </c>
      <c r="L175" t="inlineStr">
        <is>
          <t>bcu-cmp-rmv_1KYA74ZX41S0H0D1</t>
        </is>
      </c>
    </row>
    <row r="176">
      <c r="A176" t="inlineStr">
        <is>
          <t>cmp_1KYA93XE31S0FP1A</t>
        </is>
      </c>
      <c r="B176" t="inlineStr">
        <is>
          <t>constant_reduction</t>
        </is>
      </c>
      <c r="C176" t="inlineStr">
        <is>
          <t>Constant CO₂ reduction</t>
        </is>
      </c>
      <c r="D176" s="2">
        <f>Expression!E201</f>
        <v/>
      </c>
      <c r="E176">
        <f>Expression!F201</f>
        <v/>
      </c>
      <c r="F176" t="inlineStr">
        <is>
          <t>adjustment</t>
        </is>
      </c>
      <c r="G176" t="inlineStr">
        <is>
          <t>removal</t>
        </is>
      </c>
      <c r="H176" t="inlineStr">
        <is>
          <t>BCU - Transport Process</t>
        </is>
      </c>
      <c r="J176" s="3" t="n">
        <v>46101</v>
      </c>
      <c r="K176" s="3" t="n">
        <v>46101</v>
      </c>
      <c r="L176" t="inlineStr">
        <is>
          <t>bcu-cmp-rmv_1KYA75EW41S07JMK</t>
        </is>
      </c>
    </row>
    <row r="177">
      <c r="A177" t="inlineStr">
        <is>
          <t>cmp_1KYABR7E21S06E9K</t>
        </is>
      </c>
      <c r="B177" t="inlineStr">
        <is>
          <t>mass_based_ci_emissions</t>
        </is>
      </c>
      <c r="C177" t="inlineStr">
        <is>
          <t>Mass-based CI emissions</t>
        </is>
      </c>
      <c r="D177" s="2">
        <f>Expression!E481</f>
        <v/>
      </c>
      <c r="E177">
        <f>Expression!F481</f>
        <v/>
      </c>
      <c r="F177" t="inlineStr">
        <is>
          <t>activity</t>
        </is>
      </c>
      <c r="G177" t="inlineStr">
        <is>
          <t>removal</t>
        </is>
      </c>
      <c r="H177" t="inlineStr">
        <is>
          <t>Biochar Production Emission (A)</t>
        </is>
      </c>
      <c r="J177" s="3" t="n">
        <v>46042</v>
      </c>
      <c r="K177" s="3" t="n">
        <v>46042</v>
      </c>
      <c r="L177" t="inlineStr">
        <is>
          <t>pyro-cmp-rmv_1KY02PC6H1S0D393</t>
        </is>
      </c>
    </row>
    <row r="178">
      <c r="A178" t="inlineStr">
        <is>
          <t>cmp_1KYABS4TW1S0M5FP</t>
        </is>
      </c>
      <c r="B178" t="inlineStr">
        <is>
          <t>mass_based_ci_emissions</t>
        </is>
      </c>
      <c r="C178" t="inlineStr">
        <is>
          <t>Mass-based CI emissions</t>
        </is>
      </c>
      <c r="D178" s="2">
        <f>Expression!E180</f>
        <v/>
      </c>
      <c r="E178">
        <f>Expression!F180</f>
        <v/>
      </c>
      <c r="F178" t="inlineStr">
        <is>
          <t>activity</t>
        </is>
      </c>
      <c r="G178" t="inlineStr">
        <is>
          <t>removal</t>
        </is>
      </c>
      <c r="H178" t="inlineStr">
        <is>
          <t>Biochar Production Emission (A)</t>
        </is>
      </c>
      <c r="J178" s="3" t="n">
        <v>46042</v>
      </c>
      <c r="K178" s="3" t="n">
        <v>46042</v>
      </c>
      <c r="L178" t="inlineStr">
        <is>
          <t>pyro-cmp-rmv_1KY02PYB11S0N221</t>
        </is>
      </c>
    </row>
    <row r="179">
      <c r="A179" t="inlineStr">
        <is>
          <t>cmp_1KYABSAA61S08GC7</t>
        </is>
      </c>
      <c r="B179" t="inlineStr">
        <is>
          <t>mass_based_ci_emissions</t>
        </is>
      </c>
      <c r="C179" t="inlineStr">
        <is>
          <t>Mass-based CI emissions</t>
        </is>
      </c>
      <c r="D179" s="2">
        <f>Expression!E150</f>
        <v/>
      </c>
      <c r="E179">
        <f>Expression!F150</f>
        <v/>
      </c>
      <c r="F179" t="inlineStr">
        <is>
          <t>activity</t>
        </is>
      </c>
      <c r="G179" t="inlineStr">
        <is>
          <t>removal</t>
        </is>
      </c>
      <c r="H179" t="inlineStr">
        <is>
          <t>Biochar Production Emission (A)</t>
        </is>
      </c>
      <c r="J179" s="3" t="n">
        <v>46092</v>
      </c>
      <c r="K179" s="3" t="n">
        <v>46092</v>
      </c>
      <c r="L179" t="inlineStr">
        <is>
          <t>pyro-cmp-rmv_1KY57M9F81S03MK6</t>
        </is>
      </c>
    </row>
    <row r="180">
      <c r="A180" t="inlineStr">
        <is>
          <t>cmp_1KYABSFP21S04NRH</t>
        </is>
      </c>
      <c r="B180" t="inlineStr">
        <is>
          <t>mass_based_ci_emissions</t>
        </is>
      </c>
      <c r="C180" t="inlineStr">
        <is>
          <t>Mass-based CI emissions</t>
        </is>
      </c>
      <c r="D180" s="2">
        <f>Expression!E480</f>
        <v/>
      </c>
      <c r="E180">
        <f>Expression!F480</f>
        <v/>
      </c>
      <c r="F180" t="inlineStr">
        <is>
          <t>activity</t>
        </is>
      </c>
      <c r="G180" t="inlineStr">
        <is>
          <t>removal</t>
        </is>
      </c>
      <c r="H180" t="inlineStr">
        <is>
          <t>Biochar Production Emission (A)</t>
        </is>
      </c>
      <c r="J180" s="3" t="n">
        <v>46092</v>
      </c>
      <c r="K180" s="3" t="n">
        <v>46092</v>
      </c>
      <c r="L180" t="inlineStr">
        <is>
          <t>pyro-cmp-rmv_1KY57MT101S0BKC4</t>
        </is>
      </c>
    </row>
    <row r="181">
      <c r="A181" t="inlineStr">
        <is>
          <t>cmp_1KYABSMDG1S05BSD</t>
        </is>
      </c>
      <c r="B181" t="inlineStr">
        <is>
          <t>mass_based_ci_emissions</t>
        </is>
      </c>
      <c r="C181" t="inlineStr">
        <is>
          <t>Mass-based CI emissions</t>
        </is>
      </c>
      <c r="D181" s="2">
        <f>Expression!E37</f>
        <v/>
      </c>
      <c r="E181">
        <f>Expression!F37</f>
        <v/>
      </c>
      <c r="F181" t="inlineStr">
        <is>
          <t>activity</t>
        </is>
      </c>
      <c r="G181" t="inlineStr">
        <is>
          <t>removal</t>
        </is>
      </c>
      <c r="H181" t="inlineStr">
        <is>
          <t>Biochar Production Emission (A)</t>
        </is>
      </c>
      <c r="J181" s="3" t="n">
        <v>46092</v>
      </c>
      <c r="K181" s="3" t="n">
        <v>46092</v>
      </c>
      <c r="L181" t="inlineStr">
        <is>
          <t>pyro-cmp-rmv_1KY5G7F3N1S0MPZX</t>
        </is>
      </c>
    </row>
    <row r="182">
      <c r="A182" t="inlineStr">
        <is>
          <t>cmp_1KYABSTXA1S03SG0</t>
        </is>
      </c>
      <c r="B182" t="inlineStr">
        <is>
          <t>mass_based_ci_emissions</t>
        </is>
      </c>
      <c r="C182" t="inlineStr">
        <is>
          <t>Mass-based CI emissions</t>
        </is>
      </c>
      <c r="D182" s="2">
        <f>Expression!E374</f>
        <v/>
      </c>
      <c r="E182">
        <f>Expression!F374</f>
        <v/>
      </c>
      <c r="F182" t="inlineStr">
        <is>
          <t>activity</t>
        </is>
      </c>
      <c r="G182" t="inlineStr">
        <is>
          <t>removal</t>
        </is>
      </c>
      <c r="H182" t="inlineStr">
        <is>
          <t>Biochar Production Emission (A)</t>
        </is>
      </c>
      <c r="J182" s="3" t="n">
        <v>46101</v>
      </c>
      <c r="K182" s="3" t="n">
        <v>46101</v>
      </c>
      <c r="L182" t="inlineStr">
        <is>
          <t>pyro-cmp-rmv_1KY38KE1C1S03T2H</t>
        </is>
      </c>
    </row>
    <row r="183">
      <c r="A183" t="inlineStr">
        <is>
          <t>cmp_1KYABSZY41S0TXF9</t>
        </is>
      </c>
      <c r="B183" t="inlineStr">
        <is>
          <t>mass_based_ci_emissions</t>
        </is>
      </c>
      <c r="C183" t="inlineStr">
        <is>
          <t>Mass-based CI emissions</t>
        </is>
      </c>
      <c r="D183" s="2">
        <f>Expression!E444</f>
        <v/>
      </c>
      <c r="E183">
        <f>Expression!F444</f>
        <v/>
      </c>
      <c r="F183" t="inlineStr">
        <is>
          <t>activity</t>
        </is>
      </c>
      <c r="G183" t="inlineStr">
        <is>
          <t>removal</t>
        </is>
      </c>
      <c r="H183" t="inlineStr">
        <is>
          <t>Biochar Production Emission (A)</t>
        </is>
      </c>
      <c r="J183" s="3" t="n">
        <v>46101</v>
      </c>
      <c r="K183" s="3" t="n">
        <v>46101</v>
      </c>
      <c r="L183" t="inlineStr">
        <is>
          <t>pyro-cmp-rmv_1KYA75EW41S07JMK</t>
        </is>
      </c>
    </row>
    <row r="184">
      <c r="A184" t="inlineStr">
        <is>
          <t>cmp_1KYABT6021S0VKG5</t>
        </is>
      </c>
      <c r="B184" t="inlineStr">
        <is>
          <t>mass_based_ci_emissions</t>
        </is>
      </c>
      <c r="C184" t="inlineStr">
        <is>
          <t>Mass-based CI emissions</t>
        </is>
      </c>
      <c r="D184" s="2">
        <f>Expression!E216</f>
        <v/>
      </c>
      <c r="E184">
        <f>Expression!F216</f>
        <v/>
      </c>
      <c r="F184" t="inlineStr">
        <is>
          <t>activity</t>
        </is>
      </c>
      <c r="G184" t="inlineStr">
        <is>
          <t>removal</t>
        </is>
      </c>
      <c r="H184" t="inlineStr">
        <is>
          <t>Biochar Production Emission (A)</t>
        </is>
      </c>
      <c r="J184" s="3" t="n">
        <v>46179</v>
      </c>
      <c r="K184" s="3" t="n">
        <v>46179</v>
      </c>
      <c r="L184" t="inlineStr">
        <is>
          <t>pyro-cmp-rmv_1KXGK4R131S095PN</t>
        </is>
      </c>
    </row>
    <row r="185">
      <c r="A185" t="inlineStr">
        <is>
          <t>cmp_1KYABTBGB1S0MZSQ</t>
        </is>
      </c>
      <c r="B185" t="inlineStr">
        <is>
          <t>mass_based_ci_emissions</t>
        </is>
      </c>
      <c r="C185" t="inlineStr">
        <is>
          <t>Mass-based CI emissions</t>
        </is>
      </c>
      <c r="D185" s="2">
        <f>Expression!E121</f>
        <v/>
      </c>
      <c r="E185">
        <f>Expression!F121</f>
        <v/>
      </c>
      <c r="F185" t="inlineStr">
        <is>
          <t>activity</t>
        </is>
      </c>
      <c r="G185" t="inlineStr">
        <is>
          <t>removal</t>
        </is>
      </c>
      <c r="H185" t="inlineStr">
        <is>
          <t>Biochar Production Emission (A)</t>
        </is>
      </c>
      <c r="J185" s="3" t="n">
        <v>46179</v>
      </c>
      <c r="K185" s="3" t="n">
        <v>46179</v>
      </c>
      <c r="L185" t="inlineStr">
        <is>
          <t>pyro-cmp-rmv_1KXGK5BMT1S0H4FK</t>
        </is>
      </c>
    </row>
    <row r="186">
      <c r="A186" t="inlineStr">
        <is>
          <t>cmp_1KYN3YECW1S0WM2R</t>
        </is>
      </c>
      <c r="B186" t="inlineStr">
        <is>
          <t>constant_activity_emissions</t>
        </is>
      </c>
      <c r="C186" t="inlineStr">
        <is>
          <t>Constant emissions</t>
        </is>
      </c>
      <c r="D186" s="2">
        <f>Expression!E230</f>
        <v/>
      </c>
      <c r="E186">
        <f>Expression!F230</f>
        <v/>
      </c>
      <c r="F186" t="inlineStr">
        <is>
          <t>activity</t>
        </is>
      </c>
      <c r="G186" t="inlineStr">
        <is>
          <t>removal</t>
        </is>
      </c>
      <c r="H186" t="inlineStr">
        <is>
          <t>Over Allocated Emissions</t>
        </is>
      </c>
    </row>
    <row r="187">
      <c r="A187" t="inlineStr">
        <is>
          <t>cmp_1KYN4431R1S054KD</t>
        </is>
      </c>
      <c r="B187" t="inlineStr">
        <is>
          <t>constant_activity_emissions</t>
        </is>
      </c>
      <c r="C187" t="inlineStr">
        <is>
          <t>Constant emissions</t>
        </is>
      </c>
      <c r="D187" s="2">
        <f>Expression!E211</f>
        <v/>
      </c>
      <c r="E187">
        <f>Expression!F211</f>
        <v/>
      </c>
      <c r="F187" t="inlineStr">
        <is>
          <t>activity</t>
        </is>
      </c>
      <c r="G187" t="inlineStr">
        <is>
          <t>removal</t>
        </is>
      </c>
      <c r="H187" t="inlineStr">
        <is>
          <t>Over Allocated Emissions</t>
        </is>
      </c>
    </row>
    <row r="188">
      <c r="A188" t="inlineStr">
        <is>
          <t>cmp_1KYN471V91S0Z1NE</t>
        </is>
      </c>
      <c r="B188" t="inlineStr">
        <is>
          <t>constant_activity_emissions</t>
        </is>
      </c>
      <c r="C188" t="inlineStr">
        <is>
          <t>Constant emissions</t>
        </is>
      </c>
      <c r="D188" s="2">
        <f>Expression!E78</f>
        <v/>
      </c>
      <c r="E188">
        <f>Expression!F78</f>
        <v/>
      </c>
      <c r="F188" t="inlineStr">
        <is>
          <t>activity</t>
        </is>
      </c>
      <c r="G188" t="inlineStr">
        <is>
          <t>removal</t>
        </is>
      </c>
      <c r="H188" t="inlineStr">
        <is>
          <t>Over Allocated Emissions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Expression ID</t>
        </is>
      </c>
      <c r="B1" s="1" t="inlineStr">
        <is>
          <t>Component ID</t>
        </is>
      </c>
      <c r="C1" s="1" t="inlineStr">
        <is>
          <t>Result Name</t>
        </is>
      </c>
      <c r="D1" s="1" t="inlineStr">
        <is>
          <t>Expression Template</t>
        </is>
      </c>
      <c r="E1" s="4" t="inlineStr">
        <is>
          <t>Result in SI Units</t>
        </is>
      </c>
      <c r="F1" s="1" t="inlineStr">
        <is>
          <t>Standard deviation in SI Units</t>
        </is>
      </c>
      <c r="G1" s="1" t="inlineStr">
        <is>
          <t>SI Units</t>
        </is>
      </c>
    </row>
    <row r="2">
      <c r="E2" s="2" t="n"/>
    </row>
    <row r="3">
      <c r="A3" t="inlineStr">
        <is>
          <t>cmp_1KXGK45BZ1S0YDTZ_output</t>
        </is>
      </c>
      <c r="B3">
        <f>Component!A90</f>
        <v/>
      </c>
      <c r="C3" t="inlineStr">
        <is>
          <t>Distance-based emissions</t>
        </is>
      </c>
      <c r="D3" t="inlineStr">
        <is>
          <t>{cmp_1KXGK45BZ1S0YDTZ_distance} * {cmp_1KXGK45BZ1S0YDTZ_carbon_intensity}</t>
        </is>
      </c>
      <c r="E3" s="2">
        <f>Datapoint!E316 * Datapoint!E315</f>
        <v/>
      </c>
      <c r="F3" t="n">
        <v>0</v>
      </c>
      <c r="G3" t="inlineStr">
        <is>
          <t>kg</t>
        </is>
      </c>
    </row>
    <row r="4">
      <c r="A4" t="inlineStr">
        <is>
          <t>cmp_1KXGK45BZ1S0YDTZ_component_root</t>
        </is>
      </c>
      <c r="B4">
        <f>Component!A90</f>
        <v/>
      </c>
      <c r="C4" t="inlineStr">
        <is>
          <t>CO Flatbed Truck Transport Embodied Emissions</t>
        </is>
      </c>
      <c r="D4" t="inlineStr">
        <is>
          <t>{cmp_1KXGK45BZ1S0YDTZ_output}</t>
        </is>
      </c>
      <c r="E4" s="2">
        <f>Expression!E3</f>
        <v/>
      </c>
      <c r="F4" t="n">
        <v>0</v>
      </c>
      <c r="G4" t="inlineStr">
        <is>
          <t>kg</t>
        </is>
      </c>
    </row>
    <row r="5">
      <c r="A5" t="inlineStr">
        <is>
          <t>cmp_1KYA8BFJ71S0EWPH_component_root</t>
        </is>
      </c>
      <c r="B5">
        <f>Component!A164</f>
        <v/>
      </c>
      <c r="C5" t="inlineStr">
        <is>
          <t>BCU - Transport Process</t>
        </is>
      </c>
      <c r="D5" t="inlineStr">
        <is>
          <t>{cmp_1KYA8BFJ71S0EWPH_constant_reduction}</t>
        </is>
      </c>
      <c r="E5" s="2">
        <f>Datapoint!E591</f>
        <v/>
      </c>
      <c r="F5" t="n">
        <v>0</v>
      </c>
      <c r="G5" t="inlineStr">
        <is>
          <t>kg</t>
        </is>
      </c>
    </row>
    <row r="6">
      <c r="A6" t="inlineStr">
        <is>
          <t>cmp_1KXE9RCXD1S0GF3H_component_root</t>
        </is>
      </c>
      <c r="B6">
        <f>Component!A28</f>
        <v/>
      </c>
      <c r="C6" t="inlineStr">
        <is>
          <t>BCU - Transport Process</t>
        </is>
      </c>
      <c r="D6" t="inlineStr">
        <is>
          <t>{cmp_1KXE9RCXD1S0GF3H_constant_reduction}</t>
        </is>
      </c>
      <c r="E6" s="2">
        <f>Datapoint!E94</f>
        <v/>
      </c>
      <c r="F6" t="n">
        <v>0</v>
      </c>
      <c r="G6" t="inlineStr">
        <is>
          <t>kg</t>
        </is>
      </c>
    </row>
    <row r="7">
      <c r="A7" t="inlineStr">
        <is>
          <t>cmp_1KXKP77Q21S05Y4C_component_root</t>
        </is>
      </c>
      <c r="B7">
        <f>Component!A112</f>
        <v/>
      </c>
      <c r="C7" t="inlineStr">
        <is>
          <t>CO Flatbed Truck Transport Process Emissions</t>
        </is>
      </c>
      <c r="D7" t="inlineStr">
        <is>
          <t>{cmp_1KXKP77Q21S05Y4C_mass} * {cmp_1KXKP77Q21S05Y4C_distance} * {cmp_1KXKP77Q21S05Y4C_carbon_intensity}</t>
        </is>
      </c>
      <c r="E7" s="2">
        <f>Datapoint!E405 * Datapoint!E404 * Datapoint!E403</f>
        <v/>
      </c>
      <c r="F7" t="n">
        <v>0</v>
      </c>
      <c r="G7" t="inlineStr">
        <is>
          <t>kg</t>
        </is>
      </c>
    </row>
    <row r="8">
      <c r="A8" t="inlineStr">
        <is>
          <t>cmp_1KXERCP431S06AG6_soil_temp_delta</t>
        </is>
      </c>
      <c r="B8">
        <f>Component!A66</f>
        <v/>
      </c>
      <c r="C8" t="inlineStr">
        <is>
          <t>Difference in soil temp from 0 celsius</t>
        </is>
      </c>
      <c r="D8" t="inlineStr">
        <is>
          <t>{cmp_1KXERCP431S06AG6_soil_temp} - {cmp_1KXERCP431S06AG6_zero_degrees_celsius}</t>
        </is>
      </c>
      <c r="E8" s="2">
        <f>Datapoint!E230 - 273.15</f>
        <v/>
      </c>
      <c r="F8" t="n">
        <v>0</v>
      </c>
      <c r="G8" t="inlineStr">
        <is>
          <t>K</t>
        </is>
      </c>
    </row>
    <row r="9">
      <c r="A9" t="inlineStr">
        <is>
          <t>cmp_1KXERCP431S06AG6_normalized_mean_soil_temp</t>
        </is>
      </c>
      <c r="B9">
        <f>Component!A66</f>
        <v/>
      </c>
      <c r="C9" t="inlineStr">
        <is>
          <t>Mean soil temperature in dimensionless units</t>
        </is>
      </c>
      <c r="D9" t="inlineStr">
        <is>
          <t>{cmp_1KXERCP431S06AG6_soil_temp_delta} / {cmp_1KXERCP431S06AG6_one_degree_celsius_delta}</t>
        </is>
      </c>
      <c r="E9" s="2">
        <f>Expression!E8 / 1.0</f>
        <v/>
      </c>
      <c r="F9" t="n">
        <v>0</v>
      </c>
      <c r="G9" t="inlineStr"/>
    </row>
    <row r="10">
      <c r="A10" t="inlineStr">
        <is>
          <t>cmp_1KXERCP431S06AG6_log_mean_soil_temp</t>
        </is>
      </c>
      <c r="B10">
        <f>Component!A66</f>
        <v/>
      </c>
      <c r="C10" t="inlineStr">
        <is>
          <t>Natural log of mean soil temperature in dimensionless units</t>
        </is>
      </c>
      <c r="D10" t="inlineStr">
        <is>
          <t>ln({cmp_1KXERCP431S06AG6_normalized_mean_soil_temp})</t>
        </is>
      </c>
      <c r="E10" s="2" t="n">
        <v>2.388762789235098</v>
      </c>
      <c r="F10" t="n">
        <v>0</v>
      </c>
      <c r="G10" t="inlineStr"/>
    </row>
    <row r="11">
      <c r="A11" t="inlineStr">
        <is>
          <t>cmp_1KXERCP431S06AG6_h_c_ratio</t>
        </is>
      </c>
      <c r="B11">
        <f>Component!A66</f>
        <v/>
      </c>
      <c r="C11" t="inlineStr">
        <is>
          <t>H:C ratio</t>
        </is>
      </c>
      <c r="D11" t="inlineStr">
        <is>
          <t>mean({[cmp_1KXERCP431S06AG6_h_c_molar_ratios]})</t>
        </is>
      </c>
      <c r="E11" s="2" t="n">
        <v>0.46333</v>
      </c>
      <c r="F11" t="n">
        <v>0</v>
      </c>
      <c r="G11" t="inlineStr"/>
    </row>
    <row r="12">
      <c r="A12" t="inlineStr">
        <is>
          <t>cmp_1KXERCP431S06AG6_non_durable_fraction_calc</t>
        </is>
      </c>
      <c r="B12">
        <f>Component!A66</f>
        <v/>
      </c>
      <c r="C12" t="inlineStr">
        <is>
          <t>Non-durable fraction</t>
        </is>
      </c>
      <c r="D12" t="inlineStr">
        <is>
          <t>{cmp_1KXERCP431S06AG6_woolf_parameter_c} + ({cmp_1KXERCP431S06AG6_woolf_parameter_a} + {cmp_1KXERCP431S06AG6_woolf_parameter_b} * {cmp_1KXERCP431S06AG6_log_mean_soil_temp}) * {cmp_1KXERCP431S06AG6_h_c_ratio}</t>
        </is>
      </c>
      <c r="E12" s="2">
        <f>-0.048 + (-0.383 + 0.35 * Expression!E10) * Expression!E11</f>
        <v/>
      </c>
      <c r="F12" t="n">
        <v>0</v>
      </c>
      <c r="G12" t="inlineStr"/>
    </row>
    <row r="13">
      <c r="A13" t="inlineStr">
        <is>
          <t>cmp_1KXERCP431S06AG6_durable_fraction_calc</t>
        </is>
      </c>
      <c r="B13">
        <f>Component!A66</f>
        <v/>
      </c>
      <c r="C13" t="inlineStr">
        <is>
          <t>Durable fraction</t>
        </is>
      </c>
      <c r="D13" t="inlineStr">
        <is>
          <t>complement_of({cmp_1KXERCP431S06AG6_non_durable_fraction_calc})</t>
        </is>
      </c>
      <c r="E13" s="2" t="n">
        <v>0.8380804779022957</v>
      </c>
      <c r="F13" t="n">
        <v>0</v>
      </c>
      <c r="G13" t="inlineStr"/>
    </row>
    <row r="14">
      <c r="A14" t="inlineStr">
        <is>
          <t>cmp_1KXERCP431S06AG6_carbon_contents</t>
        </is>
      </c>
      <c r="B14">
        <f>Component!A66</f>
        <v/>
      </c>
      <c r="C14" t="inlineStr">
        <is>
          <t>Carbon content of biochar</t>
        </is>
      </c>
      <c r="D14" t="inlineStr">
        <is>
          <t>{[cmp_1KXERCP431S06AG6_total_carbon_contents]} - {[cmp_1KXERCP431S06AG6_inorganic_carbon_contents]}</t>
        </is>
      </c>
      <c r="E14" s="2" t="inlineStr">
        <is>
          <t>85.66000000000001</t>
        </is>
      </c>
      <c r="F14" t="n">
        <v>0</v>
      </c>
      <c r="G14" t="inlineStr">
        <is>
          <t>%</t>
        </is>
      </c>
    </row>
    <row r="15">
      <c r="A15" t="inlineStr">
        <is>
          <t>cmp_1KXERCP431S06AG6_durable_fraction</t>
        </is>
      </c>
      <c r="B15">
        <f>Component!A66</f>
        <v/>
      </c>
      <c r="C15" t="inlineStr">
        <is>
          <t>Durable fraction</t>
        </is>
      </c>
      <c r="D15" t="inlineStr">
        <is>
          <t>min({cmp_1KXERCP431S06AG6_durable_fraction_calc}, {cmp_1KXERCP431S06AG6_max_durable_fraction})</t>
        </is>
      </c>
      <c r="E15" s="2" t="n">
        <v>0.8380804779022957</v>
      </c>
      <c r="F15" t="n">
        <v>0</v>
      </c>
      <c r="G15" t="inlineStr"/>
    </row>
    <row r="16">
      <c r="A16" t="inlineStr">
        <is>
          <t>cmp_1KXERCP431S06AG6_mean_carbon_content</t>
        </is>
      </c>
      <c r="B16">
        <f>Component!A66</f>
        <v/>
      </c>
      <c r="C16" t="inlineStr">
        <is>
          <t>Mean carbon content</t>
        </is>
      </c>
      <c r="D16" t="inlineStr">
        <is>
          <t>mean({[cmp_1KXERCP431S06AG6_carbon_contents]})</t>
        </is>
      </c>
      <c r="E16" s="2" t="n">
        <v>0.8566000000000001</v>
      </c>
      <c r="F16" t="n">
        <v>0</v>
      </c>
      <c r="G16" t="inlineStr"/>
    </row>
    <row r="17">
      <c r="A17" t="inlineStr">
        <is>
          <t>cmp_1KXERCP431S06AG6_output</t>
        </is>
      </c>
      <c r="B17">
        <f>Component!A66</f>
        <v/>
      </c>
      <c r="C17" t="inlineStr">
        <is>
          <t>Biochar sequestration, 200 year durability</t>
        </is>
      </c>
      <c r="D17" t="inlineStr">
        <is>
          <t>{cmp_1KXERCP431S06AG6_product_mass} * {cmp_1KXERCP431S06AG6_mean_carbon_content} * {cmp_1KXERCP431S06AG6_durable_fraction} * {cmp_1KXERCP431S06AG6_co2e_of_carbon}</t>
        </is>
      </c>
      <c r="E17" s="2">
        <f>Datapoint!E229 * Expression!E16 * Expression!E15 * 3.667</f>
        <v/>
      </c>
      <c r="F17" t="n">
        <v>0</v>
      </c>
      <c r="G17" t="inlineStr">
        <is>
          <t>kg</t>
        </is>
      </c>
    </row>
    <row r="18">
      <c r="A18" t="inlineStr">
        <is>
          <t>cmp_1KXERCP431S06AG6_component_root</t>
        </is>
      </c>
      <c r="B18">
        <f>Component!A66</f>
        <v/>
      </c>
      <c r="C18" t="inlineStr">
        <is>
          <t>Biochar sequestration, 200 year durability</t>
        </is>
      </c>
      <c r="D18" t="inlineStr">
        <is>
          <t>{cmp_1KXERCP431S06AG6_output}</t>
        </is>
      </c>
      <c r="E18" s="2">
        <f>Expression!E17</f>
        <v/>
      </c>
      <c r="F18" t="n">
        <v>0</v>
      </c>
      <c r="G18" t="inlineStr">
        <is>
          <t>kg</t>
        </is>
      </c>
    </row>
    <row r="19">
      <c r="A19" t="inlineStr">
        <is>
          <t>cmp_1KXERD7151S097W3_output</t>
        </is>
      </c>
      <c r="B19">
        <f>Component!A72</f>
        <v/>
      </c>
      <c r="C19" t="inlineStr">
        <is>
          <t>Distance-based emissions</t>
        </is>
      </c>
      <c r="D19" t="inlineStr">
        <is>
          <t>{cmp_1KXERD7151S097W3_distance} * {cmp_1KXERD7151S097W3_carbon_intensity}</t>
        </is>
      </c>
      <c r="E19" s="2">
        <f>Datapoint!E257 * Datapoint!E256</f>
        <v/>
      </c>
      <c r="F19" t="n">
        <v>0</v>
      </c>
      <c r="G19" t="inlineStr">
        <is>
          <t>kg</t>
        </is>
      </c>
    </row>
    <row r="20">
      <c r="A20" t="inlineStr">
        <is>
          <t>cmp_1KXERD7151S097W3_component_root</t>
        </is>
      </c>
      <c r="B20">
        <f>Component!A72</f>
        <v/>
      </c>
      <c r="C20" t="inlineStr">
        <is>
          <t>CO Flatbed Truck Transport Embodied Emissions</t>
        </is>
      </c>
      <c r="D20" t="inlineStr">
        <is>
          <t>{cmp_1KXERD7151S097W3_output}</t>
        </is>
      </c>
      <c r="E20" s="2">
        <f>Expression!E19</f>
        <v/>
      </c>
      <c r="F20" t="n">
        <v>0</v>
      </c>
      <c r="G20" t="inlineStr">
        <is>
          <t>kg</t>
        </is>
      </c>
    </row>
    <row r="21">
      <c r="A21" t="inlineStr">
        <is>
          <t>cmp_1KY02PYB11S0YM3M_component_root</t>
        </is>
      </c>
      <c r="B21">
        <f>Component!A123</f>
        <v/>
      </c>
      <c r="C21" t="inlineStr">
        <is>
          <t>Biochar Spreading Emissions</t>
        </is>
      </c>
      <c r="D21" t="inlineStr">
        <is>
          <t>{cmp_1KY02PYB11S0YM3M_mass} * {cmp_1KY02PYB11S0YM3M_carbon_intensity}</t>
        </is>
      </c>
      <c r="E21" s="2">
        <f>Datapoint!E430 * Datapoint!E429</f>
        <v/>
      </c>
      <c r="F21" t="n">
        <v>0</v>
      </c>
      <c r="G21" t="inlineStr">
        <is>
          <t>kg</t>
        </is>
      </c>
    </row>
    <row r="22">
      <c r="A22" t="inlineStr">
        <is>
          <t>cmp_1KWCZP1M61S0TS4R_component_root</t>
        </is>
      </c>
      <c r="B22">
        <f>Component!A21</f>
        <v/>
      </c>
      <c r="C22" t="inlineStr">
        <is>
          <t>Biochar Production Emission (A)</t>
        </is>
      </c>
      <c r="D22" t="inlineStr">
        <is>
          <t>{cmp_1KWCZP1M61S0TS4R_mass} * {cmp_1KWCZP1M61S0TS4R_carbon_intensity}</t>
        </is>
      </c>
      <c r="E22" s="2">
        <f>Datapoint!E65 * Datapoint!E64</f>
        <v/>
      </c>
      <c r="F22" t="n">
        <v>0</v>
      </c>
      <c r="G22" t="inlineStr">
        <is>
          <t>kg</t>
        </is>
      </c>
    </row>
    <row r="23">
      <c r="A23" t="inlineStr">
        <is>
          <t>cmp_1KWCSDFQF1S0A09K_component_root</t>
        </is>
      </c>
      <c r="B23">
        <f>Component!A9</f>
        <v/>
      </c>
      <c r="C23" t="inlineStr">
        <is>
          <t>CO Flatbed Truck Transport Process Emissions</t>
        </is>
      </c>
      <c r="D23" t="inlineStr">
        <is>
          <t>{cmp_1KWCSDFQF1S0A09K_mass} * {cmp_1KWCSDFQF1S0A09K_distance} * {cmp_1KWCSDFQF1S0A09K_carbon_intensity}</t>
        </is>
      </c>
      <c r="E23" s="2">
        <f>Datapoint!E32 * Datapoint!E31 * Datapoint!E30</f>
        <v/>
      </c>
      <c r="F23" t="n">
        <v>0</v>
      </c>
      <c r="G23" t="inlineStr">
        <is>
          <t>kg</t>
        </is>
      </c>
    </row>
    <row r="24">
      <c r="A24" t="inlineStr">
        <is>
          <t>cmp_1KXERCP431S0JNMH_component_root</t>
        </is>
      </c>
      <c r="B24">
        <f>Component!A68</f>
        <v/>
      </c>
      <c r="C24" t="inlineStr">
        <is>
          <t>Biochar Production Emission (A)</t>
        </is>
      </c>
      <c r="D24" t="inlineStr">
        <is>
          <t>{cmp_1KXERCP431S0JNMH_mass} * {cmp_1KXERCP431S0JNMH_carbon_intensity}</t>
        </is>
      </c>
      <c r="E24" s="2">
        <f>Datapoint!E233 * Datapoint!E232</f>
        <v/>
      </c>
      <c r="F24" t="n">
        <v>0</v>
      </c>
      <c r="G24" t="inlineStr">
        <is>
          <t>kg</t>
        </is>
      </c>
    </row>
    <row r="25">
      <c r="A25" t="inlineStr">
        <is>
          <t>cmp_1KXEJD28G1S0ZKFV_component_root</t>
        </is>
      </c>
      <c r="B25">
        <f>Component!A63</f>
        <v/>
      </c>
      <c r="C25" t="inlineStr">
        <is>
          <t>Biochar Production Emission (A)</t>
        </is>
      </c>
      <c r="D25" t="inlineStr">
        <is>
          <t>{cmp_1KXEJD28G1S0ZKFV_mass} * {cmp_1KXEJD28G1S0ZKFV_carbon_intensity}</t>
        </is>
      </c>
      <c r="E25" s="2">
        <f>Datapoint!E212 * Datapoint!E211</f>
        <v/>
      </c>
      <c r="F25" t="n">
        <v>0</v>
      </c>
      <c r="G25" t="inlineStr">
        <is>
          <t>kg</t>
        </is>
      </c>
    </row>
    <row r="26">
      <c r="A26" t="inlineStr">
        <is>
          <t>cmp_1KXEJCGYM1S0NCCM_soil_temp_delta</t>
        </is>
      </c>
      <c r="B26">
        <f>Component!A57</f>
        <v/>
      </c>
      <c r="C26" t="inlineStr">
        <is>
          <t>Difference in soil temp from 0 celsius</t>
        </is>
      </c>
      <c r="D26" t="inlineStr">
        <is>
          <t>{cmp_1KXEJCGYM1S0NCCM_soil_temp} - {cmp_1KXEJCGYM1S0NCCM_zero_degrees_celsius}</t>
        </is>
      </c>
      <c r="E26" s="2">
        <f>Datapoint!E190 - 273.15</f>
        <v/>
      </c>
      <c r="F26" t="n">
        <v>0</v>
      </c>
      <c r="G26" t="inlineStr">
        <is>
          <t>K</t>
        </is>
      </c>
    </row>
    <row r="27">
      <c r="A27" t="inlineStr">
        <is>
          <t>cmp_1KXEJCGYM1S0NCCM_normalized_mean_soil_temp</t>
        </is>
      </c>
      <c r="B27">
        <f>Component!A57</f>
        <v/>
      </c>
      <c r="C27" t="inlineStr">
        <is>
          <t>Mean soil temperature in dimensionless units</t>
        </is>
      </c>
      <c r="D27" t="inlineStr">
        <is>
          <t>{cmp_1KXEJCGYM1S0NCCM_soil_temp_delta} / {cmp_1KXEJCGYM1S0NCCM_one_degree_celsius_delta}</t>
        </is>
      </c>
      <c r="E27" s="2">
        <f>Expression!E26 / 1.0</f>
        <v/>
      </c>
      <c r="F27" t="n">
        <v>0</v>
      </c>
      <c r="G27" t="inlineStr"/>
    </row>
    <row r="28">
      <c r="A28" t="inlineStr">
        <is>
          <t>cmp_1KXEJCGYM1S0NCCM_log_mean_soil_temp</t>
        </is>
      </c>
      <c r="B28">
        <f>Component!A57</f>
        <v/>
      </c>
      <c r="C28" t="inlineStr">
        <is>
          <t>Natural log of mean soil temperature in dimensionless units</t>
        </is>
      </c>
      <c r="D28" t="inlineStr">
        <is>
          <t>ln({cmp_1KXEJCGYM1S0NCCM_normalized_mean_soil_temp})</t>
        </is>
      </c>
      <c r="E28" s="2" t="n">
        <v>2.388762789235098</v>
      </c>
      <c r="F28" t="n">
        <v>0</v>
      </c>
      <c r="G28" t="inlineStr"/>
    </row>
    <row r="29">
      <c r="A29" t="inlineStr">
        <is>
          <t>cmp_1KXEJCGYM1S0NCCM_h_c_ratio</t>
        </is>
      </c>
      <c r="B29">
        <f>Component!A57</f>
        <v/>
      </c>
      <c r="C29" t="inlineStr">
        <is>
          <t>H:C ratio</t>
        </is>
      </c>
      <c r="D29" t="inlineStr">
        <is>
          <t>mean({[cmp_1KXEJCGYM1S0NCCM_h_c_molar_ratios]})</t>
        </is>
      </c>
      <c r="E29" s="2" t="n">
        <v>0.46</v>
      </c>
      <c r="F29" t="n">
        <v>0</v>
      </c>
      <c r="G29" t="inlineStr"/>
    </row>
    <row r="30">
      <c r="A30" t="inlineStr">
        <is>
          <t>cmp_1KXEJCGYM1S0NCCM_non_durable_fraction_calc</t>
        </is>
      </c>
      <c r="B30">
        <f>Component!A57</f>
        <v/>
      </c>
      <c r="C30" t="inlineStr">
        <is>
          <t>Non-durable fraction</t>
        </is>
      </c>
      <c r="D30" t="inlineStr">
        <is>
          <t>{cmp_1KXEJCGYM1S0NCCM_woolf_parameter_c} + ({cmp_1KXEJCGYM1S0NCCM_woolf_parameter_a} + {cmp_1KXEJCGYM1S0NCCM_woolf_parameter_b} * {cmp_1KXEJCGYM1S0NCCM_log_mean_soil_temp}) * {cmp_1KXEJCGYM1S0NCCM_h_c_ratio}</t>
        </is>
      </c>
      <c r="E30" s="2">
        <f>-0.048 + (-0.383 + 0.35 * Expression!E28) * Expression!E29</f>
        <v/>
      </c>
      <c r="F30" t="n">
        <v>0</v>
      </c>
      <c r="G30" t="inlineStr"/>
    </row>
    <row r="31">
      <c r="A31" t="inlineStr">
        <is>
          <t>cmp_1KXEJCGYM1S0NCCM_durable_fraction_calc</t>
        </is>
      </c>
      <c r="B31">
        <f>Component!A57</f>
        <v/>
      </c>
      <c r="C31" t="inlineStr">
        <is>
          <t>Durable fraction</t>
        </is>
      </c>
      <c r="D31" t="inlineStr">
        <is>
          <t>complement_of({cmp_1KXEJCGYM1S0NCCM_non_durable_fraction_calc})</t>
        </is>
      </c>
      <c r="E31" s="2" t="n">
        <v>0.8395891909331492</v>
      </c>
      <c r="F31" t="n">
        <v>0</v>
      </c>
      <c r="G31" t="inlineStr"/>
    </row>
    <row r="32">
      <c r="A32" t="inlineStr">
        <is>
          <t>cmp_1KXEJCGYM1S0NCCM_carbon_contents</t>
        </is>
      </c>
      <c r="B32">
        <f>Component!A57</f>
        <v/>
      </c>
      <c r="C32" t="inlineStr">
        <is>
          <t>Carbon content of biochar</t>
        </is>
      </c>
      <c r="D32" t="inlineStr">
        <is>
          <t>{[cmp_1KXEJCGYM1S0NCCM_total_carbon_contents]} - {[cmp_1KXEJCGYM1S0NCCM_inorganic_carbon_contents]}</t>
        </is>
      </c>
      <c r="E32" s="2" t="inlineStr">
        <is>
          <t>83.93299999999999</t>
        </is>
      </c>
      <c r="F32" t="n">
        <v>0</v>
      </c>
      <c r="G32" t="inlineStr">
        <is>
          <t>%</t>
        </is>
      </c>
    </row>
    <row r="33">
      <c r="A33" t="inlineStr">
        <is>
          <t>cmp_1KXEJCGYM1S0NCCM_durable_fraction</t>
        </is>
      </c>
      <c r="B33">
        <f>Component!A57</f>
        <v/>
      </c>
      <c r="C33" t="inlineStr">
        <is>
          <t>Durable fraction</t>
        </is>
      </c>
      <c r="D33" t="inlineStr">
        <is>
          <t>min({cmp_1KXEJCGYM1S0NCCM_durable_fraction_calc}, {cmp_1KXEJCGYM1S0NCCM_max_durable_fraction})</t>
        </is>
      </c>
      <c r="E33" s="2" t="n">
        <v>0.8395891909331492</v>
      </c>
      <c r="F33" t="n">
        <v>0</v>
      </c>
      <c r="G33" t="inlineStr"/>
    </row>
    <row r="34">
      <c r="A34" t="inlineStr">
        <is>
          <t>cmp_1KXEJCGYM1S0NCCM_mean_carbon_content</t>
        </is>
      </c>
      <c r="B34">
        <f>Component!A57</f>
        <v/>
      </c>
      <c r="C34" t="inlineStr">
        <is>
          <t>Mean carbon content</t>
        </is>
      </c>
      <c r="D34" t="inlineStr">
        <is>
          <t>mean({[cmp_1KXEJCGYM1S0NCCM_carbon_contents]})</t>
        </is>
      </c>
      <c r="E34" s="2" t="n">
        <v>0.8393299999999999</v>
      </c>
      <c r="F34" t="n">
        <v>0</v>
      </c>
      <c r="G34" t="inlineStr"/>
    </row>
    <row r="35">
      <c r="A35" t="inlineStr">
        <is>
          <t>cmp_1KXEJCGYM1S0NCCM_output</t>
        </is>
      </c>
      <c r="B35">
        <f>Component!A57</f>
        <v/>
      </c>
      <c r="C35" t="inlineStr">
        <is>
          <t>Biochar sequestration, 200 year durability</t>
        </is>
      </c>
      <c r="D35" t="inlineStr">
        <is>
          <t>{cmp_1KXEJCGYM1S0NCCM_product_mass} * {cmp_1KXEJCGYM1S0NCCM_mean_carbon_content} * {cmp_1KXEJCGYM1S0NCCM_durable_fraction} * {cmp_1KXEJCGYM1S0NCCM_co2e_of_carbon}</t>
        </is>
      </c>
      <c r="E35" s="2">
        <f>Datapoint!E189 * Expression!E34 * Expression!E33 * 3.667</f>
        <v/>
      </c>
      <c r="F35" t="n">
        <v>0</v>
      </c>
      <c r="G35" t="inlineStr">
        <is>
          <t>kg</t>
        </is>
      </c>
    </row>
    <row r="36">
      <c r="A36" t="inlineStr">
        <is>
          <t>cmp_1KXEJCGYM1S0NCCM_component_root</t>
        </is>
      </c>
      <c r="B36">
        <f>Component!A57</f>
        <v/>
      </c>
      <c r="C36" t="inlineStr">
        <is>
          <t>Biochar sequestration, 200 year durability</t>
        </is>
      </c>
      <c r="D36" t="inlineStr">
        <is>
          <t>{cmp_1KXEJCGYM1S0NCCM_output}</t>
        </is>
      </c>
      <c r="E36" s="2">
        <f>Expression!E35</f>
        <v/>
      </c>
      <c r="F36" t="n">
        <v>0</v>
      </c>
      <c r="G36" t="inlineStr">
        <is>
          <t>kg</t>
        </is>
      </c>
    </row>
    <row r="37">
      <c r="A37" t="inlineStr">
        <is>
          <t>cmp_1KYABSMDG1S05BSD_component_root</t>
        </is>
      </c>
      <c r="B37">
        <f>Component!A181</f>
        <v/>
      </c>
      <c r="C37" t="inlineStr">
        <is>
          <t>Biochar Production Emission (A)</t>
        </is>
      </c>
      <c r="D37" t="inlineStr">
        <is>
          <t>{cmp_1KYABSMDG1S05BSD_mass} * {cmp_1KYABSMDG1S05BSD_carbon_intensity}</t>
        </is>
      </c>
      <c r="E37" s="2">
        <f>Datapoint!E630 * Datapoint!E629</f>
        <v/>
      </c>
      <c r="F37" t="n">
        <v>0</v>
      </c>
      <c r="G37" t="inlineStr">
        <is>
          <t>kg</t>
        </is>
      </c>
    </row>
    <row r="38">
      <c r="A38" t="inlineStr">
        <is>
          <t>cmp_1KXKP77Q21S0J98Q_component_root</t>
        </is>
      </c>
      <c r="B38">
        <f>Component!A113</f>
        <v/>
      </c>
      <c r="C38" t="inlineStr">
        <is>
          <t>Biochar Spreading Emissions</t>
        </is>
      </c>
      <c r="D38" t="inlineStr">
        <is>
          <t>{cmp_1KXKP77Q21S0J98Q_mass} * {cmp_1KXKP77Q21S0J98Q_carbon_intensity}</t>
        </is>
      </c>
      <c r="E38" s="2">
        <f>Datapoint!E402 * Datapoint!E401</f>
        <v/>
      </c>
      <c r="F38" t="n">
        <v>0</v>
      </c>
      <c r="G38" t="inlineStr">
        <is>
          <t>kg</t>
        </is>
      </c>
    </row>
    <row r="39">
      <c r="A39" t="inlineStr">
        <is>
          <t>cmp_1KY57M9F81S0MGC3_output</t>
        </is>
      </c>
      <c r="B39">
        <f>Component!A131</f>
        <v/>
      </c>
      <c r="C39" t="inlineStr">
        <is>
          <t>Distance-based emissions</t>
        </is>
      </c>
      <c r="D39" t="inlineStr">
        <is>
          <t>{cmp_1KY57M9F81S0MGC3_distance} * {cmp_1KY57M9F81S0MGC3_carbon_intensity}</t>
        </is>
      </c>
      <c r="E39" s="2">
        <f>Datapoint!E472 * Datapoint!E471</f>
        <v/>
      </c>
      <c r="F39" t="n">
        <v>0</v>
      </c>
      <c r="G39" t="inlineStr">
        <is>
          <t>kg</t>
        </is>
      </c>
    </row>
    <row r="40">
      <c r="A40" t="inlineStr">
        <is>
          <t>cmp_1KY57M9F81S0MGC3_component_root</t>
        </is>
      </c>
      <c r="B40">
        <f>Component!A131</f>
        <v/>
      </c>
      <c r="C40" t="inlineStr">
        <is>
          <t>CO Flatbed Truck Transport Embodied Emissions</t>
        </is>
      </c>
      <c r="D40" t="inlineStr">
        <is>
          <t>{cmp_1KY57M9F81S0MGC3_output}</t>
        </is>
      </c>
      <c r="E40" s="2">
        <f>Expression!E39</f>
        <v/>
      </c>
      <c r="F40" t="n">
        <v>0</v>
      </c>
      <c r="G40" t="inlineStr">
        <is>
          <t>kg</t>
        </is>
      </c>
    </row>
    <row r="41">
      <c r="A41" t="inlineStr">
        <is>
          <t>cmp_1KYA6ANEE1S0M34Q_component_root</t>
        </is>
      </c>
      <c r="B41">
        <f>Component!A149</f>
        <v/>
      </c>
      <c r="C41" t="inlineStr">
        <is>
          <t>CO Flatbed Truck Transport Process Emissions</t>
        </is>
      </c>
      <c r="D41" t="inlineStr">
        <is>
          <t>{cmp_1KYA6ANEE1S0M34Q_mass} * {cmp_1KYA6ANEE1S0M34Q_distance} * {cmp_1KYA6ANEE1S0M34Q_carbon_intensity}</t>
        </is>
      </c>
      <c r="E41" s="2">
        <f>Datapoint!E539 * Datapoint!E538 * Datapoint!E537</f>
        <v/>
      </c>
      <c r="F41" t="n">
        <v>0</v>
      </c>
      <c r="G41" t="inlineStr">
        <is>
          <t>kg</t>
        </is>
      </c>
    </row>
    <row r="42">
      <c r="A42" t="inlineStr">
        <is>
          <t>cmp_1KXGK45BZ1S0SCDY_soil_temp_delta</t>
        </is>
      </c>
      <c r="B42">
        <f>Component!A89</f>
        <v/>
      </c>
      <c r="C42" t="inlineStr">
        <is>
          <t>Difference in soil temp from 0 celsius</t>
        </is>
      </c>
      <c r="D42" t="inlineStr">
        <is>
          <t>{cmp_1KXGK45BZ1S0SCDY_soil_temp} - {cmp_1KXGK45BZ1S0SCDY_zero_degrees_celsius}</t>
        </is>
      </c>
      <c r="E42" s="2">
        <f>Datapoint!E308 - 273.15</f>
        <v/>
      </c>
      <c r="F42" t="n">
        <v>0</v>
      </c>
      <c r="G42" t="inlineStr">
        <is>
          <t>K</t>
        </is>
      </c>
    </row>
    <row r="43">
      <c r="A43" t="inlineStr">
        <is>
          <t>cmp_1KXGK45BZ1S0SCDY_normalized_mean_soil_temp</t>
        </is>
      </c>
      <c r="B43">
        <f>Component!A89</f>
        <v/>
      </c>
      <c r="C43" t="inlineStr">
        <is>
          <t>Mean soil temperature in dimensionless units</t>
        </is>
      </c>
      <c r="D43" t="inlineStr">
        <is>
          <t>{cmp_1KXGK45BZ1S0SCDY_soil_temp_delta} / {cmp_1KXGK45BZ1S0SCDY_one_degree_celsius_delta}</t>
        </is>
      </c>
      <c r="E43" s="2">
        <f>Expression!E42 / 1.0</f>
        <v/>
      </c>
      <c r="F43" t="n">
        <v>0</v>
      </c>
      <c r="G43" t="inlineStr"/>
    </row>
    <row r="44">
      <c r="A44" t="inlineStr">
        <is>
          <t>cmp_1KXGK45BZ1S0SCDY_log_mean_soil_temp</t>
        </is>
      </c>
      <c r="B44">
        <f>Component!A89</f>
        <v/>
      </c>
      <c r="C44" t="inlineStr">
        <is>
          <t>Natural log of mean soil temperature in dimensionless units</t>
        </is>
      </c>
      <c r="D44" t="inlineStr">
        <is>
          <t>ln({cmp_1KXGK45BZ1S0SCDY_normalized_mean_soil_temp})</t>
        </is>
      </c>
      <c r="E44" s="2" t="n">
        <v>2.388762789235098</v>
      </c>
      <c r="F44" t="n">
        <v>0</v>
      </c>
      <c r="G44" t="inlineStr"/>
    </row>
    <row r="45">
      <c r="A45" t="inlineStr">
        <is>
          <t>cmp_1KXGK45BZ1S0SCDY_h_c_ratio</t>
        </is>
      </c>
      <c r="B45">
        <f>Component!A89</f>
        <v/>
      </c>
      <c r="C45" t="inlineStr">
        <is>
          <t>H:C ratio</t>
        </is>
      </c>
      <c r="D45" t="inlineStr">
        <is>
          <t>mean({[cmp_1KXGK45BZ1S0SCDY_h_c_molar_ratios]})</t>
        </is>
      </c>
      <c r="E45" s="2" t="n">
        <v>0.41667</v>
      </c>
      <c r="F45" t="n">
        <v>0</v>
      </c>
      <c r="G45" t="inlineStr"/>
    </row>
    <row r="46">
      <c r="A46" t="inlineStr">
        <is>
          <t>cmp_1KXGK45BZ1S0SCDY_non_durable_fraction_calc</t>
        </is>
      </c>
      <c r="B46">
        <f>Component!A89</f>
        <v/>
      </c>
      <c r="C46" t="inlineStr">
        <is>
          <t>Non-durable fraction</t>
        </is>
      </c>
      <c r="D46" t="inlineStr">
        <is>
          <t>{cmp_1KXGK45BZ1S0SCDY_woolf_parameter_c} + ({cmp_1KXGK45BZ1S0SCDY_woolf_parameter_a} + {cmp_1KXGK45BZ1S0SCDY_woolf_parameter_b} * {cmp_1KXGK45BZ1S0SCDY_log_mean_soil_temp}) * {cmp_1KXGK45BZ1S0SCDY_h_c_ratio}</t>
        </is>
      </c>
      <c r="E46" s="2">
        <f>-0.048 + (-0.383 + 0.35 * Expression!E44) * Expression!E45</f>
        <v/>
      </c>
      <c r="F46" t="n">
        <v>0</v>
      </c>
      <c r="G46" t="inlineStr"/>
    </row>
    <row r="47">
      <c r="A47" t="inlineStr">
        <is>
          <t>cmp_1KXGK45BZ1S0SCDY_durable_fraction_calc</t>
        </is>
      </c>
      <c r="B47">
        <f>Component!A89</f>
        <v/>
      </c>
      <c r="C47" t="inlineStr">
        <is>
          <t>Durable fraction</t>
        </is>
      </c>
      <c r="D47" t="inlineStr">
        <is>
          <t>complement_of({cmp_1KXGK45BZ1S0SCDY_non_durable_fraction_calc})</t>
        </is>
      </c>
      <c r="E47" s="2" t="n">
        <v>0.8592205830132942</v>
      </c>
      <c r="F47" t="n">
        <v>0</v>
      </c>
      <c r="G47" t="inlineStr"/>
    </row>
    <row r="48">
      <c r="A48" t="inlineStr">
        <is>
          <t>cmp_1KXGK45BZ1S0SCDY_carbon_contents</t>
        </is>
      </c>
      <c r="B48">
        <f>Component!A89</f>
        <v/>
      </c>
      <c r="C48" t="inlineStr">
        <is>
          <t>Carbon content of biochar</t>
        </is>
      </c>
      <c r="D48" t="inlineStr">
        <is>
          <t>{[cmp_1KXGK45BZ1S0SCDY_total_carbon_contents]} - {[cmp_1KXGK45BZ1S0SCDY_inorganic_carbon_contents]}</t>
        </is>
      </c>
      <c r="E48" s="2" t="inlineStr">
        <is>
          <t>85.2667</t>
        </is>
      </c>
      <c r="F48" t="n">
        <v>0</v>
      </c>
      <c r="G48" t="inlineStr">
        <is>
          <t>%</t>
        </is>
      </c>
    </row>
    <row r="49">
      <c r="A49" t="inlineStr">
        <is>
          <t>cmp_1KXGK45BZ1S0SCDY_durable_fraction</t>
        </is>
      </c>
      <c r="B49">
        <f>Component!A89</f>
        <v/>
      </c>
      <c r="C49" t="inlineStr">
        <is>
          <t>Durable fraction</t>
        </is>
      </c>
      <c r="D49" t="inlineStr">
        <is>
          <t>min({cmp_1KXGK45BZ1S0SCDY_durable_fraction_calc}, {cmp_1KXGK45BZ1S0SCDY_max_durable_fraction})</t>
        </is>
      </c>
      <c r="E49" s="2" t="n">
        <v>0.8592205830132942</v>
      </c>
      <c r="F49" t="n">
        <v>0</v>
      </c>
      <c r="G49" t="inlineStr"/>
    </row>
    <row r="50">
      <c r="A50" t="inlineStr">
        <is>
          <t>cmp_1KXGK45BZ1S0SCDY_mean_carbon_content</t>
        </is>
      </c>
      <c r="B50">
        <f>Component!A89</f>
        <v/>
      </c>
      <c r="C50" t="inlineStr">
        <is>
          <t>Mean carbon content</t>
        </is>
      </c>
      <c r="D50" t="inlineStr">
        <is>
          <t>mean({[cmp_1KXGK45BZ1S0SCDY_carbon_contents]})</t>
        </is>
      </c>
      <c r="E50" s="2" t="n">
        <v>0.8526670000000001</v>
      </c>
      <c r="F50" t="n">
        <v>0</v>
      </c>
      <c r="G50" t="inlineStr"/>
    </row>
    <row r="51">
      <c r="A51" t="inlineStr">
        <is>
          <t>cmp_1KXGK45BZ1S0SCDY_output</t>
        </is>
      </c>
      <c r="B51">
        <f>Component!A89</f>
        <v/>
      </c>
      <c r="C51" t="inlineStr">
        <is>
          <t>Biochar sequestration, 200 year durability</t>
        </is>
      </c>
      <c r="D51" t="inlineStr">
        <is>
          <t>{cmp_1KXGK45BZ1S0SCDY_product_mass} * {cmp_1KXGK45BZ1S0SCDY_mean_carbon_content} * {cmp_1KXGK45BZ1S0SCDY_durable_fraction} * {cmp_1KXGK45BZ1S0SCDY_co2e_of_carbon}</t>
        </is>
      </c>
      <c r="E51" s="2">
        <f>Datapoint!E307 * Expression!E50 * Expression!E49 * 3.667</f>
        <v/>
      </c>
      <c r="F51" t="n">
        <v>0</v>
      </c>
      <c r="G51" t="inlineStr">
        <is>
          <t>kg</t>
        </is>
      </c>
    </row>
    <row r="52">
      <c r="A52" t="inlineStr">
        <is>
          <t>cmp_1KXGK45BZ1S0SCDY_component_root</t>
        </is>
      </c>
      <c r="B52">
        <f>Component!A89</f>
        <v/>
      </c>
      <c r="C52" t="inlineStr">
        <is>
          <t>Biochar sequestration, 200 year durability</t>
        </is>
      </c>
      <c r="D52" t="inlineStr">
        <is>
          <t>{cmp_1KXGK45BZ1S0SCDY_output}</t>
        </is>
      </c>
      <c r="E52" s="2">
        <f>Expression!E51</f>
        <v/>
      </c>
      <c r="F52" t="n">
        <v>0</v>
      </c>
      <c r="G52" t="inlineStr">
        <is>
          <t>kg</t>
        </is>
      </c>
    </row>
    <row r="53">
      <c r="A53" t="inlineStr">
        <is>
          <t>cmp_1KY5G7F3N1S05JRT_output</t>
        </is>
      </c>
      <c r="B53">
        <f>Component!A142</f>
        <v/>
      </c>
      <c r="C53" t="inlineStr">
        <is>
          <t>Distance-based emissions</t>
        </is>
      </c>
      <c r="D53" t="inlineStr">
        <is>
          <t>{cmp_1KY5G7F3N1S05JRT_distance} * {cmp_1KY5G7F3N1S05JRT_carbon_intensity}</t>
        </is>
      </c>
      <c r="E53" s="2">
        <f>Datapoint!E523 * Datapoint!E522</f>
        <v/>
      </c>
      <c r="F53" t="n">
        <v>0</v>
      </c>
      <c r="G53" t="inlineStr">
        <is>
          <t>kg</t>
        </is>
      </c>
    </row>
    <row r="54">
      <c r="A54" t="inlineStr">
        <is>
          <t>cmp_1KY5G7F3N1S05JRT_component_root</t>
        </is>
      </c>
      <c r="B54">
        <f>Component!A142</f>
        <v/>
      </c>
      <c r="C54" t="inlineStr">
        <is>
          <t>CO Flatbed Truck Transport Embodied Emissions</t>
        </is>
      </c>
      <c r="D54" t="inlineStr">
        <is>
          <t>{cmp_1KY5G7F3N1S05JRT_output}</t>
        </is>
      </c>
      <c r="E54" s="2">
        <f>Expression!E53</f>
        <v/>
      </c>
      <c r="F54" t="n">
        <v>0</v>
      </c>
      <c r="G54" t="inlineStr">
        <is>
          <t>kg</t>
        </is>
      </c>
    </row>
    <row r="55">
      <c r="A55" t="inlineStr">
        <is>
          <t>cmp_1KY57NCC21S06P88_soil_temp_delta</t>
        </is>
      </c>
      <c r="B55">
        <f>Component!A137</f>
        <v/>
      </c>
      <c r="C55" t="inlineStr">
        <is>
          <t>Difference in soil temp from 0 celsius</t>
        </is>
      </c>
      <c r="D55" t="inlineStr">
        <is>
          <t>{cmp_1KY57NCC21S06P88_soil_temp} - {cmp_1KY57NCC21S06P88_zero_degrees_celsius}</t>
        </is>
      </c>
      <c r="E55" s="2">
        <f>Datapoint!E498 - 273.15</f>
        <v/>
      </c>
      <c r="F55" t="n">
        <v>0</v>
      </c>
      <c r="G55" t="inlineStr">
        <is>
          <t>K</t>
        </is>
      </c>
    </row>
    <row r="56">
      <c r="A56" t="inlineStr">
        <is>
          <t>cmp_1KY57NCC21S06P88_normalized_mean_soil_temp</t>
        </is>
      </c>
      <c r="B56">
        <f>Component!A137</f>
        <v/>
      </c>
      <c r="C56" t="inlineStr">
        <is>
          <t>Mean soil temperature in dimensionless units</t>
        </is>
      </c>
      <c r="D56" t="inlineStr">
        <is>
          <t>{cmp_1KY57NCC21S06P88_soil_temp_delta} / {cmp_1KY57NCC21S06P88_one_degree_celsius_delta}</t>
        </is>
      </c>
      <c r="E56" s="2">
        <f>Expression!E55 / 1.0</f>
        <v/>
      </c>
      <c r="F56" t="n">
        <v>0</v>
      </c>
      <c r="G56" t="inlineStr"/>
    </row>
    <row r="57">
      <c r="A57" t="inlineStr">
        <is>
          <t>cmp_1KY57NCC21S06P88_log_mean_soil_temp</t>
        </is>
      </c>
      <c r="B57">
        <f>Component!A137</f>
        <v/>
      </c>
      <c r="C57" t="inlineStr">
        <is>
          <t>Natural log of mean soil temperature in dimensionless units</t>
        </is>
      </c>
      <c r="D57" t="inlineStr">
        <is>
          <t>ln({cmp_1KY57NCC21S06P88_normalized_mean_soil_temp})</t>
        </is>
      </c>
      <c r="E57" s="2" t="n">
        <v>2.415913778301049</v>
      </c>
      <c r="F57" t="n">
        <v>0</v>
      </c>
      <c r="G57" t="inlineStr"/>
    </row>
    <row r="58">
      <c r="A58" t="inlineStr">
        <is>
          <t>cmp_1KY57NCC21S06P88_h_c_ratio</t>
        </is>
      </c>
      <c r="B58">
        <f>Component!A137</f>
        <v/>
      </c>
      <c r="C58" t="inlineStr">
        <is>
          <t>H:C ratio</t>
        </is>
      </c>
      <c r="D58" t="inlineStr">
        <is>
          <t>mean({[cmp_1KY57NCC21S06P88_h_c_molar_ratios]})</t>
        </is>
      </c>
      <c r="E58" s="2" t="n">
        <v>0.41667</v>
      </c>
      <c r="F58" t="n">
        <v>0</v>
      </c>
      <c r="G58" t="inlineStr"/>
    </row>
    <row r="59">
      <c r="A59" t="inlineStr">
        <is>
          <t>cmp_1KY57NCC21S06P88_non_durable_fraction_calc</t>
        </is>
      </c>
      <c r="B59">
        <f>Component!A137</f>
        <v/>
      </c>
      <c r="C59" t="inlineStr">
        <is>
          <t>Non-durable fraction</t>
        </is>
      </c>
      <c r="D59" t="inlineStr">
        <is>
          <t>{cmp_1KY57NCC21S06P88_woolf_parameter_c} + ({cmp_1KY57NCC21S06P88_woolf_parameter_a} + {cmp_1KY57NCC21S06P88_woolf_parameter_b} * {cmp_1KY57NCC21S06P88_log_mean_soil_temp}) * {cmp_1KY57NCC21S06P88_h_c_ratio}</t>
        </is>
      </c>
      <c r="E59" s="2">
        <f>-0.048 + (-0.383 + 0.35 * Expression!E57) * Expression!E58</f>
        <v/>
      </c>
      <c r="F59" t="n">
        <v>0</v>
      </c>
      <c r="G59" t="inlineStr"/>
    </row>
    <row r="60">
      <c r="A60" t="inlineStr">
        <is>
          <t>cmp_1KY57NCC21S06P88_durable_fraction_calc</t>
        </is>
      </c>
      <c r="B60">
        <f>Component!A137</f>
        <v/>
      </c>
      <c r="C60" t="inlineStr">
        <is>
          <t>Durable fraction</t>
        </is>
      </c>
      <c r="D60" t="inlineStr">
        <is>
          <t>complement_of({cmp_1KY57NCC21S06P88_non_durable_fraction_calc})</t>
        </is>
      </c>
      <c r="E60" s="2" t="n">
        <v>0.8552610320983558</v>
      </c>
      <c r="F60" t="n">
        <v>0</v>
      </c>
      <c r="G60" t="inlineStr"/>
    </row>
    <row r="61">
      <c r="A61" t="inlineStr">
        <is>
          <t>cmp_1KY57NCC21S06P88_carbon_contents</t>
        </is>
      </c>
      <c r="B61">
        <f>Component!A137</f>
        <v/>
      </c>
      <c r="C61" t="inlineStr">
        <is>
          <t>Carbon content of biochar</t>
        </is>
      </c>
      <c r="D61" t="inlineStr">
        <is>
          <t>{[cmp_1KY57NCC21S06P88_total_carbon_contents]} - {[cmp_1KY57NCC21S06P88_inorganic_carbon_contents]}</t>
        </is>
      </c>
      <c r="E61" s="2" t="inlineStr">
        <is>
          <t>85.2667</t>
        </is>
      </c>
      <c r="F61" t="n">
        <v>0</v>
      </c>
      <c r="G61" t="inlineStr">
        <is>
          <t>%</t>
        </is>
      </c>
    </row>
    <row r="62">
      <c r="A62" t="inlineStr">
        <is>
          <t>cmp_1KY57NCC21S06P88_durable_fraction</t>
        </is>
      </c>
      <c r="B62">
        <f>Component!A137</f>
        <v/>
      </c>
      <c r="C62" t="inlineStr">
        <is>
          <t>Durable fraction</t>
        </is>
      </c>
      <c r="D62" t="inlineStr">
        <is>
          <t>min({cmp_1KY57NCC21S06P88_durable_fraction_calc}, {cmp_1KY57NCC21S06P88_max_durable_fraction})</t>
        </is>
      </c>
      <c r="E62" s="2" t="n">
        <v>0.8552610320983558</v>
      </c>
      <c r="F62" t="n">
        <v>0</v>
      </c>
      <c r="G62" t="inlineStr"/>
    </row>
    <row r="63">
      <c r="A63" t="inlineStr">
        <is>
          <t>cmp_1KY57NCC21S06P88_mean_carbon_content</t>
        </is>
      </c>
      <c r="B63">
        <f>Component!A137</f>
        <v/>
      </c>
      <c r="C63" t="inlineStr">
        <is>
          <t>Mean carbon content</t>
        </is>
      </c>
      <c r="D63" t="inlineStr">
        <is>
          <t>mean({[cmp_1KY57NCC21S06P88_carbon_contents]})</t>
        </is>
      </c>
      <c r="E63" s="2" t="n">
        <v>0.8526670000000001</v>
      </c>
      <c r="F63" t="n">
        <v>0</v>
      </c>
      <c r="G63" t="inlineStr"/>
    </row>
    <row r="64">
      <c r="A64" t="inlineStr">
        <is>
          <t>cmp_1KY57NCC21S06P88_output</t>
        </is>
      </c>
      <c r="B64">
        <f>Component!A137</f>
        <v/>
      </c>
      <c r="C64" t="inlineStr">
        <is>
          <t>Biochar sequestration, 200 year durability</t>
        </is>
      </c>
      <c r="D64" t="inlineStr">
        <is>
          <t>{cmp_1KY57NCC21S06P88_product_mass} * {cmp_1KY57NCC21S06P88_mean_carbon_content} * {cmp_1KY57NCC21S06P88_durable_fraction} * {cmp_1KY57NCC21S06P88_co2e_of_carbon}</t>
        </is>
      </c>
      <c r="E64" s="2">
        <f>Datapoint!E497 * Expression!E63 * Expression!E62 * 3.667</f>
        <v/>
      </c>
      <c r="F64" t="n">
        <v>0</v>
      </c>
      <c r="G64" t="inlineStr">
        <is>
          <t>kg</t>
        </is>
      </c>
    </row>
    <row r="65">
      <c r="A65" t="inlineStr">
        <is>
          <t>cmp_1KY57NCC21S06P88_component_root</t>
        </is>
      </c>
      <c r="B65">
        <f>Component!A137</f>
        <v/>
      </c>
      <c r="C65" t="inlineStr">
        <is>
          <t>Biochar sequestration, 200 year durability</t>
        </is>
      </c>
      <c r="D65" t="inlineStr">
        <is>
          <t>{cmp_1KY57NCC21S06P88_output}</t>
        </is>
      </c>
      <c r="E65" s="2">
        <f>Expression!E64</f>
        <v/>
      </c>
      <c r="F65" t="n">
        <v>0</v>
      </c>
      <c r="G65" t="inlineStr">
        <is>
          <t>kg</t>
        </is>
      </c>
    </row>
    <row r="66">
      <c r="A66" t="inlineStr">
        <is>
          <t>cmp_1KWCZP1M61S0ZTHS_component_root</t>
        </is>
      </c>
      <c r="B66">
        <f>Component!A22</f>
        <v/>
      </c>
      <c r="C66" t="inlineStr">
        <is>
          <t>CO Flatbed Truck Transport Process Emissions</t>
        </is>
      </c>
      <c r="D66" t="inlineStr">
        <is>
          <t>{cmp_1KWCZP1M61S0ZTHS_mass} * {cmp_1KWCZP1M61S0ZTHS_distance} * {cmp_1KWCZP1M61S0ZTHS_carbon_intensity}</t>
        </is>
      </c>
      <c r="E66" s="2">
        <f>Datapoint!E68 * Datapoint!E67 * Datapoint!E66</f>
        <v/>
      </c>
      <c r="F66" t="n">
        <v>0</v>
      </c>
      <c r="G66" t="inlineStr">
        <is>
          <t>kg</t>
        </is>
      </c>
    </row>
    <row r="67">
      <c r="A67" t="inlineStr">
        <is>
          <t>cmp_1KXKGXJB61S0DEPE_soil_temp_delta</t>
        </is>
      </c>
      <c r="B67">
        <f>Component!A108</f>
        <v/>
      </c>
      <c r="C67" t="inlineStr">
        <is>
          <t>Difference in soil temp from 0 celsius</t>
        </is>
      </c>
      <c r="D67" t="inlineStr">
        <is>
          <t>{cmp_1KXKGXJB61S0DEPE_soil_temp} - {cmp_1KXKGXJB61S0DEPE_zero_degrees_celsius}</t>
        </is>
      </c>
      <c r="E67" s="2">
        <f>Datapoint!E381 - 273.15</f>
        <v/>
      </c>
      <c r="F67" t="n">
        <v>0</v>
      </c>
      <c r="G67" t="inlineStr">
        <is>
          <t>K</t>
        </is>
      </c>
    </row>
    <row r="68">
      <c r="A68" t="inlineStr">
        <is>
          <t>cmp_1KXKGXJB61S0DEPE_normalized_mean_soil_temp</t>
        </is>
      </c>
      <c r="B68">
        <f>Component!A108</f>
        <v/>
      </c>
      <c r="C68" t="inlineStr">
        <is>
          <t>Mean soil temperature in dimensionless units</t>
        </is>
      </c>
      <c r="D68" t="inlineStr">
        <is>
          <t>{cmp_1KXKGXJB61S0DEPE_soil_temp_delta} / {cmp_1KXKGXJB61S0DEPE_one_degree_celsius_delta}</t>
        </is>
      </c>
      <c r="E68" s="2">
        <f>Expression!E67 / 1.0</f>
        <v/>
      </c>
      <c r="F68" t="n">
        <v>0</v>
      </c>
      <c r="G68" t="inlineStr"/>
    </row>
    <row r="69">
      <c r="A69" t="inlineStr">
        <is>
          <t>cmp_1KXKGXJB61S0DEPE_log_mean_soil_temp</t>
        </is>
      </c>
      <c r="B69">
        <f>Component!A108</f>
        <v/>
      </c>
      <c r="C69" t="inlineStr">
        <is>
          <t>Natural log of mean soil temperature in dimensionless units</t>
        </is>
      </c>
      <c r="D69" t="inlineStr">
        <is>
          <t>ln({cmp_1KXKGXJB61S0DEPE_normalized_mean_soil_temp})</t>
        </is>
      </c>
      <c r="E69" s="2" t="n">
        <v>2.388762789235098</v>
      </c>
      <c r="F69" t="n">
        <v>0</v>
      </c>
      <c r="G69" t="inlineStr"/>
    </row>
    <row r="70">
      <c r="A70" t="inlineStr">
        <is>
          <t>cmp_1KXKGXJB61S0DEPE_h_c_ratio</t>
        </is>
      </c>
      <c r="B70">
        <f>Component!A108</f>
        <v/>
      </c>
      <c r="C70" t="inlineStr">
        <is>
          <t>H:C ratio</t>
        </is>
      </c>
      <c r="D70" t="inlineStr">
        <is>
          <t>mean({[cmp_1KXKGXJB61S0DEPE_h_c_molar_ratios]})</t>
        </is>
      </c>
      <c r="E70" s="2" t="n">
        <v>0.28667</v>
      </c>
      <c r="F70" t="n">
        <v>0</v>
      </c>
      <c r="G70" t="inlineStr"/>
    </row>
    <row r="71">
      <c r="A71" t="inlineStr">
        <is>
          <t>cmp_1KXKGXJB61S0DEPE_non_durable_fraction_calc</t>
        </is>
      </c>
      <c r="B71">
        <f>Component!A108</f>
        <v/>
      </c>
      <c r="C71" t="inlineStr">
        <is>
          <t>Non-durable fraction</t>
        </is>
      </c>
      <c r="D71" t="inlineStr">
        <is>
          <t>{cmp_1KXKGXJB61S0DEPE_woolf_parameter_c} + ({cmp_1KXKGXJB61S0DEPE_woolf_parameter_a} + {cmp_1KXKGXJB61S0DEPE_woolf_parameter_b} * {cmp_1KXKGXJB61S0DEPE_log_mean_soil_temp}) * {cmp_1KXKGXJB61S0DEPE_h_c_ratio}</t>
        </is>
      </c>
      <c r="E71" s="2">
        <f>-0.048 + (-0.383 + 0.35 * Expression!E69) * Expression!E70</f>
        <v/>
      </c>
      <c r="F71" t="n">
        <v>0</v>
      </c>
      <c r="G71" t="inlineStr"/>
    </row>
    <row r="72">
      <c r="A72" t="inlineStr">
        <is>
          <t>cmp_1KXKGXJB61S0DEPE_durable_fraction_calc</t>
        </is>
      </c>
      <c r="B72">
        <f>Component!A108</f>
        <v/>
      </c>
      <c r="C72" t="inlineStr">
        <is>
          <t>Durable fraction</t>
        </is>
      </c>
      <c r="D72" t="inlineStr">
        <is>
          <t>complement_of({cmp_1KXKGXJB61S0DEPE_non_durable_fraction_calc})</t>
        </is>
      </c>
      <c r="E72" s="2" t="n">
        <v>0.9181192899234911</v>
      </c>
      <c r="F72" t="n">
        <v>0</v>
      </c>
      <c r="G72" t="inlineStr"/>
    </row>
    <row r="73">
      <c r="A73" t="inlineStr">
        <is>
          <t>cmp_1KXKGXJB61S0DEPE_carbon_contents</t>
        </is>
      </c>
      <c r="B73">
        <f>Component!A108</f>
        <v/>
      </c>
      <c r="C73" t="inlineStr">
        <is>
          <t>Carbon content of biochar</t>
        </is>
      </c>
      <c r="D73" t="inlineStr">
        <is>
          <t>{[cmp_1KXKGXJB61S0DEPE_total_carbon_contents]} - {[cmp_1KXKGXJB61S0DEPE_inorganic_carbon_contents]}</t>
        </is>
      </c>
      <c r="E73" s="2" t="inlineStr">
        <is>
          <t>89.66699999999999</t>
        </is>
      </c>
      <c r="F73" t="n">
        <v>0</v>
      </c>
      <c r="G73" t="inlineStr">
        <is>
          <t>%</t>
        </is>
      </c>
    </row>
    <row r="74">
      <c r="A74" t="inlineStr">
        <is>
          <t>cmp_1KXKGXJB61S0DEPE_durable_fraction</t>
        </is>
      </c>
      <c r="B74">
        <f>Component!A108</f>
        <v/>
      </c>
      <c r="C74" t="inlineStr">
        <is>
          <t>Durable fraction</t>
        </is>
      </c>
      <c r="D74" t="inlineStr">
        <is>
          <t>min({cmp_1KXKGXJB61S0DEPE_durable_fraction_calc}, {cmp_1KXKGXJB61S0DEPE_max_durable_fraction})</t>
        </is>
      </c>
      <c r="E74" s="2" t="n">
        <v>0.9181192899234911</v>
      </c>
      <c r="F74" t="n">
        <v>0</v>
      </c>
      <c r="G74" t="inlineStr"/>
    </row>
    <row r="75">
      <c r="A75" t="inlineStr">
        <is>
          <t>cmp_1KXKGXJB61S0DEPE_mean_carbon_content</t>
        </is>
      </c>
      <c r="B75">
        <f>Component!A108</f>
        <v/>
      </c>
      <c r="C75" t="inlineStr">
        <is>
          <t>Mean carbon content</t>
        </is>
      </c>
      <c r="D75" t="inlineStr">
        <is>
          <t>mean({[cmp_1KXKGXJB61S0DEPE_carbon_contents]})</t>
        </is>
      </c>
      <c r="E75" s="2" t="n">
        <v>0.8966699999999999</v>
      </c>
      <c r="F75" t="n">
        <v>0</v>
      </c>
      <c r="G75" t="inlineStr"/>
    </row>
    <row r="76">
      <c r="A76" t="inlineStr">
        <is>
          <t>cmp_1KXKGXJB61S0DEPE_output</t>
        </is>
      </c>
      <c r="B76">
        <f>Component!A108</f>
        <v/>
      </c>
      <c r="C76" t="inlineStr">
        <is>
          <t>Biochar sequestration, 200 year durability</t>
        </is>
      </c>
      <c r="D76" t="inlineStr">
        <is>
          <t>{cmp_1KXKGXJB61S0DEPE_product_mass} * {cmp_1KXKGXJB61S0DEPE_mean_carbon_content} * {cmp_1KXKGXJB61S0DEPE_durable_fraction} * {cmp_1KXKGXJB61S0DEPE_co2e_of_carbon}</t>
        </is>
      </c>
      <c r="E76" s="2">
        <f>Datapoint!E380 * Expression!E75 * Expression!E74 * 3.667</f>
        <v/>
      </c>
      <c r="F76" t="n">
        <v>0</v>
      </c>
      <c r="G76" t="inlineStr">
        <is>
          <t>kg</t>
        </is>
      </c>
    </row>
    <row r="77">
      <c r="A77" t="inlineStr">
        <is>
          <t>cmp_1KXKGXJB61S0DEPE_component_root</t>
        </is>
      </c>
      <c r="B77">
        <f>Component!A108</f>
        <v/>
      </c>
      <c r="C77" t="inlineStr">
        <is>
          <t>Biochar sequestration, 200 year durability</t>
        </is>
      </c>
      <c r="D77" t="inlineStr">
        <is>
          <t>{cmp_1KXKGXJB61S0DEPE_output}</t>
        </is>
      </c>
      <c r="E77" s="2">
        <f>Expression!E76</f>
        <v/>
      </c>
      <c r="F77" t="n">
        <v>0</v>
      </c>
      <c r="G77" t="inlineStr">
        <is>
          <t>kg</t>
        </is>
      </c>
    </row>
    <row r="78">
      <c r="A78" t="inlineStr">
        <is>
          <t>cmp_1KYN471V91S0Z1NE_component_root</t>
        </is>
      </c>
      <c r="B78">
        <f>Component!A188</f>
        <v/>
      </c>
      <c r="C78" t="inlineStr">
        <is>
          <t>Over Allocated Emissions</t>
        </is>
      </c>
      <c r="D78" t="inlineStr">
        <is>
          <t>{cmp_1KYN471V91S0Z1NE_constant_activity_emissions}</t>
        </is>
      </c>
      <c r="E78" s="2">
        <f>Datapoint!E650</f>
        <v/>
      </c>
      <c r="F78" t="n">
        <v>0</v>
      </c>
      <c r="G78" t="inlineStr">
        <is>
          <t>kg</t>
        </is>
      </c>
    </row>
    <row r="79">
      <c r="A79" t="inlineStr">
        <is>
          <t>cmp_1KXEJCGYM1S0TDSN_output</t>
        </is>
      </c>
      <c r="B79">
        <f>Component!A58</f>
        <v/>
      </c>
      <c r="C79" t="inlineStr">
        <is>
          <t>Distance-based emissions</t>
        </is>
      </c>
      <c r="D79" t="inlineStr">
        <is>
          <t>{cmp_1KXEJCGYM1S0TDSN_distance} * {cmp_1KXEJCGYM1S0TDSN_carbon_intensity}</t>
        </is>
      </c>
      <c r="E79" s="2">
        <f>Datapoint!E198 * Datapoint!E197</f>
        <v/>
      </c>
      <c r="F79" t="n">
        <v>0</v>
      </c>
      <c r="G79" t="inlineStr">
        <is>
          <t>kg</t>
        </is>
      </c>
    </row>
    <row r="80">
      <c r="A80" t="inlineStr">
        <is>
          <t>cmp_1KXEJCGYM1S0TDSN_component_root</t>
        </is>
      </c>
      <c r="B80">
        <f>Component!A58</f>
        <v/>
      </c>
      <c r="C80" t="inlineStr">
        <is>
          <t>CO Flatbed Truck Transport Embodied Emissions</t>
        </is>
      </c>
      <c r="D80" t="inlineStr">
        <is>
          <t>{cmp_1KXEJCGYM1S0TDSN_output}</t>
        </is>
      </c>
      <c r="E80" s="2">
        <f>Expression!E79</f>
        <v/>
      </c>
      <c r="F80" t="n">
        <v>0</v>
      </c>
      <c r="G80" t="inlineStr">
        <is>
          <t>kg</t>
        </is>
      </c>
    </row>
    <row r="81">
      <c r="A81" t="inlineStr">
        <is>
          <t>cmp_1KYA8AV061S0Q2PC_component_root</t>
        </is>
      </c>
      <c r="B81">
        <f>Component!A161</f>
        <v/>
      </c>
      <c r="C81" t="inlineStr">
        <is>
          <t>BCU - Transport Process</t>
        </is>
      </c>
      <c r="D81" t="inlineStr">
        <is>
          <t>{cmp_1KYA8AV061S0Q2PC_constant_reduction}</t>
        </is>
      </c>
      <c r="E81" s="2">
        <f>Datapoint!E585</f>
        <v/>
      </c>
      <c r="F81" t="n">
        <v>0</v>
      </c>
      <c r="G81" t="inlineStr">
        <is>
          <t>kg</t>
        </is>
      </c>
    </row>
    <row r="82">
      <c r="A82" t="inlineStr">
        <is>
          <t>cmp_1KXERD7151S0GHKD_component_root</t>
        </is>
      </c>
      <c r="B82">
        <f>Component!A73</f>
        <v/>
      </c>
      <c r="C82" t="inlineStr">
        <is>
          <t>Biochar Production Emission (A)</t>
        </is>
      </c>
      <c r="D82" t="inlineStr">
        <is>
          <t>{cmp_1KXERD7151S0GHKD_mass} * {cmp_1KXERD7151S0GHKD_carbon_intensity}</t>
        </is>
      </c>
      <c r="E82" s="2">
        <f>Datapoint!E252 * Datapoint!E251</f>
        <v/>
      </c>
      <c r="F82" t="n">
        <v>0</v>
      </c>
      <c r="G82" t="inlineStr">
        <is>
          <t>kg</t>
        </is>
      </c>
    </row>
    <row r="83">
      <c r="A83" t="inlineStr">
        <is>
          <t>cmp_1KYA8D6PQ1S0H99Z_component_root</t>
        </is>
      </c>
      <c r="B83">
        <f>Component!A173</f>
        <v/>
      </c>
      <c r="C83" t="inlineStr">
        <is>
          <t>BCU - Transport Process</t>
        </is>
      </c>
      <c r="D83" t="inlineStr">
        <is>
          <t>{cmp_1KYA8D6PQ1S0H99Z_constant_reduction}</t>
        </is>
      </c>
      <c r="E83" s="2">
        <f>Datapoint!E609</f>
        <v/>
      </c>
      <c r="F83" t="n">
        <v>0</v>
      </c>
      <c r="G83" t="inlineStr">
        <is>
          <t>kg</t>
        </is>
      </c>
    </row>
    <row r="84">
      <c r="A84" t="inlineStr">
        <is>
          <t>cmp_1KXEJD28G1S04MWW_component_root</t>
        </is>
      </c>
      <c r="B84">
        <f>Component!A59</f>
        <v/>
      </c>
      <c r="C84" t="inlineStr">
        <is>
          <t>CO Flatbed Truck Transport Process Emissions</t>
        </is>
      </c>
      <c r="D84" t="inlineStr">
        <is>
          <t>{cmp_1KXEJD28G1S04MWW_mass} * {cmp_1KXEJD28G1S04MWW_distance} * {cmp_1KXEJD28G1S04MWW_carbon_intensity}</t>
        </is>
      </c>
      <c r="E84" s="2">
        <f>Datapoint!E215 * Datapoint!E214 * Datapoint!E213</f>
        <v/>
      </c>
      <c r="F84" t="n">
        <v>0</v>
      </c>
      <c r="G84" t="inlineStr">
        <is>
          <t>kg</t>
        </is>
      </c>
    </row>
    <row r="85">
      <c r="A85" t="inlineStr">
        <is>
          <t>cmp_1KXGRA8D41S01S1K_component_root</t>
        </is>
      </c>
      <c r="B85">
        <f>Component!A100</f>
        <v/>
      </c>
      <c r="C85" t="inlineStr">
        <is>
          <t>BCU - Transport Process</t>
        </is>
      </c>
      <c r="D85" t="inlineStr">
        <is>
          <t>{cmp_1KXGRA8D41S01S1K_constant_reduction}</t>
        </is>
      </c>
      <c r="E85" s="2">
        <f>Datapoint!E357</f>
        <v/>
      </c>
      <c r="F85" t="n">
        <v>0</v>
      </c>
      <c r="G85" t="inlineStr">
        <is>
          <t>kg</t>
        </is>
      </c>
    </row>
    <row r="86">
      <c r="A86" t="inlineStr">
        <is>
          <t>cmp_1KXEA1TH21S0NA8X_output</t>
        </is>
      </c>
      <c r="B86">
        <f>Component!A32</f>
        <v/>
      </c>
      <c r="C86" t="inlineStr">
        <is>
          <t>Distance-based emissions</t>
        </is>
      </c>
      <c r="D86" t="inlineStr">
        <is>
          <t>{cmp_1KXEA1TH21S0NA8X_distance} * {cmp_1KXEA1TH21S0NA8X_carbon_intensity}</t>
        </is>
      </c>
      <c r="E86" s="2">
        <f>Datapoint!E108 * Datapoint!E107</f>
        <v/>
      </c>
      <c r="F86" t="n">
        <v>0</v>
      </c>
      <c r="G86" t="inlineStr">
        <is>
          <t>kg</t>
        </is>
      </c>
    </row>
    <row r="87">
      <c r="A87" t="inlineStr">
        <is>
          <t>cmp_1KXEA1TH21S0NA8X_component_root</t>
        </is>
      </c>
      <c r="B87">
        <f>Component!A32</f>
        <v/>
      </c>
      <c r="C87" t="inlineStr">
        <is>
          <t>CO Flatbed Truck Transport Embodied Emissions</t>
        </is>
      </c>
      <c r="D87" t="inlineStr">
        <is>
          <t>{cmp_1KXEA1TH21S0NA8X_output}</t>
        </is>
      </c>
      <c r="E87" s="2">
        <f>Expression!E86</f>
        <v/>
      </c>
      <c r="F87" t="n">
        <v>0</v>
      </c>
      <c r="G87" t="inlineStr">
        <is>
          <t>kg</t>
        </is>
      </c>
    </row>
    <row r="88">
      <c r="A88" t="inlineStr">
        <is>
          <t>cmp_1KXKGW8131S0AHAH_component_root</t>
        </is>
      </c>
      <c r="B88">
        <f>Component!A102</f>
        <v/>
      </c>
      <c r="C88" t="inlineStr">
        <is>
          <t>CO Flatbed Truck Transport Process Emissions</t>
        </is>
      </c>
      <c r="D88" t="inlineStr">
        <is>
          <t>{cmp_1KXKGW8131S0AHAH_mass} * {cmp_1KXKGW8131S0AHAH_distance} * {cmp_1KXKGW8131S0AHAH_carbon_intensity}</t>
        </is>
      </c>
      <c r="E88" s="2">
        <f>Datapoint!E369 * Datapoint!E368 * Datapoint!E367</f>
        <v/>
      </c>
      <c r="F88" t="n">
        <v>0</v>
      </c>
      <c r="G88" t="inlineStr">
        <is>
          <t>kg</t>
        </is>
      </c>
    </row>
    <row r="89">
      <c r="A89" t="inlineStr">
        <is>
          <t>cmp_1KWCZP1M61S0C5P4_component_root</t>
        </is>
      </c>
      <c r="B89">
        <f>Component!A18</f>
        <v/>
      </c>
      <c r="C89" t="inlineStr">
        <is>
          <t>Biochar Spreading Emissions</t>
        </is>
      </c>
      <c r="D89" t="inlineStr">
        <is>
          <t>{cmp_1KWCZP1M61S0C5P4_mass} * {cmp_1KWCZP1M61S0C5P4_carbon_intensity}</t>
        </is>
      </c>
      <c r="E89" s="2">
        <f>Datapoint!E58 * Datapoint!E57</f>
        <v/>
      </c>
      <c r="F89" t="n">
        <v>0</v>
      </c>
      <c r="G89" t="inlineStr">
        <is>
          <t>kg</t>
        </is>
      </c>
    </row>
    <row r="90">
      <c r="A90" t="inlineStr">
        <is>
          <t>cmp_1KXKGXJB61S0B6C5_component_root</t>
        </is>
      </c>
      <c r="B90">
        <f>Component!A107</f>
        <v/>
      </c>
      <c r="C90" t="inlineStr">
        <is>
          <t>Biochar Spreading Emissions</t>
        </is>
      </c>
      <c r="D90" t="inlineStr">
        <is>
          <t>{cmp_1KXKGXJB61S0B6C5_mass} * {cmp_1KXKGXJB61S0B6C5_carbon_intensity}</t>
        </is>
      </c>
      <c r="E90" s="2">
        <f>Datapoint!E383 * Datapoint!E382</f>
        <v/>
      </c>
      <c r="F90" t="n">
        <v>0</v>
      </c>
      <c r="G90" t="inlineStr">
        <is>
          <t>kg</t>
        </is>
      </c>
    </row>
    <row r="91">
      <c r="A91" t="inlineStr">
        <is>
          <t>cmp_1KXEJD28G1S0K8BG_soil_temp_delta</t>
        </is>
      </c>
      <c r="B91">
        <f>Component!A61</f>
        <v/>
      </c>
      <c r="C91" t="inlineStr">
        <is>
          <t>Difference in soil temp from 0 celsius</t>
        </is>
      </c>
      <c r="D91" t="inlineStr">
        <is>
          <t>{cmp_1KXEJD28G1S0K8BG_soil_temp} - {cmp_1KXEJD28G1S0K8BG_zero_degrees_celsius}</t>
        </is>
      </c>
      <c r="E91" s="2">
        <f>Datapoint!E209 - 273.15</f>
        <v/>
      </c>
      <c r="F91" t="n">
        <v>0</v>
      </c>
      <c r="G91" t="inlineStr">
        <is>
          <t>K</t>
        </is>
      </c>
    </row>
    <row r="92">
      <c r="A92" t="inlineStr">
        <is>
          <t>cmp_1KXEJD28G1S0K8BG_normalized_mean_soil_temp</t>
        </is>
      </c>
      <c r="B92">
        <f>Component!A61</f>
        <v/>
      </c>
      <c r="C92" t="inlineStr">
        <is>
          <t>Mean soil temperature in dimensionless units</t>
        </is>
      </c>
      <c r="D92" t="inlineStr">
        <is>
          <t>{cmp_1KXEJD28G1S0K8BG_soil_temp_delta} / {cmp_1KXEJD28G1S0K8BG_one_degree_celsius_delta}</t>
        </is>
      </c>
      <c r="E92" s="2">
        <f>Expression!E91 / 1.0</f>
        <v/>
      </c>
      <c r="F92" t="n">
        <v>0</v>
      </c>
      <c r="G92" t="inlineStr"/>
    </row>
    <row r="93">
      <c r="A93" t="inlineStr">
        <is>
          <t>cmp_1KXEJD28G1S0K8BG_log_mean_soil_temp</t>
        </is>
      </c>
      <c r="B93">
        <f>Component!A61</f>
        <v/>
      </c>
      <c r="C93" t="inlineStr">
        <is>
          <t>Natural log of mean soil temperature in dimensionless units</t>
        </is>
      </c>
      <c r="D93" t="inlineStr">
        <is>
          <t>ln({cmp_1KXEJD28G1S0K8BG_normalized_mean_soil_temp})</t>
        </is>
      </c>
      <c r="E93" s="2" t="n">
        <v>2.388762789235098</v>
      </c>
      <c r="F93" t="n">
        <v>0</v>
      </c>
      <c r="G93" t="inlineStr"/>
    </row>
    <row r="94">
      <c r="A94" t="inlineStr">
        <is>
          <t>cmp_1KXEJD28G1S0K8BG_h_c_ratio</t>
        </is>
      </c>
      <c r="B94">
        <f>Component!A61</f>
        <v/>
      </c>
      <c r="C94" t="inlineStr">
        <is>
          <t>H:C ratio</t>
        </is>
      </c>
      <c r="D94" t="inlineStr">
        <is>
          <t>mean({[cmp_1KXEJD28G1S0K8BG_h_c_molar_ratios]})</t>
        </is>
      </c>
      <c r="E94" s="2" t="n">
        <v>0.45667</v>
      </c>
      <c r="F94" t="n">
        <v>0</v>
      </c>
      <c r="G94" t="inlineStr"/>
    </row>
    <row r="95">
      <c r="A95" t="inlineStr">
        <is>
          <t>cmp_1KXEJD28G1S0K8BG_non_durable_fraction_calc</t>
        </is>
      </c>
      <c r="B95">
        <f>Component!A61</f>
        <v/>
      </c>
      <c r="C95" t="inlineStr">
        <is>
          <t>Non-durable fraction</t>
        </is>
      </c>
      <c r="D95" t="inlineStr">
        <is>
          <t>{cmp_1KXEJD28G1S0K8BG_woolf_parameter_c} + ({cmp_1KXEJD28G1S0K8BG_woolf_parameter_a} + {cmp_1KXEJD28G1S0K8BG_woolf_parameter_b} * {cmp_1KXEJD28G1S0K8BG_log_mean_soil_temp}) * {cmp_1KXEJD28G1S0K8BG_h_c_ratio}</t>
        </is>
      </c>
      <c r="E95" s="2">
        <f>-0.048 + (-0.383 + 0.35 * Expression!E93) * Expression!E94</f>
        <v/>
      </c>
      <c r="F95" t="n">
        <v>0</v>
      </c>
      <c r="G95" t="inlineStr"/>
    </row>
    <row r="96">
      <c r="A96" t="inlineStr">
        <is>
          <t>cmp_1KXEJD28G1S0K8BG_durable_fraction_calc</t>
        </is>
      </c>
      <c r="B96">
        <f>Component!A61</f>
        <v/>
      </c>
      <c r="C96" t="inlineStr">
        <is>
          <t>Durable fraction</t>
        </is>
      </c>
      <c r="D96" t="inlineStr">
        <is>
          <t>complement_of({cmp_1KXEJD28G1S0K8BG_non_durable_fraction_calc})</t>
        </is>
      </c>
      <c r="E96" s="2" t="n">
        <v>0.8410979039640027</v>
      </c>
      <c r="F96" t="n">
        <v>0</v>
      </c>
      <c r="G96" t="inlineStr"/>
    </row>
    <row r="97">
      <c r="A97" t="inlineStr">
        <is>
          <t>cmp_1KXEJD28G1S0K8BG_carbon_contents</t>
        </is>
      </c>
      <c r="B97">
        <f>Component!A61</f>
        <v/>
      </c>
      <c r="C97" t="inlineStr">
        <is>
          <t>Carbon content of biochar</t>
        </is>
      </c>
      <c r="D97" t="inlineStr">
        <is>
          <t>{[cmp_1KXEJD28G1S0K8BG_total_carbon_contents]} - {[cmp_1KXEJD28G1S0K8BG_inorganic_carbon_contents]}</t>
        </is>
      </c>
      <c r="E97" s="2" t="inlineStr">
        <is>
          <t>83.39999999999999</t>
        </is>
      </c>
      <c r="F97" t="n">
        <v>0</v>
      </c>
      <c r="G97" t="inlineStr">
        <is>
          <t>%</t>
        </is>
      </c>
    </row>
    <row r="98">
      <c r="A98" t="inlineStr">
        <is>
          <t>cmp_1KXEJD28G1S0K8BG_durable_fraction</t>
        </is>
      </c>
      <c r="B98">
        <f>Component!A61</f>
        <v/>
      </c>
      <c r="C98" t="inlineStr">
        <is>
          <t>Durable fraction</t>
        </is>
      </c>
      <c r="D98" t="inlineStr">
        <is>
          <t>min({cmp_1KXEJD28G1S0K8BG_durable_fraction_calc}, {cmp_1KXEJD28G1S0K8BG_max_durable_fraction})</t>
        </is>
      </c>
      <c r="E98" s="2" t="n">
        <v>0.8410979039640027</v>
      </c>
      <c r="F98" t="n">
        <v>0</v>
      </c>
      <c r="G98" t="inlineStr"/>
    </row>
    <row r="99">
      <c r="A99" t="inlineStr">
        <is>
          <t>cmp_1KXEJD28G1S0K8BG_mean_carbon_content</t>
        </is>
      </c>
      <c r="B99">
        <f>Component!A61</f>
        <v/>
      </c>
      <c r="C99" t="inlineStr">
        <is>
          <t>Mean carbon content</t>
        </is>
      </c>
      <c r="D99" t="inlineStr">
        <is>
          <t>mean({[cmp_1KXEJD28G1S0K8BG_carbon_contents]})</t>
        </is>
      </c>
      <c r="E99" s="2" t="n">
        <v>0.834</v>
      </c>
      <c r="F99" t="n">
        <v>0</v>
      </c>
      <c r="G99" t="inlineStr"/>
    </row>
    <row r="100">
      <c r="A100" t="inlineStr">
        <is>
          <t>cmp_1KXEJD28G1S0K8BG_output</t>
        </is>
      </c>
      <c r="B100">
        <f>Component!A61</f>
        <v/>
      </c>
      <c r="C100" t="inlineStr">
        <is>
          <t>Biochar sequestration, 200 year durability</t>
        </is>
      </c>
      <c r="D100" t="inlineStr">
        <is>
          <t>{cmp_1KXEJD28G1S0K8BG_product_mass} * {cmp_1KXEJD28G1S0K8BG_mean_carbon_content} * {cmp_1KXEJD28G1S0K8BG_durable_fraction} * {cmp_1KXEJD28G1S0K8BG_co2e_of_carbon}</t>
        </is>
      </c>
      <c r="E100" s="2">
        <f>Datapoint!E208 * Expression!E99 * Expression!E98 * 3.667</f>
        <v/>
      </c>
      <c r="F100" t="n">
        <v>0</v>
      </c>
      <c r="G100" t="inlineStr">
        <is>
          <t>kg</t>
        </is>
      </c>
    </row>
    <row r="101">
      <c r="A101" t="inlineStr">
        <is>
          <t>cmp_1KXEJD28G1S0K8BG_component_root</t>
        </is>
      </c>
      <c r="B101">
        <f>Component!A61</f>
        <v/>
      </c>
      <c r="C101" t="inlineStr">
        <is>
          <t>Biochar sequestration, 200 year durability</t>
        </is>
      </c>
      <c r="D101" t="inlineStr">
        <is>
          <t>{cmp_1KXEJD28G1S0K8BG_output}</t>
        </is>
      </c>
      <c r="E101" s="2">
        <f>Expression!E100</f>
        <v/>
      </c>
      <c r="F101" t="n">
        <v>0</v>
      </c>
      <c r="G101" t="inlineStr">
        <is>
          <t>kg</t>
        </is>
      </c>
    </row>
    <row r="102">
      <c r="A102" t="inlineStr">
        <is>
          <t>cmp_1KY38KE1C1S0DC44_component_root</t>
        </is>
      </c>
      <c r="B102">
        <f>Component!A125</f>
        <v/>
      </c>
      <c r="C102" t="inlineStr">
        <is>
          <t>Biochar Spreading Emissions</t>
        </is>
      </c>
      <c r="D102" t="inlineStr">
        <is>
          <t>{cmp_1KY38KE1C1S0DC44_mass} * {cmp_1KY38KE1C1S0DC44_carbon_intensity}</t>
        </is>
      </c>
      <c r="E102" s="2">
        <f>Datapoint!E446 * Datapoint!E445</f>
        <v/>
      </c>
      <c r="F102" t="n">
        <v>0</v>
      </c>
      <c r="G102" t="inlineStr">
        <is>
          <t>kg</t>
        </is>
      </c>
    </row>
    <row r="103">
      <c r="A103" t="inlineStr">
        <is>
          <t>cmp_1KYA75EW41S0REDG_output</t>
        </is>
      </c>
      <c r="B103">
        <f>Component!A157</f>
        <v/>
      </c>
      <c r="C103" t="inlineStr">
        <is>
          <t>Distance-based emissions</t>
        </is>
      </c>
      <c r="D103" t="inlineStr">
        <is>
          <t>{cmp_1KYA75EW41S0REDG_distance} * {cmp_1KYA75EW41S0REDG_carbon_intensity}</t>
        </is>
      </c>
      <c r="E103" s="2">
        <f>Datapoint!E574 * Datapoint!E573</f>
        <v/>
      </c>
      <c r="F103" t="n">
        <v>0</v>
      </c>
      <c r="G103" t="inlineStr">
        <is>
          <t>kg</t>
        </is>
      </c>
    </row>
    <row r="104">
      <c r="A104" t="inlineStr">
        <is>
          <t>cmp_1KYA75EW41S0REDG_component_root</t>
        </is>
      </c>
      <c r="B104">
        <f>Component!A157</f>
        <v/>
      </c>
      <c r="C104" t="inlineStr">
        <is>
          <t>CO Flatbed Truck Transport Embodied Emissions</t>
        </is>
      </c>
      <c r="D104" t="inlineStr">
        <is>
          <t>{cmp_1KYA75EW41S0REDG_output}</t>
        </is>
      </c>
      <c r="E104" s="2">
        <f>Expression!E103</f>
        <v/>
      </c>
      <c r="F104" t="n">
        <v>0</v>
      </c>
      <c r="G104" t="inlineStr">
        <is>
          <t>kg</t>
        </is>
      </c>
    </row>
    <row r="105">
      <c r="A105" t="inlineStr">
        <is>
          <t>cmp_1KYA75EW41S04SHV_component_root</t>
        </is>
      </c>
      <c r="B105">
        <f>Component!A154</f>
        <v/>
      </c>
      <c r="C105" t="inlineStr">
        <is>
          <t>CO Flatbed Truck Transport Process Emissions</t>
        </is>
      </c>
      <c r="D105" t="inlineStr">
        <is>
          <t>{cmp_1KYA75EW41S04SHV_mass} * {cmp_1KYA75EW41S04SHV_distance} * {cmp_1KYA75EW41S04SHV_carbon_intensity}</t>
        </is>
      </c>
      <c r="E105" s="2">
        <f>Datapoint!E572 * Datapoint!E571 * Datapoint!E570</f>
        <v/>
      </c>
      <c r="F105" t="n">
        <v>0</v>
      </c>
      <c r="G105" t="inlineStr">
        <is>
          <t>kg</t>
        </is>
      </c>
    </row>
    <row r="106">
      <c r="A106" t="inlineStr">
        <is>
          <t>cmp_1KY57MT101S08T9C_component_root</t>
        </is>
      </c>
      <c r="B106">
        <f>Component!A132</f>
        <v/>
      </c>
      <c r="C106" t="inlineStr">
        <is>
          <t>CO Flatbed Truck Transport Process Emissions</t>
        </is>
      </c>
      <c r="D106" t="inlineStr">
        <is>
          <t>{cmp_1KY57MT101S08T9C_mass} * {cmp_1KY57MT101S08T9C_distance} * {cmp_1KY57MT101S08T9C_carbon_intensity}</t>
        </is>
      </c>
      <c r="E106" s="2">
        <f>Datapoint!E486 * Datapoint!E485 * Datapoint!E484</f>
        <v/>
      </c>
      <c r="F106" t="n">
        <v>0</v>
      </c>
      <c r="G106" t="inlineStr">
        <is>
          <t>kg</t>
        </is>
      </c>
    </row>
    <row r="107">
      <c r="A107" t="inlineStr">
        <is>
          <t>cmp_1KXEBV2PW1S0V327_output</t>
        </is>
      </c>
      <c r="B107">
        <f>Component!A40</f>
        <v/>
      </c>
      <c r="C107" t="inlineStr">
        <is>
          <t>Distance-based emissions</t>
        </is>
      </c>
      <c r="D107" t="inlineStr">
        <is>
          <t>{cmp_1KXEBV2PW1S0V327_distance} * {cmp_1KXEBV2PW1S0V327_carbon_intensity}</t>
        </is>
      </c>
      <c r="E107" s="2">
        <f>Datapoint!E135 * Datapoint!E134</f>
        <v/>
      </c>
      <c r="F107" t="n">
        <v>0</v>
      </c>
      <c r="G107" t="inlineStr">
        <is>
          <t>kg</t>
        </is>
      </c>
    </row>
    <row r="108">
      <c r="A108" t="inlineStr">
        <is>
          <t>cmp_1KXEBV2PW1S0V327_component_root</t>
        </is>
      </c>
      <c r="B108">
        <f>Component!A40</f>
        <v/>
      </c>
      <c r="C108" t="inlineStr">
        <is>
          <t>CO Flatbed Truck Transport Embodied Emissions</t>
        </is>
      </c>
      <c r="D108" t="inlineStr">
        <is>
          <t>{cmp_1KXEBV2PW1S0V327_output}</t>
        </is>
      </c>
      <c r="E108" s="2">
        <f>Expression!E107</f>
        <v/>
      </c>
      <c r="F108" t="n">
        <v>0</v>
      </c>
      <c r="G108" t="inlineStr">
        <is>
          <t>kg</t>
        </is>
      </c>
    </row>
    <row r="109">
      <c r="A109" t="inlineStr">
        <is>
          <t>cmp_1KYA8C19J1S06PPP_component_root</t>
        </is>
      </c>
      <c r="B109">
        <f>Component!A167</f>
        <v/>
      </c>
      <c r="C109" t="inlineStr">
        <is>
          <t>BCU - Transport Process</t>
        </is>
      </c>
      <c r="D109" t="inlineStr">
        <is>
          <t>{cmp_1KYA8C19J1S06PPP_constant_reduction}</t>
        </is>
      </c>
      <c r="E109" s="2">
        <f>Datapoint!E597</f>
        <v/>
      </c>
      <c r="F109" t="n">
        <v>0</v>
      </c>
      <c r="G109" t="inlineStr">
        <is>
          <t>kg</t>
        </is>
      </c>
    </row>
    <row r="110">
      <c r="A110" t="inlineStr">
        <is>
          <t>cmp_1KWCZP1M61S0EE0D_soil_temp_delta</t>
        </is>
      </c>
      <c r="B110">
        <f>Component!A19</f>
        <v/>
      </c>
      <c r="C110" t="inlineStr">
        <is>
          <t>Difference in soil temp from 0 celsius</t>
        </is>
      </c>
      <c r="D110" t="inlineStr">
        <is>
          <t>{cmp_1KWCZP1M61S0EE0D_soil_temp} - {cmp_1KWCZP1M61S0EE0D_zero_degrees_celsius}</t>
        </is>
      </c>
      <c r="E110" s="2">
        <f>Datapoint!E62 - 273.15</f>
        <v/>
      </c>
      <c r="F110" t="n">
        <v>0</v>
      </c>
      <c r="G110" t="inlineStr">
        <is>
          <t>K</t>
        </is>
      </c>
    </row>
    <row r="111">
      <c r="A111" t="inlineStr">
        <is>
          <t>cmp_1KWCZP1M61S0EE0D_normalized_mean_soil_temp</t>
        </is>
      </c>
      <c r="B111">
        <f>Component!A19</f>
        <v/>
      </c>
      <c r="C111" t="inlineStr">
        <is>
          <t>Mean soil temperature in dimensionless units</t>
        </is>
      </c>
      <c r="D111" t="inlineStr">
        <is>
          <t>{cmp_1KWCZP1M61S0EE0D_soil_temp_delta} / {cmp_1KWCZP1M61S0EE0D_one_degree_celsius_delta}</t>
        </is>
      </c>
      <c r="E111" s="2">
        <f>Expression!E110 / 1.0</f>
        <v/>
      </c>
      <c r="F111" t="n">
        <v>0</v>
      </c>
      <c r="G111" t="inlineStr"/>
    </row>
    <row r="112">
      <c r="A112" t="inlineStr">
        <is>
          <t>cmp_1KWCZP1M61S0EE0D_log_mean_soil_temp</t>
        </is>
      </c>
      <c r="B112">
        <f>Component!A19</f>
        <v/>
      </c>
      <c r="C112" t="inlineStr">
        <is>
          <t>Natural log of mean soil temperature in dimensionless units</t>
        </is>
      </c>
      <c r="D112" t="inlineStr">
        <is>
          <t>ln({cmp_1KWCZP1M61S0EE0D_normalized_mean_soil_temp})</t>
        </is>
      </c>
      <c r="E112" s="2" t="n">
        <v>2.388762789235098</v>
      </c>
      <c r="F112" t="n">
        <v>0</v>
      </c>
      <c r="G112" t="inlineStr"/>
    </row>
    <row r="113">
      <c r="A113" t="inlineStr">
        <is>
          <t>cmp_1KWCZP1M61S0EE0D_h_c_ratio</t>
        </is>
      </c>
      <c r="B113">
        <f>Component!A19</f>
        <v/>
      </c>
      <c r="C113" t="inlineStr">
        <is>
          <t>H:C ratio</t>
        </is>
      </c>
      <c r="D113" t="inlineStr">
        <is>
          <t>mean({[cmp_1KWCZP1M61S0EE0D_h_c_molar_ratios]})</t>
        </is>
      </c>
      <c r="E113" s="2" t="n">
        <v>0.45667</v>
      </c>
      <c r="F113" t="n">
        <v>0</v>
      </c>
      <c r="G113" t="inlineStr"/>
    </row>
    <row r="114">
      <c r="A114" t="inlineStr">
        <is>
          <t>cmp_1KWCZP1M61S0EE0D_non_durable_fraction_calc</t>
        </is>
      </c>
      <c r="B114">
        <f>Component!A19</f>
        <v/>
      </c>
      <c r="C114" t="inlineStr">
        <is>
          <t>Non-durable fraction</t>
        </is>
      </c>
      <c r="D114" t="inlineStr">
        <is>
          <t>{cmp_1KWCZP1M61S0EE0D_woolf_parameter_c} + ({cmp_1KWCZP1M61S0EE0D_woolf_parameter_a} + {cmp_1KWCZP1M61S0EE0D_woolf_parameter_b} * {cmp_1KWCZP1M61S0EE0D_log_mean_soil_temp}) * {cmp_1KWCZP1M61S0EE0D_h_c_ratio}</t>
        </is>
      </c>
      <c r="E114" s="2">
        <f>-0.048 + (-0.383 + 0.35 * Expression!E112) * Expression!E113</f>
        <v/>
      </c>
      <c r="F114" t="n">
        <v>0</v>
      </c>
      <c r="G114" t="inlineStr"/>
    </row>
    <row r="115">
      <c r="A115" t="inlineStr">
        <is>
          <t>cmp_1KWCZP1M61S0EE0D_durable_fraction_calc</t>
        </is>
      </c>
      <c r="B115">
        <f>Component!A19</f>
        <v/>
      </c>
      <c r="C115" t="inlineStr">
        <is>
          <t>Durable fraction</t>
        </is>
      </c>
      <c r="D115" t="inlineStr">
        <is>
          <t>complement_of({cmp_1KWCZP1M61S0EE0D_non_durable_fraction_calc})</t>
        </is>
      </c>
      <c r="E115" s="2" t="n">
        <v>0.8410979039640027</v>
      </c>
      <c r="F115" t="n">
        <v>0</v>
      </c>
      <c r="G115" t="inlineStr"/>
    </row>
    <row r="116">
      <c r="A116" t="inlineStr">
        <is>
          <t>cmp_1KWCZP1M61S0EE0D_carbon_contents</t>
        </is>
      </c>
      <c r="B116">
        <f>Component!A19</f>
        <v/>
      </c>
      <c r="C116" t="inlineStr">
        <is>
          <t>Carbon content of biochar</t>
        </is>
      </c>
      <c r="D116" t="inlineStr">
        <is>
          <t>{[cmp_1KWCZP1M61S0EE0D_total_carbon_contents]} - {[cmp_1KWCZP1M61S0EE0D_inorganic_carbon_contents]}</t>
        </is>
      </c>
      <c r="E116" s="2" t="inlineStr">
        <is>
          <t>83.39999999999999</t>
        </is>
      </c>
      <c r="F116" t="n">
        <v>0</v>
      </c>
      <c r="G116" t="inlineStr">
        <is>
          <t>%</t>
        </is>
      </c>
    </row>
    <row r="117">
      <c r="A117" t="inlineStr">
        <is>
          <t>cmp_1KWCZP1M61S0EE0D_durable_fraction</t>
        </is>
      </c>
      <c r="B117">
        <f>Component!A19</f>
        <v/>
      </c>
      <c r="C117" t="inlineStr">
        <is>
          <t>Durable fraction</t>
        </is>
      </c>
      <c r="D117" t="inlineStr">
        <is>
          <t>min({cmp_1KWCZP1M61S0EE0D_durable_fraction_calc}, {cmp_1KWCZP1M61S0EE0D_max_durable_fraction})</t>
        </is>
      </c>
      <c r="E117" s="2" t="n">
        <v>0.8410979039640027</v>
      </c>
      <c r="F117" t="n">
        <v>0</v>
      </c>
      <c r="G117" t="inlineStr"/>
    </row>
    <row r="118">
      <c r="A118" t="inlineStr">
        <is>
          <t>cmp_1KWCZP1M61S0EE0D_mean_carbon_content</t>
        </is>
      </c>
      <c r="B118">
        <f>Component!A19</f>
        <v/>
      </c>
      <c r="C118" t="inlineStr">
        <is>
          <t>Mean carbon content</t>
        </is>
      </c>
      <c r="D118" t="inlineStr">
        <is>
          <t>mean({[cmp_1KWCZP1M61S0EE0D_carbon_contents]})</t>
        </is>
      </c>
      <c r="E118" s="2" t="n">
        <v>0.834</v>
      </c>
      <c r="F118" t="n">
        <v>0</v>
      </c>
      <c r="G118" t="inlineStr"/>
    </row>
    <row r="119">
      <c r="A119" t="inlineStr">
        <is>
          <t>cmp_1KWCZP1M61S0EE0D_output</t>
        </is>
      </c>
      <c r="B119">
        <f>Component!A19</f>
        <v/>
      </c>
      <c r="C119" t="inlineStr">
        <is>
          <t>Biochar sequestration, 200 year durability</t>
        </is>
      </c>
      <c r="D119" t="inlineStr">
        <is>
          <t>{cmp_1KWCZP1M61S0EE0D_product_mass} * {cmp_1KWCZP1M61S0EE0D_mean_carbon_content} * {cmp_1KWCZP1M61S0EE0D_durable_fraction} * {cmp_1KWCZP1M61S0EE0D_co2e_of_carbon}</t>
        </is>
      </c>
      <c r="E119" s="2">
        <f>Datapoint!E61 * Expression!E118 * Expression!E117 * 3.667</f>
        <v/>
      </c>
      <c r="F119" t="n">
        <v>0</v>
      </c>
      <c r="G119" t="inlineStr">
        <is>
          <t>kg</t>
        </is>
      </c>
    </row>
    <row r="120">
      <c r="A120" t="inlineStr">
        <is>
          <t>cmp_1KWCZP1M61S0EE0D_component_root</t>
        </is>
      </c>
      <c r="B120">
        <f>Component!A19</f>
        <v/>
      </c>
      <c r="C120" t="inlineStr">
        <is>
          <t>Biochar sequestration, 200 year durability</t>
        </is>
      </c>
      <c r="D120" t="inlineStr">
        <is>
          <t>{cmp_1KWCZP1M61S0EE0D_output}</t>
        </is>
      </c>
      <c r="E120" s="2">
        <f>Expression!E119</f>
        <v/>
      </c>
      <c r="F120" t="n">
        <v>0</v>
      </c>
      <c r="G120" t="inlineStr">
        <is>
          <t>kg</t>
        </is>
      </c>
    </row>
    <row r="121">
      <c r="A121" t="inlineStr">
        <is>
          <t>cmp_1KYABTBGB1S0MZSQ_component_root</t>
        </is>
      </c>
      <c r="B121">
        <f>Component!A185</f>
        <v/>
      </c>
      <c r="C121" t="inlineStr">
        <is>
          <t>Biochar Production Emission (A)</t>
        </is>
      </c>
      <c r="D121" t="inlineStr">
        <is>
          <t>{cmp_1KYABTBGB1S0MZSQ_mass} * {cmp_1KYABTBGB1S0MZSQ_carbon_intensity}</t>
        </is>
      </c>
      <c r="E121" s="2">
        <f>Datapoint!E642 * Datapoint!E641</f>
        <v/>
      </c>
      <c r="F121" t="n">
        <v>0</v>
      </c>
      <c r="G121" t="inlineStr">
        <is>
          <t>kg</t>
        </is>
      </c>
    </row>
    <row r="122">
      <c r="A122" t="inlineStr">
        <is>
          <t>cmp_1KXEHM2ZW1S0G6PE_component_root</t>
        </is>
      </c>
      <c r="B122">
        <f>Component!A53</f>
        <v/>
      </c>
      <c r="C122" t="inlineStr">
        <is>
          <t>BCU - Transport Process</t>
        </is>
      </c>
      <c r="D122" t="inlineStr">
        <is>
          <t>{cmp_1KXEHM2ZW1S0G6PE_constant_reduction}</t>
        </is>
      </c>
      <c r="E122" s="2">
        <f>Datapoint!E184</f>
        <v/>
      </c>
      <c r="F122" t="n">
        <v>0</v>
      </c>
      <c r="G122" t="inlineStr">
        <is>
          <t>kg</t>
        </is>
      </c>
    </row>
    <row r="123">
      <c r="A123" t="inlineStr">
        <is>
          <t>cmp_1KWCSDFQF1S0PBDY_component_root</t>
        </is>
      </c>
      <c r="B123">
        <f>Component!A10</f>
        <v/>
      </c>
      <c r="C123" t="inlineStr">
        <is>
          <t>Biochar Spreading Emissions</t>
        </is>
      </c>
      <c r="D123" t="inlineStr">
        <is>
          <t>{cmp_1KWCSDFQF1S0PBDY_mass} * {cmp_1KWCSDFQF1S0PBDY_carbon_intensity}</t>
        </is>
      </c>
      <c r="E123" s="2">
        <f>Datapoint!E22 * Datapoint!E21</f>
        <v/>
      </c>
      <c r="F123" t="n">
        <v>0</v>
      </c>
      <c r="G123" t="inlineStr">
        <is>
          <t>kg</t>
        </is>
      </c>
    </row>
    <row r="124">
      <c r="A124" t="inlineStr">
        <is>
          <t>cmp_1KXGK2Y3V1S09ZMH_component_root</t>
        </is>
      </c>
      <c r="B124">
        <f>Component!A77</f>
        <v/>
      </c>
      <c r="C124" t="inlineStr">
        <is>
          <t>Biochar Production Emission (A)</t>
        </is>
      </c>
      <c r="D124" t="inlineStr">
        <is>
          <t>{cmp_1KXGK2Y3V1S09ZMH_mass} * {cmp_1KXGK2Y3V1S09ZMH_carbon_intensity}</t>
        </is>
      </c>
      <c r="E124" s="2">
        <f>Datapoint!E273 * Datapoint!E272</f>
        <v/>
      </c>
      <c r="F124" t="n">
        <v>0</v>
      </c>
      <c r="G124" t="inlineStr">
        <is>
          <t>kg</t>
        </is>
      </c>
    </row>
    <row r="125">
      <c r="A125" t="inlineStr">
        <is>
          <t>cmp_1KY57M9F81S00VGE_component_root</t>
        </is>
      </c>
      <c r="B125">
        <f>Component!A128</f>
        <v/>
      </c>
      <c r="C125" t="inlineStr">
        <is>
          <t>CO Flatbed Truck Transport Process Emissions</t>
        </is>
      </c>
      <c r="D125" t="inlineStr">
        <is>
          <t>{cmp_1KY57M9F81S00VGE_mass} * {cmp_1KY57M9F81S00VGE_distance} * {cmp_1KY57M9F81S00VGE_carbon_intensity}</t>
        </is>
      </c>
      <c r="E125" s="2">
        <f>Datapoint!E470 * Datapoint!E469 * Datapoint!E468</f>
        <v/>
      </c>
      <c r="F125" t="n">
        <v>0</v>
      </c>
      <c r="G125" t="inlineStr">
        <is>
          <t>kg</t>
        </is>
      </c>
    </row>
    <row r="126">
      <c r="A126" t="inlineStr">
        <is>
          <t>cmp_1KYA8D1QE1S0YNZ8_component_root</t>
        </is>
      </c>
      <c r="B126">
        <f>Component!A172</f>
        <v/>
      </c>
      <c r="C126" t="inlineStr">
        <is>
          <t>BCU - Transport Process</t>
        </is>
      </c>
      <c r="D126" t="inlineStr">
        <is>
          <t>{cmp_1KYA8D1QE1S0YNZ8_constant_reduction}</t>
        </is>
      </c>
      <c r="E126" s="2">
        <f>Datapoint!E607</f>
        <v/>
      </c>
      <c r="F126" t="n">
        <v>0</v>
      </c>
      <c r="G126" t="inlineStr">
        <is>
          <t>kg</t>
        </is>
      </c>
    </row>
    <row r="127">
      <c r="A127" t="inlineStr">
        <is>
          <t>cmp_1KXKGW8131S0PWEW_component_root</t>
        </is>
      </c>
      <c r="B127">
        <f>Component!A104</f>
        <v/>
      </c>
      <c r="C127" t="inlineStr">
        <is>
          <t>Biochar Spreading Emissions</t>
        </is>
      </c>
      <c r="D127" t="inlineStr">
        <is>
          <t>{cmp_1KXKGW8131S0PWEW_mass} * {cmp_1KXKGW8131S0PWEW_carbon_intensity}</t>
        </is>
      </c>
      <c r="E127" s="2">
        <f>Datapoint!E366 * Datapoint!E365</f>
        <v/>
      </c>
      <c r="F127" t="n">
        <v>0</v>
      </c>
      <c r="G127" t="inlineStr">
        <is>
          <t>kg</t>
        </is>
      </c>
    </row>
    <row r="128">
      <c r="A128" t="inlineStr">
        <is>
          <t>cmp_1KXKP77Q21S0MHK0_soil_temp_delta</t>
        </is>
      </c>
      <c r="B128">
        <f>Component!A114</f>
        <v/>
      </c>
      <c r="C128" t="inlineStr">
        <is>
          <t>Difference in soil temp from 0 celsius</t>
        </is>
      </c>
      <c r="D128" t="inlineStr">
        <is>
          <t>{cmp_1KXKP77Q21S0MHK0_soil_temp} - {cmp_1KXKP77Q21S0MHK0_zero_degrees_celsius}</t>
        </is>
      </c>
      <c r="E128" s="2">
        <f>Datapoint!E398 - 273.15</f>
        <v/>
      </c>
      <c r="F128" t="n">
        <v>0</v>
      </c>
      <c r="G128" t="inlineStr">
        <is>
          <t>K</t>
        </is>
      </c>
    </row>
    <row r="129">
      <c r="A129" t="inlineStr">
        <is>
          <t>cmp_1KXKP77Q21S0MHK0_normalized_mean_soil_temp</t>
        </is>
      </c>
      <c r="B129">
        <f>Component!A114</f>
        <v/>
      </c>
      <c r="C129" t="inlineStr">
        <is>
          <t>Mean soil temperature in dimensionless units</t>
        </is>
      </c>
      <c r="D129" t="inlineStr">
        <is>
          <t>{cmp_1KXKP77Q21S0MHK0_soil_temp_delta} / {cmp_1KXKP77Q21S0MHK0_one_degree_celsius_delta}</t>
        </is>
      </c>
      <c r="E129" s="2">
        <f>Expression!E128 / 1.0</f>
        <v/>
      </c>
      <c r="F129" t="n">
        <v>0</v>
      </c>
      <c r="G129" t="inlineStr"/>
    </row>
    <row r="130">
      <c r="A130" t="inlineStr">
        <is>
          <t>cmp_1KXKP77Q21S0MHK0_log_mean_soil_temp</t>
        </is>
      </c>
      <c r="B130">
        <f>Component!A114</f>
        <v/>
      </c>
      <c r="C130" t="inlineStr">
        <is>
          <t>Natural log of mean soil temperature in dimensionless units</t>
        </is>
      </c>
      <c r="D130" t="inlineStr">
        <is>
          <t>ln({cmp_1KXKP77Q21S0MHK0_normalized_mean_soil_temp})</t>
        </is>
      </c>
      <c r="E130" s="2" t="n">
        <v>2.388762789235098</v>
      </c>
      <c r="F130" t="n">
        <v>0</v>
      </c>
      <c r="G130" t="inlineStr"/>
    </row>
    <row r="131">
      <c r="A131" t="inlineStr">
        <is>
          <t>cmp_1KXKP77Q21S0MHK0_h_c_ratio</t>
        </is>
      </c>
      <c r="B131">
        <f>Component!A114</f>
        <v/>
      </c>
      <c r="C131" t="inlineStr">
        <is>
          <t>H:C ratio</t>
        </is>
      </c>
      <c r="D131" t="inlineStr">
        <is>
          <t>mean({[cmp_1KXKP77Q21S0MHK0_h_c_molar_ratios]})</t>
        </is>
      </c>
      <c r="E131" s="2" t="n">
        <v>0.35</v>
      </c>
      <c r="F131" t="n">
        <v>0</v>
      </c>
      <c r="G131" t="inlineStr"/>
    </row>
    <row r="132">
      <c r="A132" t="inlineStr">
        <is>
          <t>cmp_1KXKP77Q21S0MHK0_non_durable_fraction_calc</t>
        </is>
      </c>
      <c r="B132">
        <f>Component!A114</f>
        <v/>
      </c>
      <c r="C132" t="inlineStr">
        <is>
          <t>Non-durable fraction</t>
        </is>
      </c>
      <c r="D132" t="inlineStr">
        <is>
          <t>{cmp_1KXKP77Q21S0MHK0_woolf_parameter_c} + ({cmp_1KXKP77Q21S0MHK0_woolf_parameter_a} + {cmp_1KXKP77Q21S0MHK0_woolf_parameter_b} * {cmp_1KXKP77Q21S0MHK0_log_mean_soil_temp}) * {cmp_1KXKP77Q21S0MHK0_h_c_ratio}</t>
        </is>
      </c>
      <c r="E132" s="2">
        <f>-0.048 + (-0.383 + 0.35 * Expression!E130) * Expression!E131</f>
        <v/>
      </c>
      <c r="F132" t="n">
        <v>0</v>
      </c>
      <c r="G132" t="inlineStr"/>
    </row>
    <row r="133">
      <c r="A133" t="inlineStr">
        <is>
          <t>cmp_1KXKP77Q21S0MHK0_durable_fraction_calc</t>
        </is>
      </c>
      <c r="B133">
        <f>Component!A114</f>
        <v/>
      </c>
      <c r="C133" t="inlineStr">
        <is>
          <t>Durable fraction</t>
        </is>
      </c>
      <c r="D133" t="inlineStr">
        <is>
          <t>complement_of({cmp_1KXKP77Q21S0MHK0_non_durable_fraction_calc})</t>
        </is>
      </c>
      <c r="E133" s="2" t="n">
        <v>0.8894265583187005</v>
      </c>
      <c r="F133" t="n">
        <v>0</v>
      </c>
      <c r="G133" t="inlineStr"/>
    </row>
    <row r="134">
      <c r="A134" t="inlineStr">
        <is>
          <t>cmp_1KXKP77Q21S0MHK0_carbon_contents</t>
        </is>
      </c>
      <c r="B134">
        <f>Component!A114</f>
        <v/>
      </c>
      <c r="C134" t="inlineStr">
        <is>
          <t>Carbon content of biochar</t>
        </is>
      </c>
      <c r="D134" t="inlineStr">
        <is>
          <t>{[cmp_1KXKP77Q21S0MHK0_total_carbon_contents]} - {[cmp_1KXKP77Q21S0MHK0_inorganic_carbon_contents]}</t>
        </is>
      </c>
      <c r="E134" s="2" t="inlineStr">
        <is>
          <t>79.946</t>
        </is>
      </c>
      <c r="F134" t="n">
        <v>0</v>
      </c>
      <c r="G134" t="inlineStr">
        <is>
          <t>%</t>
        </is>
      </c>
    </row>
    <row r="135">
      <c r="A135" t="inlineStr">
        <is>
          <t>cmp_1KXKP77Q21S0MHK0_durable_fraction</t>
        </is>
      </c>
      <c r="B135">
        <f>Component!A114</f>
        <v/>
      </c>
      <c r="C135" t="inlineStr">
        <is>
          <t>Durable fraction</t>
        </is>
      </c>
      <c r="D135" t="inlineStr">
        <is>
          <t>min({cmp_1KXKP77Q21S0MHK0_durable_fraction_calc}, {cmp_1KXKP77Q21S0MHK0_max_durable_fraction})</t>
        </is>
      </c>
      <c r="E135" s="2" t="n">
        <v>0.8894265583187005</v>
      </c>
      <c r="F135" t="n">
        <v>0</v>
      </c>
      <c r="G135" t="inlineStr"/>
    </row>
    <row r="136">
      <c r="A136" t="inlineStr">
        <is>
          <t>cmp_1KXKP77Q21S0MHK0_mean_carbon_content</t>
        </is>
      </c>
      <c r="B136">
        <f>Component!A114</f>
        <v/>
      </c>
      <c r="C136" t="inlineStr">
        <is>
          <t>Mean carbon content</t>
        </is>
      </c>
      <c r="D136" t="inlineStr">
        <is>
          <t>mean({[cmp_1KXKP77Q21S0MHK0_carbon_contents]})</t>
        </is>
      </c>
      <c r="E136" s="2" t="n">
        <v>0.7994599999999999</v>
      </c>
      <c r="F136" t="n">
        <v>0</v>
      </c>
      <c r="G136" t="inlineStr"/>
    </row>
    <row r="137">
      <c r="A137" t="inlineStr">
        <is>
          <t>cmp_1KXKP77Q21S0MHK0_output</t>
        </is>
      </c>
      <c r="B137">
        <f>Component!A114</f>
        <v/>
      </c>
      <c r="C137" t="inlineStr">
        <is>
          <t>Biochar sequestration, 200 year durability</t>
        </is>
      </c>
      <c r="D137" t="inlineStr">
        <is>
          <t>{cmp_1KXKP77Q21S0MHK0_product_mass} * {cmp_1KXKP77Q21S0MHK0_mean_carbon_content} * {cmp_1KXKP77Q21S0MHK0_durable_fraction} * {cmp_1KXKP77Q21S0MHK0_co2e_of_carbon}</t>
        </is>
      </c>
      <c r="E137" s="2">
        <f>Datapoint!E397 * Expression!E136 * Expression!E135 * 3.667</f>
        <v/>
      </c>
      <c r="F137" t="n">
        <v>0</v>
      </c>
      <c r="G137" t="inlineStr">
        <is>
          <t>kg</t>
        </is>
      </c>
    </row>
    <row r="138">
      <c r="A138" t="inlineStr">
        <is>
          <t>cmp_1KXKP77Q21S0MHK0_component_root</t>
        </is>
      </c>
      <c r="B138">
        <f>Component!A114</f>
        <v/>
      </c>
      <c r="C138" t="inlineStr">
        <is>
          <t>Biochar sequestration, 200 year durability</t>
        </is>
      </c>
      <c r="D138" t="inlineStr">
        <is>
          <t>{cmp_1KXKP77Q21S0MHK0_output}</t>
        </is>
      </c>
      <c r="E138" s="2">
        <f>Expression!E137</f>
        <v/>
      </c>
      <c r="F138" t="n">
        <v>0</v>
      </c>
      <c r="G138" t="inlineStr">
        <is>
          <t>kg</t>
        </is>
      </c>
    </row>
    <row r="139">
      <c r="A139" t="inlineStr">
        <is>
          <t>cmp_1KXGK2Y3V1S0XMG6_soil_temp_delta</t>
        </is>
      </c>
      <c r="B139">
        <f>Component!A80</f>
        <v/>
      </c>
      <c r="C139" t="inlineStr">
        <is>
          <t>Difference in soil temp from 0 celsius</t>
        </is>
      </c>
      <c r="D139" t="inlineStr">
        <is>
          <t>{cmp_1KXGK2Y3V1S0XMG6_soil_temp} - {cmp_1KXGK2Y3V1S0XMG6_zero_degrees_celsius}</t>
        </is>
      </c>
      <c r="E139" s="2">
        <f>Datapoint!E270 - 273.15</f>
        <v/>
      </c>
      <c r="F139" t="n">
        <v>0</v>
      </c>
      <c r="G139" t="inlineStr">
        <is>
          <t>K</t>
        </is>
      </c>
    </row>
    <row r="140">
      <c r="A140" t="inlineStr">
        <is>
          <t>cmp_1KXGK2Y3V1S0XMG6_normalized_mean_soil_temp</t>
        </is>
      </c>
      <c r="B140">
        <f>Component!A80</f>
        <v/>
      </c>
      <c r="C140" t="inlineStr">
        <is>
          <t>Mean soil temperature in dimensionless units</t>
        </is>
      </c>
      <c r="D140" t="inlineStr">
        <is>
          <t>{cmp_1KXGK2Y3V1S0XMG6_soil_temp_delta} / {cmp_1KXGK2Y3V1S0XMG6_one_degree_celsius_delta}</t>
        </is>
      </c>
      <c r="E140" s="2">
        <f>Expression!E139 / 1.0</f>
        <v/>
      </c>
      <c r="F140" t="n">
        <v>0</v>
      </c>
      <c r="G140" t="inlineStr"/>
    </row>
    <row r="141">
      <c r="A141" t="inlineStr">
        <is>
          <t>cmp_1KXGK2Y3V1S0XMG6_log_mean_soil_temp</t>
        </is>
      </c>
      <c r="B141">
        <f>Component!A80</f>
        <v/>
      </c>
      <c r="C141" t="inlineStr">
        <is>
          <t>Natural log of mean soil temperature in dimensionless units</t>
        </is>
      </c>
      <c r="D141" t="inlineStr">
        <is>
          <t>ln({cmp_1KXGK2Y3V1S0XMG6_normalized_mean_soil_temp})</t>
        </is>
      </c>
      <c r="E141" s="2" t="n">
        <v>2.388762789235098</v>
      </c>
      <c r="F141" t="n">
        <v>0</v>
      </c>
      <c r="G141" t="inlineStr"/>
    </row>
    <row r="142">
      <c r="A142" t="inlineStr">
        <is>
          <t>cmp_1KXGK2Y3V1S0XMG6_h_c_ratio</t>
        </is>
      </c>
      <c r="B142">
        <f>Component!A80</f>
        <v/>
      </c>
      <c r="C142" t="inlineStr">
        <is>
          <t>H:C ratio</t>
        </is>
      </c>
      <c r="D142" t="inlineStr">
        <is>
          <t>mean({[cmp_1KXGK2Y3V1S0XMG6_h_c_molar_ratios]})</t>
        </is>
      </c>
      <c r="E142" s="2" t="n">
        <v>0.46</v>
      </c>
      <c r="F142" t="n">
        <v>0</v>
      </c>
      <c r="G142" t="inlineStr"/>
    </row>
    <row r="143">
      <c r="A143" t="inlineStr">
        <is>
          <t>cmp_1KXGK2Y3V1S0XMG6_non_durable_fraction_calc</t>
        </is>
      </c>
      <c r="B143">
        <f>Component!A80</f>
        <v/>
      </c>
      <c r="C143" t="inlineStr">
        <is>
          <t>Non-durable fraction</t>
        </is>
      </c>
      <c r="D143" t="inlineStr">
        <is>
          <t>{cmp_1KXGK2Y3V1S0XMG6_woolf_parameter_c} + ({cmp_1KXGK2Y3V1S0XMG6_woolf_parameter_a} + {cmp_1KXGK2Y3V1S0XMG6_woolf_parameter_b} * {cmp_1KXGK2Y3V1S0XMG6_log_mean_soil_temp}) * {cmp_1KXGK2Y3V1S0XMG6_h_c_ratio}</t>
        </is>
      </c>
      <c r="E143" s="2">
        <f>-0.048 + (-0.383 + 0.35 * Expression!E141) * Expression!E142</f>
        <v/>
      </c>
      <c r="F143" t="n">
        <v>0</v>
      </c>
      <c r="G143" t="inlineStr"/>
    </row>
    <row r="144">
      <c r="A144" t="inlineStr">
        <is>
          <t>cmp_1KXGK2Y3V1S0XMG6_durable_fraction_calc</t>
        </is>
      </c>
      <c r="B144">
        <f>Component!A80</f>
        <v/>
      </c>
      <c r="C144" t="inlineStr">
        <is>
          <t>Durable fraction</t>
        </is>
      </c>
      <c r="D144" t="inlineStr">
        <is>
          <t>complement_of({cmp_1KXGK2Y3V1S0XMG6_non_durable_fraction_calc})</t>
        </is>
      </c>
      <c r="E144" s="2" t="n">
        <v>0.8395891909331492</v>
      </c>
      <c r="F144" t="n">
        <v>0</v>
      </c>
      <c r="G144" t="inlineStr"/>
    </row>
    <row r="145">
      <c r="A145" t="inlineStr">
        <is>
          <t>cmp_1KXGK2Y3V1S0XMG6_carbon_contents</t>
        </is>
      </c>
      <c r="B145">
        <f>Component!A80</f>
        <v/>
      </c>
      <c r="C145" t="inlineStr">
        <is>
          <t>Carbon content of biochar</t>
        </is>
      </c>
      <c r="D145" t="inlineStr">
        <is>
          <t>{[cmp_1KXGK2Y3V1S0XMG6_total_carbon_contents]} - {[cmp_1KXGK2Y3V1S0XMG6_inorganic_carbon_contents]}</t>
        </is>
      </c>
      <c r="E145" s="2" t="inlineStr">
        <is>
          <t>83.93299999999999</t>
        </is>
      </c>
      <c r="F145" t="n">
        <v>0</v>
      </c>
      <c r="G145" t="inlineStr">
        <is>
          <t>%</t>
        </is>
      </c>
    </row>
    <row r="146">
      <c r="A146" t="inlineStr">
        <is>
          <t>cmp_1KXGK2Y3V1S0XMG6_durable_fraction</t>
        </is>
      </c>
      <c r="B146">
        <f>Component!A80</f>
        <v/>
      </c>
      <c r="C146" t="inlineStr">
        <is>
          <t>Durable fraction</t>
        </is>
      </c>
      <c r="D146" t="inlineStr">
        <is>
          <t>min({cmp_1KXGK2Y3V1S0XMG6_durable_fraction_calc}, {cmp_1KXGK2Y3V1S0XMG6_max_durable_fraction})</t>
        </is>
      </c>
      <c r="E146" s="2" t="n">
        <v>0.8395891909331492</v>
      </c>
      <c r="F146" t="n">
        <v>0</v>
      </c>
      <c r="G146" t="inlineStr"/>
    </row>
    <row r="147">
      <c r="A147" t="inlineStr">
        <is>
          <t>cmp_1KXGK2Y3V1S0XMG6_mean_carbon_content</t>
        </is>
      </c>
      <c r="B147">
        <f>Component!A80</f>
        <v/>
      </c>
      <c r="C147" t="inlineStr">
        <is>
          <t>Mean carbon content</t>
        </is>
      </c>
      <c r="D147" t="inlineStr">
        <is>
          <t>mean({[cmp_1KXGK2Y3V1S0XMG6_carbon_contents]})</t>
        </is>
      </c>
      <c r="E147" s="2" t="n">
        <v>0.8393299999999999</v>
      </c>
      <c r="F147" t="n">
        <v>0</v>
      </c>
      <c r="G147" t="inlineStr"/>
    </row>
    <row r="148">
      <c r="A148" t="inlineStr">
        <is>
          <t>cmp_1KXGK2Y3V1S0XMG6_output</t>
        </is>
      </c>
      <c r="B148">
        <f>Component!A80</f>
        <v/>
      </c>
      <c r="C148" t="inlineStr">
        <is>
          <t>Biochar sequestration, 200 year durability</t>
        </is>
      </c>
      <c r="D148" t="inlineStr">
        <is>
          <t>{cmp_1KXGK2Y3V1S0XMG6_product_mass} * {cmp_1KXGK2Y3V1S0XMG6_mean_carbon_content} * {cmp_1KXGK2Y3V1S0XMG6_durable_fraction} * {cmp_1KXGK2Y3V1S0XMG6_co2e_of_carbon}</t>
        </is>
      </c>
      <c r="E148" s="2">
        <f>Datapoint!E269 * Expression!E147 * Expression!E146 * 3.667</f>
        <v/>
      </c>
      <c r="F148" t="n">
        <v>0</v>
      </c>
      <c r="G148" t="inlineStr">
        <is>
          <t>kg</t>
        </is>
      </c>
    </row>
    <row r="149">
      <c r="A149" t="inlineStr">
        <is>
          <t>cmp_1KXGK2Y3V1S0XMG6_component_root</t>
        </is>
      </c>
      <c r="B149">
        <f>Component!A80</f>
        <v/>
      </c>
      <c r="C149" t="inlineStr">
        <is>
          <t>Biochar sequestration, 200 year durability</t>
        </is>
      </c>
      <c r="D149" t="inlineStr">
        <is>
          <t>{cmp_1KXGK2Y3V1S0XMG6_output}</t>
        </is>
      </c>
      <c r="E149" s="2">
        <f>Expression!E148</f>
        <v/>
      </c>
      <c r="F149" t="n">
        <v>0</v>
      </c>
      <c r="G149" t="inlineStr">
        <is>
          <t>kg</t>
        </is>
      </c>
    </row>
    <row r="150">
      <c r="A150" t="inlineStr">
        <is>
          <t>cmp_1KYABSAA61S08GC7_component_root</t>
        </is>
      </c>
      <c r="B150">
        <f>Component!A179</f>
        <v/>
      </c>
      <c r="C150" t="inlineStr">
        <is>
          <t>Biochar Production Emission (A)</t>
        </is>
      </c>
      <c r="D150" t="inlineStr">
        <is>
          <t>{cmp_1KYABSAA61S08GC7_mass} * {cmp_1KYABSAA61S08GC7_carbon_intensity}</t>
        </is>
      </c>
      <c r="E150" s="2">
        <f>Datapoint!E624 * Datapoint!E623</f>
        <v/>
      </c>
      <c r="F150" t="n">
        <v>0</v>
      </c>
      <c r="G150" t="inlineStr">
        <is>
          <t>kg</t>
        </is>
      </c>
    </row>
    <row r="151">
      <c r="A151" t="inlineStr">
        <is>
          <t>cmp_1KXERHFPF1S0CGR2_component_root</t>
        </is>
      </c>
      <c r="B151">
        <f>Component!A75</f>
        <v/>
      </c>
      <c r="C151" t="inlineStr">
        <is>
          <t>BCU - Transport Process</t>
        </is>
      </c>
      <c r="D151" t="inlineStr">
        <is>
          <t>{cmp_1KXERHFPF1S0CGR2_constant_reduction}</t>
        </is>
      </c>
      <c r="E151" s="2">
        <f>Datapoint!E264</f>
        <v/>
      </c>
      <c r="F151" t="n">
        <v>0</v>
      </c>
      <c r="G151" t="inlineStr">
        <is>
          <t>kg</t>
        </is>
      </c>
    </row>
    <row r="152">
      <c r="A152" t="inlineStr">
        <is>
          <t>cmp_1KYA74ZX41S0E7A9_component_root</t>
        </is>
      </c>
      <c r="B152">
        <f>Component!A151</f>
        <v/>
      </c>
      <c r="C152" t="inlineStr">
        <is>
          <t>CO Flatbed Truck Transport Process Emissions</t>
        </is>
      </c>
      <c r="D152" t="inlineStr">
        <is>
          <t>{cmp_1KYA74ZX41S0E7A9_mass} * {cmp_1KYA74ZX41S0E7A9_distance} * {cmp_1KYA74ZX41S0E7A9_carbon_intensity}</t>
        </is>
      </c>
      <c r="E152" s="2">
        <f>Datapoint!E556 * Datapoint!E555 * Datapoint!E554</f>
        <v/>
      </c>
      <c r="F152" t="n">
        <v>0</v>
      </c>
      <c r="G152" t="inlineStr">
        <is>
          <t>kg</t>
        </is>
      </c>
    </row>
    <row r="153">
      <c r="A153" t="inlineStr">
        <is>
          <t>cmp_1KXKGW8131S0Y666_output</t>
        </is>
      </c>
      <c r="B153">
        <f>Component!A106</f>
        <v/>
      </c>
      <c r="C153" t="inlineStr">
        <is>
          <t>Distance-based emissions</t>
        </is>
      </c>
      <c r="D153" t="inlineStr">
        <is>
          <t>{cmp_1KXKGW8131S0Y666_distance} * {cmp_1KXKGW8131S0Y666_carbon_intensity}</t>
        </is>
      </c>
      <c r="E153" s="2">
        <f>Datapoint!E371 * Datapoint!E370</f>
        <v/>
      </c>
      <c r="F153" t="n">
        <v>0</v>
      </c>
      <c r="G153" t="inlineStr">
        <is>
          <t>kg</t>
        </is>
      </c>
    </row>
    <row r="154">
      <c r="A154" t="inlineStr">
        <is>
          <t>cmp_1KXKGW8131S0Y666_component_root</t>
        </is>
      </c>
      <c r="B154">
        <f>Component!A106</f>
        <v/>
      </c>
      <c r="C154" t="inlineStr">
        <is>
          <t>CO Flatbed Truck Transport Embodied Emissions</t>
        </is>
      </c>
      <c r="D154" t="inlineStr">
        <is>
          <t>{cmp_1KXKGW8131S0Y666_output}</t>
        </is>
      </c>
      <c r="E154" s="2">
        <f>Expression!E153</f>
        <v/>
      </c>
      <c r="F154" t="n">
        <v>0</v>
      </c>
      <c r="G154" t="inlineStr">
        <is>
          <t>kg</t>
        </is>
      </c>
    </row>
    <row r="155">
      <c r="A155" t="inlineStr">
        <is>
          <t>cmp_1KWCSDFQF1S04YWJ_component_root</t>
        </is>
      </c>
      <c r="B155">
        <f>Component!A8</f>
        <v/>
      </c>
      <c r="C155" t="inlineStr">
        <is>
          <t>Biochar Production Emission (A)</t>
        </is>
      </c>
      <c r="D155" t="inlineStr">
        <is>
          <t>{cmp_1KWCSDFQF1S04YWJ_mass} * {cmp_1KWCSDFQF1S04YWJ_carbon_intensity}</t>
        </is>
      </c>
      <c r="E155" s="2">
        <f>Datapoint!E29 * Datapoint!E28</f>
        <v/>
      </c>
      <c r="F155" t="n">
        <v>0</v>
      </c>
      <c r="G155" t="inlineStr">
        <is>
          <t>kg</t>
        </is>
      </c>
    </row>
    <row r="156">
      <c r="A156" t="inlineStr">
        <is>
          <t>cmp_1KXE4AHAG1S02RGH_component_root</t>
        </is>
      </c>
      <c r="B156">
        <f>Component!A23</f>
        <v/>
      </c>
      <c r="C156" t="inlineStr">
        <is>
          <t>Biochar Production Emission (A)</t>
        </is>
      </c>
      <c r="D156" t="inlineStr">
        <is>
          <t>{cmp_1KXE4AHAG1S02RGH_mass} * {cmp_1KXE4AHAG1S02RGH_carbon_intensity}</t>
        </is>
      </c>
      <c r="E156" s="2">
        <f>Datapoint!E83 * Datapoint!E82</f>
        <v/>
      </c>
      <c r="F156" t="n">
        <v>0</v>
      </c>
      <c r="G156" t="inlineStr">
        <is>
          <t>kg</t>
        </is>
      </c>
    </row>
    <row r="157">
      <c r="A157" t="inlineStr">
        <is>
          <t>cmp_1KWCC0FY31S0MM32_component_root</t>
        </is>
      </c>
      <c r="B157">
        <f>Component!A7</f>
        <v/>
      </c>
      <c r="C157" t="inlineStr">
        <is>
          <t>CO Flatbed Truck Transport Process Emissions</t>
        </is>
      </c>
      <c r="D157" t="inlineStr">
        <is>
          <t>{cmp_1KWCC0FY31S0MM32_mass} * {cmp_1KWCC0FY31S0MM32_distance} * {cmp_1KWCC0FY31S0MM32_carbon_intensity}</t>
        </is>
      </c>
      <c r="E157" s="2">
        <f>Datapoint!E14 * Datapoint!E13 * Datapoint!E12</f>
        <v/>
      </c>
      <c r="F157" t="n">
        <v>0</v>
      </c>
      <c r="G157" t="inlineStr">
        <is>
          <t>kg</t>
        </is>
      </c>
    </row>
    <row r="158">
      <c r="A158" t="inlineStr">
        <is>
          <t>cmp_1KXE4AHAG1S0PDC6_soil_temp_delta</t>
        </is>
      </c>
      <c r="B158">
        <f>Component!A26</f>
        <v/>
      </c>
      <c r="C158" t="inlineStr">
        <is>
          <t>Difference in soil temp from 0 celsius</t>
        </is>
      </c>
      <c r="D158" t="inlineStr">
        <is>
          <t>{cmp_1KXE4AHAG1S0PDC6_soil_temp} - {cmp_1KXE4AHAG1S0PDC6_zero_degrees_celsius}</t>
        </is>
      </c>
      <c r="E158" s="2">
        <f>Datapoint!E80 - 273.15</f>
        <v/>
      </c>
      <c r="F158" t="n">
        <v>0</v>
      </c>
      <c r="G158" t="inlineStr">
        <is>
          <t>K</t>
        </is>
      </c>
    </row>
    <row r="159">
      <c r="A159" t="inlineStr">
        <is>
          <t>cmp_1KXE4AHAG1S0PDC6_normalized_mean_soil_temp</t>
        </is>
      </c>
      <c r="B159">
        <f>Component!A26</f>
        <v/>
      </c>
      <c r="C159" t="inlineStr">
        <is>
          <t>Mean soil temperature in dimensionless units</t>
        </is>
      </c>
      <c r="D159" t="inlineStr">
        <is>
          <t>{cmp_1KXE4AHAG1S0PDC6_soil_temp_delta} / {cmp_1KXE4AHAG1S0PDC6_one_degree_celsius_delta}</t>
        </is>
      </c>
      <c r="E159" s="2">
        <f>Expression!E158 / 1.0</f>
        <v/>
      </c>
      <c r="F159" t="n">
        <v>0</v>
      </c>
      <c r="G159" t="inlineStr"/>
    </row>
    <row r="160">
      <c r="A160" t="inlineStr">
        <is>
          <t>cmp_1KXE4AHAG1S0PDC6_log_mean_soil_temp</t>
        </is>
      </c>
      <c r="B160">
        <f>Component!A26</f>
        <v/>
      </c>
      <c r="C160" t="inlineStr">
        <is>
          <t>Natural log of mean soil temperature in dimensionless units</t>
        </is>
      </c>
      <c r="D160" t="inlineStr">
        <is>
          <t>ln({cmp_1KXE4AHAG1S0PDC6_normalized_mean_soil_temp})</t>
        </is>
      </c>
      <c r="E160" s="2" t="n">
        <v>2.388762789235098</v>
      </c>
      <c r="F160" t="n">
        <v>0</v>
      </c>
      <c r="G160" t="inlineStr"/>
    </row>
    <row r="161">
      <c r="A161" t="inlineStr">
        <is>
          <t>cmp_1KXE4AHAG1S0PDC6_h_c_ratio</t>
        </is>
      </c>
      <c r="B161">
        <f>Component!A26</f>
        <v/>
      </c>
      <c r="C161" t="inlineStr">
        <is>
          <t>H:C ratio</t>
        </is>
      </c>
      <c r="D161" t="inlineStr">
        <is>
          <t>mean({[cmp_1KXE4AHAG1S0PDC6_h_c_molar_ratios]})</t>
        </is>
      </c>
      <c r="E161" s="2" t="n">
        <v>0.44</v>
      </c>
      <c r="F161" t="n">
        <v>0</v>
      </c>
      <c r="G161" t="inlineStr"/>
    </row>
    <row r="162">
      <c r="A162" t="inlineStr">
        <is>
          <t>cmp_1KXE4AHAG1S0PDC6_non_durable_fraction_calc</t>
        </is>
      </c>
      <c r="B162">
        <f>Component!A26</f>
        <v/>
      </c>
      <c r="C162" t="inlineStr">
        <is>
          <t>Non-durable fraction</t>
        </is>
      </c>
      <c r="D162" t="inlineStr">
        <is>
          <t>{cmp_1KXE4AHAG1S0PDC6_woolf_parameter_c} + ({cmp_1KXE4AHAG1S0PDC6_woolf_parameter_a} + {cmp_1KXE4AHAG1S0PDC6_woolf_parameter_b} * {cmp_1KXE4AHAG1S0PDC6_log_mean_soil_temp}) * {cmp_1KXE4AHAG1S0PDC6_h_c_ratio}</t>
        </is>
      </c>
      <c r="E162" s="2">
        <f>-0.048 + (-0.383 + 0.35 * Expression!E160) * Expression!E161</f>
        <v/>
      </c>
      <c r="F162" t="n">
        <v>0</v>
      </c>
      <c r="G162" t="inlineStr"/>
    </row>
    <row r="163">
      <c r="A163" t="inlineStr">
        <is>
          <t>cmp_1KXE4AHAG1S0PDC6_durable_fraction_calc</t>
        </is>
      </c>
      <c r="B163">
        <f>Component!A26</f>
        <v/>
      </c>
      <c r="C163" t="inlineStr">
        <is>
          <t>Durable fraction</t>
        </is>
      </c>
      <c r="D163" t="inlineStr">
        <is>
          <t>complement_of({cmp_1KXE4AHAG1S0PDC6_non_durable_fraction_calc})</t>
        </is>
      </c>
      <c r="E163" s="2" t="n">
        <v>0.8486505304577949</v>
      </c>
      <c r="F163" t="n">
        <v>0</v>
      </c>
      <c r="G163" t="inlineStr"/>
    </row>
    <row r="164">
      <c r="A164" t="inlineStr">
        <is>
          <t>cmp_1KXE4AHAG1S0PDC6_carbon_contents</t>
        </is>
      </c>
      <c r="B164">
        <f>Component!A26</f>
        <v/>
      </c>
      <c r="C164" t="inlineStr">
        <is>
          <t>Carbon content of biochar</t>
        </is>
      </c>
      <c r="D164" t="inlineStr">
        <is>
          <t>{[cmp_1KXE4AHAG1S0PDC6_total_carbon_contents]} - {[cmp_1KXE4AHAG1S0PDC6_inorganic_carbon_contents]}</t>
        </is>
      </c>
      <c r="E164" s="2" t="inlineStr">
        <is>
          <t>84.933</t>
        </is>
      </c>
      <c r="F164" t="n">
        <v>0</v>
      </c>
      <c r="G164" t="inlineStr">
        <is>
          <t>%</t>
        </is>
      </c>
    </row>
    <row r="165">
      <c r="A165" t="inlineStr">
        <is>
          <t>cmp_1KXE4AHAG1S0PDC6_durable_fraction</t>
        </is>
      </c>
      <c r="B165">
        <f>Component!A26</f>
        <v/>
      </c>
      <c r="C165" t="inlineStr">
        <is>
          <t>Durable fraction</t>
        </is>
      </c>
      <c r="D165" t="inlineStr">
        <is>
          <t>min({cmp_1KXE4AHAG1S0PDC6_durable_fraction_calc}, {cmp_1KXE4AHAG1S0PDC6_max_durable_fraction})</t>
        </is>
      </c>
      <c r="E165" s="2" t="n">
        <v>0.8486505304577949</v>
      </c>
      <c r="F165" t="n">
        <v>0</v>
      </c>
      <c r="G165" t="inlineStr"/>
    </row>
    <row r="166">
      <c r="A166" t="inlineStr">
        <is>
          <t>cmp_1KXE4AHAG1S0PDC6_mean_carbon_content</t>
        </is>
      </c>
      <c r="B166">
        <f>Component!A26</f>
        <v/>
      </c>
      <c r="C166" t="inlineStr">
        <is>
          <t>Mean carbon content</t>
        </is>
      </c>
      <c r="D166" t="inlineStr">
        <is>
          <t>mean({[cmp_1KXE4AHAG1S0PDC6_carbon_contents]})</t>
        </is>
      </c>
      <c r="E166" s="2" t="n">
        <v>0.8493300000000001</v>
      </c>
      <c r="F166" t="n">
        <v>0</v>
      </c>
      <c r="G166" t="inlineStr"/>
    </row>
    <row r="167">
      <c r="A167" t="inlineStr">
        <is>
          <t>cmp_1KXE4AHAG1S0PDC6_output</t>
        </is>
      </c>
      <c r="B167">
        <f>Component!A26</f>
        <v/>
      </c>
      <c r="C167" t="inlineStr">
        <is>
          <t>Biochar sequestration, 200 year durability</t>
        </is>
      </c>
      <c r="D167" t="inlineStr">
        <is>
          <t>{cmp_1KXE4AHAG1S0PDC6_product_mass} * {cmp_1KXE4AHAG1S0PDC6_mean_carbon_content} * {cmp_1KXE4AHAG1S0PDC6_durable_fraction} * {cmp_1KXE4AHAG1S0PDC6_co2e_of_carbon}</t>
        </is>
      </c>
      <c r="E167" s="2">
        <f>Datapoint!E79 * Expression!E166 * Expression!E165 * 3.667</f>
        <v/>
      </c>
      <c r="F167" t="n">
        <v>0</v>
      </c>
      <c r="G167" t="inlineStr">
        <is>
          <t>kg</t>
        </is>
      </c>
    </row>
    <row r="168">
      <c r="A168" t="inlineStr">
        <is>
          <t>cmp_1KXE4AHAG1S0PDC6_component_root</t>
        </is>
      </c>
      <c r="B168">
        <f>Component!A26</f>
        <v/>
      </c>
      <c r="C168" t="inlineStr">
        <is>
          <t>Biochar sequestration, 200 year durability</t>
        </is>
      </c>
      <c r="D168" t="inlineStr">
        <is>
          <t>{cmp_1KXE4AHAG1S0PDC6_output}</t>
        </is>
      </c>
      <c r="E168" s="2">
        <f>Expression!E167</f>
        <v/>
      </c>
      <c r="F168" t="n">
        <v>0</v>
      </c>
      <c r="G168" t="inlineStr">
        <is>
          <t>kg</t>
        </is>
      </c>
    </row>
    <row r="169">
      <c r="A169" t="inlineStr">
        <is>
          <t>cmp_1KXEB42X91S0VGGS_component_root</t>
        </is>
      </c>
      <c r="B169">
        <f>Component!A35</f>
        <v/>
      </c>
      <c r="C169" t="inlineStr">
        <is>
          <t>BCU - Transport Process</t>
        </is>
      </c>
      <c r="D169" t="inlineStr">
        <is>
          <t>{cmp_1KXEB42X91S0VGGS_constant_reduction}</t>
        </is>
      </c>
      <c r="E169" s="2">
        <f>Datapoint!E120</f>
        <v/>
      </c>
      <c r="F169" t="n">
        <v>0</v>
      </c>
      <c r="G169" t="inlineStr">
        <is>
          <t>kg</t>
        </is>
      </c>
    </row>
    <row r="170">
      <c r="A170" t="inlineStr">
        <is>
          <t>cmp_1KY02PC6H1S0XZ20_output</t>
        </is>
      </c>
      <c r="B170">
        <f>Component!A119</f>
        <v/>
      </c>
      <c r="C170" t="inlineStr">
        <is>
          <t>Distance-based emissions</t>
        </is>
      </c>
      <c r="D170" t="inlineStr">
        <is>
          <t>{cmp_1KY02PC6H1S0XZ20_distance} * {cmp_1KY02PC6H1S0XZ20_carbon_intensity}</t>
        </is>
      </c>
      <c r="E170" s="2">
        <f>Datapoint!E424 * Datapoint!E423</f>
        <v/>
      </c>
      <c r="F170" t="n">
        <v>0</v>
      </c>
      <c r="G170" t="inlineStr">
        <is>
          <t>kg</t>
        </is>
      </c>
    </row>
    <row r="171">
      <c r="A171" t="inlineStr">
        <is>
          <t>cmp_1KY02PC6H1S0XZ20_component_root</t>
        </is>
      </c>
      <c r="B171">
        <f>Component!A119</f>
        <v/>
      </c>
      <c r="C171" t="inlineStr">
        <is>
          <t>CO Flatbed Truck Transport Embodied Emissions</t>
        </is>
      </c>
      <c r="D171" t="inlineStr">
        <is>
          <t>{cmp_1KY02PC6H1S0XZ20_output}</t>
        </is>
      </c>
      <c r="E171" s="2">
        <f>Expression!E170</f>
        <v/>
      </c>
      <c r="F171" t="n">
        <v>0</v>
      </c>
      <c r="G171" t="inlineStr">
        <is>
          <t>kg</t>
        </is>
      </c>
    </row>
    <row r="172">
      <c r="A172" t="inlineStr">
        <is>
          <t>cmp_1KYA8BMMT1S01G18_component_root</t>
        </is>
      </c>
      <c r="B172">
        <f>Component!A165</f>
        <v/>
      </c>
      <c r="C172" t="inlineStr">
        <is>
          <t>BCU - Transport Process</t>
        </is>
      </c>
      <c r="D172" t="inlineStr">
        <is>
          <t>{cmp_1KYA8BMMT1S01G18_constant_reduction}</t>
        </is>
      </c>
      <c r="E172" s="2">
        <f>Datapoint!E593</f>
        <v/>
      </c>
      <c r="F172" t="n">
        <v>0</v>
      </c>
      <c r="G172" t="inlineStr">
        <is>
          <t>kg</t>
        </is>
      </c>
    </row>
    <row r="173">
      <c r="A173" t="inlineStr">
        <is>
          <t>cmp_1KXEJCGYM1S01QGZ_component_root</t>
        </is>
      </c>
      <c r="B173">
        <f>Component!A54</f>
        <v/>
      </c>
      <c r="C173" t="inlineStr">
        <is>
          <t>Biochar Production Emission (A)</t>
        </is>
      </c>
      <c r="D173" t="inlineStr">
        <is>
          <t>{cmp_1KXEJCGYM1S01QGZ_mass} * {cmp_1KXEJCGYM1S01QGZ_carbon_intensity}</t>
        </is>
      </c>
      <c r="E173" s="2">
        <f>Datapoint!E193 * Datapoint!E192</f>
        <v/>
      </c>
      <c r="F173" t="n">
        <v>0</v>
      </c>
      <c r="G173" t="inlineStr">
        <is>
          <t>kg</t>
        </is>
      </c>
    </row>
    <row r="174">
      <c r="A174" t="inlineStr">
        <is>
          <t>cmp_1KXEJD28G1S0H017_component_root</t>
        </is>
      </c>
      <c r="B174">
        <f>Component!A60</f>
        <v/>
      </c>
      <c r="C174" t="inlineStr">
        <is>
          <t>Biochar Spreading Emissions</t>
        </is>
      </c>
      <c r="D174" t="inlineStr">
        <is>
          <t>{cmp_1KXEJD28G1S0H017_mass} * {cmp_1KXEJD28G1S0H017_carbon_intensity}</t>
        </is>
      </c>
      <c r="E174" s="2">
        <f>Datapoint!E205 * Datapoint!E204</f>
        <v/>
      </c>
      <c r="F174" t="n">
        <v>0</v>
      </c>
      <c r="G174" t="inlineStr">
        <is>
          <t>kg</t>
        </is>
      </c>
    </row>
    <row r="175">
      <c r="A175" t="inlineStr">
        <is>
          <t>cmp_1KXGKF6PX1S0PNNV_component_root</t>
        </is>
      </c>
      <c r="B175">
        <f>Component!A99</f>
        <v/>
      </c>
      <c r="C175" t="inlineStr">
        <is>
          <t>BCU - Transport Process</t>
        </is>
      </c>
      <c r="D175" t="inlineStr">
        <is>
          <t>{cmp_1KXGKF6PX1S0PNNV_constant_reduction}</t>
        </is>
      </c>
      <c r="E175" s="2">
        <f>Datapoint!E355</f>
        <v/>
      </c>
      <c r="F175" t="n">
        <v>0</v>
      </c>
      <c r="G175" t="inlineStr">
        <is>
          <t>kg</t>
        </is>
      </c>
    </row>
    <row r="176">
      <c r="A176" t="inlineStr">
        <is>
          <t>cmp_1KXKGXJB61S0JG3F_output</t>
        </is>
      </c>
      <c r="B176">
        <f>Component!A109</f>
        <v/>
      </c>
      <c r="C176" t="inlineStr">
        <is>
          <t>Distance-based emissions</t>
        </is>
      </c>
      <c r="D176" t="inlineStr">
        <is>
          <t>{cmp_1KXKGXJB61S0JG3F_distance} * {cmp_1KXKGXJB61S0JG3F_carbon_intensity}</t>
        </is>
      </c>
      <c r="E176" s="2">
        <f>Datapoint!E388 * Datapoint!E387</f>
        <v/>
      </c>
      <c r="F176" t="n">
        <v>0</v>
      </c>
      <c r="G176" t="inlineStr">
        <is>
          <t>kg</t>
        </is>
      </c>
    </row>
    <row r="177">
      <c r="A177" t="inlineStr">
        <is>
          <t>cmp_1KXKGXJB61S0JG3F_component_root</t>
        </is>
      </c>
      <c r="B177">
        <f>Component!A109</f>
        <v/>
      </c>
      <c r="C177" t="inlineStr">
        <is>
          <t>CO Flatbed Truck Transport Embodied Emissions</t>
        </is>
      </c>
      <c r="D177" t="inlineStr">
        <is>
          <t>{cmp_1KXKGXJB61S0JG3F_output}</t>
        </is>
      </c>
      <c r="E177" s="2">
        <f>Expression!E176</f>
        <v/>
      </c>
      <c r="F177" t="n">
        <v>0</v>
      </c>
      <c r="G177" t="inlineStr">
        <is>
          <t>kg</t>
        </is>
      </c>
    </row>
    <row r="178">
      <c r="A178" t="inlineStr">
        <is>
          <t>cmp_1KY02PC6H1S0PNAP_component_root</t>
        </is>
      </c>
      <c r="B178">
        <f>Component!A117</f>
        <v/>
      </c>
      <c r="C178" t="inlineStr">
        <is>
          <t>Biochar Spreading Emissions</t>
        </is>
      </c>
      <c r="D178" t="inlineStr">
        <is>
          <t>{cmp_1KY02PC6H1S0PNAP_mass} * {cmp_1KY02PC6H1S0PNAP_carbon_intensity}</t>
        </is>
      </c>
      <c r="E178" s="2">
        <f>Datapoint!E414 * Datapoint!E413</f>
        <v/>
      </c>
      <c r="F178" t="n">
        <v>0</v>
      </c>
      <c r="G178" t="inlineStr">
        <is>
          <t>kg</t>
        </is>
      </c>
    </row>
    <row r="179">
      <c r="A179" t="inlineStr">
        <is>
          <t>cmp_1KXEJCGYM1S0K42B_component_root</t>
        </is>
      </c>
      <c r="B179">
        <f>Component!A56</f>
        <v/>
      </c>
      <c r="C179" t="inlineStr">
        <is>
          <t>Biochar Spreading Emissions</t>
        </is>
      </c>
      <c r="D179" t="inlineStr">
        <is>
          <t>{cmp_1KXEJCGYM1S0K42B_mass} * {cmp_1KXEJCGYM1S0K42B_carbon_intensity}</t>
        </is>
      </c>
      <c r="E179" s="2">
        <f>Datapoint!E186 * Datapoint!E185</f>
        <v/>
      </c>
      <c r="F179" t="n">
        <v>0</v>
      </c>
      <c r="G179" t="inlineStr">
        <is>
          <t>kg</t>
        </is>
      </c>
    </row>
    <row r="180">
      <c r="A180" t="inlineStr">
        <is>
          <t>cmp_1KYABS4TW1S0M5FP_component_root</t>
        </is>
      </c>
      <c r="B180">
        <f>Component!A178</f>
        <v/>
      </c>
      <c r="C180" t="inlineStr">
        <is>
          <t>Biochar Production Emission (A)</t>
        </is>
      </c>
      <c r="D180" t="inlineStr">
        <is>
          <t>{cmp_1KYABS4TW1S0M5FP_mass} * {cmp_1KYABS4TW1S0M5FP_carbon_intensity}</t>
        </is>
      </c>
      <c r="E180" s="2">
        <f>Datapoint!E621 * Datapoint!E620</f>
        <v/>
      </c>
      <c r="F180" t="n">
        <v>0</v>
      </c>
      <c r="G180" t="inlineStr">
        <is>
          <t>kg</t>
        </is>
      </c>
    </row>
    <row r="181">
      <c r="A181" t="inlineStr">
        <is>
          <t>cmp_1KXEBV2PW1S02CSH_component_root</t>
        </is>
      </c>
      <c r="B181">
        <f>Component!A36</f>
        <v/>
      </c>
      <c r="C181" t="inlineStr">
        <is>
          <t>Biochar Production Emission (A)</t>
        </is>
      </c>
      <c r="D181" t="inlineStr">
        <is>
          <t>{cmp_1KXEBV2PW1S02CSH_mass} * {cmp_1KXEBV2PW1S02CSH_carbon_intensity}</t>
        </is>
      </c>
      <c r="E181" s="2">
        <f>Datapoint!E130 * Datapoint!E129</f>
        <v/>
      </c>
      <c r="F181" t="n">
        <v>0</v>
      </c>
      <c r="G181" t="inlineStr">
        <is>
          <t>kg</t>
        </is>
      </c>
    </row>
    <row r="182">
      <c r="A182" t="inlineStr">
        <is>
          <t>cmp_1KXGK45BZ1S0ARZA_component_root</t>
        </is>
      </c>
      <c r="B182">
        <f>Component!A87</f>
        <v/>
      </c>
      <c r="C182" t="inlineStr">
        <is>
          <t>CO Flatbed Truck Transport Process Emissions</t>
        </is>
      </c>
      <c r="D182" t="inlineStr">
        <is>
          <t>{cmp_1KXGK45BZ1S0ARZA_mass} * {cmp_1KXGK45BZ1S0ARZA_distance} * {cmp_1KXGK45BZ1S0ARZA_carbon_intensity}</t>
        </is>
      </c>
      <c r="E182" s="2">
        <f>Datapoint!E314 * Datapoint!E313 * Datapoint!E312</f>
        <v/>
      </c>
      <c r="F182" t="n">
        <v>0</v>
      </c>
      <c r="G182" t="inlineStr">
        <is>
          <t>kg</t>
        </is>
      </c>
    </row>
    <row r="183">
      <c r="A183" t="inlineStr">
        <is>
          <t>cmp_1KXEHAAVZ1S07R49_soil_temp_delta</t>
        </is>
      </c>
      <c r="B183">
        <f>Component!A49</f>
        <v/>
      </c>
      <c r="C183" t="inlineStr">
        <is>
          <t>Difference in soil temp from 0 celsius</t>
        </is>
      </c>
      <c r="D183" t="inlineStr">
        <is>
          <t>{cmp_1KXEHAAVZ1S07R49_soil_temp} - {cmp_1KXEHAAVZ1S07R49_zero_degrees_celsius}</t>
        </is>
      </c>
      <c r="E183" s="2">
        <f>Datapoint!E169 - 273.15</f>
        <v/>
      </c>
      <c r="F183" t="n">
        <v>0</v>
      </c>
      <c r="G183" t="inlineStr">
        <is>
          <t>K</t>
        </is>
      </c>
    </row>
    <row r="184">
      <c r="A184" t="inlineStr">
        <is>
          <t>cmp_1KXEHAAVZ1S07R49_normalized_mean_soil_temp</t>
        </is>
      </c>
      <c r="B184">
        <f>Component!A49</f>
        <v/>
      </c>
      <c r="C184" t="inlineStr">
        <is>
          <t>Mean soil temperature in dimensionless units</t>
        </is>
      </c>
      <c r="D184" t="inlineStr">
        <is>
          <t>{cmp_1KXEHAAVZ1S07R49_soil_temp_delta} / {cmp_1KXEHAAVZ1S07R49_one_degree_celsius_delta}</t>
        </is>
      </c>
      <c r="E184" s="2">
        <f>Expression!E183 / 1.0</f>
        <v/>
      </c>
      <c r="F184" t="n">
        <v>0</v>
      </c>
      <c r="G184" t="inlineStr"/>
    </row>
    <row r="185">
      <c r="A185" t="inlineStr">
        <is>
          <t>cmp_1KXEHAAVZ1S07R49_log_mean_soil_temp</t>
        </is>
      </c>
      <c r="B185">
        <f>Component!A49</f>
        <v/>
      </c>
      <c r="C185" t="inlineStr">
        <is>
          <t>Natural log of mean soil temperature in dimensionless units</t>
        </is>
      </c>
      <c r="D185" t="inlineStr">
        <is>
          <t>ln({cmp_1KXEHAAVZ1S07R49_normalized_mean_soil_temp})</t>
        </is>
      </c>
      <c r="E185" s="2" t="n">
        <v>2.388762789235098</v>
      </c>
      <c r="F185" t="n">
        <v>0</v>
      </c>
      <c r="G185" t="inlineStr"/>
    </row>
    <row r="186">
      <c r="A186" t="inlineStr">
        <is>
          <t>cmp_1KXEHAAVZ1S07R49_h_c_ratio</t>
        </is>
      </c>
      <c r="B186">
        <f>Component!A49</f>
        <v/>
      </c>
      <c r="C186" t="inlineStr">
        <is>
          <t>H:C ratio</t>
        </is>
      </c>
      <c r="D186" t="inlineStr">
        <is>
          <t>mean({[cmp_1KXEHAAVZ1S07R49_h_c_molar_ratios]})</t>
        </is>
      </c>
      <c r="E186" s="2" t="n">
        <v>0.44</v>
      </c>
      <c r="F186" t="n">
        <v>0</v>
      </c>
      <c r="G186" t="inlineStr"/>
    </row>
    <row r="187">
      <c r="A187" t="inlineStr">
        <is>
          <t>cmp_1KXEHAAVZ1S07R49_non_durable_fraction_calc</t>
        </is>
      </c>
      <c r="B187">
        <f>Component!A49</f>
        <v/>
      </c>
      <c r="C187" t="inlineStr">
        <is>
          <t>Non-durable fraction</t>
        </is>
      </c>
      <c r="D187" t="inlineStr">
        <is>
          <t>{cmp_1KXEHAAVZ1S07R49_woolf_parameter_c} + ({cmp_1KXEHAAVZ1S07R49_woolf_parameter_a} + {cmp_1KXEHAAVZ1S07R49_woolf_parameter_b} * {cmp_1KXEHAAVZ1S07R49_log_mean_soil_temp}) * {cmp_1KXEHAAVZ1S07R49_h_c_ratio}</t>
        </is>
      </c>
      <c r="E187" s="2">
        <f>-0.048 + (-0.383 + 0.35 * Expression!E185) * Expression!E186</f>
        <v/>
      </c>
      <c r="F187" t="n">
        <v>0</v>
      </c>
      <c r="G187" t="inlineStr"/>
    </row>
    <row r="188">
      <c r="A188" t="inlineStr">
        <is>
          <t>cmp_1KXEHAAVZ1S07R49_durable_fraction_calc</t>
        </is>
      </c>
      <c r="B188">
        <f>Component!A49</f>
        <v/>
      </c>
      <c r="C188" t="inlineStr">
        <is>
          <t>Durable fraction</t>
        </is>
      </c>
      <c r="D188" t="inlineStr">
        <is>
          <t>complement_of({cmp_1KXEHAAVZ1S07R49_non_durable_fraction_calc})</t>
        </is>
      </c>
      <c r="E188" s="2" t="n">
        <v>0.8486505304577949</v>
      </c>
      <c r="F188" t="n">
        <v>0</v>
      </c>
      <c r="G188" t="inlineStr"/>
    </row>
    <row r="189">
      <c r="A189" t="inlineStr">
        <is>
          <t>cmp_1KXEHAAVZ1S07R49_carbon_contents</t>
        </is>
      </c>
      <c r="B189">
        <f>Component!A49</f>
        <v/>
      </c>
      <c r="C189" t="inlineStr">
        <is>
          <t>Carbon content of biochar</t>
        </is>
      </c>
      <c r="D189" t="inlineStr">
        <is>
          <t>{[cmp_1KXEHAAVZ1S07R49_total_carbon_contents]} - {[cmp_1KXEHAAVZ1S07R49_inorganic_carbon_contents]}</t>
        </is>
      </c>
      <c r="E189" s="2" t="inlineStr">
        <is>
          <t>84.933</t>
        </is>
      </c>
      <c r="F189" t="n">
        <v>0</v>
      </c>
      <c r="G189" t="inlineStr">
        <is>
          <t>%</t>
        </is>
      </c>
    </row>
    <row r="190">
      <c r="A190" t="inlineStr">
        <is>
          <t>cmp_1KXEHAAVZ1S07R49_durable_fraction</t>
        </is>
      </c>
      <c r="B190">
        <f>Component!A49</f>
        <v/>
      </c>
      <c r="C190" t="inlineStr">
        <is>
          <t>Durable fraction</t>
        </is>
      </c>
      <c r="D190" t="inlineStr">
        <is>
          <t>min({cmp_1KXEHAAVZ1S07R49_durable_fraction_calc}, {cmp_1KXEHAAVZ1S07R49_max_durable_fraction})</t>
        </is>
      </c>
      <c r="E190" s="2" t="n">
        <v>0.8486505304577949</v>
      </c>
      <c r="F190" t="n">
        <v>0</v>
      </c>
      <c r="G190" t="inlineStr"/>
    </row>
    <row r="191">
      <c r="A191" t="inlineStr">
        <is>
          <t>cmp_1KXEHAAVZ1S07R49_mean_carbon_content</t>
        </is>
      </c>
      <c r="B191">
        <f>Component!A49</f>
        <v/>
      </c>
      <c r="C191" t="inlineStr">
        <is>
          <t>Mean carbon content</t>
        </is>
      </c>
      <c r="D191" t="inlineStr">
        <is>
          <t>mean({[cmp_1KXEHAAVZ1S07R49_carbon_contents]})</t>
        </is>
      </c>
      <c r="E191" s="2" t="n">
        <v>0.8493300000000001</v>
      </c>
      <c r="F191" t="n">
        <v>0</v>
      </c>
      <c r="G191" t="inlineStr"/>
    </row>
    <row r="192">
      <c r="A192" t="inlineStr">
        <is>
          <t>cmp_1KXEHAAVZ1S07R49_output</t>
        </is>
      </c>
      <c r="B192">
        <f>Component!A49</f>
        <v/>
      </c>
      <c r="C192" t="inlineStr">
        <is>
          <t>Biochar sequestration, 200 year durability</t>
        </is>
      </c>
      <c r="D192" t="inlineStr">
        <is>
          <t>{cmp_1KXEHAAVZ1S07R49_product_mass} * {cmp_1KXEHAAVZ1S07R49_mean_carbon_content} * {cmp_1KXEHAAVZ1S07R49_durable_fraction} * {cmp_1KXEHAAVZ1S07R49_co2e_of_carbon}</t>
        </is>
      </c>
      <c r="E192" s="2">
        <f>Datapoint!E168 * Expression!E191 * Expression!E190 * 3.667</f>
        <v/>
      </c>
      <c r="F192" t="n">
        <v>0</v>
      </c>
      <c r="G192" t="inlineStr">
        <is>
          <t>kg</t>
        </is>
      </c>
    </row>
    <row r="193">
      <c r="A193" t="inlineStr">
        <is>
          <t>cmp_1KXEHAAVZ1S07R49_component_root</t>
        </is>
      </c>
      <c r="B193">
        <f>Component!A49</f>
        <v/>
      </c>
      <c r="C193" t="inlineStr">
        <is>
          <t>Biochar sequestration, 200 year durability</t>
        </is>
      </c>
      <c r="D193" t="inlineStr">
        <is>
          <t>{cmp_1KXEHAAVZ1S07R49_output}</t>
        </is>
      </c>
      <c r="E193" s="2">
        <f>Expression!E192</f>
        <v/>
      </c>
      <c r="F193" t="n">
        <v>0</v>
      </c>
      <c r="G193" t="inlineStr">
        <is>
          <t>kg</t>
        </is>
      </c>
    </row>
    <row r="194">
      <c r="A194" t="inlineStr">
        <is>
          <t>cmp_1KXGK4R131S0JQR8_component_root</t>
        </is>
      </c>
      <c r="B194">
        <f>Component!A92</f>
        <v/>
      </c>
      <c r="C194" t="inlineStr">
        <is>
          <t>Biochar Spreading Emissions</t>
        </is>
      </c>
      <c r="D194" t="inlineStr">
        <is>
          <t>{cmp_1KXGK4R131S0JQR8_mass} * {cmp_1KXGK4R131S0JQR8_carbon_intensity}</t>
        </is>
      </c>
      <c r="E194" s="2">
        <f>Datapoint!E323 * Datapoint!E322</f>
        <v/>
      </c>
      <c r="F194" t="n">
        <v>0</v>
      </c>
      <c r="G194" t="inlineStr">
        <is>
          <t>kg</t>
        </is>
      </c>
    </row>
    <row r="195">
      <c r="A195" t="inlineStr">
        <is>
          <t>cmp_1KWCC0FY31S088YQ_output</t>
        </is>
      </c>
      <c r="B195">
        <f>Component!A5</f>
        <v/>
      </c>
      <c r="C195" t="inlineStr">
        <is>
          <t>Distance-based emissions</t>
        </is>
      </c>
      <c r="D195" t="inlineStr">
        <is>
          <t>{cmp_1KWCC0FY31S088YQ_distance} * {cmp_1KWCC0FY31S088YQ_carbon_intensity}</t>
        </is>
      </c>
      <c r="E195" s="2">
        <f>Datapoint!E117 * Datapoint!E15</f>
        <v/>
      </c>
      <c r="F195" t="n">
        <v>0</v>
      </c>
      <c r="G195" t="inlineStr">
        <is>
          <t>kg</t>
        </is>
      </c>
    </row>
    <row r="196">
      <c r="A196" t="inlineStr">
        <is>
          <t>cmp_1KWCC0FY31S088YQ_component_root</t>
        </is>
      </c>
      <c r="B196">
        <f>Component!A5</f>
        <v/>
      </c>
      <c r="C196" t="inlineStr">
        <is>
          <t>CO Flatbed Truck Transport Embodied Emissions</t>
        </is>
      </c>
      <c r="D196" t="inlineStr">
        <is>
          <t>{cmp_1KWCC0FY31S088YQ_output}</t>
        </is>
      </c>
      <c r="E196" s="2">
        <f>Expression!E195</f>
        <v/>
      </c>
      <c r="F196" t="n">
        <v>0</v>
      </c>
      <c r="G196" t="inlineStr">
        <is>
          <t>kg</t>
        </is>
      </c>
    </row>
    <row r="197">
      <c r="A197" t="inlineStr">
        <is>
          <t>cmp_1KY5G7F3N1S0HXX5_component_root</t>
        </is>
      </c>
      <c r="B197">
        <f>Component!A143</f>
        <v/>
      </c>
      <c r="C197" t="inlineStr">
        <is>
          <t>CO Flatbed Truck Transport Process Emissions</t>
        </is>
      </c>
      <c r="D197" t="inlineStr">
        <is>
          <t>{cmp_1KY5G7F3N1S0HXX5_mass} * {cmp_1KY5G7F3N1S0HXX5_distance} * {cmp_1KY5G7F3N1S0HXX5_carbon_intensity}</t>
        </is>
      </c>
      <c r="E197" s="2">
        <f>Datapoint!E521 * Datapoint!E520 * Datapoint!E519</f>
        <v/>
      </c>
      <c r="F197" t="n">
        <v>0</v>
      </c>
      <c r="G197" t="inlineStr">
        <is>
          <t>kg</t>
        </is>
      </c>
    </row>
    <row r="198">
      <c r="A198" t="inlineStr">
        <is>
          <t>cmp_1KXGK45BZ1S05QJ9_component_root</t>
        </is>
      </c>
      <c r="B198">
        <f>Component!A86</f>
        <v/>
      </c>
      <c r="C198" t="inlineStr">
        <is>
          <t>Biochar Production Emission (A)</t>
        </is>
      </c>
      <c r="D198" t="inlineStr">
        <is>
          <t>{cmp_1KXGK45BZ1S05QJ9_mass} * {cmp_1KXGK45BZ1S05QJ9_carbon_intensity}</t>
        </is>
      </c>
      <c r="E198" s="2">
        <f>Datapoint!E311 * Datapoint!E310</f>
        <v/>
      </c>
      <c r="F198" t="n">
        <v>0</v>
      </c>
      <c r="G198" t="inlineStr">
        <is>
          <t>kg</t>
        </is>
      </c>
    </row>
    <row r="199">
      <c r="A199" t="inlineStr">
        <is>
          <t>cmp_1KY57M9F81S0D6MS_component_root</t>
        </is>
      </c>
      <c r="B199">
        <f>Component!A129</f>
        <v/>
      </c>
      <c r="C199" t="inlineStr">
        <is>
          <t>Biochar Spreading Emissions</t>
        </is>
      </c>
      <c r="D199" t="inlineStr">
        <is>
          <t>{cmp_1KY57M9F81S0D6MS_mass} * {cmp_1KY57M9F81S0D6MS_carbon_intensity}</t>
        </is>
      </c>
      <c r="E199" s="2">
        <f>Datapoint!E462 * Datapoint!E461</f>
        <v/>
      </c>
      <c r="F199" t="n">
        <v>0</v>
      </c>
      <c r="G199" t="inlineStr">
        <is>
          <t>kg</t>
        </is>
      </c>
    </row>
    <row r="200">
      <c r="A200" t="inlineStr">
        <is>
          <t>cmp_1KYA8AC2H1S0HW0Y_component_root</t>
        </is>
      </c>
      <c r="B200">
        <f>Component!A159</f>
        <v/>
      </c>
      <c r="C200" t="inlineStr">
        <is>
          <t>BCU - Transport Process</t>
        </is>
      </c>
      <c r="D200" t="inlineStr">
        <is>
          <t>{cmp_1KYA8AC2H1S0HW0Y_constant_reduction}</t>
        </is>
      </c>
      <c r="E200" s="2">
        <f>Datapoint!E581</f>
        <v/>
      </c>
      <c r="F200" t="n">
        <v>0</v>
      </c>
      <c r="G200" t="inlineStr">
        <is>
          <t>kg</t>
        </is>
      </c>
    </row>
    <row r="201">
      <c r="A201" t="inlineStr">
        <is>
          <t>cmp_1KYA93XE31S0FP1A_component_root</t>
        </is>
      </c>
      <c r="B201">
        <f>Component!A176</f>
        <v/>
      </c>
      <c r="C201" t="inlineStr">
        <is>
          <t>BCU - Transport Process</t>
        </is>
      </c>
      <c r="D201" t="inlineStr">
        <is>
          <t>{cmp_1KYA93XE31S0FP1A_constant_reduction}</t>
        </is>
      </c>
      <c r="E201" s="2">
        <f>Datapoint!E615</f>
        <v/>
      </c>
      <c r="F201" t="n">
        <v>0</v>
      </c>
      <c r="G201" t="inlineStr">
        <is>
          <t>kg</t>
        </is>
      </c>
    </row>
    <row r="202">
      <c r="A202" t="inlineStr">
        <is>
          <t>cmp_1KXGK5BMT1S0208G_output</t>
        </is>
      </c>
      <c r="B202">
        <f>Component!A95</f>
        <v/>
      </c>
      <c r="C202" t="inlineStr">
        <is>
          <t>Distance-based emissions</t>
        </is>
      </c>
      <c r="D202" t="inlineStr">
        <is>
          <t>{cmp_1KXGK5BMT1S0208G_distance} * {cmp_1KXGK5BMT1S0208G_carbon_intensity}</t>
        </is>
      </c>
      <c r="E202" s="2">
        <f>Datapoint!E349 * Datapoint!E348</f>
        <v/>
      </c>
      <c r="F202" t="n">
        <v>0</v>
      </c>
      <c r="G202" t="inlineStr">
        <is>
          <t>kg</t>
        </is>
      </c>
    </row>
    <row r="203">
      <c r="A203" t="inlineStr">
        <is>
          <t>cmp_1KXGK5BMT1S0208G_component_root</t>
        </is>
      </c>
      <c r="B203">
        <f>Component!A95</f>
        <v/>
      </c>
      <c r="C203" t="inlineStr">
        <is>
          <t>CO Flatbed Truck Transport Embodied Emissions</t>
        </is>
      </c>
      <c r="D203" t="inlineStr">
        <is>
          <t>{cmp_1KXGK5BMT1S0208G_output}</t>
        </is>
      </c>
      <c r="E203" s="2">
        <f>Expression!E202</f>
        <v/>
      </c>
      <c r="F203" t="n">
        <v>0</v>
      </c>
      <c r="G203" t="inlineStr">
        <is>
          <t>kg</t>
        </is>
      </c>
    </row>
    <row r="204">
      <c r="A204" t="inlineStr">
        <is>
          <t>cmp_1KXERCP431S0QQ1J_component_root</t>
        </is>
      </c>
      <c r="B204">
        <f>Component!A69</f>
        <v/>
      </c>
      <c r="C204" t="inlineStr">
        <is>
          <t>CO Flatbed Truck Transport Process Emissions</t>
        </is>
      </c>
      <c r="D204" t="inlineStr">
        <is>
          <t>{cmp_1KXERCP431S0QQ1J_mass} * {cmp_1KXERCP431S0QQ1J_distance} * {cmp_1KXERCP431S0QQ1J_carbon_intensity}</t>
        </is>
      </c>
      <c r="E204" s="2">
        <f>Datapoint!E236 * Datapoint!E235 * Datapoint!E234</f>
        <v/>
      </c>
      <c r="F204" t="n">
        <v>0</v>
      </c>
      <c r="G204" t="inlineStr">
        <is>
          <t>kg</t>
        </is>
      </c>
    </row>
    <row r="205">
      <c r="A205" t="inlineStr">
        <is>
          <t>cmp_1KY57NCC21S04DXZ_component_root</t>
        </is>
      </c>
      <c r="B205">
        <f>Component!A136</f>
        <v/>
      </c>
      <c r="C205" t="inlineStr">
        <is>
          <t>Biochar Spreading Emissions</t>
        </is>
      </c>
      <c r="D205" t="inlineStr">
        <is>
          <t>{cmp_1KY57NCC21S04DXZ_mass} * {cmp_1KY57NCC21S04DXZ_carbon_intensity}</t>
        </is>
      </c>
      <c r="E205" s="2">
        <f>Datapoint!E494 * Datapoint!E493</f>
        <v/>
      </c>
      <c r="F205" t="n">
        <v>0</v>
      </c>
      <c r="G205" t="inlineStr">
        <is>
          <t>kg</t>
        </is>
      </c>
    </row>
    <row r="206">
      <c r="A206" t="inlineStr">
        <is>
          <t>cmp_1KYA939Z81S0VVX8_component_root</t>
        </is>
      </c>
      <c r="B206">
        <f>Component!A174</f>
        <v/>
      </c>
      <c r="C206" t="inlineStr">
        <is>
          <t>BCU - Transport Process</t>
        </is>
      </c>
      <c r="D206" t="inlineStr">
        <is>
          <t>{cmp_1KYA939Z81S0VVX8_constant_reduction}</t>
        </is>
      </c>
      <c r="E206" s="2">
        <f>Datapoint!E611</f>
        <v/>
      </c>
      <c r="F206" t="n">
        <v>0</v>
      </c>
      <c r="G206" t="inlineStr">
        <is>
          <t>kg</t>
        </is>
      </c>
    </row>
    <row r="207">
      <c r="A207" t="inlineStr">
        <is>
          <t>cmp_1KYA6ANEE1S07R0C_output</t>
        </is>
      </c>
      <c r="B207">
        <f>Component!A147</f>
        <v/>
      </c>
      <c r="C207" t="inlineStr">
        <is>
          <t>Distance-based emissions</t>
        </is>
      </c>
      <c r="D207" t="inlineStr">
        <is>
          <t>{cmp_1KYA6ANEE1S07R0C_distance} * {cmp_1KYA6ANEE1S07R0C_carbon_intensity}</t>
        </is>
      </c>
      <c r="E207" s="2">
        <f>Datapoint!E541 * Datapoint!E540</f>
        <v/>
      </c>
      <c r="F207" t="n">
        <v>0</v>
      </c>
      <c r="G207" t="inlineStr">
        <is>
          <t>kg</t>
        </is>
      </c>
    </row>
    <row r="208">
      <c r="A208" t="inlineStr">
        <is>
          <t>cmp_1KYA6ANEE1S07R0C_component_root</t>
        </is>
      </c>
      <c r="B208">
        <f>Component!A147</f>
        <v/>
      </c>
      <c r="C208" t="inlineStr">
        <is>
          <t>CO Flatbed Truck Transport Embodied Emissions</t>
        </is>
      </c>
      <c r="D208" t="inlineStr">
        <is>
          <t>{cmp_1KYA6ANEE1S07R0C_output}</t>
        </is>
      </c>
      <c r="E208" s="2">
        <f>Expression!E207</f>
        <v/>
      </c>
      <c r="F208" t="n">
        <v>0</v>
      </c>
      <c r="G208" t="inlineStr">
        <is>
          <t>kg</t>
        </is>
      </c>
    </row>
    <row r="209">
      <c r="A209" t="inlineStr">
        <is>
          <t>cmp_1KXEA1TH21S0E0HK_component_root</t>
        </is>
      </c>
      <c r="B209">
        <f>Component!A30</f>
        <v/>
      </c>
      <c r="C209" t="inlineStr">
        <is>
          <t>Biochar Spreading Emissions</t>
        </is>
      </c>
      <c r="D209" t="inlineStr">
        <is>
          <t>{cmp_1KXEA1TH21S0E0HK_mass} * {cmp_1KXEA1TH21S0E0HK_carbon_intensity}</t>
        </is>
      </c>
      <c r="E209" s="2">
        <f>Datapoint!E96 * Datapoint!E95</f>
        <v/>
      </c>
      <c r="F209" t="n">
        <v>0</v>
      </c>
      <c r="G209" t="inlineStr">
        <is>
          <t>kg</t>
        </is>
      </c>
    </row>
    <row r="210">
      <c r="A210" t="inlineStr">
        <is>
          <t>cmp_1KXGK3HP81S07VKD_component_root</t>
        </is>
      </c>
      <c r="B210">
        <f>Component!A82</f>
        <v/>
      </c>
      <c r="C210" t="inlineStr">
        <is>
          <t>Biochar Production Emission (A)</t>
        </is>
      </c>
      <c r="D210" t="inlineStr">
        <is>
          <t>{cmp_1KXGK3HP81S07VKD_mass} * {cmp_1KXGK3HP81S07VKD_carbon_intensity}</t>
        </is>
      </c>
      <c r="E210" s="2">
        <f>Datapoint!E292 * Datapoint!E291</f>
        <v/>
      </c>
      <c r="F210" t="n">
        <v>0</v>
      </c>
      <c r="G210" t="inlineStr">
        <is>
          <t>kg</t>
        </is>
      </c>
    </row>
    <row r="211">
      <c r="A211" t="inlineStr">
        <is>
          <t>cmp_1KYN4431R1S054KD_component_root</t>
        </is>
      </c>
      <c r="B211">
        <f>Component!A187</f>
        <v/>
      </c>
      <c r="C211" t="inlineStr">
        <is>
          <t>Over Allocated Emissions</t>
        </is>
      </c>
      <c r="D211" t="inlineStr">
        <is>
          <t>{cmp_1KYN4431R1S054KD_constant_activity_emissions}</t>
        </is>
      </c>
      <c r="E211" s="2">
        <f>Datapoint!E648</f>
        <v/>
      </c>
      <c r="F211" t="n">
        <v>0</v>
      </c>
      <c r="G211" t="inlineStr">
        <is>
          <t>kg</t>
        </is>
      </c>
    </row>
    <row r="212">
      <c r="A212" t="inlineStr">
        <is>
          <t>cmp_1KXE4AHAG1S0VES7_output</t>
        </is>
      </c>
      <c r="B212">
        <f>Component!A27</f>
        <v/>
      </c>
      <c r="C212" t="inlineStr">
        <is>
          <t>Distance-based emissions</t>
        </is>
      </c>
      <c r="D212" t="inlineStr">
        <is>
          <t>{cmp_1KXE4AHAG1S0VES7_distance} * {cmp_1KXE4AHAG1S0VES7_carbon_intensity}</t>
        </is>
      </c>
      <c r="E212" s="2">
        <f>Datapoint!E88 * Datapoint!E87</f>
        <v/>
      </c>
      <c r="F212" t="n">
        <v>0</v>
      </c>
      <c r="G212" t="inlineStr">
        <is>
          <t>kg</t>
        </is>
      </c>
    </row>
    <row r="213">
      <c r="A213" t="inlineStr">
        <is>
          <t>cmp_1KXE4AHAG1S0VES7_component_root</t>
        </is>
      </c>
      <c r="B213">
        <f>Component!A27</f>
        <v/>
      </c>
      <c r="C213" t="inlineStr">
        <is>
          <t>CO Flatbed Truck Transport Embodied Emissions</t>
        </is>
      </c>
      <c r="D213" t="inlineStr">
        <is>
          <t>{cmp_1KXE4AHAG1S0VES7_output}</t>
        </is>
      </c>
      <c r="E213" s="2">
        <f>Expression!E212</f>
        <v/>
      </c>
      <c r="F213" t="n">
        <v>0</v>
      </c>
      <c r="G213" t="inlineStr">
        <is>
          <t>kg</t>
        </is>
      </c>
    </row>
    <row r="214">
      <c r="A214" t="inlineStr">
        <is>
          <t>cmp_1KYA74ZX41S0TJEM_component_root</t>
        </is>
      </c>
      <c r="B214">
        <f>Component!A152</f>
        <v/>
      </c>
      <c r="C214" t="inlineStr">
        <is>
          <t>Biochar Spreading Emissions</t>
        </is>
      </c>
      <c r="D214" t="inlineStr">
        <is>
          <t>{cmp_1KYA74ZX41S0TJEM_mass} * {cmp_1KYA74ZX41S0TJEM_carbon_intensity}</t>
        </is>
      </c>
      <c r="E214" s="2">
        <f>Datapoint!E548 * Datapoint!E547</f>
        <v/>
      </c>
      <c r="F214" t="n">
        <v>0</v>
      </c>
      <c r="G214" t="inlineStr">
        <is>
          <t>kg</t>
        </is>
      </c>
    </row>
    <row r="215">
      <c r="A215" t="inlineStr">
        <is>
          <t>cmp_1KYA8AJNG1S04FBN_component_root</t>
        </is>
      </c>
      <c r="B215">
        <f>Component!A160</f>
        <v/>
      </c>
      <c r="C215" t="inlineStr">
        <is>
          <t>BCU - Transport Process</t>
        </is>
      </c>
      <c r="D215" t="inlineStr">
        <is>
          <t>{cmp_1KYA8AJNG1S04FBN_constant_reduction}</t>
        </is>
      </c>
      <c r="E215" s="2">
        <f>Datapoint!E583</f>
        <v/>
      </c>
      <c r="F215" t="n">
        <v>0</v>
      </c>
      <c r="G215" t="inlineStr">
        <is>
          <t>kg</t>
        </is>
      </c>
    </row>
    <row r="216">
      <c r="A216" t="inlineStr">
        <is>
          <t>cmp_1KYABT6021S0VKG5_component_root</t>
        </is>
      </c>
      <c r="B216">
        <f>Component!A184</f>
        <v/>
      </c>
      <c r="C216" t="inlineStr">
        <is>
          <t>Biochar Production Emission (A)</t>
        </is>
      </c>
      <c r="D216" t="inlineStr">
        <is>
          <t>{cmp_1KYABT6021S0VKG5_mass} * {cmp_1KYABT6021S0VKG5_carbon_intensity}</t>
        </is>
      </c>
      <c r="E216" s="2">
        <f>Datapoint!E639 * Datapoint!E638</f>
        <v/>
      </c>
      <c r="F216" t="n">
        <v>0</v>
      </c>
      <c r="G216" t="inlineStr">
        <is>
          <t>kg</t>
        </is>
      </c>
    </row>
    <row r="217">
      <c r="A217" t="inlineStr">
        <is>
          <t>cmp_1KXGK2Y3V1S02NX7_output</t>
        </is>
      </c>
      <c r="B217">
        <f>Component!A76</f>
        <v/>
      </c>
      <c r="C217" t="inlineStr">
        <is>
          <t>Distance-based emissions</t>
        </is>
      </c>
      <c r="D217" t="inlineStr">
        <is>
          <t>{cmp_1KXGK2Y3V1S02NX7_distance} * {cmp_1KXGK2Y3V1S02NX7_carbon_intensity}</t>
        </is>
      </c>
      <c r="E217" s="2">
        <f>Datapoint!E278 * Datapoint!E277</f>
        <v/>
      </c>
      <c r="F217" t="n">
        <v>0</v>
      </c>
      <c r="G217" t="inlineStr">
        <is>
          <t>kg</t>
        </is>
      </c>
    </row>
    <row r="218">
      <c r="A218" t="inlineStr">
        <is>
          <t>cmp_1KXGK2Y3V1S02NX7_component_root</t>
        </is>
      </c>
      <c r="B218">
        <f>Component!A76</f>
        <v/>
      </c>
      <c r="C218" t="inlineStr">
        <is>
          <t>CO Flatbed Truck Transport Embodied Emissions</t>
        </is>
      </c>
      <c r="D218" t="inlineStr">
        <is>
          <t>{cmp_1KXGK2Y3V1S02NX7_output}</t>
        </is>
      </c>
      <c r="E218" s="2">
        <f>Expression!E217</f>
        <v/>
      </c>
      <c r="F218" t="n">
        <v>0</v>
      </c>
      <c r="G218" t="inlineStr">
        <is>
          <t>kg</t>
        </is>
      </c>
    </row>
    <row r="219">
      <c r="A219" t="inlineStr">
        <is>
          <t>cmp_1KXGK3HP81S0CX0E_component_root</t>
        </is>
      </c>
      <c r="B219">
        <f>Component!A83</f>
        <v/>
      </c>
      <c r="C219" t="inlineStr">
        <is>
          <t>CO Flatbed Truck Transport Process Emissions</t>
        </is>
      </c>
      <c r="D219" t="inlineStr">
        <is>
          <t>{cmp_1KXGK3HP81S0CX0E_mass} * {cmp_1KXGK3HP81S0CX0E_distance} * {cmp_1KXGK3HP81S0CX0E_carbon_intensity}</t>
        </is>
      </c>
      <c r="E219" s="2">
        <f>Datapoint!E295 * Datapoint!E294 * Datapoint!E293</f>
        <v/>
      </c>
      <c r="F219" t="n">
        <v>0</v>
      </c>
      <c r="G219" t="inlineStr">
        <is>
          <t>kg</t>
        </is>
      </c>
    </row>
    <row r="220">
      <c r="A220" t="inlineStr">
        <is>
          <t>cmp_1KWCY0G8W1S0JN3D_component_root</t>
        </is>
      </c>
      <c r="B220">
        <f>Component!A15</f>
        <v/>
      </c>
      <c r="C220" t="inlineStr">
        <is>
          <t>Biochar Spreading Emissions</t>
        </is>
      </c>
      <c r="D220" t="inlineStr">
        <is>
          <t>{cmp_1KWCY0G8W1S0JN3D_mass} * {cmp_1KWCY0G8W1S0JN3D_carbon_intensity}</t>
        </is>
      </c>
      <c r="E220" s="2">
        <f>Datapoint!E40 * Datapoint!E39</f>
        <v/>
      </c>
      <c r="F220" t="n">
        <v>0</v>
      </c>
      <c r="G220" t="inlineStr">
        <is>
          <t>kg</t>
        </is>
      </c>
    </row>
    <row r="221">
      <c r="A221" t="inlineStr">
        <is>
          <t>cmp_1KXKP77Q21S00WQB_component_root</t>
        </is>
      </c>
      <c r="B221">
        <f>Component!A111</f>
        <v/>
      </c>
      <c r="C221" t="inlineStr">
        <is>
          <t>Biochar Production Emission (A)</t>
        </is>
      </c>
      <c r="D221" t="inlineStr">
        <is>
          <t>{cmp_1KXKP77Q21S00WQB_mass} * {cmp_1KXKP77Q21S00WQB_carbon_intensity}</t>
        </is>
      </c>
      <c r="E221" s="2">
        <f>Datapoint!E400 * Datapoint!E399</f>
        <v/>
      </c>
      <c r="F221" t="n">
        <v>0</v>
      </c>
      <c r="G221" t="inlineStr">
        <is>
          <t>kg</t>
        </is>
      </c>
    </row>
    <row r="222">
      <c r="A222" t="inlineStr">
        <is>
          <t>cmp_1KXGRVNQ41S03NVT_component_root</t>
        </is>
      </c>
      <c r="B222">
        <f>Component!A101</f>
        <v/>
      </c>
      <c r="C222" t="inlineStr">
        <is>
          <t>BCU - Transport Process</t>
        </is>
      </c>
      <c r="D222" t="inlineStr">
        <is>
          <t>{cmp_1KXGRVNQ41S03NVT_constant_reduction}</t>
        </is>
      </c>
      <c r="E222" s="2">
        <f>Datapoint!E359</f>
        <v/>
      </c>
      <c r="F222" t="n">
        <v>0</v>
      </c>
      <c r="G222" t="inlineStr">
        <is>
          <t>kg</t>
        </is>
      </c>
    </row>
    <row r="223">
      <c r="A223" t="inlineStr">
        <is>
          <t>cmp_1KXERD7151S01Y4S_component_root</t>
        </is>
      </c>
      <c r="B223">
        <f>Component!A70</f>
        <v/>
      </c>
      <c r="C223" t="inlineStr">
        <is>
          <t>Biochar Spreading Emissions</t>
        </is>
      </c>
      <c r="D223" t="inlineStr">
        <is>
          <t>{cmp_1KXERD7151S01Y4S_mass} * {cmp_1KXERD7151S01Y4S_carbon_intensity}</t>
        </is>
      </c>
      <c r="E223" s="2">
        <f>Datapoint!E245 * Datapoint!E244</f>
        <v/>
      </c>
      <c r="F223" t="n">
        <v>0</v>
      </c>
      <c r="G223" t="inlineStr">
        <is>
          <t>kg</t>
        </is>
      </c>
    </row>
    <row r="224">
      <c r="A224" t="inlineStr">
        <is>
          <t>cmp_1KXGK3HP81S0S84S_component_root</t>
        </is>
      </c>
      <c r="B224">
        <f>Component!A84</f>
        <v/>
      </c>
      <c r="C224" t="inlineStr">
        <is>
          <t>Biochar Spreading Emissions</t>
        </is>
      </c>
      <c r="D224" t="inlineStr">
        <is>
          <t>{cmp_1KXGK3HP81S0S84S_mass} * {cmp_1KXGK3HP81S0S84S_carbon_intensity}</t>
        </is>
      </c>
      <c r="E224" s="2">
        <f>Datapoint!E285 * Datapoint!E284</f>
        <v/>
      </c>
      <c r="F224" t="n">
        <v>0</v>
      </c>
      <c r="G224" t="inlineStr">
        <is>
          <t>kg</t>
        </is>
      </c>
    </row>
    <row r="225">
      <c r="A225" t="inlineStr">
        <is>
          <t>cmp_1KXGK5BMT1S0EBCV_component_root</t>
        </is>
      </c>
      <c r="B225">
        <f>Component!A96</f>
        <v/>
      </c>
      <c r="C225" t="inlineStr">
        <is>
          <t>CO Flatbed Truck Transport Process Emissions</t>
        </is>
      </c>
      <c r="D225" t="inlineStr">
        <is>
          <t>{cmp_1KXGK5BMT1S0EBCV_mass} * {cmp_1KXGK5BMT1S0EBCV_distance} * {cmp_1KXGK5BMT1S0EBCV_carbon_intensity}</t>
        </is>
      </c>
      <c r="E225" s="2">
        <f>Datapoint!E347 * Datapoint!E346 * Datapoint!E345</f>
        <v/>
      </c>
      <c r="F225" t="n">
        <v>0</v>
      </c>
      <c r="G225" t="inlineStr">
        <is>
          <t>kg</t>
        </is>
      </c>
    </row>
    <row r="226">
      <c r="A226" t="inlineStr">
        <is>
          <t>cmp_1KXGK45BZ1S0Q43N_component_root</t>
        </is>
      </c>
      <c r="B226">
        <f>Component!A88</f>
        <v/>
      </c>
      <c r="C226" t="inlineStr">
        <is>
          <t>Biochar Spreading Emissions</t>
        </is>
      </c>
      <c r="D226" t="inlineStr">
        <is>
          <t>{cmp_1KXGK45BZ1S0Q43N_mass} * {cmp_1KXGK45BZ1S0Q43N_carbon_intensity}</t>
        </is>
      </c>
      <c r="E226" s="2">
        <f>Datapoint!E304 * Datapoint!E303</f>
        <v/>
      </c>
      <c r="F226" t="n">
        <v>0</v>
      </c>
      <c r="G226" t="inlineStr">
        <is>
          <t>kg</t>
        </is>
      </c>
    </row>
    <row r="227">
      <c r="A227" t="inlineStr">
        <is>
          <t>cmp_1KY57NCC21S0BQN9_output</t>
        </is>
      </c>
      <c r="B227">
        <f>Component!A138</f>
        <v/>
      </c>
      <c r="C227" t="inlineStr">
        <is>
          <t>Distance-based emissions</t>
        </is>
      </c>
      <c r="D227" t="inlineStr">
        <is>
          <t>{cmp_1KY57NCC21S0BQN9_distance} * {cmp_1KY57NCC21S0BQN9_carbon_intensity}</t>
        </is>
      </c>
      <c r="E227" s="2">
        <f>Datapoint!E506 * Datapoint!E505</f>
        <v/>
      </c>
      <c r="F227" t="n">
        <v>0</v>
      </c>
      <c r="G227" t="inlineStr">
        <is>
          <t>kg</t>
        </is>
      </c>
    </row>
    <row r="228">
      <c r="A228" t="inlineStr">
        <is>
          <t>cmp_1KY57NCC21S0BQN9_component_root</t>
        </is>
      </c>
      <c r="B228">
        <f>Component!A138</f>
        <v/>
      </c>
      <c r="C228" t="inlineStr">
        <is>
          <t>CO Flatbed Truck Transport Embodied Emissions</t>
        </is>
      </c>
      <c r="D228" t="inlineStr">
        <is>
          <t>{cmp_1KY57NCC21S0BQN9_output}</t>
        </is>
      </c>
      <c r="E228" s="2">
        <f>Expression!E227</f>
        <v/>
      </c>
      <c r="F228" t="n">
        <v>0</v>
      </c>
      <c r="G228" t="inlineStr">
        <is>
          <t>kg</t>
        </is>
      </c>
    </row>
    <row r="229">
      <c r="A229" t="inlineStr">
        <is>
          <t>cmp_1KXEHAAVZ1S05FT0_component_root</t>
        </is>
      </c>
      <c r="B229">
        <f>Component!A48</f>
        <v/>
      </c>
      <c r="C229" t="inlineStr">
        <is>
          <t>Biochar Spreading Emissions</t>
        </is>
      </c>
      <c r="D229" t="inlineStr">
        <is>
          <t>{cmp_1KXEHAAVZ1S05FT0_mass} * {cmp_1KXEHAAVZ1S05FT0_carbon_intensity}</t>
        </is>
      </c>
      <c r="E229" s="2">
        <f>Datapoint!E165 * Datapoint!E164</f>
        <v/>
      </c>
      <c r="F229" t="n">
        <v>0</v>
      </c>
      <c r="G229" t="inlineStr">
        <is>
          <t>kg</t>
        </is>
      </c>
    </row>
    <row r="230">
      <c r="A230" t="inlineStr">
        <is>
          <t>cmp_1KYN3YECW1S0WM2R_component_root</t>
        </is>
      </c>
      <c r="B230">
        <f>Component!A186</f>
        <v/>
      </c>
      <c r="C230" t="inlineStr">
        <is>
          <t>Over Allocated Emissions</t>
        </is>
      </c>
      <c r="D230" t="inlineStr">
        <is>
          <t>{cmp_1KYN3YECW1S0WM2R_constant_activity_emissions}</t>
        </is>
      </c>
      <c r="E230" s="2">
        <f>Datapoint!E646</f>
        <v/>
      </c>
      <c r="F230" t="n">
        <v>0</v>
      </c>
      <c r="G230" t="inlineStr">
        <is>
          <t>kg</t>
        </is>
      </c>
    </row>
    <row r="231">
      <c r="A231" t="inlineStr">
        <is>
          <t>cmp_1KYA93KPV1S0X2PK_component_root</t>
        </is>
      </c>
      <c r="B231">
        <f>Component!A175</f>
        <v/>
      </c>
      <c r="C231" t="inlineStr">
        <is>
          <t>BCU - Transport Process</t>
        </is>
      </c>
      <c r="D231" t="inlineStr">
        <is>
          <t>{cmp_1KYA93KPV1S0X2PK_constant_reduction}</t>
        </is>
      </c>
      <c r="E231" s="2">
        <f>Datapoint!E613</f>
        <v/>
      </c>
      <c r="F231" t="n">
        <v>0</v>
      </c>
      <c r="G231" t="inlineStr">
        <is>
          <t>kg</t>
        </is>
      </c>
    </row>
    <row r="232">
      <c r="A232" t="inlineStr">
        <is>
          <t>cmp_1KXGK5BMT1S0WYVF_soil_temp_delta</t>
        </is>
      </c>
      <c r="B232">
        <f>Component!A98</f>
        <v/>
      </c>
      <c r="C232" t="inlineStr">
        <is>
          <t>Difference in soil temp from 0 celsius</t>
        </is>
      </c>
      <c r="D232" t="inlineStr">
        <is>
          <t>{cmp_1KXGK5BMT1S0WYVF_soil_temp} - {cmp_1KXGK5BMT1S0WYVF_zero_degrees_celsius}</t>
        </is>
      </c>
      <c r="E232" s="2">
        <f>Datapoint!E343 - 273.15</f>
        <v/>
      </c>
      <c r="F232" t="n">
        <v>0</v>
      </c>
      <c r="G232" t="inlineStr">
        <is>
          <t>K</t>
        </is>
      </c>
    </row>
    <row r="233">
      <c r="A233" t="inlineStr">
        <is>
          <t>cmp_1KXGK5BMT1S0WYVF_normalized_mean_soil_temp</t>
        </is>
      </c>
      <c r="B233">
        <f>Component!A98</f>
        <v/>
      </c>
      <c r="C233" t="inlineStr">
        <is>
          <t>Mean soil temperature in dimensionless units</t>
        </is>
      </c>
      <c r="D233" t="inlineStr">
        <is>
          <t>{cmp_1KXGK5BMT1S0WYVF_soil_temp_delta} / {cmp_1KXGK5BMT1S0WYVF_one_degree_celsius_delta}</t>
        </is>
      </c>
      <c r="E233" s="2">
        <f>Expression!E232 / 1.0</f>
        <v/>
      </c>
      <c r="F233" t="n">
        <v>0</v>
      </c>
      <c r="G233" t="inlineStr"/>
    </row>
    <row r="234">
      <c r="A234" t="inlineStr">
        <is>
          <t>cmp_1KXGK5BMT1S0WYVF_log_mean_soil_temp</t>
        </is>
      </c>
      <c r="B234">
        <f>Component!A98</f>
        <v/>
      </c>
      <c r="C234" t="inlineStr">
        <is>
          <t>Natural log of mean soil temperature in dimensionless units</t>
        </is>
      </c>
      <c r="D234" t="inlineStr">
        <is>
          <t>ln({cmp_1KXGK5BMT1S0WYVF_normalized_mean_soil_temp})</t>
        </is>
      </c>
      <c r="E234" s="2" t="n">
        <v>2.388762789235098</v>
      </c>
      <c r="F234" t="n">
        <v>0</v>
      </c>
      <c r="G234" t="inlineStr"/>
    </row>
    <row r="235">
      <c r="A235" t="inlineStr">
        <is>
          <t>cmp_1KXGK5BMT1S0WYVF_h_c_ratio</t>
        </is>
      </c>
      <c r="B235">
        <f>Component!A98</f>
        <v/>
      </c>
      <c r="C235" t="inlineStr">
        <is>
          <t>H:C ratio</t>
        </is>
      </c>
      <c r="D235" t="inlineStr">
        <is>
          <t>mean({[cmp_1KXGK5BMT1S0WYVF_h_c_molar_ratios]})</t>
        </is>
      </c>
      <c r="E235" s="2" t="n">
        <v>0.32</v>
      </c>
      <c r="F235" t="n">
        <v>0</v>
      </c>
      <c r="G235" t="inlineStr"/>
    </row>
    <row r="236">
      <c r="A236" t="inlineStr">
        <is>
          <t>cmp_1KXGK5BMT1S0WYVF_non_durable_fraction_calc</t>
        </is>
      </c>
      <c r="B236">
        <f>Component!A98</f>
        <v/>
      </c>
      <c r="C236" t="inlineStr">
        <is>
          <t>Non-durable fraction</t>
        </is>
      </c>
      <c r="D236" t="inlineStr">
        <is>
          <t>{cmp_1KXGK5BMT1S0WYVF_woolf_parameter_c} + ({cmp_1KXGK5BMT1S0WYVF_woolf_parameter_a} + {cmp_1KXGK5BMT1S0WYVF_woolf_parameter_b} * {cmp_1KXGK5BMT1S0WYVF_log_mean_soil_temp}) * {cmp_1KXGK5BMT1S0WYVF_h_c_ratio}</t>
        </is>
      </c>
      <c r="E236" s="2">
        <f>-0.048 + (-0.383 + 0.35 * Expression!E234) * Expression!E235</f>
        <v/>
      </c>
      <c r="F236" t="n">
        <v>0</v>
      </c>
      <c r="G236" t="inlineStr"/>
    </row>
    <row r="237">
      <c r="A237" t="inlineStr">
        <is>
          <t>cmp_1KXGK5BMT1S0WYVF_durable_fraction_calc</t>
        </is>
      </c>
      <c r="B237">
        <f>Component!A98</f>
        <v/>
      </c>
      <c r="C237" t="inlineStr">
        <is>
          <t>Durable fraction</t>
        </is>
      </c>
      <c r="D237" t="inlineStr">
        <is>
          <t>complement_of({cmp_1KXGK5BMT1S0WYVF_non_durable_fraction_calc})</t>
        </is>
      </c>
      <c r="E237" s="2" t="n">
        <v>0.903018567605669</v>
      </c>
      <c r="F237" t="n">
        <v>0</v>
      </c>
      <c r="G237" t="inlineStr"/>
    </row>
    <row r="238">
      <c r="A238" t="inlineStr">
        <is>
          <t>cmp_1KXGK5BMT1S0WYVF_carbon_contents</t>
        </is>
      </c>
      <c r="B238">
        <f>Component!A98</f>
        <v/>
      </c>
      <c r="C238" t="inlineStr">
        <is>
          <t>Carbon content of biochar</t>
        </is>
      </c>
      <c r="D238" t="inlineStr">
        <is>
          <t>{[cmp_1KXGK5BMT1S0WYVF_total_carbon_contents]} - {[cmp_1KXGK5BMT1S0WYVF_inorganic_carbon_contents]}</t>
        </is>
      </c>
      <c r="E238" s="2" t="inlineStr">
        <is>
          <t>86.3667</t>
        </is>
      </c>
      <c r="F238" t="n">
        <v>0</v>
      </c>
      <c r="G238" t="inlineStr">
        <is>
          <t>%</t>
        </is>
      </c>
    </row>
    <row r="239">
      <c r="A239" t="inlineStr">
        <is>
          <t>cmp_1KXGK5BMT1S0WYVF_durable_fraction</t>
        </is>
      </c>
      <c r="B239">
        <f>Component!A98</f>
        <v/>
      </c>
      <c r="C239" t="inlineStr">
        <is>
          <t>Durable fraction</t>
        </is>
      </c>
      <c r="D239" t="inlineStr">
        <is>
          <t>min({cmp_1KXGK5BMT1S0WYVF_durable_fraction_calc}, {cmp_1KXGK5BMT1S0WYVF_max_durable_fraction})</t>
        </is>
      </c>
      <c r="E239" s="2" t="n">
        <v>0.903018567605669</v>
      </c>
      <c r="F239" t="n">
        <v>0</v>
      </c>
      <c r="G239" t="inlineStr"/>
    </row>
    <row r="240">
      <c r="A240" t="inlineStr">
        <is>
          <t>cmp_1KXGK5BMT1S0WYVF_mean_carbon_content</t>
        </is>
      </c>
      <c r="B240">
        <f>Component!A98</f>
        <v/>
      </c>
      <c r="C240" t="inlineStr">
        <is>
          <t>Mean carbon content</t>
        </is>
      </c>
      <c r="D240" t="inlineStr">
        <is>
          <t>mean({[cmp_1KXGK5BMT1S0WYVF_carbon_contents]})</t>
        </is>
      </c>
      <c r="E240" s="2" t="n">
        <v>0.863667</v>
      </c>
      <c r="F240" t="n">
        <v>0</v>
      </c>
      <c r="G240" t="inlineStr"/>
    </row>
    <row r="241">
      <c r="A241" t="inlineStr">
        <is>
          <t>cmp_1KXGK5BMT1S0WYVF_output</t>
        </is>
      </c>
      <c r="B241">
        <f>Component!A98</f>
        <v/>
      </c>
      <c r="C241" t="inlineStr">
        <is>
          <t>Biochar sequestration, 200 year durability</t>
        </is>
      </c>
      <c r="D241" t="inlineStr">
        <is>
          <t>{cmp_1KXGK5BMT1S0WYVF_product_mass} * {cmp_1KXGK5BMT1S0WYVF_mean_carbon_content} * {cmp_1KXGK5BMT1S0WYVF_durable_fraction} * {cmp_1KXGK5BMT1S0WYVF_co2e_of_carbon}</t>
        </is>
      </c>
      <c r="E241" s="2">
        <f>Datapoint!E342 * Expression!E240 * Expression!E239 * 3.667</f>
        <v/>
      </c>
      <c r="F241" t="n">
        <v>0</v>
      </c>
      <c r="G241" t="inlineStr">
        <is>
          <t>kg</t>
        </is>
      </c>
    </row>
    <row r="242">
      <c r="A242" t="inlineStr">
        <is>
          <t>cmp_1KXGK5BMT1S0WYVF_component_root</t>
        </is>
      </c>
      <c r="B242">
        <f>Component!A98</f>
        <v/>
      </c>
      <c r="C242" t="inlineStr">
        <is>
          <t>Biochar sequestration, 200 year durability</t>
        </is>
      </c>
      <c r="D242" t="inlineStr">
        <is>
          <t>{cmp_1KXGK5BMT1S0WYVF_output}</t>
        </is>
      </c>
      <c r="E242" s="2">
        <f>Expression!E241</f>
        <v/>
      </c>
      <c r="F242" t="n">
        <v>0</v>
      </c>
      <c r="G242" t="inlineStr">
        <is>
          <t>kg</t>
        </is>
      </c>
    </row>
    <row r="243">
      <c r="A243" t="inlineStr">
        <is>
          <t>cmp_1KYA6ANEE1S02PKB_soil_temp_delta</t>
        </is>
      </c>
      <c r="B243">
        <f>Component!A146</f>
        <v/>
      </c>
      <c r="C243" t="inlineStr">
        <is>
          <t>Difference in soil temp from 0 celsius</t>
        </is>
      </c>
      <c r="D243" t="inlineStr">
        <is>
          <t>{cmp_1KYA6ANEE1S02PKB_soil_temp} - {cmp_1KYA6ANEE1S02PKB_zero_degrees_celsius}</t>
        </is>
      </c>
      <c r="E243" s="2">
        <f>Datapoint!E533 - 273.15</f>
        <v/>
      </c>
      <c r="F243" t="n">
        <v>0</v>
      </c>
      <c r="G243" t="inlineStr">
        <is>
          <t>K</t>
        </is>
      </c>
    </row>
    <row r="244">
      <c r="A244" t="inlineStr">
        <is>
          <t>cmp_1KYA6ANEE1S02PKB_normalized_mean_soil_temp</t>
        </is>
      </c>
      <c r="B244">
        <f>Component!A146</f>
        <v/>
      </c>
      <c r="C244" t="inlineStr">
        <is>
          <t>Mean soil temperature in dimensionless units</t>
        </is>
      </c>
      <c r="D244" t="inlineStr">
        <is>
          <t>{cmp_1KYA6ANEE1S02PKB_soil_temp_delta} / {cmp_1KYA6ANEE1S02PKB_one_degree_celsius_delta}</t>
        </is>
      </c>
      <c r="E244" s="2">
        <f>Expression!E243 / 1.0</f>
        <v/>
      </c>
      <c r="F244" t="n">
        <v>0</v>
      </c>
      <c r="G244" t="inlineStr"/>
    </row>
    <row r="245">
      <c r="A245" t="inlineStr">
        <is>
          <t>cmp_1KYA6ANEE1S02PKB_log_mean_soil_temp</t>
        </is>
      </c>
      <c r="B245">
        <f>Component!A146</f>
        <v/>
      </c>
      <c r="C245" t="inlineStr">
        <is>
          <t>Natural log of mean soil temperature in dimensionless units</t>
        </is>
      </c>
      <c r="D245" t="inlineStr">
        <is>
          <t>ln({cmp_1KYA6ANEE1S02PKB_normalized_mean_soil_temp})</t>
        </is>
      </c>
      <c r="E245" s="2" t="n">
        <v>2.415913778301049</v>
      </c>
      <c r="F245" t="n">
        <v>0</v>
      </c>
      <c r="G245" t="inlineStr"/>
    </row>
    <row r="246">
      <c r="A246" t="inlineStr">
        <is>
          <t>cmp_1KYA6ANEE1S02PKB_h_c_ratio</t>
        </is>
      </c>
      <c r="B246">
        <f>Component!A146</f>
        <v/>
      </c>
      <c r="C246" t="inlineStr">
        <is>
          <t>H:C ratio</t>
        </is>
      </c>
      <c r="D246" t="inlineStr">
        <is>
          <t>mean({[cmp_1KYA6ANEE1S02PKB_h_c_molar_ratios]})</t>
        </is>
      </c>
      <c r="E246" s="2" t="n">
        <v>0.41667</v>
      </c>
      <c r="F246" t="n">
        <v>0</v>
      </c>
      <c r="G246" t="inlineStr"/>
    </row>
    <row r="247">
      <c r="A247" t="inlineStr">
        <is>
          <t>cmp_1KYA6ANEE1S02PKB_non_durable_fraction_calc</t>
        </is>
      </c>
      <c r="B247">
        <f>Component!A146</f>
        <v/>
      </c>
      <c r="C247" t="inlineStr">
        <is>
          <t>Non-durable fraction</t>
        </is>
      </c>
      <c r="D247" t="inlineStr">
        <is>
          <t>{cmp_1KYA6ANEE1S02PKB_woolf_parameter_c} + ({cmp_1KYA6ANEE1S02PKB_woolf_parameter_a} + {cmp_1KYA6ANEE1S02PKB_woolf_parameter_b} * {cmp_1KYA6ANEE1S02PKB_log_mean_soil_temp}) * {cmp_1KYA6ANEE1S02PKB_h_c_ratio}</t>
        </is>
      </c>
      <c r="E247" s="2">
        <f>-0.048 + (-0.383 + 0.35 * Expression!E245) * Expression!E246</f>
        <v/>
      </c>
      <c r="F247" t="n">
        <v>0</v>
      </c>
      <c r="G247" t="inlineStr"/>
    </row>
    <row r="248">
      <c r="A248" t="inlineStr">
        <is>
          <t>cmp_1KYA6ANEE1S02PKB_durable_fraction_calc</t>
        </is>
      </c>
      <c r="B248">
        <f>Component!A146</f>
        <v/>
      </c>
      <c r="C248" t="inlineStr">
        <is>
          <t>Durable fraction</t>
        </is>
      </c>
      <c r="D248" t="inlineStr">
        <is>
          <t>complement_of({cmp_1KYA6ANEE1S02PKB_non_durable_fraction_calc})</t>
        </is>
      </c>
      <c r="E248" s="2" t="n">
        <v>0.8552610320983558</v>
      </c>
      <c r="F248" t="n">
        <v>0</v>
      </c>
      <c r="G248" t="inlineStr"/>
    </row>
    <row r="249">
      <c r="A249" t="inlineStr">
        <is>
          <t>cmp_1KYA6ANEE1S02PKB_carbon_contents</t>
        </is>
      </c>
      <c r="B249">
        <f>Component!A146</f>
        <v/>
      </c>
      <c r="C249" t="inlineStr">
        <is>
          <t>Carbon content of biochar</t>
        </is>
      </c>
      <c r="D249" t="inlineStr">
        <is>
          <t>{[cmp_1KYA6ANEE1S02PKB_total_carbon_contents]} - {[cmp_1KYA6ANEE1S02PKB_inorganic_carbon_contents]}</t>
        </is>
      </c>
      <c r="E249" s="2" t="inlineStr">
        <is>
          <t>85.2667</t>
        </is>
      </c>
      <c r="F249" t="n">
        <v>0</v>
      </c>
      <c r="G249" t="inlineStr">
        <is>
          <t>%</t>
        </is>
      </c>
    </row>
    <row r="250">
      <c r="A250" t="inlineStr">
        <is>
          <t>cmp_1KYA6ANEE1S02PKB_durable_fraction</t>
        </is>
      </c>
      <c r="B250">
        <f>Component!A146</f>
        <v/>
      </c>
      <c r="C250" t="inlineStr">
        <is>
          <t>Durable fraction</t>
        </is>
      </c>
      <c r="D250" t="inlineStr">
        <is>
          <t>min({cmp_1KYA6ANEE1S02PKB_durable_fraction_calc}, {cmp_1KYA6ANEE1S02PKB_max_durable_fraction})</t>
        </is>
      </c>
      <c r="E250" s="2" t="n">
        <v>0.8552610320983558</v>
      </c>
      <c r="F250" t="n">
        <v>0</v>
      </c>
      <c r="G250" t="inlineStr"/>
    </row>
    <row r="251">
      <c r="A251" t="inlineStr">
        <is>
          <t>cmp_1KYA6ANEE1S02PKB_mean_carbon_content</t>
        </is>
      </c>
      <c r="B251">
        <f>Component!A146</f>
        <v/>
      </c>
      <c r="C251" t="inlineStr">
        <is>
          <t>Mean carbon content</t>
        </is>
      </c>
      <c r="D251" t="inlineStr">
        <is>
          <t>mean({[cmp_1KYA6ANEE1S02PKB_carbon_contents]})</t>
        </is>
      </c>
      <c r="E251" s="2" t="n">
        <v>0.8526670000000001</v>
      </c>
      <c r="F251" t="n">
        <v>0</v>
      </c>
      <c r="G251" t="inlineStr"/>
    </row>
    <row r="252">
      <c r="A252" t="inlineStr">
        <is>
          <t>cmp_1KYA6ANEE1S02PKB_output</t>
        </is>
      </c>
      <c r="B252">
        <f>Component!A146</f>
        <v/>
      </c>
      <c r="C252" t="inlineStr">
        <is>
          <t>Biochar sequestration, 200 year durability</t>
        </is>
      </c>
      <c r="D252" t="inlineStr">
        <is>
          <t>{cmp_1KYA6ANEE1S02PKB_product_mass} * {cmp_1KYA6ANEE1S02PKB_mean_carbon_content} * {cmp_1KYA6ANEE1S02PKB_durable_fraction} * {cmp_1KYA6ANEE1S02PKB_co2e_of_carbon}</t>
        </is>
      </c>
      <c r="E252" s="2">
        <f>Datapoint!E532 * Expression!E251 * Expression!E250 * 3.667</f>
        <v/>
      </c>
      <c r="F252" t="n">
        <v>0</v>
      </c>
      <c r="G252" t="inlineStr">
        <is>
          <t>kg</t>
        </is>
      </c>
    </row>
    <row r="253">
      <c r="A253" t="inlineStr">
        <is>
          <t>cmp_1KYA6ANEE1S02PKB_component_root</t>
        </is>
      </c>
      <c r="B253">
        <f>Component!A146</f>
        <v/>
      </c>
      <c r="C253" t="inlineStr">
        <is>
          <t>Biochar sequestration, 200 year durability</t>
        </is>
      </c>
      <c r="D253" t="inlineStr">
        <is>
          <t>{cmp_1KYA6ANEE1S02PKB_output}</t>
        </is>
      </c>
      <c r="E253" s="2">
        <f>Expression!E252</f>
        <v/>
      </c>
      <c r="F253" t="n">
        <v>0</v>
      </c>
      <c r="G253" t="inlineStr">
        <is>
          <t>kg</t>
        </is>
      </c>
    </row>
    <row r="254">
      <c r="A254" t="inlineStr">
        <is>
          <t>cmp_1KXEHAAVZ1S0S4NN_component_root</t>
        </is>
      </c>
      <c r="B254">
        <f>Component!A52</f>
        <v/>
      </c>
      <c r="C254" t="inlineStr">
        <is>
          <t>CO Flatbed Truck Transport Process Emissions</t>
        </is>
      </c>
      <c r="D254" t="inlineStr">
        <is>
          <t>{cmp_1KXEHAAVZ1S0S4NN_mass} * {cmp_1KXEHAAVZ1S0S4NN_distance} * {cmp_1KXEHAAVZ1S0S4NN_carbon_intensity}</t>
        </is>
      </c>
      <c r="E254" s="2">
        <f>Datapoint!E175 * Datapoint!E174 * Datapoint!E173</f>
        <v/>
      </c>
      <c r="F254" t="n">
        <v>0</v>
      </c>
      <c r="G254" t="inlineStr">
        <is>
          <t>kg</t>
        </is>
      </c>
    </row>
    <row r="255">
      <c r="A255" t="inlineStr">
        <is>
          <t>cmp_1KXECAV741S0HSJY_component_root</t>
        </is>
      </c>
      <c r="B255">
        <f>Component!A44</f>
        <v/>
      </c>
      <c r="C255" t="inlineStr">
        <is>
          <t>Biochar Spreading Emissions</t>
        </is>
      </c>
      <c r="D255" t="inlineStr">
        <is>
          <t>{cmp_1KXECAV741S0HSJY_mass} * {cmp_1KXECAV741S0HSJY_carbon_intensity}</t>
        </is>
      </c>
      <c r="E255" s="2">
        <f>Datapoint!E144 * Datapoint!E143</f>
        <v/>
      </c>
      <c r="F255" t="n">
        <v>0</v>
      </c>
      <c r="G255" t="inlineStr">
        <is>
          <t>kg</t>
        </is>
      </c>
    </row>
    <row r="256">
      <c r="A256" t="inlineStr">
        <is>
          <t>cmp_1KYA75EW41S0H4P6_component_root</t>
        </is>
      </c>
      <c r="B256">
        <f>Component!A155</f>
        <v/>
      </c>
      <c r="C256" t="inlineStr">
        <is>
          <t>Biochar Spreading Emissions</t>
        </is>
      </c>
      <c r="D256" t="inlineStr">
        <is>
          <t>{cmp_1KYA75EW41S0H4P6_mass} * {cmp_1KYA75EW41S0H4P6_carbon_intensity}</t>
        </is>
      </c>
      <c r="E256" s="2">
        <f>Datapoint!E564 * Datapoint!E563</f>
        <v/>
      </c>
      <c r="F256" t="n">
        <v>0</v>
      </c>
      <c r="G256" t="inlineStr">
        <is>
          <t>kg</t>
        </is>
      </c>
    </row>
    <row r="257">
      <c r="A257" t="inlineStr">
        <is>
          <t>cmp_1KWCC0FY31S0FJP1_component_root</t>
        </is>
      </c>
      <c r="B257">
        <f>Component!A6</f>
        <v/>
      </c>
      <c r="C257" t="inlineStr">
        <is>
          <t>Biochar Production Emission (A)</t>
        </is>
      </c>
      <c r="D257" t="inlineStr">
        <is>
          <t>{cmp_1KWCC0FY31S0FJP1_mass} * {cmp_1KWCC0FY31S0FJP1_carbon_intensity}</t>
        </is>
      </c>
      <c r="E257" s="2">
        <f>Datapoint!E11 * Datapoint!E10</f>
        <v/>
      </c>
      <c r="F257" t="n">
        <v>0</v>
      </c>
      <c r="G257" t="inlineStr">
        <is>
          <t>kg</t>
        </is>
      </c>
    </row>
    <row r="258">
      <c r="A258" t="inlineStr">
        <is>
          <t>cmp_1KYA74ZX41S0WTRX_soil_temp_delta</t>
        </is>
      </c>
      <c r="B258">
        <f>Component!A153</f>
        <v/>
      </c>
      <c r="C258" t="inlineStr">
        <is>
          <t>Difference in soil temp from 0 celsius</t>
        </is>
      </c>
      <c r="D258" t="inlineStr">
        <is>
          <t>{cmp_1KYA74ZX41S0WTRX_soil_temp} - {cmp_1KYA74ZX41S0WTRX_zero_degrees_celsius}</t>
        </is>
      </c>
      <c r="E258" s="2">
        <f>Datapoint!E552 - 273.15</f>
        <v/>
      </c>
      <c r="F258" t="n">
        <v>0</v>
      </c>
      <c r="G258" t="inlineStr">
        <is>
          <t>K</t>
        </is>
      </c>
    </row>
    <row r="259">
      <c r="A259" t="inlineStr">
        <is>
          <t>cmp_1KYA74ZX41S0WTRX_normalized_mean_soil_temp</t>
        </is>
      </c>
      <c r="B259">
        <f>Component!A153</f>
        <v/>
      </c>
      <c r="C259" t="inlineStr">
        <is>
          <t>Mean soil temperature in dimensionless units</t>
        </is>
      </c>
      <c r="D259" t="inlineStr">
        <is>
          <t>{cmp_1KYA74ZX41S0WTRX_soil_temp_delta} / {cmp_1KYA74ZX41S0WTRX_one_degree_celsius_delta}</t>
        </is>
      </c>
      <c r="E259" s="2">
        <f>Expression!E258 / 1.0</f>
        <v/>
      </c>
      <c r="F259" t="n">
        <v>0</v>
      </c>
      <c r="G259" t="inlineStr"/>
    </row>
    <row r="260">
      <c r="A260" t="inlineStr">
        <is>
          <t>cmp_1KYA74ZX41S0WTRX_log_mean_soil_temp</t>
        </is>
      </c>
      <c r="B260">
        <f>Component!A153</f>
        <v/>
      </c>
      <c r="C260" t="inlineStr">
        <is>
          <t>Natural log of mean soil temperature in dimensionless units</t>
        </is>
      </c>
      <c r="D260" t="inlineStr">
        <is>
          <t>ln({cmp_1KYA74ZX41S0WTRX_normalized_mean_soil_temp})</t>
        </is>
      </c>
      <c r="E260" s="2" t="n">
        <v>2.415913778301049</v>
      </c>
      <c r="F260" t="n">
        <v>0</v>
      </c>
      <c r="G260" t="inlineStr"/>
    </row>
    <row r="261">
      <c r="A261" t="inlineStr">
        <is>
          <t>cmp_1KYA74ZX41S0WTRX_h_c_ratio</t>
        </is>
      </c>
      <c r="B261">
        <f>Component!A153</f>
        <v/>
      </c>
      <c r="C261" t="inlineStr">
        <is>
          <t>H:C ratio</t>
        </is>
      </c>
      <c r="D261" t="inlineStr">
        <is>
          <t>mean({[cmp_1KYA74ZX41S0WTRX_h_c_molar_ratios]})</t>
        </is>
      </c>
      <c r="E261" s="2" t="n">
        <v>0.28667</v>
      </c>
      <c r="F261" t="n">
        <v>0</v>
      </c>
      <c r="G261" t="inlineStr"/>
    </row>
    <row r="262">
      <c r="A262" t="inlineStr">
        <is>
          <t>cmp_1KYA74ZX41S0WTRX_non_durable_fraction_calc</t>
        </is>
      </c>
      <c r="B262">
        <f>Component!A153</f>
        <v/>
      </c>
      <c r="C262" t="inlineStr">
        <is>
          <t>Non-durable fraction</t>
        </is>
      </c>
      <c r="D262" t="inlineStr">
        <is>
          <t>{cmp_1KYA74ZX41S0WTRX_woolf_parameter_c} + ({cmp_1KYA74ZX41S0WTRX_woolf_parameter_a} + {cmp_1KYA74ZX41S0WTRX_woolf_parameter_b} * {cmp_1KYA74ZX41S0WTRX_log_mean_soil_temp}) * {cmp_1KYA74ZX41S0WTRX_h_c_ratio}</t>
        </is>
      </c>
      <c r="E262" s="2">
        <f>-0.048 + (-0.383 + 0.35 * Expression!E260) * Expression!E261</f>
        <v/>
      </c>
      <c r="F262" t="n">
        <v>0</v>
      </c>
      <c r="G262" t="inlineStr"/>
    </row>
    <row r="263">
      <c r="A263" t="inlineStr">
        <is>
          <t>cmp_1KYA74ZX41S0WTRX_durable_fraction_calc</t>
        </is>
      </c>
      <c r="B263">
        <f>Component!A153</f>
        <v/>
      </c>
      <c r="C263" t="inlineStr">
        <is>
          <t>Durable fraction</t>
        </is>
      </c>
      <c r="D263" t="inlineStr">
        <is>
          <t>complement_of({cmp_1KYA74ZX41S0WTRX_non_durable_fraction_calc})</t>
        </is>
      </c>
      <c r="E263" s="2" t="n">
        <v>0.9153951090110535</v>
      </c>
      <c r="F263" t="n">
        <v>0</v>
      </c>
      <c r="G263" t="inlineStr"/>
    </row>
    <row r="264">
      <c r="A264" t="inlineStr">
        <is>
          <t>cmp_1KYA74ZX41S0WTRX_carbon_contents</t>
        </is>
      </c>
      <c r="B264">
        <f>Component!A153</f>
        <v/>
      </c>
      <c r="C264" t="inlineStr">
        <is>
          <t>Carbon content of biochar</t>
        </is>
      </c>
      <c r="D264" t="inlineStr">
        <is>
          <t>{[cmp_1KYA74ZX41S0WTRX_total_carbon_contents]} - {[cmp_1KYA74ZX41S0WTRX_inorganic_carbon_contents]}</t>
        </is>
      </c>
      <c r="E264" s="2" t="inlineStr">
        <is>
          <t>89.66699999999999</t>
        </is>
      </c>
      <c r="F264" t="n">
        <v>0</v>
      </c>
      <c r="G264" t="inlineStr">
        <is>
          <t>%</t>
        </is>
      </c>
    </row>
    <row r="265">
      <c r="A265" t="inlineStr">
        <is>
          <t>cmp_1KYA74ZX41S0WTRX_durable_fraction</t>
        </is>
      </c>
      <c r="B265">
        <f>Component!A153</f>
        <v/>
      </c>
      <c r="C265" t="inlineStr">
        <is>
          <t>Durable fraction</t>
        </is>
      </c>
      <c r="D265" t="inlineStr">
        <is>
          <t>min({cmp_1KYA74ZX41S0WTRX_durable_fraction_calc}, {cmp_1KYA74ZX41S0WTRX_max_durable_fraction})</t>
        </is>
      </c>
      <c r="E265" s="2" t="n">
        <v>0.9153951090110535</v>
      </c>
      <c r="F265" t="n">
        <v>0</v>
      </c>
      <c r="G265" t="inlineStr"/>
    </row>
    <row r="266">
      <c r="A266" t="inlineStr">
        <is>
          <t>cmp_1KYA74ZX41S0WTRX_mean_carbon_content</t>
        </is>
      </c>
      <c r="B266">
        <f>Component!A153</f>
        <v/>
      </c>
      <c r="C266" t="inlineStr">
        <is>
          <t>Mean carbon content</t>
        </is>
      </c>
      <c r="D266" t="inlineStr">
        <is>
          <t>mean({[cmp_1KYA74ZX41S0WTRX_carbon_contents]})</t>
        </is>
      </c>
      <c r="E266" s="2" t="n">
        <v>0.8966699999999999</v>
      </c>
      <c r="F266" t="n">
        <v>0</v>
      </c>
      <c r="G266" t="inlineStr"/>
    </row>
    <row r="267">
      <c r="A267" t="inlineStr">
        <is>
          <t>cmp_1KYA74ZX41S0WTRX_output</t>
        </is>
      </c>
      <c r="B267">
        <f>Component!A153</f>
        <v/>
      </c>
      <c r="C267" t="inlineStr">
        <is>
          <t>Biochar sequestration, 200 year durability</t>
        </is>
      </c>
      <c r="D267" t="inlineStr">
        <is>
          <t>{cmp_1KYA74ZX41S0WTRX_product_mass} * {cmp_1KYA74ZX41S0WTRX_mean_carbon_content} * {cmp_1KYA74ZX41S0WTRX_durable_fraction} * {cmp_1KYA74ZX41S0WTRX_co2e_of_carbon}</t>
        </is>
      </c>
      <c r="E267" s="2">
        <f>Datapoint!E551 * Expression!E266 * Expression!E265 * 3.667</f>
        <v/>
      </c>
      <c r="F267" t="n">
        <v>0</v>
      </c>
      <c r="G267" t="inlineStr">
        <is>
          <t>kg</t>
        </is>
      </c>
    </row>
    <row r="268">
      <c r="A268" t="inlineStr">
        <is>
          <t>cmp_1KYA74ZX41S0WTRX_component_root</t>
        </is>
      </c>
      <c r="B268">
        <f>Component!A153</f>
        <v/>
      </c>
      <c r="C268" t="inlineStr">
        <is>
          <t>Biochar sequestration, 200 year durability</t>
        </is>
      </c>
      <c r="D268" t="inlineStr">
        <is>
          <t>{cmp_1KYA74ZX41S0WTRX_output}</t>
        </is>
      </c>
      <c r="E268" s="2">
        <f>Expression!E267</f>
        <v/>
      </c>
      <c r="F268" t="n">
        <v>0</v>
      </c>
      <c r="G268" t="inlineStr">
        <is>
          <t>kg</t>
        </is>
      </c>
    </row>
    <row r="269">
      <c r="A269" t="inlineStr">
        <is>
          <t>cmp_1KWCY0G8W1S0SYTQ_output</t>
        </is>
      </c>
      <c r="B269">
        <f>Component!A17</f>
        <v/>
      </c>
      <c r="C269" t="inlineStr">
        <is>
          <t>Distance-based emissions</t>
        </is>
      </c>
      <c r="D269" t="inlineStr">
        <is>
          <t>{cmp_1KWCY0G8W1S0SYTQ_distance} * {cmp_1KWCY0G8W1S0SYTQ_carbon_intensity}</t>
        </is>
      </c>
      <c r="E269" s="2">
        <f>Datapoint!E118 * Datapoint!E51</f>
        <v/>
      </c>
      <c r="F269" t="n">
        <v>0</v>
      </c>
      <c r="G269" t="inlineStr">
        <is>
          <t>kg</t>
        </is>
      </c>
    </row>
    <row r="270">
      <c r="A270" t="inlineStr">
        <is>
          <t>cmp_1KWCY0G8W1S0SYTQ_component_root</t>
        </is>
      </c>
      <c r="B270">
        <f>Component!A17</f>
        <v/>
      </c>
      <c r="C270" t="inlineStr">
        <is>
          <t>CO Flatbed Truck Transport Embodied Emissions</t>
        </is>
      </c>
      <c r="D270" t="inlineStr">
        <is>
          <t>{cmp_1KWCY0G8W1S0SYTQ_output}</t>
        </is>
      </c>
      <c r="E270" s="2">
        <f>Expression!E269</f>
        <v/>
      </c>
      <c r="F270" t="n">
        <v>0</v>
      </c>
      <c r="G270" t="inlineStr">
        <is>
          <t>kg</t>
        </is>
      </c>
    </row>
    <row r="271">
      <c r="A271" t="inlineStr">
        <is>
          <t>cmp_1KXKP77Q21S0SK01_output</t>
        </is>
      </c>
      <c r="B271">
        <f>Component!A115</f>
        <v/>
      </c>
      <c r="C271" t="inlineStr">
        <is>
          <t>Distance-based emissions</t>
        </is>
      </c>
      <c r="D271" t="inlineStr">
        <is>
          <t>{cmp_1KXKP77Q21S0SK01_distance} * {cmp_1KXKP77Q21S0SK01_carbon_intensity}</t>
        </is>
      </c>
      <c r="E271" s="2">
        <f>Datapoint!E407 * Datapoint!E406</f>
        <v/>
      </c>
      <c r="F271" t="n">
        <v>0</v>
      </c>
      <c r="G271" t="inlineStr">
        <is>
          <t>kg</t>
        </is>
      </c>
    </row>
    <row r="272">
      <c r="A272" t="inlineStr">
        <is>
          <t>cmp_1KXKP77Q21S0SK01_component_root</t>
        </is>
      </c>
      <c r="B272">
        <f>Component!A115</f>
        <v/>
      </c>
      <c r="C272" t="inlineStr">
        <is>
          <t>CO Flatbed Truck Transport Embodied Emissions</t>
        </is>
      </c>
      <c r="D272" t="inlineStr">
        <is>
          <t>{cmp_1KXKP77Q21S0SK01_output}</t>
        </is>
      </c>
      <c r="E272" s="2">
        <f>Expression!E271</f>
        <v/>
      </c>
      <c r="F272" t="n">
        <v>0</v>
      </c>
      <c r="G272" t="inlineStr">
        <is>
          <t>kg</t>
        </is>
      </c>
    </row>
    <row r="273">
      <c r="A273" t="inlineStr">
        <is>
          <t>cmp_1KXECAV741S0M1X7_soil_temp_delta</t>
        </is>
      </c>
      <c r="B273">
        <f>Component!A45</f>
        <v/>
      </c>
      <c r="C273" t="inlineStr">
        <is>
          <t>Difference in soil temp from 0 celsius</t>
        </is>
      </c>
      <c r="D273" t="inlineStr">
        <is>
          <t>{cmp_1KXECAV741S0M1X7_soil_temp} - {cmp_1KXECAV741S0M1X7_zero_degrees_celsius}</t>
        </is>
      </c>
      <c r="E273" s="2">
        <f>Datapoint!E148 - 273.15</f>
        <v/>
      </c>
      <c r="F273" t="n">
        <v>0</v>
      </c>
      <c r="G273" t="inlineStr">
        <is>
          <t>K</t>
        </is>
      </c>
    </row>
    <row r="274">
      <c r="A274" t="inlineStr">
        <is>
          <t>cmp_1KXECAV741S0M1X7_normalized_mean_soil_temp</t>
        </is>
      </c>
      <c r="B274">
        <f>Component!A45</f>
        <v/>
      </c>
      <c r="C274" t="inlineStr">
        <is>
          <t>Mean soil temperature in dimensionless units</t>
        </is>
      </c>
      <c r="D274" t="inlineStr">
        <is>
          <t>{cmp_1KXECAV741S0M1X7_soil_temp_delta} / {cmp_1KXECAV741S0M1X7_one_degree_celsius_delta}</t>
        </is>
      </c>
      <c r="E274" s="2">
        <f>Expression!E273 / 1.0</f>
        <v/>
      </c>
      <c r="F274" t="n">
        <v>0</v>
      </c>
      <c r="G274" t="inlineStr"/>
    </row>
    <row r="275">
      <c r="A275" t="inlineStr">
        <is>
          <t>cmp_1KXECAV741S0M1X7_log_mean_soil_temp</t>
        </is>
      </c>
      <c r="B275">
        <f>Component!A45</f>
        <v/>
      </c>
      <c r="C275" t="inlineStr">
        <is>
          <t>Natural log of mean soil temperature in dimensionless units</t>
        </is>
      </c>
      <c r="D275" t="inlineStr">
        <is>
          <t>ln({cmp_1KXECAV741S0M1X7_normalized_mean_soil_temp})</t>
        </is>
      </c>
      <c r="E275" s="2" t="n">
        <v>2.388762789235098</v>
      </c>
      <c r="F275" t="n">
        <v>0</v>
      </c>
      <c r="G275" t="inlineStr"/>
    </row>
    <row r="276">
      <c r="A276" t="inlineStr">
        <is>
          <t>cmp_1KXECAV741S0M1X7_h_c_ratio</t>
        </is>
      </c>
      <c r="B276">
        <f>Component!A45</f>
        <v/>
      </c>
      <c r="C276" t="inlineStr">
        <is>
          <t>H:C ratio</t>
        </is>
      </c>
      <c r="D276" t="inlineStr">
        <is>
          <t>mean({[cmp_1KXECAV741S0M1X7_h_c_molar_ratios]})</t>
        </is>
      </c>
      <c r="E276" s="2" t="n">
        <v>0.46</v>
      </c>
      <c r="F276" t="n">
        <v>0</v>
      </c>
      <c r="G276" t="inlineStr"/>
    </row>
    <row r="277">
      <c r="A277" t="inlineStr">
        <is>
          <t>cmp_1KXECAV741S0M1X7_non_durable_fraction_calc</t>
        </is>
      </c>
      <c r="B277">
        <f>Component!A45</f>
        <v/>
      </c>
      <c r="C277" t="inlineStr">
        <is>
          <t>Non-durable fraction</t>
        </is>
      </c>
      <c r="D277" t="inlineStr">
        <is>
          <t>{cmp_1KXECAV741S0M1X7_woolf_parameter_c} + ({cmp_1KXECAV741S0M1X7_woolf_parameter_a} + {cmp_1KXECAV741S0M1X7_woolf_parameter_b} * {cmp_1KXECAV741S0M1X7_log_mean_soil_temp}) * {cmp_1KXECAV741S0M1X7_h_c_ratio}</t>
        </is>
      </c>
      <c r="E277" s="2">
        <f>-0.048 + (-0.383 + 0.35 * Expression!E275) * Expression!E276</f>
        <v/>
      </c>
      <c r="F277" t="n">
        <v>0</v>
      </c>
      <c r="G277" t="inlineStr"/>
    </row>
    <row r="278">
      <c r="A278" t="inlineStr">
        <is>
          <t>cmp_1KXECAV741S0M1X7_durable_fraction_calc</t>
        </is>
      </c>
      <c r="B278">
        <f>Component!A45</f>
        <v/>
      </c>
      <c r="C278" t="inlineStr">
        <is>
          <t>Durable fraction</t>
        </is>
      </c>
      <c r="D278" t="inlineStr">
        <is>
          <t>complement_of({cmp_1KXECAV741S0M1X7_non_durable_fraction_calc})</t>
        </is>
      </c>
      <c r="E278" s="2" t="n">
        <v>0.8395891909331492</v>
      </c>
      <c r="F278" t="n">
        <v>0</v>
      </c>
      <c r="G278" t="inlineStr"/>
    </row>
    <row r="279">
      <c r="A279" t="inlineStr">
        <is>
          <t>cmp_1KXECAV741S0M1X7_carbon_contents</t>
        </is>
      </c>
      <c r="B279">
        <f>Component!A45</f>
        <v/>
      </c>
      <c r="C279" t="inlineStr">
        <is>
          <t>Carbon content of biochar</t>
        </is>
      </c>
      <c r="D279" t="inlineStr">
        <is>
          <t>{[cmp_1KXECAV741S0M1X7_total_carbon_contents]} - {[cmp_1KXECAV741S0M1X7_inorganic_carbon_contents]}</t>
        </is>
      </c>
      <c r="E279" s="2" t="inlineStr">
        <is>
          <t>83.93299999999999</t>
        </is>
      </c>
      <c r="F279" t="n">
        <v>0</v>
      </c>
      <c r="G279" t="inlineStr">
        <is>
          <t>%</t>
        </is>
      </c>
    </row>
    <row r="280">
      <c r="A280" t="inlineStr">
        <is>
          <t>cmp_1KXECAV741S0M1X7_durable_fraction</t>
        </is>
      </c>
      <c r="B280">
        <f>Component!A45</f>
        <v/>
      </c>
      <c r="C280" t="inlineStr">
        <is>
          <t>Durable fraction</t>
        </is>
      </c>
      <c r="D280" t="inlineStr">
        <is>
          <t>min({cmp_1KXECAV741S0M1X7_durable_fraction_calc}, {cmp_1KXECAV741S0M1X7_max_durable_fraction})</t>
        </is>
      </c>
      <c r="E280" s="2" t="n">
        <v>0.8395891909331492</v>
      </c>
      <c r="F280" t="n">
        <v>0</v>
      </c>
      <c r="G280" t="inlineStr"/>
    </row>
    <row r="281">
      <c r="A281" t="inlineStr">
        <is>
          <t>cmp_1KXECAV741S0M1X7_mean_carbon_content</t>
        </is>
      </c>
      <c r="B281">
        <f>Component!A45</f>
        <v/>
      </c>
      <c r="C281" t="inlineStr">
        <is>
          <t>Mean carbon content</t>
        </is>
      </c>
      <c r="D281" t="inlineStr">
        <is>
          <t>mean({[cmp_1KXECAV741S0M1X7_carbon_contents]})</t>
        </is>
      </c>
      <c r="E281" s="2" t="n">
        <v>0.8393299999999999</v>
      </c>
      <c r="F281" t="n">
        <v>0</v>
      </c>
      <c r="G281" t="inlineStr"/>
    </row>
    <row r="282">
      <c r="A282" t="inlineStr">
        <is>
          <t>cmp_1KXECAV741S0M1X7_output</t>
        </is>
      </c>
      <c r="B282">
        <f>Component!A45</f>
        <v/>
      </c>
      <c r="C282" t="inlineStr">
        <is>
          <t>Biochar sequestration, 200 year durability</t>
        </is>
      </c>
      <c r="D282" t="inlineStr">
        <is>
          <t>{cmp_1KXECAV741S0M1X7_product_mass} * {cmp_1KXECAV741S0M1X7_mean_carbon_content} * {cmp_1KXECAV741S0M1X7_durable_fraction} * {cmp_1KXECAV741S0M1X7_co2e_of_carbon}</t>
        </is>
      </c>
      <c r="E282" s="2">
        <f>Datapoint!E147 * Expression!E281 * Expression!E280 * 3.667</f>
        <v/>
      </c>
      <c r="F282" t="n">
        <v>0</v>
      </c>
      <c r="G282" t="inlineStr">
        <is>
          <t>kg</t>
        </is>
      </c>
    </row>
    <row r="283">
      <c r="A283" t="inlineStr">
        <is>
          <t>cmp_1KXECAV741S0M1X7_component_root</t>
        </is>
      </c>
      <c r="B283">
        <f>Component!A45</f>
        <v/>
      </c>
      <c r="C283" t="inlineStr">
        <is>
          <t>Biochar sequestration, 200 year durability</t>
        </is>
      </c>
      <c r="D283" t="inlineStr">
        <is>
          <t>{cmp_1KXECAV741S0M1X7_output}</t>
        </is>
      </c>
      <c r="E283" s="2">
        <f>Expression!E282</f>
        <v/>
      </c>
      <c r="F283" t="n">
        <v>0</v>
      </c>
      <c r="G283" t="inlineStr">
        <is>
          <t>kg</t>
        </is>
      </c>
    </row>
    <row r="284">
      <c r="A284" t="inlineStr">
        <is>
          <t>cmp_1KXGK4R131S06CKX_component_root</t>
        </is>
      </c>
      <c r="B284">
        <f>Component!A91</f>
        <v/>
      </c>
      <c r="C284" t="inlineStr">
        <is>
          <t>CO Flatbed Truck Transport Process Emissions</t>
        </is>
      </c>
      <c r="D284" t="inlineStr">
        <is>
          <t>{cmp_1KXGK4R131S06CKX_mass} * {cmp_1KXGK4R131S06CKX_distance} * {cmp_1KXGK4R131S06CKX_carbon_intensity}</t>
        </is>
      </c>
      <c r="E284" s="2">
        <f>Datapoint!E331 * Datapoint!E330 * Datapoint!E329</f>
        <v/>
      </c>
      <c r="F284" t="n">
        <v>0</v>
      </c>
      <c r="G284" t="inlineStr">
        <is>
          <t>kg</t>
        </is>
      </c>
    </row>
    <row r="285">
      <c r="A285" t="inlineStr">
        <is>
          <t>cmp_1KY38KE1C1S0MNVE_output</t>
        </is>
      </c>
      <c r="B285">
        <f>Component!A127</f>
        <v/>
      </c>
      <c r="C285" t="inlineStr">
        <is>
          <t>Distance-based emissions</t>
        </is>
      </c>
      <c r="D285" t="inlineStr">
        <is>
          <t>{cmp_1KY38KE1C1S0MNVE_distance} * {cmp_1KY38KE1C1S0MNVE_carbon_intensity}</t>
        </is>
      </c>
      <c r="E285" s="2">
        <f>Datapoint!E456 * Datapoint!E455</f>
        <v/>
      </c>
      <c r="F285" t="n">
        <v>0</v>
      </c>
      <c r="G285" t="inlineStr">
        <is>
          <t>kg</t>
        </is>
      </c>
    </row>
    <row r="286">
      <c r="A286" t="inlineStr">
        <is>
          <t>cmp_1KY38KE1C1S0MNVE_component_root</t>
        </is>
      </c>
      <c r="B286">
        <f>Component!A127</f>
        <v/>
      </c>
      <c r="C286" t="inlineStr">
        <is>
          <t>CO Flatbed Truck Transport Embodied Emissions</t>
        </is>
      </c>
      <c r="D286" t="inlineStr">
        <is>
          <t>{cmp_1KY38KE1C1S0MNVE_output}</t>
        </is>
      </c>
      <c r="E286" s="2">
        <f>Expression!E285</f>
        <v/>
      </c>
      <c r="F286" t="n">
        <v>0</v>
      </c>
      <c r="G286" t="inlineStr">
        <is>
          <t>kg</t>
        </is>
      </c>
    </row>
    <row r="287">
      <c r="A287" t="inlineStr">
        <is>
          <t>cmp_1KYA8CE8V1S0ZJ7S_component_root</t>
        </is>
      </c>
      <c r="B287">
        <f>Component!A169</f>
        <v/>
      </c>
      <c r="C287" t="inlineStr">
        <is>
          <t>BCU - Transport Process</t>
        </is>
      </c>
      <c r="D287" t="inlineStr">
        <is>
          <t>{cmp_1KYA8CE8V1S0ZJ7S_constant_reduction}</t>
        </is>
      </c>
      <c r="E287" s="2">
        <f>Datapoint!E601</f>
        <v/>
      </c>
      <c r="F287" t="n">
        <v>0</v>
      </c>
      <c r="G287" t="inlineStr">
        <is>
          <t>kg</t>
        </is>
      </c>
    </row>
    <row r="288">
      <c r="A288" t="inlineStr">
        <is>
          <t>cmp_1KXKGXJB61S0YV7T_component_root</t>
        </is>
      </c>
      <c r="B288">
        <f>Component!A110</f>
        <v/>
      </c>
      <c r="C288" t="inlineStr">
        <is>
          <t>CO Flatbed Truck Transport Process Emissions</t>
        </is>
      </c>
      <c r="D288" t="inlineStr">
        <is>
          <t>{cmp_1KXKGXJB61S0YV7T_mass} * {cmp_1KXKGXJB61S0YV7T_distance} * {cmp_1KXKGXJB61S0YV7T_carbon_intensity}</t>
        </is>
      </c>
      <c r="E288" s="2">
        <f>Datapoint!E386 * Datapoint!E385 * Datapoint!E384</f>
        <v/>
      </c>
      <c r="F288" t="n">
        <v>0</v>
      </c>
      <c r="G288" t="inlineStr">
        <is>
          <t>kg</t>
        </is>
      </c>
    </row>
    <row r="289">
      <c r="A289" t="inlineStr">
        <is>
          <t>cmp_1KY38KE1C1S0FMED_soil_temp_delta</t>
        </is>
      </c>
      <c r="B289">
        <f>Component!A126</f>
        <v/>
      </c>
      <c r="C289" t="inlineStr">
        <is>
          <t>Difference in soil temp from 0 celsius</t>
        </is>
      </c>
      <c r="D289" t="inlineStr">
        <is>
          <t>{cmp_1KY38KE1C1S0FMED_soil_temp} - {cmp_1KY38KE1C1S0FMED_zero_degrees_celsius}</t>
        </is>
      </c>
      <c r="E289" s="2">
        <f>Datapoint!E450 - 273.15</f>
        <v/>
      </c>
      <c r="F289" t="n">
        <v>0</v>
      </c>
      <c r="G289" t="inlineStr">
        <is>
          <t>K</t>
        </is>
      </c>
    </row>
    <row r="290">
      <c r="A290" t="inlineStr">
        <is>
          <t>cmp_1KY38KE1C1S0FMED_normalized_mean_soil_temp</t>
        </is>
      </c>
      <c r="B290">
        <f>Component!A126</f>
        <v/>
      </c>
      <c r="C290" t="inlineStr">
        <is>
          <t>Mean soil temperature in dimensionless units</t>
        </is>
      </c>
      <c r="D290" t="inlineStr">
        <is>
          <t>{cmp_1KY38KE1C1S0FMED_soil_temp_delta} / {cmp_1KY38KE1C1S0FMED_one_degree_celsius_delta}</t>
        </is>
      </c>
      <c r="E290" s="2">
        <f>Expression!E289 / 1.0</f>
        <v/>
      </c>
      <c r="F290" t="n">
        <v>0</v>
      </c>
      <c r="G290" t="inlineStr"/>
    </row>
    <row r="291">
      <c r="A291" t="inlineStr">
        <is>
          <t>cmp_1KY38KE1C1S0FMED_log_mean_soil_temp</t>
        </is>
      </c>
      <c r="B291">
        <f>Component!A126</f>
        <v/>
      </c>
      <c r="C291" t="inlineStr">
        <is>
          <t>Natural log of mean soil temperature in dimensionless units</t>
        </is>
      </c>
      <c r="D291" t="inlineStr">
        <is>
          <t>ln({cmp_1KY38KE1C1S0FMED_normalized_mean_soil_temp})</t>
        </is>
      </c>
      <c r="E291" s="2" t="n">
        <v>2.415913778301049</v>
      </c>
      <c r="F291" t="n">
        <v>0</v>
      </c>
      <c r="G291" t="inlineStr"/>
    </row>
    <row r="292">
      <c r="A292" t="inlineStr">
        <is>
          <t>cmp_1KY38KE1C1S0FMED_h_c_ratio</t>
        </is>
      </c>
      <c r="B292">
        <f>Component!A126</f>
        <v/>
      </c>
      <c r="C292" t="inlineStr">
        <is>
          <t>H:C ratio</t>
        </is>
      </c>
      <c r="D292" t="inlineStr">
        <is>
          <t>mean({[cmp_1KY38KE1C1S0FMED_h_c_molar_ratios]})</t>
        </is>
      </c>
      <c r="E292" s="2" t="n">
        <v>0.3467</v>
      </c>
      <c r="F292" t="n">
        <v>0</v>
      </c>
      <c r="G292" t="inlineStr"/>
    </row>
    <row r="293">
      <c r="A293" t="inlineStr">
        <is>
          <t>cmp_1KY38KE1C1S0FMED_non_durable_fraction_calc</t>
        </is>
      </c>
      <c r="B293">
        <f>Component!A126</f>
        <v/>
      </c>
      <c r="C293" t="inlineStr">
        <is>
          <t>Non-durable fraction</t>
        </is>
      </c>
      <c r="D293" t="inlineStr">
        <is>
          <t>{cmp_1KY38KE1C1S0FMED_woolf_parameter_c} + ({cmp_1KY38KE1C1S0FMED_woolf_parameter_a} + {cmp_1KY38KE1C1S0FMED_woolf_parameter_b} * {cmp_1KY38KE1C1S0FMED_log_mean_soil_temp}) * {cmp_1KY38KE1C1S0FMED_h_c_ratio}</t>
        </is>
      </c>
      <c r="E293" s="2">
        <f>-0.048 + (-0.383 + 0.35 * Expression!E291) * Expression!E292</f>
        <v/>
      </c>
      <c r="F293" t="n">
        <v>0</v>
      </c>
      <c r="G293" t="inlineStr"/>
    </row>
    <row r="294">
      <c r="A294" t="inlineStr">
        <is>
          <t>cmp_1KY38KE1C1S0FMED_durable_fraction_calc</t>
        </is>
      </c>
      <c r="B294">
        <f>Component!A126</f>
        <v/>
      </c>
      <c r="C294" t="inlineStr">
        <is>
          <t>Durable fraction</t>
        </is>
      </c>
      <c r="D294" t="inlineStr">
        <is>
          <t>complement_of({cmp_1KY38KE1C1S0FMED_non_durable_fraction_calc})</t>
        </is>
      </c>
      <c r="E294" s="2" t="n">
        <v>0.8876270425720593</v>
      </c>
      <c r="F294" t="n">
        <v>0</v>
      </c>
      <c r="G294" t="inlineStr"/>
    </row>
    <row r="295">
      <c r="A295" t="inlineStr">
        <is>
          <t>cmp_1KY38KE1C1S0FMED_carbon_contents</t>
        </is>
      </c>
      <c r="B295">
        <f>Component!A126</f>
        <v/>
      </c>
      <c r="C295" t="inlineStr">
        <is>
          <t>Carbon content of biochar</t>
        </is>
      </c>
      <c r="D295" t="inlineStr">
        <is>
          <t>{[cmp_1KY38KE1C1S0FMED_total_carbon_contents]} - {[cmp_1KY38KE1C1S0FMED_inorganic_carbon_contents]}</t>
        </is>
      </c>
      <c r="E295" s="2" t="inlineStr">
        <is>
          <t>87.10010000000001</t>
        </is>
      </c>
      <c r="F295" t="n">
        <v>0</v>
      </c>
      <c r="G295" t="inlineStr">
        <is>
          <t>%</t>
        </is>
      </c>
    </row>
    <row r="296">
      <c r="A296" t="inlineStr">
        <is>
          <t>cmp_1KY38KE1C1S0FMED_durable_fraction</t>
        </is>
      </c>
      <c r="B296">
        <f>Component!A126</f>
        <v/>
      </c>
      <c r="C296" t="inlineStr">
        <is>
          <t>Durable fraction</t>
        </is>
      </c>
      <c r="D296" t="inlineStr">
        <is>
          <t>min({cmp_1KY38KE1C1S0FMED_durable_fraction_calc}, {cmp_1KY38KE1C1S0FMED_max_durable_fraction})</t>
        </is>
      </c>
      <c r="E296" s="2" t="n">
        <v>0.8876270425720593</v>
      </c>
      <c r="F296" t="n">
        <v>0</v>
      </c>
      <c r="G296" t="inlineStr"/>
    </row>
    <row r="297">
      <c r="A297" t="inlineStr">
        <is>
          <t>cmp_1KY38KE1C1S0FMED_mean_carbon_content</t>
        </is>
      </c>
      <c r="B297">
        <f>Component!A126</f>
        <v/>
      </c>
      <c r="C297" t="inlineStr">
        <is>
          <t>Mean carbon content</t>
        </is>
      </c>
      <c r="D297" t="inlineStr">
        <is>
          <t>mean({[cmp_1KY38KE1C1S0FMED_carbon_contents]})</t>
        </is>
      </c>
      <c r="E297" s="2" t="n">
        <v>0.8710010000000001</v>
      </c>
      <c r="F297" t="n">
        <v>0</v>
      </c>
      <c r="G297" t="inlineStr"/>
    </row>
    <row r="298">
      <c r="A298" t="inlineStr">
        <is>
          <t>cmp_1KY38KE1C1S0FMED_output</t>
        </is>
      </c>
      <c r="B298">
        <f>Component!A126</f>
        <v/>
      </c>
      <c r="C298" t="inlineStr">
        <is>
          <t>Biochar sequestration, 200 year durability</t>
        </is>
      </c>
      <c r="D298" t="inlineStr">
        <is>
          <t>{cmp_1KY38KE1C1S0FMED_product_mass} * {cmp_1KY38KE1C1S0FMED_mean_carbon_content} * {cmp_1KY38KE1C1S0FMED_durable_fraction} * {cmp_1KY38KE1C1S0FMED_co2e_of_carbon}</t>
        </is>
      </c>
      <c r="E298" s="2">
        <f>Datapoint!E449 * Expression!E297 * Expression!E296 * 3.667</f>
        <v/>
      </c>
      <c r="F298" t="n">
        <v>0</v>
      </c>
      <c r="G298" t="inlineStr">
        <is>
          <t>kg</t>
        </is>
      </c>
    </row>
    <row r="299">
      <c r="A299" t="inlineStr">
        <is>
          <t>cmp_1KY38KE1C1S0FMED_component_root</t>
        </is>
      </c>
      <c r="B299">
        <f>Component!A126</f>
        <v/>
      </c>
      <c r="C299" t="inlineStr">
        <is>
          <t>Biochar sequestration, 200 year durability</t>
        </is>
      </c>
      <c r="D299" t="inlineStr">
        <is>
          <t>{cmp_1KY38KE1C1S0FMED_output}</t>
        </is>
      </c>
      <c r="E299" s="2">
        <f>Expression!E298</f>
        <v/>
      </c>
      <c r="F299" t="n">
        <v>0</v>
      </c>
      <c r="G299" t="inlineStr">
        <is>
          <t>kg</t>
        </is>
      </c>
    </row>
    <row r="300">
      <c r="A300" t="inlineStr">
        <is>
          <t>cmp_1KY57MT101S0N5DQ_component_root</t>
        </is>
      </c>
      <c r="B300">
        <f>Component!A133</f>
        <v/>
      </c>
      <c r="C300" t="inlineStr">
        <is>
          <t>Biochar Spreading Emissions</t>
        </is>
      </c>
      <c r="D300" t="inlineStr">
        <is>
          <t>{cmp_1KY57MT101S0N5DQ_mass} * {cmp_1KY57MT101S0N5DQ_carbon_intensity}</t>
        </is>
      </c>
      <c r="E300" s="2">
        <f>Datapoint!E478 * Datapoint!E477</f>
        <v/>
      </c>
      <c r="F300" t="n">
        <v>0</v>
      </c>
      <c r="G300" t="inlineStr">
        <is>
          <t>kg</t>
        </is>
      </c>
    </row>
    <row r="301">
      <c r="A301" t="inlineStr">
        <is>
          <t>cmp_1KXECGAQV1S0K4NE_component_root</t>
        </is>
      </c>
      <c r="B301">
        <f>Component!A47</f>
        <v/>
      </c>
      <c r="C301" t="inlineStr">
        <is>
          <t>BCU - Transport Process</t>
        </is>
      </c>
      <c r="D301" t="inlineStr">
        <is>
          <t>{cmp_1KXECGAQV1S0K4NE_constant_reduction}</t>
        </is>
      </c>
      <c r="E301" s="2">
        <f>Datapoint!E163</f>
        <v/>
      </c>
      <c r="F301" t="n">
        <v>0</v>
      </c>
      <c r="G301" t="inlineStr">
        <is>
          <t>kg</t>
        </is>
      </c>
    </row>
    <row r="302">
      <c r="A302" t="inlineStr">
        <is>
          <t>cmp_1KXERD7151S046F2_soil_temp_delta</t>
        </is>
      </c>
      <c r="B302">
        <f>Component!A71</f>
        <v/>
      </c>
      <c r="C302" t="inlineStr">
        <is>
          <t>Difference in soil temp from 0 celsius</t>
        </is>
      </c>
      <c r="D302" t="inlineStr">
        <is>
          <t>{cmp_1KXERD7151S046F2_soil_temp} - {cmp_1KXERD7151S046F2_zero_degrees_celsius}</t>
        </is>
      </c>
      <c r="E302" s="2">
        <f>Datapoint!E249 - 273.15</f>
        <v/>
      </c>
      <c r="F302" t="n">
        <v>0</v>
      </c>
      <c r="G302" t="inlineStr">
        <is>
          <t>K</t>
        </is>
      </c>
    </row>
    <row r="303">
      <c r="A303" t="inlineStr">
        <is>
          <t>cmp_1KXERD7151S046F2_normalized_mean_soil_temp</t>
        </is>
      </c>
      <c r="B303">
        <f>Component!A71</f>
        <v/>
      </c>
      <c r="C303" t="inlineStr">
        <is>
          <t>Mean soil temperature in dimensionless units</t>
        </is>
      </c>
      <c r="D303" t="inlineStr">
        <is>
          <t>{cmp_1KXERD7151S046F2_soil_temp_delta} / {cmp_1KXERD7151S046F2_one_degree_celsius_delta}</t>
        </is>
      </c>
      <c r="E303" s="2">
        <f>Expression!E302 / 1.0</f>
        <v/>
      </c>
      <c r="F303" t="n">
        <v>0</v>
      </c>
      <c r="G303" t="inlineStr"/>
    </row>
    <row r="304">
      <c r="A304" t="inlineStr">
        <is>
          <t>cmp_1KXERD7151S046F2_log_mean_soil_temp</t>
        </is>
      </c>
      <c r="B304">
        <f>Component!A71</f>
        <v/>
      </c>
      <c r="C304" t="inlineStr">
        <is>
          <t>Natural log of mean soil temperature in dimensionless units</t>
        </is>
      </c>
      <c r="D304" t="inlineStr">
        <is>
          <t>ln({cmp_1KXERD7151S046F2_normalized_mean_soil_temp})</t>
        </is>
      </c>
      <c r="E304" s="2" t="n">
        <v>2.388762789235098</v>
      </c>
      <c r="F304" t="n">
        <v>0</v>
      </c>
      <c r="G304" t="inlineStr"/>
    </row>
    <row r="305">
      <c r="A305" t="inlineStr">
        <is>
          <t>cmp_1KXERD7151S046F2_h_c_ratio</t>
        </is>
      </c>
      <c r="B305">
        <f>Component!A71</f>
        <v/>
      </c>
      <c r="C305" t="inlineStr">
        <is>
          <t>H:C ratio</t>
        </is>
      </c>
      <c r="D305" t="inlineStr">
        <is>
          <t>mean({[cmp_1KXERD7151S046F2_h_c_molar_ratios]})</t>
        </is>
      </c>
      <c r="E305" s="2" t="n">
        <v>0.35</v>
      </c>
      <c r="F305" t="n">
        <v>0</v>
      </c>
      <c r="G305" t="inlineStr"/>
    </row>
    <row r="306">
      <c r="A306" t="inlineStr">
        <is>
          <t>cmp_1KXERD7151S046F2_non_durable_fraction_calc</t>
        </is>
      </c>
      <c r="B306">
        <f>Component!A71</f>
        <v/>
      </c>
      <c r="C306" t="inlineStr">
        <is>
          <t>Non-durable fraction</t>
        </is>
      </c>
      <c r="D306" t="inlineStr">
        <is>
          <t>{cmp_1KXERD7151S046F2_woolf_parameter_c} + ({cmp_1KXERD7151S046F2_woolf_parameter_a} + {cmp_1KXERD7151S046F2_woolf_parameter_b} * {cmp_1KXERD7151S046F2_log_mean_soil_temp}) * {cmp_1KXERD7151S046F2_h_c_ratio}</t>
        </is>
      </c>
      <c r="E306" s="2">
        <f>-0.048 + (-0.383 + 0.35 * Expression!E304) * Expression!E305</f>
        <v/>
      </c>
      <c r="F306" t="n">
        <v>0</v>
      </c>
      <c r="G306" t="inlineStr"/>
    </row>
    <row r="307">
      <c r="A307" t="inlineStr">
        <is>
          <t>cmp_1KXERD7151S046F2_durable_fraction_calc</t>
        </is>
      </c>
      <c r="B307">
        <f>Component!A71</f>
        <v/>
      </c>
      <c r="C307" t="inlineStr">
        <is>
          <t>Durable fraction</t>
        </is>
      </c>
      <c r="D307" t="inlineStr">
        <is>
          <t>complement_of({cmp_1KXERD7151S046F2_non_durable_fraction_calc})</t>
        </is>
      </c>
      <c r="E307" s="2" t="n">
        <v>0.8894265583187005</v>
      </c>
      <c r="F307" t="n">
        <v>0</v>
      </c>
      <c r="G307" t="inlineStr"/>
    </row>
    <row r="308">
      <c r="A308" t="inlineStr">
        <is>
          <t>cmp_1KXERD7151S046F2_carbon_contents</t>
        </is>
      </c>
      <c r="B308">
        <f>Component!A71</f>
        <v/>
      </c>
      <c r="C308" t="inlineStr">
        <is>
          <t>Carbon content of biochar</t>
        </is>
      </c>
      <c r="D308" t="inlineStr">
        <is>
          <t>{[cmp_1KXERD7151S046F2_total_carbon_contents]} - {[cmp_1KXERD7151S046F2_inorganic_carbon_contents]}</t>
        </is>
      </c>
      <c r="E308" s="2" t="inlineStr">
        <is>
          <t>79.946</t>
        </is>
      </c>
      <c r="F308" t="n">
        <v>0</v>
      </c>
      <c r="G308" t="inlineStr">
        <is>
          <t>%</t>
        </is>
      </c>
    </row>
    <row r="309">
      <c r="A309" t="inlineStr">
        <is>
          <t>cmp_1KXERD7151S046F2_durable_fraction</t>
        </is>
      </c>
      <c r="B309">
        <f>Component!A71</f>
        <v/>
      </c>
      <c r="C309" t="inlineStr">
        <is>
          <t>Durable fraction</t>
        </is>
      </c>
      <c r="D309" t="inlineStr">
        <is>
          <t>min({cmp_1KXERD7151S046F2_durable_fraction_calc}, {cmp_1KXERD7151S046F2_max_durable_fraction})</t>
        </is>
      </c>
      <c r="E309" s="2" t="n">
        <v>0.8894265583187005</v>
      </c>
      <c r="F309" t="n">
        <v>0</v>
      </c>
      <c r="G309" t="inlineStr"/>
    </row>
    <row r="310">
      <c r="A310" t="inlineStr">
        <is>
          <t>cmp_1KXERD7151S046F2_mean_carbon_content</t>
        </is>
      </c>
      <c r="B310">
        <f>Component!A71</f>
        <v/>
      </c>
      <c r="C310" t="inlineStr">
        <is>
          <t>Mean carbon content</t>
        </is>
      </c>
      <c r="D310" t="inlineStr">
        <is>
          <t>mean({[cmp_1KXERD7151S046F2_carbon_contents]})</t>
        </is>
      </c>
      <c r="E310" s="2" t="n">
        <v>0.7994599999999999</v>
      </c>
      <c r="F310" t="n">
        <v>0</v>
      </c>
      <c r="G310" t="inlineStr"/>
    </row>
    <row r="311">
      <c r="A311" t="inlineStr">
        <is>
          <t>cmp_1KXERD7151S046F2_output</t>
        </is>
      </c>
      <c r="B311">
        <f>Component!A71</f>
        <v/>
      </c>
      <c r="C311" t="inlineStr">
        <is>
          <t>Biochar sequestration, 200 year durability</t>
        </is>
      </c>
      <c r="D311" t="inlineStr">
        <is>
          <t>{cmp_1KXERD7151S046F2_product_mass} * {cmp_1KXERD7151S046F2_mean_carbon_content} * {cmp_1KXERD7151S046F2_durable_fraction} * {cmp_1KXERD7151S046F2_co2e_of_carbon}</t>
        </is>
      </c>
      <c r="E311" s="2">
        <f>Datapoint!E248 * Expression!E310 * Expression!E309 * 3.667</f>
        <v/>
      </c>
      <c r="F311" t="n">
        <v>0</v>
      </c>
      <c r="G311" t="inlineStr">
        <is>
          <t>kg</t>
        </is>
      </c>
    </row>
    <row r="312">
      <c r="A312" t="inlineStr">
        <is>
          <t>cmp_1KXERD7151S046F2_component_root</t>
        </is>
      </c>
      <c r="B312">
        <f>Component!A71</f>
        <v/>
      </c>
      <c r="C312" t="inlineStr">
        <is>
          <t>Biochar sequestration, 200 year durability</t>
        </is>
      </c>
      <c r="D312" t="inlineStr">
        <is>
          <t>{cmp_1KXERD7151S046F2_output}</t>
        </is>
      </c>
      <c r="E312" s="2">
        <f>Expression!E311</f>
        <v/>
      </c>
      <c r="F312" t="n">
        <v>0</v>
      </c>
      <c r="G312" t="inlineStr">
        <is>
          <t>kg</t>
        </is>
      </c>
    </row>
    <row r="313">
      <c r="A313" t="inlineStr">
        <is>
          <t>cmp_1KY5G7F3N1S0Y91G_component_root</t>
        </is>
      </c>
      <c r="B313">
        <f>Component!A144</f>
        <v/>
      </c>
      <c r="C313" t="inlineStr">
        <is>
          <t>Biochar Spreading Emissions</t>
        </is>
      </c>
      <c r="D313" t="inlineStr">
        <is>
          <t>{cmp_1KY5G7F3N1S0Y91G_mass} * {cmp_1KY5G7F3N1S0Y91G_carbon_intensity}</t>
        </is>
      </c>
      <c r="E313" s="2">
        <f>Datapoint!E513 * Datapoint!E512</f>
        <v/>
      </c>
      <c r="F313" t="n">
        <v>0</v>
      </c>
      <c r="G313" t="inlineStr">
        <is>
          <t>kg</t>
        </is>
      </c>
    </row>
    <row r="314">
      <c r="A314" t="inlineStr">
        <is>
          <t>cmp_1KY57MT101S0QDR0_soil_temp_delta</t>
        </is>
      </c>
      <c r="B314">
        <f>Component!A134</f>
        <v/>
      </c>
      <c r="C314" t="inlineStr">
        <is>
          <t>Difference in soil temp from 0 celsius</t>
        </is>
      </c>
      <c r="D314" t="inlineStr">
        <is>
          <t>{cmp_1KY57MT101S0QDR0_soil_temp} - {cmp_1KY57MT101S0QDR0_zero_degrees_celsius}</t>
        </is>
      </c>
      <c r="E314" s="2">
        <f>Datapoint!E482 - 273.15</f>
        <v/>
      </c>
      <c r="F314" t="n">
        <v>0</v>
      </c>
      <c r="G314" t="inlineStr">
        <is>
          <t>K</t>
        </is>
      </c>
    </row>
    <row r="315">
      <c r="A315" t="inlineStr">
        <is>
          <t>cmp_1KY57MT101S0QDR0_normalized_mean_soil_temp</t>
        </is>
      </c>
      <c r="B315">
        <f>Component!A134</f>
        <v/>
      </c>
      <c r="C315" t="inlineStr">
        <is>
          <t>Mean soil temperature in dimensionless units</t>
        </is>
      </c>
      <c r="D315" t="inlineStr">
        <is>
          <t>{cmp_1KY57MT101S0QDR0_soil_temp_delta} / {cmp_1KY57MT101S0QDR0_one_degree_celsius_delta}</t>
        </is>
      </c>
      <c r="E315" s="2">
        <f>Expression!E314 / 1.0</f>
        <v/>
      </c>
      <c r="F315" t="n">
        <v>0</v>
      </c>
      <c r="G315" t="inlineStr"/>
    </row>
    <row r="316">
      <c r="A316" t="inlineStr">
        <is>
          <t>cmp_1KY57MT101S0QDR0_log_mean_soil_temp</t>
        </is>
      </c>
      <c r="B316">
        <f>Component!A134</f>
        <v/>
      </c>
      <c r="C316" t="inlineStr">
        <is>
          <t>Natural log of mean soil temperature in dimensionless units</t>
        </is>
      </c>
      <c r="D316" t="inlineStr">
        <is>
          <t>ln({cmp_1KY57MT101S0QDR0_normalized_mean_soil_temp})</t>
        </is>
      </c>
      <c r="E316" s="2" t="n">
        <v>2.415913778301049</v>
      </c>
      <c r="F316" t="n">
        <v>0</v>
      </c>
      <c r="G316" t="inlineStr"/>
    </row>
    <row r="317">
      <c r="A317" t="inlineStr">
        <is>
          <t>cmp_1KY57MT101S0QDR0_h_c_ratio</t>
        </is>
      </c>
      <c r="B317">
        <f>Component!A134</f>
        <v/>
      </c>
      <c r="C317" t="inlineStr">
        <is>
          <t>H:C ratio</t>
        </is>
      </c>
      <c r="D317" t="inlineStr">
        <is>
          <t>mean({[cmp_1KY57MT101S0QDR0_h_c_molar_ratios]})</t>
        </is>
      </c>
      <c r="E317" s="2" t="n">
        <v>0.32</v>
      </c>
      <c r="F317" t="n">
        <v>0</v>
      </c>
      <c r="G317" t="inlineStr"/>
    </row>
    <row r="318">
      <c r="A318" t="inlineStr">
        <is>
          <t>cmp_1KY57MT101S0QDR0_non_durable_fraction_calc</t>
        </is>
      </c>
      <c r="B318">
        <f>Component!A134</f>
        <v/>
      </c>
      <c r="C318" t="inlineStr">
        <is>
          <t>Non-durable fraction</t>
        </is>
      </c>
      <c r="D318" t="inlineStr">
        <is>
          <t>{cmp_1KY57MT101S0QDR0_woolf_parameter_c} + ({cmp_1KY57MT101S0QDR0_woolf_parameter_a} + {cmp_1KY57MT101S0QDR0_woolf_parameter_b} * {cmp_1KY57MT101S0QDR0_log_mean_soil_temp}) * {cmp_1KY57MT101S0QDR0_h_c_ratio}</t>
        </is>
      </c>
      <c r="E318" s="2">
        <f>-0.048 + (-0.383 + 0.35 * Expression!E316) * Expression!E317</f>
        <v/>
      </c>
      <c r="F318" t="n">
        <v>0</v>
      </c>
      <c r="G318" t="inlineStr"/>
    </row>
    <row r="319">
      <c r="A319" t="inlineStr">
        <is>
          <t>cmp_1KY57MT101S0QDR0_durable_fraction_calc</t>
        </is>
      </c>
      <c r="B319">
        <f>Component!A134</f>
        <v/>
      </c>
      <c r="C319" t="inlineStr">
        <is>
          <t>Durable fraction</t>
        </is>
      </c>
      <c r="D319" t="inlineStr">
        <is>
          <t>complement_of({cmp_1KY57MT101S0QDR0_non_durable_fraction_calc})</t>
        </is>
      </c>
      <c r="E319" s="2" t="n">
        <v>0.8999776568302825</v>
      </c>
      <c r="F319" t="n">
        <v>0</v>
      </c>
      <c r="G319" t="inlineStr"/>
    </row>
    <row r="320">
      <c r="A320" t="inlineStr">
        <is>
          <t>cmp_1KY57MT101S0QDR0_carbon_contents</t>
        </is>
      </c>
      <c r="B320">
        <f>Component!A134</f>
        <v/>
      </c>
      <c r="C320" t="inlineStr">
        <is>
          <t>Carbon content of biochar</t>
        </is>
      </c>
      <c r="D320" t="inlineStr">
        <is>
          <t>{[cmp_1KY57MT101S0QDR0_total_carbon_contents]} - {[cmp_1KY57MT101S0QDR0_inorganic_carbon_contents]}</t>
        </is>
      </c>
      <c r="E320" s="2" t="inlineStr">
        <is>
          <t>86.3667</t>
        </is>
      </c>
      <c r="F320" t="n">
        <v>0</v>
      </c>
      <c r="G320" t="inlineStr">
        <is>
          <t>%</t>
        </is>
      </c>
    </row>
    <row r="321">
      <c r="A321" t="inlineStr">
        <is>
          <t>cmp_1KY57MT101S0QDR0_durable_fraction</t>
        </is>
      </c>
      <c r="B321">
        <f>Component!A134</f>
        <v/>
      </c>
      <c r="C321" t="inlineStr">
        <is>
          <t>Durable fraction</t>
        </is>
      </c>
      <c r="D321" t="inlineStr">
        <is>
          <t>min({cmp_1KY57MT101S0QDR0_durable_fraction_calc}, {cmp_1KY57MT101S0QDR0_max_durable_fraction})</t>
        </is>
      </c>
      <c r="E321" s="2" t="n">
        <v>0.8999776568302825</v>
      </c>
      <c r="F321" t="n">
        <v>0</v>
      </c>
      <c r="G321" t="inlineStr"/>
    </row>
    <row r="322">
      <c r="A322" t="inlineStr">
        <is>
          <t>cmp_1KY57MT101S0QDR0_mean_carbon_content</t>
        </is>
      </c>
      <c r="B322">
        <f>Component!A134</f>
        <v/>
      </c>
      <c r="C322" t="inlineStr">
        <is>
          <t>Mean carbon content</t>
        </is>
      </c>
      <c r="D322" t="inlineStr">
        <is>
          <t>mean({[cmp_1KY57MT101S0QDR0_carbon_contents]})</t>
        </is>
      </c>
      <c r="E322" s="2" t="n">
        <v>0.863667</v>
      </c>
      <c r="F322" t="n">
        <v>0</v>
      </c>
      <c r="G322" t="inlineStr"/>
    </row>
    <row r="323">
      <c r="A323" t="inlineStr">
        <is>
          <t>cmp_1KY57MT101S0QDR0_output</t>
        </is>
      </c>
      <c r="B323">
        <f>Component!A134</f>
        <v/>
      </c>
      <c r="C323" t="inlineStr">
        <is>
          <t>Biochar sequestration, 200 year durability</t>
        </is>
      </c>
      <c r="D323" t="inlineStr">
        <is>
          <t>{cmp_1KY57MT101S0QDR0_product_mass} * {cmp_1KY57MT101S0QDR0_mean_carbon_content} * {cmp_1KY57MT101S0QDR0_durable_fraction} * {cmp_1KY57MT101S0QDR0_co2e_of_carbon}</t>
        </is>
      </c>
      <c r="E323" s="2">
        <f>Datapoint!E481 * Expression!E322 * Expression!E321 * 3.667</f>
        <v/>
      </c>
      <c r="F323" t="n">
        <v>0</v>
      </c>
      <c r="G323" t="inlineStr">
        <is>
          <t>kg</t>
        </is>
      </c>
    </row>
    <row r="324">
      <c r="A324" t="inlineStr">
        <is>
          <t>cmp_1KY57MT101S0QDR0_component_root</t>
        </is>
      </c>
      <c r="B324">
        <f>Component!A134</f>
        <v/>
      </c>
      <c r="C324" t="inlineStr">
        <is>
          <t>Biochar sequestration, 200 year durability</t>
        </is>
      </c>
      <c r="D324" t="inlineStr">
        <is>
          <t>{cmp_1KY57MT101S0QDR0_output}</t>
        </is>
      </c>
      <c r="E324" s="2">
        <f>Expression!E323</f>
        <v/>
      </c>
      <c r="F324" t="n">
        <v>0</v>
      </c>
      <c r="G324" t="inlineStr">
        <is>
          <t>kg</t>
        </is>
      </c>
    </row>
    <row r="325">
      <c r="A325" t="inlineStr">
        <is>
          <t>cmp_1KXGK3HP81S0VGF2_soil_temp_delta</t>
        </is>
      </c>
      <c r="B325">
        <f>Component!A85</f>
        <v/>
      </c>
      <c r="C325" t="inlineStr">
        <is>
          <t>Difference in soil temp from 0 celsius</t>
        </is>
      </c>
      <c r="D325" t="inlineStr">
        <is>
          <t>{cmp_1KXGK3HP81S0VGF2_soil_temp} - {cmp_1KXGK3HP81S0VGF2_zero_degrees_celsius}</t>
        </is>
      </c>
      <c r="E325" s="2">
        <f>Datapoint!E289 - 273.15</f>
        <v/>
      </c>
      <c r="F325" t="n">
        <v>0</v>
      </c>
      <c r="G325" t="inlineStr">
        <is>
          <t>K</t>
        </is>
      </c>
    </row>
    <row r="326">
      <c r="A326" t="inlineStr">
        <is>
          <t>cmp_1KXGK3HP81S0VGF2_normalized_mean_soil_temp</t>
        </is>
      </c>
      <c r="B326">
        <f>Component!A85</f>
        <v/>
      </c>
      <c r="C326" t="inlineStr">
        <is>
          <t>Mean soil temperature in dimensionless units</t>
        </is>
      </c>
      <c r="D326" t="inlineStr">
        <is>
          <t>{cmp_1KXGK3HP81S0VGF2_soil_temp_delta} / {cmp_1KXGK3HP81S0VGF2_one_degree_celsius_delta}</t>
        </is>
      </c>
      <c r="E326" s="2">
        <f>Expression!E325 / 1.0</f>
        <v/>
      </c>
      <c r="F326" t="n">
        <v>0</v>
      </c>
      <c r="G326" t="inlineStr"/>
    </row>
    <row r="327">
      <c r="A327" t="inlineStr">
        <is>
          <t>cmp_1KXGK3HP81S0VGF2_log_mean_soil_temp</t>
        </is>
      </c>
      <c r="B327">
        <f>Component!A85</f>
        <v/>
      </c>
      <c r="C327" t="inlineStr">
        <is>
          <t>Natural log of mean soil temperature in dimensionless units</t>
        </is>
      </c>
      <c r="D327" t="inlineStr">
        <is>
          <t>ln({cmp_1KXGK3HP81S0VGF2_normalized_mean_soil_temp})</t>
        </is>
      </c>
      <c r="E327" s="2" t="n">
        <v>2.388762789235098</v>
      </c>
      <c r="F327" t="n">
        <v>0</v>
      </c>
      <c r="G327" t="inlineStr"/>
    </row>
    <row r="328">
      <c r="A328" t="inlineStr">
        <is>
          <t>cmp_1KXGK3HP81S0VGF2_h_c_ratio</t>
        </is>
      </c>
      <c r="B328">
        <f>Component!A85</f>
        <v/>
      </c>
      <c r="C328" t="inlineStr">
        <is>
          <t>H:C ratio</t>
        </is>
      </c>
      <c r="D328" t="inlineStr">
        <is>
          <t>mean({[cmp_1KXGK3HP81S0VGF2_h_c_molar_ratios]})</t>
        </is>
      </c>
      <c r="E328" s="2" t="n">
        <v>0.45667</v>
      </c>
      <c r="F328" t="n">
        <v>0</v>
      </c>
      <c r="G328" t="inlineStr"/>
    </row>
    <row r="329">
      <c r="A329" t="inlineStr">
        <is>
          <t>cmp_1KXGK3HP81S0VGF2_non_durable_fraction_calc</t>
        </is>
      </c>
      <c r="B329">
        <f>Component!A85</f>
        <v/>
      </c>
      <c r="C329" t="inlineStr">
        <is>
          <t>Non-durable fraction</t>
        </is>
      </c>
      <c r="D329" t="inlineStr">
        <is>
          <t>{cmp_1KXGK3HP81S0VGF2_woolf_parameter_c} + ({cmp_1KXGK3HP81S0VGF2_woolf_parameter_a} + {cmp_1KXGK3HP81S0VGF2_woolf_parameter_b} * {cmp_1KXGK3HP81S0VGF2_log_mean_soil_temp}) * {cmp_1KXGK3HP81S0VGF2_h_c_ratio}</t>
        </is>
      </c>
      <c r="E329" s="2">
        <f>-0.048 + (-0.383 + 0.35 * Expression!E327) * Expression!E328</f>
        <v/>
      </c>
      <c r="F329" t="n">
        <v>0</v>
      </c>
      <c r="G329" t="inlineStr"/>
    </row>
    <row r="330">
      <c r="A330" t="inlineStr">
        <is>
          <t>cmp_1KXGK3HP81S0VGF2_durable_fraction_calc</t>
        </is>
      </c>
      <c r="B330">
        <f>Component!A85</f>
        <v/>
      </c>
      <c r="C330" t="inlineStr">
        <is>
          <t>Durable fraction</t>
        </is>
      </c>
      <c r="D330" t="inlineStr">
        <is>
          <t>complement_of({cmp_1KXGK3HP81S0VGF2_non_durable_fraction_calc})</t>
        </is>
      </c>
      <c r="E330" s="2" t="n">
        <v>0.8410979039640027</v>
      </c>
      <c r="F330" t="n">
        <v>0</v>
      </c>
      <c r="G330" t="inlineStr"/>
    </row>
    <row r="331">
      <c r="A331" t="inlineStr">
        <is>
          <t>cmp_1KXGK3HP81S0VGF2_carbon_contents</t>
        </is>
      </c>
      <c r="B331">
        <f>Component!A85</f>
        <v/>
      </c>
      <c r="C331" t="inlineStr">
        <is>
          <t>Carbon content of biochar</t>
        </is>
      </c>
      <c r="D331" t="inlineStr">
        <is>
          <t>{[cmp_1KXGK3HP81S0VGF2_total_carbon_contents]} - {[cmp_1KXGK3HP81S0VGF2_inorganic_carbon_contents]}</t>
        </is>
      </c>
      <c r="E331" s="2" t="inlineStr">
        <is>
          <t>83.39999999999999</t>
        </is>
      </c>
      <c r="F331" t="n">
        <v>0</v>
      </c>
      <c r="G331" t="inlineStr">
        <is>
          <t>%</t>
        </is>
      </c>
    </row>
    <row r="332">
      <c r="A332" t="inlineStr">
        <is>
          <t>cmp_1KXGK3HP81S0VGF2_durable_fraction</t>
        </is>
      </c>
      <c r="B332">
        <f>Component!A85</f>
        <v/>
      </c>
      <c r="C332" t="inlineStr">
        <is>
          <t>Durable fraction</t>
        </is>
      </c>
      <c r="D332" t="inlineStr">
        <is>
          <t>min({cmp_1KXGK3HP81S0VGF2_durable_fraction_calc}, {cmp_1KXGK3HP81S0VGF2_max_durable_fraction})</t>
        </is>
      </c>
      <c r="E332" s="2" t="n">
        <v>0.8410979039640027</v>
      </c>
      <c r="F332" t="n">
        <v>0</v>
      </c>
      <c r="G332" t="inlineStr"/>
    </row>
    <row r="333">
      <c r="A333" t="inlineStr">
        <is>
          <t>cmp_1KXGK3HP81S0VGF2_mean_carbon_content</t>
        </is>
      </c>
      <c r="B333">
        <f>Component!A85</f>
        <v/>
      </c>
      <c r="C333" t="inlineStr">
        <is>
          <t>Mean carbon content</t>
        </is>
      </c>
      <c r="D333" t="inlineStr">
        <is>
          <t>mean({[cmp_1KXGK3HP81S0VGF2_carbon_contents]})</t>
        </is>
      </c>
      <c r="E333" s="2" t="n">
        <v>0.834</v>
      </c>
      <c r="F333" t="n">
        <v>0</v>
      </c>
      <c r="G333" t="inlineStr"/>
    </row>
    <row r="334">
      <c r="A334" t="inlineStr">
        <is>
          <t>cmp_1KXGK3HP81S0VGF2_output</t>
        </is>
      </c>
      <c r="B334">
        <f>Component!A85</f>
        <v/>
      </c>
      <c r="C334" t="inlineStr">
        <is>
          <t>Biochar sequestration, 200 year durability</t>
        </is>
      </c>
      <c r="D334" t="inlineStr">
        <is>
          <t>{cmp_1KXGK3HP81S0VGF2_product_mass} * {cmp_1KXGK3HP81S0VGF2_mean_carbon_content} * {cmp_1KXGK3HP81S0VGF2_durable_fraction} * {cmp_1KXGK3HP81S0VGF2_co2e_of_carbon}</t>
        </is>
      </c>
      <c r="E334" s="2">
        <f>Datapoint!E288 * Expression!E333 * Expression!E332 * 3.667</f>
        <v/>
      </c>
      <c r="F334" t="n">
        <v>0</v>
      </c>
      <c r="G334" t="inlineStr">
        <is>
          <t>kg</t>
        </is>
      </c>
    </row>
    <row r="335">
      <c r="A335" t="inlineStr">
        <is>
          <t>cmp_1KXGK3HP81S0VGF2_component_root</t>
        </is>
      </c>
      <c r="B335">
        <f>Component!A85</f>
        <v/>
      </c>
      <c r="C335" t="inlineStr">
        <is>
          <t>Biochar sequestration, 200 year durability</t>
        </is>
      </c>
      <c r="D335" t="inlineStr">
        <is>
          <t>{cmp_1KXGK3HP81S0VGF2_output}</t>
        </is>
      </c>
      <c r="E335" s="2">
        <f>Expression!E334</f>
        <v/>
      </c>
      <c r="F335" t="n">
        <v>0</v>
      </c>
      <c r="G335" t="inlineStr">
        <is>
          <t>kg</t>
        </is>
      </c>
    </row>
    <row r="336">
      <c r="A336" t="inlineStr">
        <is>
          <t>cmp_1KWCY0G8W1S069Z2_component_root</t>
        </is>
      </c>
      <c r="B336">
        <f>Component!A14</f>
        <v/>
      </c>
      <c r="C336" t="inlineStr">
        <is>
          <t>CO Flatbed Truck Transport Process Emissions</t>
        </is>
      </c>
      <c r="D336" t="inlineStr">
        <is>
          <t>{cmp_1KWCY0G8W1S069Z2_mass} * {cmp_1KWCY0G8W1S069Z2_distance} * {cmp_1KWCY0G8W1S069Z2_carbon_intensity}</t>
        </is>
      </c>
      <c r="E336" s="2">
        <f>Datapoint!E50 * Datapoint!E49 * Datapoint!E48</f>
        <v/>
      </c>
      <c r="F336" t="n">
        <v>0</v>
      </c>
      <c r="G336" t="inlineStr">
        <is>
          <t>kg</t>
        </is>
      </c>
    </row>
    <row r="337">
      <c r="A337" t="inlineStr">
        <is>
          <t>cmp_1KXEA1TH21S0G8VW_soil_temp_delta</t>
        </is>
      </c>
      <c r="B337">
        <f>Component!A31</f>
        <v/>
      </c>
      <c r="C337" t="inlineStr">
        <is>
          <t>Difference in soil temp from 0 celsius</t>
        </is>
      </c>
      <c r="D337" t="inlineStr">
        <is>
          <t>{cmp_1KXEA1TH21S0G8VW_soil_temp} - {cmp_1KXEA1TH21S0G8VW_zero_degrees_celsius}</t>
        </is>
      </c>
      <c r="E337" s="2">
        <f>Datapoint!E100 - 273.15</f>
        <v/>
      </c>
      <c r="F337" t="n">
        <v>0</v>
      </c>
      <c r="G337" t="inlineStr">
        <is>
          <t>K</t>
        </is>
      </c>
    </row>
    <row r="338">
      <c r="A338" t="inlineStr">
        <is>
          <t>cmp_1KXEA1TH21S0G8VW_normalized_mean_soil_temp</t>
        </is>
      </c>
      <c r="B338">
        <f>Component!A31</f>
        <v/>
      </c>
      <c r="C338" t="inlineStr">
        <is>
          <t>Mean soil temperature in dimensionless units</t>
        </is>
      </c>
      <c r="D338" t="inlineStr">
        <is>
          <t>{cmp_1KXEA1TH21S0G8VW_soil_temp_delta} / {cmp_1KXEA1TH21S0G8VW_one_degree_celsius_delta}</t>
        </is>
      </c>
      <c r="E338" s="2">
        <f>Expression!E337 / 1.0</f>
        <v/>
      </c>
      <c r="F338" t="n">
        <v>0</v>
      </c>
      <c r="G338" t="inlineStr"/>
    </row>
    <row r="339">
      <c r="A339" t="inlineStr">
        <is>
          <t>cmp_1KXEA1TH21S0G8VW_log_mean_soil_temp</t>
        </is>
      </c>
      <c r="B339">
        <f>Component!A31</f>
        <v/>
      </c>
      <c r="C339" t="inlineStr">
        <is>
          <t>Natural log of mean soil temperature in dimensionless units</t>
        </is>
      </c>
      <c r="D339" t="inlineStr">
        <is>
          <t>ln({cmp_1KXEA1TH21S0G8VW_normalized_mean_soil_temp})</t>
        </is>
      </c>
      <c r="E339" s="2" t="n">
        <v>2.388762789235098</v>
      </c>
      <c r="F339" t="n">
        <v>0</v>
      </c>
      <c r="G339" t="inlineStr"/>
    </row>
    <row r="340">
      <c r="A340" t="inlineStr">
        <is>
          <t>cmp_1KXEA1TH21S0G8VW_h_c_ratio</t>
        </is>
      </c>
      <c r="B340">
        <f>Component!A31</f>
        <v/>
      </c>
      <c r="C340" t="inlineStr">
        <is>
          <t>H:C ratio</t>
        </is>
      </c>
      <c r="D340" t="inlineStr">
        <is>
          <t>mean({[cmp_1KXEA1TH21S0G8VW_h_c_molar_ratios]})</t>
        </is>
      </c>
      <c r="E340" s="2" t="n">
        <v>0.46333</v>
      </c>
      <c r="F340" t="n">
        <v>0</v>
      </c>
      <c r="G340" t="inlineStr"/>
    </row>
    <row r="341">
      <c r="A341" t="inlineStr">
        <is>
          <t>cmp_1KXEA1TH21S0G8VW_non_durable_fraction_calc</t>
        </is>
      </c>
      <c r="B341">
        <f>Component!A31</f>
        <v/>
      </c>
      <c r="C341" t="inlineStr">
        <is>
          <t>Non-durable fraction</t>
        </is>
      </c>
      <c r="D341" t="inlineStr">
        <is>
          <t>{cmp_1KXEA1TH21S0G8VW_woolf_parameter_c} + ({cmp_1KXEA1TH21S0G8VW_woolf_parameter_a} + {cmp_1KXEA1TH21S0G8VW_woolf_parameter_b} * {cmp_1KXEA1TH21S0G8VW_log_mean_soil_temp}) * {cmp_1KXEA1TH21S0G8VW_h_c_ratio}</t>
        </is>
      </c>
      <c r="E341" s="2">
        <f>-0.048 + (-0.383 + 0.35 * Expression!E339) * Expression!E340</f>
        <v/>
      </c>
      <c r="F341" t="n">
        <v>0</v>
      </c>
      <c r="G341" t="inlineStr"/>
    </row>
    <row r="342">
      <c r="A342" t="inlineStr">
        <is>
          <t>cmp_1KXEA1TH21S0G8VW_durable_fraction_calc</t>
        </is>
      </c>
      <c r="B342">
        <f>Component!A31</f>
        <v/>
      </c>
      <c r="C342" t="inlineStr">
        <is>
          <t>Durable fraction</t>
        </is>
      </c>
      <c r="D342" t="inlineStr">
        <is>
          <t>complement_of({cmp_1KXEA1TH21S0G8VW_non_durable_fraction_calc})</t>
        </is>
      </c>
      <c r="E342" s="2" t="n">
        <v>0.8380804779022957</v>
      </c>
      <c r="F342" t="n">
        <v>0</v>
      </c>
      <c r="G342" t="inlineStr"/>
    </row>
    <row r="343">
      <c r="A343" t="inlineStr">
        <is>
          <t>cmp_1KXEA1TH21S0G8VW_carbon_contents</t>
        </is>
      </c>
      <c r="B343">
        <f>Component!A31</f>
        <v/>
      </c>
      <c r="C343" t="inlineStr">
        <is>
          <t>Carbon content of biochar</t>
        </is>
      </c>
      <c r="D343" t="inlineStr">
        <is>
          <t>{[cmp_1KXEA1TH21S0G8VW_total_carbon_contents]} - {[cmp_1KXEA1TH21S0G8VW_inorganic_carbon_contents]}</t>
        </is>
      </c>
      <c r="E343" s="2" t="inlineStr">
        <is>
          <t>85.66000000000001</t>
        </is>
      </c>
      <c r="F343" t="n">
        <v>0</v>
      </c>
      <c r="G343" t="inlineStr">
        <is>
          <t>%</t>
        </is>
      </c>
    </row>
    <row r="344">
      <c r="A344" t="inlineStr">
        <is>
          <t>cmp_1KXEA1TH21S0G8VW_durable_fraction</t>
        </is>
      </c>
      <c r="B344">
        <f>Component!A31</f>
        <v/>
      </c>
      <c r="C344" t="inlineStr">
        <is>
          <t>Durable fraction</t>
        </is>
      </c>
      <c r="D344" t="inlineStr">
        <is>
          <t>min({cmp_1KXEA1TH21S0G8VW_durable_fraction_calc}, {cmp_1KXEA1TH21S0G8VW_max_durable_fraction})</t>
        </is>
      </c>
      <c r="E344" s="2" t="n">
        <v>0.8380804779022957</v>
      </c>
      <c r="F344" t="n">
        <v>0</v>
      </c>
      <c r="G344" t="inlineStr"/>
    </row>
    <row r="345">
      <c r="A345" t="inlineStr">
        <is>
          <t>cmp_1KXEA1TH21S0G8VW_mean_carbon_content</t>
        </is>
      </c>
      <c r="B345">
        <f>Component!A31</f>
        <v/>
      </c>
      <c r="C345" t="inlineStr">
        <is>
          <t>Mean carbon content</t>
        </is>
      </c>
      <c r="D345" t="inlineStr">
        <is>
          <t>mean({[cmp_1KXEA1TH21S0G8VW_carbon_contents]})</t>
        </is>
      </c>
      <c r="E345" s="2" t="n">
        <v>0.8566000000000001</v>
      </c>
      <c r="F345" t="n">
        <v>0</v>
      </c>
      <c r="G345" t="inlineStr"/>
    </row>
    <row r="346">
      <c r="A346" t="inlineStr">
        <is>
          <t>cmp_1KXEA1TH21S0G8VW_output</t>
        </is>
      </c>
      <c r="B346">
        <f>Component!A31</f>
        <v/>
      </c>
      <c r="C346" t="inlineStr">
        <is>
          <t>Biochar sequestration, 200 year durability</t>
        </is>
      </c>
      <c r="D346" t="inlineStr">
        <is>
          <t>{cmp_1KXEA1TH21S0G8VW_product_mass} * {cmp_1KXEA1TH21S0G8VW_mean_carbon_content} * {cmp_1KXEA1TH21S0G8VW_durable_fraction} * {cmp_1KXEA1TH21S0G8VW_co2e_of_carbon}</t>
        </is>
      </c>
      <c r="E346" s="2">
        <f>Datapoint!E99 * Expression!E345 * Expression!E344 * 3.667</f>
        <v/>
      </c>
      <c r="F346" t="n">
        <v>0</v>
      </c>
      <c r="G346" t="inlineStr">
        <is>
          <t>kg</t>
        </is>
      </c>
    </row>
    <row r="347">
      <c r="A347" t="inlineStr">
        <is>
          <t>cmp_1KXEA1TH21S0G8VW_component_root</t>
        </is>
      </c>
      <c r="B347">
        <f>Component!A31</f>
        <v/>
      </c>
      <c r="C347" t="inlineStr">
        <is>
          <t>Biochar sequestration, 200 year durability</t>
        </is>
      </c>
      <c r="D347" t="inlineStr">
        <is>
          <t>{cmp_1KXEA1TH21S0G8VW_output}</t>
        </is>
      </c>
      <c r="E347" s="2">
        <f>Expression!E346</f>
        <v/>
      </c>
      <c r="F347" t="n">
        <v>0</v>
      </c>
      <c r="G347" t="inlineStr">
        <is>
          <t>kg</t>
        </is>
      </c>
    </row>
    <row r="348">
      <c r="A348" t="inlineStr">
        <is>
          <t>cmp_1KXGK4R131S0T1FJ_output</t>
        </is>
      </c>
      <c r="B348">
        <f>Component!A94</f>
        <v/>
      </c>
      <c r="C348" t="inlineStr">
        <is>
          <t>Distance-based emissions</t>
        </is>
      </c>
      <c r="D348" t="inlineStr">
        <is>
          <t>{cmp_1KXGK4R131S0T1FJ_distance} * {cmp_1KXGK4R131S0T1FJ_carbon_intensity}</t>
        </is>
      </c>
      <c r="E348" s="2">
        <f>Datapoint!E333 * Datapoint!E332</f>
        <v/>
      </c>
      <c r="F348" t="n">
        <v>0</v>
      </c>
      <c r="G348" t="inlineStr">
        <is>
          <t>kg</t>
        </is>
      </c>
    </row>
    <row r="349">
      <c r="A349" t="inlineStr">
        <is>
          <t>cmp_1KXGK4R131S0T1FJ_component_root</t>
        </is>
      </c>
      <c r="B349">
        <f>Component!A94</f>
        <v/>
      </c>
      <c r="C349" t="inlineStr">
        <is>
          <t>CO Flatbed Truck Transport Embodied Emissions</t>
        </is>
      </c>
      <c r="D349" t="inlineStr">
        <is>
          <t>{cmp_1KXGK4R131S0T1FJ_output}</t>
        </is>
      </c>
      <c r="E349" s="2">
        <f>Expression!E348</f>
        <v/>
      </c>
      <c r="F349" t="n">
        <v>0</v>
      </c>
      <c r="G349" t="inlineStr">
        <is>
          <t>kg</t>
        </is>
      </c>
    </row>
    <row r="350">
      <c r="A350" t="inlineStr">
        <is>
          <t>cmp_1KXE4AHAG1S0M51X_component_root</t>
        </is>
      </c>
      <c r="B350">
        <f>Component!A25</f>
        <v/>
      </c>
      <c r="C350" t="inlineStr">
        <is>
          <t>Biochar Spreading Emissions</t>
        </is>
      </c>
      <c r="D350" t="inlineStr">
        <is>
          <t>{cmp_1KXE4AHAG1S0M51X_mass} * {cmp_1KXE4AHAG1S0M51X_carbon_intensity}</t>
        </is>
      </c>
      <c r="E350" s="2">
        <f>Datapoint!E76 * Datapoint!E75</f>
        <v/>
      </c>
      <c r="F350" t="n">
        <v>0</v>
      </c>
      <c r="G350" t="inlineStr">
        <is>
          <t>kg</t>
        </is>
      </c>
    </row>
    <row r="351">
      <c r="A351" t="inlineStr">
        <is>
          <t>cmp_1KXECAV741S00D1J_component_root</t>
        </is>
      </c>
      <c r="B351">
        <f>Component!A42</f>
        <v/>
      </c>
      <c r="C351" t="inlineStr">
        <is>
          <t>Biochar Production Emission (A)</t>
        </is>
      </c>
      <c r="D351" t="inlineStr">
        <is>
          <t>{cmp_1KXECAV741S00D1J_mass} * {cmp_1KXECAV741S00D1J_carbon_intensity}</t>
        </is>
      </c>
      <c r="E351" s="2">
        <f>Datapoint!E151 * Datapoint!E150</f>
        <v/>
      </c>
      <c r="F351" t="n">
        <v>0</v>
      </c>
      <c r="G351" t="inlineStr">
        <is>
          <t>kg</t>
        </is>
      </c>
    </row>
    <row r="352">
      <c r="A352" t="inlineStr">
        <is>
          <t>cmp_1KYA8BVBA1S0M3BZ_component_root</t>
        </is>
      </c>
      <c r="B352">
        <f>Component!A166</f>
        <v/>
      </c>
      <c r="C352" t="inlineStr">
        <is>
          <t>BCU - Transport Process</t>
        </is>
      </c>
      <c r="D352" t="inlineStr">
        <is>
          <t>{cmp_1KYA8BVBA1S0M3BZ_constant_reduction}</t>
        </is>
      </c>
      <c r="E352" s="2">
        <f>Datapoint!E595</f>
        <v/>
      </c>
      <c r="F352" t="n">
        <v>0</v>
      </c>
      <c r="G352" t="inlineStr">
        <is>
          <t>kg</t>
        </is>
      </c>
    </row>
    <row r="353">
      <c r="A353" t="inlineStr">
        <is>
          <t>cmp_1KY02PYB11S00WDX_soil_temp_delta</t>
        </is>
      </c>
      <c r="B353">
        <f>Component!A120</f>
        <v/>
      </c>
      <c r="C353" t="inlineStr">
        <is>
          <t>Difference in soil temp from 0 celsius</t>
        </is>
      </c>
      <c r="D353" t="inlineStr">
        <is>
          <t>{cmp_1KY02PYB11S00WDX_soil_temp} - {cmp_1KY02PYB11S00WDX_zero_degrees_celsius}</t>
        </is>
      </c>
      <c r="E353" s="2">
        <f>Datapoint!E434 - 273.15</f>
        <v/>
      </c>
      <c r="F353" t="n">
        <v>0</v>
      </c>
      <c r="G353" t="inlineStr">
        <is>
          <t>K</t>
        </is>
      </c>
    </row>
    <row r="354">
      <c r="A354" t="inlineStr">
        <is>
          <t>cmp_1KY02PYB11S00WDX_normalized_mean_soil_temp</t>
        </is>
      </c>
      <c r="B354">
        <f>Component!A120</f>
        <v/>
      </c>
      <c r="C354" t="inlineStr">
        <is>
          <t>Mean soil temperature in dimensionless units</t>
        </is>
      </c>
      <c r="D354" t="inlineStr">
        <is>
          <t>{cmp_1KY02PYB11S00WDX_soil_temp_delta} / {cmp_1KY02PYB11S00WDX_one_degree_celsius_delta}</t>
        </is>
      </c>
      <c r="E354" s="2">
        <f>Expression!E353 / 1.0</f>
        <v/>
      </c>
      <c r="F354" t="n">
        <v>0</v>
      </c>
      <c r="G354" t="inlineStr"/>
    </row>
    <row r="355">
      <c r="A355" t="inlineStr">
        <is>
          <t>cmp_1KY02PYB11S00WDX_log_mean_soil_temp</t>
        </is>
      </c>
      <c r="B355">
        <f>Component!A120</f>
        <v/>
      </c>
      <c r="C355" t="inlineStr">
        <is>
          <t>Natural log of mean soil temperature in dimensionless units</t>
        </is>
      </c>
      <c r="D355" t="inlineStr">
        <is>
          <t>ln({cmp_1KY02PYB11S00WDX_normalized_mean_soil_temp})</t>
        </is>
      </c>
      <c r="E355" s="2" t="n">
        <v>2.415913778301049</v>
      </c>
      <c r="F355" t="n">
        <v>0</v>
      </c>
      <c r="G355" t="inlineStr"/>
    </row>
    <row r="356">
      <c r="A356" t="inlineStr">
        <is>
          <t>cmp_1KY02PYB11S00WDX_h_c_ratio</t>
        </is>
      </c>
      <c r="B356">
        <f>Component!A120</f>
        <v/>
      </c>
      <c r="C356" t="inlineStr">
        <is>
          <t>H:C ratio</t>
        </is>
      </c>
      <c r="D356" t="inlineStr">
        <is>
          <t>mean({[cmp_1KY02PYB11S00WDX_h_c_molar_ratios]})</t>
        </is>
      </c>
      <c r="E356" s="2" t="n">
        <v>0.32</v>
      </c>
      <c r="F356" t="n">
        <v>0</v>
      </c>
      <c r="G356" t="inlineStr"/>
    </row>
    <row r="357">
      <c r="A357" t="inlineStr">
        <is>
          <t>cmp_1KY02PYB11S00WDX_non_durable_fraction_calc</t>
        </is>
      </c>
      <c r="B357">
        <f>Component!A120</f>
        <v/>
      </c>
      <c r="C357" t="inlineStr">
        <is>
          <t>Non-durable fraction</t>
        </is>
      </c>
      <c r="D357" t="inlineStr">
        <is>
          <t>{cmp_1KY02PYB11S00WDX_woolf_parameter_c} + ({cmp_1KY02PYB11S00WDX_woolf_parameter_a} + {cmp_1KY02PYB11S00WDX_woolf_parameter_b} * {cmp_1KY02PYB11S00WDX_log_mean_soil_temp}) * {cmp_1KY02PYB11S00WDX_h_c_ratio}</t>
        </is>
      </c>
      <c r="E357" s="2">
        <f>-0.048 + (-0.383 + 0.35 * Expression!E355) * Expression!E356</f>
        <v/>
      </c>
      <c r="F357" t="n">
        <v>0</v>
      </c>
      <c r="G357" t="inlineStr"/>
    </row>
    <row r="358">
      <c r="A358" t="inlineStr">
        <is>
          <t>cmp_1KY02PYB11S00WDX_durable_fraction_calc</t>
        </is>
      </c>
      <c r="B358">
        <f>Component!A120</f>
        <v/>
      </c>
      <c r="C358" t="inlineStr">
        <is>
          <t>Durable fraction</t>
        </is>
      </c>
      <c r="D358" t="inlineStr">
        <is>
          <t>complement_of({cmp_1KY02PYB11S00WDX_non_durable_fraction_calc})</t>
        </is>
      </c>
      <c r="E358" s="2" t="n">
        <v>0.8999776568302825</v>
      </c>
      <c r="F358" t="n">
        <v>0</v>
      </c>
      <c r="G358" t="inlineStr"/>
    </row>
    <row r="359">
      <c r="A359" t="inlineStr">
        <is>
          <t>cmp_1KY02PYB11S00WDX_carbon_contents</t>
        </is>
      </c>
      <c r="B359">
        <f>Component!A120</f>
        <v/>
      </c>
      <c r="C359" t="inlineStr">
        <is>
          <t>Carbon content of biochar</t>
        </is>
      </c>
      <c r="D359" t="inlineStr">
        <is>
          <t>{[cmp_1KY02PYB11S00WDX_total_carbon_contents]} - {[cmp_1KY02PYB11S00WDX_inorganic_carbon_contents]}</t>
        </is>
      </c>
      <c r="E359" s="2" t="inlineStr">
        <is>
          <t>86.3667</t>
        </is>
      </c>
      <c r="F359" t="n">
        <v>0</v>
      </c>
      <c r="G359" t="inlineStr">
        <is>
          <t>%</t>
        </is>
      </c>
    </row>
    <row r="360">
      <c r="A360" t="inlineStr">
        <is>
          <t>cmp_1KY02PYB11S00WDX_durable_fraction</t>
        </is>
      </c>
      <c r="B360">
        <f>Component!A120</f>
        <v/>
      </c>
      <c r="C360" t="inlineStr">
        <is>
          <t>Durable fraction</t>
        </is>
      </c>
      <c r="D360" t="inlineStr">
        <is>
          <t>min({cmp_1KY02PYB11S00WDX_durable_fraction_calc}, {cmp_1KY02PYB11S00WDX_max_durable_fraction})</t>
        </is>
      </c>
      <c r="E360" s="2" t="n">
        <v>0.8999776568302825</v>
      </c>
      <c r="F360" t="n">
        <v>0</v>
      </c>
      <c r="G360" t="inlineStr"/>
    </row>
    <row r="361">
      <c r="A361" t="inlineStr">
        <is>
          <t>cmp_1KY02PYB11S00WDX_mean_carbon_content</t>
        </is>
      </c>
      <c r="B361">
        <f>Component!A120</f>
        <v/>
      </c>
      <c r="C361" t="inlineStr">
        <is>
          <t>Mean carbon content</t>
        </is>
      </c>
      <c r="D361" t="inlineStr">
        <is>
          <t>mean({[cmp_1KY02PYB11S00WDX_carbon_contents]})</t>
        </is>
      </c>
      <c r="E361" s="2" t="n">
        <v>0.863667</v>
      </c>
      <c r="F361" t="n">
        <v>0</v>
      </c>
      <c r="G361" t="inlineStr"/>
    </row>
    <row r="362">
      <c r="A362" t="inlineStr">
        <is>
          <t>cmp_1KY02PYB11S00WDX_output</t>
        </is>
      </c>
      <c r="B362">
        <f>Component!A120</f>
        <v/>
      </c>
      <c r="C362" t="inlineStr">
        <is>
          <t>Biochar sequestration, 200 year durability</t>
        </is>
      </c>
      <c r="D362" t="inlineStr">
        <is>
          <t>{cmp_1KY02PYB11S00WDX_product_mass} * {cmp_1KY02PYB11S00WDX_mean_carbon_content} * {cmp_1KY02PYB11S00WDX_durable_fraction} * {cmp_1KY02PYB11S00WDX_co2e_of_carbon}</t>
        </is>
      </c>
      <c r="E362" s="2">
        <f>Datapoint!E433 * Expression!E361 * Expression!E360 * 3.667</f>
        <v/>
      </c>
      <c r="F362" t="n">
        <v>0</v>
      </c>
      <c r="G362" t="inlineStr">
        <is>
          <t>kg</t>
        </is>
      </c>
    </row>
    <row r="363">
      <c r="A363" t="inlineStr">
        <is>
          <t>cmp_1KY02PYB11S00WDX_component_root</t>
        </is>
      </c>
      <c r="B363">
        <f>Component!A120</f>
        <v/>
      </c>
      <c r="C363" t="inlineStr">
        <is>
          <t>Biochar sequestration, 200 year durability</t>
        </is>
      </c>
      <c r="D363" t="inlineStr">
        <is>
          <t>{cmp_1KY02PYB11S00WDX_output}</t>
        </is>
      </c>
      <c r="E363" s="2">
        <f>Expression!E362</f>
        <v/>
      </c>
      <c r="F363" t="n">
        <v>0</v>
      </c>
      <c r="G363" t="inlineStr">
        <is>
          <t>kg</t>
        </is>
      </c>
    </row>
    <row r="364">
      <c r="A364" t="inlineStr">
        <is>
          <t>cmp_1KWCSDFQF1S0XN58_output</t>
        </is>
      </c>
      <c r="B364">
        <f>Component!A12</f>
        <v/>
      </c>
      <c r="C364" t="inlineStr">
        <is>
          <t>Distance-based emissions</t>
        </is>
      </c>
      <c r="D364" t="inlineStr">
        <is>
          <t>{cmp_1KWCSDFQF1S0XN58_distance} * {cmp_1KWCSDFQF1S0XN58_carbon_intensity}</t>
        </is>
      </c>
      <c r="E364" s="2">
        <f>Datapoint!E116 * Datapoint!E33</f>
        <v/>
      </c>
      <c r="F364" t="n">
        <v>0</v>
      </c>
      <c r="G364" t="inlineStr">
        <is>
          <t>kg</t>
        </is>
      </c>
    </row>
    <row r="365">
      <c r="A365" t="inlineStr">
        <is>
          <t>cmp_1KWCSDFQF1S0XN58_component_root</t>
        </is>
      </c>
      <c r="B365">
        <f>Component!A12</f>
        <v/>
      </c>
      <c r="C365" t="inlineStr">
        <is>
          <t>CO Flatbed Truck Transport Embodied Emissions</t>
        </is>
      </c>
      <c r="D365" t="inlineStr">
        <is>
          <t>{cmp_1KWCSDFQF1S0XN58_output}</t>
        </is>
      </c>
      <c r="E365" s="2">
        <f>Expression!E364</f>
        <v/>
      </c>
      <c r="F365" t="n">
        <v>0</v>
      </c>
      <c r="G365" t="inlineStr">
        <is>
          <t>kg</t>
        </is>
      </c>
    </row>
    <row r="366">
      <c r="A366" t="inlineStr">
        <is>
          <t>cmp_1KY57NCC21S0R2SM_component_root</t>
        </is>
      </c>
      <c r="B366">
        <f>Component!A140</f>
        <v/>
      </c>
      <c r="C366" t="inlineStr">
        <is>
          <t>CO Flatbed Truck Transport Process Emissions</t>
        </is>
      </c>
      <c r="D366" t="inlineStr">
        <is>
          <t>{cmp_1KY57NCC21S0R2SM_mass} * {cmp_1KY57NCC21S0R2SM_distance} * {cmp_1KY57NCC21S0R2SM_carbon_intensity}</t>
        </is>
      </c>
      <c r="E366" s="2">
        <f>Datapoint!E504 * Datapoint!E503 * Datapoint!E502</f>
        <v/>
      </c>
      <c r="F366" t="n">
        <v>0</v>
      </c>
      <c r="G366" t="inlineStr">
        <is>
          <t>kg</t>
        </is>
      </c>
    </row>
    <row r="367">
      <c r="A367" t="inlineStr">
        <is>
          <t>cmp_1KY57MT101S0WF51_output</t>
        </is>
      </c>
      <c r="B367">
        <f>Component!A135</f>
        <v/>
      </c>
      <c r="C367" t="inlineStr">
        <is>
          <t>Distance-based emissions</t>
        </is>
      </c>
      <c r="D367" t="inlineStr">
        <is>
          <t>{cmp_1KY57MT101S0WF51_distance} * {cmp_1KY57MT101S0WF51_carbon_intensity}</t>
        </is>
      </c>
      <c r="E367" s="2">
        <f>Datapoint!E488 * Datapoint!E487</f>
        <v/>
      </c>
      <c r="F367" t="n">
        <v>0</v>
      </c>
      <c r="G367" t="inlineStr">
        <is>
          <t>kg</t>
        </is>
      </c>
    </row>
    <row r="368">
      <c r="A368" t="inlineStr">
        <is>
          <t>cmp_1KY57MT101S0WF51_component_root</t>
        </is>
      </c>
      <c r="B368">
        <f>Component!A135</f>
        <v/>
      </c>
      <c r="C368" t="inlineStr">
        <is>
          <t>CO Flatbed Truck Transport Embodied Emissions</t>
        </is>
      </c>
      <c r="D368" t="inlineStr">
        <is>
          <t>{cmp_1KY57MT101S0WF51_output}</t>
        </is>
      </c>
      <c r="E368" s="2">
        <f>Expression!E367</f>
        <v/>
      </c>
      <c r="F368" t="n">
        <v>0</v>
      </c>
      <c r="G368" t="inlineStr">
        <is>
          <t>kg</t>
        </is>
      </c>
    </row>
    <row r="369">
      <c r="A369" t="inlineStr">
        <is>
          <t>cmp_1KXEJCGYM1S06RY0_component_root</t>
        </is>
      </c>
      <c r="B369">
        <f>Component!A55</f>
        <v/>
      </c>
      <c r="C369" t="inlineStr">
        <is>
          <t>CO Flatbed Truck Transport Process Emissions</t>
        </is>
      </c>
      <c r="D369" t="inlineStr">
        <is>
          <t>{cmp_1KXEJCGYM1S06RY0_mass} * {cmp_1KXEJCGYM1S06RY0_distance} * {cmp_1KXEJCGYM1S06RY0_carbon_intensity}</t>
        </is>
      </c>
      <c r="E369" s="2">
        <f>Datapoint!E196 * Datapoint!E195 * Datapoint!E194</f>
        <v/>
      </c>
      <c r="F369" t="n">
        <v>0</v>
      </c>
      <c r="G369" t="inlineStr">
        <is>
          <t>kg</t>
        </is>
      </c>
    </row>
    <row r="370">
      <c r="A370" t="inlineStr">
        <is>
          <t>cmp_1KYA8CVCR1S0RDRW_component_root</t>
        </is>
      </c>
      <c r="B370">
        <f>Component!A171</f>
        <v/>
      </c>
      <c r="C370" t="inlineStr">
        <is>
          <t>BCU - Transport Process</t>
        </is>
      </c>
      <c r="D370" t="inlineStr">
        <is>
          <t>{cmp_1KYA8CVCR1S0RDRW_constant_reduction}</t>
        </is>
      </c>
      <c r="E370" s="2">
        <f>Datapoint!E605</f>
        <v/>
      </c>
      <c r="F370" t="n">
        <v>0</v>
      </c>
      <c r="G370" t="inlineStr">
        <is>
          <t>kg</t>
        </is>
      </c>
    </row>
    <row r="371">
      <c r="A371" t="inlineStr">
        <is>
          <t>cmp_1KYA8C6KP1S0SA1D_component_root</t>
        </is>
      </c>
      <c r="B371">
        <f>Component!A168</f>
        <v/>
      </c>
      <c r="C371" t="inlineStr">
        <is>
          <t>BCU - Transport Process</t>
        </is>
      </c>
      <c r="D371" t="inlineStr">
        <is>
          <t>{cmp_1KYA8C6KP1S0SA1D_constant_reduction}</t>
        </is>
      </c>
      <c r="E371" s="2">
        <f>Datapoint!E599</f>
        <v/>
      </c>
      <c r="F371" t="n">
        <v>0</v>
      </c>
      <c r="G371" t="inlineStr">
        <is>
          <t>kg</t>
        </is>
      </c>
    </row>
    <row r="372">
      <c r="A372" t="inlineStr">
        <is>
          <t>cmp_1KXEBV2PW1S0KSAX_component_root</t>
        </is>
      </c>
      <c r="B372">
        <f>Component!A38</f>
        <v/>
      </c>
      <c r="C372" t="inlineStr">
        <is>
          <t>Biochar Spreading Emissions</t>
        </is>
      </c>
      <c r="D372" t="inlineStr">
        <is>
          <t>{cmp_1KXEBV2PW1S0KSAX_mass} * {cmp_1KXEBV2PW1S0KSAX_carbon_intensity}</t>
        </is>
      </c>
      <c r="E372" s="2">
        <f>Datapoint!E123 * Datapoint!E122</f>
        <v/>
      </c>
      <c r="F372" t="n">
        <v>0</v>
      </c>
      <c r="G372" t="inlineStr">
        <is>
          <t>kg</t>
        </is>
      </c>
    </row>
    <row r="373">
      <c r="A373" t="inlineStr">
        <is>
          <t>cmp_1KXGK2Y3V1S0VC5X_component_root</t>
        </is>
      </c>
      <c r="B373">
        <f>Component!A79</f>
        <v/>
      </c>
      <c r="C373" t="inlineStr">
        <is>
          <t>Biochar Spreading Emissions</t>
        </is>
      </c>
      <c r="D373" t="inlineStr">
        <is>
          <t>{cmp_1KXGK2Y3V1S0VC5X_mass} * {cmp_1KXGK2Y3V1S0VC5X_carbon_intensity}</t>
        </is>
      </c>
      <c r="E373" s="2">
        <f>Datapoint!E266 * Datapoint!E265</f>
        <v/>
      </c>
      <c r="F373" t="n">
        <v>0</v>
      </c>
      <c r="G373" t="inlineStr">
        <is>
          <t>kg</t>
        </is>
      </c>
    </row>
    <row r="374">
      <c r="A374" t="inlineStr">
        <is>
          <t>cmp_1KYABSTXA1S03SG0_component_root</t>
        </is>
      </c>
      <c r="B374">
        <f>Component!A182</f>
        <v/>
      </c>
      <c r="C374" t="inlineStr">
        <is>
          <t>Biochar Production Emission (A)</t>
        </is>
      </c>
      <c r="D374" t="inlineStr">
        <is>
          <t>{cmp_1KYABSTXA1S03SG0_mass} * {cmp_1KYABSTXA1S03SG0_carbon_intensity}</t>
        </is>
      </c>
      <c r="E374" s="2">
        <f>Datapoint!E633 * Datapoint!E632</f>
        <v/>
      </c>
      <c r="F374" t="n">
        <v>0</v>
      </c>
      <c r="G374" t="inlineStr">
        <is>
          <t>kg</t>
        </is>
      </c>
    </row>
    <row r="375">
      <c r="A375" t="inlineStr">
        <is>
          <t>cmp_1KXGK5BMT1S0TPH6_component_root</t>
        </is>
      </c>
      <c r="B375">
        <f>Component!A97</f>
        <v/>
      </c>
      <c r="C375" t="inlineStr">
        <is>
          <t>Biochar Spreading Emissions</t>
        </is>
      </c>
      <c r="D375" t="inlineStr">
        <is>
          <t>{cmp_1KXGK5BMT1S0TPH6_mass} * {cmp_1KXGK5BMT1S0TPH6_carbon_intensity}</t>
        </is>
      </c>
      <c r="E375" s="2">
        <f>Datapoint!E339 * Datapoint!E338</f>
        <v/>
      </c>
      <c r="F375" t="n">
        <v>0</v>
      </c>
      <c r="G375" t="inlineStr">
        <is>
          <t>kg</t>
        </is>
      </c>
    </row>
    <row r="376">
      <c r="A376" t="inlineStr">
        <is>
          <t>cmp_1KY57M9F81S0FEZ2_soil_temp_delta</t>
        </is>
      </c>
      <c r="B376">
        <f>Component!A130</f>
        <v/>
      </c>
      <c r="C376" t="inlineStr">
        <is>
          <t>Difference in soil temp from 0 celsius</t>
        </is>
      </c>
      <c r="D376" t="inlineStr">
        <is>
          <t>{cmp_1KY57M9F81S0FEZ2_soil_temp} - {cmp_1KY57M9F81S0FEZ2_zero_degrees_celsius}</t>
        </is>
      </c>
      <c r="E376" s="2">
        <f>Datapoint!E466 - 273.15</f>
        <v/>
      </c>
      <c r="F376" t="n">
        <v>0</v>
      </c>
      <c r="G376" t="inlineStr">
        <is>
          <t>K</t>
        </is>
      </c>
    </row>
    <row r="377">
      <c r="A377" t="inlineStr">
        <is>
          <t>cmp_1KY57M9F81S0FEZ2_normalized_mean_soil_temp</t>
        </is>
      </c>
      <c r="B377">
        <f>Component!A130</f>
        <v/>
      </c>
      <c r="C377" t="inlineStr">
        <is>
          <t>Mean soil temperature in dimensionless units</t>
        </is>
      </c>
      <c r="D377" t="inlineStr">
        <is>
          <t>{cmp_1KY57M9F81S0FEZ2_soil_temp_delta} / {cmp_1KY57M9F81S0FEZ2_one_degree_celsius_delta}</t>
        </is>
      </c>
      <c r="E377" s="2">
        <f>Expression!E376 / 1.0</f>
        <v/>
      </c>
      <c r="F377" t="n">
        <v>0</v>
      </c>
      <c r="G377" t="inlineStr"/>
    </row>
    <row r="378">
      <c r="A378" t="inlineStr">
        <is>
          <t>cmp_1KY57M9F81S0FEZ2_log_mean_soil_temp</t>
        </is>
      </c>
      <c r="B378">
        <f>Component!A130</f>
        <v/>
      </c>
      <c r="C378" t="inlineStr">
        <is>
          <t>Natural log of mean soil temperature in dimensionless units</t>
        </is>
      </c>
      <c r="D378" t="inlineStr">
        <is>
          <t>ln({cmp_1KY57M9F81S0FEZ2_normalized_mean_soil_temp})</t>
        </is>
      </c>
      <c r="E378" s="2" t="n">
        <v>2.415913778301049</v>
      </c>
      <c r="F378" t="n">
        <v>0</v>
      </c>
      <c r="G378" t="inlineStr"/>
    </row>
    <row r="379">
      <c r="A379" t="inlineStr">
        <is>
          <t>cmp_1KY57M9F81S0FEZ2_h_c_ratio</t>
        </is>
      </c>
      <c r="B379">
        <f>Component!A130</f>
        <v/>
      </c>
      <c r="C379" t="inlineStr">
        <is>
          <t>H:C ratio</t>
        </is>
      </c>
      <c r="D379" t="inlineStr">
        <is>
          <t>mean({[cmp_1KY57M9F81S0FEZ2_h_c_molar_ratios]})</t>
        </is>
      </c>
      <c r="E379" s="2" t="n">
        <v>0.3467</v>
      </c>
      <c r="F379" t="n">
        <v>0</v>
      </c>
      <c r="G379" t="inlineStr"/>
    </row>
    <row r="380">
      <c r="A380" t="inlineStr">
        <is>
          <t>cmp_1KY57M9F81S0FEZ2_non_durable_fraction_calc</t>
        </is>
      </c>
      <c r="B380">
        <f>Component!A130</f>
        <v/>
      </c>
      <c r="C380" t="inlineStr">
        <is>
          <t>Non-durable fraction</t>
        </is>
      </c>
      <c r="D380" t="inlineStr">
        <is>
          <t>{cmp_1KY57M9F81S0FEZ2_woolf_parameter_c} + ({cmp_1KY57M9F81S0FEZ2_woolf_parameter_a} + {cmp_1KY57M9F81S0FEZ2_woolf_parameter_b} * {cmp_1KY57M9F81S0FEZ2_log_mean_soil_temp}) * {cmp_1KY57M9F81S0FEZ2_h_c_ratio}</t>
        </is>
      </c>
      <c r="E380" s="2">
        <f>-0.048 + (-0.383 + 0.35 * Expression!E378) * Expression!E379</f>
        <v/>
      </c>
      <c r="F380" t="n">
        <v>0</v>
      </c>
      <c r="G380" t="inlineStr"/>
    </row>
    <row r="381">
      <c r="A381" t="inlineStr">
        <is>
          <t>cmp_1KY57M9F81S0FEZ2_durable_fraction_calc</t>
        </is>
      </c>
      <c r="B381">
        <f>Component!A130</f>
        <v/>
      </c>
      <c r="C381" t="inlineStr">
        <is>
          <t>Durable fraction</t>
        </is>
      </c>
      <c r="D381" t="inlineStr">
        <is>
          <t>complement_of({cmp_1KY57M9F81S0FEZ2_non_durable_fraction_calc})</t>
        </is>
      </c>
      <c r="E381" s="2" t="n">
        <v>0.8876270425720593</v>
      </c>
      <c r="F381" t="n">
        <v>0</v>
      </c>
      <c r="G381" t="inlineStr"/>
    </row>
    <row r="382">
      <c r="A382" t="inlineStr">
        <is>
          <t>cmp_1KY57M9F81S0FEZ2_carbon_contents</t>
        </is>
      </c>
      <c r="B382">
        <f>Component!A130</f>
        <v/>
      </c>
      <c r="C382" t="inlineStr">
        <is>
          <t>Carbon content of biochar</t>
        </is>
      </c>
      <c r="D382" t="inlineStr">
        <is>
          <t>{[cmp_1KY57M9F81S0FEZ2_total_carbon_contents]} - {[cmp_1KY57M9F81S0FEZ2_inorganic_carbon_contents]}</t>
        </is>
      </c>
      <c r="E382" s="2" t="inlineStr">
        <is>
          <t>87.10010000000001</t>
        </is>
      </c>
      <c r="F382" t="n">
        <v>0</v>
      </c>
      <c r="G382" t="inlineStr">
        <is>
          <t>%</t>
        </is>
      </c>
    </row>
    <row r="383">
      <c r="A383" t="inlineStr">
        <is>
          <t>cmp_1KY57M9F81S0FEZ2_durable_fraction</t>
        </is>
      </c>
      <c r="B383">
        <f>Component!A130</f>
        <v/>
      </c>
      <c r="C383" t="inlineStr">
        <is>
          <t>Durable fraction</t>
        </is>
      </c>
      <c r="D383" t="inlineStr">
        <is>
          <t>min({cmp_1KY57M9F81S0FEZ2_durable_fraction_calc}, {cmp_1KY57M9F81S0FEZ2_max_durable_fraction})</t>
        </is>
      </c>
      <c r="E383" s="2" t="n">
        <v>0.8876270425720593</v>
      </c>
      <c r="F383" t="n">
        <v>0</v>
      </c>
      <c r="G383" t="inlineStr"/>
    </row>
    <row r="384">
      <c r="A384" t="inlineStr">
        <is>
          <t>cmp_1KY57M9F81S0FEZ2_mean_carbon_content</t>
        </is>
      </c>
      <c r="B384">
        <f>Component!A130</f>
        <v/>
      </c>
      <c r="C384" t="inlineStr">
        <is>
          <t>Mean carbon content</t>
        </is>
      </c>
      <c r="D384" t="inlineStr">
        <is>
          <t>mean({[cmp_1KY57M9F81S0FEZ2_carbon_contents]})</t>
        </is>
      </c>
      <c r="E384" s="2" t="n">
        <v>0.8710010000000001</v>
      </c>
      <c r="F384" t="n">
        <v>0</v>
      </c>
      <c r="G384" t="inlineStr"/>
    </row>
    <row r="385">
      <c r="A385" t="inlineStr">
        <is>
          <t>cmp_1KY57M9F81S0FEZ2_output</t>
        </is>
      </c>
      <c r="B385">
        <f>Component!A130</f>
        <v/>
      </c>
      <c r="C385" t="inlineStr">
        <is>
          <t>Biochar sequestration, 200 year durability</t>
        </is>
      </c>
      <c r="D385" t="inlineStr">
        <is>
          <t>{cmp_1KY57M9F81S0FEZ2_product_mass} * {cmp_1KY57M9F81S0FEZ2_mean_carbon_content} * {cmp_1KY57M9F81S0FEZ2_durable_fraction} * {cmp_1KY57M9F81S0FEZ2_co2e_of_carbon}</t>
        </is>
      </c>
      <c r="E385" s="2">
        <f>Datapoint!E465 * Expression!E384 * Expression!E383 * 3.667</f>
        <v/>
      </c>
      <c r="F385" t="n">
        <v>0</v>
      </c>
      <c r="G385" t="inlineStr">
        <is>
          <t>kg</t>
        </is>
      </c>
    </row>
    <row r="386">
      <c r="A386" t="inlineStr">
        <is>
          <t>cmp_1KY57M9F81S0FEZ2_component_root</t>
        </is>
      </c>
      <c r="B386">
        <f>Component!A130</f>
        <v/>
      </c>
      <c r="C386" t="inlineStr">
        <is>
          <t>Biochar sequestration, 200 year durability</t>
        </is>
      </c>
      <c r="D386" t="inlineStr">
        <is>
          <t>{cmp_1KY57M9F81S0FEZ2_output}</t>
        </is>
      </c>
      <c r="E386" s="2">
        <f>Expression!E385</f>
        <v/>
      </c>
      <c r="F386" t="n">
        <v>0</v>
      </c>
      <c r="G386" t="inlineStr">
        <is>
          <t>kg</t>
        </is>
      </c>
    </row>
    <row r="387">
      <c r="A387" t="inlineStr">
        <is>
          <t>cmp_1KWCSDFQF1S0RKR7_soil_temp_delta</t>
        </is>
      </c>
      <c r="B387">
        <f>Component!A11</f>
        <v/>
      </c>
      <c r="C387" t="inlineStr">
        <is>
          <t>Difference in soil temp from 0 celsius</t>
        </is>
      </c>
      <c r="D387" t="inlineStr">
        <is>
          <t>{cmp_1KWCSDFQF1S0RKR7_soil_temp} - {cmp_1KWCSDFQF1S0RKR7_zero_degrees_celsius}</t>
        </is>
      </c>
      <c r="E387" s="2">
        <f>Datapoint!E26 - 273.15</f>
        <v/>
      </c>
      <c r="F387" t="n">
        <v>0</v>
      </c>
      <c r="G387" t="inlineStr">
        <is>
          <t>K</t>
        </is>
      </c>
    </row>
    <row r="388">
      <c r="A388" t="inlineStr">
        <is>
          <t>cmp_1KWCSDFQF1S0RKR7_normalized_mean_soil_temp</t>
        </is>
      </c>
      <c r="B388">
        <f>Component!A11</f>
        <v/>
      </c>
      <c r="C388" t="inlineStr">
        <is>
          <t>Mean soil temperature in dimensionless units</t>
        </is>
      </c>
      <c r="D388" t="inlineStr">
        <is>
          <t>{cmp_1KWCSDFQF1S0RKR7_soil_temp_delta} / {cmp_1KWCSDFQF1S0RKR7_one_degree_celsius_delta}</t>
        </is>
      </c>
      <c r="E388" s="2">
        <f>Expression!E387 / 1.0</f>
        <v/>
      </c>
      <c r="F388" t="n">
        <v>0</v>
      </c>
      <c r="G388" t="inlineStr"/>
    </row>
    <row r="389">
      <c r="A389" t="inlineStr">
        <is>
          <t>cmp_1KWCSDFQF1S0RKR7_log_mean_soil_temp</t>
        </is>
      </c>
      <c r="B389">
        <f>Component!A11</f>
        <v/>
      </c>
      <c r="C389" t="inlineStr">
        <is>
          <t>Natural log of mean soil temperature in dimensionless units</t>
        </is>
      </c>
      <c r="D389" t="inlineStr">
        <is>
          <t>ln({cmp_1KWCSDFQF1S0RKR7_normalized_mean_soil_temp})</t>
        </is>
      </c>
      <c r="E389" s="2" t="n">
        <v>2.388762789235098</v>
      </c>
      <c r="F389" t="n">
        <v>0</v>
      </c>
      <c r="G389" t="inlineStr"/>
    </row>
    <row r="390">
      <c r="A390" t="inlineStr">
        <is>
          <t>cmp_1KWCSDFQF1S0RKR7_h_c_ratio</t>
        </is>
      </c>
      <c r="B390">
        <f>Component!A11</f>
        <v/>
      </c>
      <c r="C390" t="inlineStr">
        <is>
          <t>H:C ratio</t>
        </is>
      </c>
      <c r="D390" t="inlineStr">
        <is>
          <t>mean({[cmp_1KWCSDFQF1S0RKR7_h_c_molar_ratios]})</t>
        </is>
      </c>
      <c r="E390" s="2" t="n">
        <v>0.44</v>
      </c>
      <c r="F390" t="n">
        <v>0</v>
      </c>
      <c r="G390" t="inlineStr"/>
    </row>
    <row r="391">
      <c r="A391" t="inlineStr">
        <is>
          <t>cmp_1KWCSDFQF1S0RKR7_non_durable_fraction_calc</t>
        </is>
      </c>
      <c r="B391">
        <f>Component!A11</f>
        <v/>
      </c>
      <c r="C391" t="inlineStr">
        <is>
          <t>Non-durable fraction</t>
        </is>
      </c>
      <c r="D391" t="inlineStr">
        <is>
          <t>{cmp_1KWCSDFQF1S0RKR7_woolf_parameter_c} + ({cmp_1KWCSDFQF1S0RKR7_woolf_parameter_a} + {cmp_1KWCSDFQF1S0RKR7_woolf_parameter_b} * {cmp_1KWCSDFQF1S0RKR7_log_mean_soil_temp}) * {cmp_1KWCSDFQF1S0RKR7_h_c_ratio}</t>
        </is>
      </c>
      <c r="E391" s="2">
        <f>-0.048 + (-0.383 + 0.35 * Expression!E389) * Expression!E390</f>
        <v/>
      </c>
      <c r="F391" t="n">
        <v>0</v>
      </c>
      <c r="G391" t="inlineStr"/>
    </row>
    <row r="392">
      <c r="A392" t="inlineStr">
        <is>
          <t>cmp_1KWCSDFQF1S0RKR7_durable_fraction_calc</t>
        </is>
      </c>
      <c r="B392">
        <f>Component!A11</f>
        <v/>
      </c>
      <c r="C392" t="inlineStr">
        <is>
          <t>Durable fraction</t>
        </is>
      </c>
      <c r="D392" t="inlineStr">
        <is>
          <t>complement_of({cmp_1KWCSDFQF1S0RKR7_non_durable_fraction_calc})</t>
        </is>
      </c>
      <c r="E392" s="2" t="n">
        <v>0.8486505304577949</v>
      </c>
      <c r="F392" t="n">
        <v>0</v>
      </c>
      <c r="G392" t="inlineStr"/>
    </row>
    <row r="393">
      <c r="A393" t="inlineStr">
        <is>
          <t>cmp_1KWCSDFQF1S0RKR7_carbon_contents</t>
        </is>
      </c>
      <c r="B393">
        <f>Component!A11</f>
        <v/>
      </c>
      <c r="C393" t="inlineStr">
        <is>
          <t>Carbon content of biochar</t>
        </is>
      </c>
      <c r="D393" t="inlineStr">
        <is>
          <t>{[cmp_1KWCSDFQF1S0RKR7_total_carbon_contents]} - {[cmp_1KWCSDFQF1S0RKR7_inorganic_carbon_contents]}</t>
        </is>
      </c>
      <c r="E393" s="2" t="inlineStr">
        <is>
          <t>84.933</t>
        </is>
      </c>
      <c r="F393" t="n">
        <v>0</v>
      </c>
      <c r="G393" t="inlineStr">
        <is>
          <t>%</t>
        </is>
      </c>
    </row>
    <row r="394">
      <c r="A394" t="inlineStr">
        <is>
          <t>cmp_1KWCSDFQF1S0RKR7_durable_fraction</t>
        </is>
      </c>
      <c r="B394">
        <f>Component!A11</f>
        <v/>
      </c>
      <c r="C394" t="inlineStr">
        <is>
          <t>Durable fraction</t>
        </is>
      </c>
      <c r="D394" t="inlineStr">
        <is>
          <t>min({cmp_1KWCSDFQF1S0RKR7_durable_fraction_calc}, {cmp_1KWCSDFQF1S0RKR7_max_durable_fraction})</t>
        </is>
      </c>
      <c r="E394" s="2" t="n">
        <v>0.8486505304577949</v>
      </c>
      <c r="F394" t="n">
        <v>0</v>
      </c>
      <c r="G394" t="inlineStr"/>
    </row>
    <row r="395">
      <c r="A395" t="inlineStr">
        <is>
          <t>cmp_1KWCSDFQF1S0RKR7_mean_carbon_content</t>
        </is>
      </c>
      <c r="B395">
        <f>Component!A11</f>
        <v/>
      </c>
      <c r="C395" t="inlineStr">
        <is>
          <t>Mean carbon content</t>
        </is>
      </c>
      <c r="D395" t="inlineStr">
        <is>
          <t>mean({[cmp_1KWCSDFQF1S0RKR7_carbon_contents]})</t>
        </is>
      </c>
      <c r="E395" s="2" t="n">
        <v>0.8493300000000001</v>
      </c>
      <c r="F395" t="n">
        <v>0</v>
      </c>
      <c r="G395" t="inlineStr"/>
    </row>
    <row r="396">
      <c r="A396" t="inlineStr">
        <is>
          <t>cmp_1KWCSDFQF1S0RKR7_output</t>
        </is>
      </c>
      <c r="B396">
        <f>Component!A11</f>
        <v/>
      </c>
      <c r="C396" t="inlineStr">
        <is>
          <t>Biochar sequestration, 200 year durability</t>
        </is>
      </c>
      <c r="D396" t="inlineStr">
        <is>
          <t>{cmp_1KWCSDFQF1S0RKR7_product_mass} * {cmp_1KWCSDFQF1S0RKR7_mean_carbon_content} * {cmp_1KWCSDFQF1S0RKR7_durable_fraction} * {cmp_1KWCSDFQF1S0RKR7_co2e_of_carbon}</t>
        </is>
      </c>
      <c r="E396" s="2">
        <f>Datapoint!E25 * Expression!E395 * Expression!E394 * 3.667</f>
        <v/>
      </c>
      <c r="F396" t="n">
        <v>0</v>
      </c>
      <c r="G396" t="inlineStr">
        <is>
          <t>kg</t>
        </is>
      </c>
    </row>
    <row r="397">
      <c r="A397" t="inlineStr">
        <is>
          <t>cmp_1KWCSDFQF1S0RKR7_component_root</t>
        </is>
      </c>
      <c r="B397">
        <f>Component!A11</f>
        <v/>
      </c>
      <c r="C397" t="inlineStr">
        <is>
          <t>Biochar sequestration, 200 year durability</t>
        </is>
      </c>
      <c r="D397" t="inlineStr">
        <is>
          <t>{cmp_1KWCSDFQF1S0RKR7_output}</t>
        </is>
      </c>
      <c r="E397" s="2">
        <f>Expression!E396</f>
        <v/>
      </c>
      <c r="F397" t="n">
        <v>0</v>
      </c>
      <c r="G397" t="inlineStr">
        <is>
          <t>kg</t>
        </is>
      </c>
    </row>
    <row r="398">
      <c r="A398" t="inlineStr">
        <is>
          <t>cmp_1KYA8CM3F1S05TE5_component_root</t>
        </is>
      </c>
      <c r="B398">
        <f>Component!A170</f>
        <v/>
      </c>
      <c r="C398" t="inlineStr">
        <is>
          <t>BCU - Transport Process</t>
        </is>
      </c>
      <c r="D398" t="inlineStr">
        <is>
          <t>{cmp_1KYA8CM3F1S05TE5_constant_reduction}</t>
        </is>
      </c>
      <c r="E398" s="2">
        <f>Datapoint!E603</f>
        <v/>
      </c>
      <c r="F398" t="n">
        <v>0</v>
      </c>
      <c r="G398" t="inlineStr">
        <is>
          <t>kg</t>
        </is>
      </c>
    </row>
    <row r="399">
      <c r="A399" t="inlineStr">
        <is>
          <t>cmp_1KY02PC6H1S0RXMZ_soil_temp_delta</t>
        </is>
      </c>
      <c r="B399">
        <f>Component!A118</f>
        <v/>
      </c>
      <c r="C399" t="inlineStr">
        <is>
          <t>Difference in soil temp from 0 celsius</t>
        </is>
      </c>
      <c r="D399" t="inlineStr">
        <is>
          <t>{cmp_1KY02PC6H1S0RXMZ_soil_temp} - {cmp_1KY02PC6H1S0RXMZ_zero_degrees_celsius}</t>
        </is>
      </c>
      <c r="E399" s="2">
        <f>Datapoint!E418 - 273.15</f>
        <v/>
      </c>
      <c r="F399" t="n">
        <v>0</v>
      </c>
      <c r="G399" t="inlineStr">
        <is>
          <t>K</t>
        </is>
      </c>
    </row>
    <row r="400">
      <c r="A400" t="inlineStr">
        <is>
          <t>cmp_1KY02PC6H1S0RXMZ_normalized_mean_soil_temp</t>
        </is>
      </c>
      <c r="B400">
        <f>Component!A118</f>
        <v/>
      </c>
      <c r="C400" t="inlineStr">
        <is>
          <t>Mean soil temperature in dimensionless units</t>
        </is>
      </c>
      <c r="D400" t="inlineStr">
        <is>
          <t>{cmp_1KY02PC6H1S0RXMZ_soil_temp_delta} / {cmp_1KY02PC6H1S0RXMZ_one_degree_celsius_delta}</t>
        </is>
      </c>
      <c r="E400" s="2">
        <f>Expression!E399 / 1.0</f>
        <v/>
      </c>
      <c r="F400" t="n">
        <v>0</v>
      </c>
      <c r="G400" t="inlineStr"/>
    </row>
    <row r="401">
      <c r="A401" t="inlineStr">
        <is>
          <t>cmp_1KY02PC6H1S0RXMZ_log_mean_soil_temp</t>
        </is>
      </c>
      <c r="B401">
        <f>Component!A118</f>
        <v/>
      </c>
      <c r="C401" t="inlineStr">
        <is>
          <t>Natural log of mean soil temperature in dimensionless units</t>
        </is>
      </c>
      <c r="D401" t="inlineStr">
        <is>
          <t>ln({cmp_1KY02PC6H1S0RXMZ_normalized_mean_soil_temp})</t>
        </is>
      </c>
      <c r="E401" s="2" t="n">
        <v>2.415913778301049</v>
      </c>
      <c r="F401" t="n">
        <v>0</v>
      </c>
      <c r="G401" t="inlineStr"/>
    </row>
    <row r="402">
      <c r="A402" t="inlineStr">
        <is>
          <t>cmp_1KY02PC6H1S0RXMZ_h_c_ratio</t>
        </is>
      </c>
      <c r="B402">
        <f>Component!A118</f>
        <v/>
      </c>
      <c r="C402" t="inlineStr">
        <is>
          <t>H:C ratio</t>
        </is>
      </c>
      <c r="D402" t="inlineStr">
        <is>
          <t>mean({[cmp_1KY02PC6H1S0RXMZ_h_c_molar_ratios]})</t>
        </is>
      </c>
      <c r="E402" s="2" t="n">
        <v>0.3467</v>
      </c>
      <c r="F402" t="n">
        <v>0</v>
      </c>
      <c r="G402" t="inlineStr"/>
    </row>
    <row r="403">
      <c r="A403" t="inlineStr">
        <is>
          <t>cmp_1KY02PC6H1S0RXMZ_non_durable_fraction_calc</t>
        </is>
      </c>
      <c r="B403">
        <f>Component!A118</f>
        <v/>
      </c>
      <c r="C403" t="inlineStr">
        <is>
          <t>Non-durable fraction</t>
        </is>
      </c>
      <c r="D403" t="inlineStr">
        <is>
          <t>{cmp_1KY02PC6H1S0RXMZ_woolf_parameter_c} + ({cmp_1KY02PC6H1S0RXMZ_woolf_parameter_a} + {cmp_1KY02PC6H1S0RXMZ_woolf_parameter_b} * {cmp_1KY02PC6H1S0RXMZ_log_mean_soil_temp}) * {cmp_1KY02PC6H1S0RXMZ_h_c_ratio}</t>
        </is>
      </c>
      <c r="E403" s="2">
        <f>-0.048 + (-0.383 + 0.35 * Expression!E401) * Expression!E402</f>
        <v/>
      </c>
      <c r="F403" t="n">
        <v>0</v>
      </c>
      <c r="G403" t="inlineStr"/>
    </row>
    <row r="404">
      <c r="A404" t="inlineStr">
        <is>
          <t>cmp_1KY02PC6H1S0RXMZ_durable_fraction_calc</t>
        </is>
      </c>
      <c r="B404">
        <f>Component!A118</f>
        <v/>
      </c>
      <c r="C404" t="inlineStr">
        <is>
          <t>Durable fraction</t>
        </is>
      </c>
      <c r="D404" t="inlineStr">
        <is>
          <t>complement_of({cmp_1KY02PC6H1S0RXMZ_non_durable_fraction_calc})</t>
        </is>
      </c>
      <c r="E404" s="2" t="n">
        <v>0.8876270425720593</v>
      </c>
      <c r="F404" t="n">
        <v>0</v>
      </c>
      <c r="G404" t="inlineStr"/>
    </row>
    <row r="405">
      <c r="A405" t="inlineStr">
        <is>
          <t>cmp_1KY02PC6H1S0RXMZ_carbon_contents</t>
        </is>
      </c>
      <c r="B405">
        <f>Component!A118</f>
        <v/>
      </c>
      <c r="C405" t="inlineStr">
        <is>
          <t>Carbon content of biochar</t>
        </is>
      </c>
      <c r="D405" t="inlineStr">
        <is>
          <t>{[cmp_1KY02PC6H1S0RXMZ_total_carbon_contents]} - {[cmp_1KY02PC6H1S0RXMZ_inorganic_carbon_contents]}</t>
        </is>
      </c>
      <c r="E405" s="2" t="inlineStr">
        <is>
          <t>87.10010000000001</t>
        </is>
      </c>
      <c r="F405" t="n">
        <v>0</v>
      </c>
      <c r="G405" t="inlineStr">
        <is>
          <t>%</t>
        </is>
      </c>
    </row>
    <row r="406">
      <c r="A406" t="inlineStr">
        <is>
          <t>cmp_1KY02PC6H1S0RXMZ_durable_fraction</t>
        </is>
      </c>
      <c r="B406">
        <f>Component!A118</f>
        <v/>
      </c>
      <c r="C406" t="inlineStr">
        <is>
          <t>Durable fraction</t>
        </is>
      </c>
      <c r="D406" t="inlineStr">
        <is>
          <t>min({cmp_1KY02PC6H1S0RXMZ_durable_fraction_calc}, {cmp_1KY02PC6H1S0RXMZ_max_durable_fraction})</t>
        </is>
      </c>
      <c r="E406" s="2" t="n">
        <v>0.8876270425720593</v>
      </c>
      <c r="F406" t="n">
        <v>0</v>
      </c>
      <c r="G406" t="inlineStr"/>
    </row>
    <row r="407">
      <c r="A407" t="inlineStr">
        <is>
          <t>cmp_1KY02PC6H1S0RXMZ_mean_carbon_content</t>
        </is>
      </c>
      <c r="B407">
        <f>Component!A118</f>
        <v/>
      </c>
      <c r="C407" t="inlineStr">
        <is>
          <t>Mean carbon content</t>
        </is>
      </c>
      <c r="D407" t="inlineStr">
        <is>
          <t>mean({[cmp_1KY02PC6H1S0RXMZ_carbon_contents]})</t>
        </is>
      </c>
      <c r="E407" s="2" t="n">
        <v>0.8710010000000001</v>
      </c>
      <c r="F407" t="n">
        <v>0</v>
      </c>
      <c r="G407" t="inlineStr"/>
    </row>
    <row r="408">
      <c r="A408" t="inlineStr">
        <is>
          <t>cmp_1KY02PC6H1S0RXMZ_output</t>
        </is>
      </c>
      <c r="B408">
        <f>Component!A118</f>
        <v/>
      </c>
      <c r="C408" t="inlineStr">
        <is>
          <t>Biochar sequestration, 200 year durability</t>
        </is>
      </c>
      <c r="D408" t="inlineStr">
        <is>
          <t>{cmp_1KY02PC6H1S0RXMZ_product_mass} * {cmp_1KY02PC6H1S0RXMZ_mean_carbon_content} * {cmp_1KY02PC6H1S0RXMZ_durable_fraction} * {cmp_1KY02PC6H1S0RXMZ_co2e_of_carbon}</t>
        </is>
      </c>
      <c r="E408" s="2">
        <f>Datapoint!E417 * Expression!E407 * Expression!E406 * 3.667</f>
        <v/>
      </c>
      <c r="F408" t="n">
        <v>0</v>
      </c>
      <c r="G408" t="inlineStr">
        <is>
          <t>kg</t>
        </is>
      </c>
    </row>
    <row r="409">
      <c r="A409" t="inlineStr">
        <is>
          <t>cmp_1KY02PC6H1S0RXMZ_component_root</t>
        </is>
      </c>
      <c r="B409">
        <f>Component!A118</f>
        <v/>
      </c>
      <c r="C409" t="inlineStr">
        <is>
          <t>Biochar sequestration, 200 year durability</t>
        </is>
      </c>
      <c r="D409" t="inlineStr">
        <is>
          <t>{cmp_1KY02PC6H1S0RXMZ_output}</t>
        </is>
      </c>
      <c r="E409" s="2">
        <f>Expression!E408</f>
        <v/>
      </c>
      <c r="F409" t="n">
        <v>0</v>
      </c>
      <c r="G409" t="inlineStr">
        <is>
          <t>kg</t>
        </is>
      </c>
    </row>
    <row r="410">
      <c r="A410" t="inlineStr">
        <is>
          <t>cmp_1KYA75EW41S0KD0F_soil_temp_delta</t>
        </is>
      </c>
      <c r="B410">
        <f>Component!A156</f>
        <v/>
      </c>
      <c r="C410" t="inlineStr">
        <is>
          <t>Difference in soil temp from 0 celsius</t>
        </is>
      </c>
      <c r="D410" t="inlineStr">
        <is>
          <t>{cmp_1KYA75EW41S0KD0F_soil_temp} - {cmp_1KYA75EW41S0KD0F_zero_degrees_celsius}</t>
        </is>
      </c>
      <c r="E410" s="2">
        <f>Datapoint!E568 - 273.15</f>
        <v/>
      </c>
      <c r="F410" t="n">
        <v>0</v>
      </c>
      <c r="G410" t="inlineStr">
        <is>
          <t>K</t>
        </is>
      </c>
    </row>
    <row r="411">
      <c r="A411" t="inlineStr">
        <is>
          <t>cmp_1KYA75EW41S0KD0F_normalized_mean_soil_temp</t>
        </is>
      </c>
      <c r="B411">
        <f>Component!A156</f>
        <v/>
      </c>
      <c r="C411" t="inlineStr">
        <is>
          <t>Mean soil temperature in dimensionless units</t>
        </is>
      </c>
      <c r="D411" t="inlineStr">
        <is>
          <t>{cmp_1KYA75EW41S0KD0F_soil_temp_delta} / {cmp_1KYA75EW41S0KD0F_one_degree_celsius_delta}</t>
        </is>
      </c>
      <c r="E411" s="2">
        <f>Expression!E410 / 1.0</f>
        <v/>
      </c>
      <c r="F411" t="n">
        <v>0</v>
      </c>
      <c r="G411" t="inlineStr"/>
    </row>
    <row r="412">
      <c r="A412" t="inlineStr">
        <is>
          <t>cmp_1KYA75EW41S0KD0F_log_mean_soil_temp</t>
        </is>
      </c>
      <c r="B412">
        <f>Component!A156</f>
        <v/>
      </c>
      <c r="C412" t="inlineStr">
        <is>
          <t>Natural log of mean soil temperature in dimensionless units</t>
        </is>
      </c>
      <c r="D412" t="inlineStr">
        <is>
          <t>ln({cmp_1KYA75EW41S0KD0F_normalized_mean_soil_temp})</t>
        </is>
      </c>
      <c r="E412" s="2" t="n">
        <v>2.415913778301049</v>
      </c>
      <c r="F412" t="n">
        <v>0</v>
      </c>
      <c r="G412" t="inlineStr"/>
    </row>
    <row r="413">
      <c r="A413" t="inlineStr">
        <is>
          <t>cmp_1KYA75EW41S0KD0F_h_c_ratio</t>
        </is>
      </c>
      <c r="B413">
        <f>Component!A156</f>
        <v/>
      </c>
      <c r="C413" t="inlineStr">
        <is>
          <t>H:C ratio</t>
        </is>
      </c>
      <c r="D413" t="inlineStr">
        <is>
          <t>mean({[cmp_1KYA75EW41S0KD0F_h_c_molar_ratios]})</t>
        </is>
      </c>
      <c r="E413" s="2" t="n">
        <v>0.32</v>
      </c>
      <c r="F413" t="n">
        <v>0</v>
      </c>
      <c r="G413" t="inlineStr"/>
    </row>
    <row r="414">
      <c r="A414" t="inlineStr">
        <is>
          <t>cmp_1KYA75EW41S0KD0F_non_durable_fraction_calc</t>
        </is>
      </c>
      <c r="B414">
        <f>Component!A156</f>
        <v/>
      </c>
      <c r="C414" t="inlineStr">
        <is>
          <t>Non-durable fraction</t>
        </is>
      </c>
      <c r="D414" t="inlineStr">
        <is>
          <t>{cmp_1KYA75EW41S0KD0F_woolf_parameter_c} + ({cmp_1KYA75EW41S0KD0F_woolf_parameter_a} + {cmp_1KYA75EW41S0KD0F_woolf_parameter_b} * {cmp_1KYA75EW41S0KD0F_log_mean_soil_temp}) * {cmp_1KYA75EW41S0KD0F_h_c_ratio}</t>
        </is>
      </c>
      <c r="E414" s="2">
        <f>-0.048 + (-0.383 + 0.35 * Expression!E412) * Expression!E413</f>
        <v/>
      </c>
      <c r="F414" t="n">
        <v>0</v>
      </c>
      <c r="G414" t="inlineStr"/>
    </row>
    <row r="415">
      <c r="A415" t="inlineStr">
        <is>
          <t>cmp_1KYA75EW41S0KD0F_durable_fraction_calc</t>
        </is>
      </c>
      <c r="B415">
        <f>Component!A156</f>
        <v/>
      </c>
      <c r="C415" t="inlineStr">
        <is>
          <t>Durable fraction</t>
        </is>
      </c>
      <c r="D415" t="inlineStr">
        <is>
          <t>complement_of({cmp_1KYA75EW41S0KD0F_non_durable_fraction_calc})</t>
        </is>
      </c>
      <c r="E415" s="2" t="n">
        <v>0.8999776568302825</v>
      </c>
      <c r="F415" t="n">
        <v>0</v>
      </c>
      <c r="G415" t="inlineStr"/>
    </row>
    <row r="416">
      <c r="A416" t="inlineStr">
        <is>
          <t>cmp_1KYA75EW41S0KD0F_carbon_contents</t>
        </is>
      </c>
      <c r="B416">
        <f>Component!A156</f>
        <v/>
      </c>
      <c r="C416" t="inlineStr">
        <is>
          <t>Carbon content of biochar</t>
        </is>
      </c>
      <c r="D416" t="inlineStr">
        <is>
          <t>{[cmp_1KYA75EW41S0KD0F_total_carbon_contents]} - {[cmp_1KYA75EW41S0KD0F_inorganic_carbon_contents]}</t>
        </is>
      </c>
      <c r="E416" s="2" t="inlineStr">
        <is>
          <t>86.3667</t>
        </is>
      </c>
      <c r="F416" t="n">
        <v>0</v>
      </c>
      <c r="G416" t="inlineStr">
        <is>
          <t>%</t>
        </is>
      </c>
    </row>
    <row r="417">
      <c r="A417" t="inlineStr">
        <is>
          <t>cmp_1KYA75EW41S0KD0F_durable_fraction</t>
        </is>
      </c>
      <c r="B417">
        <f>Component!A156</f>
        <v/>
      </c>
      <c r="C417" t="inlineStr">
        <is>
          <t>Durable fraction</t>
        </is>
      </c>
      <c r="D417" t="inlineStr">
        <is>
          <t>min({cmp_1KYA75EW41S0KD0F_durable_fraction_calc}, {cmp_1KYA75EW41S0KD0F_max_durable_fraction})</t>
        </is>
      </c>
      <c r="E417" s="2" t="n">
        <v>0.8999776568302825</v>
      </c>
      <c r="F417" t="n">
        <v>0</v>
      </c>
      <c r="G417" t="inlineStr"/>
    </row>
    <row r="418">
      <c r="A418" t="inlineStr">
        <is>
          <t>cmp_1KYA75EW41S0KD0F_mean_carbon_content</t>
        </is>
      </c>
      <c r="B418">
        <f>Component!A156</f>
        <v/>
      </c>
      <c r="C418" t="inlineStr">
        <is>
          <t>Mean carbon content</t>
        </is>
      </c>
      <c r="D418" t="inlineStr">
        <is>
          <t>mean({[cmp_1KYA75EW41S0KD0F_carbon_contents]})</t>
        </is>
      </c>
      <c r="E418" s="2" t="n">
        <v>0.863667</v>
      </c>
      <c r="F418" t="n">
        <v>0</v>
      </c>
      <c r="G418" t="inlineStr"/>
    </row>
    <row r="419">
      <c r="A419" t="inlineStr">
        <is>
          <t>cmp_1KYA75EW41S0KD0F_output</t>
        </is>
      </c>
      <c r="B419">
        <f>Component!A156</f>
        <v/>
      </c>
      <c r="C419" t="inlineStr">
        <is>
          <t>Biochar sequestration, 200 year durability</t>
        </is>
      </c>
      <c r="D419" t="inlineStr">
        <is>
          <t>{cmp_1KYA75EW41S0KD0F_product_mass} * {cmp_1KYA75EW41S0KD0F_mean_carbon_content} * {cmp_1KYA75EW41S0KD0F_durable_fraction} * {cmp_1KYA75EW41S0KD0F_co2e_of_carbon}</t>
        </is>
      </c>
      <c r="E419" s="2">
        <f>Datapoint!E567 * Expression!E418 * Expression!E417 * 3.667</f>
        <v/>
      </c>
      <c r="F419" t="n">
        <v>0</v>
      </c>
      <c r="G419" t="inlineStr">
        <is>
          <t>kg</t>
        </is>
      </c>
    </row>
    <row r="420">
      <c r="A420" t="inlineStr">
        <is>
          <t>cmp_1KYA75EW41S0KD0F_component_root</t>
        </is>
      </c>
      <c r="B420">
        <f>Component!A156</f>
        <v/>
      </c>
      <c r="C420" t="inlineStr">
        <is>
          <t>Biochar sequestration, 200 year durability</t>
        </is>
      </c>
      <c r="D420" t="inlineStr">
        <is>
          <t>{cmp_1KYA75EW41S0KD0F_output}</t>
        </is>
      </c>
      <c r="E420" s="2">
        <f>Expression!E419</f>
        <v/>
      </c>
      <c r="F420" t="n">
        <v>0</v>
      </c>
      <c r="G420" t="inlineStr">
        <is>
          <t>kg</t>
        </is>
      </c>
    </row>
    <row r="421">
      <c r="A421" t="inlineStr">
        <is>
          <t>cmp_1KY38KE1C1S010ZS_component_root</t>
        </is>
      </c>
      <c r="B421">
        <f>Component!A124</f>
        <v/>
      </c>
      <c r="C421" t="inlineStr">
        <is>
          <t>CO Flatbed Truck Transport Process Emissions</t>
        </is>
      </c>
      <c r="D421" t="inlineStr">
        <is>
          <t>{cmp_1KY38KE1C1S010ZS_mass} * {cmp_1KY38KE1C1S010ZS_distance} * {cmp_1KY38KE1C1S010ZS_carbon_intensity}</t>
        </is>
      </c>
      <c r="E421" s="2">
        <f>Datapoint!E454 * Datapoint!E453 * Datapoint!E452</f>
        <v/>
      </c>
      <c r="F421" t="n">
        <v>0</v>
      </c>
      <c r="G421" t="inlineStr">
        <is>
          <t>kg</t>
        </is>
      </c>
    </row>
    <row r="422">
      <c r="A422" t="inlineStr">
        <is>
          <t>cmp_1KY02PYB11S05XTY_output</t>
        </is>
      </c>
      <c r="B422">
        <f>Component!A121</f>
        <v/>
      </c>
      <c r="C422" t="inlineStr">
        <is>
          <t>Distance-based emissions</t>
        </is>
      </c>
      <c r="D422" t="inlineStr">
        <is>
          <t>{cmp_1KY02PYB11S05XTY_distance} * {cmp_1KY02PYB11S05XTY_carbon_intensity}</t>
        </is>
      </c>
      <c r="E422" s="2">
        <f>Datapoint!E440 * Datapoint!E439</f>
        <v/>
      </c>
      <c r="F422" t="n">
        <v>0</v>
      </c>
      <c r="G422" t="inlineStr">
        <is>
          <t>kg</t>
        </is>
      </c>
    </row>
    <row r="423">
      <c r="A423" t="inlineStr">
        <is>
          <t>cmp_1KY02PYB11S05XTY_component_root</t>
        </is>
      </c>
      <c r="B423">
        <f>Component!A121</f>
        <v/>
      </c>
      <c r="C423" t="inlineStr">
        <is>
          <t>CO Flatbed Truck Transport Embodied Emissions</t>
        </is>
      </c>
      <c r="D423" t="inlineStr">
        <is>
          <t>{cmp_1KY02PYB11S05XTY_output}</t>
        </is>
      </c>
      <c r="E423" s="2">
        <f>Expression!E422</f>
        <v/>
      </c>
      <c r="F423" t="n">
        <v>0</v>
      </c>
      <c r="G423" t="inlineStr">
        <is>
          <t>kg</t>
        </is>
      </c>
    </row>
    <row r="424">
      <c r="A424" t="inlineStr">
        <is>
          <t>cmp_1KXEHAAVZ1S0CSHA_output</t>
        </is>
      </c>
      <c r="B424">
        <f>Component!A50</f>
        <v/>
      </c>
      <c r="C424" t="inlineStr">
        <is>
          <t>Distance-based emissions</t>
        </is>
      </c>
      <c r="D424" t="inlineStr">
        <is>
          <t>{cmp_1KXEHAAVZ1S0CSHA_distance} * {cmp_1KXEHAAVZ1S0CSHA_carbon_intensity}</t>
        </is>
      </c>
      <c r="E424" s="2">
        <f>Datapoint!E177 * Datapoint!E176</f>
        <v/>
      </c>
      <c r="F424" t="n">
        <v>0</v>
      </c>
      <c r="G424" t="inlineStr">
        <is>
          <t>kg</t>
        </is>
      </c>
    </row>
    <row r="425">
      <c r="A425" t="inlineStr">
        <is>
          <t>cmp_1KXEHAAVZ1S0CSHA_component_root</t>
        </is>
      </c>
      <c r="B425">
        <f>Component!A50</f>
        <v/>
      </c>
      <c r="C425" t="inlineStr">
        <is>
          <t>CO Flatbed Truck Transport Embodied Emissions</t>
        </is>
      </c>
      <c r="D425" t="inlineStr">
        <is>
          <t>{cmp_1KXEHAAVZ1S0CSHA_output}</t>
        </is>
      </c>
      <c r="E425" s="2">
        <f>Expression!E424</f>
        <v/>
      </c>
      <c r="F425" t="n">
        <v>0</v>
      </c>
      <c r="G425" t="inlineStr">
        <is>
          <t>kg</t>
        </is>
      </c>
    </row>
    <row r="426">
      <c r="A426" t="inlineStr">
        <is>
          <t>cmp_1KXEA3E4Q1S0VC7M_component_root</t>
        </is>
      </c>
      <c r="B426">
        <f>Component!A34</f>
        <v/>
      </c>
      <c r="C426" t="inlineStr">
        <is>
          <t>BCU - Transport Process</t>
        </is>
      </c>
      <c r="D426" t="inlineStr">
        <is>
          <t>{cmp_1KXEA3E4Q1S0VC7M_constant_reduction}</t>
        </is>
      </c>
      <c r="E426" s="2">
        <f>Datapoint!E115</f>
        <v/>
      </c>
      <c r="F426" t="n">
        <v>0</v>
      </c>
      <c r="G426" t="inlineStr">
        <is>
          <t>kg</t>
        </is>
      </c>
    </row>
    <row r="427">
      <c r="A427" t="inlineStr">
        <is>
          <t>cmp_1KWCZP1M61S0KFDE_output</t>
        </is>
      </c>
      <c r="B427">
        <f>Component!A20</f>
        <v/>
      </c>
      <c r="C427" t="inlineStr">
        <is>
          <t>Distance-based emissions</t>
        </is>
      </c>
      <c r="D427" t="inlineStr">
        <is>
          <t>{cmp_1KWCZP1M61S0KFDE_distance} * {cmp_1KWCZP1M61S0KFDE_carbon_intensity}</t>
        </is>
      </c>
      <c r="E427" s="2">
        <f>Datapoint!E121 * Datapoint!E69</f>
        <v/>
      </c>
      <c r="F427" t="n">
        <v>0</v>
      </c>
      <c r="G427" t="inlineStr">
        <is>
          <t>kg</t>
        </is>
      </c>
    </row>
    <row r="428">
      <c r="A428" t="inlineStr">
        <is>
          <t>cmp_1KWCZP1M61S0KFDE_component_root</t>
        </is>
      </c>
      <c r="B428">
        <f>Component!A20</f>
        <v/>
      </c>
      <c r="C428" t="inlineStr">
        <is>
          <t>CO Flatbed Truck Transport Embodied Emissions</t>
        </is>
      </c>
      <c r="D428" t="inlineStr">
        <is>
          <t>{cmp_1KWCZP1M61S0KFDE_output}</t>
        </is>
      </c>
      <c r="E428" s="2">
        <f>Expression!E427</f>
        <v/>
      </c>
      <c r="F428" t="n">
        <v>0</v>
      </c>
      <c r="G428" t="inlineStr">
        <is>
          <t>kg</t>
        </is>
      </c>
    </row>
    <row r="429">
      <c r="A429" t="inlineStr">
        <is>
          <t>cmp_1KXGK4R131S0N02H_soil_temp_delta</t>
        </is>
      </c>
      <c r="B429">
        <f>Component!A93</f>
        <v/>
      </c>
      <c r="C429" t="inlineStr">
        <is>
          <t>Difference in soil temp from 0 celsius</t>
        </is>
      </c>
      <c r="D429" t="inlineStr">
        <is>
          <t>{cmp_1KXGK4R131S0N02H_soil_temp} - {cmp_1KXGK4R131S0N02H_zero_degrees_celsius}</t>
        </is>
      </c>
      <c r="E429" s="2">
        <f>Datapoint!E327 - 273.15</f>
        <v/>
      </c>
      <c r="F429" t="n">
        <v>0</v>
      </c>
      <c r="G429" t="inlineStr">
        <is>
          <t>K</t>
        </is>
      </c>
    </row>
    <row r="430">
      <c r="A430" t="inlineStr">
        <is>
          <t>cmp_1KXGK4R131S0N02H_normalized_mean_soil_temp</t>
        </is>
      </c>
      <c r="B430">
        <f>Component!A93</f>
        <v/>
      </c>
      <c r="C430" t="inlineStr">
        <is>
          <t>Mean soil temperature in dimensionless units</t>
        </is>
      </c>
      <c r="D430" t="inlineStr">
        <is>
          <t>{cmp_1KXGK4R131S0N02H_soil_temp_delta} / {cmp_1KXGK4R131S0N02H_one_degree_celsius_delta}</t>
        </is>
      </c>
      <c r="E430" s="2">
        <f>Expression!E429 / 1.0</f>
        <v/>
      </c>
      <c r="F430" t="n">
        <v>0</v>
      </c>
      <c r="G430" t="inlineStr"/>
    </row>
    <row r="431">
      <c r="A431" t="inlineStr">
        <is>
          <t>cmp_1KXGK4R131S0N02H_log_mean_soil_temp</t>
        </is>
      </c>
      <c r="B431">
        <f>Component!A93</f>
        <v/>
      </c>
      <c r="C431" t="inlineStr">
        <is>
          <t>Natural log of mean soil temperature in dimensionless units</t>
        </is>
      </c>
      <c r="D431" t="inlineStr">
        <is>
          <t>ln({cmp_1KXGK4R131S0N02H_normalized_mean_soil_temp})</t>
        </is>
      </c>
      <c r="E431" s="2" t="n">
        <v>2.388762789235098</v>
      </c>
      <c r="F431" t="n">
        <v>0</v>
      </c>
      <c r="G431" t="inlineStr"/>
    </row>
    <row r="432">
      <c r="A432" t="inlineStr">
        <is>
          <t>cmp_1KXGK4R131S0N02H_h_c_ratio</t>
        </is>
      </c>
      <c r="B432">
        <f>Component!A93</f>
        <v/>
      </c>
      <c r="C432" t="inlineStr">
        <is>
          <t>H:C ratio</t>
        </is>
      </c>
      <c r="D432" t="inlineStr">
        <is>
          <t>mean({[cmp_1KXGK4R131S0N02H_h_c_molar_ratios]})</t>
        </is>
      </c>
      <c r="E432" s="2" t="n">
        <v>0.3467</v>
      </c>
      <c r="F432" t="n">
        <v>0</v>
      </c>
      <c r="G432" t="inlineStr"/>
    </row>
    <row r="433">
      <c r="A433" t="inlineStr">
        <is>
          <t>cmp_1KXGK4R131S0N02H_non_durable_fraction_calc</t>
        </is>
      </c>
      <c r="B433">
        <f>Component!A93</f>
        <v/>
      </c>
      <c r="C433" t="inlineStr">
        <is>
          <t>Non-durable fraction</t>
        </is>
      </c>
      <c r="D433" t="inlineStr">
        <is>
          <t>{cmp_1KXGK4R131S0N02H_woolf_parameter_c} + ({cmp_1KXGK4R131S0N02H_woolf_parameter_a} + {cmp_1KXGK4R131S0N02H_woolf_parameter_b} * {cmp_1KXGK4R131S0N02H_log_mean_soil_temp}) * {cmp_1KXGK4R131S0N02H_h_c_ratio}</t>
        </is>
      </c>
      <c r="E433" s="2">
        <f>-0.048 + (-0.383 + 0.35 * Expression!E431) * Expression!E432</f>
        <v/>
      </c>
      <c r="F433" t="n">
        <v>0</v>
      </c>
      <c r="G433" t="inlineStr"/>
    </row>
    <row r="434">
      <c r="A434" t="inlineStr">
        <is>
          <t>cmp_1KXGK4R131S0N02H_durable_fraction_calc</t>
        </is>
      </c>
      <c r="B434">
        <f>Component!A93</f>
        <v/>
      </c>
      <c r="C434" t="inlineStr">
        <is>
          <t>Durable fraction</t>
        </is>
      </c>
      <c r="D434" t="inlineStr">
        <is>
          <t>complement_of({cmp_1KXGK4R131S0N02H_non_durable_fraction_calc})</t>
        </is>
      </c>
      <c r="E434" s="2" t="n">
        <v>0.8909216793402671</v>
      </c>
      <c r="F434" t="n">
        <v>0</v>
      </c>
      <c r="G434" t="inlineStr"/>
    </row>
    <row r="435">
      <c r="A435" t="inlineStr">
        <is>
          <t>cmp_1KXGK4R131S0N02H_carbon_contents</t>
        </is>
      </c>
      <c r="B435">
        <f>Component!A93</f>
        <v/>
      </c>
      <c r="C435" t="inlineStr">
        <is>
          <t>Carbon content of biochar</t>
        </is>
      </c>
      <c r="D435" t="inlineStr">
        <is>
          <t>{[cmp_1KXGK4R131S0N02H_total_carbon_contents]} - {[cmp_1KXGK4R131S0N02H_inorganic_carbon_contents]}</t>
        </is>
      </c>
      <c r="E435" s="2" t="inlineStr">
        <is>
          <t>87.10010000000001</t>
        </is>
      </c>
      <c r="F435" t="n">
        <v>0</v>
      </c>
      <c r="G435" t="inlineStr">
        <is>
          <t>%</t>
        </is>
      </c>
    </row>
    <row r="436">
      <c r="A436" t="inlineStr">
        <is>
          <t>cmp_1KXGK4R131S0N02H_durable_fraction</t>
        </is>
      </c>
      <c r="B436">
        <f>Component!A93</f>
        <v/>
      </c>
      <c r="C436" t="inlineStr">
        <is>
          <t>Durable fraction</t>
        </is>
      </c>
      <c r="D436" t="inlineStr">
        <is>
          <t>min({cmp_1KXGK4R131S0N02H_durable_fraction_calc}, {cmp_1KXGK4R131S0N02H_max_durable_fraction})</t>
        </is>
      </c>
      <c r="E436" s="2" t="n">
        <v>0.8909216793402671</v>
      </c>
      <c r="F436" t="n">
        <v>0</v>
      </c>
      <c r="G436" t="inlineStr"/>
    </row>
    <row r="437">
      <c r="A437" t="inlineStr">
        <is>
          <t>cmp_1KXGK4R131S0N02H_mean_carbon_content</t>
        </is>
      </c>
      <c r="B437">
        <f>Component!A93</f>
        <v/>
      </c>
      <c r="C437" t="inlineStr">
        <is>
          <t>Mean carbon content</t>
        </is>
      </c>
      <c r="D437" t="inlineStr">
        <is>
          <t>mean({[cmp_1KXGK4R131S0N02H_carbon_contents]})</t>
        </is>
      </c>
      <c r="E437" s="2" t="n">
        <v>0.8710010000000001</v>
      </c>
      <c r="F437" t="n">
        <v>0</v>
      </c>
      <c r="G437" t="inlineStr"/>
    </row>
    <row r="438">
      <c r="A438" t="inlineStr">
        <is>
          <t>cmp_1KXGK4R131S0N02H_output</t>
        </is>
      </c>
      <c r="B438">
        <f>Component!A93</f>
        <v/>
      </c>
      <c r="C438" t="inlineStr">
        <is>
          <t>Biochar sequestration, 200 year durability</t>
        </is>
      </c>
      <c r="D438" t="inlineStr">
        <is>
          <t>{cmp_1KXGK4R131S0N02H_product_mass} * {cmp_1KXGK4R131S0N02H_mean_carbon_content} * {cmp_1KXGK4R131S0N02H_durable_fraction} * {cmp_1KXGK4R131S0N02H_co2e_of_carbon}</t>
        </is>
      </c>
      <c r="E438" s="2">
        <f>Datapoint!E326 * Expression!E437 * Expression!E436 * 3.667</f>
        <v/>
      </c>
      <c r="F438" t="n">
        <v>0</v>
      </c>
      <c r="G438" t="inlineStr">
        <is>
          <t>kg</t>
        </is>
      </c>
    </row>
    <row r="439">
      <c r="A439" t="inlineStr">
        <is>
          <t>cmp_1KXGK4R131S0N02H_component_root</t>
        </is>
      </c>
      <c r="B439">
        <f>Component!A93</f>
        <v/>
      </c>
      <c r="C439" t="inlineStr">
        <is>
          <t>Biochar sequestration, 200 year durability</t>
        </is>
      </c>
      <c r="D439" t="inlineStr">
        <is>
          <t>{cmp_1KXGK4R131S0N02H_output}</t>
        </is>
      </c>
      <c r="E439" s="2">
        <f>Expression!E438</f>
        <v/>
      </c>
      <c r="F439" t="n">
        <v>0</v>
      </c>
      <c r="G439" t="inlineStr">
        <is>
          <t>kg</t>
        </is>
      </c>
    </row>
    <row r="440">
      <c r="A440" t="inlineStr">
        <is>
          <t>cmp_1KXECAV741S0S3A8_output</t>
        </is>
      </c>
      <c r="B440">
        <f>Component!A46</f>
        <v/>
      </c>
      <c r="C440" t="inlineStr">
        <is>
          <t>Distance-based emissions</t>
        </is>
      </c>
      <c r="D440" t="inlineStr">
        <is>
          <t>{cmp_1KXECAV741S0S3A8_distance} * {cmp_1KXECAV741S0S3A8_carbon_intensity}</t>
        </is>
      </c>
      <c r="E440" s="2">
        <f>Datapoint!E156 * Datapoint!E155</f>
        <v/>
      </c>
      <c r="F440" t="n">
        <v>0</v>
      </c>
      <c r="G440" t="inlineStr">
        <is>
          <t>kg</t>
        </is>
      </c>
    </row>
    <row r="441">
      <c r="A441" t="inlineStr">
        <is>
          <t>cmp_1KXECAV741S0S3A8_component_root</t>
        </is>
      </c>
      <c r="B441">
        <f>Component!A46</f>
        <v/>
      </c>
      <c r="C441" t="inlineStr">
        <is>
          <t>CO Flatbed Truck Transport Embodied Emissions</t>
        </is>
      </c>
      <c r="D441" t="inlineStr">
        <is>
          <t>{cmp_1KXECAV741S0S3A8_output}</t>
        </is>
      </c>
      <c r="E441" s="2">
        <f>Expression!E440</f>
        <v/>
      </c>
      <c r="F441" t="n">
        <v>0</v>
      </c>
      <c r="G441" t="inlineStr">
        <is>
          <t>kg</t>
        </is>
      </c>
    </row>
    <row r="442">
      <c r="A442" t="inlineStr">
        <is>
          <t>cmp_1KWCY0G8W1S018J1_component_root</t>
        </is>
      </c>
      <c r="B442">
        <f>Component!A13</f>
        <v/>
      </c>
      <c r="C442" t="inlineStr">
        <is>
          <t>Biochar Production Emission (A)</t>
        </is>
      </c>
      <c r="D442" t="inlineStr">
        <is>
          <t>{cmp_1KWCY0G8W1S018J1_mass} * {cmp_1KWCY0G8W1S018J1_carbon_intensity}</t>
        </is>
      </c>
      <c r="E442" s="2">
        <f>Datapoint!E47 * Datapoint!E46</f>
        <v/>
      </c>
      <c r="F442" t="n">
        <v>0</v>
      </c>
      <c r="G442" t="inlineStr">
        <is>
          <t>kg</t>
        </is>
      </c>
    </row>
    <row r="443">
      <c r="A443" t="inlineStr">
        <is>
          <t>cmp_1KYA6ANEE1S0F1QP_component_root</t>
        </is>
      </c>
      <c r="B443">
        <f>Component!A148</f>
        <v/>
      </c>
      <c r="C443" t="inlineStr">
        <is>
          <t>Biochar Production Emission (A)</t>
        </is>
      </c>
      <c r="D443" t="inlineStr">
        <is>
          <t>{cmp_1KYA6ANEE1S0F1QP_mass} * {cmp_1KYA6ANEE1S0F1QP_carbon_intensity}</t>
        </is>
      </c>
      <c r="E443" s="2">
        <f>Datapoint!E536 * Datapoint!E535</f>
        <v/>
      </c>
      <c r="F443" t="n">
        <v>0</v>
      </c>
      <c r="G443" t="inlineStr">
        <is>
          <t>kg</t>
        </is>
      </c>
    </row>
    <row r="444">
      <c r="A444" t="inlineStr">
        <is>
          <t>cmp_1KYABSZY41S0TXF9_component_root</t>
        </is>
      </c>
      <c r="B444">
        <f>Component!A183</f>
        <v/>
      </c>
      <c r="C444" t="inlineStr">
        <is>
          <t>Biochar Production Emission (A)</t>
        </is>
      </c>
      <c r="D444" t="inlineStr">
        <is>
          <t>{cmp_1KYABSZY41S0TXF9_mass} * {cmp_1KYABSZY41S0TXF9_carbon_intensity}</t>
        </is>
      </c>
      <c r="E444" s="2">
        <f>Datapoint!E636 * Datapoint!E635</f>
        <v/>
      </c>
      <c r="F444" t="n">
        <v>0</v>
      </c>
      <c r="G444" t="inlineStr">
        <is>
          <t>kg</t>
        </is>
      </c>
    </row>
    <row r="445">
      <c r="A445" t="inlineStr">
        <is>
          <t>cmp_1KXERCP431S0425X_component_root</t>
        </is>
      </c>
      <c r="B445">
        <f>Component!A65</f>
        <v/>
      </c>
      <c r="C445" t="inlineStr">
        <is>
          <t>Biochar Spreading Emissions</t>
        </is>
      </c>
      <c r="D445" t="inlineStr">
        <is>
          <t>{cmp_1KXERCP431S0425X_mass} * {cmp_1KXERCP431S0425X_carbon_intensity}</t>
        </is>
      </c>
      <c r="E445" s="2">
        <f>Datapoint!E226 * Datapoint!E225</f>
        <v/>
      </c>
      <c r="F445" t="n">
        <v>0</v>
      </c>
      <c r="G445" t="inlineStr">
        <is>
          <t>kg</t>
        </is>
      </c>
    </row>
    <row r="446">
      <c r="A446" t="inlineStr">
        <is>
          <t>cmp_1KXEJDSXH1S0YBQ8_component_root</t>
        </is>
      </c>
      <c r="B446">
        <f>Component!A64</f>
        <v/>
      </c>
      <c r="C446" t="inlineStr">
        <is>
          <t>BCU - Transport Process</t>
        </is>
      </c>
      <c r="D446" t="inlineStr">
        <is>
          <t>{cmp_1KXEJDSXH1S0YBQ8_constant_reduction}</t>
        </is>
      </c>
      <c r="E446" s="2">
        <f>Datapoint!E224</f>
        <v/>
      </c>
      <c r="F446" t="n">
        <v>0</v>
      </c>
      <c r="G446" t="inlineStr">
        <is>
          <t>kg</t>
        </is>
      </c>
    </row>
    <row r="447">
      <c r="A447" t="inlineStr">
        <is>
          <t>cmp_1KY02PYB11S0J8Z9_component_root</t>
        </is>
      </c>
      <c r="B447">
        <f>Component!A122</f>
        <v/>
      </c>
      <c r="C447" t="inlineStr">
        <is>
          <t>CO Flatbed Truck Transport Process Emissions</t>
        </is>
      </c>
      <c r="D447" t="inlineStr">
        <is>
          <t>{cmp_1KY02PYB11S0J8Z9_mass} * {cmp_1KY02PYB11S0J8Z9_distance} * {cmp_1KY02PYB11S0J8Z9_carbon_intensity}</t>
        </is>
      </c>
      <c r="E447" s="2">
        <f>Datapoint!E438 * Datapoint!E437 * Datapoint!E436</f>
        <v/>
      </c>
      <c r="F447" t="n">
        <v>0</v>
      </c>
      <c r="G447" t="inlineStr">
        <is>
          <t>kg</t>
        </is>
      </c>
    </row>
    <row r="448">
      <c r="A448" t="inlineStr">
        <is>
          <t>cmp_1KY57NCC21S0K1CK_component_root</t>
        </is>
      </c>
      <c r="B448">
        <f>Component!A139</f>
        <v/>
      </c>
      <c r="C448" t="inlineStr">
        <is>
          <t>Biochar Production Emission (A)</t>
        </is>
      </c>
      <c r="D448" t="inlineStr">
        <is>
          <t>{cmp_1KY57NCC21S0K1CK_mass} * {cmp_1KY57NCC21S0K1CK_carbon_intensity}</t>
        </is>
      </c>
      <c r="E448" s="2">
        <f>Datapoint!E501 * Datapoint!E500</f>
        <v/>
      </c>
      <c r="F448" t="n">
        <v>0</v>
      </c>
      <c r="G448" t="inlineStr">
        <is>
          <t>kg</t>
        </is>
      </c>
    </row>
    <row r="449">
      <c r="A449" t="inlineStr">
        <is>
          <t>cmp_1KXEA1TH21S0WM07_component_root</t>
        </is>
      </c>
      <c r="B449">
        <f>Component!A33</f>
        <v/>
      </c>
      <c r="C449" t="inlineStr">
        <is>
          <t>Biochar Production Emission (A)</t>
        </is>
      </c>
      <c r="D449" t="inlineStr">
        <is>
          <t>{cmp_1KXEA1TH21S0WM07_mass} * {cmp_1KXEA1TH21S0WM07_carbon_intensity}</t>
        </is>
      </c>
      <c r="E449" s="2">
        <f>Datapoint!E103 * Datapoint!E102</f>
        <v/>
      </c>
      <c r="F449" t="n">
        <v>0</v>
      </c>
      <c r="G449" t="inlineStr">
        <is>
          <t>kg</t>
        </is>
      </c>
    </row>
    <row r="450">
      <c r="A450" t="inlineStr">
        <is>
          <t>cmp_1KYA8B7Y01S0W9BT_component_root</t>
        </is>
      </c>
      <c r="B450">
        <f>Component!A163</f>
        <v/>
      </c>
      <c r="C450" t="inlineStr">
        <is>
          <t>BCU - Transport Process</t>
        </is>
      </c>
      <c r="D450" t="inlineStr">
        <is>
          <t>{cmp_1KYA8B7Y01S0W9BT_constant_reduction}</t>
        </is>
      </c>
      <c r="E450" s="2">
        <f>Datapoint!E589</f>
        <v/>
      </c>
      <c r="F450" t="n">
        <v>0</v>
      </c>
      <c r="G450" t="inlineStr">
        <is>
          <t>kg</t>
        </is>
      </c>
    </row>
    <row r="451">
      <c r="A451" t="inlineStr">
        <is>
          <t>cmp_1KXGK2Y3V1S0F11J_component_root</t>
        </is>
      </c>
      <c r="B451">
        <f>Component!A78</f>
        <v/>
      </c>
      <c r="C451" t="inlineStr">
        <is>
          <t>CO Flatbed Truck Transport Process Emissions</t>
        </is>
      </c>
      <c r="D451" t="inlineStr">
        <is>
          <t>{cmp_1KXGK2Y3V1S0F11J_mass} * {cmp_1KXGK2Y3V1S0F11J_distance} * {cmp_1KXGK2Y3V1S0F11J_carbon_intensity}</t>
        </is>
      </c>
      <c r="E451" s="2">
        <f>Datapoint!E276 * Datapoint!E275 * Datapoint!E274</f>
        <v/>
      </c>
      <c r="F451" t="n">
        <v>0</v>
      </c>
      <c r="G451" t="inlineStr">
        <is>
          <t>kg</t>
        </is>
      </c>
    </row>
    <row r="452">
      <c r="A452" t="inlineStr">
        <is>
          <t>cmp_1KXEBV2PW1S07E6J_component_root</t>
        </is>
      </c>
      <c r="B452">
        <f>Component!A37</f>
        <v/>
      </c>
      <c r="C452" t="inlineStr">
        <is>
          <t>CO Flatbed Truck Transport Process Emissions</t>
        </is>
      </c>
      <c r="D452" t="inlineStr">
        <is>
          <t>{cmp_1KXEBV2PW1S07E6J_mass} * {cmp_1KXEBV2PW1S07E6J_distance} * {cmp_1KXEBV2PW1S07E6J_carbon_intensity}</t>
        </is>
      </c>
      <c r="E452" s="2">
        <f>Datapoint!E133 * Datapoint!E132 * Datapoint!E131</f>
        <v/>
      </c>
      <c r="F452" t="n">
        <v>0</v>
      </c>
      <c r="G452" t="inlineStr">
        <is>
          <t>kg</t>
        </is>
      </c>
    </row>
    <row r="453">
      <c r="A453" t="inlineStr">
        <is>
          <t>cmp_1KXEBV2PW1S0P1N6_soil_temp_delta</t>
        </is>
      </c>
      <c r="B453">
        <f>Component!A39</f>
        <v/>
      </c>
      <c r="C453" t="inlineStr">
        <is>
          <t>Difference in soil temp from 0 celsius</t>
        </is>
      </c>
      <c r="D453" t="inlineStr">
        <is>
          <t>{cmp_1KXEBV2PW1S0P1N6_soil_temp} - {cmp_1KXEBV2PW1S0P1N6_zero_degrees_celsius}</t>
        </is>
      </c>
      <c r="E453" s="2">
        <f>Datapoint!E127 - 273.15</f>
        <v/>
      </c>
      <c r="F453" t="n">
        <v>0</v>
      </c>
      <c r="G453" t="inlineStr">
        <is>
          <t>K</t>
        </is>
      </c>
    </row>
    <row r="454">
      <c r="A454" t="inlineStr">
        <is>
          <t>cmp_1KXEBV2PW1S0P1N6_normalized_mean_soil_temp</t>
        </is>
      </c>
      <c r="B454">
        <f>Component!A39</f>
        <v/>
      </c>
      <c r="C454" t="inlineStr">
        <is>
          <t>Mean soil temperature in dimensionless units</t>
        </is>
      </c>
      <c r="D454" t="inlineStr">
        <is>
          <t>{cmp_1KXEBV2PW1S0P1N6_soil_temp_delta} / {cmp_1KXEBV2PW1S0P1N6_one_degree_celsius_delta}</t>
        </is>
      </c>
      <c r="E454" s="2">
        <f>Expression!E453 / 1.0</f>
        <v/>
      </c>
      <c r="F454" t="n">
        <v>0</v>
      </c>
      <c r="G454" t="inlineStr"/>
    </row>
    <row r="455">
      <c r="A455" t="inlineStr">
        <is>
          <t>cmp_1KXEBV2PW1S0P1N6_log_mean_soil_temp</t>
        </is>
      </c>
      <c r="B455">
        <f>Component!A39</f>
        <v/>
      </c>
      <c r="C455" t="inlineStr">
        <is>
          <t>Natural log of mean soil temperature in dimensionless units</t>
        </is>
      </c>
      <c r="D455" t="inlineStr">
        <is>
          <t>ln({cmp_1KXEBV2PW1S0P1N6_normalized_mean_soil_temp})</t>
        </is>
      </c>
      <c r="E455" s="2" t="n">
        <v>2.388762789235098</v>
      </c>
      <c r="F455" t="n">
        <v>0</v>
      </c>
      <c r="G455" t="inlineStr"/>
    </row>
    <row r="456">
      <c r="A456" t="inlineStr">
        <is>
          <t>cmp_1KXEBV2PW1S0P1N6_h_c_ratio</t>
        </is>
      </c>
      <c r="B456">
        <f>Component!A39</f>
        <v/>
      </c>
      <c r="C456" t="inlineStr">
        <is>
          <t>H:C ratio</t>
        </is>
      </c>
      <c r="D456" t="inlineStr">
        <is>
          <t>mean({[cmp_1KXEBV2PW1S0P1N6_h_c_molar_ratios]})</t>
        </is>
      </c>
      <c r="E456" s="2" t="n">
        <v>0.35</v>
      </c>
      <c r="F456" t="n">
        <v>0</v>
      </c>
      <c r="G456" t="inlineStr"/>
    </row>
    <row r="457">
      <c r="A457" t="inlineStr">
        <is>
          <t>cmp_1KXEBV2PW1S0P1N6_non_durable_fraction_calc</t>
        </is>
      </c>
      <c r="B457">
        <f>Component!A39</f>
        <v/>
      </c>
      <c r="C457" t="inlineStr">
        <is>
          <t>Non-durable fraction</t>
        </is>
      </c>
      <c r="D457" t="inlineStr">
        <is>
          <t>{cmp_1KXEBV2PW1S0P1N6_woolf_parameter_c} + ({cmp_1KXEBV2PW1S0P1N6_woolf_parameter_a} + {cmp_1KXEBV2PW1S0P1N6_woolf_parameter_b} * {cmp_1KXEBV2PW1S0P1N6_log_mean_soil_temp}) * {cmp_1KXEBV2PW1S0P1N6_h_c_ratio}</t>
        </is>
      </c>
      <c r="E457" s="2">
        <f>-0.048 + (-0.383 + 0.35 * Expression!E455) * Expression!E456</f>
        <v/>
      </c>
      <c r="F457" t="n">
        <v>0</v>
      </c>
      <c r="G457" t="inlineStr"/>
    </row>
    <row r="458">
      <c r="A458" t="inlineStr">
        <is>
          <t>cmp_1KXEBV2PW1S0P1N6_durable_fraction_calc</t>
        </is>
      </c>
      <c r="B458">
        <f>Component!A39</f>
        <v/>
      </c>
      <c r="C458" t="inlineStr">
        <is>
          <t>Durable fraction</t>
        </is>
      </c>
      <c r="D458" t="inlineStr">
        <is>
          <t>complement_of({cmp_1KXEBV2PW1S0P1N6_non_durable_fraction_calc})</t>
        </is>
      </c>
      <c r="E458" s="2" t="n">
        <v>0.8894265583187005</v>
      </c>
      <c r="F458" t="n">
        <v>0</v>
      </c>
      <c r="G458" t="inlineStr"/>
    </row>
    <row r="459">
      <c r="A459" t="inlineStr">
        <is>
          <t>cmp_1KXEBV2PW1S0P1N6_carbon_contents</t>
        </is>
      </c>
      <c r="B459">
        <f>Component!A39</f>
        <v/>
      </c>
      <c r="C459" t="inlineStr">
        <is>
          <t>Carbon content of biochar</t>
        </is>
      </c>
      <c r="D459" t="inlineStr">
        <is>
          <t>{[cmp_1KXEBV2PW1S0P1N6_total_carbon_contents]} - {[cmp_1KXEBV2PW1S0P1N6_inorganic_carbon_contents]}</t>
        </is>
      </c>
      <c r="E459" s="2" t="inlineStr">
        <is>
          <t>79.946</t>
        </is>
      </c>
      <c r="F459" t="n">
        <v>0</v>
      </c>
      <c r="G459" t="inlineStr">
        <is>
          <t>%</t>
        </is>
      </c>
    </row>
    <row r="460">
      <c r="A460" t="inlineStr">
        <is>
          <t>cmp_1KXEBV2PW1S0P1N6_durable_fraction</t>
        </is>
      </c>
      <c r="B460">
        <f>Component!A39</f>
        <v/>
      </c>
      <c r="C460" t="inlineStr">
        <is>
          <t>Durable fraction</t>
        </is>
      </c>
      <c r="D460" t="inlineStr">
        <is>
          <t>min({cmp_1KXEBV2PW1S0P1N6_durable_fraction_calc}, {cmp_1KXEBV2PW1S0P1N6_max_durable_fraction})</t>
        </is>
      </c>
      <c r="E460" s="2" t="n">
        <v>0.8894265583187005</v>
      </c>
      <c r="F460" t="n">
        <v>0</v>
      </c>
      <c r="G460" t="inlineStr"/>
    </row>
    <row r="461">
      <c r="A461" t="inlineStr">
        <is>
          <t>cmp_1KXEBV2PW1S0P1N6_mean_carbon_content</t>
        </is>
      </c>
      <c r="B461">
        <f>Component!A39</f>
        <v/>
      </c>
      <c r="C461" t="inlineStr">
        <is>
          <t>Mean carbon content</t>
        </is>
      </c>
      <c r="D461" t="inlineStr">
        <is>
          <t>mean({[cmp_1KXEBV2PW1S0P1N6_carbon_contents]})</t>
        </is>
      </c>
      <c r="E461" s="2" t="n">
        <v>0.7994599999999999</v>
      </c>
      <c r="F461" t="n">
        <v>0</v>
      </c>
      <c r="G461" t="inlineStr"/>
    </row>
    <row r="462">
      <c r="A462" t="inlineStr">
        <is>
          <t>cmp_1KXEBV2PW1S0P1N6_output</t>
        </is>
      </c>
      <c r="B462">
        <f>Component!A39</f>
        <v/>
      </c>
      <c r="C462" t="inlineStr">
        <is>
          <t>Biochar sequestration, 200 year durability</t>
        </is>
      </c>
      <c r="D462" t="inlineStr">
        <is>
          <t>{cmp_1KXEBV2PW1S0P1N6_product_mass} * {cmp_1KXEBV2PW1S0P1N6_mean_carbon_content} * {cmp_1KXEBV2PW1S0P1N6_durable_fraction} * {cmp_1KXEBV2PW1S0P1N6_co2e_of_carbon}</t>
        </is>
      </c>
      <c r="E462" s="2">
        <f>Datapoint!E126 * Expression!E461 * Expression!E460 * 3.667</f>
        <v/>
      </c>
      <c r="F462" t="n">
        <v>0</v>
      </c>
      <c r="G462" t="inlineStr">
        <is>
          <t>kg</t>
        </is>
      </c>
    </row>
    <row r="463">
      <c r="A463" t="inlineStr">
        <is>
          <t>cmp_1KXEBV2PW1S0P1N6_component_root</t>
        </is>
      </c>
      <c r="B463">
        <f>Component!A39</f>
        <v/>
      </c>
      <c r="C463" t="inlineStr">
        <is>
          <t>Biochar sequestration, 200 year durability</t>
        </is>
      </c>
      <c r="D463" t="inlineStr">
        <is>
          <t>{cmp_1KXEBV2PW1S0P1N6_output}</t>
        </is>
      </c>
      <c r="E463" s="2">
        <f>Expression!E462</f>
        <v/>
      </c>
      <c r="F463" t="n">
        <v>0</v>
      </c>
      <c r="G463" t="inlineStr">
        <is>
          <t>kg</t>
        </is>
      </c>
    </row>
    <row r="464">
      <c r="A464" t="inlineStr">
        <is>
          <t>cmp_1KWCC0FY31S00Z7D_component_root</t>
        </is>
      </c>
      <c r="B464">
        <f>Component!A3</f>
        <v/>
      </c>
      <c r="C464" t="inlineStr">
        <is>
          <t>Biochar Spreading Emissions</t>
        </is>
      </c>
      <c r="D464" t="inlineStr">
        <is>
          <t>{cmp_1KWCC0FY31S00Z7D_mass} * {cmp_1KWCC0FY31S00Z7D_carbon_intensity}</t>
        </is>
      </c>
      <c r="E464" s="2">
        <f>Datapoint!E4 * Datapoint!E3</f>
        <v/>
      </c>
      <c r="F464" t="n">
        <v>0</v>
      </c>
      <c r="G464" t="inlineStr">
        <is>
          <t>kg</t>
        </is>
      </c>
    </row>
    <row r="465">
      <c r="A465" t="inlineStr">
        <is>
          <t>cmp_1KWCC0FY31S037HP_soil_temp_delta</t>
        </is>
      </c>
      <c r="B465">
        <f>Component!A4</f>
        <v/>
      </c>
      <c r="C465" t="inlineStr">
        <is>
          <t>Difference in soil temp from 0 celsius</t>
        </is>
      </c>
      <c r="D465" t="inlineStr">
        <is>
          <t>{cmp_1KWCC0FY31S037HP_soil_temp} - {cmp_1KWCC0FY31S037HP_zero_degrees_celsius}</t>
        </is>
      </c>
      <c r="E465" s="2">
        <f>Datapoint!E8 - 273.15</f>
        <v/>
      </c>
      <c r="F465" t="n">
        <v>0</v>
      </c>
      <c r="G465" t="inlineStr">
        <is>
          <t>K</t>
        </is>
      </c>
    </row>
    <row r="466">
      <c r="A466" t="inlineStr">
        <is>
          <t>cmp_1KWCC0FY31S037HP_normalized_mean_soil_temp</t>
        </is>
      </c>
      <c r="B466">
        <f>Component!A4</f>
        <v/>
      </c>
      <c r="C466" t="inlineStr">
        <is>
          <t>Mean soil temperature in dimensionless units</t>
        </is>
      </c>
      <c r="D466" t="inlineStr">
        <is>
          <t>{cmp_1KWCC0FY31S037HP_soil_temp_delta} / {cmp_1KWCC0FY31S037HP_one_degree_celsius_delta}</t>
        </is>
      </c>
      <c r="E466" s="2">
        <f>Expression!E465 / 1.0</f>
        <v/>
      </c>
      <c r="F466" t="n">
        <v>0</v>
      </c>
      <c r="G466" t="inlineStr"/>
    </row>
    <row r="467">
      <c r="A467" t="inlineStr">
        <is>
          <t>cmp_1KWCC0FY31S037HP_log_mean_soil_temp</t>
        </is>
      </c>
      <c r="B467">
        <f>Component!A4</f>
        <v/>
      </c>
      <c r="C467" t="inlineStr">
        <is>
          <t>Natural log of mean soil temperature in dimensionless units</t>
        </is>
      </c>
      <c r="D467" t="inlineStr">
        <is>
          <t>ln({cmp_1KWCC0FY31S037HP_normalized_mean_soil_temp})</t>
        </is>
      </c>
      <c r="E467" s="2" t="n">
        <v>2.388762789235098</v>
      </c>
      <c r="F467" t="n">
        <v>0</v>
      </c>
      <c r="G467" t="inlineStr"/>
    </row>
    <row r="468">
      <c r="A468" t="inlineStr">
        <is>
          <t>cmp_1KWCC0FY31S037HP_h_c_ratio</t>
        </is>
      </c>
      <c r="B468">
        <f>Component!A4</f>
        <v/>
      </c>
      <c r="C468" t="inlineStr">
        <is>
          <t>H:C ratio</t>
        </is>
      </c>
      <c r="D468" t="inlineStr">
        <is>
          <t>mean({[cmp_1KWCC0FY31S037HP_h_c_molar_ratios]})</t>
        </is>
      </c>
      <c r="E468" s="2" t="n">
        <v>0.35</v>
      </c>
      <c r="F468" t="n">
        <v>0</v>
      </c>
      <c r="G468" t="inlineStr"/>
    </row>
    <row r="469">
      <c r="A469" t="inlineStr">
        <is>
          <t>cmp_1KWCC0FY31S037HP_non_durable_fraction_calc</t>
        </is>
      </c>
      <c r="B469">
        <f>Component!A4</f>
        <v/>
      </c>
      <c r="C469" t="inlineStr">
        <is>
          <t>Non-durable fraction</t>
        </is>
      </c>
      <c r="D469" t="inlineStr">
        <is>
          <t>{cmp_1KWCC0FY31S037HP_woolf_parameter_c} + ({cmp_1KWCC0FY31S037HP_woolf_parameter_a} + {cmp_1KWCC0FY31S037HP_woolf_parameter_b} * {cmp_1KWCC0FY31S037HP_log_mean_soil_temp}) * {cmp_1KWCC0FY31S037HP_h_c_ratio}</t>
        </is>
      </c>
      <c r="E469" s="2">
        <f>-0.048 + (-0.383 + 0.35 * Expression!E467) * Expression!E468</f>
        <v/>
      </c>
      <c r="F469" t="n">
        <v>0</v>
      </c>
      <c r="G469" t="inlineStr"/>
    </row>
    <row r="470">
      <c r="A470" t="inlineStr">
        <is>
          <t>cmp_1KWCC0FY31S037HP_durable_fraction_calc</t>
        </is>
      </c>
      <c r="B470">
        <f>Component!A4</f>
        <v/>
      </c>
      <c r="C470" t="inlineStr">
        <is>
          <t>Durable fraction</t>
        </is>
      </c>
      <c r="D470" t="inlineStr">
        <is>
          <t>complement_of({cmp_1KWCC0FY31S037HP_non_durable_fraction_calc})</t>
        </is>
      </c>
      <c r="E470" s="2" t="n">
        <v>0.8894265583187005</v>
      </c>
      <c r="F470" t="n">
        <v>0</v>
      </c>
      <c r="G470" t="inlineStr"/>
    </row>
    <row r="471">
      <c r="A471" t="inlineStr">
        <is>
          <t>cmp_1KWCC0FY31S037HP_carbon_contents</t>
        </is>
      </c>
      <c r="B471">
        <f>Component!A4</f>
        <v/>
      </c>
      <c r="C471" t="inlineStr">
        <is>
          <t>Carbon content of biochar</t>
        </is>
      </c>
      <c r="D471" t="inlineStr">
        <is>
          <t>{[cmp_1KWCC0FY31S037HP_total_carbon_contents]} - {[cmp_1KWCC0FY31S037HP_inorganic_carbon_contents]}</t>
        </is>
      </c>
      <c r="E471" s="2" t="inlineStr">
        <is>
          <t>79.946</t>
        </is>
      </c>
      <c r="F471" t="n">
        <v>0</v>
      </c>
      <c r="G471" t="inlineStr">
        <is>
          <t>%</t>
        </is>
      </c>
    </row>
    <row r="472">
      <c r="A472" t="inlineStr">
        <is>
          <t>cmp_1KWCC0FY31S037HP_durable_fraction</t>
        </is>
      </c>
      <c r="B472">
        <f>Component!A4</f>
        <v/>
      </c>
      <c r="C472" t="inlineStr">
        <is>
          <t>Durable fraction</t>
        </is>
      </c>
      <c r="D472" t="inlineStr">
        <is>
          <t>min({cmp_1KWCC0FY31S037HP_durable_fraction_calc}, {cmp_1KWCC0FY31S037HP_max_durable_fraction})</t>
        </is>
      </c>
      <c r="E472" s="2" t="n">
        <v>0.8894265583187005</v>
      </c>
      <c r="F472" t="n">
        <v>0</v>
      </c>
      <c r="G472" t="inlineStr"/>
    </row>
    <row r="473">
      <c r="A473" t="inlineStr">
        <is>
          <t>cmp_1KWCC0FY31S037HP_mean_carbon_content</t>
        </is>
      </c>
      <c r="B473">
        <f>Component!A4</f>
        <v/>
      </c>
      <c r="C473" t="inlineStr">
        <is>
          <t>Mean carbon content</t>
        </is>
      </c>
      <c r="D473" t="inlineStr">
        <is>
          <t>mean({[cmp_1KWCC0FY31S037HP_carbon_contents]})</t>
        </is>
      </c>
      <c r="E473" s="2" t="n">
        <v>0.7994599999999999</v>
      </c>
      <c r="F473" t="n">
        <v>0</v>
      </c>
      <c r="G473" t="inlineStr"/>
    </row>
    <row r="474">
      <c r="A474" t="inlineStr">
        <is>
          <t>cmp_1KWCC0FY31S037HP_output</t>
        </is>
      </c>
      <c r="B474">
        <f>Component!A4</f>
        <v/>
      </c>
      <c r="C474" t="inlineStr">
        <is>
          <t>Biochar sequestration, 200 year durability</t>
        </is>
      </c>
      <c r="D474" t="inlineStr">
        <is>
          <t>{cmp_1KWCC0FY31S037HP_product_mass} * {cmp_1KWCC0FY31S037HP_mean_carbon_content} * {cmp_1KWCC0FY31S037HP_durable_fraction} * {cmp_1KWCC0FY31S037HP_co2e_of_carbon}</t>
        </is>
      </c>
      <c r="E474" s="2">
        <f>Datapoint!E7 * Expression!E473 * Expression!E472 * 3.667</f>
        <v/>
      </c>
      <c r="F474" t="n">
        <v>0</v>
      </c>
      <c r="G474" t="inlineStr">
        <is>
          <t>kg</t>
        </is>
      </c>
    </row>
    <row r="475">
      <c r="A475" t="inlineStr">
        <is>
          <t>cmp_1KWCC0FY31S037HP_component_root</t>
        </is>
      </c>
      <c r="B475">
        <f>Component!A4</f>
        <v/>
      </c>
      <c r="C475" t="inlineStr">
        <is>
          <t>Biochar sequestration, 200 year durability</t>
        </is>
      </c>
      <c r="D475" t="inlineStr">
        <is>
          <t>{cmp_1KWCC0FY31S037HP_output}</t>
        </is>
      </c>
      <c r="E475" s="2">
        <f>Expression!E474</f>
        <v/>
      </c>
      <c r="F475" t="n">
        <v>0</v>
      </c>
      <c r="G475" t="inlineStr">
        <is>
          <t>kg</t>
        </is>
      </c>
    </row>
    <row r="476">
      <c r="A476" t="inlineStr">
        <is>
          <t>cmp_1KXEHAAVZ1S0M38M_component_root</t>
        </is>
      </c>
      <c r="B476">
        <f>Component!A51</f>
        <v/>
      </c>
      <c r="C476" t="inlineStr">
        <is>
          <t>Biochar Production Emission (A)</t>
        </is>
      </c>
      <c r="D476" t="inlineStr">
        <is>
          <t>{cmp_1KXEHAAVZ1S0M38M_mass} * {cmp_1KXEHAAVZ1S0M38M_carbon_intensity}</t>
        </is>
      </c>
      <c r="E476" s="2">
        <f>Datapoint!E172 * Datapoint!E171</f>
        <v/>
      </c>
      <c r="F476" t="n">
        <v>0</v>
      </c>
      <c r="G476" t="inlineStr">
        <is>
          <t>kg</t>
        </is>
      </c>
    </row>
    <row r="477">
      <c r="A477" t="inlineStr">
        <is>
          <t>cmp_1KXEA1TH21S01ND8_component_root</t>
        </is>
      </c>
      <c r="B477">
        <f>Component!A29</f>
        <v/>
      </c>
      <c r="C477" t="inlineStr">
        <is>
          <t>CO Flatbed Truck Transport Process Emissions</t>
        </is>
      </c>
      <c r="D477" t="inlineStr">
        <is>
          <t>{cmp_1KXEA1TH21S01ND8_mass} * {cmp_1KXEA1TH21S01ND8_distance} * {cmp_1KXEA1TH21S01ND8_carbon_intensity}</t>
        </is>
      </c>
      <c r="E477" s="2">
        <f>Datapoint!E106 * Datapoint!E105 * Datapoint!E104</f>
        <v/>
      </c>
      <c r="F477" t="n">
        <v>0</v>
      </c>
      <c r="G477" t="inlineStr">
        <is>
          <t>kg</t>
        </is>
      </c>
    </row>
    <row r="478">
      <c r="A478" t="inlineStr">
        <is>
          <t>cmp_1KYA74ZX41S01W5Y_output</t>
        </is>
      </c>
      <c r="B478">
        <f>Component!A150</f>
        <v/>
      </c>
      <c r="C478" t="inlineStr">
        <is>
          <t>Distance-based emissions</t>
        </is>
      </c>
      <c r="D478" t="inlineStr">
        <is>
          <t>{cmp_1KYA74ZX41S01W5Y_distance} * {cmp_1KYA74ZX41S01W5Y_carbon_intensity}</t>
        </is>
      </c>
      <c r="E478" s="2">
        <f>Datapoint!E558 * Datapoint!E557</f>
        <v/>
      </c>
      <c r="F478" t="n">
        <v>0</v>
      </c>
      <c r="G478" t="inlineStr">
        <is>
          <t>kg</t>
        </is>
      </c>
    </row>
    <row r="479">
      <c r="A479" t="inlineStr">
        <is>
          <t>cmp_1KYA74ZX41S01W5Y_component_root</t>
        </is>
      </c>
      <c r="B479">
        <f>Component!A150</f>
        <v/>
      </c>
      <c r="C479" t="inlineStr">
        <is>
          <t>CO Flatbed Truck Transport Embodied Emissions</t>
        </is>
      </c>
      <c r="D479" t="inlineStr">
        <is>
          <t>{cmp_1KYA74ZX41S01W5Y_output}</t>
        </is>
      </c>
      <c r="E479" s="2">
        <f>Expression!E478</f>
        <v/>
      </c>
      <c r="F479" t="n">
        <v>0</v>
      </c>
      <c r="G479" t="inlineStr">
        <is>
          <t>kg</t>
        </is>
      </c>
    </row>
    <row r="480">
      <c r="A480" t="inlineStr">
        <is>
          <t>cmp_1KYABSFP21S04NRH_component_root</t>
        </is>
      </c>
      <c r="B480">
        <f>Component!A180</f>
        <v/>
      </c>
      <c r="C480" t="inlineStr">
        <is>
          <t>Biochar Production Emission (A)</t>
        </is>
      </c>
      <c r="D480" t="inlineStr">
        <is>
          <t>{cmp_1KYABSFP21S04NRH_mass} * {cmp_1KYABSFP21S04NRH_carbon_intensity}</t>
        </is>
      </c>
      <c r="E480" s="2">
        <f>Datapoint!E627 * Datapoint!E626</f>
        <v/>
      </c>
      <c r="F480" t="n">
        <v>0</v>
      </c>
      <c r="G480" t="inlineStr">
        <is>
          <t>kg</t>
        </is>
      </c>
    </row>
    <row r="481">
      <c r="A481" t="inlineStr">
        <is>
          <t>cmp_1KYABR7E21S06E9K_component_root</t>
        </is>
      </c>
      <c r="B481">
        <f>Component!A177</f>
        <v/>
      </c>
      <c r="C481" t="inlineStr">
        <is>
          <t>Biochar Production Emission (A)</t>
        </is>
      </c>
      <c r="D481" t="inlineStr">
        <is>
          <t>{cmp_1KYABR7E21S06E9K_mass} * {cmp_1KYABR7E21S06E9K_carbon_intensity}</t>
        </is>
      </c>
      <c r="E481" s="2">
        <f>Datapoint!E618 * Datapoint!E617</f>
        <v/>
      </c>
      <c r="F481" t="n">
        <v>0</v>
      </c>
      <c r="G481" t="inlineStr">
        <is>
          <t>kg</t>
        </is>
      </c>
    </row>
    <row r="482">
      <c r="A482" t="inlineStr">
        <is>
          <t>cmp_1KYA6ANEE1S00E92_component_root</t>
        </is>
      </c>
      <c r="B482">
        <f>Component!A145</f>
        <v/>
      </c>
      <c r="C482" t="inlineStr">
        <is>
          <t>Biochar Spreading Emissions</t>
        </is>
      </c>
      <c r="D482" t="inlineStr">
        <is>
          <t>{cmp_1KYA6ANEE1S00E92_mass} * {cmp_1KYA6ANEE1S00E92_carbon_intensity}</t>
        </is>
      </c>
      <c r="E482" s="2">
        <f>Datapoint!E529 * Datapoint!E528</f>
        <v/>
      </c>
      <c r="F482" t="n">
        <v>0</v>
      </c>
      <c r="G482" t="inlineStr">
        <is>
          <t>kg</t>
        </is>
      </c>
    </row>
    <row r="483">
      <c r="A483" t="inlineStr">
        <is>
          <t>cmp_1KXKGW8131S0S4S5_soil_temp_delta</t>
        </is>
      </c>
      <c r="B483">
        <f>Component!A105</f>
        <v/>
      </c>
      <c r="C483" t="inlineStr">
        <is>
          <t>Difference in soil temp from 0 celsius</t>
        </is>
      </c>
      <c r="D483" t="inlineStr">
        <is>
          <t>{cmp_1KXKGW8131S0S4S5_soil_temp} - {cmp_1KXKGW8131S0S4S5_zero_degrees_celsius}</t>
        </is>
      </c>
      <c r="E483" s="2">
        <f>Datapoint!E364 - 273.15</f>
        <v/>
      </c>
      <c r="F483" t="n">
        <v>0</v>
      </c>
      <c r="G483" t="inlineStr">
        <is>
          <t>K</t>
        </is>
      </c>
    </row>
    <row r="484">
      <c r="A484" t="inlineStr">
        <is>
          <t>cmp_1KXKGW8131S0S4S5_normalized_mean_soil_temp</t>
        </is>
      </c>
      <c r="B484">
        <f>Component!A105</f>
        <v/>
      </c>
      <c r="C484" t="inlineStr">
        <is>
          <t>Mean soil temperature in dimensionless units</t>
        </is>
      </c>
      <c r="D484" t="inlineStr">
        <is>
          <t>{cmp_1KXKGW8131S0S4S5_soil_temp_delta} / {cmp_1KXKGW8131S0S4S5_one_degree_celsius_delta}</t>
        </is>
      </c>
      <c r="E484" s="2">
        <f>Expression!E483 / 1.0</f>
        <v/>
      </c>
      <c r="F484" t="n">
        <v>0</v>
      </c>
      <c r="G484" t="inlineStr"/>
    </row>
    <row r="485">
      <c r="A485" t="inlineStr">
        <is>
          <t>cmp_1KXKGW8131S0S4S5_log_mean_soil_temp</t>
        </is>
      </c>
      <c r="B485">
        <f>Component!A105</f>
        <v/>
      </c>
      <c r="C485" t="inlineStr">
        <is>
          <t>Natural log of mean soil temperature in dimensionless units</t>
        </is>
      </c>
      <c r="D485" t="inlineStr">
        <is>
          <t>ln({cmp_1KXKGW8131S0S4S5_normalized_mean_soil_temp})</t>
        </is>
      </c>
      <c r="E485" s="2" t="n">
        <v>2.388762789235098</v>
      </c>
      <c r="F485" t="n">
        <v>0</v>
      </c>
      <c r="G485" t="inlineStr"/>
    </row>
    <row r="486">
      <c r="A486" t="inlineStr">
        <is>
          <t>cmp_1KXKGW8131S0S4S5_h_c_ratio</t>
        </is>
      </c>
      <c r="B486">
        <f>Component!A105</f>
        <v/>
      </c>
      <c r="C486" t="inlineStr">
        <is>
          <t>H:C ratio</t>
        </is>
      </c>
      <c r="D486" t="inlineStr">
        <is>
          <t>mean({[cmp_1KXKGW8131S0S4S5_h_c_molar_ratios]})</t>
        </is>
      </c>
      <c r="E486" s="2" t="n">
        <v>0.28667</v>
      </c>
      <c r="F486" t="n">
        <v>0</v>
      </c>
      <c r="G486" t="inlineStr"/>
    </row>
    <row r="487">
      <c r="A487" t="inlineStr">
        <is>
          <t>cmp_1KXKGW8131S0S4S5_non_durable_fraction_calc</t>
        </is>
      </c>
      <c r="B487">
        <f>Component!A105</f>
        <v/>
      </c>
      <c r="C487" t="inlineStr">
        <is>
          <t>Non-durable fraction</t>
        </is>
      </c>
      <c r="D487" t="inlineStr">
        <is>
          <t>{cmp_1KXKGW8131S0S4S5_woolf_parameter_c} + ({cmp_1KXKGW8131S0S4S5_woolf_parameter_a} + {cmp_1KXKGW8131S0S4S5_woolf_parameter_b} * {cmp_1KXKGW8131S0S4S5_log_mean_soil_temp}) * {cmp_1KXKGW8131S0S4S5_h_c_ratio}</t>
        </is>
      </c>
      <c r="E487" s="2">
        <f>-0.048 + (-0.383 + 0.35 * Expression!E485) * Expression!E486</f>
        <v/>
      </c>
      <c r="F487" t="n">
        <v>0</v>
      </c>
      <c r="G487" t="inlineStr"/>
    </row>
    <row r="488">
      <c r="A488" t="inlineStr">
        <is>
          <t>cmp_1KXKGW8131S0S4S5_durable_fraction_calc</t>
        </is>
      </c>
      <c r="B488">
        <f>Component!A105</f>
        <v/>
      </c>
      <c r="C488" t="inlineStr">
        <is>
          <t>Durable fraction</t>
        </is>
      </c>
      <c r="D488" t="inlineStr">
        <is>
          <t>complement_of({cmp_1KXKGW8131S0S4S5_non_durable_fraction_calc})</t>
        </is>
      </c>
      <c r="E488" s="2" t="n">
        <v>0.9181192899234911</v>
      </c>
      <c r="F488" t="n">
        <v>0</v>
      </c>
      <c r="G488" t="inlineStr"/>
    </row>
    <row r="489">
      <c r="A489" t="inlineStr">
        <is>
          <t>cmp_1KXKGW8131S0S4S5_carbon_contents</t>
        </is>
      </c>
      <c r="B489">
        <f>Component!A105</f>
        <v/>
      </c>
      <c r="C489" t="inlineStr">
        <is>
          <t>Carbon content of biochar</t>
        </is>
      </c>
      <c r="D489" t="inlineStr">
        <is>
          <t>{[cmp_1KXKGW8131S0S4S5_total_carbon_contents]} - {[cmp_1KXKGW8131S0S4S5_inorganic_carbon_contents]}</t>
        </is>
      </c>
      <c r="E489" s="2" t="inlineStr">
        <is>
          <t>89.66699999999999</t>
        </is>
      </c>
      <c r="F489" t="n">
        <v>0</v>
      </c>
      <c r="G489" t="inlineStr">
        <is>
          <t>%</t>
        </is>
      </c>
    </row>
    <row r="490">
      <c r="A490" t="inlineStr">
        <is>
          <t>cmp_1KXKGW8131S0S4S5_durable_fraction</t>
        </is>
      </c>
      <c r="B490">
        <f>Component!A105</f>
        <v/>
      </c>
      <c r="C490" t="inlineStr">
        <is>
          <t>Durable fraction</t>
        </is>
      </c>
      <c r="D490" t="inlineStr">
        <is>
          <t>min({cmp_1KXKGW8131S0S4S5_durable_fraction_calc}, {cmp_1KXKGW8131S0S4S5_max_durable_fraction})</t>
        </is>
      </c>
      <c r="E490" s="2" t="n">
        <v>0.9181192899234911</v>
      </c>
      <c r="F490" t="n">
        <v>0</v>
      </c>
      <c r="G490" t="inlineStr"/>
    </row>
    <row r="491">
      <c r="A491" t="inlineStr">
        <is>
          <t>cmp_1KXKGW8131S0S4S5_mean_carbon_content</t>
        </is>
      </c>
      <c r="B491">
        <f>Component!A105</f>
        <v/>
      </c>
      <c r="C491" t="inlineStr">
        <is>
          <t>Mean carbon content</t>
        </is>
      </c>
      <c r="D491" t="inlineStr">
        <is>
          <t>mean({[cmp_1KXKGW8131S0S4S5_carbon_contents]})</t>
        </is>
      </c>
      <c r="E491" s="2" t="n">
        <v>0.8966699999999999</v>
      </c>
      <c r="F491" t="n">
        <v>0</v>
      </c>
      <c r="G491" t="inlineStr"/>
    </row>
    <row r="492">
      <c r="A492" t="inlineStr">
        <is>
          <t>cmp_1KXKGW8131S0S4S5_output</t>
        </is>
      </c>
      <c r="B492">
        <f>Component!A105</f>
        <v/>
      </c>
      <c r="C492" t="inlineStr">
        <is>
          <t>Biochar sequestration, 200 year durability</t>
        </is>
      </c>
      <c r="D492" t="inlineStr">
        <is>
          <t>{cmp_1KXKGW8131S0S4S5_product_mass} * {cmp_1KXKGW8131S0S4S5_mean_carbon_content} * {cmp_1KXKGW8131S0S4S5_durable_fraction} * {cmp_1KXKGW8131S0S4S5_co2e_of_carbon}</t>
        </is>
      </c>
      <c r="E492" s="2">
        <f>Datapoint!E363 * Expression!E491 * Expression!E490 * 3.667</f>
        <v/>
      </c>
      <c r="F492" t="n">
        <v>0</v>
      </c>
      <c r="G492" t="inlineStr">
        <is>
          <t>kg</t>
        </is>
      </c>
    </row>
    <row r="493">
      <c r="A493" t="inlineStr">
        <is>
          <t>cmp_1KXKGW8131S0S4S5_component_root</t>
        </is>
      </c>
      <c r="B493">
        <f>Component!A105</f>
        <v/>
      </c>
      <c r="C493" t="inlineStr">
        <is>
          <t>Biochar sequestration, 200 year durability</t>
        </is>
      </c>
      <c r="D493" t="inlineStr">
        <is>
          <t>{cmp_1KXKGW8131S0S4S5_output}</t>
        </is>
      </c>
      <c r="E493" s="2">
        <f>Expression!E492</f>
        <v/>
      </c>
      <c r="F493" t="n">
        <v>0</v>
      </c>
      <c r="G493" t="inlineStr">
        <is>
          <t>kg</t>
        </is>
      </c>
    </row>
    <row r="494">
      <c r="A494" t="inlineStr">
        <is>
          <t>cmp_1KXERD7151S0NK0E_component_root</t>
        </is>
      </c>
      <c r="B494">
        <f>Component!A74</f>
        <v/>
      </c>
      <c r="C494" t="inlineStr">
        <is>
          <t>CO Flatbed Truck Transport Process Emissions</t>
        </is>
      </c>
      <c r="D494" t="inlineStr">
        <is>
          <t>{cmp_1KXERD7151S0NK0E_mass} * {cmp_1KXERD7151S0NK0E_distance} * {cmp_1KXERD7151S0NK0E_carbon_intensity}</t>
        </is>
      </c>
      <c r="E494" s="2">
        <f>Datapoint!E255 * Datapoint!E254 * Datapoint!E253</f>
        <v/>
      </c>
      <c r="F494" t="n">
        <v>0</v>
      </c>
      <c r="G494" t="inlineStr">
        <is>
          <t>kg</t>
        </is>
      </c>
    </row>
    <row r="495">
      <c r="A495" t="inlineStr">
        <is>
          <t>cmp_1KY02PC6H1S0AA6B_component_root</t>
        </is>
      </c>
      <c r="B495">
        <f>Component!A116</f>
        <v/>
      </c>
      <c r="C495" t="inlineStr">
        <is>
          <t>CO Flatbed Truck Transport Process Emissions</t>
        </is>
      </c>
      <c r="D495" t="inlineStr">
        <is>
          <t>{cmp_1KY02PC6H1S0AA6B_mass} * {cmp_1KY02PC6H1S0AA6B_distance} * {cmp_1KY02PC6H1S0AA6B_carbon_intensity}</t>
        </is>
      </c>
      <c r="E495" s="2">
        <f>Datapoint!E422 * Datapoint!E421 * Datapoint!E420</f>
        <v/>
      </c>
      <c r="F495" t="n">
        <v>0</v>
      </c>
      <c r="G495" t="inlineStr">
        <is>
          <t>kg</t>
        </is>
      </c>
    </row>
    <row r="496">
      <c r="A496" t="inlineStr">
        <is>
          <t>cmp_1KY5G7F3N1S00HBS_soil_temp_delta</t>
        </is>
      </c>
      <c r="B496">
        <f>Component!A141</f>
        <v/>
      </c>
      <c r="C496" t="inlineStr">
        <is>
          <t>Difference in soil temp from 0 celsius</t>
        </is>
      </c>
      <c r="D496" t="inlineStr">
        <is>
          <t>{cmp_1KY5G7F3N1S00HBS_soil_temp} - {cmp_1KY5G7F3N1S00HBS_zero_degrees_celsius}</t>
        </is>
      </c>
      <c r="E496" s="2">
        <f>Datapoint!E517 - 273.15</f>
        <v/>
      </c>
      <c r="F496" t="n">
        <v>0</v>
      </c>
      <c r="G496" t="inlineStr">
        <is>
          <t>K</t>
        </is>
      </c>
    </row>
    <row r="497">
      <c r="A497" t="inlineStr">
        <is>
          <t>cmp_1KY5G7F3N1S00HBS_normalized_mean_soil_temp</t>
        </is>
      </c>
      <c r="B497">
        <f>Component!A141</f>
        <v/>
      </c>
      <c r="C497" t="inlineStr">
        <is>
          <t>Mean soil temperature in dimensionless units</t>
        </is>
      </c>
      <c r="D497" t="inlineStr">
        <is>
          <t>{cmp_1KY5G7F3N1S00HBS_soil_temp_delta} / {cmp_1KY5G7F3N1S00HBS_one_degree_celsius_delta}</t>
        </is>
      </c>
      <c r="E497" s="2">
        <f>Expression!E496 / 1.0</f>
        <v/>
      </c>
      <c r="F497" t="n">
        <v>0</v>
      </c>
      <c r="G497" t="inlineStr"/>
    </row>
    <row r="498">
      <c r="A498" t="inlineStr">
        <is>
          <t>cmp_1KY5G7F3N1S00HBS_log_mean_soil_temp</t>
        </is>
      </c>
      <c r="B498">
        <f>Component!A141</f>
        <v/>
      </c>
      <c r="C498" t="inlineStr">
        <is>
          <t>Natural log of mean soil temperature in dimensionless units</t>
        </is>
      </c>
      <c r="D498" t="inlineStr">
        <is>
          <t>ln({cmp_1KY5G7F3N1S00HBS_normalized_mean_soil_temp})</t>
        </is>
      </c>
      <c r="E498" s="2" t="n">
        <v>2.415913778301049</v>
      </c>
      <c r="F498" t="n">
        <v>0</v>
      </c>
      <c r="G498" t="inlineStr"/>
    </row>
    <row r="499">
      <c r="A499" t="inlineStr">
        <is>
          <t>cmp_1KY5G7F3N1S00HBS_h_c_ratio</t>
        </is>
      </c>
      <c r="B499">
        <f>Component!A141</f>
        <v/>
      </c>
      <c r="C499" t="inlineStr">
        <is>
          <t>H:C ratio</t>
        </is>
      </c>
      <c r="D499" t="inlineStr">
        <is>
          <t>mean({[cmp_1KY5G7F3N1S00HBS_h_c_molar_ratios]})</t>
        </is>
      </c>
      <c r="E499" s="2" t="n">
        <v>0.46</v>
      </c>
      <c r="F499" t="n">
        <v>0</v>
      </c>
      <c r="G499" t="inlineStr"/>
    </row>
    <row r="500">
      <c r="A500" t="inlineStr">
        <is>
          <t>cmp_1KY5G7F3N1S00HBS_non_durable_fraction_calc</t>
        </is>
      </c>
      <c r="B500">
        <f>Component!A141</f>
        <v/>
      </c>
      <c r="C500" t="inlineStr">
        <is>
          <t>Non-durable fraction</t>
        </is>
      </c>
      <c r="D500" t="inlineStr">
        <is>
          <t>{cmp_1KY5G7F3N1S00HBS_woolf_parameter_c} + ({cmp_1KY5G7F3N1S00HBS_woolf_parameter_a} + {cmp_1KY5G7F3N1S00HBS_woolf_parameter_b} * {cmp_1KY5G7F3N1S00HBS_log_mean_soil_temp}) * {cmp_1KY5G7F3N1S00HBS_h_c_ratio}</t>
        </is>
      </c>
      <c r="E500" s="2">
        <f>-0.048 + (-0.383 + 0.35 * Expression!E498) * Expression!E499</f>
        <v/>
      </c>
      <c r="F500" t="n">
        <v>0</v>
      </c>
      <c r="G500" t="inlineStr"/>
    </row>
    <row r="501">
      <c r="A501" t="inlineStr">
        <is>
          <t>cmp_1KY5G7F3N1S00HBS_durable_fraction_calc</t>
        </is>
      </c>
      <c r="B501">
        <f>Component!A141</f>
        <v/>
      </c>
      <c r="C501" t="inlineStr">
        <is>
          <t>Durable fraction</t>
        </is>
      </c>
      <c r="D501" t="inlineStr">
        <is>
          <t>complement_of({cmp_1KY5G7F3N1S00HBS_non_durable_fraction_calc})</t>
        </is>
      </c>
      <c r="E501" s="2" t="n">
        <v>0.8352178816935312</v>
      </c>
      <c r="F501" t="n">
        <v>0</v>
      </c>
      <c r="G501" t="inlineStr"/>
    </row>
    <row r="502">
      <c r="A502" t="inlineStr">
        <is>
          <t>cmp_1KY5G7F3N1S00HBS_carbon_contents</t>
        </is>
      </c>
      <c r="B502">
        <f>Component!A141</f>
        <v/>
      </c>
      <c r="C502" t="inlineStr">
        <is>
          <t>Carbon content of biochar</t>
        </is>
      </c>
      <c r="D502" t="inlineStr">
        <is>
          <t>{[cmp_1KY5G7F3N1S00HBS_total_carbon_contents]} - {[cmp_1KY5G7F3N1S00HBS_inorganic_carbon_contents]}</t>
        </is>
      </c>
      <c r="E502" s="2" t="inlineStr">
        <is>
          <t>83.0667</t>
        </is>
      </c>
      <c r="F502" t="n">
        <v>0</v>
      </c>
      <c r="G502" t="inlineStr">
        <is>
          <t>%</t>
        </is>
      </c>
    </row>
    <row r="503">
      <c r="A503" t="inlineStr">
        <is>
          <t>cmp_1KY5G7F3N1S00HBS_durable_fraction</t>
        </is>
      </c>
      <c r="B503">
        <f>Component!A141</f>
        <v/>
      </c>
      <c r="C503" t="inlineStr">
        <is>
          <t>Durable fraction</t>
        </is>
      </c>
      <c r="D503" t="inlineStr">
        <is>
          <t>min({cmp_1KY5G7F3N1S00HBS_durable_fraction_calc}, {cmp_1KY5G7F3N1S00HBS_max_durable_fraction})</t>
        </is>
      </c>
      <c r="E503" s="2" t="n">
        <v>0.8352178816935312</v>
      </c>
      <c r="F503" t="n">
        <v>0</v>
      </c>
      <c r="G503" t="inlineStr"/>
    </row>
    <row r="504">
      <c r="A504" t="inlineStr">
        <is>
          <t>cmp_1KY5G7F3N1S00HBS_mean_carbon_content</t>
        </is>
      </c>
      <c r="B504">
        <f>Component!A141</f>
        <v/>
      </c>
      <c r="C504" t="inlineStr">
        <is>
          <t>Mean carbon content</t>
        </is>
      </c>
      <c r="D504" t="inlineStr">
        <is>
          <t>mean({[cmp_1KY5G7F3N1S00HBS_carbon_contents]})</t>
        </is>
      </c>
      <c r="E504" s="2" t="n">
        <v>0.830667</v>
      </c>
      <c r="F504" t="n">
        <v>0</v>
      </c>
      <c r="G504" t="inlineStr"/>
    </row>
    <row r="505">
      <c r="A505" t="inlineStr">
        <is>
          <t>cmp_1KY5G7F3N1S00HBS_output</t>
        </is>
      </c>
      <c r="B505">
        <f>Component!A141</f>
        <v/>
      </c>
      <c r="C505" t="inlineStr">
        <is>
          <t>Biochar sequestration, 200 year durability</t>
        </is>
      </c>
      <c r="D505" t="inlineStr">
        <is>
          <t>{cmp_1KY5G7F3N1S00HBS_product_mass} * {cmp_1KY5G7F3N1S00HBS_mean_carbon_content} * {cmp_1KY5G7F3N1S00HBS_durable_fraction} * {cmp_1KY5G7F3N1S00HBS_co2e_of_carbon}</t>
        </is>
      </c>
      <c r="E505" s="2">
        <f>Datapoint!E516 * Expression!E504 * Expression!E503 * 3.667</f>
        <v/>
      </c>
      <c r="F505" t="n">
        <v>0</v>
      </c>
      <c r="G505" t="inlineStr">
        <is>
          <t>kg</t>
        </is>
      </c>
    </row>
    <row r="506">
      <c r="A506" t="inlineStr">
        <is>
          <t>cmp_1KY5G7F3N1S00HBS_component_root</t>
        </is>
      </c>
      <c r="B506">
        <f>Component!A141</f>
        <v/>
      </c>
      <c r="C506" t="inlineStr">
        <is>
          <t>Biochar sequestration, 200 year durability</t>
        </is>
      </c>
      <c r="D506" t="inlineStr">
        <is>
          <t>{cmp_1KY5G7F3N1S00HBS_output}</t>
        </is>
      </c>
      <c r="E506" s="2">
        <f>Expression!E505</f>
        <v/>
      </c>
      <c r="F506" t="n">
        <v>0</v>
      </c>
      <c r="G506" t="inlineStr">
        <is>
          <t>kg</t>
        </is>
      </c>
    </row>
    <row r="507">
      <c r="A507" t="inlineStr">
        <is>
          <t>cmp_1KXECAV741S05EEK_component_root</t>
        </is>
      </c>
      <c r="B507">
        <f>Component!A43</f>
        <v/>
      </c>
      <c r="C507" t="inlineStr">
        <is>
          <t>CO Flatbed Truck Transport Process Emissions</t>
        </is>
      </c>
      <c r="D507" t="inlineStr">
        <is>
          <t>{cmp_1KXECAV741S05EEK_mass} * {cmp_1KXECAV741S05EEK_distance} * {cmp_1KXECAV741S05EEK_carbon_intensity}</t>
        </is>
      </c>
      <c r="E507" s="2">
        <f>Datapoint!E154 * Datapoint!E153 * Datapoint!E152</f>
        <v/>
      </c>
      <c r="F507" t="n">
        <v>0</v>
      </c>
      <c r="G507" t="inlineStr">
        <is>
          <t>kg</t>
        </is>
      </c>
    </row>
    <row r="508">
      <c r="A508" t="inlineStr">
        <is>
          <t>cmp_1KXEJD28G1S0R9RH_output</t>
        </is>
      </c>
      <c r="B508">
        <f>Component!A62</f>
        <v/>
      </c>
      <c r="C508" t="inlineStr">
        <is>
          <t>Distance-based emissions</t>
        </is>
      </c>
      <c r="D508" t="inlineStr">
        <is>
          <t>{cmp_1KXEJD28G1S0R9RH_distance} * {cmp_1KXEJD28G1S0R9RH_carbon_intensity}</t>
        </is>
      </c>
      <c r="E508" s="2">
        <f>Datapoint!E217 * Datapoint!E216</f>
        <v/>
      </c>
      <c r="F508" t="n">
        <v>0</v>
      </c>
      <c r="G508" t="inlineStr">
        <is>
          <t>kg</t>
        </is>
      </c>
    </row>
    <row r="509">
      <c r="A509" t="inlineStr">
        <is>
          <t>cmp_1KXEJD28G1S0R9RH_component_root</t>
        </is>
      </c>
      <c r="B509">
        <f>Component!A62</f>
        <v/>
      </c>
      <c r="C509" t="inlineStr">
        <is>
          <t>CO Flatbed Truck Transport Embodied Emissions</t>
        </is>
      </c>
      <c r="D509" t="inlineStr">
        <is>
          <t>{cmp_1KXEJD28G1S0R9RH_output}</t>
        </is>
      </c>
      <c r="E509" s="2">
        <f>Expression!E508</f>
        <v/>
      </c>
      <c r="F509" t="n">
        <v>0</v>
      </c>
      <c r="G509" t="inlineStr">
        <is>
          <t>kg</t>
        </is>
      </c>
    </row>
    <row r="510">
      <c r="A510" t="inlineStr">
        <is>
          <t>cmp_1KXE4AHAG1S07SXJ_component_root</t>
        </is>
      </c>
      <c r="B510">
        <f>Component!A24</f>
        <v/>
      </c>
      <c r="C510" t="inlineStr">
        <is>
          <t>CO Flatbed Truck Transport Process Emissions</t>
        </is>
      </c>
      <c r="D510" t="inlineStr">
        <is>
          <t>{cmp_1KXE4AHAG1S07SXJ_mass} * {cmp_1KXE4AHAG1S07SXJ_distance} * {cmp_1KXE4AHAG1S07SXJ_carbon_intensity}</t>
        </is>
      </c>
      <c r="E510" s="2">
        <f>Datapoint!E86 * Datapoint!E85 * Datapoint!E84</f>
        <v/>
      </c>
      <c r="F510" t="n">
        <v>0</v>
      </c>
      <c r="G510" t="inlineStr">
        <is>
          <t>kg</t>
        </is>
      </c>
    </row>
    <row r="511">
      <c r="A511" t="inlineStr">
        <is>
          <t>cmp_1KYA88NCH1S0Z8P7_component_root</t>
        </is>
      </c>
      <c r="B511">
        <f>Component!A158</f>
        <v/>
      </c>
      <c r="C511" t="inlineStr">
        <is>
          <t>BCU - Transport Process</t>
        </is>
      </c>
      <c r="D511" t="inlineStr">
        <is>
          <t>{cmp_1KYA88NCH1S0Z8P7_constant_reduction}</t>
        </is>
      </c>
      <c r="E511" s="2">
        <f>Datapoint!E579</f>
        <v/>
      </c>
      <c r="F511" t="n">
        <v>0</v>
      </c>
      <c r="G511" t="inlineStr">
        <is>
          <t>kg</t>
        </is>
      </c>
    </row>
    <row r="512">
      <c r="A512" t="inlineStr">
        <is>
          <t>cmp_1KXERCP431S0BBX7_output</t>
        </is>
      </c>
      <c r="B512">
        <f>Component!A67</f>
        <v/>
      </c>
      <c r="C512" t="inlineStr">
        <is>
          <t>Distance-based emissions</t>
        </is>
      </c>
      <c r="D512" t="inlineStr">
        <is>
          <t>{cmp_1KXERCP431S0BBX7_distance} * {cmp_1KXERCP431S0BBX7_carbon_intensity}</t>
        </is>
      </c>
      <c r="E512" s="2">
        <f>Datapoint!E238 * Datapoint!E237</f>
        <v/>
      </c>
      <c r="F512" t="n">
        <v>0</v>
      </c>
      <c r="G512" t="inlineStr">
        <is>
          <t>kg</t>
        </is>
      </c>
    </row>
    <row r="513">
      <c r="A513" t="inlineStr">
        <is>
          <t>cmp_1KXERCP431S0BBX7_component_root</t>
        </is>
      </c>
      <c r="B513">
        <f>Component!A67</f>
        <v/>
      </c>
      <c r="C513" t="inlineStr">
        <is>
          <t>CO Flatbed Truck Transport Embodied Emissions</t>
        </is>
      </c>
      <c r="D513" t="inlineStr">
        <is>
          <t>{cmp_1KXERCP431S0BBX7_output}</t>
        </is>
      </c>
      <c r="E513" s="2">
        <f>Expression!E512</f>
        <v/>
      </c>
      <c r="F513" t="n">
        <v>0</v>
      </c>
      <c r="G513" t="inlineStr">
        <is>
          <t>kg</t>
        </is>
      </c>
    </row>
    <row r="514">
      <c r="A514" t="inlineStr">
        <is>
          <t>cmp_1KYA8B0MV1S09P13_component_root</t>
        </is>
      </c>
      <c r="B514">
        <f>Component!A162</f>
        <v/>
      </c>
      <c r="C514" t="inlineStr">
        <is>
          <t>BCU - Transport Process</t>
        </is>
      </c>
      <c r="D514" t="inlineStr">
        <is>
          <t>{cmp_1KYA8B0MV1S09P13_constant_reduction}</t>
        </is>
      </c>
      <c r="E514" s="2">
        <f>Datapoint!E587</f>
        <v/>
      </c>
      <c r="F514" t="n">
        <v>0</v>
      </c>
      <c r="G514" t="inlineStr">
        <is>
          <t>kg</t>
        </is>
      </c>
    </row>
    <row r="515">
      <c r="A515" t="inlineStr">
        <is>
          <t>cmp_1KXEBZVFK1S00M8F_component_root</t>
        </is>
      </c>
      <c r="B515">
        <f>Component!A41</f>
        <v/>
      </c>
      <c r="C515" t="inlineStr">
        <is>
          <t>BCU - Transport Process</t>
        </is>
      </c>
      <c r="D515" t="inlineStr">
        <is>
          <t>{cmp_1KXEBZVFK1S00M8F_constant_reduction}</t>
        </is>
      </c>
      <c r="E515" s="2">
        <f>Datapoint!E142</f>
        <v/>
      </c>
      <c r="F515" t="n">
        <v>0</v>
      </c>
      <c r="G515" t="inlineStr">
        <is>
          <t>kg</t>
        </is>
      </c>
    </row>
    <row r="516">
      <c r="A516" t="inlineStr">
        <is>
          <t>cmp_1KXKGW8131S0HV1V_component_root</t>
        </is>
      </c>
      <c r="B516">
        <f>Component!A103</f>
        <v/>
      </c>
      <c r="C516" t="inlineStr">
        <is>
          <t>BCU - Transport Process</t>
        </is>
      </c>
      <c r="D516" t="inlineStr">
        <is>
          <t>{cmp_1KXKGW8131S0HV1V_constant_reduction}</t>
        </is>
      </c>
      <c r="E516" s="2">
        <f>Datapoint!E393</f>
        <v/>
      </c>
      <c r="F516" t="n">
        <v>0</v>
      </c>
      <c r="G516" t="inlineStr">
        <is>
          <t>kg</t>
        </is>
      </c>
    </row>
    <row r="517">
      <c r="A517" t="inlineStr">
        <is>
          <t>cmp_1KXGK3HP81S00HW3_output</t>
        </is>
      </c>
      <c r="B517">
        <f>Component!A81</f>
        <v/>
      </c>
      <c r="C517" t="inlineStr">
        <is>
          <t>Distance-based emissions</t>
        </is>
      </c>
      <c r="D517" t="inlineStr">
        <is>
          <t>{cmp_1KXGK3HP81S00HW3_distance} * {cmp_1KXGK3HP81S00HW3_carbon_intensity}</t>
        </is>
      </c>
      <c r="E517" s="2">
        <f>Datapoint!E297 * Datapoint!E296</f>
        <v/>
      </c>
      <c r="F517" t="n">
        <v>0</v>
      </c>
      <c r="G517" t="inlineStr">
        <is>
          <t>kg</t>
        </is>
      </c>
    </row>
    <row r="518">
      <c r="A518" t="inlineStr">
        <is>
          <t>cmp_1KXGK3HP81S00HW3_component_root</t>
        </is>
      </c>
      <c r="B518">
        <f>Component!A81</f>
        <v/>
      </c>
      <c r="C518" t="inlineStr">
        <is>
          <t>CO Flatbed Truck Transport Embodied Emissions</t>
        </is>
      </c>
      <c r="D518" t="inlineStr">
        <is>
          <t>{cmp_1KXGK3HP81S00HW3_output}</t>
        </is>
      </c>
      <c r="E518" s="2">
        <f>Expression!E517</f>
        <v/>
      </c>
      <c r="F518" t="n">
        <v>0</v>
      </c>
      <c r="G518" t="inlineStr">
        <is>
          <t>kg</t>
        </is>
      </c>
    </row>
    <row r="519">
      <c r="A519" t="inlineStr">
        <is>
          <t>cmp_1KWCY0G8W1S0MXDP_soil_temp_delta</t>
        </is>
      </c>
      <c r="B519">
        <f>Component!A16</f>
        <v/>
      </c>
      <c r="C519" t="inlineStr">
        <is>
          <t>Difference in soil temp from 0 celsius</t>
        </is>
      </c>
      <c r="D519" t="inlineStr">
        <is>
          <t>{cmp_1KWCY0G8W1S0MXDP_soil_temp} - {cmp_1KWCY0G8W1S0MXDP_zero_degrees_celsius}</t>
        </is>
      </c>
      <c r="E519" s="2">
        <f>Datapoint!E44 - 273.15</f>
        <v/>
      </c>
      <c r="F519" t="n">
        <v>0</v>
      </c>
      <c r="G519" t="inlineStr">
        <is>
          <t>K</t>
        </is>
      </c>
    </row>
    <row r="520">
      <c r="A520" t="inlineStr">
        <is>
          <t>cmp_1KWCY0G8W1S0MXDP_normalized_mean_soil_temp</t>
        </is>
      </c>
      <c r="B520">
        <f>Component!A16</f>
        <v/>
      </c>
      <c r="C520" t="inlineStr">
        <is>
          <t>Mean soil temperature in dimensionless units</t>
        </is>
      </c>
      <c r="D520" t="inlineStr">
        <is>
          <t>{cmp_1KWCY0G8W1S0MXDP_soil_temp_delta} / {cmp_1KWCY0G8W1S0MXDP_one_degree_celsius_delta}</t>
        </is>
      </c>
      <c r="E520" s="2">
        <f>Expression!E519 / 1.0</f>
        <v/>
      </c>
      <c r="F520" t="n">
        <v>0</v>
      </c>
      <c r="G520" t="inlineStr"/>
    </row>
    <row r="521">
      <c r="A521" t="inlineStr">
        <is>
          <t>cmp_1KWCY0G8W1S0MXDP_log_mean_soil_temp</t>
        </is>
      </c>
      <c r="B521">
        <f>Component!A16</f>
        <v/>
      </c>
      <c r="C521" t="inlineStr">
        <is>
          <t>Natural log of mean soil temperature in dimensionless units</t>
        </is>
      </c>
      <c r="D521" t="inlineStr">
        <is>
          <t>ln({cmp_1KWCY0G8W1S0MXDP_normalized_mean_soil_temp})</t>
        </is>
      </c>
      <c r="E521" s="2" t="n">
        <v>2.388762789235098</v>
      </c>
      <c r="F521" t="n">
        <v>0</v>
      </c>
      <c r="G521" t="inlineStr"/>
    </row>
    <row r="522">
      <c r="A522" t="inlineStr">
        <is>
          <t>cmp_1KWCY0G8W1S0MXDP_h_c_ratio</t>
        </is>
      </c>
      <c r="B522">
        <f>Component!A16</f>
        <v/>
      </c>
      <c r="C522" t="inlineStr">
        <is>
          <t>H:C ratio</t>
        </is>
      </c>
      <c r="D522" t="inlineStr">
        <is>
          <t>mean({[cmp_1KWCY0G8W1S0MXDP_h_c_molar_ratios]})</t>
        </is>
      </c>
      <c r="E522" s="2" t="n">
        <v>0.46333</v>
      </c>
      <c r="F522" t="n">
        <v>0</v>
      </c>
      <c r="G522" t="inlineStr"/>
    </row>
    <row r="523">
      <c r="A523" t="inlineStr">
        <is>
          <t>cmp_1KWCY0G8W1S0MXDP_non_durable_fraction_calc</t>
        </is>
      </c>
      <c r="B523">
        <f>Component!A16</f>
        <v/>
      </c>
      <c r="C523" t="inlineStr">
        <is>
          <t>Non-durable fraction</t>
        </is>
      </c>
      <c r="D523" t="inlineStr">
        <is>
          <t>{cmp_1KWCY0G8W1S0MXDP_woolf_parameter_c} + ({cmp_1KWCY0G8W1S0MXDP_woolf_parameter_a} + {cmp_1KWCY0G8W1S0MXDP_woolf_parameter_b} * {cmp_1KWCY0G8W1S0MXDP_log_mean_soil_temp}) * {cmp_1KWCY0G8W1S0MXDP_h_c_ratio}</t>
        </is>
      </c>
      <c r="E523" s="2">
        <f>-0.048 + (-0.383 + 0.35 * Expression!E521) * Expression!E522</f>
        <v/>
      </c>
      <c r="F523" t="n">
        <v>0</v>
      </c>
      <c r="G523" t="inlineStr"/>
    </row>
    <row r="524">
      <c r="A524" t="inlineStr">
        <is>
          <t>cmp_1KWCY0G8W1S0MXDP_durable_fraction_calc</t>
        </is>
      </c>
      <c r="B524">
        <f>Component!A16</f>
        <v/>
      </c>
      <c r="C524" t="inlineStr">
        <is>
          <t>Durable fraction</t>
        </is>
      </c>
      <c r="D524" t="inlineStr">
        <is>
          <t>complement_of({cmp_1KWCY0G8W1S0MXDP_non_durable_fraction_calc})</t>
        </is>
      </c>
      <c r="E524" s="2" t="n">
        <v>0.8380804779022957</v>
      </c>
      <c r="F524" t="n">
        <v>0</v>
      </c>
      <c r="G524" t="inlineStr"/>
    </row>
    <row r="525">
      <c r="A525" t="inlineStr">
        <is>
          <t>cmp_1KWCY0G8W1S0MXDP_carbon_contents</t>
        </is>
      </c>
      <c r="B525">
        <f>Component!A16</f>
        <v/>
      </c>
      <c r="C525" t="inlineStr">
        <is>
          <t>Carbon content of biochar</t>
        </is>
      </c>
      <c r="D525" t="inlineStr">
        <is>
          <t>{[cmp_1KWCY0G8W1S0MXDP_total_carbon_contents]} - {[cmp_1KWCY0G8W1S0MXDP_inorganic_carbon_contents]}</t>
        </is>
      </c>
      <c r="E525" s="2" t="inlineStr">
        <is>
          <t>85.66000000000001</t>
        </is>
      </c>
      <c r="F525" t="n">
        <v>0</v>
      </c>
      <c r="G525" t="inlineStr">
        <is>
          <t>%</t>
        </is>
      </c>
    </row>
    <row r="526">
      <c r="A526" t="inlineStr">
        <is>
          <t>cmp_1KWCY0G8W1S0MXDP_durable_fraction</t>
        </is>
      </c>
      <c r="B526">
        <f>Component!A16</f>
        <v/>
      </c>
      <c r="C526" t="inlineStr">
        <is>
          <t>Durable fraction</t>
        </is>
      </c>
      <c r="D526" t="inlineStr">
        <is>
          <t>min({cmp_1KWCY0G8W1S0MXDP_durable_fraction_calc}, {cmp_1KWCY0G8W1S0MXDP_max_durable_fraction})</t>
        </is>
      </c>
      <c r="E526" s="2" t="n">
        <v>0.8380804779022957</v>
      </c>
      <c r="F526" t="n">
        <v>0</v>
      </c>
      <c r="G526" t="inlineStr"/>
    </row>
    <row r="527">
      <c r="A527" t="inlineStr">
        <is>
          <t>cmp_1KWCY0G8W1S0MXDP_mean_carbon_content</t>
        </is>
      </c>
      <c r="B527">
        <f>Component!A16</f>
        <v/>
      </c>
      <c r="C527" t="inlineStr">
        <is>
          <t>Mean carbon content</t>
        </is>
      </c>
      <c r="D527" t="inlineStr">
        <is>
          <t>mean({[cmp_1KWCY0G8W1S0MXDP_carbon_contents]})</t>
        </is>
      </c>
      <c r="E527" s="2" t="n">
        <v>0.8566000000000001</v>
      </c>
      <c r="F527" t="n">
        <v>0</v>
      </c>
      <c r="G527" t="inlineStr"/>
    </row>
    <row r="528">
      <c r="A528" t="inlineStr">
        <is>
          <t>cmp_1KWCY0G8W1S0MXDP_output</t>
        </is>
      </c>
      <c r="B528">
        <f>Component!A16</f>
        <v/>
      </c>
      <c r="C528" t="inlineStr">
        <is>
          <t>Biochar sequestration, 200 year durability</t>
        </is>
      </c>
      <c r="D528" t="inlineStr">
        <is>
          <t>{cmp_1KWCY0G8W1S0MXDP_product_mass} * {cmp_1KWCY0G8W1S0MXDP_mean_carbon_content} * {cmp_1KWCY0G8W1S0MXDP_durable_fraction} * {cmp_1KWCY0G8W1S0MXDP_co2e_of_carbon}</t>
        </is>
      </c>
      <c r="E528" s="2">
        <f>Datapoint!E43 * Expression!E527 * Expression!E526 * 3.667</f>
        <v/>
      </c>
      <c r="F528" t="n">
        <v>0</v>
      </c>
      <c r="G528" t="inlineStr">
        <is>
          <t>kg</t>
        </is>
      </c>
    </row>
    <row r="529">
      <c r="A529" t="inlineStr">
        <is>
          <t>cmp_1KWCY0G8W1S0MXDP_component_root</t>
        </is>
      </c>
      <c r="B529">
        <f>Component!A16</f>
        <v/>
      </c>
      <c r="C529" t="inlineStr">
        <is>
          <t>Biochar sequestration, 200 year durability</t>
        </is>
      </c>
      <c r="D529" t="inlineStr">
        <is>
          <t>{cmp_1KWCY0G8W1S0MXDP_output}</t>
        </is>
      </c>
      <c r="E529" s="2">
        <f>Expression!E528</f>
        <v/>
      </c>
      <c r="F529" t="n">
        <v>0</v>
      </c>
      <c r="G529" t="inlineStr">
        <is>
          <t>kg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Datapoint 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4" t="inlineStr">
        <is>
          <t>Value in SI units</t>
        </is>
      </c>
      <c r="F1" s="1" t="inlineStr">
        <is>
          <t>Standard deviation in SI units</t>
        </is>
      </c>
      <c r="G1" s="1" t="inlineStr">
        <is>
          <t>SI Units</t>
        </is>
      </c>
      <c r="H1" s="1" t="inlineStr">
        <is>
          <t>Value in original units</t>
        </is>
      </c>
      <c r="I1" s="1" t="inlineStr">
        <is>
          <t>Standard deviation in original units</t>
        </is>
      </c>
      <c r="J1" s="1" t="inlineStr">
        <is>
          <t>Original units</t>
        </is>
      </c>
      <c r="K1" s="1" t="inlineStr">
        <is>
          <t>Source 1 ID</t>
        </is>
      </c>
      <c r="L1" s="1" t="inlineStr">
        <is>
          <t>Source 1 Name</t>
        </is>
      </c>
      <c r="M1" s="1" t="inlineStr">
        <is>
          <t>Source 2 ID</t>
        </is>
      </c>
      <c r="N1" s="1" t="inlineStr">
        <is>
          <t>Source 2 Name</t>
        </is>
      </c>
      <c r="O1" s="1" t="inlineStr">
        <is>
          <t>Source 3 ID</t>
        </is>
      </c>
      <c r="P1" s="1" t="inlineStr">
        <is>
          <t>Source 3 Name</t>
        </is>
      </c>
      <c r="Q1" s="1" t="inlineStr">
        <is>
          <t>Supplier reference ID</t>
        </is>
      </c>
      <c r="R1" s="1" t="inlineStr">
        <is>
          <t>Measurement Location ID</t>
        </is>
      </c>
    </row>
    <row r="2">
      <c r="E2" s="2" t="n"/>
    </row>
    <row r="3">
      <c r="A3" t="inlineStr">
        <is>
          <t>dtp_1KWCBZZR41S0QRNW</t>
        </is>
      </c>
      <c r="B3" t="inlineStr">
        <is>
          <t>derived</t>
        </is>
      </c>
      <c r="C3" t="inlineStr">
        <is>
          <t>Emissions Factor - Biochar Spreading</t>
        </is>
      </c>
      <c r="D3" t="inlineStr">
        <is>
          <t>Emissions Factor - Biochar Spreading</t>
        </is>
      </c>
      <c r="E3" s="2" t="n">
        <v>0.004</v>
      </c>
      <c r="F3" t="n">
        <v>0</v>
      </c>
      <c r="G3" t="inlineStr"/>
      <c r="H3" t="n">
        <v>0.004</v>
      </c>
      <c r="I3" t="n">
        <v>0</v>
      </c>
      <c r="J3" t="inlineStr">
        <is>
          <t>kgCO₂e/kg</t>
        </is>
      </c>
      <c r="K3">
        <f>Source!A4</f>
        <v/>
      </c>
      <c r="L3" t="inlineStr">
        <is>
          <t>Biochar Offtake Calculations.xlsx</t>
        </is>
      </c>
      <c r="Q3" t="inlineStr">
        <is>
          <t>mr_1QbNvQcgmQ7HDCbM-out_KY0ptolvtmtBTtKx-0</t>
        </is>
      </c>
    </row>
    <row r="4">
      <c r="A4" t="inlineStr">
        <is>
          <t>dtp_1KWCC01B81S0T105</t>
        </is>
      </c>
      <c r="B4" t="inlineStr">
        <is>
          <t>derived</t>
        </is>
      </c>
      <c r="C4" t="inlineStr">
        <is>
          <t>Biochar Applied (wet mass) (Spreading) - Applied</t>
        </is>
      </c>
      <c r="D4" t="inlineStr">
        <is>
          <t>Biochar Applied (wet mass) (Spreading) - Applied</t>
        </is>
      </c>
      <c r="E4" s="2" t="n">
        <v>7258.3</v>
      </c>
      <c r="F4" t="n">
        <v>0</v>
      </c>
      <c r="G4" t="inlineStr">
        <is>
          <t>kg</t>
        </is>
      </c>
      <c r="H4" t="n">
        <v>7258.3</v>
      </c>
      <c r="I4" t="n">
        <v>0</v>
      </c>
      <c r="J4" t="inlineStr">
        <is>
          <t>kg</t>
        </is>
      </c>
      <c r="K4">
        <f>Source!A43</f>
        <v/>
      </c>
      <c r="L4" t="inlineStr">
        <is>
          <t>Chris Craig 5.30.26 Scale Tickets.heic</t>
        </is>
      </c>
      <c r="M4">
        <f>Source!A50</f>
        <v/>
      </c>
      <c r="N4" t="inlineStr">
        <is>
          <t>Chris Craig Delivery Notes.xlsx</t>
        </is>
      </c>
      <c r="O4">
        <f>Source!A5</f>
        <v/>
      </c>
      <c r="P4" t="inlineStr">
        <is>
          <t>Production Period 3 Summary.xlsx</t>
        </is>
      </c>
      <c r="Q4" t="inlineStr">
        <is>
          <t>mr_1QbNvQcgmQ7HDCbM-out_0qzaoA3uAPye3IRS-0</t>
        </is>
      </c>
    </row>
    <row r="5">
      <c r="A5" t="inlineStr">
        <is>
          <t>dtp_1KWCC06301S0Q7XD</t>
        </is>
      </c>
      <c r="B5" t="inlineStr">
        <is>
          <t>derived</t>
        </is>
      </c>
      <c r="C5" t="inlineStr">
        <is>
          <t>Biochar - H/C_org - Applied</t>
        </is>
      </c>
      <c r="D5" t="inlineStr">
        <is>
          <t>Biochar - H/C_org - Applied</t>
        </is>
      </c>
      <c r="E5" s="2" t="n">
        <v>0.35</v>
      </c>
      <c r="F5" t="n">
        <v>0</v>
      </c>
      <c r="G5" t="inlineStr"/>
      <c r="H5" t="n">
        <v>0.35</v>
      </c>
      <c r="I5" t="n">
        <v>0</v>
      </c>
      <c r="J5" t="inlineStr"/>
      <c r="K5">
        <f>Source!A48</f>
        <v/>
      </c>
      <c r="L5" t="inlineStr">
        <is>
          <t>McCreath Analysis - BGN CHAR 252 (H26050602).pdf</t>
        </is>
      </c>
      <c r="Q5" t="inlineStr">
        <is>
          <t>mr_GXesJch3wFv1CGE9-out_SlgcaWsappr9ZCL6-0</t>
        </is>
      </c>
    </row>
    <row r="6">
      <c r="A6" t="inlineStr">
        <is>
          <t>dtp_1KWCC06EJ1S0VRHZ</t>
        </is>
      </c>
      <c r="B6" t="inlineStr">
        <is>
          <t>derived</t>
        </is>
      </c>
      <c r="C6" t="inlineStr">
        <is>
          <t>Inorganic Carbon Content % - Applied</t>
        </is>
      </c>
      <c r="D6" t="inlineStr">
        <is>
          <t>Inorganic Carbon Content % - Applied</t>
        </is>
      </c>
      <c r="E6" s="2" t="n">
        <v>0.0018</v>
      </c>
      <c r="F6" t="n">
        <v>0</v>
      </c>
      <c r="G6" t="inlineStr"/>
      <c r="H6" t="n">
        <v>0.18</v>
      </c>
      <c r="I6" t="n">
        <v>0</v>
      </c>
      <c r="J6" t="inlineStr">
        <is>
          <t>%</t>
        </is>
      </c>
      <c r="K6">
        <f>Source!A6</f>
        <v/>
      </c>
      <c r="L6" t="inlineStr">
        <is>
          <t>252 - Combined Lab Analyses.pdf</t>
        </is>
      </c>
      <c r="Q6" t="inlineStr">
        <is>
          <t>mr_GXesJch3wFv1CGE9-out_RrRijQ8NSCwAInka-0</t>
        </is>
      </c>
    </row>
    <row r="7">
      <c r="A7" t="inlineStr">
        <is>
          <t>dtp_1KWCC08021S0PQ4Y</t>
        </is>
      </c>
      <c r="B7" t="inlineStr">
        <is>
          <t>derived</t>
        </is>
      </c>
      <c r="C7" t="inlineStr">
        <is>
          <t>Biochar Dry Weight (kg) (CO2 stored) - Applied</t>
        </is>
      </c>
      <c r="D7" t="inlineStr">
        <is>
          <t>Biochar Dry Weight (kg) (CO2 stored) - Applied</t>
        </is>
      </c>
      <c r="E7" s="2" t="n">
        <v>4689.99842</v>
      </c>
      <c r="F7" t="n">
        <v>0</v>
      </c>
      <c r="G7" t="inlineStr">
        <is>
          <t>kg</t>
        </is>
      </c>
      <c r="H7" t="n">
        <v>4689.99842</v>
      </c>
      <c r="I7" t="n">
        <v>0</v>
      </c>
      <c r="J7" t="inlineStr">
        <is>
          <t>kg</t>
        </is>
      </c>
      <c r="K7">
        <f>Source!A43</f>
        <v/>
      </c>
      <c r="L7" t="inlineStr">
        <is>
          <t>Chris Craig 5.30.26 Scale Tickets.heic</t>
        </is>
      </c>
      <c r="M7">
        <f>Source!A48</f>
        <v/>
      </c>
      <c r="N7" t="inlineStr">
        <is>
          <t>McCreath Analysis - BGN CHAR 252 (H26050602).pdf</t>
        </is>
      </c>
      <c r="O7">
        <f>Source!A50</f>
        <v/>
      </c>
      <c r="P7" t="inlineStr">
        <is>
          <t>Chris Craig Delivery Notes.xlsx</t>
        </is>
      </c>
      <c r="Q7" t="inlineStr">
        <is>
          <t>mr_1QbNvQcgmQ7HDCbM-out_jzrTws5de3Txjsxr-0</t>
        </is>
      </c>
    </row>
    <row r="8">
      <c r="A8" t="inlineStr">
        <is>
          <t>dtp_1KWCC08HW1S0CMAW</t>
        </is>
      </c>
      <c r="B8" t="inlineStr">
        <is>
          <t>derived</t>
        </is>
      </c>
      <c r="C8" t="inlineStr">
        <is>
          <t>Biochar Applied - Soil Temperature (Cel)</t>
        </is>
      </c>
      <c r="D8" t="inlineStr">
        <is>
          <t>Biochar Applied - Soil Temperature (Cel)</t>
        </is>
      </c>
      <c r="E8" s="2" t="n">
        <v>284.05</v>
      </c>
      <c r="F8" t="n">
        <v>0</v>
      </c>
      <c r="G8" t="inlineStr">
        <is>
          <t>K</t>
        </is>
      </c>
      <c r="H8" t="n">
        <v>10.9</v>
      </c>
      <c r="I8" t="n">
        <v>0</v>
      </c>
      <c r="J8" t="inlineStr">
        <is>
          <t>°C</t>
        </is>
      </c>
      <c r="K8">
        <f>Source!A41</f>
        <v/>
      </c>
      <c r="L8" t="inlineStr">
        <is>
          <t>soil_temperature_chris_craig.csv</t>
        </is>
      </c>
      <c r="Q8" t="inlineStr">
        <is>
          <t>mr_GXesJch3wFv1CGE9-out_WFEo3VxmWt0N3Yhc-0</t>
        </is>
      </c>
    </row>
    <row r="9">
      <c r="A9" t="inlineStr">
        <is>
          <t>dtp_1KWCC08RQ1S0KY26</t>
        </is>
      </c>
      <c r="B9" t="inlineStr">
        <is>
          <t>derived</t>
        </is>
      </c>
      <c r="C9" t="inlineStr">
        <is>
          <t>Organic Carbon Content % - Applied</t>
        </is>
      </c>
      <c r="D9" t="inlineStr">
        <is>
          <t>Organic Carbon Content % - Applied</t>
        </is>
      </c>
      <c r="E9" s="2" t="n">
        <v>0.8012600000000001</v>
      </c>
      <c r="F9" t="n">
        <v>0</v>
      </c>
      <c r="G9" t="inlineStr"/>
      <c r="H9" t="n">
        <v>80.126</v>
      </c>
      <c r="I9" t="n">
        <v>0</v>
      </c>
      <c r="J9" t="inlineStr">
        <is>
          <t>%</t>
        </is>
      </c>
      <c r="K9">
        <f>Source!A48</f>
        <v/>
      </c>
      <c r="L9" t="inlineStr">
        <is>
          <t>McCreath Analysis - BGN CHAR 252 (H26050602).pdf</t>
        </is>
      </c>
      <c r="Q9" t="inlineStr">
        <is>
          <t>mr_1QbNvQcgmQ7HDCbM-out_9VwHrqELDkqKvfgu-0</t>
        </is>
      </c>
    </row>
    <row r="10">
      <c r="A10" t="inlineStr">
        <is>
          <t>dtp_1KWCC0A8Y1S0C3JD</t>
        </is>
      </c>
      <c r="B10" t="inlineStr">
        <is>
          <t>derived</t>
        </is>
      </c>
      <c r="C10" t="inlineStr">
        <is>
          <t>Biochar Output - Carbon Intensity - Applied</t>
        </is>
      </c>
      <c r="D10" t="inlineStr">
        <is>
          <t>Biochar Output - Carbon Intensity - Applied</t>
        </is>
      </c>
      <c r="E10" s="2" t="n">
        <v>1.0351</v>
      </c>
      <c r="F10" t="n">
        <v>0</v>
      </c>
      <c r="G10" t="inlineStr"/>
      <c r="H10" t="n">
        <v>1.0351</v>
      </c>
      <c r="I10" t="n">
        <v>0</v>
      </c>
      <c r="J10" t="inlineStr">
        <is>
          <t>kgCO₂e/kg</t>
        </is>
      </c>
      <c r="K10">
        <f>Source!A38</f>
        <v/>
      </c>
      <c r="L10" t="inlineStr">
        <is>
          <t>Biochar CI Summary — All Production Periods.xlsx</t>
        </is>
      </c>
      <c r="M10">
        <f>Source!A5</f>
        <v/>
      </c>
      <c r="N10" t="inlineStr">
        <is>
          <t>Production Period 3 Summary.xlsx</t>
        </is>
      </c>
      <c r="Q10" t="inlineStr">
        <is>
          <t>mr_1QbNvQcgmQ7HDCbM-out_p2t83fe8Xb0UnDuc-0</t>
        </is>
      </c>
    </row>
    <row r="11">
      <c r="A11" t="inlineStr">
        <is>
          <t>dtp_1KWCC0ASJ1S0TQ11</t>
        </is>
      </c>
      <c r="B11" t="inlineStr">
        <is>
          <t>derived</t>
        </is>
      </c>
      <c r="C11" t="inlineStr">
        <is>
          <t>Biochar Dry Product Weight (kg) (Pyrolysis) - Applied</t>
        </is>
      </c>
      <c r="D11" t="inlineStr">
        <is>
          <t>Biochar Dry Product Weight (kg) (Pyrolysis) - Applied</t>
        </is>
      </c>
      <c r="E11" s="2" t="n">
        <v>5437.9</v>
      </c>
      <c r="F11" t="n">
        <v>0</v>
      </c>
      <c r="G11" t="inlineStr">
        <is>
          <t>kg</t>
        </is>
      </c>
      <c r="H11" t="n">
        <v>5437.9</v>
      </c>
      <c r="I11" t="n">
        <v>0</v>
      </c>
      <c r="J11" t="inlineStr">
        <is>
          <t>kg</t>
        </is>
      </c>
      <c r="K11">
        <f>Source!A43</f>
        <v/>
      </c>
      <c r="L11" t="inlineStr">
        <is>
          <t>Chris Craig 5.30.26 Scale Tickets.heic</t>
        </is>
      </c>
      <c r="M11">
        <f>Source!A50</f>
        <v/>
      </c>
      <c r="N11" t="inlineStr">
        <is>
          <t>Chris Craig Delivery Notes.xlsx</t>
        </is>
      </c>
      <c r="O11">
        <f>Source!A5</f>
        <v/>
      </c>
      <c r="P11" t="inlineStr">
        <is>
          <t>Production Period 3 Summary.xlsx</t>
        </is>
      </c>
      <c r="Q11" t="inlineStr">
        <is>
          <t>mr_1QbNvQcgmQ7HDCbM-out_flFayO1sB5WijeRd-0</t>
        </is>
      </c>
    </row>
    <row r="12">
      <c r="A12" t="inlineStr">
        <is>
          <t>dtp_1KWCC0CDQ1S0WZBA</t>
        </is>
      </c>
      <c r="B12" t="inlineStr">
        <is>
          <t>derived</t>
        </is>
      </c>
      <c r="C12" t="inlineStr">
        <is>
          <t>Copy - Truck EF</t>
        </is>
      </c>
      <c r="D12" t="inlineStr">
        <is>
          <t>Copy - Truck EF</t>
        </is>
      </c>
      <c r="E12" s="2" t="n">
        <v>8.599777300564702e-08</v>
      </c>
      <c r="F12" t="n">
        <v>0</v>
      </c>
      <c r="G12" t="inlineStr">
        <is>
          <t>1/m</t>
        </is>
      </c>
      <c r="H12" t="n">
        <v>0.1384</v>
      </c>
      <c r="I12" t="n">
        <v>0</v>
      </c>
      <c r="J12" t="inlineStr">
        <is>
          <t>kgCO₂e/(t⋅mi)</t>
        </is>
      </c>
      <c r="K12">
        <f>Source!A8</f>
        <v/>
      </c>
      <c r="L12" t="inlineStr">
        <is>
          <t>GLEC NA Road Transport.png</t>
        </is>
      </c>
      <c r="Q12" t="inlineStr">
        <is>
          <t>mr_1QbNvQcgmQ7HDCbM-out_SUXhidR4MsQBPF0H-0</t>
        </is>
      </c>
    </row>
    <row r="13">
      <c r="A13" t="inlineStr">
        <is>
          <t>dtp_1KWCC0DY81S0Z7NK</t>
        </is>
      </c>
      <c r="B13" t="inlineStr">
        <is>
          <t>reported</t>
        </is>
      </c>
      <c r="C13" t="inlineStr">
        <is>
          <t>Biochar Applied - Delivery Distance (km)</t>
        </is>
      </c>
      <c r="D13" t="inlineStr">
        <is>
          <t>Biochar Applied - Delivery Distance (km)</t>
        </is>
      </c>
      <c r="E13" s="2" t="n">
        <v>278416.51</v>
      </c>
      <c r="F13" t="n">
        <v>0</v>
      </c>
      <c r="G13" t="inlineStr">
        <is>
          <t>m</t>
        </is>
      </c>
      <c r="H13" t="n">
        <v>278.41651</v>
      </c>
      <c r="I13" t="n">
        <v>0</v>
      </c>
      <c r="J13" t="inlineStr">
        <is>
          <t>km</t>
        </is>
      </c>
      <c r="K13">
        <f>Source!A18</f>
        <v/>
      </c>
      <c r="L13" t="inlineStr">
        <is>
          <t>CO to Chris Craig Distance (1).png</t>
        </is>
      </c>
      <c r="Q13" t="inlineStr">
        <is>
          <t>mr_1QbNvQcgmQ7HDCbM-out_40WLB0U4vl7JHA8h-0</t>
        </is>
      </c>
    </row>
    <row r="14">
      <c r="A14" t="inlineStr">
        <is>
          <t>dtp_1KWCC0EFJ1S0DV47</t>
        </is>
      </c>
      <c r="B14" t="inlineStr">
        <is>
          <t>derived</t>
        </is>
      </c>
      <c r="C14" t="inlineStr">
        <is>
          <t>Biochar Transported (kg) - Applied</t>
        </is>
      </c>
      <c r="D14" t="inlineStr">
        <is>
          <t>Biochar Transported (kg) - Applied</t>
        </is>
      </c>
      <c r="E14" s="2" t="n">
        <v>7704.15</v>
      </c>
      <c r="F14" t="n">
        <v>0</v>
      </c>
      <c r="G14" t="inlineStr">
        <is>
          <t>kg</t>
        </is>
      </c>
      <c r="H14" t="n">
        <v>7704.15</v>
      </c>
      <c r="I14" t="n">
        <v>0</v>
      </c>
      <c r="J14" t="inlineStr">
        <is>
          <t>kg</t>
        </is>
      </c>
      <c r="K14">
        <f>Source!A43</f>
        <v/>
      </c>
      <c r="L14" t="inlineStr">
        <is>
          <t>Chris Craig 5.30.26 Scale Tickets.heic</t>
        </is>
      </c>
      <c r="M14">
        <f>Source!A50</f>
        <v/>
      </c>
      <c r="N14" t="inlineStr">
        <is>
          <t>Chris Craig Delivery Notes.xlsx</t>
        </is>
      </c>
      <c r="O14">
        <f>Source!A5</f>
        <v/>
      </c>
      <c r="P14" t="inlineStr">
        <is>
          <t>Production Period 3 Summary.xlsx</t>
        </is>
      </c>
      <c r="Q14" t="inlineStr">
        <is>
          <t>mr_1QbNvQcgmQ7HDCbM-out_OA0wdc8MuB45f6At-0</t>
        </is>
      </c>
    </row>
    <row r="15">
      <c r="A15" t="inlineStr">
        <is>
          <t>dtp_1KWCC0EYQ1S0WEJV</t>
        </is>
      </c>
      <c r="B15" t="inlineStr">
        <is>
          <t>reported</t>
        </is>
      </c>
      <c r="C15" t="inlineStr">
        <is>
          <t>Emissions Factor - Flatbed Truck Transport Embodied Emissions (2025, CO)</t>
        </is>
      </c>
      <c r="D15" t="inlineStr">
        <is>
          <t>Emissions Factor - Flatbed Truck Transport Embodied Emissions (2025, CO)</t>
        </is>
      </c>
      <c r="E15" s="2" t="n">
        <v>0.0001197949629</v>
      </c>
      <c r="F15" t="n">
        <v>0</v>
      </c>
      <c r="G15" t="inlineStr">
        <is>
          <t>kg/m</t>
        </is>
      </c>
      <c r="H15" t="n">
        <v>0.1197949629</v>
      </c>
      <c r="I15" t="n">
        <v>0</v>
      </c>
      <c r="J15" t="inlineStr">
        <is>
          <t>kgCO₂e/km</t>
        </is>
      </c>
      <c r="K15">
        <f>Source!A17</f>
        <v/>
      </c>
      <c r="L15" t="inlineStr">
        <is>
          <t>Standard Emission Factors + Calculations (8).xlsx</t>
        </is>
      </c>
      <c r="Q15" t="inlineStr">
        <is>
          <t>mr_1QbNvQcgmQ7HDCbM-out_hDkBvHUGZxuneDx7-0</t>
        </is>
      </c>
    </row>
    <row r="16">
      <c r="A16" t="inlineStr">
        <is>
          <t>dtp_1KWCC0FY31S04KKE</t>
        </is>
      </c>
      <c r="B16" t="inlineStr">
        <is>
          <t>reported</t>
        </is>
      </c>
      <c r="C16" t="inlineStr">
        <is>
          <t>Attribution factor</t>
        </is>
      </c>
      <c r="E16" s="2" t="n">
        <v>1</v>
      </c>
      <c r="F16" t="n">
        <v>0</v>
      </c>
      <c r="G16" t="inlineStr"/>
      <c r="H16" t="n">
        <v>1</v>
      </c>
      <c r="I16" t="n">
        <v>0</v>
      </c>
      <c r="J16" t="inlineStr"/>
    </row>
    <row r="17">
      <c r="A17" t="inlineStr">
        <is>
          <t>dtp_1KWCC0FY31S09N0F</t>
        </is>
      </c>
      <c r="B17" t="inlineStr">
        <is>
          <t>reported</t>
        </is>
      </c>
      <c r="C17" t="inlineStr">
        <is>
          <t>Attribution factor</t>
        </is>
      </c>
      <c r="E17" s="2" t="n">
        <v>1</v>
      </c>
      <c r="F17" t="n">
        <v>0</v>
      </c>
      <c r="G17" t="inlineStr"/>
      <c r="H17" t="n">
        <v>1</v>
      </c>
      <c r="I17" t="n">
        <v>0</v>
      </c>
      <c r="J17" t="inlineStr"/>
    </row>
    <row r="18">
      <c r="A18" t="inlineStr">
        <is>
          <t>dtp_1KWCC0FY31S0P04T</t>
        </is>
      </c>
      <c r="B18" t="inlineStr">
        <is>
          <t>reported</t>
        </is>
      </c>
      <c r="C18" t="inlineStr">
        <is>
          <t>Attribution factor</t>
        </is>
      </c>
      <c r="E18" s="2" t="n">
        <v>1</v>
      </c>
      <c r="F18" t="n">
        <v>0</v>
      </c>
      <c r="G18" t="inlineStr"/>
      <c r="H18" t="n">
        <v>1</v>
      </c>
      <c r="I18" t="n">
        <v>0</v>
      </c>
      <c r="J18" t="inlineStr"/>
    </row>
    <row r="19">
      <c r="A19" t="inlineStr">
        <is>
          <t>dtp_1KWCC0FY31S0R8F3</t>
        </is>
      </c>
      <c r="B19" t="inlineStr">
        <is>
          <t>reported</t>
        </is>
      </c>
      <c r="C19" t="inlineStr">
        <is>
          <t>Attribution factor</t>
        </is>
      </c>
      <c r="E19" s="2" t="n">
        <v>1</v>
      </c>
      <c r="F19" t="n">
        <v>0</v>
      </c>
      <c r="G19" t="inlineStr"/>
      <c r="H19" t="n">
        <v>1</v>
      </c>
      <c r="I19" t="n">
        <v>0</v>
      </c>
      <c r="J19" t="inlineStr"/>
    </row>
    <row r="20">
      <c r="A20" t="inlineStr">
        <is>
          <t>dtp_1KWCC0FY31S0X9W4</t>
        </is>
      </c>
      <c r="B20" t="inlineStr">
        <is>
          <t>reported</t>
        </is>
      </c>
      <c r="C20" t="inlineStr">
        <is>
          <t>Attribution factor</t>
        </is>
      </c>
      <c r="E20" s="2" t="n">
        <v>1</v>
      </c>
      <c r="F20" t="n">
        <v>0</v>
      </c>
      <c r="G20" t="inlineStr"/>
      <c r="H20" t="n">
        <v>1</v>
      </c>
      <c r="I20" t="n">
        <v>0</v>
      </c>
      <c r="J20" t="inlineStr"/>
    </row>
    <row r="21">
      <c r="A21" t="inlineStr">
        <is>
          <t>dtp_1KWCSB56R1S0MEKQ</t>
        </is>
      </c>
      <c r="B21" t="inlineStr">
        <is>
          <t>derived</t>
        </is>
      </c>
      <c r="C21" t="inlineStr">
        <is>
          <t>Emissions Factor - Biochar Spreading</t>
        </is>
      </c>
      <c r="D21" t="inlineStr">
        <is>
          <t>Emissions Factor - Biochar Spreading</t>
        </is>
      </c>
      <c r="E21" s="2" t="n">
        <v>0.004</v>
      </c>
      <c r="F21" t="n">
        <v>0</v>
      </c>
      <c r="G21" t="inlineStr"/>
      <c r="H21" t="n">
        <v>0.004</v>
      </c>
      <c r="I21" t="n">
        <v>0</v>
      </c>
      <c r="J21" t="inlineStr">
        <is>
          <t>kgCO₂e/kg</t>
        </is>
      </c>
      <c r="K21">
        <f>Source!A4</f>
        <v/>
      </c>
      <c r="L21" t="inlineStr">
        <is>
          <t>Biochar Offtake Calculations.xlsx</t>
        </is>
      </c>
      <c r="Q21" t="inlineStr">
        <is>
          <t>mr_KZKzNxsJesEYlNhr-out_KY0ptolvtmtBTtKx-0</t>
        </is>
      </c>
    </row>
    <row r="22">
      <c r="A22" t="inlineStr">
        <is>
          <t>dtp_1KWCSB9AV1S0PPY0</t>
        </is>
      </c>
      <c r="B22" t="inlineStr">
        <is>
          <t>derived</t>
        </is>
      </c>
      <c r="C22" t="inlineStr">
        <is>
          <t>Biochar Applied (wet mass) (Spreading) - Applied</t>
        </is>
      </c>
      <c r="D22" t="inlineStr">
        <is>
          <t>Biochar Applied (wet mass) (Spreading) - Applied</t>
        </is>
      </c>
      <c r="E22" s="2" t="n">
        <v>196.17</v>
      </c>
      <c r="F22" t="n">
        <v>0</v>
      </c>
      <c r="G22" t="inlineStr">
        <is>
          <t>kg</t>
        </is>
      </c>
      <c r="H22" t="n">
        <v>196.17</v>
      </c>
      <c r="I22" t="n">
        <v>0</v>
      </c>
      <c r="J22" t="inlineStr">
        <is>
          <t>kg</t>
        </is>
      </c>
      <c r="K22">
        <f>Source!A43</f>
        <v/>
      </c>
      <c r="L22" t="inlineStr">
        <is>
          <t>Chris Craig 5.30.26 Scale Tickets.heic</t>
        </is>
      </c>
      <c r="M22">
        <f>Source!A50</f>
        <v/>
      </c>
      <c r="N22" t="inlineStr">
        <is>
          <t>Chris Craig Delivery Notes.xlsx</t>
        </is>
      </c>
      <c r="O22">
        <f>Source!A9</f>
        <v/>
      </c>
      <c r="P22" t="inlineStr">
        <is>
          <t>Production Period 1 Summary -- Final Submission (Updated 4_25).xlsx</t>
        </is>
      </c>
      <c r="Q22" t="inlineStr">
        <is>
          <t>mr_KZKzNxsJesEYlNhr-out_0qzaoA3uAPye3IRS-0</t>
        </is>
      </c>
    </row>
    <row r="23">
      <c r="A23" t="inlineStr">
        <is>
          <t>dtp_1KWCSBRBT1S008ZK</t>
        </is>
      </c>
      <c r="B23" t="inlineStr">
        <is>
          <t>derived</t>
        </is>
      </c>
      <c r="C23" t="inlineStr">
        <is>
          <t>Biochar - H/C_org - Applied</t>
        </is>
      </c>
      <c r="D23" t="inlineStr">
        <is>
          <t>Biochar - H/C_org - Applied</t>
        </is>
      </c>
      <c r="E23" s="2" t="n">
        <v>0.44</v>
      </c>
      <c r="F23" t="n">
        <v>0</v>
      </c>
      <c r="G23" t="inlineStr"/>
      <c r="H23" t="n">
        <v>0.44</v>
      </c>
      <c r="I23" t="n">
        <v>0</v>
      </c>
      <c r="J23" t="inlineStr"/>
      <c r="K23">
        <f>Source!A3</f>
        <v/>
      </c>
      <c r="L23" t="inlineStr">
        <is>
          <t>123 - Combined Lab Analyses.pdf</t>
        </is>
      </c>
      <c r="Q23" t="inlineStr">
        <is>
          <t>mr_zCuyoqisqKNAgjn5-out_SlgcaWsappr9ZCL6-0</t>
        </is>
      </c>
    </row>
    <row r="24">
      <c r="A24" t="inlineStr">
        <is>
          <t>dtp_1KWCSBYF71S0XFWV</t>
        </is>
      </c>
      <c r="B24" t="inlineStr">
        <is>
          <t>derived</t>
        </is>
      </c>
      <c r="C24" t="inlineStr">
        <is>
          <t>Inorganic Carbon Content % - Applied</t>
        </is>
      </c>
      <c r="D24" t="inlineStr">
        <is>
          <t>Inorganic Carbon Content % - Applied</t>
        </is>
      </c>
      <c r="E24" s="2" t="n">
        <v>0.00267</v>
      </c>
      <c r="F24" t="n">
        <v>0</v>
      </c>
      <c r="G24" t="inlineStr"/>
      <c r="H24" t="n">
        <v>0.267</v>
      </c>
      <c r="I24" t="n">
        <v>0</v>
      </c>
      <c r="J24" t="inlineStr">
        <is>
          <t>%</t>
        </is>
      </c>
      <c r="K24">
        <f>Source!A3</f>
        <v/>
      </c>
      <c r="L24" t="inlineStr">
        <is>
          <t>123 - Combined Lab Analyses.pdf</t>
        </is>
      </c>
      <c r="Q24" t="inlineStr">
        <is>
          <t>mr_zCuyoqisqKNAgjn5-out_RrRijQ8NSCwAInka-0</t>
        </is>
      </c>
    </row>
    <row r="25">
      <c r="A25" t="inlineStr">
        <is>
          <t>dtp_1KWCSCK6V1S0REFT</t>
        </is>
      </c>
      <c r="B25" t="inlineStr">
        <is>
          <t>derived</t>
        </is>
      </c>
      <c r="C25" t="inlineStr">
        <is>
          <t>Biochar Dry Weight (kg) (CO2 stored) - Applied</t>
        </is>
      </c>
      <c r="D25" t="inlineStr">
        <is>
          <t>Biochar Dry Weight (kg) (CO2 stored) - Applied</t>
        </is>
      </c>
      <c r="E25" s="2" t="n">
        <v>126.04853</v>
      </c>
      <c r="F25" t="n">
        <v>0</v>
      </c>
      <c r="G25" t="inlineStr">
        <is>
          <t>kg</t>
        </is>
      </c>
      <c r="H25" t="n">
        <v>126.04853</v>
      </c>
      <c r="I25" t="n">
        <v>0</v>
      </c>
      <c r="J25" t="inlineStr">
        <is>
          <t>kg</t>
        </is>
      </c>
      <c r="K25">
        <f>Source!A43</f>
        <v/>
      </c>
      <c r="L25" t="inlineStr">
        <is>
          <t>Chris Craig 5.30.26 Scale Tickets.heic</t>
        </is>
      </c>
      <c r="M25">
        <f>Source!A3</f>
        <v/>
      </c>
      <c r="N25" t="inlineStr">
        <is>
          <t>123 - Combined Lab Analyses.pdf</t>
        </is>
      </c>
      <c r="O25">
        <f>Source!A50</f>
        <v/>
      </c>
      <c r="P25" t="inlineStr">
        <is>
          <t>Chris Craig Delivery Notes.xlsx</t>
        </is>
      </c>
      <c r="Q25" t="inlineStr">
        <is>
          <t>mr_KZKzNxsJesEYlNhr-out_jzrTws5de3Txjsxr-0</t>
        </is>
      </c>
    </row>
    <row r="26">
      <c r="A26" t="inlineStr">
        <is>
          <t>dtp_1KWCSCTWH1S0EBNR</t>
        </is>
      </c>
      <c r="B26" t="inlineStr">
        <is>
          <t>derived</t>
        </is>
      </c>
      <c r="C26" t="inlineStr">
        <is>
          <t>Biochar Applied - Soil Temperature (Cel)</t>
        </is>
      </c>
      <c r="D26" t="inlineStr">
        <is>
          <t>Biochar Applied - Soil Temperature (Cel)</t>
        </is>
      </c>
      <c r="E26" s="2" t="n">
        <v>284.05</v>
      </c>
      <c r="F26" t="n">
        <v>0</v>
      </c>
      <c r="G26" t="inlineStr">
        <is>
          <t>K</t>
        </is>
      </c>
      <c r="H26" t="n">
        <v>10.9</v>
      </c>
      <c r="I26" t="n">
        <v>0</v>
      </c>
      <c r="J26" t="inlineStr">
        <is>
          <t>°C</t>
        </is>
      </c>
      <c r="K26">
        <f>Source!A41</f>
        <v/>
      </c>
      <c r="L26" t="inlineStr">
        <is>
          <t>soil_temperature_chris_craig.csv</t>
        </is>
      </c>
      <c r="Q26" t="inlineStr">
        <is>
          <t>mr_zCuyoqisqKNAgjn5-out_WFEo3VxmWt0N3Yhc-0</t>
        </is>
      </c>
    </row>
    <row r="27">
      <c r="A27" t="inlineStr">
        <is>
          <t>dtp_1KWCSCV4Q1S0NND2</t>
        </is>
      </c>
      <c r="B27" t="inlineStr">
        <is>
          <t>derived</t>
        </is>
      </c>
      <c r="C27" t="inlineStr">
        <is>
          <t>Organic Carbon Content % - Applied</t>
        </is>
      </c>
      <c r="D27" t="inlineStr">
        <is>
          <t>Organic Carbon Content % - Applied</t>
        </is>
      </c>
      <c r="E27" s="2" t="n">
        <v>0.8520000000000001</v>
      </c>
      <c r="F27" t="n">
        <v>0</v>
      </c>
      <c r="G27" t="inlineStr"/>
      <c r="H27" t="n">
        <v>85.2</v>
      </c>
      <c r="I27" t="n">
        <v>0</v>
      </c>
      <c r="J27" t="inlineStr">
        <is>
          <t>%</t>
        </is>
      </c>
      <c r="K27">
        <f>Source!A3</f>
        <v/>
      </c>
      <c r="L27" t="inlineStr">
        <is>
          <t>123 - Combined Lab Analyses.pdf</t>
        </is>
      </c>
      <c r="Q27" t="inlineStr">
        <is>
          <t>mr_KZKzNxsJesEYlNhr-out_9VwHrqELDkqKvfgu-0</t>
        </is>
      </c>
    </row>
    <row r="28">
      <c r="A28" t="inlineStr">
        <is>
          <t>dtp_1KWCSCWHA1S06H5Z</t>
        </is>
      </c>
      <c r="B28" t="inlineStr">
        <is>
          <t>derived</t>
        </is>
      </c>
      <c r="C28" t="inlineStr">
        <is>
          <t>Biochar Output - Carbon Intensity - Applied</t>
        </is>
      </c>
      <c r="D28" t="inlineStr">
        <is>
          <t>Biochar Output - Carbon Intensity - Applied</t>
        </is>
      </c>
      <c r="E28" s="2" t="n">
        <v>0.842</v>
      </c>
      <c r="F28" t="n">
        <v>0</v>
      </c>
      <c r="G28" t="inlineStr"/>
      <c r="H28" t="n">
        <v>0.842</v>
      </c>
      <c r="I28" t="n">
        <v>0</v>
      </c>
      <c r="J28" t="inlineStr">
        <is>
          <t>kgCO₂e/kg</t>
        </is>
      </c>
      <c r="K28">
        <f>Source!A38</f>
        <v/>
      </c>
      <c r="L28" t="inlineStr">
        <is>
          <t>Biochar CI Summary — All Production Periods.xlsx</t>
        </is>
      </c>
      <c r="M28">
        <f>Source!A9</f>
        <v/>
      </c>
      <c r="N28" t="inlineStr">
        <is>
          <t>Production Period 1 Summary -- Final Submission (Updated 4_25).xlsx</t>
        </is>
      </c>
      <c r="O28">
        <f>Source!A11</f>
        <v/>
      </c>
      <c r="P28" t="inlineStr">
        <is>
          <t>Production Period 1 Summary -- Final Submission (Updated 4_25) (1).xlsx</t>
        </is>
      </c>
      <c r="Q28" t="inlineStr">
        <is>
          <t>mr_KZKzNxsJesEYlNhr-out_p2t83fe8Xb0UnDuc-0</t>
        </is>
      </c>
    </row>
    <row r="29">
      <c r="A29" t="inlineStr">
        <is>
          <t>dtp_1KWCSCX3G1S0N4MK</t>
        </is>
      </c>
      <c r="B29" t="inlineStr">
        <is>
          <t>derived</t>
        </is>
      </c>
      <c r="C29" t="inlineStr">
        <is>
          <t>Biochar Dry Product Weight (kg) (Pyrolysis) - Applied</t>
        </is>
      </c>
      <c r="D29" t="inlineStr">
        <is>
          <t>Biochar Dry Product Weight (kg) (Pyrolysis) - Applied</t>
        </is>
      </c>
      <c r="E29" s="2" t="n">
        <v>146.97</v>
      </c>
      <c r="F29" t="n">
        <v>0</v>
      </c>
      <c r="G29" t="inlineStr">
        <is>
          <t>kg</t>
        </is>
      </c>
      <c r="H29" t="n">
        <v>146.97</v>
      </c>
      <c r="I29" t="n">
        <v>0</v>
      </c>
      <c r="J29" t="inlineStr">
        <is>
          <t>kg</t>
        </is>
      </c>
      <c r="K29">
        <f>Source!A43</f>
        <v/>
      </c>
      <c r="L29" t="inlineStr">
        <is>
          <t>Chris Craig 5.30.26 Scale Tickets.heic</t>
        </is>
      </c>
      <c r="M29">
        <f>Source!A50</f>
        <v/>
      </c>
      <c r="N29" t="inlineStr">
        <is>
          <t>Chris Craig Delivery Notes.xlsx</t>
        </is>
      </c>
      <c r="O29">
        <f>Source!A9</f>
        <v/>
      </c>
      <c r="P29" t="inlineStr">
        <is>
          <t>Production Period 1 Summary -- Final Submission (Updated 4_25).xlsx</t>
        </is>
      </c>
      <c r="Q29" t="inlineStr">
        <is>
          <t>mr_KZKzNxsJesEYlNhr-out_flFayO1sB5WijeRd-0</t>
        </is>
      </c>
    </row>
    <row r="30">
      <c r="A30" t="inlineStr">
        <is>
          <t>dtp_1KWCSD8131S0QCYW</t>
        </is>
      </c>
      <c r="B30" t="inlineStr">
        <is>
          <t>derived</t>
        </is>
      </c>
      <c r="C30" t="inlineStr">
        <is>
          <t>Copy - Truck EF</t>
        </is>
      </c>
      <c r="D30" t="inlineStr">
        <is>
          <t>Copy - Truck EF</t>
        </is>
      </c>
      <c r="E30" s="2" t="n">
        <v>8.599777300564702e-08</v>
      </c>
      <c r="F30" t="n">
        <v>0</v>
      </c>
      <c r="G30" t="inlineStr">
        <is>
          <t>1/m</t>
        </is>
      </c>
      <c r="H30" t="n">
        <v>0.1384</v>
      </c>
      <c r="I30" t="n">
        <v>0</v>
      </c>
      <c r="J30" t="inlineStr">
        <is>
          <t>kgCO₂e/(t⋅mi)</t>
        </is>
      </c>
      <c r="K30">
        <f>Source!A8</f>
        <v/>
      </c>
      <c r="L30" t="inlineStr">
        <is>
          <t>GLEC NA Road Transport.png</t>
        </is>
      </c>
      <c r="Q30" t="inlineStr">
        <is>
          <t>mr_KZKzNxsJesEYlNhr-out_SUXhidR4MsQBPF0H-0</t>
        </is>
      </c>
    </row>
    <row r="31">
      <c r="A31" t="inlineStr">
        <is>
          <t>dtp_1KWCSDDGZ1S0DA4T</t>
        </is>
      </c>
      <c r="B31" t="inlineStr">
        <is>
          <t>reported</t>
        </is>
      </c>
      <c r="C31" t="inlineStr">
        <is>
          <t>Biochar Applied - Delivery Distance (km)</t>
        </is>
      </c>
      <c r="D31" t="inlineStr">
        <is>
          <t>Biochar Applied - Delivery Distance (km)</t>
        </is>
      </c>
      <c r="E31" s="2" t="n">
        <v>278416.51</v>
      </c>
      <c r="F31" t="n">
        <v>0</v>
      </c>
      <c r="G31" t="inlineStr">
        <is>
          <t>m</t>
        </is>
      </c>
      <c r="H31" t="n">
        <v>278.41651</v>
      </c>
      <c r="I31" t="n">
        <v>0</v>
      </c>
      <c r="J31" t="inlineStr">
        <is>
          <t>km</t>
        </is>
      </c>
      <c r="K31">
        <f>Source!A18</f>
        <v/>
      </c>
      <c r="L31" t="inlineStr">
        <is>
          <t>CO to Chris Craig Distance (1).png</t>
        </is>
      </c>
      <c r="Q31" t="inlineStr">
        <is>
          <t>mr_KZKzNxsJesEYlNhr-out_40WLB0U4vl7JHA8h-0</t>
        </is>
      </c>
    </row>
    <row r="32">
      <c r="A32" t="inlineStr">
        <is>
          <t>dtp_1KWCSDDYP1S037AR</t>
        </is>
      </c>
      <c r="B32" t="inlineStr">
        <is>
          <t>derived</t>
        </is>
      </c>
      <c r="C32" t="inlineStr">
        <is>
          <t>Biochar Transported (kg) - Applied</t>
        </is>
      </c>
      <c r="D32" t="inlineStr">
        <is>
          <t>Biochar Transported (kg) - Applied</t>
        </is>
      </c>
      <c r="E32" s="2" t="n">
        <v>208.22</v>
      </c>
      <c r="F32" t="n">
        <v>0</v>
      </c>
      <c r="G32" t="inlineStr">
        <is>
          <t>kg</t>
        </is>
      </c>
      <c r="H32" t="n">
        <v>208.22</v>
      </c>
      <c r="I32" t="n">
        <v>0</v>
      </c>
      <c r="J32" t="inlineStr">
        <is>
          <t>kg</t>
        </is>
      </c>
      <c r="K32">
        <f>Source!A43</f>
        <v/>
      </c>
      <c r="L32" t="inlineStr">
        <is>
          <t>Chris Craig 5.30.26 Scale Tickets.heic</t>
        </is>
      </c>
      <c r="M32">
        <f>Source!A50</f>
        <v/>
      </c>
      <c r="N32" t="inlineStr">
        <is>
          <t>Chris Craig Delivery Notes.xlsx</t>
        </is>
      </c>
      <c r="O32">
        <f>Source!A9</f>
        <v/>
      </c>
      <c r="P32" t="inlineStr">
        <is>
          <t>Production Period 1 Summary -- Final Submission (Updated 4_25).xlsx</t>
        </is>
      </c>
      <c r="Q32" t="inlineStr">
        <is>
          <t>mr_KZKzNxsJesEYlNhr-out_OA0wdc8MuB45f6At-0</t>
        </is>
      </c>
    </row>
    <row r="33">
      <c r="A33" t="inlineStr">
        <is>
          <t>dtp_1KWCSDEE41S0HTSC</t>
        </is>
      </c>
      <c r="B33" t="inlineStr">
        <is>
          <t>reported</t>
        </is>
      </c>
      <c r="C33" t="inlineStr">
        <is>
          <t>Emissions Factor - Flatbed Truck Transport Embodied Emissions (2025, CO)</t>
        </is>
      </c>
      <c r="D33" t="inlineStr">
        <is>
          <t>Emissions Factor - Flatbed Truck Transport Embodied Emissions (2025, CO)</t>
        </is>
      </c>
      <c r="E33" s="2" t="n">
        <v>0.0001197949629</v>
      </c>
      <c r="F33" t="n">
        <v>0</v>
      </c>
      <c r="G33" t="inlineStr">
        <is>
          <t>kg/m</t>
        </is>
      </c>
      <c r="H33" t="n">
        <v>0.1197949629</v>
      </c>
      <c r="I33" t="n">
        <v>0</v>
      </c>
      <c r="J33" t="inlineStr">
        <is>
          <t>kgCO₂e/km</t>
        </is>
      </c>
      <c r="K33">
        <f>Source!A17</f>
        <v/>
      </c>
      <c r="L33" t="inlineStr">
        <is>
          <t>Standard Emission Factors + Calculations (8).xlsx</t>
        </is>
      </c>
      <c r="Q33" t="inlineStr">
        <is>
          <t>mr_KZKzNxsJesEYlNhr-out_hDkBvHUGZxuneDx7-0</t>
        </is>
      </c>
    </row>
    <row r="34">
      <c r="A34" t="inlineStr">
        <is>
          <t>dtp_1KWCSDFQF1S0BCBB</t>
        </is>
      </c>
      <c r="B34" t="inlineStr">
        <is>
          <t>reported</t>
        </is>
      </c>
      <c r="C34" t="inlineStr">
        <is>
          <t>Attribution factor</t>
        </is>
      </c>
      <c r="E34" s="2" t="n">
        <v>1</v>
      </c>
      <c r="F34" t="n">
        <v>0</v>
      </c>
      <c r="G34" t="inlineStr"/>
      <c r="H34" t="n">
        <v>1</v>
      </c>
      <c r="I34" t="n">
        <v>0</v>
      </c>
      <c r="J34" t="inlineStr"/>
    </row>
    <row r="35">
      <c r="A35" t="inlineStr">
        <is>
          <t>dtp_1KWCSDFQF1S0DMNM</t>
        </is>
      </c>
      <c r="B35" t="inlineStr">
        <is>
          <t>reported</t>
        </is>
      </c>
      <c r="C35" t="inlineStr">
        <is>
          <t>Attribution factor</t>
        </is>
      </c>
      <c r="E35" s="2" t="n">
        <v>1</v>
      </c>
      <c r="F35" t="n">
        <v>0</v>
      </c>
      <c r="G35" t="inlineStr"/>
      <c r="H35" t="n">
        <v>1</v>
      </c>
      <c r="I35" t="n">
        <v>0</v>
      </c>
      <c r="J35" t="inlineStr"/>
    </row>
    <row r="36">
      <c r="A36" t="inlineStr">
        <is>
          <t>dtp_1KWCSDFQF1S0JP2N</t>
        </is>
      </c>
      <c r="B36" t="inlineStr">
        <is>
          <t>reported</t>
        </is>
      </c>
      <c r="C36" t="inlineStr">
        <is>
          <t>Attribution factor</t>
        </is>
      </c>
      <c r="E36" s="2" t="n">
        <v>1</v>
      </c>
      <c r="F36" t="n">
        <v>0</v>
      </c>
      <c r="G36" t="inlineStr"/>
      <c r="H36" t="n">
        <v>1</v>
      </c>
      <c r="I36" t="n">
        <v>0</v>
      </c>
      <c r="J36" t="inlineStr"/>
    </row>
    <row r="37">
      <c r="A37" t="inlineStr">
        <is>
          <t>dtp_1KWCSDFQF1S0SZSZ</t>
        </is>
      </c>
      <c r="B37" t="inlineStr">
        <is>
          <t>reported</t>
        </is>
      </c>
      <c r="C37" t="inlineStr">
        <is>
          <t>Attribution factor</t>
        </is>
      </c>
      <c r="E37" s="2" t="n">
        <v>1</v>
      </c>
      <c r="F37" t="n">
        <v>0</v>
      </c>
      <c r="G37" t="inlineStr"/>
      <c r="H37" t="n">
        <v>1</v>
      </c>
      <c r="I37" t="n">
        <v>0</v>
      </c>
      <c r="J37" t="inlineStr"/>
    </row>
    <row r="38">
      <c r="A38" t="inlineStr">
        <is>
          <t>dtp_1KWCSDFQF1S0Z170</t>
        </is>
      </c>
      <c r="B38" t="inlineStr">
        <is>
          <t>reported</t>
        </is>
      </c>
      <c r="C38" t="inlineStr">
        <is>
          <t>Attribution factor</t>
        </is>
      </c>
      <c r="E38" s="2" t="n">
        <v>1</v>
      </c>
      <c r="F38" t="n">
        <v>0</v>
      </c>
      <c r="G38" t="inlineStr"/>
      <c r="H38" t="n">
        <v>1</v>
      </c>
      <c r="I38" t="n">
        <v>0</v>
      </c>
      <c r="J38" t="inlineStr"/>
    </row>
    <row r="39">
      <c r="A39" t="inlineStr">
        <is>
          <t>dtp_1KWCY026S1S0BPW5</t>
        </is>
      </c>
      <c r="B39" t="inlineStr">
        <is>
          <t>derived</t>
        </is>
      </c>
      <c r="C39" t="inlineStr">
        <is>
          <t>Emissions Factor - Biochar Spreading</t>
        </is>
      </c>
      <c r="D39" t="inlineStr">
        <is>
          <t>Emissions Factor - Biochar Spreading</t>
        </is>
      </c>
      <c r="E39" s="2" t="n">
        <v>0.004</v>
      </c>
      <c r="F39" t="n">
        <v>0</v>
      </c>
      <c r="G39" t="inlineStr"/>
      <c r="H39" t="n">
        <v>0.004</v>
      </c>
      <c r="I39" t="n">
        <v>0</v>
      </c>
      <c r="J39" t="inlineStr">
        <is>
          <t>kgCO₂e/kg</t>
        </is>
      </c>
      <c r="K39">
        <f>Source!A4</f>
        <v/>
      </c>
      <c r="L39" t="inlineStr">
        <is>
          <t>Biochar Offtake Calculations.xlsx</t>
        </is>
      </c>
      <c r="Q39" t="inlineStr">
        <is>
          <t>mr_4icjZaj2fiznwqRp-out_KY0ptolvtmtBTtKx-0</t>
        </is>
      </c>
    </row>
    <row r="40">
      <c r="A40" t="inlineStr">
        <is>
          <t>dtp_1KWCY03FG1S0DZ6E</t>
        </is>
      </c>
      <c r="B40" t="inlineStr">
        <is>
          <t>derived</t>
        </is>
      </c>
      <c r="C40" t="inlineStr">
        <is>
          <t>Biochar Applied (wet mass) (Spreading) - Applied</t>
        </is>
      </c>
      <c r="D40" t="inlineStr">
        <is>
          <t>Biochar Applied (wet mass) (Spreading) - Applied</t>
        </is>
      </c>
      <c r="E40" s="2" t="n">
        <v>392.34</v>
      </c>
      <c r="F40" t="n">
        <v>0</v>
      </c>
      <c r="G40" t="inlineStr">
        <is>
          <t>kg</t>
        </is>
      </c>
      <c r="H40" t="n">
        <v>392.34</v>
      </c>
      <c r="I40" t="n">
        <v>0</v>
      </c>
      <c r="J40" t="inlineStr">
        <is>
          <t>kg</t>
        </is>
      </c>
      <c r="K40">
        <f>Source!A43</f>
        <v/>
      </c>
      <c r="L40" t="inlineStr">
        <is>
          <t>Chris Craig 5.30.26 Scale Tickets.heic</t>
        </is>
      </c>
      <c r="M40">
        <f>Source!A50</f>
        <v/>
      </c>
      <c r="N40" t="inlineStr">
        <is>
          <t>Chris Craig Delivery Notes.xlsx</t>
        </is>
      </c>
      <c r="O40">
        <f>Source!A12</f>
        <v/>
      </c>
      <c r="P40" t="inlineStr">
        <is>
          <t>Production Period 2 Summary.xlsx</t>
        </is>
      </c>
      <c r="Q40" t="inlineStr">
        <is>
          <t>mr_4icjZaj2fiznwqRp-out_0qzaoA3uAPye3IRS-0</t>
        </is>
      </c>
    </row>
    <row r="41">
      <c r="A41" t="inlineStr">
        <is>
          <t>dtp_1KWCY06XD1S0QH81</t>
        </is>
      </c>
      <c r="B41" t="inlineStr">
        <is>
          <t>derived</t>
        </is>
      </c>
      <c r="C41" t="inlineStr">
        <is>
          <t>Biochar - H/C_org - Applied</t>
        </is>
      </c>
      <c r="D41" t="inlineStr">
        <is>
          <t>Biochar - H/C_org - Applied</t>
        </is>
      </c>
      <c r="E41" s="2" t="n">
        <v>0.46333</v>
      </c>
      <c r="F41" t="n">
        <v>0</v>
      </c>
      <c r="G41" t="inlineStr"/>
      <c r="H41" t="n">
        <v>0.46333</v>
      </c>
      <c r="I41" t="n">
        <v>0</v>
      </c>
      <c r="J41" t="inlineStr"/>
      <c r="K41">
        <f>Source!A47</f>
        <v/>
      </c>
      <c r="L41" t="inlineStr">
        <is>
          <t>251 - Combined Lab Analyses.pdf</t>
        </is>
      </c>
      <c r="Q41" t="inlineStr">
        <is>
          <t>mr_UzmQ79t9v2yVzxqR-out_SlgcaWsappr9ZCL6-0</t>
        </is>
      </c>
    </row>
    <row r="42">
      <c r="A42" t="inlineStr">
        <is>
          <t>dtp_1KWCY07DA1S0MR59</t>
        </is>
      </c>
      <c r="B42" t="inlineStr">
        <is>
          <t>derived</t>
        </is>
      </c>
      <c r="C42" t="inlineStr">
        <is>
          <t>Inorganic Carbon Content % - Applied</t>
        </is>
      </c>
      <c r="D42" t="inlineStr">
        <is>
          <t>Inorganic Carbon Content % - Applied</t>
        </is>
      </c>
      <c r="E42" s="2" t="n">
        <v>0.0027</v>
      </c>
      <c r="F42" t="n">
        <v>0</v>
      </c>
      <c r="G42" t="inlineStr"/>
      <c r="H42" t="n">
        <v>0.27</v>
      </c>
      <c r="I42" t="n">
        <v>0</v>
      </c>
      <c r="J42" t="inlineStr">
        <is>
          <t>%</t>
        </is>
      </c>
      <c r="K42">
        <f>Source!A47</f>
        <v/>
      </c>
      <c r="L42" t="inlineStr">
        <is>
          <t>251 - Combined Lab Analyses.pdf</t>
        </is>
      </c>
      <c r="Q42" t="inlineStr">
        <is>
          <t>mr_UzmQ79t9v2yVzxqR-out_RrRijQ8NSCwAInka-0</t>
        </is>
      </c>
    </row>
    <row r="43">
      <c r="A43" t="inlineStr">
        <is>
          <t>dtp_1KWCY08NZ1S0FPR8</t>
        </is>
      </c>
      <c r="B43" t="inlineStr">
        <is>
          <t>reported</t>
        </is>
      </c>
      <c r="C43" t="inlineStr">
        <is>
          <t>Biochar Dry Weight (kg) (CO2 stored) - Applied</t>
        </is>
      </c>
      <c r="D43" t="inlineStr">
        <is>
          <t>Biochar Dry Weight (kg) (CO2 stored) - Applied</t>
        </is>
      </c>
      <c r="E43" s="2" t="n">
        <v>259.36275</v>
      </c>
      <c r="F43" t="n">
        <v>0</v>
      </c>
      <c r="G43" t="inlineStr">
        <is>
          <t>kg</t>
        </is>
      </c>
      <c r="H43" t="n">
        <v>259.36275</v>
      </c>
      <c r="I43" t="n">
        <v>0</v>
      </c>
      <c r="J43" t="inlineStr">
        <is>
          <t>kg</t>
        </is>
      </c>
      <c r="K43">
        <f>Source!A43</f>
        <v/>
      </c>
      <c r="L43" t="inlineStr">
        <is>
          <t>Chris Craig 5.30.26 Scale Tickets.heic</t>
        </is>
      </c>
      <c r="M43">
        <f>Source!A47</f>
        <v/>
      </c>
      <c r="N43" t="inlineStr">
        <is>
          <t>251 - Combined Lab Analyses.pdf</t>
        </is>
      </c>
      <c r="O43">
        <f>Source!A50</f>
        <v/>
      </c>
      <c r="P43" t="inlineStr">
        <is>
          <t>Chris Craig Delivery Notes.xlsx</t>
        </is>
      </c>
      <c r="Q43" t="inlineStr">
        <is>
          <t>mr_4icjZaj2fiznwqRp-out_jzrTws5de3Txjsxr-0</t>
        </is>
      </c>
    </row>
    <row r="44">
      <c r="A44" t="inlineStr">
        <is>
          <t>dtp_1KWCY094Z1S05KY6</t>
        </is>
      </c>
      <c r="B44" t="inlineStr">
        <is>
          <t>derived</t>
        </is>
      </c>
      <c r="C44" t="inlineStr">
        <is>
          <t>Biochar Applied - Soil Temperature (Cel)</t>
        </is>
      </c>
      <c r="D44" t="inlineStr">
        <is>
          <t>Biochar Applied - Soil Temperature (Cel)</t>
        </is>
      </c>
      <c r="E44" s="2" t="n">
        <v>284.05</v>
      </c>
      <c r="F44" t="n">
        <v>0</v>
      </c>
      <c r="G44" t="inlineStr">
        <is>
          <t>K</t>
        </is>
      </c>
      <c r="H44" t="n">
        <v>10.9</v>
      </c>
      <c r="I44" t="n">
        <v>0</v>
      </c>
      <c r="J44" t="inlineStr">
        <is>
          <t>°C</t>
        </is>
      </c>
      <c r="K44">
        <f>Source!A41</f>
        <v/>
      </c>
      <c r="L44" t="inlineStr">
        <is>
          <t>soil_temperature_chris_craig.csv</t>
        </is>
      </c>
      <c r="Q44" t="inlineStr">
        <is>
          <t>mr_UzmQ79t9v2yVzxqR-out_WFEo3VxmWt0N3Yhc-0</t>
        </is>
      </c>
    </row>
    <row r="45">
      <c r="A45" t="inlineStr">
        <is>
          <t>dtp_1KWCY09K91S0CXNG</t>
        </is>
      </c>
      <c r="B45" t="inlineStr">
        <is>
          <t>derived</t>
        </is>
      </c>
      <c r="C45" t="inlineStr">
        <is>
          <t>Organic Carbon Content % - Applied</t>
        </is>
      </c>
      <c r="D45" t="inlineStr">
        <is>
          <t>Organic Carbon Content % - Applied</t>
        </is>
      </c>
      <c r="E45" s="2" t="n">
        <v>0.8593000000000001</v>
      </c>
      <c r="F45" t="n">
        <v>0</v>
      </c>
      <c r="G45" t="inlineStr"/>
      <c r="H45" t="n">
        <v>85.93000000000001</v>
      </c>
      <c r="I45" t="n">
        <v>0</v>
      </c>
      <c r="J45" t="inlineStr">
        <is>
          <t>%</t>
        </is>
      </c>
      <c r="K45">
        <f>Source!A47</f>
        <v/>
      </c>
      <c r="L45" t="inlineStr">
        <is>
          <t>251 - Combined Lab Analyses.pdf</t>
        </is>
      </c>
      <c r="Q45" t="inlineStr">
        <is>
          <t>mr_4icjZaj2fiznwqRp-out_9VwHrqELDkqKvfgu-0</t>
        </is>
      </c>
    </row>
    <row r="46">
      <c r="A46" t="inlineStr">
        <is>
          <t>dtp_1KWCY0APH1S0XSED</t>
        </is>
      </c>
      <c r="B46" t="inlineStr">
        <is>
          <t>derived</t>
        </is>
      </c>
      <c r="C46" t="inlineStr">
        <is>
          <t>Biochar Output - Carbon Intensity - Applied</t>
        </is>
      </c>
      <c r="D46" t="inlineStr">
        <is>
          <t>Biochar Output - Carbon Intensity - Applied</t>
        </is>
      </c>
      <c r="E46" s="2" t="n">
        <v>1.1178</v>
      </c>
      <c r="F46" t="n">
        <v>0</v>
      </c>
      <c r="G46" t="inlineStr"/>
      <c r="H46" t="n">
        <v>1.1178</v>
      </c>
      <c r="I46" t="n">
        <v>0</v>
      </c>
      <c r="J46" t="inlineStr">
        <is>
          <t>kgCO₂e/kg</t>
        </is>
      </c>
      <c r="K46">
        <f>Source!A38</f>
        <v/>
      </c>
      <c r="L46" t="inlineStr">
        <is>
          <t>Biochar CI Summary — All Production Periods.xlsx</t>
        </is>
      </c>
      <c r="M46">
        <f>Source!A12</f>
        <v/>
      </c>
      <c r="N46" t="inlineStr">
        <is>
          <t>Production Period 2 Summary.xlsx</t>
        </is>
      </c>
      <c r="Q46" t="inlineStr">
        <is>
          <t>mr_4icjZaj2fiznwqRp-out_p2t83fe8Xb0UnDuc-0</t>
        </is>
      </c>
    </row>
    <row r="47">
      <c r="A47" t="inlineStr">
        <is>
          <t>dtp_1KWCY0BMK1S0CCX1</t>
        </is>
      </c>
      <c r="B47" t="inlineStr">
        <is>
          <t>derived</t>
        </is>
      </c>
      <c r="C47" t="inlineStr">
        <is>
          <t>Biochar Dry Product Weight (kg) (Pyrolysis) - Applied</t>
        </is>
      </c>
      <c r="D47" t="inlineStr">
        <is>
          <t>Biochar Dry Product Weight (kg) (Pyrolysis) - Applied</t>
        </is>
      </c>
      <c r="E47" s="2" t="n">
        <v>293.94</v>
      </c>
      <c r="F47" t="n">
        <v>0</v>
      </c>
      <c r="G47" t="inlineStr">
        <is>
          <t>kg</t>
        </is>
      </c>
      <c r="H47" t="n">
        <v>293.94</v>
      </c>
      <c r="I47" t="n">
        <v>0</v>
      </c>
      <c r="J47" t="inlineStr">
        <is>
          <t>kg</t>
        </is>
      </c>
      <c r="K47">
        <f>Source!A43</f>
        <v/>
      </c>
      <c r="L47" t="inlineStr">
        <is>
          <t>Chris Craig 5.30.26 Scale Tickets.heic</t>
        </is>
      </c>
      <c r="M47">
        <f>Source!A50</f>
        <v/>
      </c>
      <c r="N47" t="inlineStr">
        <is>
          <t>Chris Craig Delivery Notes.xlsx</t>
        </is>
      </c>
      <c r="O47">
        <f>Source!A12</f>
        <v/>
      </c>
      <c r="P47" t="inlineStr">
        <is>
          <t>Production Period 2 Summary.xlsx</t>
        </is>
      </c>
      <c r="Q47" t="inlineStr">
        <is>
          <t>mr_4icjZaj2fiznwqRp-out_flFayO1sB5WijeRd-0</t>
        </is>
      </c>
    </row>
    <row r="48">
      <c r="A48" t="inlineStr">
        <is>
          <t>dtp_1KWCY0D371S0EN7A</t>
        </is>
      </c>
      <c r="B48" t="inlineStr">
        <is>
          <t>derived</t>
        </is>
      </c>
      <c r="C48" t="inlineStr">
        <is>
          <t>Copy - Truck EF</t>
        </is>
      </c>
      <c r="D48" t="inlineStr">
        <is>
          <t>Copy - Truck EF</t>
        </is>
      </c>
      <c r="E48" s="2" t="n">
        <v>8.599777300564702e-08</v>
      </c>
      <c r="F48" t="n">
        <v>0</v>
      </c>
      <c r="G48" t="inlineStr">
        <is>
          <t>1/m</t>
        </is>
      </c>
      <c r="H48" t="n">
        <v>0.1384</v>
      </c>
      <c r="I48" t="n">
        <v>0</v>
      </c>
      <c r="J48" t="inlineStr">
        <is>
          <t>kgCO₂e/(t⋅mi)</t>
        </is>
      </c>
      <c r="K48">
        <f>Source!A8</f>
        <v/>
      </c>
      <c r="L48" t="inlineStr">
        <is>
          <t>GLEC NA Road Transport.png</t>
        </is>
      </c>
      <c r="Q48" t="inlineStr">
        <is>
          <t>mr_4icjZaj2fiznwqRp-out_SUXhidR4MsQBPF0H-0</t>
        </is>
      </c>
    </row>
    <row r="49">
      <c r="A49" t="inlineStr">
        <is>
          <t>dtp_1KWCY0EQD1S0GXHK</t>
        </is>
      </c>
      <c r="B49" t="inlineStr">
        <is>
          <t>reported</t>
        </is>
      </c>
      <c r="C49" t="inlineStr">
        <is>
          <t>Biochar Applied - Delivery Distance (km)</t>
        </is>
      </c>
      <c r="D49" t="inlineStr">
        <is>
          <t>Biochar Applied - Delivery Distance (km)</t>
        </is>
      </c>
      <c r="E49" s="2" t="n">
        <v>278416.51</v>
      </c>
      <c r="F49" t="n">
        <v>0</v>
      </c>
      <c r="G49" t="inlineStr">
        <is>
          <t>m</t>
        </is>
      </c>
      <c r="H49" t="n">
        <v>278.41651</v>
      </c>
      <c r="I49" t="n">
        <v>0</v>
      </c>
      <c r="J49" t="inlineStr">
        <is>
          <t>km</t>
        </is>
      </c>
      <c r="K49">
        <f>Source!A18</f>
        <v/>
      </c>
      <c r="L49" t="inlineStr">
        <is>
          <t>CO to Chris Craig Distance (1).png</t>
        </is>
      </c>
      <c r="Q49" t="inlineStr">
        <is>
          <t>mr_4icjZaj2fiznwqRp-out_40WLB0U4vl7JHA8h-0</t>
        </is>
      </c>
    </row>
    <row r="50">
      <c r="A50" t="inlineStr">
        <is>
          <t>dtp_1KWCY0F1P1S0ZH07</t>
        </is>
      </c>
      <c r="B50" t="inlineStr">
        <is>
          <t>derived</t>
        </is>
      </c>
      <c r="C50" t="inlineStr">
        <is>
          <t>Biochar Transported (kg) - Applied</t>
        </is>
      </c>
      <c r="D50" t="inlineStr">
        <is>
          <t>Biochar Transported (kg) - Applied</t>
        </is>
      </c>
      <c r="E50" s="2" t="n">
        <v>416.44</v>
      </c>
      <c r="F50" t="n">
        <v>0</v>
      </c>
      <c r="G50" t="inlineStr">
        <is>
          <t>kg</t>
        </is>
      </c>
      <c r="H50" t="n">
        <v>416.44</v>
      </c>
      <c r="I50" t="n">
        <v>0</v>
      </c>
      <c r="J50" t="inlineStr">
        <is>
          <t>kg</t>
        </is>
      </c>
      <c r="K50">
        <f>Source!A43</f>
        <v/>
      </c>
      <c r="L50" t="inlineStr">
        <is>
          <t>Chris Craig 5.30.26 Scale Tickets.heic</t>
        </is>
      </c>
      <c r="M50">
        <f>Source!A50</f>
        <v/>
      </c>
      <c r="N50" t="inlineStr">
        <is>
          <t>Chris Craig Delivery Notes.xlsx</t>
        </is>
      </c>
      <c r="O50">
        <f>Source!A12</f>
        <v/>
      </c>
      <c r="P50" t="inlineStr">
        <is>
          <t>Production Period 2 Summary.xlsx</t>
        </is>
      </c>
      <c r="Q50" t="inlineStr">
        <is>
          <t>mr_4icjZaj2fiznwqRp-out_OA0wdc8MuB45f6At-0</t>
        </is>
      </c>
    </row>
    <row r="51">
      <c r="A51" t="inlineStr">
        <is>
          <t>dtp_1KWCY0F9G1S0E4EV</t>
        </is>
      </c>
      <c r="B51" t="inlineStr">
        <is>
          <t>reported</t>
        </is>
      </c>
      <c r="C51" t="inlineStr">
        <is>
          <t>Emissions Factor - Flatbed Truck Transport Embodied Emissions (2025, CO)</t>
        </is>
      </c>
      <c r="D51" t="inlineStr">
        <is>
          <t>Emissions Factor - Flatbed Truck Transport Embodied Emissions (2025, CO)</t>
        </is>
      </c>
      <c r="E51" s="2" t="n">
        <v>0.0001197949629</v>
      </c>
      <c r="F51" t="n">
        <v>0</v>
      </c>
      <c r="G51" t="inlineStr">
        <is>
          <t>kg/m</t>
        </is>
      </c>
      <c r="H51" t="n">
        <v>0.1197949629</v>
      </c>
      <c r="I51" t="n">
        <v>0</v>
      </c>
      <c r="J51" t="inlineStr">
        <is>
          <t>kgCO₂e/km</t>
        </is>
      </c>
      <c r="K51">
        <f>Source!A17</f>
        <v/>
      </c>
      <c r="L51" t="inlineStr">
        <is>
          <t>Standard Emission Factors + Calculations (8).xlsx</t>
        </is>
      </c>
      <c r="Q51" t="inlineStr">
        <is>
          <t>mr_4icjZaj2fiznwqRp-out_hDkBvHUGZxuneDx7-0</t>
        </is>
      </c>
    </row>
    <row r="52">
      <c r="A52" t="inlineStr">
        <is>
          <t>dtp_1KWCY0G8W1S07P0T</t>
        </is>
      </c>
      <c r="B52" t="inlineStr">
        <is>
          <t>reported</t>
        </is>
      </c>
      <c r="C52" t="inlineStr">
        <is>
          <t>Attribution factor</t>
        </is>
      </c>
      <c r="E52" s="2" t="n">
        <v>1</v>
      </c>
      <c r="F52" t="n">
        <v>0</v>
      </c>
      <c r="G52" t="inlineStr"/>
      <c r="H52" t="n">
        <v>1</v>
      </c>
      <c r="I52" t="n">
        <v>0</v>
      </c>
      <c r="J52" t="inlineStr"/>
    </row>
    <row r="53">
      <c r="A53" t="inlineStr">
        <is>
          <t>dtp_1KWCY0G8W1S09YB3</t>
        </is>
      </c>
      <c r="B53" t="inlineStr">
        <is>
          <t>reported</t>
        </is>
      </c>
      <c r="C53" t="inlineStr">
        <is>
          <t>Attribution factor</t>
        </is>
      </c>
      <c r="E53" s="2" t="n">
        <v>1</v>
      </c>
      <c r="F53" t="n">
        <v>0</v>
      </c>
      <c r="G53" t="inlineStr"/>
      <c r="H53" t="n">
        <v>1</v>
      </c>
      <c r="I53" t="n">
        <v>0</v>
      </c>
      <c r="J53" t="inlineStr"/>
    </row>
    <row r="54">
      <c r="A54" t="inlineStr">
        <is>
          <t>dtp_1KWCY0G8W1S0EZR4</t>
        </is>
      </c>
      <c r="B54" t="inlineStr">
        <is>
          <t>reported</t>
        </is>
      </c>
      <c r="C54" t="inlineStr">
        <is>
          <t>Attribution factor</t>
        </is>
      </c>
      <c r="E54" s="2" t="n">
        <v>1</v>
      </c>
      <c r="F54" t="n">
        <v>0</v>
      </c>
      <c r="G54" t="inlineStr"/>
      <c r="H54" t="n">
        <v>1</v>
      </c>
      <c r="I54" t="n">
        <v>0</v>
      </c>
      <c r="J54" t="inlineStr"/>
    </row>
    <row r="55">
      <c r="A55" t="inlineStr">
        <is>
          <t>dtp_1KWCY0G8W1S0P9FE</t>
        </is>
      </c>
      <c r="B55" t="inlineStr">
        <is>
          <t>reported</t>
        </is>
      </c>
      <c r="C55" t="inlineStr">
        <is>
          <t>Attribution factor</t>
        </is>
      </c>
      <c r="E55" s="2" t="n">
        <v>1</v>
      </c>
      <c r="F55" t="n">
        <v>0</v>
      </c>
      <c r="G55" t="inlineStr"/>
      <c r="H55" t="n">
        <v>1</v>
      </c>
      <c r="I55" t="n">
        <v>0</v>
      </c>
      <c r="J55" t="inlineStr"/>
    </row>
    <row r="56">
      <c r="A56" t="inlineStr">
        <is>
          <t>dtp_1KWCY0G8W1S0VAWF</t>
        </is>
      </c>
      <c r="B56" t="inlineStr">
        <is>
          <t>reported</t>
        </is>
      </c>
      <c r="C56" t="inlineStr">
        <is>
          <t>Attribution factor</t>
        </is>
      </c>
      <c r="E56" s="2" t="n">
        <v>1</v>
      </c>
      <c r="F56" t="n">
        <v>0</v>
      </c>
      <c r="G56" t="inlineStr"/>
      <c r="H56" t="n">
        <v>1</v>
      </c>
      <c r="I56" t="n">
        <v>0</v>
      </c>
      <c r="J56" t="inlineStr"/>
    </row>
    <row r="57">
      <c r="A57" t="inlineStr">
        <is>
          <t>dtp_1KWCZNJR61S02Z4K</t>
        </is>
      </c>
      <c r="B57" t="inlineStr">
        <is>
          <t>derived</t>
        </is>
      </c>
      <c r="C57" t="inlineStr">
        <is>
          <t>Emissions Factor - Biochar Spreading</t>
        </is>
      </c>
      <c r="D57" t="inlineStr">
        <is>
          <t>Emissions Factor - Biochar Spreading</t>
        </is>
      </c>
      <c r="E57" s="2" t="n">
        <v>0.004</v>
      </c>
      <c r="F57" t="n">
        <v>0</v>
      </c>
      <c r="G57" t="inlineStr"/>
      <c r="H57" t="n">
        <v>0.004</v>
      </c>
      <c r="I57" t="n">
        <v>0</v>
      </c>
      <c r="J57" t="inlineStr">
        <is>
          <t>kgCO₂e/kg</t>
        </is>
      </c>
      <c r="K57">
        <f>Source!A4</f>
        <v/>
      </c>
      <c r="L57" t="inlineStr">
        <is>
          <t>Biochar Offtake Calculations.xlsx</t>
        </is>
      </c>
      <c r="Q57" t="inlineStr">
        <is>
          <t>mr_EMbLLQkBCOjebj4T-out_KY0ptolvtmtBTtKx-0</t>
        </is>
      </c>
    </row>
    <row r="58">
      <c r="A58" t="inlineStr">
        <is>
          <t>dtp_1KWCZNM191S057EW</t>
        </is>
      </c>
      <c r="B58" t="inlineStr">
        <is>
          <t>derived</t>
        </is>
      </c>
      <c r="C58" t="inlineStr">
        <is>
          <t>Biochar Applied (wet mass) (Spreading) - Applied</t>
        </is>
      </c>
      <c r="D58" t="inlineStr">
        <is>
          <t>Biochar Applied (wet mass) (Spreading) - Applied</t>
        </is>
      </c>
      <c r="E58" s="2" t="n">
        <v>392.34</v>
      </c>
      <c r="F58" t="n">
        <v>0</v>
      </c>
      <c r="G58" t="inlineStr">
        <is>
          <t>kg</t>
        </is>
      </c>
      <c r="H58" t="n">
        <v>392.34</v>
      </c>
      <c r="I58" t="n">
        <v>0</v>
      </c>
      <c r="J58" t="inlineStr">
        <is>
          <t>kg</t>
        </is>
      </c>
      <c r="K58">
        <f>Source!A43</f>
        <v/>
      </c>
      <c r="L58" t="inlineStr">
        <is>
          <t>Chris Craig 5.30.26 Scale Tickets.heic</t>
        </is>
      </c>
      <c r="M58">
        <f>Source!A50</f>
        <v/>
      </c>
      <c r="N58" t="inlineStr">
        <is>
          <t>Chris Craig Delivery Notes.xlsx</t>
        </is>
      </c>
      <c r="O58">
        <f>Source!A53</f>
        <v/>
      </c>
      <c r="P58" t="inlineStr">
        <is>
          <t>Production Period 6 Summary.xlsx</t>
        </is>
      </c>
      <c r="Q58" t="inlineStr">
        <is>
          <t>mr_EMbLLQkBCOjebj4T-out_0qzaoA3uAPye3IRS-0</t>
        </is>
      </c>
    </row>
    <row r="59">
      <c r="A59" t="inlineStr">
        <is>
          <t>dtp_1KWCZNRK81S02EC4</t>
        </is>
      </c>
      <c r="B59" t="inlineStr">
        <is>
          <t>derived</t>
        </is>
      </c>
      <c r="C59" t="inlineStr">
        <is>
          <t>Biochar - H/C_org - Applied</t>
        </is>
      </c>
      <c r="D59" t="inlineStr">
        <is>
          <t>Biochar - H/C_org - Applied</t>
        </is>
      </c>
      <c r="E59" s="2" t="n">
        <v>0.45667</v>
      </c>
      <c r="F59" t="n">
        <v>0</v>
      </c>
      <c r="G59" t="inlineStr"/>
      <c r="H59" t="n">
        <v>0.45667</v>
      </c>
      <c r="I59" t="n">
        <v>0</v>
      </c>
      <c r="J59" t="inlineStr"/>
      <c r="K59">
        <f>Source!A14</f>
        <v/>
      </c>
      <c r="L59" t="inlineStr">
        <is>
          <t>255 - Combined Lab Analyses.pdf</t>
        </is>
      </c>
      <c r="Q59" t="inlineStr">
        <is>
          <t>mr_1rYwO28WgkxPeus4-out_SlgcaWsappr9ZCL6-0</t>
        </is>
      </c>
    </row>
    <row r="60">
      <c r="A60" t="inlineStr">
        <is>
          <t>dtp_1KWCZNS6Z1S06Z0P</t>
        </is>
      </c>
      <c r="B60" t="inlineStr">
        <is>
          <t>derived</t>
        </is>
      </c>
      <c r="C60" t="inlineStr">
        <is>
          <t>Inorganic Carbon Content % - Applied</t>
        </is>
      </c>
      <c r="D60" t="inlineStr">
        <is>
          <t>Inorganic Carbon Content % - Applied</t>
        </is>
      </c>
      <c r="E60" s="2" t="n">
        <v>0.002</v>
      </c>
      <c r="F60" t="n">
        <v>0</v>
      </c>
      <c r="G60" t="inlineStr"/>
      <c r="H60" t="n">
        <v>0.2</v>
      </c>
      <c r="I60" t="n">
        <v>0</v>
      </c>
      <c r="J60" t="inlineStr">
        <is>
          <t>%</t>
        </is>
      </c>
      <c r="K60">
        <f>Source!A15</f>
        <v/>
      </c>
      <c r="L60" t="inlineStr">
        <is>
          <t>255 - Combined Lab Analyses.pdf</t>
        </is>
      </c>
      <c r="Q60" t="inlineStr">
        <is>
          <t>mr_1rYwO28WgkxPeus4-out_RrRijQ8NSCwAInka-0</t>
        </is>
      </c>
    </row>
    <row r="61">
      <c r="A61" t="inlineStr">
        <is>
          <t>dtp_1KWCZNT8V1S01XKN</t>
        </is>
      </c>
      <c r="B61" t="inlineStr">
        <is>
          <t>derived</t>
        </is>
      </c>
      <c r="C61" t="inlineStr">
        <is>
          <t>Biochar Dry Weight (kg) (CO2 stored) - Applied</t>
        </is>
      </c>
      <c r="D61" t="inlineStr">
        <is>
          <t>Biochar Dry Weight (kg) (CO2 stored) - Applied</t>
        </is>
      </c>
      <c r="E61" s="2" t="n">
        <v>260.53078</v>
      </c>
      <c r="F61" t="n">
        <v>0</v>
      </c>
      <c r="G61" t="inlineStr">
        <is>
          <t>kg</t>
        </is>
      </c>
      <c r="H61" t="n">
        <v>260.53078</v>
      </c>
      <c r="I61" t="n">
        <v>0</v>
      </c>
      <c r="J61" t="inlineStr">
        <is>
          <t>kg</t>
        </is>
      </c>
      <c r="K61">
        <f>Source!A43</f>
        <v/>
      </c>
      <c r="L61" t="inlineStr">
        <is>
          <t>Chris Craig 5.30.26 Scale Tickets.heic</t>
        </is>
      </c>
      <c r="M61">
        <f>Source!A15</f>
        <v/>
      </c>
      <c r="N61" t="inlineStr">
        <is>
          <t>255 - Combined Lab Analyses.pdf</t>
        </is>
      </c>
      <c r="O61">
        <f>Source!A50</f>
        <v/>
      </c>
      <c r="P61" t="inlineStr">
        <is>
          <t>Chris Craig Delivery Notes.xlsx</t>
        </is>
      </c>
      <c r="Q61" t="inlineStr">
        <is>
          <t>mr_EMbLLQkBCOjebj4T-out_jzrTws5de3Txjsxr-0</t>
        </is>
      </c>
    </row>
    <row r="62">
      <c r="A62" t="inlineStr">
        <is>
          <t>dtp_1KWCZNTR51S0QTSK</t>
        </is>
      </c>
      <c r="B62" t="inlineStr">
        <is>
          <t>derived</t>
        </is>
      </c>
      <c r="C62" t="inlineStr">
        <is>
          <t>Biochar Applied - Soil Temperature (Cel)</t>
        </is>
      </c>
      <c r="D62" t="inlineStr">
        <is>
          <t>Biochar Applied - Soil Temperature (Cel)</t>
        </is>
      </c>
      <c r="E62" s="2" t="n">
        <v>284.05</v>
      </c>
      <c r="F62" t="n">
        <v>0</v>
      </c>
      <c r="G62" t="inlineStr">
        <is>
          <t>K</t>
        </is>
      </c>
      <c r="H62" t="n">
        <v>10.9</v>
      </c>
      <c r="I62" t="n">
        <v>0</v>
      </c>
      <c r="J62" t="inlineStr">
        <is>
          <t>°C</t>
        </is>
      </c>
      <c r="K62">
        <f>Source!A41</f>
        <v/>
      </c>
      <c r="L62" t="inlineStr">
        <is>
          <t>soil_temperature_chris_craig.csv</t>
        </is>
      </c>
      <c r="Q62" t="inlineStr">
        <is>
          <t>mr_1rYwO28WgkxPeus4-out_WFEo3VxmWt0N3Yhc-0</t>
        </is>
      </c>
    </row>
    <row r="63">
      <c r="A63" t="inlineStr">
        <is>
          <t>dtp_1KWCZNV681S0Z4GX</t>
        </is>
      </c>
      <c r="B63" t="inlineStr">
        <is>
          <t>derived</t>
        </is>
      </c>
      <c r="C63" t="inlineStr">
        <is>
          <t>Organic Carbon Content % - Applied</t>
        </is>
      </c>
      <c r="D63" t="inlineStr">
        <is>
          <t>Organic Carbon Content % - Applied</t>
        </is>
      </c>
      <c r="E63" s="2" t="n">
        <v>0.836</v>
      </c>
      <c r="F63" t="n">
        <v>0</v>
      </c>
      <c r="G63" t="inlineStr"/>
      <c r="H63" t="n">
        <v>83.59999999999999</v>
      </c>
      <c r="I63" t="n">
        <v>0</v>
      </c>
      <c r="J63" t="inlineStr">
        <is>
          <t>%</t>
        </is>
      </c>
      <c r="K63">
        <f>Source!A14</f>
        <v/>
      </c>
      <c r="L63" t="inlineStr">
        <is>
          <t>255 - Combined Lab Analyses.pdf</t>
        </is>
      </c>
      <c r="Q63" t="inlineStr">
        <is>
          <t>mr_EMbLLQkBCOjebj4T-out_9VwHrqELDkqKvfgu-0</t>
        </is>
      </c>
    </row>
    <row r="64">
      <c r="A64" t="inlineStr">
        <is>
          <t>dtp_1KWCZNWH51S0QA14</t>
        </is>
      </c>
      <c r="B64" t="inlineStr">
        <is>
          <t>derived</t>
        </is>
      </c>
      <c r="C64" t="inlineStr">
        <is>
          <t>Biochar Output - Carbon Intensity - Applied</t>
        </is>
      </c>
      <c r="D64" t="inlineStr">
        <is>
          <t>Biochar Output - Carbon Intensity - Applied</t>
        </is>
      </c>
      <c r="E64" s="2" t="n">
        <v>1.2936</v>
      </c>
      <c r="F64" t="n">
        <v>0</v>
      </c>
      <c r="G64" t="inlineStr"/>
      <c r="H64" t="n">
        <v>1.2936</v>
      </c>
      <c r="I64" t="n">
        <v>0</v>
      </c>
      <c r="J64" t="inlineStr">
        <is>
          <t>kgCO₂e/kg</t>
        </is>
      </c>
      <c r="K64">
        <f>Source!A38</f>
        <v/>
      </c>
      <c r="L64" t="inlineStr">
        <is>
          <t>Biochar CI Summary — All Production Periods.xlsx</t>
        </is>
      </c>
      <c r="M64">
        <f>Source!A53</f>
        <v/>
      </c>
      <c r="N64" t="inlineStr">
        <is>
          <t>Production Period 6 Summary.xlsx</t>
        </is>
      </c>
      <c r="Q64" t="inlineStr">
        <is>
          <t>mr_EMbLLQkBCOjebj4T-out_p2t83fe8Xb0UnDuc-0</t>
        </is>
      </c>
    </row>
    <row r="65">
      <c r="A65" t="inlineStr">
        <is>
          <t>dtp_1KWCZNWSF1S05XFR</t>
        </is>
      </c>
      <c r="B65" t="inlineStr">
        <is>
          <t>reported</t>
        </is>
      </c>
      <c r="C65" t="inlineStr">
        <is>
          <t>Biochar Dry Product Weight (kg) (Pyrolysis) - Applied</t>
        </is>
      </c>
      <c r="D65" t="inlineStr">
        <is>
          <t>Biochar Dry Product Weight (kg) (Pyrolysis) - Applied</t>
        </is>
      </c>
      <c r="E65" s="2" t="n">
        <v>293.94</v>
      </c>
      <c r="F65" t="n">
        <v>0</v>
      </c>
      <c r="G65" t="inlineStr">
        <is>
          <t>kg</t>
        </is>
      </c>
      <c r="H65" t="n">
        <v>293.94</v>
      </c>
      <c r="I65" t="n">
        <v>0</v>
      </c>
      <c r="J65" t="inlineStr">
        <is>
          <t>kg</t>
        </is>
      </c>
      <c r="K65">
        <f>Source!A43</f>
        <v/>
      </c>
      <c r="L65" t="inlineStr">
        <is>
          <t>Chris Craig 5.30.26 Scale Tickets.heic</t>
        </is>
      </c>
      <c r="M65">
        <f>Source!A50</f>
        <v/>
      </c>
      <c r="N65" t="inlineStr">
        <is>
          <t>Chris Craig Delivery Notes.xlsx</t>
        </is>
      </c>
      <c r="O65">
        <f>Source!A53</f>
        <v/>
      </c>
      <c r="P65" t="inlineStr">
        <is>
          <t>Production Period 6 Summary.xlsx</t>
        </is>
      </c>
      <c r="Q65" t="inlineStr">
        <is>
          <t>mr_EMbLLQkBCOjebj4T-out_flFayO1sB5WijeRd-0</t>
        </is>
      </c>
    </row>
    <row r="66">
      <c r="A66" t="inlineStr">
        <is>
          <t>dtp_1KWCZNXZC1S085T1</t>
        </is>
      </c>
      <c r="B66" t="inlineStr">
        <is>
          <t>derived</t>
        </is>
      </c>
      <c r="C66" t="inlineStr">
        <is>
          <t>Copy - Truck EF</t>
        </is>
      </c>
      <c r="D66" t="inlineStr">
        <is>
          <t>Copy - Truck EF</t>
        </is>
      </c>
      <c r="E66" s="2" t="n">
        <v>8.599777300564702e-08</v>
      </c>
      <c r="F66" t="n">
        <v>0</v>
      </c>
      <c r="G66" t="inlineStr">
        <is>
          <t>1/m</t>
        </is>
      </c>
      <c r="H66" t="n">
        <v>0.1384</v>
      </c>
      <c r="I66" t="n">
        <v>0</v>
      </c>
      <c r="J66" t="inlineStr">
        <is>
          <t>kgCO₂e/(t⋅mi)</t>
        </is>
      </c>
      <c r="K66">
        <f>Source!A8</f>
        <v/>
      </c>
      <c r="L66" t="inlineStr">
        <is>
          <t>GLEC NA Road Transport.png</t>
        </is>
      </c>
      <c r="Q66" t="inlineStr">
        <is>
          <t>mr_EMbLLQkBCOjebj4T-out_SUXhidR4MsQBPF0H-0</t>
        </is>
      </c>
    </row>
    <row r="67">
      <c r="A67" t="inlineStr">
        <is>
          <t>dtp_1KWCZNZVT1S0AE4A</t>
        </is>
      </c>
      <c r="B67" t="inlineStr">
        <is>
          <t>reported</t>
        </is>
      </c>
      <c r="C67" t="inlineStr">
        <is>
          <t>Biochar Applied - Delivery Distance (km)</t>
        </is>
      </c>
      <c r="D67" t="inlineStr">
        <is>
          <t>Biochar Applied - Delivery Distance (km)</t>
        </is>
      </c>
      <c r="E67" s="2" t="n">
        <v>278416.51</v>
      </c>
      <c r="F67" t="n">
        <v>0</v>
      </c>
      <c r="G67" t="inlineStr">
        <is>
          <t>m</t>
        </is>
      </c>
      <c r="H67" t="n">
        <v>278.41651</v>
      </c>
      <c r="I67" t="n">
        <v>0</v>
      </c>
      <c r="J67" t="inlineStr">
        <is>
          <t>km</t>
        </is>
      </c>
      <c r="K67">
        <f>Source!A18</f>
        <v/>
      </c>
      <c r="L67" t="inlineStr">
        <is>
          <t>CO to Chris Craig Distance (1).png</t>
        </is>
      </c>
      <c r="Q67" t="inlineStr">
        <is>
          <t>mr_EMbLLQkBCOjebj4T-out_40WLB0U4vl7JHA8h-0</t>
        </is>
      </c>
    </row>
    <row r="68">
      <c r="A68" t="inlineStr">
        <is>
          <t>dtp_1KWCZP0D91S0S1JY</t>
        </is>
      </c>
      <c r="B68" t="inlineStr">
        <is>
          <t>derived</t>
        </is>
      </c>
      <c r="C68" t="inlineStr">
        <is>
          <t>Biochar Transported (kg) - Applied</t>
        </is>
      </c>
      <c r="D68" t="inlineStr">
        <is>
          <t>Biochar Transported (kg) - Applied</t>
        </is>
      </c>
      <c r="E68" s="2" t="n">
        <v>416.44</v>
      </c>
      <c r="F68" t="n">
        <v>0</v>
      </c>
      <c r="G68" t="inlineStr">
        <is>
          <t>kg</t>
        </is>
      </c>
      <c r="H68" t="n">
        <v>416.44</v>
      </c>
      <c r="I68" t="n">
        <v>0</v>
      </c>
      <c r="J68" t="inlineStr">
        <is>
          <t>kg</t>
        </is>
      </c>
      <c r="K68">
        <f>Source!A43</f>
        <v/>
      </c>
      <c r="L68" t="inlineStr">
        <is>
          <t>Chris Craig 5.30.26 Scale Tickets.heic</t>
        </is>
      </c>
      <c r="M68">
        <f>Source!A50</f>
        <v/>
      </c>
      <c r="N68" t="inlineStr">
        <is>
          <t>Chris Craig Delivery Notes.xlsx</t>
        </is>
      </c>
      <c r="O68">
        <f>Source!A53</f>
        <v/>
      </c>
      <c r="P68" t="inlineStr">
        <is>
          <t>Production Period 6 Summary.xlsx</t>
        </is>
      </c>
      <c r="Q68" t="inlineStr">
        <is>
          <t>mr_EMbLLQkBCOjebj4T-out_OA0wdc8MuB45f6At-0</t>
        </is>
      </c>
    </row>
    <row r="69">
      <c r="A69" t="inlineStr">
        <is>
          <t>dtp_1KWCZP0MY1S07N1J</t>
        </is>
      </c>
      <c r="B69" t="inlineStr">
        <is>
          <t>reported</t>
        </is>
      </c>
      <c r="C69" t="inlineStr">
        <is>
          <t>Emissions Factor - Flatbed Truck Transport Embodied Emissions (2025, CO)</t>
        </is>
      </c>
      <c r="D69" t="inlineStr">
        <is>
          <t>Emissions Factor - Flatbed Truck Transport Embodied Emissions (2025, CO)</t>
        </is>
      </c>
      <c r="E69" s="2" t="n">
        <v>0.0001197949629</v>
      </c>
      <c r="F69" t="n">
        <v>0</v>
      </c>
      <c r="G69" t="inlineStr">
        <is>
          <t>kg/m</t>
        </is>
      </c>
      <c r="H69" t="n">
        <v>0.1197949629</v>
      </c>
      <c r="I69" t="n">
        <v>0</v>
      </c>
      <c r="J69" t="inlineStr">
        <is>
          <t>kgCO₂e/km</t>
        </is>
      </c>
      <c r="K69">
        <f>Source!A17</f>
        <v/>
      </c>
      <c r="L69" t="inlineStr">
        <is>
          <t>Standard Emission Factors + Calculations (8).xlsx</t>
        </is>
      </c>
      <c r="Q69" t="inlineStr">
        <is>
          <t>mr_EMbLLQkBCOjebj4T-out_hDkBvHUGZxuneDx7-0</t>
        </is>
      </c>
    </row>
    <row r="70">
      <c r="A70" t="inlineStr">
        <is>
          <t>dtp_1KWCZP1M61S016KH</t>
        </is>
      </c>
      <c r="B70" t="inlineStr">
        <is>
          <t>reported</t>
        </is>
      </c>
      <c r="C70" t="inlineStr">
        <is>
          <t>Attribution factor</t>
        </is>
      </c>
      <c r="E70" s="2" t="n">
        <v>1</v>
      </c>
      <c r="F70" t="n">
        <v>0</v>
      </c>
      <c r="G70" t="inlineStr"/>
      <c r="H70" t="n">
        <v>1</v>
      </c>
      <c r="I70" t="n">
        <v>0</v>
      </c>
      <c r="J70" t="inlineStr"/>
    </row>
    <row r="71">
      <c r="A71" t="inlineStr">
        <is>
          <t>dtp_1KWCZP1M61S03EXT</t>
        </is>
      </c>
      <c r="B71" t="inlineStr">
        <is>
          <t>reported</t>
        </is>
      </c>
      <c r="C71" t="inlineStr">
        <is>
          <t>Attribution factor</t>
        </is>
      </c>
      <c r="E71" s="2" t="n">
        <v>1</v>
      </c>
      <c r="F71" t="n">
        <v>0</v>
      </c>
      <c r="G71" t="inlineStr"/>
      <c r="H71" t="n">
        <v>1</v>
      </c>
      <c r="I71" t="n">
        <v>0</v>
      </c>
      <c r="J71" t="inlineStr"/>
    </row>
    <row r="72">
      <c r="A72" t="inlineStr">
        <is>
          <t>dtp_1KWCZP1M61S08GAV</t>
        </is>
      </c>
      <c r="B72" t="inlineStr">
        <is>
          <t>reported</t>
        </is>
      </c>
      <c r="C72" t="inlineStr">
        <is>
          <t>Attribution factor</t>
        </is>
      </c>
      <c r="E72" s="2" t="n">
        <v>1</v>
      </c>
      <c r="F72" t="n">
        <v>0</v>
      </c>
      <c r="G72" t="inlineStr"/>
      <c r="H72" t="n">
        <v>1</v>
      </c>
      <c r="I72" t="n">
        <v>0</v>
      </c>
      <c r="J72" t="inlineStr"/>
    </row>
    <row r="73">
      <c r="A73" t="inlineStr">
        <is>
          <t>dtp_1KWCZP1M61S0FT25</t>
        </is>
      </c>
      <c r="B73" t="inlineStr">
        <is>
          <t>reported</t>
        </is>
      </c>
      <c r="C73" t="inlineStr">
        <is>
          <t>Attribution factor</t>
        </is>
      </c>
      <c r="E73" s="2" t="n">
        <v>1</v>
      </c>
      <c r="F73" t="n">
        <v>0</v>
      </c>
      <c r="G73" t="inlineStr"/>
      <c r="H73" t="n">
        <v>1</v>
      </c>
      <c r="I73" t="n">
        <v>0</v>
      </c>
      <c r="J73" t="inlineStr"/>
    </row>
    <row r="74">
      <c r="A74" t="inlineStr">
        <is>
          <t>dtp_1KWCZP1M61S0MVF6</t>
        </is>
      </c>
      <c r="B74" t="inlineStr">
        <is>
          <t>reported</t>
        </is>
      </c>
      <c r="C74" t="inlineStr">
        <is>
          <t>Attribution factor</t>
        </is>
      </c>
      <c r="E74" s="2" t="n">
        <v>1</v>
      </c>
      <c r="F74" t="n">
        <v>0</v>
      </c>
      <c r="G74" t="inlineStr"/>
      <c r="H74" t="n">
        <v>1</v>
      </c>
      <c r="I74" t="n">
        <v>0</v>
      </c>
      <c r="J74" t="inlineStr"/>
    </row>
    <row r="75">
      <c r="A75" t="inlineStr">
        <is>
          <t>dtp_1KXE4A28J1S0J87P</t>
        </is>
      </c>
      <c r="B75" t="inlineStr">
        <is>
          <t>derived</t>
        </is>
      </c>
      <c r="C75" t="inlineStr">
        <is>
          <t>Emissions Factor - Biochar Spreading</t>
        </is>
      </c>
      <c r="D75" t="inlineStr">
        <is>
          <t>Emissions Factor - Biochar Spreading</t>
        </is>
      </c>
      <c r="E75" s="2" t="n">
        <v>0.004</v>
      </c>
      <c r="F75" t="n">
        <v>0</v>
      </c>
      <c r="G75" t="inlineStr"/>
      <c r="H75" t="n">
        <v>0.004</v>
      </c>
      <c r="I75" t="n">
        <v>0</v>
      </c>
      <c r="J75" t="inlineStr">
        <is>
          <t>kgCO₂e/kg</t>
        </is>
      </c>
      <c r="K75">
        <f>Source!A4</f>
        <v/>
      </c>
      <c r="L75" t="inlineStr">
        <is>
          <t>Biochar Offtake Calculations.xlsx</t>
        </is>
      </c>
      <c r="Q75" t="inlineStr">
        <is>
          <t>mr_vOsOwoAfTWL4pIbF-out_hf7qVV7KHcGk4thf-0</t>
        </is>
      </c>
    </row>
    <row r="76">
      <c r="A76" t="inlineStr">
        <is>
          <t>dtp_1KXE4A4HG1S0MGHZ</t>
        </is>
      </c>
      <c r="B76" t="inlineStr">
        <is>
          <t>derived</t>
        </is>
      </c>
      <c r="C76" t="inlineStr">
        <is>
          <t>Biochar Applied (wet mass) (Spreading) - Applied</t>
        </is>
      </c>
      <c r="D76" t="inlineStr">
        <is>
          <t>Biochar Applied (wet mass) (Spreading) - Applied</t>
        </is>
      </c>
      <c r="E76" s="2" t="n">
        <v>196.39</v>
      </c>
      <c r="F76" t="n">
        <v>0</v>
      </c>
      <c r="G76" t="inlineStr">
        <is>
          <t>kg</t>
        </is>
      </c>
      <c r="H76" t="n">
        <v>196.39</v>
      </c>
      <c r="I76" t="n">
        <v>0</v>
      </c>
      <c r="J76" t="inlineStr">
        <is>
          <t>kg</t>
        </is>
      </c>
      <c r="K76">
        <f>Source!A43</f>
        <v/>
      </c>
      <c r="L76" t="inlineStr">
        <is>
          <t>Chris Craig 5.30.26 Scale Tickets.heic</t>
        </is>
      </c>
      <c r="M76">
        <f>Source!A50</f>
        <v/>
      </c>
      <c r="N76" t="inlineStr">
        <is>
          <t>Chris Craig Delivery Notes.xlsx</t>
        </is>
      </c>
      <c r="O76">
        <f>Source!A9</f>
        <v/>
      </c>
      <c r="P76" t="inlineStr">
        <is>
          <t>Production Period 1 Summary -- Final Submission (Updated 4_25).xlsx</t>
        </is>
      </c>
      <c r="Q76" t="inlineStr">
        <is>
          <t>mr_vOsOwoAfTWL4pIbF-out_0jBoYHtsohNZ8PAk-0</t>
        </is>
      </c>
    </row>
    <row r="77">
      <c r="A77" t="inlineStr">
        <is>
          <t>dtp_1KXE4A7VK1S0Y2KJ</t>
        </is>
      </c>
      <c r="B77" t="inlineStr">
        <is>
          <t>derived</t>
        </is>
      </c>
      <c r="C77" t="inlineStr">
        <is>
          <t>Biochar - H/C_org - Applied</t>
        </is>
      </c>
      <c r="D77" t="inlineStr">
        <is>
          <t>Biochar - H/C_org - Applied</t>
        </is>
      </c>
      <c r="E77" s="2" t="n">
        <v>0.44</v>
      </c>
      <c r="F77" t="n">
        <v>0</v>
      </c>
      <c r="G77" t="inlineStr"/>
      <c r="H77" t="n">
        <v>0.44</v>
      </c>
      <c r="I77" t="n">
        <v>0</v>
      </c>
      <c r="J77" t="inlineStr"/>
      <c r="K77">
        <f>Source!A3</f>
        <v/>
      </c>
      <c r="L77" t="inlineStr">
        <is>
          <t>123 - Combined Lab Analyses.pdf</t>
        </is>
      </c>
      <c r="Q77" t="inlineStr">
        <is>
          <t>mr_c5emhWkJ9ov9Uym2-out_SlgcaWsappr9ZCL6-0</t>
        </is>
      </c>
    </row>
    <row r="78">
      <c r="A78" t="inlineStr">
        <is>
          <t>dtp_1KXE4A8D31S0V9GT</t>
        </is>
      </c>
      <c r="B78" t="inlineStr">
        <is>
          <t>derived</t>
        </is>
      </c>
      <c r="C78" t="inlineStr">
        <is>
          <t>Inorganic Carbon Content % - Applied</t>
        </is>
      </c>
      <c r="D78" t="inlineStr">
        <is>
          <t>Inorganic Carbon Content % - Applied</t>
        </is>
      </c>
      <c r="E78" s="2" t="n">
        <v>0.00267</v>
      </c>
      <c r="F78" t="n">
        <v>0</v>
      </c>
      <c r="G78" t="inlineStr"/>
      <c r="H78" t="n">
        <v>0.267</v>
      </c>
      <c r="I78" t="n">
        <v>0</v>
      </c>
      <c r="J78" t="inlineStr">
        <is>
          <t>%</t>
        </is>
      </c>
      <c r="K78">
        <f>Source!A3</f>
        <v/>
      </c>
      <c r="L78" t="inlineStr">
        <is>
          <t>123 - Combined Lab Analyses.pdf</t>
        </is>
      </c>
      <c r="Q78" t="inlineStr">
        <is>
          <t>mr_c5emhWkJ9ov9Uym2-out_RrRijQ8NSCwAInka-0</t>
        </is>
      </c>
    </row>
    <row r="79">
      <c r="A79" t="inlineStr">
        <is>
          <t>dtp_1KXE4A9RH1S0P83S</t>
        </is>
      </c>
      <c r="B79" t="inlineStr">
        <is>
          <t>derived</t>
        </is>
      </c>
      <c r="C79" t="inlineStr">
        <is>
          <t>Biochar Dry Weight (kg) (CO2 stored) - Applied</t>
        </is>
      </c>
      <c r="D79" t="inlineStr">
        <is>
          <t>Biochar Dry Weight (kg) (CO2 stored) - Applied</t>
        </is>
      </c>
      <c r="E79" s="2" t="n">
        <v>126.23721</v>
      </c>
      <c r="F79" t="n">
        <v>0</v>
      </c>
      <c r="G79" t="inlineStr">
        <is>
          <t>kg</t>
        </is>
      </c>
      <c r="H79" t="n">
        <v>126.23721</v>
      </c>
      <c r="I79" t="n">
        <v>0</v>
      </c>
      <c r="J79" t="inlineStr">
        <is>
          <t>kg</t>
        </is>
      </c>
      <c r="K79">
        <f>Source!A43</f>
        <v/>
      </c>
      <c r="L79" t="inlineStr">
        <is>
          <t>Chris Craig 5.30.26 Scale Tickets.heic</t>
        </is>
      </c>
      <c r="M79">
        <f>Source!A3</f>
        <v/>
      </c>
      <c r="N79" t="inlineStr">
        <is>
          <t>123 - Combined Lab Analyses.pdf</t>
        </is>
      </c>
      <c r="O79">
        <f>Source!A50</f>
        <v/>
      </c>
      <c r="P79" t="inlineStr">
        <is>
          <t>Chris Craig Delivery Notes.xlsx</t>
        </is>
      </c>
      <c r="Q79" t="inlineStr">
        <is>
          <t>mr_vOsOwoAfTWL4pIbF-out_tHtEVo8cn1cKK0xD-0</t>
        </is>
      </c>
    </row>
    <row r="80">
      <c r="A80" t="inlineStr">
        <is>
          <t>dtp_1KXE4AA391S0C59Q</t>
        </is>
      </c>
      <c r="B80" t="inlineStr">
        <is>
          <t>derived</t>
        </is>
      </c>
      <c r="C80" t="inlineStr">
        <is>
          <t>Biochar Applied - Soil Temperature (Cel)</t>
        </is>
      </c>
      <c r="D80" t="inlineStr">
        <is>
          <t>Biochar Applied - Soil Temperature (Cel)</t>
        </is>
      </c>
      <c r="E80" s="2" t="n">
        <v>284.05</v>
      </c>
      <c r="F80" t="n">
        <v>0</v>
      </c>
      <c r="G80" t="inlineStr">
        <is>
          <t>K</t>
        </is>
      </c>
      <c r="H80" t="n">
        <v>10.9</v>
      </c>
      <c r="I80" t="n">
        <v>0</v>
      </c>
      <c r="J80" t="inlineStr">
        <is>
          <t>°C</t>
        </is>
      </c>
      <c r="K80">
        <f>Source!A41</f>
        <v/>
      </c>
      <c r="L80" t="inlineStr">
        <is>
          <t>soil_temperature_chris_craig.csv</t>
        </is>
      </c>
      <c r="Q80" t="inlineStr">
        <is>
          <t>mr_c5emhWkJ9ov9Uym2-out_WFEo3VxmWt0N3Yhc-0</t>
        </is>
      </c>
    </row>
    <row r="81">
      <c r="A81" t="inlineStr">
        <is>
          <t>dtp_1KXE4AAJZ1S0KF11</t>
        </is>
      </c>
      <c r="B81" t="inlineStr">
        <is>
          <t>derived</t>
        </is>
      </c>
      <c r="C81" t="inlineStr">
        <is>
          <t>Organic Carbon Content % - Applied</t>
        </is>
      </c>
      <c r="D81" t="inlineStr">
        <is>
          <t>Organic Carbon Content % - Applied</t>
        </is>
      </c>
      <c r="E81" s="2" t="n">
        <v>0.8520000000000001</v>
      </c>
      <c r="F81" t="n">
        <v>0</v>
      </c>
      <c r="G81" t="inlineStr"/>
      <c r="H81" t="n">
        <v>85.2</v>
      </c>
      <c r="I81" t="n">
        <v>0</v>
      </c>
      <c r="J81" t="inlineStr">
        <is>
          <t>%</t>
        </is>
      </c>
      <c r="K81">
        <f>Source!A3</f>
        <v/>
      </c>
      <c r="L81" t="inlineStr">
        <is>
          <t>123 - Combined Lab Analyses.pdf</t>
        </is>
      </c>
      <c r="Q81" t="inlineStr">
        <is>
          <t>mr_vOsOwoAfTWL4pIbF-out_ye14SNxRG8b285JB-0</t>
        </is>
      </c>
    </row>
    <row r="82">
      <c r="A82" t="inlineStr">
        <is>
          <t>dtp_1KXE4AC3J1S04ASY</t>
        </is>
      </c>
      <c r="B82" t="inlineStr">
        <is>
          <t>derived</t>
        </is>
      </c>
      <c r="C82" t="inlineStr">
        <is>
          <t>Biochar Output - Carbon Intensity - Applied</t>
        </is>
      </c>
      <c r="D82" t="inlineStr">
        <is>
          <t>Biochar Output - Carbon Intensity - Applied</t>
        </is>
      </c>
      <c r="E82" s="2" t="n">
        <v>0.842</v>
      </c>
      <c r="F82" t="n">
        <v>0</v>
      </c>
      <c r="G82" t="inlineStr"/>
      <c r="H82" t="n">
        <v>0.842</v>
      </c>
      <c r="I82" t="n">
        <v>0</v>
      </c>
      <c r="J82" t="inlineStr">
        <is>
          <t>kgCO₂e/kg</t>
        </is>
      </c>
      <c r="K82">
        <f>Source!A38</f>
        <v/>
      </c>
      <c r="L82" t="inlineStr">
        <is>
          <t>Biochar CI Summary — All Production Periods.xlsx</t>
        </is>
      </c>
      <c r="M82">
        <f>Source!A9</f>
        <v/>
      </c>
      <c r="N82" t="inlineStr">
        <is>
          <t>Production Period 1 Summary -- Final Submission (Updated 4_25).xlsx</t>
        </is>
      </c>
      <c r="O82">
        <f>Source!A11</f>
        <v/>
      </c>
      <c r="P82" t="inlineStr">
        <is>
          <t>Production Period 1 Summary -- Final Submission (Updated 4_25) (1).xlsx</t>
        </is>
      </c>
      <c r="Q82" t="inlineStr">
        <is>
          <t>mr_vOsOwoAfTWL4pIbF-out_Oe27xWXZDsDMPXq9-0</t>
        </is>
      </c>
    </row>
    <row r="83">
      <c r="A83" t="inlineStr">
        <is>
          <t>dtp_1KXE4ACCW1S0JY8J</t>
        </is>
      </c>
      <c r="B83" t="inlineStr">
        <is>
          <t>derived</t>
        </is>
      </c>
      <c r="C83" t="inlineStr">
        <is>
          <t>Biochar Dry Product Weight (kg) (Pyrolysis) - Applied</t>
        </is>
      </c>
      <c r="D83" t="inlineStr">
        <is>
          <t>Biochar Dry Product Weight (kg) (Pyrolysis) - Applied</t>
        </is>
      </c>
      <c r="E83" s="2" t="n">
        <v>147.19</v>
      </c>
      <c r="F83" t="n">
        <v>0</v>
      </c>
      <c r="G83" t="inlineStr">
        <is>
          <t>kg</t>
        </is>
      </c>
      <c r="H83" t="n">
        <v>147.19</v>
      </c>
      <c r="I83" t="n">
        <v>0</v>
      </c>
      <c r="J83" t="inlineStr">
        <is>
          <t>kg</t>
        </is>
      </c>
      <c r="K83">
        <f>Source!A43</f>
        <v/>
      </c>
      <c r="L83" t="inlineStr">
        <is>
          <t>Chris Craig 5.30.26 Scale Tickets.heic</t>
        </is>
      </c>
      <c r="M83">
        <f>Source!A50</f>
        <v/>
      </c>
      <c r="N83" t="inlineStr">
        <is>
          <t>Chris Craig Delivery Notes.xlsx</t>
        </is>
      </c>
      <c r="O83">
        <f>Source!A9</f>
        <v/>
      </c>
      <c r="P83" t="inlineStr">
        <is>
          <t>Production Period 1 Summary -- Final Submission (Updated 4_25).xlsx</t>
        </is>
      </c>
      <c r="Q83" t="inlineStr">
        <is>
          <t>mr_vOsOwoAfTWL4pIbF-out_P5psgmcwdDniayBV-0</t>
        </is>
      </c>
    </row>
    <row r="84">
      <c r="A84" t="inlineStr">
        <is>
          <t>dtp_1KXE4ADKS1S0N6JV</t>
        </is>
      </c>
      <c r="B84" t="inlineStr">
        <is>
          <t>derived</t>
        </is>
      </c>
      <c r="C84" t="inlineStr">
        <is>
          <t>Copy - Truck EF</t>
        </is>
      </c>
      <c r="D84" t="inlineStr">
        <is>
          <t>Copy - Truck EF</t>
        </is>
      </c>
      <c r="E84" s="2" t="n">
        <v>8.599777300564702e-08</v>
      </c>
      <c r="F84" t="n">
        <v>0</v>
      </c>
      <c r="G84" t="inlineStr">
        <is>
          <t>1/m</t>
        </is>
      </c>
      <c r="H84" t="n">
        <v>0.1384</v>
      </c>
      <c r="I84" t="n">
        <v>0</v>
      </c>
      <c r="J84" t="inlineStr">
        <is>
          <t>kgCO₂e/(t⋅mi)</t>
        </is>
      </c>
      <c r="K84">
        <f>Source!A17</f>
        <v/>
      </c>
      <c r="L84" t="inlineStr">
        <is>
          <t>Standard Emission Factors + Calculations (8).xlsx</t>
        </is>
      </c>
      <c r="Q84" t="inlineStr">
        <is>
          <t>mr_vOsOwoAfTWL4pIbF-out_kz09qsYg6N3uHg55-0</t>
        </is>
      </c>
    </row>
    <row r="85">
      <c r="A85" t="inlineStr">
        <is>
          <t>dtp_1KXE4AFJC1S0QEX4</t>
        </is>
      </c>
      <c r="B85" t="inlineStr">
        <is>
          <t>reported</t>
        </is>
      </c>
      <c r="C85" t="inlineStr">
        <is>
          <t>Biochar Applied - Delivery Distance (km)</t>
        </is>
      </c>
      <c r="D85" t="inlineStr">
        <is>
          <t>Biochar Applied - Delivery Distance (km)</t>
        </is>
      </c>
      <c r="E85" s="2" t="n">
        <v>278416.51</v>
      </c>
      <c r="F85" t="n">
        <v>0</v>
      </c>
      <c r="G85" t="inlineStr">
        <is>
          <t>m</t>
        </is>
      </c>
      <c r="H85" t="n">
        <v>278.41651</v>
      </c>
      <c r="I85" t="n">
        <v>0</v>
      </c>
      <c r="J85" t="inlineStr">
        <is>
          <t>km</t>
        </is>
      </c>
      <c r="K85">
        <f>Source!A18</f>
        <v/>
      </c>
      <c r="L85" t="inlineStr">
        <is>
          <t>CO to Chris Craig Distance (1).png</t>
        </is>
      </c>
      <c r="Q85" t="inlineStr">
        <is>
          <t>mr_vOsOwoAfTWL4pIbF-out_mh2j8s9fAROxQE7o-0</t>
        </is>
      </c>
    </row>
    <row r="86">
      <c r="A86" t="inlineStr">
        <is>
          <t>dtp_1KXE4AG0R1S062BR</t>
        </is>
      </c>
      <c r="B86" t="inlineStr">
        <is>
          <t>derived</t>
        </is>
      </c>
      <c r="C86" t="inlineStr">
        <is>
          <t>Biochar Transported (kg) - Applied</t>
        </is>
      </c>
      <c r="D86" t="inlineStr">
        <is>
          <t>Biochar Transported (kg) - Applied</t>
        </is>
      </c>
      <c r="E86" s="2" t="n">
        <v>208.44</v>
      </c>
      <c r="F86" t="n">
        <v>0</v>
      </c>
      <c r="G86" t="inlineStr">
        <is>
          <t>kg</t>
        </is>
      </c>
      <c r="H86" t="n">
        <v>208.44</v>
      </c>
      <c r="I86" t="n">
        <v>0</v>
      </c>
      <c r="J86" t="inlineStr">
        <is>
          <t>kg</t>
        </is>
      </c>
      <c r="K86">
        <f>Source!A43</f>
        <v/>
      </c>
      <c r="L86" t="inlineStr">
        <is>
          <t>Chris Craig 5.30.26 Scale Tickets.heic</t>
        </is>
      </c>
      <c r="M86">
        <f>Source!A50</f>
        <v/>
      </c>
      <c r="N86" t="inlineStr">
        <is>
          <t>Chris Craig Delivery Notes.xlsx</t>
        </is>
      </c>
      <c r="O86">
        <f>Source!A9</f>
        <v/>
      </c>
      <c r="P86" t="inlineStr">
        <is>
          <t>Production Period 1 Summary -- Final Submission (Updated 4_25).xlsx</t>
        </is>
      </c>
      <c r="Q86" t="inlineStr">
        <is>
          <t>mr_vOsOwoAfTWL4pIbF-out_sVIPjpDBrGPnpupv-0</t>
        </is>
      </c>
    </row>
    <row r="87">
      <c r="A87" t="inlineStr">
        <is>
          <t>dtp_1KXE4AGAE1S0MNTC</t>
        </is>
      </c>
      <c r="B87" t="inlineStr">
        <is>
          <t>reported</t>
        </is>
      </c>
      <c r="C87" t="inlineStr">
        <is>
          <t>Emissions Factor - Flatbed Truck Transport Embodied Emissions (2025, CO)</t>
        </is>
      </c>
      <c r="D87" t="inlineStr">
        <is>
          <t>Emissions Factor - Flatbed Truck Transport Embodied Emissions (2025, CO)</t>
        </is>
      </c>
      <c r="E87" s="2" t="n">
        <v>0.0001197949629</v>
      </c>
      <c r="F87" t="n">
        <v>0</v>
      </c>
      <c r="G87" t="inlineStr">
        <is>
          <t>kg/m</t>
        </is>
      </c>
      <c r="H87" t="n">
        <v>0.1197949629</v>
      </c>
      <c r="I87" t="n">
        <v>0</v>
      </c>
      <c r="J87" t="inlineStr">
        <is>
          <t>kgCO₂e/km</t>
        </is>
      </c>
      <c r="K87">
        <f>Source!A17</f>
        <v/>
      </c>
      <c r="L87" t="inlineStr">
        <is>
          <t>Standard Emission Factors + Calculations (8).xlsx</t>
        </is>
      </c>
      <c r="Q87" t="inlineStr">
        <is>
          <t>mr_vOsOwoAfTWL4pIbF-out_mh5OWJEQ9TzkSjax-0</t>
        </is>
      </c>
    </row>
    <row r="88">
      <c r="A88" t="inlineStr">
        <is>
          <t>dtp_1KXE4AGVN1S0VZHP</t>
        </is>
      </c>
      <c r="B88" t="inlineStr">
        <is>
          <t>reported</t>
        </is>
      </c>
      <c r="C88" t="inlineStr">
        <is>
          <t>Biochar Applied - Allocated Delivery Distance (km)</t>
        </is>
      </c>
      <c r="D88" t="inlineStr">
        <is>
          <t>Biochar Applied - Allocated Delivery Distance (km)</t>
        </is>
      </c>
      <c r="E88" s="2" t="n">
        <v>6626.31</v>
      </c>
      <c r="F88" t="n">
        <v>0</v>
      </c>
      <c r="G88" t="inlineStr">
        <is>
          <t>m</t>
        </is>
      </c>
      <c r="H88" t="n">
        <v>6.62631</v>
      </c>
      <c r="I88" t="n">
        <v>0</v>
      </c>
      <c r="J88" t="inlineStr">
        <is>
          <t>km</t>
        </is>
      </c>
      <c r="K88">
        <f>Source!A18</f>
        <v/>
      </c>
      <c r="L88" t="inlineStr">
        <is>
          <t>CO to Chris Craig Distance (1).png</t>
        </is>
      </c>
      <c r="Q88" t="inlineStr">
        <is>
          <t>mr_vOsOwoAfTWL4pIbF-out_hfoA89qbvT5XX9zd-0</t>
        </is>
      </c>
    </row>
    <row r="89">
      <c r="A89" t="inlineStr">
        <is>
          <t>dtp_1KXE4AHAG1S095ZA</t>
        </is>
      </c>
      <c r="B89" t="inlineStr">
        <is>
          <t>reported</t>
        </is>
      </c>
      <c r="C89" t="inlineStr">
        <is>
          <t>Attribution factor</t>
        </is>
      </c>
      <c r="E89" s="2" t="n">
        <v>1</v>
      </c>
      <c r="F89" t="n">
        <v>0</v>
      </c>
      <c r="G89" t="inlineStr"/>
      <c r="H89" t="n">
        <v>1</v>
      </c>
      <c r="I89" t="n">
        <v>0</v>
      </c>
      <c r="J89" t="inlineStr"/>
    </row>
    <row r="90">
      <c r="A90" t="inlineStr">
        <is>
          <t>dtp_1KXE4AHAG1S0BE9K</t>
        </is>
      </c>
      <c r="B90" t="inlineStr">
        <is>
          <t>reported</t>
        </is>
      </c>
      <c r="C90" t="inlineStr">
        <is>
          <t>Attribution factor</t>
        </is>
      </c>
      <c r="E90" s="2" t="n">
        <v>1</v>
      </c>
      <c r="F90" t="n">
        <v>0</v>
      </c>
      <c r="G90" t="inlineStr"/>
      <c r="H90" t="n">
        <v>1</v>
      </c>
      <c r="I90" t="n">
        <v>0</v>
      </c>
      <c r="J90" t="inlineStr"/>
    </row>
    <row r="91">
      <c r="A91" t="inlineStr">
        <is>
          <t>dtp_1KXE4AHAG1S0GFPM</t>
        </is>
      </c>
      <c r="B91" t="inlineStr">
        <is>
          <t>reported</t>
        </is>
      </c>
      <c r="C91" t="inlineStr">
        <is>
          <t>Attribution factor</t>
        </is>
      </c>
      <c r="E91" s="2" t="n">
        <v>1</v>
      </c>
      <c r="F91" t="n">
        <v>0</v>
      </c>
      <c r="G91" t="inlineStr"/>
      <c r="H91" t="n">
        <v>1</v>
      </c>
      <c r="I91" t="n">
        <v>0</v>
      </c>
      <c r="J91" t="inlineStr"/>
    </row>
    <row r="92">
      <c r="A92" t="inlineStr">
        <is>
          <t>dtp_1KXE4AHAG1S0QSDY</t>
        </is>
      </c>
      <c r="B92" t="inlineStr">
        <is>
          <t>reported</t>
        </is>
      </c>
      <c r="C92" t="inlineStr">
        <is>
          <t>Attribution factor</t>
        </is>
      </c>
      <c r="E92" s="2" t="n">
        <v>1</v>
      </c>
      <c r="F92" t="n">
        <v>0</v>
      </c>
      <c r="G92" t="inlineStr"/>
      <c r="H92" t="n">
        <v>1</v>
      </c>
      <c r="I92" t="n">
        <v>0</v>
      </c>
      <c r="J92" t="inlineStr"/>
    </row>
    <row r="93">
      <c r="A93" t="inlineStr">
        <is>
          <t>dtp_1KXE4AHAG1S0WTTZ</t>
        </is>
      </c>
      <c r="B93" t="inlineStr">
        <is>
          <t>reported</t>
        </is>
      </c>
      <c r="C93" t="inlineStr">
        <is>
          <t>Attribution factor</t>
        </is>
      </c>
      <c r="E93" s="2" t="n">
        <v>1</v>
      </c>
      <c r="F93" t="n">
        <v>0</v>
      </c>
      <c r="G93" t="inlineStr"/>
      <c r="H93" t="n">
        <v>1</v>
      </c>
      <c r="I93" t="n">
        <v>0</v>
      </c>
      <c r="J93" t="inlineStr"/>
    </row>
    <row r="94">
      <c r="A94" t="inlineStr">
        <is>
          <t>dtp_1KXE9SJTB1S03K6Q</t>
        </is>
      </c>
      <c r="B94" t="inlineStr">
        <is>
          <t>reported</t>
        </is>
      </c>
      <c r="C94" t="inlineStr">
        <is>
          <t>Constant CO₂ reduction</t>
        </is>
      </c>
      <c r="E94" s="2" t="n">
        <v>4.99</v>
      </c>
      <c r="F94" t="n">
        <v>0</v>
      </c>
      <c r="G94" t="inlineStr">
        <is>
          <t>kg</t>
        </is>
      </c>
      <c r="H94" t="n">
        <v>4.99</v>
      </c>
      <c r="I94" t="n">
        <v>0</v>
      </c>
      <c r="J94" t="inlineStr">
        <is>
          <t>kgCO₂e</t>
        </is>
      </c>
      <c r="K94">
        <f>Source!A19</f>
        <v/>
      </c>
      <c r="L94" t="inlineStr">
        <is>
          <t>Charm-RetirementCertificate-RD-EACs-20251218 (1).pdf</t>
        </is>
      </c>
    </row>
    <row r="95">
      <c r="A95" t="inlineStr">
        <is>
          <t>dtp_1KXEA18DC1S0C3QC</t>
        </is>
      </c>
      <c r="B95" t="inlineStr">
        <is>
          <t>derived</t>
        </is>
      </c>
      <c r="C95" t="inlineStr">
        <is>
          <t>Emissions Factor - Biochar Spreading</t>
        </is>
      </c>
      <c r="D95" t="inlineStr">
        <is>
          <t>Emissions Factor - Biochar Spreading</t>
        </is>
      </c>
      <c r="E95" s="2" t="n">
        <v>0.004</v>
      </c>
      <c r="F95" t="n">
        <v>0</v>
      </c>
      <c r="G95" t="inlineStr"/>
      <c r="H95" t="n">
        <v>0.004</v>
      </c>
      <c r="I95" t="n">
        <v>0</v>
      </c>
      <c r="J95" t="inlineStr">
        <is>
          <t>kgCO₂e/kg</t>
        </is>
      </c>
      <c r="K95">
        <f>Source!A4</f>
        <v/>
      </c>
      <c r="L95" t="inlineStr">
        <is>
          <t>Biochar Offtake Calculations.xlsx</t>
        </is>
      </c>
      <c r="Q95" t="inlineStr">
        <is>
          <t>mr_XXMcTBzPQWY14UCE-out_hf7qVV7KHcGk4thf-0</t>
        </is>
      </c>
    </row>
    <row r="96">
      <c r="A96" t="inlineStr">
        <is>
          <t>dtp_1KXEA19XS1S0EC1N</t>
        </is>
      </c>
      <c r="B96" t="inlineStr">
        <is>
          <t>derived</t>
        </is>
      </c>
      <c r="C96" t="inlineStr">
        <is>
          <t>Biochar Applied (wet mass) (Spreading) - Applied</t>
        </is>
      </c>
      <c r="D96" t="inlineStr">
        <is>
          <t>Biochar Applied (wet mass) (Spreading) - Applied</t>
        </is>
      </c>
      <c r="E96" s="2" t="n">
        <v>4516.89</v>
      </c>
      <c r="F96" t="n">
        <v>0</v>
      </c>
      <c r="G96" t="inlineStr">
        <is>
          <t>kg</t>
        </is>
      </c>
      <c r="H96" t="n">
        <v>4516.89</v>
      </c>
      <c r="I96" t="n">
        <v>0</v>
      </c>
      <c r="J96" t="inlineStr">
        <is>
          <t>kg</t>
        </is>
      </c>
      <c r="K96">
        <f>Source!A43</f>
        <v/>
      </c>
      <c r="L96" t="inlineStr">
        <is>
          <t>Chris Craig 5.30.26 Scale Tickets.heic</t>
        </is>
      </c>
      <c r="M96">
        <f>Source!A50</f>
        <v/>
      </c>
      <c r="N96" t="inlineStr">
        <is>
          <t>Chris Craig Delivery Notes.xlsx</t>
        </is>
      </c>
      <c r="O96">
        <f>Source!A12</f>
        <v/>
      </c>
      <c r="P96" t="inlineStr">
        <is>
          <t>Production Period 2 Summary.xlsx</t>
        </is>
      </c>
      <c r="Q96" t="inlineStr">
        <is>
          <t>mr_XXMcTBzPQWY14UCE-out_0jBoYHtsohNZ8PAk-0</t>
        </is>
      </c>
    </row>
    <row r="97">
      <c r="A97" t="inlineStr">
        <is>
          <t>dtp_1KXEA1DQE1S0QY38</t>
        </is>
      </c>
      <c r="B97" t="inlineStr">
        <is>
          <t>derived</t>
        </is>
      </c>
      <c r="C97" t="inlineStr">
        <is>
          <t>Biochar - H/C_org - Applied</t>
        </is>
      </c>
      <c r="D97" t="inlineStr">
        <is>
          <t>Biochar - H/C_org - Applied</t>
        </is>
      </c>
      <c r="E97" s="2" t="n">
        <v>0.46333</v>
      </c>
      <c r="F97" t="n">
        <v>0</v>
      </c>
      <c r="G97" t="inlineStr"/>
      <c r="H97" t="n">
        <v>0.46333</v>
      </c>
      <c r="I97" t="n">
        <v>0</v>
      </c>
      <c r="J97" t="inlineStr"/>
      <c r="K97">
        <f>Source!A47</f>
        <v/>
      </c>
      <c r="L97" t="inlineStr">
        <is>
          <t>251 - Combined Lab Analyses.pdf</t>
        </is>
      </c>
      <c r="Q97" t="inlineStr">
        <is>
          <t>mr_k2l7CVZAmnJtKTDX-out_SlgcaWsappr9ZCL6-0</t>
        </is>
      </c>
    </row>
    <row r="98">
      <c r="A98" t="inlineStr">
        <is>
          <t>dtp_1KXEA1E1M1S0N50G</t>
        </is>
      </c>
      <c r="B98" t="inlineStr">
        <is>
          <t>derived</t>
        </is>
      </c>
      <c r="C98" t="inlineStr">
        <is>
          <t>Inorganic Carbon Content % - Applied</t>
        </is>
      </c>
      <c r="D98" t="inlineStr">
        <is>
          <t>Inorganic Carbon Content % - Applied</t>
        </is>
      </c>
      <c r="E98" s="2" t="n">
        <v>0.0027</v>
      </c>
      <c r="F98" t="n">
        <v>0</v>
      </c>
      <c r="G98" t="inlineStr"/>
      <c r="H98" t="n">
        <v>0.27</v>
      </c>
      <c r="I98" t="n">
        <v>0</v>
      </c>
      <c r="J98" t="inlineStr">
        <is>
          <t>%</t>
        </is>
      </c>
      <c r="K98">
        <f>Source!A47</f>
        <v/>
      </c>
      <c r="L98" t="inlineStr">
        <is>
          <t>251 - Combined Lab Analyses.pdf</t>
        </is>
      </c>
      <c r="Q98" t="inlineStr">
        <is>
          <t>mr_k2l7CVZAmnJtKTDX-out_RrRijQ8NSCwAInka-0</t>
        </is>
      </c>
    </row>
    <row r="99">
      <c r="A99" t="inlineStr">
        <is>
          <t>dtp_1KXEA1FG11S0G3KF</t>
        </is>
      </c>
      <c r="B99" t="inlineStr">
        <is>
          <t>reported</t>
        </is>
      </c>
      <c r="C99" t="inlineStr">
        <is>
          <t>Biochar Dry Weight (kg) (CO2 stored) - Applied</t>
        </is>
      </c>
      <c r="D99" t="inlineStr">
        <is>
          <t>Biochar Dry Weight (kg) (CO2 stored) - Applied</t>
        </is>
      </c>
      <c r="E99" s="2" t="n">
        <v>2987.06581</v>
      </c>
      <c r="F99" t="n">
        <v>0</v>
      </c>
      <c r="G99" t="inlineStr">
        <is>
          <t>kg</t>
        </is>
      </c>
      <c r="H99" t="n">
        <v>2987.06581</v>
      </c>
      <c r="I99" t="n">
        <v>0</v>
      </c>
      <c r="J99" t="inlineStr">
        <is>
          <t>kg</t>
        </is>
      </c>
      <c r="K99">
        <f>Source!A43</f>
        <v/>
      </c>
      <c r="L99" t="inlineStr">
        <is>
          <t>Chris Craig 5.30.26 Scale Tickets.heic</t>
        </is>
      </c>
      <c r="M99">
        <f>Source!A47</f>
        <v/>
      </c>
      <c r="N99" t="inlineStr">
        <is>
          <t>251 - Combined Lab Analyses.pdf</t>
        </is>
      </c>
      <c r="O99">
        <f>Source!A50</f>
        <v/>
      </c>
      <c r="P99" t="inlineStr">
        <is>
          <t>Chris Craig Delivery Notes.xlsx</t>
        </is>
      </c>
      <c r="Q99" t="inlineStr">
        <is>
          <t>mr_XXMcTBzPQWY14UCE-out_tHtEVo8cn1cKK0xD-0</t>
        </is>
      </c>
    </row>
    <row r="100">
      <c r="A100" t="inlineStr">
        <is>
          <t>dtp_1KXEA1G061S060SD</t>
        </is>
      </c>
      <c r="B100" t="inlineStr">
        <is>
          <t>derived</t>
        </is>
      </c>
      <c r="C100" t="inlineStr">
        <is>
          <t>Biochar Applied - Soil Temperature (Cel)</t>
        </is>
      </c>
      <c r="D100" t="inlineStr">
        <is>
          <t>Biochar Applied - Soil Temperature (Cel)</t>
        </is>
      </c>
      <c r="E100" s="2" t="n">
        <v>284.05</v>
      </c>
      <c r="F100" t="n">
        <v>0</v>
      </c>
      <c r="G100" t="inlineStr">
        <is>
          <t>K</t>
        </is>
      </c>
      <c r="H100" t="n">
        <v>10.9</v>
      </c>
      <c r="I100" t="n">
        <v>0</v>
      </c>
      <c r="J100" t="inlineStr">
        <is>
          <t>°C</t>
        </is>
      </c>
      <c r="K100">
        <f>Source!A41</f>
        <v/>
      </c>
      <c r="L100" t="inlineStr">
        <is>
          <t>soil_temperature_chris_craig.csv</t>
        </is>
      </c>
      <c r="Q100" t="inlineStr">
        <is>
          <t>mr_k2l7CVZAmnJtKTDX-out_WFEo3VxmWt0N3Yhc-0</t>
        </is>
      </c>
    </row>
    <row r="101">
      <c r="A101" t="inlineStr">
        <is>
          <t>dtp_1KXEA1GG31S0DAGQ</t>
        </is>
      </c>
      <c r="B101" t="inlineStr">
        <is>
          <t>derived</t>
        </is>
      </c>
      <c r="C101" t="inlineStr">
        <is>
          <t>Organic Carbon Content % - Applied</t>
        </is>
      </c>
      <c r="D101" t="inlineStr">
        <is>
          <t>Organic Carbon Content % - Applied</t>
        </is>
      </c>
      <c r="E101" s="2" t="n">
        <v>0.8593000000000001</v>
      </c>
      <c r="F101" t="n">
        <v>0</v>
      </c>
      <c r="G101" t="inlineStr"/>
      <c r="H101" t="n">
        <v>85.93000000000001</v>
      </c>
      <c r="I101" t="n">
        <v>0</v>
      </c>
      <c r="J101" t="inlineStr">
        <is>
          <t>%</t>
        </is>
      </c>
      <c r="K101">
        <f>Source!A47</f>
        <v/>
      </c>
      <c r="L101" t="inlineStr">
        <is>
          <t>251 - Combined Lab Analyses.pdf</t>
        </is>
      </c>
      <c r="Q101" t="inlineStr">
        <is>
          <t>mr_XXMcTBzPQWY14UCE-out_ye14SNxRG8b285JB-0</t>
        </is>
      </c>
    </row>
    <row r="102">
      <c r="A102" t="inlineStr">
        <is>
          <t>dtp_1KXEA1HWK1S0Y69M</t>
        </is>
      </c>
      <c r="B102" t="inlineStr">
        <is>
          <t>derived</t>
        </is>
      </c>
      <c r="C102" t="inlineStr">
        <is>
          <t>Biochar Output - Carbon Intensity - Applied</t>
        </is>
      </c>
      <c r="D102" t="inlineStr">
        <is>
          <t>Biochar Output - Carbon Intensity - Applied</t>
        </is>
      </c>
      <c r="E102" s="2" t="n">
        <v>1.1178</v>
      </c>
      <c r="F102" t="n">
        <v>0</v>
      </c>
      <c r="G102" t="inlineStr"/>
      <c r="H102" t="n">
        <v>1.1178</v>
      </c>
      <c r="I102" t="n">
        <v>0</v>
      </c>
      <c r="J102" t="inlineStr">
        <is>
          <t>kgCO₂e/kg</t>
        </is>
      </c>
      <c r="K102">
        <f>Source!A38</f>
        <v/>
      </c>
      <c r="L102" t="inlineStr">
        <is>
          <t>Biochar CI Summary — All Production Periods.xlsx</t>
        </is>
      </c>
      <c r="M102">
        <f>Source!A12</f>
        <v/>
      </c>
      <c r="N102" t="inlineStr">
        <is>
          <t>Production Period 2 Summary.xlsx</t>
        </is>
      </c>
      <c r="Q102" t="inlineStr">
        <is>
          <t>mr_XXMcTBzPQWY14UCE-out_Oe27xWXZDsDMPXq9-0</t>
        </is>
      </c>
    </row>
    <row r="103">
      <c r="A103" t="inlineStr">
        <is>
          <t>dtp_1KXEA1JG81S0CSR8</t>
        </is>
      </c>
      <c r="B103" t="inlineStr">
        <is>
          <t>derived</t>
        </is>
      </c>
      <c r="C103" t="inlineStr">
        <is>
          <t>Biochar Dry Product Weight (kg) (Pyrolysis) - Applied</t>
        </is>
      </c>
      <c r="D103" t="inlineStr">
        <is>
          <t>Biochar Dry Product Weight (kg) (Pyrolysis) - Applied</t>
        </is>
      </c>
      <c r="E103" s="2" t="n">
        <v>3385.29</v>
      </c>
      <c r="F103" t="n">
        <v>0</v>
      </c>
      <c r="G103" t="inlineStr">
        <is>
          <t>kg</t>
        </is>
      </c>
      <c r="H103" t="n">
        <v>3385.29</v>
      </c>
      <c r="I103" t="n">
        <v>0</v>
      </c>
      <c r="J103" t="inlineStr">
        <is>
          <t>kg</t>
        </is>
      </c>
      <c r="K103">
        <f>Source!A43</f>
        <v/>
      </c>
      <c r="L103" t="inlineStr">
        <is>
          <t>Chris Craig 5.30.26 Scale Tickets.heic</t>
        </is>
      </c>
      <c r="M103">
        <f>Source!A50</f>
        <v/>
      </c>
      <c r="N103" t="inlineStr">
        <is>
          <t>Chris Craig Delivery Notes.xlsx</t>
        </is>
      </c>
      <c r="O103">
        <f>Source!A12</f>
        <v/>
      </c>
      <c r="P103" t="inlineStr">
        <is>
          <t>Production Period 2 Summary.xlsx</t>
        </is>
      </c>
      <c r="Q103" t="inlineStr">
        <is>
          <t>mr_XXMcTBzPQWY14UCE-out_P5psgmcwdDniayBV-0</t>
        </is>
      </c>
    </row>
    <row r="104">
      <c r="A104" t="inlineStr">
        <is>
          <t>dtp_1KXEA1M551S0F22H</t>
        </is>
      </c>
      <c r="B104" t="inlineStr">
        <is>
          <t>derived</t>
        </is>
      </c>
      <c r="C104" t="inlineStr">
        <is>
          <t>Copy - Truck EF</t>
        </is>
      </c>
      <c r="D104" t="inlineStr">
        <is>
          <t>Copy - Truck EF</t>
        </is>
      </c>
      <c r="E104" s="2" t="n">
        <v>8.599777300564702e-08</v>
      </c>
      <c r="F104" t="n">
        <v>0</v>
      </c>
      <c r="G104" t="inlineStr">
        <is>
          <t>1/m</t>
        </is>
      </c>
      <c r="H104" t="n">
        <v>0.1384</v>
      </c>
      <c r="I104" t="n">
        <v>0</v>
      </c>
      <c r="J104" t="inlineStr">
        <is>
          <t>kgCO₂e/(t⋅mi)</t>
        </is>
      </c>
      <c r="K104">
        <f>Source!A17</f>
        <v/>
      </c>
      <c r="L104" t="inlineStr">
        <is>
          <t>Standard Emission Factors + Calculations (8).xlsx</t>
        </is>
      </c>
      <c r="Q104" t="inlineStr">
        <is>
          <t>mr_XXMcTBzPQWY14UCE-out_kz09qsYg6N3uHg55-0</t>
        </is>
      </c>
    </row>
    <row r="105">
      <c r="A105" t="inlineStr">
        <is>
          <t>dtp_1KXEA1R001S0HACT</t>
        </is>
      </c>
      <c r="B105" t="inlineStr">
        <is>
          <t>reported</t>
        </is>
      </c>
      <c r="C105" t="inlineStr">
        <is>
          <t>Biochar Applied - Delivery Distance (km)</t>
        </is>
      </c>
      <c r="D105" t="inlineStr">
        <is>
          <t>Biochar Applied - Delivery Distance (km)</t>
        </is>
      </c>
      <c r="E105" s="2" t="n">
        <v>278416.51</v>
      </c>
      <c r="F105" t="n">
        <v>0</v>
      </c>
      <c r="G105" t="inlineStr">
        <is>
          <t>m</t>
        </is>
      </c>
      <c r="H105" t="n">
        <v>278.41651</v>
      </c>
      <c r="I105" t="n">
        <v>0</v>
      </c>
      <c r="J105" t="inlineStr">
        <is>
          <t>km</t>
        </is>
      </c>
      <c r="K105">
        <f>Source!A18</f>
        <v/>
      </c>
      <c r="L105" t="inlineStr">
        <is>
          <t>CO to Chris Craig Distance (1).png</t>
        </is>
      </c>
      <c r="Q105" t="inlineStr">
        <is>
          <t>mr_XXMcTBzPQWY14UCE-out_mh2j8s9fAROxQE7o-0</t>
        </is>
      </c>
    </row>
    <row r="106">
      <c r="A106" t="inlineStr">
        <is>
          <t>dtp_1KXEA1RTP1S0ZXVE</t>
        </is>
      </c>
      <c r="B106" t="inlineStr">
        <is>
          <t>derived</t>
        </is>
      </c>
      <c r="C106" t="inlineStr">
        <is>
          <t>Biochar Transported (kg) - Applied</t>
        </is>
      </c>
      <c r="D106" t="inlineStr">
        <is>
          <t>Biochar Transported (kg) - Applied</t>
        </is>
      </c>
      <c r="E106" s="2" t="n">
        <v>4794.04</v>
      </c>
      <c r="F106" t="n">
        <v>0</v>
      </c>
      <c r="G106" t="inlineStr">
        <is>
          <t>kg</t>
        </is>
      </c>
      <c r="H106" t="n">
        <v>4794.04</v>
      </c>
      <c r="I106" t="n">
        <v>0</v>
      </c>
      <c r="J106" t="inlineStr">
        <is>
          <t>kg</t>
        </is>
      </c>
      <c r="K106">
        <f>Source!A43</f>
        <v/>
      </c>
      <c r="L106" t="inlineStr">
        <is>
          <t>Chris Craig 5.30.26 Scale Tickets.heic</t>
        </is>
      </c>
      <c r="M106">
        <f>Source!A50</f>
        <v/>
      </c>
      <c r="N106" t="inlineStr">
        <is>
          <t>Chris Craig Delivery Notes.xlsx</t>
        </is>
      </c>
      <c r="O106">
        <f>Source!A12</f>
        <v/>
      </c>
      <c r="P106" t="inlineStr">
        <is>
          <t>Production Period 2 Summary.xlsx</t>
        </is>
      </c>
      <c r="Q106" t="inlineStr">
        <is>
          <t>mr_XXMcTBzPQWY14UCE-out_sVIPjpDBrGPnpupv-0</t>
        </is>
      </c>
    </row>
    <row r="107">
      <c r="A107" t="inlineStr">
        <is>
          <t>dtp_1KXEA1SAF1S0EHA2</t>
        </is>
      </c>
      <c r="B107" t="inlineStr">
        <is>
          <t>reported</t>
        </is>
      </c>
      <c r="C107" t="inlineStr">
        <is>
          <t>Emissions Factor - Flatbed Truck Transport Embodied Emissions (2025, CO)</t>
        </is>
      </c>
      <c r="D107" t="inlineStr">
        <is>
          <t>Emissions Factor - Flatbed Truck Transport Embodied Emissions (2025, CO)</t>
        </is>
      </c>
      <c r="E107" s="2" t="n">
        <v>0.0001197949629</v>
      </c>
      <c r="F107" t="n">
        <v>0</v>
      </c>
      <c r="G107" t="inlineStr">
        <is>
          <t>kg/m</t>
        </is>
      </c>
      <c r="H107" t="n">
        <v>0.1197949629</v>
      </c>
      <c r="I107" t="n">
        <v>0</v>
      </c>
      <c r="J107" t="inlineStr">
        <is>
          <t>kgCO₂e/km</t>
        </is>
      </c>
      <c r="K107">
        <f>Source!A17</f>
        <v/>
      </c>
      <c r="L107" t="inlineStr">
        <is>
          <t>Standard Emission Factors + Calculations (8).xlsx</t>
        </is>
      </c>
      <c r="Q107" t="inlineStr">
        <is>
          <t>mr_XXMcTBzPQWY14UCE-out_mh5OWJEQ9TzkSjax-0</t>
        </is>
      </c>
    </row>
    <row r="108">
      <c r="A108" t="inlineStr">
        <is>
          <t>dtp_1KXEA1SZW1S0NV1C</t>
        </is>
      </c>
      <c r="B108" t="inlineStr">
        <is>
          <t>reported</t>
        </is>
      </c>
      <c r="C108" t="inlineStr">
        <is>
          <t>Biochar Applied - Allocated Delivery Distance (km)</t>
        </is>
      </c>
      <c r="D108" t="inlineStr">
        <is>
          <t>Biochar Applied - Allocated Delivery Distance (km)</t>
        </is>
      </c>
      <c r="E108" s="2" t="n">
        <v>152460.88</v>
      </c>
      <c r="F108" t="n">
        <v>0</v>
      </c>
      <c r="G108" t="inlineStr">
        <is>
          <t>m</t>
        </is>
      </c>
      <c r="H108" t="n">
        <v>152.46088</v>
      </c>
      <c r="I108" t="n">
        <v>0</v>
      </c>
      <c r="J108" t="inlineStr">
        <is>
          <t>km</t>
        </is>
      </c>
      <c r="K108">
        <f>Source!A18</f>
        <v/>
      </c>
      <c r="L108" t="inlineStr">
        <is>
          <t>CO to Chris Craig Distance (1).png</t>
        </is>
      </c>
      <c r="Q108" t="inlineStr">
        <is>
          <t>mr_XXMcTBzPQWY14UCE-out_hfoA89qbvT5XX9zd-0</t>
        </is>
      </c>
    </row>
    <row r="109">
      <c r="A109" t="inlineStr">
        <is>
          <t>dtp_1KXEA1TH21S031F0</t>
        </is>
      </c>
      <c r="B109" t="inlineStr">
        <is>
          <t>reported</t>
        </is>
      </c>
      <c r="C109" t="inlineStr">
        <is>
          <t>Attribution factor</t>
        </is>
      </c>
      <c r="E109" s="2" t="n">
        <v>1</v>
      </c>
      <c r="F109" t="n">
        <v>0</v>
      </c>
      <c r="G109" t="inlineStr"/>
      <c r="H109" t="n">
        <v>1</v>
      </c>
      <c r="I109" t="n">
        <v>0</v>
      </c>
      <c r="J109" t="inlineStr"/>
    </row>
    <row r="110">
      <c r="A110" t="inlineStr">
        <is>
          <t>dtp_1KXEA1TH21S059S9</t>
        </is>
      </c>
      <c r="B110" t="inlineStr">
        <is>
          <t>reported</t>
        </is>
      </c>
      <c r="C110" t="inlineStr">
        <is>
          <t>Attribution factor</t>
        </is>
      </c>
      <c r="E110" s="2" t="n">
        <v>1</v>
      </c>
      <c r="F110" t="n">
        <v>0</v>
      </c>
      <c r="G110" t="inlineStr"/>
      <c r="H110" t="n">
        <v>1</v>
      </c>
      <c r="I110" t="n">
        <v>0</v>
      </c>
      <c r="J110" t="inlineStr"/>
    </row>
    <row r="111">
      <c r="A111" t="inlineStr">
        <is>
          <t>dtp_1KXEA1TH21S0AB6A</t>
        </is>
      </c>
      <c r="B111" t="inlineStr">
        <is>
          <t>reported</t>
        </is>
      </c>
      <c r="C111" t="inlineStr">
        <is>
          <t>Attribution factor</t>
        </is>
      </c>
      <c r="E111" s="2" t="n">
        <v>1</v>
      </c>
      <c r="F111" t="n">
        <v>0</v>
      </c>
      <c r="G111" t="inlineStr"/>
      <c r="H111" t="n">
        <v>1</v>
      </c>
      <c r="I111" t="n">
        <v>0</v>
      </c>
      <c r="J111" t="inlineStr"/>
    </row>
    <row r="112">
      <c r="A112" t="inlineStr">
        <is>
          <t>dtp_1KXEA1TH21S0HMXM</t>
        </is>
      </c>
      <c r="B112" t="inlineStr">
        <is>
          <t>reported</t>
        </is>
      </c>
      <c r="C112" t="inlineStr">
        <is>
          <t>Attribution factor</t>
        </is>
      </c>
      <c r="E112" s="2" t="n">
        <v>1</v>
      </c>
      <c r="F112" t="n">
        <v>0</v>
      </c>
      <c r="G112" t="inlineStr"/>
      <c r="H112" t="n">
        <v>1</v>
      </c>
      <c r="I112" t="n">
        <v>0</v>
      </c>
      <c r="J112" t="inlineStr"/>
    </row>
    <row r="113">
      <c r="A113" t="inlineStr">
        <is>
          <t>dtp_1KXEA1TH21S0PPAN</t>
        </is>
      </c>
      <c r="B113" t="inlineStr">
        <is>
          <t>reported</t>
        </is>
      </c>
      <c r="C113" t="inlineStr">
        <is>
          <t>Attribution factor</t>
        </is>
      </c>
      <c r="E113" s="2" t="n">
        <v>1</v>
      </c>
      <c r="F113" t="n">
        <v>0</v>
      </c>
      <c r="G113" t="inlineStr"/>
      <c r="H113" t="n">
        <v>1</v>
      </c>
      <c r="I113" t="n">
        <v>0</v>
      </c>
      <c r="J113" t="inlineStr"/>
    </row>
    <row r="114">
      <c r="A114" t="inlineStr">
        <is>
          <t>dtp_1KXEA3E4Q1S0PATK</t>
        </is>
      </c>
      <c r="B114" t="inlineStr">
        <is>
          <t>reported</t>
        </is>
      </c>
      <c r="C114" t="inlineStr">
        <is>
          <t>Attribution factor</t>
        </is>
      </c>
      <c r="E114" s="2" t="n">
        <v>1</v>
      </c>
      <c r="F114" t="n">
        <v>0</v>
      </c>
      <c r="G114" t="inlineStr"/>
      <c r="H114" t="n">
        <v>1</v>
      </c>
      <c r="I114" t="n">
        <v>0</v>
      </c>
      <c r="J114" t="inlineStr"/>
    </row>
    <row r="115">
      <c r="A115" t="inlineStr">
        <is>
          <t>dtp_1KXEA42Q81S0EGAT</t>
        </is>
      </c>
      <c r="B115" t="inlineStr">
        <is>
          <t>reported</t>
        </is>
      </c>
      <c r="C115" t="inlineStr">
        <is>
          <t>Constant CO₂ reduction</t>
        </is>
      </c>
      <c r="E115" s="2" t="n">
        <v>114.78</v>
      </c>
      <c r="F115" t="n">
        <v>0</v>
      </c>
      <c r="G115" t="inlineStr">
        <is>
          <t>kg</t>
        </is>
      </c>
      <c r="H115" t="n">
        <v>114.78</v>
      </c>
      <c r="I115" t="n">
        <v>0</v>
      </c>
      <c r="J115" t="inlineStr">
        <is>
          <t>kgCO₂e</t>
        </is>
      </c>
      <c r="K115">
        <f>Source!A19</f>
        <v/>
      </c>
      <c r="L115" t="inlineStr">
        <is>
          <t>Charm-RetirementCertificate-RD-EACs-20251218 (1).pdf</t>
        </is>
      </c>
    </row>
    <row r="116">
      <c r="A116" t="inlineStr">
        <is>
          <t>dtp_1KXEAMGCM1S0TN7G</t>
        </is>
      </c>
      <c r="B116" t="inlineStr">
        <is>
          <t>reported</t>
        </is>
      </c>
      <c r="C116" t="inlineStr">
        <is>
          <t>Distance traveled</t>
        </is>
      </c>
      <c r="E116" s="2" t="n">
        <v>6630.497280000001</v>
      </c>
      <c r="F116" t="n">
        <v>0</v>
      </c>
      <c r="G116" t="inlineStr">
        <is>
          <t>m</t>
        </is>
      </c>
      <c r="H116" t="n">
        <v>4.12</v>
      </c>
      <c r="I116" t="n">
        <v>0</v>
      </c>
      <c r="J116" t="inlineStr">
        <is>
          <t>mi</t>
        </is>
      </c>
      <c r="K116">
        <f>Source!A18</f>
        <v/>
      </c>
      <c r="L116" t="inlineStr">
        <is>
          <t>CO to Chris Craig Distance (1).png</t>
        </is>
      </c>
    </row>
    <row r="117">
      <c r="A117" t="inlineStr">
        <is>
          <t>dtp_1KXEAV9AM1S0HS6S</t>
        </is>
      </c>
      <c r="B117" t="inlineStr">
        <is>
          <t>reported</t>
        </is>
      </c>
      <c r="C117" t="inlineStr">
        <is>
          <t>Distance traveled</t>
        </is>
      </c>
      <c r="E117" s="2" t="n">
        <v>245264.0256</v>
      </c>
      <c r="F117" t="n">
        <v>0</v>
      </c>
      <c r="G117" t="inlineStr">
        <is>
          <t>m</t>
        </is>
      </c>
      <c r="H117" t="n">
        <v>152.4</v>
      </c>
      <c r="I117" t="n">
        <v>0</v>
      </c>
      <c r="J117" t="inlineStr">
        <is>
          <t>mi</t>
        </is>
      </c>
      <c r="K117">
        <f>Source!A18</f>
        <v/>
      </c>
      <c r="L117" t="inlineStr">
        <is>
          <t>CO to Chris Craig Distance (1).png</t>
        </is>
      </c>
    </row>
    <row r="118">
      <c r="A118" t="inlineStr">
        <is>
          <t>dtp_1KXEB0RKW1S0B5GB</t>
        </is>
      </c>
      <c r="B118" t="inlineStr">
        <is>
          <t>reported</t>
        </is>
      </c>
      <c r="C118" t="inlineStr">
        <is>
          <t>Distance traveled</t>
        </is>
      </c>
      <c r="E118" s="2" t="n">
        <v>13260.99456</v>
      </c>
      <c r="F118" t="n">
        <v>0</v>
      </c>
      <c r="G118" t="inlineStr">
        <is>
          <t>m</t>
        </is>
      </c>
      <c r="H118" t="n">
        <v>8.24</v>
      </c>
      <c r="I118" t="n">
        <v>0</v>
      </c>
      <c r="J118" t="inlineStr">
        <is>
          <t>mi</t>
        </is>
      </c>
      <c r="K118">
        <f>Source!A18</f>
        <v/>
      </c>
      <c r="L118" t="inlineStr">
        <is>
          <t>CO to Chris Craig Distance (1).png</t>
        </is>
      </c>
    </row>
    <row r="119">
      <c r="A119" t="inlineStr">
        <is>
          <t>dtp_1KXEB42X91S0PF3R</t>
        </is>
      </c>
      <c r="B119" t="inlineStr">
        <is>
          <t>reported</t>
        </is>
      </c>
      <c r="C119" t="inlineStr">
        <is>
          <t>Attribution factor</t>
        </is>
      </c>
      <c r="E119" s="2" t="n">
        <v>1</v>
      </c>
      <c r="F119" t="n">
        <v>0</v>
      </c>
      <c r="G119" t="inlineStr"/>
      <c r="H119" t="n">
        <v>1</v>
      </c>
      <c r="I119" t="n">
        <v>0</v>
      </c>
      <c r="J119" t="inlineStr"/>
    </row>
    <row r="120">
      <c r="A120" t="inlineStr">
        <is>
          <t>dtp_1KXEB4PGE1S0EMKZ</t>
        </is>
      </c>
      <c r="B120" t="inlineStr">
        <is>
          <t>reported</t>
        </is>
      </c>
      <c r="C120" t="inlineStr">
        <is>
          <t>Constant CO₂ reduction</t>
        </is>
      </c>
      <c r="E120" s="2" t="n">
        <v>9.970000000000001</v>
      </c>
      <c r="F120" t="n">
        <v>0</v>
      </c>
      <c r="G120" t="inlineStr">
        <is>
          <t>kg</t>
        </is>
      </c>
      <c r="H120" t="n">
        <v>9.970000000000001</v>
      </c>
      <c r="I120" t="n">
        <v>0</v>
      </c>
      <c r="J120" t="inlineStr">
        <is>
          <t>kgCO₂e</t>
        </is>
      </c>
      <c r="K120">
        <f>Source!A19</f>
        <v/>
      </c>
      <c r="L120" t="inlineStr">
        <is>
          <t>Charm-RetirementCertificate-RD-EACs-20251218 (1).pdf</t>
        </is>
      </c>
    </row>
    <row r="121">
      <c r="A121" t="inlineStr">
        <is>
          <t>dtp_1KXEB6MC41S0KET3</t>
        </is>
      </c>
      <c r="B121" t="inlineStr">
        <is>
          <t>reported</t>
        </is>
      </c>
      <c r="C121" t="inlineStr">
        <is>
          <t>Distance traveled</t>
        </is>
      </c>
      <c r="E121" s="2" t="n">
        <v>13260.99456</v>
      </c>
      <c r="F121" t="n">
        <v>0</v>
      </c>
      <c r="G121" t="inlineStr">
        <is>
          <t>m</t>
        </is>
      </c>
      <c r="H121" t="n">
        <v>8.24</v>
      </c>
      <c r="I121" t="n">
        <v>0</v>
      </c>
      <c r="J121" t="inlineStr">
        <is>
          <t>mi</t>
        </is>
      </c>
      <c r="K121">
        <f>Source!A18</f>
        <v/>
      </c>
      <c r="L121" t="inlineStr">
        <is>
          <t>CO to Chris Craig Distance (1).png</t>
        </is>
      </c>
    </row>
    <row r="122">
      <c r="A122" t="inlineStr">
        <is>
          <t>dtp_1KXEBTJ631S0SQ0F</t>
        </is>
      </c>
      <c r="B122" t="inlineStr">
        <is>
          <t>derived</t>
        </is>
      </c>
      <c r="C122" t="inlineStr">
        <is>
          <t>Emissions Factor - Biochar Spreading</t>
        </is>
      </c>
      <c r="D122" t="inlineStr">
        <is>
          <t>Emissions Factor - Biochar Spreading</t>
        </is>
      </c>
      <c r="E122" s="2" t="n">
        <v>0.004</v>
      </c>
      <c r="F122" t="n">
        <v>0</v>
      </c>
      <c r="G122" t="inlineStr"/>
      <c r="H122" t="n">
        <v>0.004</v>
      </c>
      <c r="I122" t="n">
        <v>0</v>
      </c>
      <c r="J122" t="inlineStr">
        <is>
          <t>kgCO₂e/kg</t>
        </is>
      </c>
      <c r="K122">
        <f>Source!A4</f>
        <v/>
      </c>
      <c r="L122" t="inlineStr">
        <is>
          <t>Biochar Offtake Calculations.xlsx</t>
        </is>
      </c>
      <c r="Q122" t="inlineStr">
        <is>
          <t>mr_yX9kAV5y1IzEH5n0-out_hf7qVV7KHcGk4thf-0</t>
        </is>
      </c>
    </row>
    <row r="123">
      <c r="A123" t="inlineStr">
        <is>
          <t>dtp_1KXEBTKQN1S0VZAR</t>
        </is>
      </c>
      <c r="B123" t="inlineStr">
        <is>
          <t>derived</t>
        </is>
      </c>
      <c r="C123" t="inlineStr">
        <is>
          <t>Biochar Applied (wet mass) (Spreading) - Applied</t>
        </is>
      </c>
      <c r="D123" t="inlineStr">
        <is>
          <t>Biochar Applied (wet mass) (Spreading) - Applied</t>
        </is>
      </c>
      <c r="E123" s="2" t="n">
        <v>2749.41</v>
      </c>
      <c r="F123" t="n">
        <v>0</v>
      </c>
      <c r="G123" t="inlineStr">
        <is>
          <t>kg</t>
        </is>
      </c>
      <c r="H123" t="n">
        <v>2749.41</v>
      </c>
      <c r="I123" t="n">
        <v>0</v>
      </c>
      <c r="J123" t="inlineStr">
        <is>
          <t>kg</t>
        </is>
      </c>
      <c r="K123">
        <f>Source!A43</f>
        <v/>
      </c>
      <c r="L123" t="inlineStr">
        <is>
          <t>Chris Craig 5.30.26 Scale Tickets.heic</t>
        </is>
      </c>
      <c r="M123">
        <f>Source!A50</f>
        <v/>
      </c>
      <c r="N123" t="inlineStr">
        <is>
          <t>Chris Craig Delivery Notes.xlsx</t>
        </is>
      </c>
      <c r="O123">
        <f>Source!A5</f>
        <v/>
      </c>
      <c r="P123" t="inlineStr">
        <is>
          <t>Production Period 3 Summary.xlsx</t>
        </is>
      </c>
      <c r="Q123" t="inlineStr">
        <is>
          <t>mr_yX9kAV5y1IzEH5n0-out_0jBoYHtsohNZ8PAk-0</t>
        </is>
      </c>
    </row>
    <row r="124">
      <c r="A124" t="inlineStr">
        <is>
          <t>dtp_1KXEBTR941S0S680</t>
        </is>
      </c>
      <c r="B124" t="inlineStr">
        <is>
          <t>derived</t>
        </is>
      </c>
      <c r="C124" t="inlineStr">
        <is>
          <t>Biochar - H/C_org - Applied</t>
        </is>
      </c>
      <c r="D124" t="inlineStr">
        <is>
          <t>Biochar - H/C_org - Applied</t>
        </is>
      </c>
      <c r="E124" s="2" t="n">
        <v>0.35</v>
      </c>
      <c r="F124" t="n">
        <v>0</v>
      </c>
      <c r="G124" t="inlineStr"/>
      <c r="H124" t="n">
        <v>0.35</v>
      </c>
      <c r="I124" t="n">
        <v>0</v>
      </c>
      <c r="J124" t="inlineStr"/>
      <c r="K124">
        <f>Source!A48</f>
        <v/>
      </c>
      <c r="L124" t="inlineStr">
        <is>
          <t>McCreath Analysis - BGN CHAR 252 (H26050602).pdf</t>
        </is>
      </c>
      <c r="Q124" t="inlineStr">
        <is>
          <t>mr_F9I95DS6iTazeZAY-out_SlgcaWsappr9ZCL6-0</t>
        </is>
      </c>
    </row>
    <row r="125">
      <c r="A125" t="inlineStr">
        <is>
          <t>dtp_1KXEBTRK21S0XPWJ</t>
        </is>
      </c>
      <c r="B125" t="inlineStr">
        <is>
          <t>derived</t>
        </is>
      </c>
      <c r="C125" t="inlineStr">
        <is>
          <t>Inorganic Carbon Content % - Applied</t>
        </is>
      </c>
      <c r="D125" t="inlineStr">
        <is>
          <t>Inorganic Carbon Content % - Applied</t>
        </is>
      </c>
      <c r="E125" s="2" t="n">
        <v>0.0018</v>
      </c>
      <c r="F125" t="n">
        <v>0</v>
      </c>
      <c r="G125" t="inlineStr"/>
      <c r="H125" t="n">
        <v>0.18</v>
      </c>
      <c r="I125" t="n">
        <v>0</v>
      </c>
      <c r="J125" t="inlineStr">
        <is>
          <t>%</t>
        </is>
      </c>
      <c r="K125">
        <f>Source!A6</f>
        <v/>
      </c>
      <c r="L125" t="inlineStr">
        <is>
          <t>252 - Combined Lab Analyses.pdf</t>
        </is>
      </c>
      <c r="Q125" t="inlineStr">
        <is>
          <t>mr_F9I95DS6iTazeZAY-out_RrRijQ8NSCwAInka-0</t>
        </is>
      </c>
    </row>
    <row r="126">
      <c r="A126" t="inlineStr">
        <is>
          <t>dtp_1KXEBTT461S0RNFH</t>
        </is>
      </c>
      <c r="B126" t="inlineStr">
        <is>
          <t>derived</t>
        </is>
      </c>
      <c r="C126" t="inlineStr">
        <is>
          <t>Biochar Dry Weight (kg) (CO2 stored) - Applied</t>
        </is>
      </c>
      <c r="D126" t="inlineStr">
        <is>
          <t>Biochar Dry Weight (kg) (CO2 stored) - Applied</t>
        </is>
      </c>
      <c r="E126" s="2" t="n">
        <v>1777.204</v>
      </c>
      <c r="F126" t="n">
        <v>0</v>
      </c>
      <c r="G126" t="inlineStr">
        <is>
          <t>kg</t>
        </is>
      </c>
      <c r="H126" t="n">
        <v>1777.204</v>
      </c>
      <c r="I126" t="n">
        <v>0</v>
      </c>
      <c r="J126" t="inlineStr">
        <is>
          <t>kg</t>
        </is>
      </c>
      <c r="K126">
        <f>Source!A43</f>
        <v/>
      </c>
      <c r="L126" t="inlineStr">
        <is>
          <t>Chris Craig 5.30.26 Scale Tickets.heic</t>
        </is>
      </c>
      <c r="M126">
        <f>Source!A48</f>
        <v/>
      </c>
      <c r="N126" t="inlineStr">
        <is>
          <t>McCreath Analysis - BGN CHAR 252 (H26050602).pdf</t>
        </is>
      </c>
      <c r="O126">
        <f>Source!A50</f>
        <v/>
      </c>
      <c r="P126" t="inlineStr">
        <is>
          <t>Chris Craig Delivery Notes.xlsx</t>
        </is>
      </c>
      <c r="Q126" t="inlineStr">
        <is>
          <t>mr_yX9kAV5y1IzEH5n0-out_tHtEVo8cn1cKK0xD-0</t>
        </is>
      </c>
    </row>
    <row r="127">
      <c r="A127" t="inlineStr">
        <is>
          <t>dtp_1KXEBTTM21S0EJNF</t>
        </is>
      </c>
      <c r="B127" t="inlineStr">
        <is>
          <t>derived</t>
        </is>
      </c>
      <c r="C127" t="inlineStr">
        <is>
          <t>Biochar Applied - Soil Temperature (Cel)</t>
        </is>
      </c>
      <c r="D127" t="inlineStr">
        <is>
          <t>Biochar Applied - Soil Temperature (Cel)</t>
        </is>
      </c>
      <c r="E127" s="2" t="n">
        <v>284.05</v>
      </c>
      <c r="F127" t="n">
        <v>0</v>
      </c>
      <c r="G127" t="inlineStr">
        <is>
          <t>K</t>
        </is>
      </c>
      <c r="H127" t="n">
        <v>10.9</v>
      </c>
      <c r="I127" t="n">
        <v>0</v>
      </c>
      <c r="J127" t="inlineStr">
        <is>
          <t>°C</t>
        </is>
      </c>
      <c r="K127">
        <f>Source!A41</f>
        <v/>
      </c>
      <c r="L127" t="inlineStr">
        <is>
          <t>soil_temperature_chris_craig.csv</t>
        </is>
      </c>
      <c r="Q127" t="inlineStr">
        <is>
          <t>mr_F9I95DS6iTazeZAY-out_WFEo3VxmWt0N3Yhc-0</t>
        </is>
      </c>
    </row>
    <row r="128">
      <c r="A128" t="inlineStr">
        <is>
          <t>dtp_1KXEBTV2T1S0NWCS</t>
        </is>
      </c>
      <c r="B128" t="inlineStr">
        <is>
          <t>derived</t>
        </is>
      </c>
      <c r="C128" t="inlineStr">
        <is>
          <t>Organic Carbon Content % - Applied</t>
        </is>
      </c>
      <c r="D128" t="inlineStr">
        <is>
          <t>Organic Carbon Content % - Applied</t>
        </is>
      </c>
      <c r="E128" s="2" t="n">
        <v>0.8012600000000001</v>
      </c>
      <c r="F128" t="n">
        <v>0</v>
      </c>
      <c r="G128" t="inlineStr"/>
      <c r="H128" t="n">
        <v>80.126</v>
      </c>
      <c r="I128" t="n">
        <v>0</v>
      </c>
      <c r="J128" t="inlineStr">
        <is>
          <t>%</t>
        </is>
      </c>
      <c r="K128">
        <f>Source!A48</f>
        <v/>
      </c>
      <c r="L128" t="inlineStr">
        <is>
          <t>McCreath Analysis - BGN CHAR 252 (H26050602).pdf</t>
        </is>
      </c>
      <c r="Q128" t="inlineStr">
        <is>
          <t>mr_yX9kAV5y1IzEH5n0-out_ye14SNxRG8b285JB-0</t>
        </is>
      </c>
    </row>
    <row r="129">
      <c r="A129" t="inlineStr">
        <is>
          <t>dtp_1KXEBTWCH1S0E1X0</t>
        </is>
      </c>
      <c r="B129" t="inlineStr">
        <is>
          <t>derived</t>
        </is>
      </c>
      <c r="C129" t="inlineStr">
        <is>
          <t>Biochar Output - Carbon Intensity - Applied</t>
        </is>
      </c>
      <c r="D129" t="inlineStr">
        <is>
          <t>Biochar Output - Carbon Intensity - Applied</t>
        </is>
      </c>
      <c r="E129" s="2" t="n">
        <v>1.0351</v>
      </c>
      <c r="F129" t="n">
        <v>0</v>
      </c>
      <c r="G129" t="inlineStr"/>
      <c r="H129" t="n">
        <v>1.0351</v>
      </c>
      <c r="I129" t="n">
        <v>0</v>
      </c>
      <c r="J129" t="inlineStr">
        <is>
          <t>kgCO₂e/kg</t>
        </is>
      </c>
      <c r="K129">
        <f>Source!A38</f>
        <v/>
      </c>
      <c r="L129" t="inlineStr">
        <is>
          <t>Biochar CI Summary — All Production Periods.xlsx</t>
        </is>
      </c>
      <c r="M129">
        <f>Source!A5</f>
        <v/>
      </c>
      <c r="N129" t="inlineStr">
        <is>
          <t>Production Period 3 Summary.xlsx</t>
        </is>
      </c>
      <c r="Q129" t="inlineStr">
        <is>
          <t>mr_yX9kAV5y1IzEH5n0-out_Oe27xWXZDsDMPXq9-0</t>
        </is>
      </c>
    </row>
    <row r="130">
      <c r="A130" t="inlineStr">
        <is>
          <t>dtp_1KXEBTWNE1S0WNBM</t>
        </is>
      </c>
      <c r="B130" t="inlineStr">
        <is>
          <t>derived</t>
        </is>
      </c>
      <c r="C130" t="inlineStr">
        <is>
          <t>Biochar Dry Product Weight (kg) (Pyrolysis) - Applied</t>
        </is>
      </c>
      <c r="D130" t="inlineStr">
        <is>
          <t>Biochar Dry Product Weight (kg) (Pyrolysis) - Applied</t>
        </is>
      </c>
      <c r="E130" s="2" t="n">
        <v>2060.61</v>
      </c>
      <c r="F130" t="n">
        <v>0</v>
      </c>
      <c r="G130" t="inlineStr">
        <is>
          <t>kg</t>
        </is>
      </c>
      <c r="H130" t="n">
        <v>2060.61</v>
      </c>
      <c r="I130" t="n">
        <v>0</v>
      </c>
      <c r="J130" t="inlineStr">
        <is>
          <t>kg</t>
        </is>
      </c>
      <c r="K130">
        <f>Source!A43</f>
        <v/>
      </c>
      <c r="L130" t="inlineStr">
        <is>
          <t>Chris Craig 5.30.26 Scale Tickets.heic</t>
        </is>
      </c>
      <c r="M130">
        <f>Source!A50</f>
        <v/>
      </c>
      <c r="N130" t="inlineStr">
        <is>
          <t>Chris Craig Delivery Notes.xlsx</t>
        </is>
      </c>
      <c r="O130">
        <f>Source!A5</f>
        <v/>
      </c>
      <c r="P130" t="inlineStr">
        <is>
          <t>Production Period 3 Summary.xlsx</t>
        </is>
      </c>
      <c r="Q130" t="inlineStr">
        <is>
          <t>mr_yX9kAV5y1IzEH5n0-out_P5psgmcwdDniayBV-0</t>
        </is>
      </c>
    </row>
    <row r="131">
      <c r="A131" t="inlineStr">
        <is>
          <t>dtp_1KXEBTY9K1S0YXNX</t>
        </is>
      </c>
      <c r="B131" t="inlineStr">
        <is>
          <t>derived</t>
        </is>
      </c>
      <c r="C131" t="inlineStr">
        <is>
          <t>Copy - Truck EF</t>
        </is>
      </c>
      <c r="D131" t="inlineStr">
        <is>
          <t>Copy - Truck EF</t>
        </is>
      </c>
      <c r="E131" s="2" t="n">
        <v>8.599777300564702e-08</v>
      </c>
      <c r="F131" t="n">
        <v>0</v>
      </c>
      <c r="G131" t="inlineStr">
        <is>
          <t>1/m</t>
        </is>
      </c>
      <c r="H131" t="n">
        <v>0.1384</v>
      </c>
      <c r="I131" t="n">
        <v>0</v>
      </c>
      <c r="J131" t="inlineStr">
        <is>
          <t>kgCO₂e/(t⋅mi)</t>
        </is>
      </c>
      <c r="K131">
        <f>Source!A17</f>
        <v/>
      </c>
      <c r="L131" t="inlineStr">
        <is>
          <t>Standard Emission Factors + Calculations (8).xlsx</t>
        </is>
      </c>
      <c r="Q131" t="inlineStr">
        <is>
          <t>mr_yX9kAV5y1IzEH5n0-out_kz09qsYg6N3uHg55-0</t>
        </is>
      </c>
    </row>
    <row r="132">
      <c r="A132" t="inlineStr">
        <is>
          <t>dtp_1KXEBV1A11S0MTVV</t>
        </is>
      </c>
      <c r="B132" t="inlineStr">
        <is>
          <t>reported</t>
        </is>
      </c>
      <c r="C132" t="inlineStr">
        <is>
          <t>Biochar Applied - Delivery Distance (km)</t>
        </is>
      </c>
      <c r="D132" t="inlineStr">
        <is>
          <t>Biochar Applied - Delivery Distance (km)</t>
        </is>
      </c>
      <c r="E132" s="2" t="n">
        <v>278416.51</v>
      </c>
      <c r="F132" t="n">
        <v>0</v>
      </c>
      <c r="G132" t="inlineStr">
        <is>
          <t>m</t>
        </is>
      </c>
      <c r="H132" t="n">
        <v>278.41651</v>
      </c>
      <c r="I132" t="n">
        <v>0</v>
      </c>
      <c r="J132" t="inlineStr">
        <is>
          <t>km</t>
        </is>
      </c>
      <c r="K132">
        <f>Source!A18</f>
        <v/>
      </c>
      <c r="L132" t="inlineStr">
        <is>
          <t>CO to Chris Craig Distance (1).png</t>
        </is>
      </c>
      <c r="Q132" t="inlineStr">
        <is>
          <t>mr_yX9kAV5y1IzEH5n0-out_mh2j8s9fAROxQE7o-0</t>
        </is>
      </c>
    </row>
    <row r="133">
      <c r="A133" t="inlineStr">
        <is>
          <t>dtp_1KXEBV1QP1S0AR1S</t>
        </is>
      </c>
      <c r="B133" t="inlineStr">
        <is>
          <t>derived</t>
        </is>
      </c>
      <c r="C133" t="inlineStr">
        <is>
          <t>Biochar Transported (kg) - Applied</t>
        </is>
      </c>
      <c r="D133" t="inlineStr">
        <is>
          <t>Biochar Transported (kg) - Applied</t>
        </is>
      </c>
      <c r="E133" s="2" t="n">
        <v>2918.11</v>
      </c>
      <c r="F133" t="n">
        <v>0</v>
      </c>
      <c r="G133" t="inlineStr">
        <is>
          <t>kg</t>
        </is>
      </c>
      <c r="H133" t="n">
        <v>2918.11</v>
      </c>
      <c r="I133" t="n">
        <v>0</v>
      </c>
      <c r="J133" t="inlineStr">
        <is>
          <t>kg</t>
        </is>
      </c>
      <c r="K133">
        <f>Source!A43</f>
        <v/>
      </c>
      <c r="L133" t="inlineStr">
        <is>
          <t>Chris Craig 5.30.26 Scale Tickets.heic</t>
        </is>
      </c>
      <c r="M133">
        <f>Source!A50</f>
        <v/>
      </c>
      <c r="N133" t="inlineStr">
        <is>
          <t>Chris Craig Delivery Notes.xlsx</t>
        </is>
      </c>
      <c r="O133">
        <f>Source!A5</f>
        <v/>
      </c>
      <c r="P133" t="inlineStr">
        <is>
          <t>Production Period 3 Summary.xlsx</t>
        </is>
      </c>
      <c r="Q133" t="inlineStr">
        <is>
          <t>mr_yX9kAV5y1IzEH5n0-out_sVIPjpDBrGPnpupv-0</t>
        </is>
      </c>
    </row>
    <row r="134">
      <c r="A134" t="inlineStr">
        <is>
          <t>dtp_1KXEBV1ZD1S0SBGD</t>
        </is>
      </c>
      <c r="B134" t="inlineStr">
        <is>
          <t>reported</t>
        </is>
      </c>
      <c r="C134" t="inlineStr">
        <is>
          <t>Emissions Factor - Flatbed Truck Transport Embodied Emissions (2025, CO)</t>
        </is>
      </c>
      <c r="D134" t="inlineStr">
        <is>
          <t>Emissions Factor - Flatbed Truck Transport Embodied Emissions (2025, CO)</t>
        </is>
      </c>
      <c r="E134" s="2" t="n">
        <v>0.0001197949629</v>
      </c>
      <c r="F134" t="n">
        <v>0</v>
      </c>
      <c r="G134" t="inlineStr">
        <is>
          <t>kg/m</t>
        </is>
      </c>
      <c r="H134" t="n">
        <v>0.1197949629</v>
      </c>
      <c r="I134" t="n">
        <v>0</v>
      </c>
      <c r="J134" t="inlineStr">
        <is>
          <t>kgCO₂e/km</t>
        </is>
      </c>
      <c r="K134">
        <f>Source!A17</f>
        <v/>
      </c>
      <c r="L134" t="inlineStr">
        <is>
          <t>Standard Emission Factors + Calculations (8).xlsx</t>
        </is>
      </c>
      <c r="Q134" t="inlineStr">
        <is>
          <t>mr_yX9kAV5y1IzEH5n0-out_mh5OWJEQ9TzkSjax-0</t>
        </is>
      </c>
    </row>
    <row r="135">
      <c r="A135" t="inlineStr">
        <is>
          <t>dtp_1KXEBV2891S0MA3C</t>
        </is>
      </c>
      <c r="B135" t="inlineStr">
        <is>
          <t>reported</t>
        </is>
      </c>
      <c r="C135" t="inlineStr">
        <is>
          <t>Biochar Applied - Allocated Delivery Distance (km)</t>
        </is>
      </c>
      <c r="D135" t="inlineStr">
        <is>
          <t>Biochar Applied - Allocated Delivery Distance (km)</t>
        </is>
      </c>
      <c r="E135" s="2" t="n">
        <v>92796.22</v>
      </c>
      <c r="F135" t="n">
        <v>0</v>
      </c>
      <c r="G135" t="inlineStr">
        <is>
          <t>m</t>
        </is>
      </c>
      <c r="H135" t="n">
        <v>92.79622000000001</v>
      </c>
      <c r="I135" t="n">
        <v>0</v>
      </c>
      <c r="J135" t="inlineStr">
        <is>
          <t>km</t>
        </is>
      </c>
      <c r="K135">
        <f>Source!A18</f>
        <v/>
      </c>
      <c r="L135" t="inlineStr">
        <is>
          <t>CO to Chris Craig Distance (1).png</t>
        </is>
      </c>
      <c r="Q135" t="inlineStr">
        <is>
          <t>mr_yX9kAV5y1IzEH5n0-out_hfoA89qbvT5XX9zd-0</t>
        </is>
      </c>
    </row>
    <row r="136">
      <c r="A136" t="inlineStr">
        <is>
          <t>dtp_1KXEBV2PW1S08T8A</t>
        </is>
      </c>
      <c r="B136" t="inlineStr">
        <is>
          <t>reported</t>
        </is>
      </c>
      <c r="C136" t="inlineStr">
        <is>
          <t>Attribution factor</t>
        </is>
      </c>
      <c r="E136" s="2" t="n">
        <v>1</v>
      </c>
      <c r="F136" t="n">
        <v>0</v>
      </c>
      <c r="G136" t="inlineStr"/>
      <c r="H136" t="n">
        <v>1</v>
      </c>
      <c r="I136" t="n">
        <v>0</v>
      </c>
      <c r="J136" t="inlineStr"/>
    </row>
    <row r="137">
      <c r="A137" t="inlineStr">
        <is>
          <t>dtp_1KXEBV2PW1S0B2JK</t>
        </is>
      </c>
      <c r="B137" t="inlineStr">
        <is>
          <t>reported</t>
        </is>
      </c>
      <c r="C137" t="inlineStr">
        <is>
          <t>Attribution factor</t>
        </is>
      </c>
      <c r="E137" s="2" t="n">
        <v>1</v>
      </c>
      <c r="F137" t="n">
        <v>0</v>
      </c>
      <c r="G137" t="inlineStr"/>
      <c r="H137" t="n">
        <v>1</v>
      </c>
      <c r="I137" t="n">
        <v>0</v>
      </c>
      <c r="J137" t="inlineStr"/>
    </row>
    <row r="138">
      <c r="A138" t="inlineStr">
        <is>
          <t>dtp_1KXEBV2PW1S0G3ZM</t>
        </is>
      </c>
      <c r="B138" t="inlineStr">
        <is>
          <t>reported</t>
        </is>
      </c>
      <c r="C138" t="inlineStr">
        <is>
          <t>Attribution factor</t>
        </is>
      </c>
      <c r="E138" s="2" t="n">
        <v>1</v>
      </c>
      <c r="F138" t="n">
        <v>0</v>
      </c>
      <c r="G138" t="inlineStr"/>
      <c r="H138" t="n">
        <v>1</v>
      </c>
      <c r="I138" t="n">
        <v>0</v>
      </c>
      <c r="J138" t="inlineStr"/>
    </row>
    <row r="139">
      <c r="A139" t="inlineStr">
        <is>
          <t>dtp_1KXEBV2PW1S0QDPY</t>
        </is>
      </c>
      <c r="B139" t="inlineStr">
        <is>
          <t>reported</t>
        </is>
      </c>
      <c r="C139" t="inlineStr">
        <is>
          <t>Attribution factor</t>
        </is>
      </c>
      <c r="E139" s="2" t="n">
        <v>1</v>
      </c>
      <c r="F139" t="n">
        <v>0</v>
      </c>
      <c r="G139" t="inlineStr"/>
      <c r="H139" t="n">
        <v>1</v>
      </c>
      <c r="I139" t="n">
        <v>0</v>
      </c>
      <c r="J139" t="inlineStr"/>
    </row>
    <row r="140">
      <c r="A140" t="inlineStr">
        <is>
          <t>dtp_1KXEBV2PW1S0WF3Z</t>
        </is>
      </c>
      <c r="B140" t="inlineStr">
        <is>
          <t>reported</t>
        </is>
      </c>
      <c r="C140" t="inlineStr">
        <is>
          <t>Attribution factor</t>
        </is>
      </c>
      <c r="E140" s="2" t="n">
        <v>1</v>
      </c>
      <c r="F140" t="n">
        <v>0</v>
      </c>
      <c r="G140" t="inlineStr"/>
      <c r="H140" t="n">
        <v>1</v>
      </c>
      <c r="I140" t="n">
        <v>0</v>
      </c>
      <c r="J140" t="inlineStr"/>
    </row>
    <row r="141">
      <c r="A141" t="inlineStr">
        <is>
          <t>dtp_1KXEBZVFK1S0VJVE</t>
        </is>
      </c>
      <c r="B141" t="inlineStr">
        <is>
          <t>reported</t>
        </is>
      </c>
      <c r="C141" t="inlineStr">
        <is>
          <t>Attribution factor</t>
        </is>
      </c>
      <c r="E141" s="2" t="n">
        <v>1</v>
      </c>
      <c r="F141" t="n">
        <v>0</v>
      </c>
      <c r="G141" t="inlineStr"/>
      <c r="H141" t="n">
        <v>1</v>
      </c>
      <c r="I141" t="n">
        <v>0</v>
      </c>
      <c r="J141" t="inlineStr"/>
    </row>
    <row r="142">
      <c r="A142" t="inlineStr">
        <is>
          <t>dtp_1KXEC0HG71S0KRBN</t>
        </is>
      </c>
      <c r="B142" t="inlineStr">
        <is>
          <t>reported</t>
        </is>
      </c>
      <c r="C142" t="inlineStr">
        <is>
          <t>Constant CO₂ reduction</t>
        </is>
      </c>
      <c r="E142" s="2" t="n">
        <v>69.87</v>
      </c>
      <c r="F142" t="n">
        <v>0</v>
      </c>
      <c r="G142" t="inlineStr">
        <is>
          <t>kg</t>
        </is>
      </c>
      <c r="H142" t="n">
        <v>69.87</v>
      </c>
      <c r="I142" t="n">
        <v>0</v>
      </c>
      <c r="J142" t="inlineStr">
        <is>
          <t>kgCO₂e</t>
        </is>
      </c>
      <c r="K142">
        <f>Source!A19</f>
        <v/>
      </c>
      <c r="L142" t="inlineStr">
        <is>
          <t>Charm-RetirementCertificate-RD-EACs-20251218 (1).pdf</t>
        </is>
      </c>
    </row>
    <row r="143">
      <c r="A143" t="inlineStr">
        <is>
          <t>dtp_1KXECA9BF1S07X0H</t>
        </is>
      </c>
      <c r="B143" t="inlineStr">
        <is>
          <t>derived</t>
        </is>
      </c>
      <c r="C143" t="inlineStr">
        <is>
          <t>Emissions Factor - Biochar Spreading</t>
        </is>
      </c>
      <c r="D143" t="inlineStr">
        <is>
          <t>Emissions Factor - Biochar Spreading</t>
        </is>
      </c>
      <c r="E143" s="2" t="n">
        <v>0.004</v>
      </c>
      <c r="F143" t="n">
        <v>0</v>
      </c>
      <c r="G143" t="inlineStr"/>
      <c r="H143" t="n">
        <v>0.004</v>
      </c>
      <c r="I143" t="n">
        <v>0</v>
      </c>
      <c r="J143" t="inlineStr">
        <is>
          <t>kgCO₂e/kg</t>
        </is>
      </c>
      <c r="K143">
        <f>Source!A4</f>
        <v/>
      </c>
      <c r="L143" t="inlineStr">
        <is>
          <t>Biochar Offtake Calculations.xlsx</t>
        </is>
      </c>
      <c r="Q143" t="inlineStr">
        <is>
          <t>mr_udNNNzJttyHPZwQy-out_hf7qVV7KHcGk4thf-0</t>
        </is>
      </c>
    </row>
    <row r="144">
      <c r="A144" t="inlineStr">
        <is>
          <t>dtp_1KXECAAQP1S0A5AT</t>
        </is>
      </c>
      <c r="B144" t="inlineStr">
        <is>
          <t>derived</t>
        </is>
      </c>
      <c r="C144" t="inlineStr">
        <is>
          <t>Biochar Applied (wet mass) (Spreading) - Applied</t>
        </is>
      </c>
      <c r="D144" t="inlineStr">
        <is>
          <t>Biochar Applied (wet mass) (Spreading) - Applied</t>
        </is>
      </c>
      <c r="E144" s="2" t="n">
        <v>392.77</v>
      </c>
      <c r="F144" t="n">
        <v>0</v>
      </c>
      <c r="G144" t="inlineStr">
        <is>
          <t>kg</t>
        </is>
      </c>
      <c r="H144" t="n">
        <v>392.77</v>
      </c>
      <c r="I144" t="n">
        <v>0</v>
      </c>
      <c r="J144" t="inlineStr">
        <is>
          <t>kg</t>
        </is>
      </c>
      <c r="K144">
        <f>Source!A43</f>
        <v/>
      </c>
      <c r="L144" t="inlineStr">
        <is>
          <t>Chris Craig 5.30.26 Scale Tickets.heic</t>
        </is>
      </c>
      <c r="M144">
        <f>Source!A50</f>
        <v/>
      </c>
      <c r="N144" t="inlineStr">
        <is>
          <t>Chris Craig Delivery Notes.xlsx</t>
        </is>
      </c>
      <c r="O144">
        <f>Source!A20</f>
        <v/>
      </c>
      <c r="P144" t="inlineStr">
        <is>
          <t>Production Period 4 Summary.xlsx</t>
        </is>
      </c>
      <c r="Q144" t="inlineStr">
        <is>
          <t>mr_udNNNzJttyHPZwQy-out_0jBoYHtsohNZ8PAk-0</t>
        </is>
      </c>
    </row>
    <row r="145">
      <c r="A145" t="inlineStr">
        <is>
          <t>dtp_1KXECAFA11S0W7X2</t>
        </is>
      </c>
      <c r="B145" t="inlineStr">
        <is>
          <t>derived</t>
        </is>
      </c>
      <c r="C145" t="inlineStr">
        <is>
          <t>Biochar - H/C_org - Applied</t>
        </is>
      </c>
      <c r="D145" t="inlineStr">
        <is>
          <t>Biochar - H/C_org - Applied</t>
        </is>
      </c>
      <c r="E145" s="2" t="n">
        <v>0.46</v>
      </c>
      <c r="F145" t="n">
        <v>0</v>
      </c>
      <c r="G145" t="inlineStr"/>
      <c r="H145" t="n">
        <v>0.46</v>
      </c>
      <c r="I145" t="n">
        <v>0</v>
      </c>
      <c r="J145" t="inlineStr"/>
      <c r="K145">
        <f>Source!A21</f>
        <v/>
      </c>
      <c r="L145" t="inlineStr">
        <is>
          <t>253 - Combined Lab Analyses.pdf</t>
        </is>
      </c>
      <c r="Q145" t="inlineStr">
        <is>
          <t>mr_28gbXoAnAHmis1Yb-out_SlgcaWsappr9ZCL6-0</t>
        </is>
      </c>
    </row>
    <row r="146">
      <c r="A146" t="inlineStr">
        <is>
          <t>dtp_1KXECAFMD1S00RHM</t>
        </is>
      </c>
      <c r="B146" t="inlineStr">
        <is>
          <t>derived</t>
        </is>
      </c>
      <c r="C146" t="inlineStr">
        <is>
          <t>Inorganic Carbon Content % - Applied</t>
        </is>
      </c>
      <c r="D146" t="inlineStr">
        <is>
          <t>Inorganic Carbon Content % - Applied</t>
        </is>
      </c>
      <c r="E146" s="2" t="n">
        <v>0.002</v>
      </c>
      <c r="F146" t="n">
        <v>0</v>
      </c>
      <c r="G146" t="inlineStr"/>
      <c r="H146" t="n">
        <v>0.2</v>
      </c>
      <c r="I146" t="n">
        <v>0</v>
      </c>
      <c r="J146" t="inlineStr">
        <is>
          <t>%</t>
        </is>
      </c>
      <c r="K146">
        <f>Source!A22</f>
        <v/>
      </c>
      <c r="L146" t="inlineStr">
        <is>
          <t>253 - Combined Lab Analyses.pdf</t>
        </is>
      </c>
      <c r="Q146" t="inlineStr">
        <is>
          <t>mr_28gbXoAnAHmis1Yb-out_RrRijQ8NSCwAInka-0</t>
        </is>
      </c>
    </row>
    <row r="147">
      <c r="A147" t="inlineStr">
        <is>
          <t>dtp_1KXECAH1Y1S0VQ4K</t>
        </is>
      </c>
      <c r="B147" t="inlineStr">
        <is>
          <t>derived</t>
        </is>
      </c>
      <c r="C147" t="inlineStr">
        <is>
          <t>Biochar Dry Weight (kg) (CO2 stored) - Applied</t>
        </is>
      </c>
      <c r="D147" t="inlineStr">
        <is>
          <t>Biochar Dry Weight (kg) (CO2 stored) - Applied</t>
        </is>
      </c>
      <c r="E147" s="2" t="n">
        <v>250.2323</v>
      </c>
      <c r="F147" t="n">
        <v>0</v>
      </c>
      <c r="G147" t="inlineStr">
        <is>
          <t>kg</t>
        </is>
      </c>
      <c r="H147" t="n">
        <v>250.2323</v>
      </c>
      <c r="I147" t="n">
        <v>0</v>
      </c>
      <c r="J147" t="inlineStr">
        <is>
          <t>kg</t>
        </is>
      </c>
      <c r="K147">
        <f>Source!A43</f>
        <v/>
      </c>
      <c r="L147" t="inlineStr">
        <is>
          <t>Chris Craig 5.30.26 Scale Tickets.heic</t>
        </is>
      </c>
      <c r="M147">
        <f>Source!A22</f>
        <v/>
      </c>
      <c r="N147" t="inlineStr">
        <is>
          <t>253 - Combined Lab Analyses.pdf</t>
        </is>
      </c>
      <c r="O147">
        <f>Source!A50</f>
        <v/>
      </c>
      <c r="P147" t="inlineStr">
        <is>
          <t>Chris Craig Delivery Notes.xlsx</t>
        </is>
      </c>
      <c r="Q147" t="inlineStr">
        <is>
          <t>mr_udNNNzJttyHPZwQy-out_tHtEVo8cn1cKK0xD-0</t>
        </is>
      </c>
    </row>
    <row r="148">
      <c r="A148" t="inlineStr">
        <is>
          <t>dtp_1KXECAHH31S0HMAH</t>
        </is>
      </c>
      <c r="B148" t="inlineStr">
        <is>
          <t>derived</t>
        </is>
      </c>
      <c r="C148" t="inlineStr">
        <is>
          <t>Biochar Applied - Soil Temperature (Cel)</t>
        </is>
      </c>
      <c r="D148" t="inlineStr">
        <is>
          <t>Biochar Applied - Soil Temperature (Cel)</t>
        </is>
      </c>
      <c r="E148" s="2" t="n">
        <v>284.05</v>
      </c>
      <c r="F148" t="n">
        <v>0</v>
      </c>
      <c r="G148" t="inlineStr">
        <is>
          <t>K</t>
        </is>
      </c>
      <c r="H148" t="n">
        <v>10.9</v>
      </c>
      <c r="I148" t="n">
        <v>0</v>
      </c>
      <c r="J148" t="inlineStr">
        <is>
          <t>°C</t>
        </is>
      </c>
      <c r="K148">
        <f>Source!A41</f>
        <v/>
      </c>
      <c r="L148" t="inlineStr">
        <is>
          <t>soil_temperature_chris_craig.csv</t>
        </is>
      </c>
      <c r="Q148" t="inlineStr">
        <is>
          <t>mr_28gbXoAnAHmis1Yb-out_WFEo3VxmWt0N3Yhc-0</t>
        </is>
      </c>
    </row>
    <row r="149">
      <c r="A149" t="inlineStr">
        <is>
          <t>dtp_1KXECAHS11S0RY1V</t>
        </is>
      </c>
      <c r="B149" t="inlineStr">
        <is>
          <t>derived</t>
        </is>
      </c>
      <c r="C149" t="inlineStr">
        <is>
          <t>Organic Carbon Content % - Applied</t>
        </is>
      </c>
      <c r="D149" t="inlineStr">
        <is>
          <t>Organic Carbon Content % - Applied</t>
        </is>
      </c>
      <c r="E149" s="2" t="n">
        <v>0.84133</v>
      </c>
      <c r="F149" t="n">
        <v>0</v>
      </c>
      <c r="G149" t="inlineStr"/>
      <c r="H149" t="n">
        <v>84.133</v>
      </c>
      <c r="I149" t="n">
        <v>0</v>
      </c>
      <c r="J149" t="inlineStr">
        <is>
          <t>%</t>
        </is>
      </c>
      <c r="K149">
        <f>Source!A21</f>
        <v/>
      </c>
      <c r="L149" t="inlineStr">
        <is>
          <t>253 - Combined Lab Analyses.pdf</t>
        </is>
      </c>
      <c r="Q149" t="inlineStr">
        <is>
          <t>mr_udNNNzJttyHPZwQy-out_ye14SNxRG8b285JB-0</t>
        </is>
      </c>
    </row>
    <row r="150">
      <c r="A150" t="inlineStr">
        <is>
          <t>dtp_1KXECAK081S0H3J2</t>
        </is>
      </c>
      <c r="B150" t="inlineStr">
        <is>
          <t>derived</t>
        </is>
      </c>
      <c r="C150" t="inlineStr">
        <is>
          <t>Biochar Output - Carbon Intensity - Applied</t>
        </is>
      </c>
      <c r="D150" t="inlineStr">
        <is>
          <t>Biochar Output - Carbon Intensity - Applied</t>
        </is>
      </c>
      <c r="E150" s="2" t="n">
        <v>1.1003</v>
      </c>
      <c r="F150" t="n">
        <v>0</v>
      </c>
      <c r="G150" t="inlineStr"/>
      <c r="H150" t="n">
        <v>1.1003</v>
      </c>
      <c r="I150" t="n">
        <v>0</v>
      </c>
      <c r="J150" t="inlineStr">
        <is>
          <t>kgCO₂e/kg</t>
        </is>
      </c>
      <c r="K150">
        <f>Source!A38</f>
        <v/>
      </c>
      <c r="L150" t="inlineStr">
        <is>
          <t>Biochar CI Summary — All Production Periods.xlsx</t>
        </is>
      </c>
      <c r="M150">
        <f>Source!A20</f>
        <v/>
      </c>
      <c r="N150" t="inlineStr">
        <is>
          <t>Production Period 4 Summary.xlsx</t>
        </is>
      </c>
      <c r="Q150" t="inlineStr">
        <is>
          <t>mr_udNNNzJttyHPZwQy-out_Oe27xWXZDsDMPXq9-0</t>
        </is>
      </c>
    </row>
    <row r="151">
      <c r="A151" t="inlineStr">
        <is>
          <t>dtp_1KXECAKGD1S0ZQ0P</t>
        </is>
      </c>
      <c r="B151" t="inlineStr">
        <is>
          <t>derived</t>
        </is>
      </c>
      <c r="C151" t="inlineStr">
        <is>
          <t>Biochar Dry Product Weight (kg) (Pyrolysis) - Applied</t>
        </is>
      </c>
      <c r="D151" t="inlineStr">
        <is>
          <t>Biochar Dry Product Weight (kg) (Pyrolysis) - Applied</t>
        </is>
      </c>
      <c r="E151" s="2" t="n">
        <v>294.37</v>
      </c>
      <c r="F151" t="n">
        <v>0</v>
      </c>
      <c r="G151" t="inlineStr">
        <is>
          <t>kg</t>
        </is>
      </c>
      <c r="H151" t="n">
        <v>294.37</v>
      </c>
      <c r="I151" t="n">
        <v>0</v>
      </c>
      <c r="J151" t="inlineStr">
        <is>
          <t>kg</t>
        </is>
      </c>
      <c r="K151">
        <f>Source!A43</f>
        <v/>
      </c>
      <c r="L151" t="inlineStr">
        <is>
          <t>Chris Craig 5.30.26 Scale Tickets.heic</t>
        </is>
      </c>
      <c r="M151">
        <f>Source!A50</f>
        <v/>
      </c>
      <c r="N151" t="inlineStr">
        <is>
          <t>Chris Craig Delivery Notes.xlsx</t>
        </is>
      </c>
      <c r="O151">
        <f>Source!A20</f>
        <v/>
      </c>
      <c r="P151" t="inlineStr">
        <is>
          <t>Production Period 4 Summary.xlsx</t>
        </is>
      </c>
      <c r="Q151" t="inlineStr">
        <is>
          <t>mr_udNNNzJttyHPZwQy-out_P5psgmcwdDniayBV-0</t>
        </is>
      </c>
    </row>
    <row r="152">
      <c r="A152" t="inlineStr">
        <is>
          <t>dtp_1KXECAMR21S01ZAZ</t>
        </is>
      </c>
      <c r="B152" t="inlineStr">
        <is>
          <t>derived</t>
        </is>
      </c>
      <c r="C152" t="inlineStr">
        <is>
          <t>Copy - Truck EF</t>
        </is>
      </c>
      <c r="D152" t="inlineStr">
        <is>
          <t>Copy - Truck EF</t>
        </is>
      </c>
      <c r="E152" s="2" t="n">
        <v>8.599777300564702e-08</v>
      </c>
      <c r="F152" t="n">
        <v>0</v>
      </c>
      <c r="G152" t="inlineStr">
        <is>
          <t>1/m</t>
        </is>
      </c>
      <c r="H152" t="n">
        <v>0.1384</v>
      </c>
      <c r="I152" t="n">
        <v>0</v>
      </c>
      <c r="J152" t="inlineStr">
        <is>
          <t>kgCO₂e/(t⋅mi)</t>
        </is>
      </c>
      <c r="K152">
        <f>Source!A17</f>
        <v/>
      </c>
      <c r="L152" t="inlineStr">
        <is>
          <t>Standard Emission Factors + Calculations (8).xlsx</t>
        </is>
      </c>
      <c r="Q152" t="inlineStr">
        <is>
          <t>mr_udNNNzJttyHPZwQy-out_kz09qsYg6N3uHg55-0</t>
        </is>
      </c>
    </row>
    <row r="153">
      <c r="A153" t="inlineStr">
        <is>
          <t>dtp_1KXECAQPW1S0QWGX</t>
        </is>
      </c>
      <c r="B153" t="inlineStr">
        <is>
          <t>reported</t>
        </is>
      </c>
      <c r="C153" t="inlineStr">
        <is>
          <t>Biochar Applied - Delivery Distance (km)</t>
        </is>
      </c>
      <c r="D153" t="inlineStr">
        <is>
          <t>Biochar Applied - Delivery Distance (km)</t>
        </is>
      </c>
      <c r="E153" s="2" t="n">
        <v>278416.51</v>
      </c>
      <c r="F153" t="n">
        <v>0</v>
      </c>
      <c r="G153" t="inlineStr">
        <is>
          <t>m</t>
        </is>
      </c>
      <c r="H153" t="n">
        <v>278.41651</v>
      </c>
      <c r="I153" t="n">
        <v>0</v>
      </c>
      <c r="J153" t="inlineStr">
        <is>
          <t>km</t>
        </is>
      </c>
      <c r="K153">
        <f>Source!A18</f>
        <v/>
      </c>
      <c r="L153" t="inlineStr">
        <is>
          <t>CO to Chris Craig Distance (1).png</t>
        </is>
      </c>
      <c r="Q153" t="inlineStr">
        <is>
          <t>mr_udNNNzJttyHPZwQy-out_mh2j8s9fAROxQE7o-0</t>
        </is>
      </c>
    </row>
    <row r="154">
      <c r="A154" t="inlineStr">
        <is>
          <t>dtp_1KXECARBP1S0DSPV</t>
        </is>
      </c>
      <c r="B154" t="inlineStr">
        <is>
          <t>derived</t>
        </is>
      </c>
      <c r="C154" t="inlineStr">
        <is>
          <t>Biochar Transported (kg) - Applied</t>
        </is>
      </c>
      <c r="D154" t="inlineStr">
        <is>
          <t>Biochar Transported (kg) - Applied</t>
        </is>
      </c>
      <c r="E154" s="2" t="n">
        <v>416.8726476</v>
      </c>
      <c r="F154" t="n">
        <v>0</v>
      </c>
      <c r="G154" t="inlineStr">
        <is>
          <t>kg</t>
        </is>
      </c>
      <c r="H154" t="n">
        <v>416.8726476</v>
      </c>
      <c r="I154" t="n">
        <v>0</v>
      </c>
      <c r="J154" t="inlineStr">
        <is>
          <t>kg</t>
        </is>
      </c>
      <c r="K154">
        <f>Source!A43</f>
        <v/>
      </c>
      <c r="L154" t="inlineStr">
        <is>
          <t>Chris Craig 5.30.26 Scale Tickets.heic</t>
        </is>
      </c>
      <c r="M154">
        <f>Source!A50</f>
        <v/>
      </c>
      <c r="N154" t="inlineStr">
        <is>
          <t>Chris Craig Delivery Notes.xlsx</t>
        </is>
      </c>
      <c r="O154">
        <f>Source!A20</f>
        <v/>
      </c>
      <c r="P154" t="inlineStr">
        <is>
          <t>Production Period 4 Summary.xlsx</t>
        </is>
      </c>
      <c r="Q154" t="inlineStr">
        <is>
          <t>mr_udNNNzJttyHPZwQy-out_sVIPjpDBrGPnpupv-0</t>
        </is>
      </c>
    </row>
    <row r="155">
      <c r="A155" t="inlineStr">
        <is>
          <t>dtp_1KXECARJY1S0WD5F</t>
        </is>
      </c>
      <c r="B155" t="inlineStr">
        <is>
          <t>reported</t>
        </is>
      </c>
      <c r="C155" t="inlineStr">
        <is>
          <t>Emissions Factor - Flatbed Truck Transport Embodied Emissions (2025, CO)</t>
        </is>
      </c>
      <c r="D155" t="inlineStr">
        <is>
          <t>Emissions Factor - Flatbed Truck Transport Embodied Emissions (2025, CO)</t>
        </is>
      </c>
      <c r="E155" s="2" t="n">
        <v>0.0001197949629</v>
      </c>
      <c r="F155" t="n">
        <v>0</v>
      </c>
      <c r="G155" t="inlineStr">
        <is>
          <t>kg/m</t>
        </is>
      </c>
      <c r="H155" t="n">
        <v>0.1197949629</v>
      </c>
      <c r="I155" t="n">
        <v>0</v>
      </c>
      <c r="J155" t="inlineStr">
        <is>
          <t>kgCO₂e/km</t>
        </is>
      </c>
      <c r="K155">
        <f>Source!A17</f>
        <v/>
      </c>
      <c r="L155" t="inlineStr">
        <is>
          <t>Standard Emission Factors + Calculations (8).xlsx</t>
        </is>
      </c>
      <c r="Q155" t="inlineStr">
        <is>
          <t>mr_udNNNzJttyHPZwQy-out_mh5OWJEQ9TzkSjax-0</t>
        </is>
      </c>
    </row>
    <row r="156">
      <c r="A156" t="inlineStr">
        <is>
          <t>dtp_1KXECATRK1S03PWS</t>
        </is>
      </c>
      <c r="B156" t="inlineStr">
        <is>
          <t>reported</t>
        </is>
      </c>
      <c r="C156" t="inlineStr">
        <is>
          <t>Biochar Applied - Allocated Delivery Distance (km)</t>
        </is>
      </c>
      <c r="D156" t="inlineStr">
        <is>
          <t>Biochar Applied - Allocated Delivery Distance (km)</t>
        </is>
      </c>
      <c r="E156" s="2" t="n">
        <v>13252.63</v>
      </c>
      <c r="F156" t="n">
        <v>0</v>
      </c>
      <c r="G156" t="inlineStr">
        <is>
          <t>m</t>
        </is>
      </c>
      <c r="H156" t="n">
        <v>13.25263</v>
      </c>
      <c r="I156" t="n">
        <v>0</v>
      </c>
      <c r="J156" t="inlineStr">
        <is>
          <t>km</t>
        </is>
      </c>
      <c r="K156">
        <f>Source!A18</f>
        <v/>
      </c>
      <c r="L156" t="inlineStr">
        <is>
          <t>CO to Chris Craig Distance (1).png</t>
        </is>
      </c>
      <c r="Q156" t="inlineStr">
        <is>
          <t>mr_udNNNzJttyHPZwQy-out_hfoA89qbvT5XX9zd-0</t>
        </is>
      </c>
    </row>
    <row r="157">
      <c r="A157" t="inlineStr">
        <is>
          <t>dtp_1KXECAV741S00QJC</t>
        </is>
      </c>
      <c r="B157" t="inlineStr">
        <is>
          <t>reported</t>
        </is>
      </c>
      <c r="C157" t="inlineStr">
        <is>
          <t>Attribution factor</t>
        </is>
      </c>
      <c r="E157" s="2" t="n">
        <v>1</v>
      </c>
      <c r="F157" t="n">
        <v>0</v>
      </c>
      <c r="G157" t="inlineStr"/>
      <c r="H157" t="n">
        <v>1</v>
      </c>
      <c r="I157" t="n">
        <v>0</v>
      </c>
      <c r="J157" t="inlineStr"/>
    </row>
    <row r="158">
      <c r="A158" t="inlineStr">
        <is>
          <t>dtp_1KXECAV741S0D2PQ</t>
        </is>
      </c>
      <c r="B158" t="inlineStr">
        <is>
          <t>reported</t>
        </is>
      </c>
      <c r="C158" t="inlineStr">
        <is>
          <t>Attribution factor</t>
        </is>
      </c>
      <c r="E158" s="2" t="n">
        <v>1</v>
      </c>
      <c r="F158" t="n">
        <v>0</v>
      </c>
      <c r="G158" t="inlineStr"/>
      <c r="H158" t="n">
        <v>1</v>
      </c>
      <c r="I158" t="n">
        <v>0</v>
      </c>
      <c r="J158" t="inlineStr"/>
    </row>
    <row r="159">
      <c r="A159" t="inlineStr">
        <is>
          <t>dtp_1KXECAV741S0FB10</t>
        </is>
      </c>
      <c r="B159" t="inlineStr">
        <is>
          <t>reported</t>
        </is>
      </c>
      <c r="C159" t="inlineStr">
        <is>
          <t>Attribution factor</t>
        </is>
      </c>
      <c r="E159" s="2" t="n">
        <v>1</v>
      </c>
      <c r="F159" t="n">
        <v>0</v>
      </c>
      <c r="G159" t="inlineStr"/>
      <c r="H159" t="n">
        <v>1</v>
      </c>
      <c r="I159" t="n">
        <v>0</v>
      </c>
      <c r="J159" t="inlineStr"/>
    </row>
    <row r="160">
      <c r="A160" t="inlineStr">
        <is>
          <t>dtp_1KXECAV741S0MCE1</t>
        </is>
      </c>
      <c r="B160" t="inlineStr">
        <is>
          <t>reported</t>
        </is>
      </c>
      <c r="C160" t="inlineStr">
        <is>
          <t>Attribution factor</t>
        </is>
      </c>
      <c r="E160" s="2" t="n">
        <v>1</v>
      </c>
      <c r="F160" t="n">
        <v>0</v>
      </c>
      <c r="G160" t="inlineStr"/>
      <c r="H160" t="n">
        <v>1</v>
      </c>
      <c r="I160" t="n">
        <v>0</v>
      </c>
      <c r="J160" t="inlineStr"/>
    </row>
    <row r="161">
      <c r="A161" t="inlineStr">
        <is>
          <t>dtp_1KXECAV741S0VP5B</t>
        </is>
      </c>
      <c r="B161" t="inlineStr">
        <is>
          <t>reported</t>
        </is>
      </c>
      <c r="C161" t="inlineStr">
        <is>
          <t>Attribution factor</t>
        </is>
      </c>
      <c r="E161" s="2" t="n">
        <v>1</v>
      </c>
      <c r="F161" t="n">
        <v>0</v>
      </c>
      <c r="G161" t="inlineStr"/>
      <c r="H161" t="n">
        <v>1</v>
      </c>
      <c r="I161" t="n">
        <v>0</v>
      </c>
      <c r="J161" t="inlineStr"/>
    </row>
    <row r="162">
      <c r="A162" t="inlineStr">
        <is>
          <t>dtp_1KXECGAQV1S0E38D</t>
        </is>
      </c>
      <c r="B162" t="inlineStr">
        <is>
          <t>reported</t>
        </is>
      </c>
      <c r="C162" t="inlineStr">
        <is>
          <t>Attribution factor</t>
        </is>
      </c>
      <c r="E162" s="2" t="n">
        <v>1</v>
      </c>
      <c r="F162" t="n">
        <v>0</v>
      </c>
      <c r="G162" t="inlineStr"/>
      <c r="H162" t="n">
        <v>1</v>
      </c>
      <c r="I162" t="n">
        <v>0</v>
      </c>
      <c r="J162" t="inlineStr"/>
    </row>
    <row r="163">
      <c r="A163" t="inlineStr">
        <is>
          <t>dtp_1KXECGXSV1S068RM</t>
        </is>
      </c>
      <c r="B163" t="inlineStr">
        <is>
          <t>reported</t>
        </is>
      </c>
      <c r="C163" t="inlineStr">
        <is>
          <t>Constant CO₂ reduction</t>
        </is>
      </c>
      <c r="E163" s="2" t="n">
        <v>9.98</v>
      </c>
      <c r="F163" t="n">
        <v>0</v>
      </c>
      <c r="G163" t="inlineStr">
        <is>
          <t>kg</t>
        </is>
      </c>
      <c r="H163" t="n">
        <v>9.98</v>
      </c>
      <c r="I163" t="n">
        <v>0</v>
      </c>
      <c r="J163" t="inlineStr">
        <is>
          <t>kgCO₂e</t>
        </is>
      </c>
      <c r="K163">
        <f>Source!A19</f>
        <v/>
      </c>
      <c r="L163" t="inlineStr">
        <is>
          <t>Charm-RetirementCertificate-RD-EACs-20251218 (1).pdf</t>
        </is>
      </c>
    </row>
    <row r="164">
      <c r="A164" t="inlineStr">
        <is>
          <t>dtp_1KXEH9VYF1S03JZS</t>
        </is>
      </c>
      <c r="B164" t="inlineStr">
        <is>
          <t>derived</t>
        </is>
      </c>
      <c r="C164" t="inlineStr">
        <is>
          <t>Emissions Factor - Biochar Spreading</t>
        </is>
      </c>
      <c r="D164" t="inlineStr">
        <is>
          <t>Emissions Factor - Biochar Spreading</t>
        </is>
      </c>
      <c r="E164" s="2" t="n">
        <v>0.004</v>
      </c>
      <c r="F164" t="n">
        <v>0</v>
      </c>
      <c r="G164" t="inlineStr"/>
      <c r="H164" t="n">
        <v>0.004</v>
      </c>
      <c r="I164" t="n">
        <v>0</v>
      </c>
      <c r="J164" t="inlineStr">
        <is>
          <t>kgCO₂e/kg</t>
        </is>
      </c>
      <c r="K164">
        <f>Source!A4</f>
        <v/>
      </c>
      <c r="L164" t="inlineStr">
        <is>
          <t>Biochar Offtake Calculations.xlsx</t>
        </is>
      </c>
      <c r="Q164" t="inlineStr">
        <is>
          <t>mr_NZu8VFZpQQI7jAC2-out_hf7qVV7KHcGk4thf-0</t>
        </is>
      </c>
    </row>
    <row r="165">
      <c r="A165" t="inlineStr">
        <is>
          <t>dtp_1KXEH9XHQ1S05VA2</t>
        </is>
      </c>
      <c r="B165" t="inlineStr">
        <is>
          <t>derived</t>
        </is>
      </c>
      <c r="C165" t="inlineStr">
        <is>
          <t>Biochar Applied (wet mass) (Spreading) - Applied</t>
        </is>
      </c>
      <c r="D165" t="inlineStr">
        <is>
          <t>Biochar Applied (wet mass) (Spreading) - Applied</t>
        </is>
      </c>
      <c r="E165" s="2" t="n">
        <v>533.17</v>
      </c>
      <c r="F165" t="n">
        <v>0</v>
      </c>
      <c r="G165" t="inlineStr">
        <is>
          <t>kg</t>
        </is>
      </c>
      <c r="H165" t="n">
        <v>533.17</v>
      </c>
      <c r="I165" t="n">
        <v>0</v>
      </c>
      <c r="J165" t="inlineStr">
        <is>
          <t>kg</t>
        </is>
      </c>
      <c r="K165">
        <f>Source!A44</f>
        <v/>
      </c>
      <c r="L165" t="inlineStr">
        <is>
          <t>Chris Craig 6.6.26 Scale Tickets.png</t>
        </is>
      </c>
      <c r="M165">
        <f>Source!A50</f>
        <v/>
      </c>
      <c r="N165" t="inlineStr">
        <is>
          <t>Chris Craig Delivery Notes.xlsx</t>
        </is>
      </c>
      <c r="O165">
        <f>Source!A9</f>
        <v/>
      </c>
      <c r="P165" t="inlineStr">
        <is>
          <t>Production Period 1 Summary -- Final Submission (Updated 4_25).xlsx</t>
        </is>
      </c>
      <c r="Q165" t="inlineStr">
        <is>
          <t>mr_NZu8VFZpQQI7jAC2-out_0jBoYHtsohNZ8PAk-0</t>
        </is>
      </c>
    </row>
    <row r="166">
      <c r="A166" t="inlineStr">
        <is>
          <t>dtp_1KXEHA14N1S0FDBN</t>
        </is>
      </c>
      <c r="B166" t="inlineStr">
        <is>
          <t>derived</t>
        </is>
      </c>
      <c r="C166" t="inlineStr">
        <is>
          <t>Biochar - H/C_org - Applied</t>
        </is>
      </c>
      <c r="D166" t="inlineStr">
        <is>
          <t>Biochar - H/C_org - Applied</t>
        </is>
      </c>
      <c r="E166" s="2" t="n">
        <v>0.44</v>
      </c>
      <c r="F166" t="n">
        <v>0</v>
      </c>
      <c r="G166" t="inlineStr"/>
      <c r="H166" t="n">
        <v>0.44</v>
      </c>
      <c r="I166" t="n">
        <v>0</v>
      </c>
      <c r="J166" t="inlineStr"/>
      <c r="K166">
        <f>Source!A3</f>
        <v/>
      </c>
      <c r="L166" t="inlineStr">
        <is>
          <t>123 - Combined Lab Analyses.pdf</t>
        </is>
      </c>
      <c r="Q166" t="inlineStr">
        <is>
          <t>mr_L7EPz5SR4yg7eD1c-out_SlgcaWsappr9ZCL6-0</t>
        </is>
      </c>
    </row>
    <row r="167">
      <c r="A167" t="inlineStr">
        <is>
          <t>dtp_1KXEHA1N41S0CM8X</t>
        </is>
      </c>
      <c r="B167" t="inlineStr">
        <is>
          <t>derived</t>
        </is>
      </c>
      <c r="C167" t="inlineStr">
        <is>
          <t>Inorganic Carbon Content % - Applied</t>
        </is>
      </c>
      <c r="D167" t="inlineStr">
        <is>
          <t>Inorganic Carbon Content % - Applied</t>
        </is>
      </c>
      <c r="E167" s="2" t="n">
        <v>0.00267</v>
      </c>
      <c r="F167" t="n">
        <v>0</v>
      </c>
      <c r="G167" t="inlineStr"/>
      <c r="H167" t="n">
        <v>0.267</v>
      </c>
      <c r="I167" t="n">
        <v>0</v>
      </c>
      <c r="J167" t="inlineStr">
        <is>
          <t>%</t>
        </is>
      </c>
      <c r="K167">
        <f>Source!A3</f>
        <v/>
      </c>
      <c r="L167" t="inlineStr">
        <is>
          <t>123 - Combined Lab Analyses.pdf</t>
        </is>
      </c>
      <c r="Q167" t="inlineStr">
        <is>
          <t>mr_L7EPz5SR4yg7eD1c-out_RrRijQ8NSCwAInka-0</t>
        </is>
      </c>
    </row>
    <row r="168">
      <c r="A168" t="inlineStr">
        <is>
          <t>dtp_1KXEHA3DW1S07JVW</t>
        </is>
      </c>
      <c r="B168" t="inlineStr">
        <is>
          <t>derived</t>
        </is>
      </c>
      <c r="C168" t="inlineStr">
        <is>
          <t>Biochar Dry Weight (kg) (CO2 stored) - Applied</t>
        </is>
      </c>
      <c r="D168" t="inlineStr">
        <is>
          <t>Biochar Dry Weight (kg) (CO2 stored) - Applied</t>
        </is>
      </c>
      <c r="E168" s="2" t="n">
        <v>372.87962</v>
      </c>
      <c r="F168" t="n">
        <v>0</v>
      </c>
      <c r="G168" t="inlineStr">
        <is>
          <t>kg</t>
        </is>
      </c>
      <c r="H168" t="n">
        <v>372.87962</v>
      </c>
      <c r="I168" t="n">
        <v>0</v>
      </c>
      <c r="J168" t="inlineStr">
        <is>
          <t>kg</t>
        </is>
      </c>
      <c r="K168">
        <f>Source!A44</f>
        <v/>
      </c>
      <c r="L168" t="inlineStr">
        <is>
          <t>Chris Craig 6.6.26 Scale Tickets.png</t>
        </is>
      </c>
      <c r="M168">
        <f>Source!A3</f>
        <v/>
      </c>
      <c r="N168" t="inlineStr">
        <is>
          <t>123 - Combined Lab Analyses.pdf</t>
        </is>
      </c>
      <c r="O168">
        <f>Source!A50</f>
        <v/>
      </c>
      <c r="P168" t="inlineStr">
        <is>
          <t>Chris Craig Delivery Notes.xlsx</t>
        </is>
      </c>
      <c r="Q168" t="inlineStr">
        <is>
          <t>mr_NZu8VFZpQQI7jAC2-out_tHtEVo8cn1cKK0xD-0</t>
        </is>
      </c>
    </row>
    <row r="169">
      <c r="A169" t="inlineStr">
        <is>
          <t>dtp_1KXEHA3NN1S0XG1T</t>
        </is>
      </c>
      <c r="B169" t="inlineStr">
        <is>
          <t>derived</t>
        </is>
      </c>
      <c r="C169" t="inlineStr">
        <is>
          <t>Biochar Applied - Soil Temperature (Cel)</t>
        </is>
      </c>
      <c r="D169" t="inlineStr">
        <is>
          <t>Biochar Applied - Soil Temperature (Cel)</t>
        </is>
      </c>
      <c r="E169" s="2" t="n">
        <v>284.05</v>
      </c>
      <c r="F169" t="n">
        <v>0</v>
      </c>
      <c r="G169" t="inlineStr">
        <is>
          <t>K</t>
        </is>
      </c>
      <c r="H169" t="n">
        <v>10.9</v>
      </c>
      <c r="I169" t="n">
        <v>0</v>
      </c>
      <c r="J169" t="inlineStr">
        <is>
          <t>°C</t>
        </is>
      </c>
      <c r="K169">
        <f>Source!A41</f>
        <v/>
      </c>
      <c r="L169" t="inlineStr">
        <is>
          <t>soil_temperature_chris_craig.csv</t>
        </is>
      </c>
      <c r="Q169" t="inlineStr">
        <is>
          <t>mr_L7EPz5SR4yg7eD1c-out_WFEo3VxmWt0N3Yhc-0</t>
        </is>
      </c>
    </row>
    <row r="170">
      <c r="A170" t="inlineStr">
        <is>
          <t>dtp_1KXEHA3XH1S04SS4</t>
        </is>
      </c>
      <c r="B170" t="inlineStr">
        <is>
          <t>derived</t>
        </is>
      </c>
      <c r="C170" t="inlineStr">
        <is>
          <t>Organic Carbon Content % - Applied</t>
        </is>
      </c>
      <c r="D170" t="inlineStr">
        <is>
          <t>Organic Carbon Content % - Applied</t>
        </is>
      </c>
      <c r="E170" s="2" t="n">
        <v>0.8520000000000001</v>
      </c>
      <c r="F170" t="n">
        <v>0</v>
      </c>
      <c r="G170" t="inlineStr"/>
      <c r="H170" t="n">
        <v>85.2</v>
      </c>
      <c r="I170" t="n">
        <v>0</v>
      </c>
      <c r="J170" t="inlineStr">
        <is>
          <t>%</t>
        </is>
      </c>
      <c r="K170">
        <f>Source!A3</f>
        <v/>
      </c>
      <c r="L170" t="inlineStr">
        <is>
          <t>123 - Combined Lab Analyses.pdf</t>
        </is>
      </c>
      <c r="Q170" t="inlineStr">
        <is>
          <t>mr_NZu8VFZpQQI7jAC2-out_ye14SNxRG8b285JB-0</t>
        </is>
      </c>
    </row>
    <row r="171">
      <c r="A171" t="inlineStr">
        <is>
          <t>dtp_1KXEHA5NY1S0NNJ1</t>
        </is>
      </c>
      <c r="B171" t="inlineStr">
        <is>
          <t>derived</t>
        </is>
      </c>
      <c r="C171" t="inlineStr">
        <is>
          <t>Biochar Output - Carbon Intensity - Applied</t>
        </is>
      </c>
      <c r="D171" t="inlineStr">
        <is>
          <t>Biochar Output - Carbon Intensity - Applied</t>
        </is>
      </c>
      <c r="E171" s="2" t="n">
        <v>0.842</v>
      </c>
      <c r="F171" t="n">
        <v>0</v>
      </c>
      <c r="G171" t="inlineStr"/>
      <c r="H171" t="n">
        <v>0.842</v>
      </c>
      <c r="I171" t="n">
        <v>0</v>
      </c>
      <c r="J171" t="inlineStr">
        <is>
          <t>kgCO₂e/kg</t>
        </is>
      </c>
      <c r="K171">
        <f>Source!A38</f>
        <v/>
      </c>
      <c r="L171" t="inlineStr">
        <is>
          <t>Biochar CI Summary — All Production Periods.xlsx</t>
        </is>
      </c>
      <c r="M171">
        <f>Source!A11</f>
        <v/>
      </c>
      <c r="N171" t="inlineStr">
        <is>
          <t>Production Period 1 Summary -- Final Submission (Updated 4_25) (1).xlsx</t>
        </is>
      </c>
      <c r="O171">
        <f>Source!A9</f>
        <v/>
      </c>
      <c r="P171" t="inlineStr">
        <is>
          <t>Production Period 1 Summary -- Final Submission (Updated 4_25).xlsx</t>
        </is>
      </c>
      <c r="Q171" t="inlineStr">
        <is>
          <t>mr_NZu8VFZpQQI7jAC2-out_Oe27xWXZDsDMPXq9-0</t>
        </is>
      </c>
    </row>
    <row r="172">
      <c r="A172" t="inlineStr">
        <is>
          <t>dtp_1KXEHA6681S0490N</t>
        </is>
      </c>
      <c r="B172" t="inlineStr">
        <is>
          <t>derived</t>
        </is>
      </c>
      <c r="C172" t="inlineStr">
        <is>
          <t>Biochar Dry Product Weight (kg) (Pyrolysis) - Applied</t>
        </is>
      </c>
      <c r="D172" t="inlineStr">
        <is>
          <t>Biochar Dry Product Weight (kg) (Pyrolysis) - Applied</t>
        </is>
      </c>
      <c r="E172" s="2" t="n">
        <v>434.77</v>
      </c>
      <c r="F172" t="n">
        <v>0</v>
      </c>
      <c r="G172" t="inlineStr">
        <is>
          <t>kg</t>
        </is>
      </c>
      <c r="H172" t="n">
        <v>434.77</v>
      </c>
      <c r="I172" t="n">
        <v>0</v>
      </c>
      <c r="J172" t="inlineStr">
        <is>
          <t>kg</t>
        </is>
      </c>
      <c r="K172">
        <f>Source!A44</f>
        <v/>
      </c>
      <c r="L172" t="inlineStr">
        <is>
          <t>Chris Craig 6.6.26 Scale Tickets.png</t>
        </is>
      </c>
      <c r="M172">
        <f>Source!A50</f>
        <v/>
      </c>
      <c r="N172" t="inlineStr">
        <is>
          <t>Chris Craig Delivery Notes.xlsx</t>
        </is>
      </c>
      <c r="O172">
        <f>Source!A9</f>
        <v/>
      </c>
      <c r="P172" t="inlineStr">
        <is>
          <t>Production Period 1 Summary -- Final Submission (Updated 4_25).xlsx</t>
        </is>
      </c>
      <c r="Q172" t="inlineStr">
        <is>
          <t>mr_NZu8VFZpQQI7jAC2-out_P5psgmcwdDniayBV-0</t>
        </is>
      </c>
    </row>
    <row r="173">
      <c r="A173" t="inlineStr">
        <is>
          <t>dtp_1KXEHA7KK1S06HAY</t>
        </is>
      </c>
      <c r="B173" t="inlineStr">
        <is>
          <t>derived</t>
        </is>
      </c>
      <c r="C173" t="inlineStr">
        <is>
          <t>Copy - Truck EF</t>
        </is>
      </c>
      <c r="D173" t="inlineStr">
        <is>
          <t>Copy - Truck EF</t>
        </is>
      </c>
      <c r="E173" s="2" t="n">
        <v>8.599777300564702e-08</v>
      </c>
      <c r="F173" t="n">
        <v>0</v>
      </c>
      <c r="G173" t="inlineStr">
        <is>
          <t>1/m</t>
        </is>
      </c>
      <c r="H173" t="n">
        <v>0.1384</v>
      </c>
      <c r="I173" t="n">
        <v>0</v>
      </c>
      <c r="J173" t="inlineStr">
        <is>
          <t>kgCO₂e/(t⋅mi)</t>
        </is>
      </c>
      <c r="K173">
        <f>Source!A17</f>
        <v/>
      </c>
      <c r="L173" t="inlineStr">
        <is>
          <t>Standard Emission Factors + Calculations (8).xlsx</t>
        </is>
      </c>
      <c r="Q173" t="inlineStr">
        <is>
          <t>mr_NZu8VFZpQQI7jAC2-out_kz09qsYg6N3uHg55-0</t>
        </is>
      </c>
    </row>
    <row r="174">
      <c r="A174" t="inlineStr">
        <is>
          <t>dtp_1KXEHA9711S08SN7</t>
        </is>
      </c>
      <c r="B174" t="inlineStr">
        <is>
          <t>reported</t>
        </is>
      </c>
      <c r="C174" t="inlineStr">
        <is>
          <t>Biochar Applied - Delivery Distance (km)</t>
        </is>
      </c>
      <c r="D174" t="inlineStr">
        <is>
          <t>Biochar Applied - Delivery Distance (km)</t>
        </is>
      </c>
      <c r="E174" s="2" t="n">
        <v>278416.51</v>
      </c>
      <c r="F174" t="n">
        <v>0</v>
      </c>
      <c r="G174" t="inlineStr">
        <is>
          <t>m</t>
        </is>
      </c>
      <c r="H174" t="n">
        <v>278.41651</v>
      </c>
      <c r="I174" t="n">
        <v>0</v>
      </c>
      <c r="J174" t="inlineStr">
        <is>
          <t>km</t>
        </is>
      </c>
      <c r="K174">
        <f>Source!A18</f>
        <v/>
      </c>
      <c r="L174" t="inlineStr">
        <is>
          <t>CO to Chris Craig Distance (1).png</t>
        </is>
      </c>
      <c r="Q174" t="inlineStr">
        <is>
          <t>mr_NZu8VFZpQQI7jAC2-out_mh2j8s9fAROxQE7o-0</t>
        </is>
      </c>
    </row>
    <row r="175">
      <c r="A175" t="inlineStr">
        <is>
          <t>dtp_1KXEHA9WW1S0QD3V</t>
        </is>
      </c>
      <c r="B175" t="inlineStr">
        <is>
          <t>derived</t>
        </is>
      </c>
      <c r="C175" t="inlineStr">
        <is>
          <t>Biochar Transported (kg) - Applied</t>
        </is>
      </c>
      <c r="D175" t="inlineStr">
        <is>
          <t>Biochar Transported (kg) - Applied</t>
        </is>
      </c>
      <c r="E175" s="2" t="n">
        <v>557.27</v>
      </c>
      <c r="F175" t="n">
        <v>0</v>
      </c>
      <c r="G175" t="inlineStr">
        <is>
          <t>kg</t>
        </is>
      </c>
      <c r="H175" t="n">
        <v>557.27</v>
      </c>
      <c r="I175" t="n">
        <v>0</v>
      </c>
      <c r="J175" t="inlineStr">
        <is>
          <t>kg</t>
        </is>
      </c>
      <c r="K175">
        <f>Source!A44</f>
        <v/>
      </c>
      <c r="L175" t="inlineStr">
        <is>
          <t>Chris Craig 6.6.26 Scale Tickets.png</t>
        </is>
      </c>
      <c r="M175">
        <f>Source!A50</f>
        <v/>
      </c>
      <c r="N175" t="inlineStr">
        <is>
          <t>Chris Craig Delivery Notes.xlsx</t>
        </is>
      </c>
      <c r="O175">
        <f>Source!A9</f>
        <v/>
      </c>
      <c r="P175" t="inlineStr">
        <is>
          <t>Production Period 1 Summary -- Final Submission (Updated 4_25).xlsx</t>
        </is>
      </c>
      <c r="Q175" t="inlineStr">
        <is>
          <t>mr_NZu8VFZpQQI7jAC2-out_sVIPjpDBrGPnpupv-0</t>
        </is>
      </c>
    </row>
    <row r="176">
      <c r="A176" t="inlineStr">
        <is>
          <t>dtp_1KXEHAA4B1S060JF</t>
        </is>
      </c>
      <c r="B176" t="inlineStr">
        <is>
          <t>reported</t>
        </is>
      </c>
      <c r="C176" t="inlineStr">
        <is>
          <t>Emissions Factor - Flatbed Truck Transport Embodied Emissions (2025, CO)</t>
        </is>
      </c>
      <c r="D176" t="inlineStr">
        <is>
          <t>Emissions Factor - Flatbed Truck Transport Embodied Emissions (2025, CO)</t>
        </is>
      </c>
      <c r="E176" s="2" t="n">
        <v>0.0001197949629</v>
      </c>
      <c r="F176" t="n">
        <v>0</v>
      </c>
      <c r="G176" t="inlineStr">
        <is>
          <t>kg/m</t>
        </is>
      </c>
      <c r="H176" t="n">
        <v>0.1197949629</v>
      </c>
      <c r="I176" t="n">
        <v>0</v>
      </c>
      <c r="J176" t="inlineStr">
        <is>
          <t>kgCO₂e/km</t>
        </is>
      </c>
      <c r="K176">
        <f>Source!A17</f>
        <v/>
      </c>
      <c r="L176" t="inlineStr">
        <is>
          <t>Standard Emission Factors + Calculations (8).xlsx</t>
        </is>
      </c>
      <c r="Q176" t="inlineStr">
        <is>
          <t>mr_NZu8VFZpQQI7jAC2-out_mh5OWJEQ9TzkSjax-0</t>
        </is>
      </c>
    </row>
    <row r="177">
      <c r="A177" t="inlineStr">
        <is>
          <t>dtp_1KXEHAADP1S0DA9S</t>
        </is>
      </c>
      <c r="B177" t="inlineStr">
        <is>
          <t>reported</t>
        </is>
      </c>
      <c r="C177" t="inlineStr">
        <is>
          <t>Biochar Applied - Allocated Delivery Distance (km)</t>
        </is>
      </c>
      <c r="D177" t="inlineStr">
        <is>
          <t>Biochar Applied - Allocated Delivery Distance (km)</t>
        </is>
      </c>
      <c r="E177" s="2" t="n">
        <v>13252.63</v>
      </c>
      <c r="F177" t="n">
        <v>0</v>
      </c>
      <c r="G177" t="inlineStr">
        <is>
          <t>m</t>
        </is>
      </c>
      <c r="H177" t="n">
        <v>13.25263</v>
      </c>
      <c r="I177" t="n">
        <v>0</v>
      </c>
      <c r="J177" t="inlineStr">
        <is>
          <t>km</t>
        </is>
      </c>
      <c r="K177">
        <f>Source!A18</f>
        <v/>
      </c>
      <c r="L177" t="inlineStr">
        <is>
          <t>CO to Chris Craig Distance (1).png</t>
        </is>
      </c>
      <c r="Q177" t="inlineStr">
        <is>
          <t>mr_NZu8VFZpQQI7jAC2-out_hfoA89qbvT5XX9zd-0</t>
        </is>
      </c>
    </row>
    <row r="178">
      <c r="A178" t="inlineStr">
        <is>
          <t>dtp_1KXEHAAVZ1S01TEQ</t>
        </is>
      </c>
      <c r="B178" t="inlineStr">
        <is>
          <t>reported</t>
        </is>
      </c>
      <c r="C178" t="inlineStr">
        <is>
          <t>Attribution factor</t>
        </is>
      </c>
      <c r="E178" s="2" t="n">
        <v>1</v>
      </c>
      <c r="F178" t="n">
        <v>0</v>
      </c>
      <c r="G178" t="inlineStr"/>
      <c r="H178" t="n">
        <v>1</v>
      </c>
      <c r="I178" t="n">
        <v>0</v>
      </c>
      <c r="J178" t="inlineStr"/>
    </row>
    <row r="179">
      <c r="A179" t="inlineStr">
        <is>
          <t>dtp_1KXEHAAVZ1S09461</t>
        </is>
      </c>
      <c r="B179" t="inlineStr">
        <is>
          <t>reported</t>
        </is>
      </c>
      <c r="C179" t="inlineStr">
        <is>
          <t>Attribution factor</t>
        </is>
      </c>
      <c r="E179" s="2" t="n">
        <v>1</v>
      </c>
      <c r="F179" t="n">
        <v>0</v>
      </c>
      <c r="G179" t="inlineStr"/>
      <c r="H179" t="n">
        <v>1</v>
      </c>
      <c r="I179" t="n">
        <v>0</v>
      </c>
      <c r="J179" t="inlineStr"/>
    </row>
    <row r="180">
      <c r="A180" t="inlineStr">
        <is>
          <t>dtp_1KXEHAAVZ1S0E5K2</t>
        </is>
      </c>
      <c r="B180" t="inlineStr">
        <is>
          <t>reported</t>
        </is>
      </c>
      <c r="C180" t="inlineStr">
        <is>
          <t>Attribution factor</t>
        </is>
      </c>
      <c r="E180" s="2" t="n">
        <v>1</v>
      </c>
      <c r="F180" t="n">
        <v>0</v>
      </c>
      <c r="G180" t="inlineStr"/>
      <c r="H180" t="n">
        <v>1</v>
      </c>
      <c r="I180" t="n">
        <v>0</v>
      </c>
      <c r="J180" t="inlineStr"/>
    </row>
    <row r="181">
      <c r="A181" t="inlineStr">
        <is>
          <t>dtp_1KXEHAAVZ1S0TGQD</t>
        </is>
      </c>
      <c r="B181" t="inlineStr">
        <is>
          <t>reported</t>
        </is>
      </c>
      <c r="C181" t="inlineStr">
        <is>
          <t>Attribution factor</t>
        </is>
      </c>
      <c r="E181" s="2" t="n">
        <v>1</v>
      </c>
      <c r="F181" t="n">
        <v>0</v>
      </c>
      <c r="G181" t="inlineStr"/>
      <c r="H181" t="n">
        <v>1</v>
      </c>
      <c r="I181" t="n">
        <v>0</v>
      </c>
      <c r="J181" t="inlineStr"/>
    </row>
    <row r="182">
      <c r="A182" t="inlineStr">
        <is>
          <t>dtp_1KXEHAAVZ1S0WS1P</t>
        </is>
      </c>
      <c r="B182" t="inlineStr">
        <is>
          <t>reported</t>
        </is>
      </c>
      <c r="C182" t="inlineStr">
        <is>
          <t>Attribution factor</t>
        </is>
      </c>
      <c r="E182" s="2" t="n">
        <v>1</v>
      </c>
      <c r="F182" t="n">
        <v>0</v>
      </c>
      <c r="G182" t="inlineStr"/>
      <c r="H182" t="n">
        <v>1</v>
      </c>
      <c r="I182" t="n">
        <v>0</v>
      </c>
      <c r="J182" t="inlineStr"/>
    </row>
    <row r="183">
      <c r="A183" t="inlineStr">
        <is>
          <t>dtp_1KXEHM2ZW1S0B59D</t>
        </is>
      </c>
      <c r="B183" t="inlineStr">
        <is>
          <t>reported</t>
        </is>
      </c>
      <c r="C183" t="inlineStr">
        <is>
          <t>Attribution factor</t>
        </is>
      </c>
      <c r="E183" s="2" t="n">
        <v>1</v>
      </c>
      <c r="F183" t="n">
        <v>0</v>
      </c>
      <c r="G183" t="inlineStr"/>
      <c r="H183" t="n">
        <v>1</v>
      </c>
      <c r="I183" t="n">
        <v>0</v>
      </c>
      <c r="J183" t="inlineStr"/>
    </row>
    <row r="184">
      <c r="A184" t="inlineStr">
        <is>
          <t>dtp_1KXEHMFHS1S07VE6</t>
        </is>
      </c>
      <c r="B184" t="inlineStr">
        <is>
          <t>reported</t>
        </is>
      </c>
      <c r="C184" t="inlineStr">
        <is>
          <t>Constant CO₂ reduction</t>
        </is>
      </c>
      <c r="E184" s="2" t="n">
        <v>13.34</v>
      </c>
      <c r="F184" t="n">
        <v>0</v>
      </c>
      <c r="G184" t="inlineStr">
        <is>
          <t>kg</t>
        </is>
      </c>
      <c r="H184" t="n">
        <v>13.34</v>
      </c>
      <c r="I184" t="n">
        <v>0</v>
      </c>
      <c r="J184" t="inlineStr">
        <is>
          <t>kgCO₂e</t>
        </is>
      </c>
      <c r="K184">
        <f>Source!A19</f>
        <v/>
      </c>
      <c r="L184" t="inlineStr">
        <is>
          <t>Charm-RetirementCertificate-RD-EACs-20251218 (1).pdf</t>
        </is>
      </c>
    </row>
    <row r="185">
      <c r="A185" t="inlineStr">
        <is>
          <t>dtp_1KXEJBY101S0HR0K</t>
        </is>
      </c>
      <c r="B185" t="inlineStr">
        <is>
          <t>derived</t>
        </is>
      </c>
      <c r="C185" t="inlineStr">
        <is>
          <t>Emissions Factor - Biochar Spreading</t>
        </is>
      </c>
      <c r="D185" t="inlineStr">
        <is>
          <t>Emissions Factor - Biochar Spreading</t>
        </is>
      </c>
      <c r="E185" s="2" t="n">
        <v>0.004</v>
      </c>
      <c r="F185" t="n">
        <v>0</v>
      </c>
      <c r="G185" t="inlineStr"/>
      <c r="H185" t="n">
        <v>0.004</v>
      </c>
      <c r="I185" t="n">
        <v>0</v>
      </c>
      <c r="J185" t="inlineStr">
        <is>
          <t>kgCO₂e/kg</t>
        </is>
      </c>
      <c r="K185">
        <f>Source!A4</f>
        <v/>
      </c>
      <c r="L185" t="inlineStr">
        <is>
          <t>Biochar Offtake Calculations.xlsx</t>
        </is>
      </c>
      <c r="Q185" t="inlineStr">
        <is>
          <t>mr_FfD3F5CyIjBxhOVV-out_hf7qVV7KHcGk4thf-0</t>
        </is>
      </c>
    </row>
    <row r="186">
      <c r="A186" t="inlineStr">
        <is>
          <t>dtp_1KXEJBZQT1S0M0AW</t>
        </is>
      </c>
      <c r="B186" t="inlineStr">
        <is>
          <t>derived</t>
        </is>
      </c>
      <c r="C186" t="inlineStr">
        <is>
          <t>Biochar Applied (wet mass) (Spreading) - Applied</t>
        </is>
      </c>
      <c r="D186" t="inlineStr">
        <is>
          <t>Biochar Applied (wet mass) (Spreading) - Applied</t>
        </is>
      </c>
      <c r="E186" s="2" t="n">
        <v>6398.04</v>
      </c>
      <c r="F186" t="n">
        <v>0</v>
      </c>
      <c r="G186" t="inlineStr">
        <is>
          <t>kg</t>
        </is>
      </c>
      <c r="H186" t="n">
        <v>6398.04</v>
      </c>
      <c r="I186" t="n">
        <v>0</v>
      </c>
      <c r="J186" t="inlineStr">
        <is>
          <t>kg</t>
        </is>
      </c>
      <c r="K186">
        <f>Source!A44</f>
        <v/>
      </c>
      <c r="L186" t="inlineStr">
        <is>
          <t>Chris Craig 6.6.26 Scale Tickets.png</t>
        </is>
      </c>
      <c r="M186">
        <f>Source!A50</f>
        <v/>
      </c>
      <c r="N186" t="inlineStr">
        <is>
          <t>Chris Craig Delivery Notes.xlsx</t>
        </is>
      </c>
      <c r="O186">
        <f>Source!A20</f>
        <v/>
      </c>
      <c r="P186" t="inlineStr">
        <is>
          <t>Production Period 4 Summary.xlsx</t>
        </is>
      </c>
      <c r="Q186" t="inlineStr">
        <is>
          <t>mr_FfD3F5CyIjBxhOVV-out_0jBoYHtsohNZ8PAk-0</t>
        </is>
      </c>
    </row>
    <row r="187">
      <c r="A187" t="inlineStr">
        <is>
          <t>dtp_1KXEJC4HT1S0H784</t>
        </is>
      </c>
      <c r="B187" t="inlineStr">
        <is>
          <t>derived</t>
        </is>
      </c>
      <c r="C187" t="inlineStr">
        <is>
          <t>Biochar - H/C_org - Applied</t>
        </is>
      </c>
      <c r="D187" t="inlineStr">
        <is>
          <t>Biochar - H/C_org - Applied</t>
        </is>
      </c>
      <c r="E187" s="2" t="n">
        <v>0.46</v>
      </c>
      <c r="F187" t="n">
        <v>0</v>
      </c>
      <c r="G187" t="inlineStr"/>
      <c r="H187" t="n">
        <v>0.46</v>
      </c>
      <c r="I187" t="n">
        <v>0</v>
      </c>
      <c r="J187" t="inlineStr"/>
      <c r="K187">
        <f>Source!A21</f>
        <v/>
      </c>
      <c r="L187" t="inlineStr">
        <is>
          <t>253 - Combined Lab Analyses.pdf</t>
        </is>
      </c>
      <c r="Q187" t="inlineStr">
        <is>
          <t>mr_hkHI7g3Kke2sgnwj-out_SlgcaWsappr9ZCL6-0</t>
        </is>
      </c>
    </row>
    <row r="188">
      <c r="A188" t="inlineStr">
        <is>
          <t>dtp_1KXEJC5341S0NQWP</t>
        </is>
      </c>
      <c r="B188" t="inlineStr">
        <is>
          <t>derived</t>
        </is>
      </c>
      <c r="C188" t="inlineStr">
        <is>
          <t>Inorganic Carbon Content % - Applied</t>
        </is>
      </c>
      <c r="D188" t="inlineStr">
        <is>
          <t>Inorganic Carbon Content % - Applied</t>
        </is>
      </c>
      <c r="E188" s="2" t="n">
        <v>0.002</v>
      </c>
      <c r="F188" t="n">
        <v>0</v>
      </c>
      <c r="G188" t="inlineStr"/>
      <c r="H188" t="n">
        <v>0.2</v>
      </c>
      <c r="I188" t="n">
        <v>0</v>
      </c>
      <c r="J188" t="inlineStr">
        <is>
          <t>%</t>
        </is>
      </c>
      <c r="K188">
        <f>Source!A22</f>
        <v/>
      </c>
      <c r="L188" t="inlineStr">
        <is>
          <t>253 - Combined Lab Analyses.pdf</t>
        </is>
      </c>
      <c r="Q188" t="inlineStr">
        <is>
          <t>mr_hkHI7g3Kke2sgnwj-out_RrRijQ8NSCwAInka-0</t>
        </is>
      </c>
    </row>
    <row r="189">
      <c r="A189" t="inlineStr">
        <is>
          <t>dtp_1KXEJC6H21S0GPFN</t>
        </is>
      </c>
      <c r="B189" t="inlineStr">
        <is>
          <t>derived</t>
        </is>
      </c>
      <c r="C189" t="inlineStr">
        <is>
          <t>Biochar Dry Weight (kg) (CO2 stored) - Applied</t>
        </is>
      </c>
      <c r="D189" t="inlineStr">
        <is>
          <t>Biochar Dry Weight (kg) (CO2 stored) - Applied</t>
        </is>
      </c>
      <c r="E189" s="2" t="n">
        <v>4076.1414</v>
      </c>
      <c r="F189" t="n">
        <v>0</v>
      </c>
      <c r="G189" t="inlineStr">
        <is>
          <t>kg</t>
        </is>
      </c>
      <c r="H189" t="n">
        <v>4076.1414</v>
      </c>
      <c r="I189" t="n">
        <v>0</v>
      </c>
      <c r="J189" t="inlineStr">
        <is>
          <t>kg</t>
        </is>
      </c>
      <c r="K189">
        <f>Source!A44</f>
        <v/>
      </c>
      <c r="L189" t="inlineStr">
        <is>
          <t>Chris Craig 6.6.26 Scale Tickets.png</t>
        </is>
      </c>
      <c r="M189">
        <f>Source!A22</f>
        <v/>
      </c>
      <c r="N189" t="inlineStr">
        <is>
          <t>253 - Combined Lab Analyses.pdf</t>
        </is>
      </c>
      <c r="O189">
        <f>Source!A50</f>
        <v/>
      </c>
      <c r="P189" t="inlineStr">
        <is>
          <t>Chris Craig Delivery Notes.xlsx</t>
        </is>
      </c>
      <c r="Q189" t="inlineStr">
        <is>
          <t>mr_FfD3F5CyIjBxhOVV-out_tHtEVo8cn1cKK0xD-0</t>
        </is>
      </c>
    </row>
    <row r="190">
      <c r="A190" t="inlineStr">
        <is>
          <t>dtp_1KXEJC7181S06KNK</t>
        </is>
      </c>
      <c r="B190" t="inlineStr">
        <is>
          <t>derived</t>
        </is>
      </c>
      <c r="C190" t="inlineStr">
        <is>
          <t>Biochar Applied - Soil Temperature (Cel)</t>
        </is>
      </c>
      <c r="D190" t="inlineStr">
        <is>
          <t>Biochar Applied - Soil Temperature (Cel)</t>
        </is>
      </c>
      <c r="E190" s="2" t="n">
        <v>284.05</v>
      </c>
      <c r="F190" t="n">
        <v>0</v>
      </c>
      <c r="G190" t="inlineStr">
        <is>
          <t>K</t>
        </is>
      </c>
      <c r="H190" t="n">
        <v>10.9</v>
      </c>
      <c r="I190" t="n">
        <v>0</v>
      </c>
      <c r="J190" t="inlineStr">
        <is>
          <t>°C</t>
        </is>
      </c>
      <c r="K190">
        <f>Source!A41</f>
        <v/>
      </c>
      <c r="L190" t="inlineStr">
        <is>
          <t>soil_temperature_chris_craig.csv</t>
        </is>
      </c>
      <c r="Q190" t="inlineStr">
        <is>
          <t>mr_hkHI7g3Kke2sgnwj-out_WFEo3VxmWt0N3Yhc-0</t>
        </is>
      </c>
    </row>
    <row r="191">
      <c r="A191" t="inlineStr">
        <is>
          <t>dtp_1KXEJC7HD1S0DXCX</t>
        </is>
      </c>
      <c r="B191" t="inlineStr">
        <is>
          <t>derived</t>
        </is>
      </c>
      <c r="C191" t="inlineStr">
        <is>
          <t>Organic Carbon Content % - Applied</t>
        </is>
      </c>
      <c r="D191" t="inlineStr">
        <is>
          <t>Organic Carbon Content % - Applied</t>
        </is>
      </c>
      <c r="E191" s="2" t="n">
        <v>0.84133</v>
      </c>
      <c r="F191" t="n">
        <v>0</v>
      </c>
      <c r="G191" t="inlineStr"/>
      <c r="H191" t="n">
        <v>84.133</v>
      </c>
      <c r="I191" t="n">
        <v>0</v>
      </c>
      <c r="J191" t="inlineStr">
        <is>
          <t>%</t>
        </is>
      </c>
      <c r="K191">
        <f>Source!A21</f>
        <v/>
      </c>
      <c r="L191" t="inlineStr">
        <is>
          <t>253 - Combined Lab Analyses.pdf</t>
        </is>
      </c>
      <c r="Q191" t="inlineStr">
        <is>
          <t>mr_FfD3F5CyIjBxhOVV-out_ye14SNxRG8b285JB-0</t>
        </is>
      </c>
    </row>
    <row r="192">
      <c r="A192" t="inlineStr">
        <is>
          <t>dtp_1KXEJC8XG1S062X4</t>
        </is>
      </c>
      <c r="B192" t="inlineStr">
        <is>
          <t>reported</t>
        </is>
      </c>
      <c r="C192" t="inlineStr">
        <is>
          <t>Biochar Output - Carbon Intensity - Applied</t>
        </is>
      </c>
      <c r="D192" t="inlineStr">
        <is>
          <t>Biochar Output - Carbon Intensity - Applied</t>
        </is>
      </c>
      <c r="E192" s="2" t="n">
        <v>1.1003</v>
      </c>
      <c r="F192" t="n">
        <v>0</v>
      </c>
      <c r="G192" t="inlineStr"/>
      <c r="H192" t="n">
        <v>1.1003</v>
      </c>
      <c r="I192" t="n">
        <v>0</v>
      </c>
      <c r="J192" t="inlineStr">
        <is>
          <t>kgCO₂e/kg</t>
        </is>
      </c>
      <c r="K192">
        <f>Source!A38</f>
        <v/>
      </c>
      <c r="L192" t="inlineStr">
        <is>
          <t>Biochar CI Summary — All Production Periods.xlsx</t>
        </is>
      </c>
      <c r="M192">
        <f>Source!A24</f>
        <v/>
      </c>
      <c r="N192" t="inlineStr">
        <is>
          <t>Production Period 4 Summary.xlsx</t>
        </is>
      </c>
      <c r="Q192" t="inlineStr">
        <is>
          <t>mr_FfD3F5CyIjBxhOVV-out_Oe27xWXZDsDMPXq9-0</t>
        </is>
      </c>
    </row>
    <row r="193">
      <c r="A193" t="inlineStr">
        <is>
          <t>dtp_1KXEJC9GK1S0MPBR</t>
        </is>
      </c>
      <c r="B193" t="inlineStr">
        <is>
          <t>derived</t>
        </is>
      </c>
      <c r="C193" t="inlineStr">
        <is>
          <t>Biochar Dry Product Weight (kg) (Pyrolysis) - Applied</t>
        </is>
      </c>
      <c r="D193" t="inlineStr">
        <is>
          <t>Biochar Dry Product Weight (kg) (Pyrolysis) - Applied</t>
        </is>
      </c>
      <c r="E193" s="2" t="n">
        <v>5217.24</v>
      </c>
      <c r="F193" t="n">
        <v>0</v>
      </c>
      <c r="G193" t="inlineStr">
        <is>
          <t>kg</t>
        </is>
      </c>
      <c r="H193" t="n">
        <v>5217.24</v>
      </c>
      <c r="I193" t="n">
        <v>0</v>
      </c>
      <c r="J193" t="inlineStr">
        <is>
          <t>kg</t>
        </is>
      </c>
      <c r="K193">
        <f>Source!A44</f>
        <v/>
      </c>
      <c r="L193" t="inlineStr">
        <is>
          <t>Chris Craig 6.6.26 Scale Tickets.png</t>
        </is>
      </c>
      <c r="M193">
        <f>Source!A50</f>
        <v/>
      </c>
      <c r="N193" t="inlineStr">
        <is>
          <t>Chris Craig Delivery Notes.xlsx</t>
        </is>
      </c>
      <c r="O193">
        <f>Source!A20</f>
        <v/>
      </c>
      <c r="P193" t="inlineStr">
        <is>
          <t>Production Period 4 Summary.xlsx</t>
        </is>
      </c>
      <c r="Q193" t="inlineStr">
        <is>
          <t>mr_FfD3F5CyIjBxhOVV-out_P5psgmcwdDniayBV-0</t>
        </is>
      </c>
    </row>
    <row r="194">
      <c r="A194" t="inlineStr">
        <is>
          <t>dtp_1KXEJCB0H1S0PYP1</t>
        </is>
      </c>
      <c r="B194" t="inlineStr">
        <is>
          <t>derived</t>
        </is>
      </c>
      <c r="C194" t="inlineStr">
        <is>
          <t>Copy - Truck EF</t>
        </is>
      </c>
      <c r="D194" t="inlineStr">
        <is>
          <t>Copy - Truck EF</t>
        </is>
      </c>
      <c r="E194" s="2" t="n">
        <v>8.599777300564702e-08</v>
      </c>
      <c r="F194" t="n">
        <v>0</v>
      </c>
      <c r="G194" t="inlineStr">
        <is>
          <t>1/m</t>
        </is>
      </c>
      <c r="H194" t="n">
        <v>0.1384</v>
      </c>
      <c r="I194" t="n">
        <v>0</v>
      </c>
      <c r="J194" t="inlineStr">
        <is>
          <t>kgCO₂e/(t⋅mi)</t>
        </is>
      </c>
      <c r="K194">
        <f>Source!A17</f>
        <v/>
      </c>
      <c r="L194" t="inlineStr">
        <is>
          <t>Standard Emission Factors + Calculations (8).xlsx</t>
        </is>
      </c>
      <c r="Q194" t="inlineStr">
        <is>
          <t>mr_FfD3F5CyIjBxhOVV-out_kz09qsYg6N3uHg55-0</t>
        </is>
      </c>
    </row>
    <row r="195">
      <c r="A195" t="inlineStr">
        <is>
          <t>dtp_1KXEJCEKJ1S07TEY</t>
        </is>
      </c>
      <c r="B195" t="inlineStr">
        <is>
          <t>reported</t>
        </is>
      </c>
      <c r="C195" t="inlineStr">
        <is>
          <t>Biochar Applied - Delivery Distance (km)</t>
        </is>
      </c>
      <c r="D195" t="inlineStr">
        <is>
          <t>Biochar Applied - Delivery Distance (km)</t>
        </is>
      </c>
      <c r="E195" s="2" t="n">
        <v>278416.51</v>
      </c>
      <c r="F195" t="n">
        <v>0</v>
      </c>
      <c r="G195" t="inlineStr">
        <is>
          <t>m</t>
        </is>
      </c>
      <c r="H195" t="n">
        <v>278.41651</v>
      </c>
      <c r="I195" t="n">
        <v>0</v>
      </c>
      <c r="J195" t="inlineStr">
        <is>
          <t>km</t>
        </is>
      </c>
      <c r="K195">
        <f>Source!A18</f>
        <v/>
      </c>
      <c r="L195" t="inlineStr">
        <is>
          <t>CO to Chris Craig Distance (1).png</t>
        </is>
      </c>
      <c r="Q195" t="inlineStr">
        <is>
          <t>mr_FfD3F5CyIjBxhOVV-out_mh2j8s9fAROxQE7o-0</t>
        </is>
      </c>
    </row>
    <row r="196">
      <c r="A196" t="inlineStr">
        <is>
          <t>dtp_1KXEJCFDW1S0XQMW</t>
        </is>
      </c>
      <c r="B196" t="inlineStr">
        <is>
          <t>derived</t>
        </is>
      </c>
      <c r="C196" t="inlineStr">
        <is>
          <t>Biochar Transported (kg) - Applied</t>
        </is>
      </c>
      <c r="D196" t="inlineStr">
        <is>
          <t>Biochar Transported (kg) - Applied</t>
        </is>
      </c>
      <c r="E196" s="2" t="n">
        <v>6687.242057</v>
      </c>
      <c r="F196" t="n">
        <v>0</v>
      </c>
      <c r="G196" t="inlineStr">
        <is>
          <t>kg</t>
        </is>
      </c>
      <c r="H196" t="n">
        <v>6687.242057</v>
      </c>
      <c r="I196" t="n">
        <v>0</v>
      </c>
      <c r="J196" t="inlineStr">
        <is>
          <t>kg</t>
        </is>
      </c>
      <c r="K196">
        <f>Source!A44</f>
        <v/>
      </c>
      <c r="L196" t="inlineStr">
        <is>
          <t>Chris Craig 6.6.26 Scale Tickets.png</t>
        </is>
      </c>
      <c r="M196">
        <f>Source!A50</f>
        <v/>
      </c>
      <c r="N196" t="inlineStr">
        <is>
          <t>Chris Craig Delivery Notes.xlsx</t>
        </is>
      </c>
      <c r="O196">
        <f>Source!A20</f>
        <v/>
      </c>
      <c r="P196" t="inlineStr">
        <is>
          <t>Production Period 4 Summary.xlsx</t>
        </is>
      </c>
      <c r="Q196" t="inlineStr">
        <is>
          <t>mr_FfD3F5CyIjBxhOVV-out_sVIPjpDBrGPnpupv-0</t>
        </is>
      </c>
    </row>
    <row r="197">
      <c r="A197" t="inlineStr">
        <is>
          <t>dtp_1KXEJCFWR1S0CB3G</t>
        </is>
      </c>
      <c r="B197" t="inlineStr">
        <is>
          <t>reported</t>
        </is>
      </c>
      <c r="C197" t="inlineStr">
        <is>
          <t>Emissions Factor - Flatbed Truck Transport Embodied Emissions (2025, CO)</t>
        </is>
      </c>
      <c r="D197" t="inlineStr">
        <is>
          <t>Emissions Factor - Flatbed Truck Transport Embodied Emissions (2025, CO)</t>
        </is>
      </c>
      <c r="E197" s="2" t="n">
        <v>0.0001197949629</v>
      </c>
      <c r="F197" t="n">
        <v>0</v>
      </c>
      <c r="G197" t="inlineStr">
        <is>
          <t>kg/m</t>
        </is>
      </c>
      <c r="H197" t="n">
        <v>0.1197949629</v>
      </c>
      <c r="I197" t="n">
        <v>0</v>
      </c>
      <c r="J197" t="inlineStr">
        <is>
          <t>kgCO₂e/km</t>
        </is>
      </c>
      <c r="K197">
        <f>Source!A17</f>
        <v/>
      </c>
      <c r="L197" t="inlineStr">
        <is>
          <t>Standard Emission Factors + Calculations (8).xlsx</t>
        </is>
      </c>
      <c r="Q197" t="inlineStr">
        <is>
          <t>mr_FfD3F5CyIjBxhOVV-out_mh5OWJEQ9TzkSjax-0</t>
        </is>
      </c>
    </row>
    <row r="198">
      <c r="A198" t="inlineStr">
        <is>
          <t>dtp_1KXEJCGG91S0KMTT</t>
        </is>
      </c>
      <c r="B198" t="inlineStr">
        <is>
          <t>reported</t>
        </is>
      </c>
      <c r="C198" t="inlineStr">
        <is>
          <t>Biochar Applied - Allocated Delivery Distance (km)</t>
        </is>
      </c>
      <c r="D198" t="inlineStr">
        <is>
          <t>Biochar Applied - Allocated Delivery Distance (km)</t>
        </is>
      </c>
      <c r="E198" s="2" t="n">
        <v>159087.19</v>
      </c>
      <c r="F198" t="n">
        <v>0</v>
      </c>
      <c r="G198" t="inlineStr">
        <is>
          <t>m</t>
        </is>
      </c>
      <c r="H198" t="n">
        <v>159.08719</v>
      </c>
      <c r="I198" t="n">
        <v>0</v>
      </c>
      <c r="J198" t="inlineStr">
        <is>
          <t>km</t>
        </is>
      </c>
      <c r="K198">
        <f>Source!A18</f>
        <v/>
      </c>
      <c r="L198" t="inlineStr">
        <is>
          <t>CO to Chris Craig Distance (1).png</t>
        </is>
      </c>
      <c r="Q198" t="inlineStr">
        <is>
          <t>mr_FfD3F5CyIjBxhOVV-out_hfoA89qbvT5XX9zd-0</t>
        </is>
      </c>
    </row>
    <row r="199">
      <c r="A199" t="inlineStr">
        <is>
          <t>dtp_1KXEJCGYM1S084ZR</t>
        </is>
      </c>
      <c r="B199" t="inlineStr">
        <is>
          <t>reported</t>
        </is>
      </c>
      <c r="C199" t="inlineStr">
        <is>
          <t>Attribution factor</t>
        </is>
      </c>
      <c r="E199" s="2" t="n">
        <v>1</v>
      </c>
      <c r="F199" t="n">
        <v>0</v>
      </c>
      <c r="G199" t="inlineStr"/>
      <c r="H199" t="n">
        <v>1</v>
      </c>
      <c r="I199" t="n">
        <v>0</v>
      </c>
      <c r="J199" t="inlineStr"/>
    </row>
    <row r="200">
      <c r="A200" t="inlineStr">
        <is>
          <t>dtp_1KXEJCGYM1S0ADA1</t>
        </is>
      </c>
      <c r="B200" t="inlineStr">
        <is>
          <t>reported</t>
        </is>
      </c>
      <c r="C200" t="inlineStr">
        <is>
          <t>Attribution factor</t>
        </is>
      </c>
      <c r="E200" s="2" t="n">
        <v>1</v>
      </c>
      <c r="F200" t="n">
        <v>0</v>
      </c>
      <c r="G200" t="inlineStr"/>
      <c r="H200" t="n">
        <v>1</v>
      </c>
      <c r="I200" t="n">
        <v>0</v>
      </c>
      <c r="J200" t="inlineStr"/>
    </row>
    <row r="201">
      <c r="A201" t="inlineStr">
        <is>
          <t>dtp_1KXEJCGYM1S0FEQ2</t>
        </is>
      </c>
      <c r="B201" t="inlineStr">
        <is>
          <t>reported</t>
        </is>
      </c>
      <c r="C201" t="inlineStr">
        <is>
          <t>Attribution factor</t>
        </is>
      </c>
      <c r="E201" s="2" t="n">
        <v>1</v>
      </c>
      <c r="F201" t="n">
        <v>0</v>
      </c>
      <c r="G201" t="inlineStr"/>
      <c r="H201" t="n">
        <v>1</v>
      </c>
      <c r="I201" t="n">
        <v>0</v>
      </c>
      <c r="J201" t="inlineStr"/>
    </row>
    <row r="202">
      <c r="A202" t="inlineStr">
        <is>
          <t>dtp_1KXEJCGYM1S0PREC</t>
        </is>
      </c>
      <c r="B202" t="inlineStr">
        <is>
          <t>reported</t>
        </is>
      </c>
      <c r="C202" t="inlineStr">
        <is>
          <t>Attribution factor</t>
        </is>
      </c>
      <c r="E202" s="2" t="n">
        <v>1</v>
      </c>
      <c r="F202" t="n">
        <v>0</v>
      </c>
      <c r="G202" t="inlineStr"/>
      <c r="H202" t="n">
        <v>1</v>
      </c>
      <c r="I202" t="n">
        <v>0</v>
      </c>
      <c r="J202" t="inlineStr"/>
    </row>
    <row r="203">
      <c r="A203" t="inlineStr">
        <is>
          <t>dtp_1KXEJCGYM1S0VSVD</t>
        </is>
      </c>
      <c r="B203" t="inlineStr">
        <is>
          <t>reported</t>
        </is>
      </c>
      <c r="C203" t="inlineStr">
        <is>
          <t>Attribution factor</t>
        </is>
      </c>
      <c r="E203" s="2" t="n">
        <v>1</v>
      </c>
      <c r="F203" t="n">
        <v>0</v>
      </c>
      <c r="G203" t="inlineStr"/>
      <c r="H203" t="n">
        <v>1</v>
      </c>
      <c r="I203" t="n">
        <v>0</v>
      </c>
      <c r="J203" t="inlineStr"/>
    </row>
    <row r="204">
      <c r="A204" t="inlineStr">
        <is>
          <t>dtp_1KXEJCJSV1S00FRC</t>
        </is>
      </c>
      <c r="B204" t="inlineStr">
        <is>
          <t>derived</t>
        </is>
      </c>
      <c r="C204" t="inlineStr">
        <is>
          <t>Emissions Factor - Biochar Spreading</t>
        </is>
      </c>
      <c r="D204" t="inlineStr">
        <is>
          <t>Emissions Factor - Biochar Spreading</t>
        </is>
      </c>
      <c r="E204" s="2" t="n">
        <v>0.004</v>
      </c>
      <c r="F204" t="n">
        <v>0</v>
      </c>
      <c r="G204" t="inlineStr"/>
      <c r="H204" t="n">
        <v>0.004</v>
      </c>
      <c r="I204" t="n">
        <v>0</v>
      </c>
      <c r="J204" t="inlineStr">
        <is>
          <t>kgCO₂e/kg</t>
        </is>
      </c>
      <c r="K204">
        <f>Source!A4</f>
        <v/>
      </c>
      <c r="L204" t="inlineStr">
        <is>
          <t>Biochar Offtake Calculations.xlsx</t>
        </is>
      </c>
      <c r="Q204" t="inlineStr">
        <is>
          <t>mr_cPnK0HRZGgdYvbyo-out_hf7qVV7KHcGk4thf-0</t>
        </is>
      </c>
    </row>
    <row r="205">
      <c r="A205" t="inlineStr">
        <is>
          <t>dtp_1KXEJCMFS1S02R2N</t>
        </is>
      </c>
      <c r="B205" t="inlineStr">
        <is>
          <t>derived</t>
        </is>
      </c>
      <c r="C205" t="inlineStr">
        <is>
          <t>Biochar Applied (wet mass) (Spreading) - Applied</t>
        </is>
      </c>
      <c r="D205" t="inlineStr">
        <is>
          <t>Biochar Applied (wet mass) (Spreading) - Applied</t>
        </is>
      </c>
      <c r="E205" s="2" t="n">
        <v>2132.68</v>
      </c>
      <c r="F205" t="n">
        <v>0</v>
      </c>
      <c r="G205" t="inlineStr">
        <is>
          <t>kg</t>
        </is>
      </c>
      <c r="H205" t="n">
        <v>2132.68</v>
      </c>
      <c r="I205" t="n">
        <v>0</v>
      </c>
      <c r="J205" t="inlineStr">
        <is>
          <t>kg</t>
        </is>
      </c>
      <c r="K205">
        <f>Source!A44</f>
        <v/>
      </c>
      <c r="L205" t="inlineStr">
        <is>
          <t>Chris Craig 6.6.26 Scale Tickets.png</t>
        </is>
      </c>
      <c r="M205">
        <f>Source!A50</f>
        <v/>
      </c>
      <c r="N205" t="inlineStr">
        <is>
          <t>Chris Craig Delivery Notes.xlsx</t>
        </is>
      </c>
      <c r="O205">
        <f>Source!A53</f>
        <v/>
      </c>
      <c r="P205" t="inlineStr">
        <is>
          <t>Production Period 6 Summary.xlsx</t>
        </is>
      </c>
      <c r="Q205" t="inlineStr">
        <is>
          <t>mr_cPnK0HRZGgdYvbyo-out_0jBoYHtsohNZ8PAk-0</t>
        </is>
      </c>
    </row>
    <row r="206">
      <c r="A206" t="inlineStr">
        <is>
          <t>dtp_1KXEJCS2R1S0ZYZX</t>
        </is>
      </c>
      <c r="B206" t="inlineStr">
        <is>
          <t>derived</t>
        </is>
      </c>
      <c r="C206" t="inlineStr">
        <is>
          <t>Biochar - H/C_org - Applied</t>
        </is>
      </c>
      <c r="D206" t="inlineStr">
        <is>
          <t>Biochar - H/C_org - Applied</t>
        </is>
      </c>
      <c r="E206" s="2" t="n">
        <v>0.45667</v>
      </c>
      <c r="F206" t="n">
        <v>0</v>
      </c>
      <c r="G206" t="inlineStr"/>
      <c r="H206" t="n">
        <v>0.45667</v>
      </c>
      <c r="I206" t="n">
        <v>0</v>
      </c>
      <c r="J206" t="inlineStr"/>
      <c r="K206">
        <f>Source!A14</f>
        <v/>
      </c>
      <c r="L206" t="inlineStr">
        <is>
          <t>255 - Combined Lab Analyses.pdf</t>
        </is>
      </c>
      <c r="Q206" t="inlineStr">
        <is>
          <t>mr_THUP5jRvGnoqqXKT-out_SlgcaWsappr9ZCL6-0</t>
        </is>
      </c>
    </row>
    <row r="207">
      <c r="A207" t="inlineStr">
        <is>
          <t>dtp_1KXEJCSMF1S04FMF</t>
        </is>
      </c>
      <c r="B207" t="inlineStr">
        <is>
          <t>derived</t>
        </is>
      </c>
      <c r="C207" t="inlineStr">
        <is>
          <t>Inorganic Carbon Content % - Applied</t>
        </is>
      </c>
      <c r="D207" t="inlineStr">
        <is>
          <t>Inorganic Carbon Content % - Applied</t>
        </is>
      </c>
      <c r="E207" s="2" t="n">
        <v>0.002</v>
      </c>
      <c r="F207" t="n">
        <v>0</v>
      </c>
      <c r="G207" t="inlineStr"/>
      <c r="H207" t="n">
        <v>0.2</v>
      </c>
      <c r="I207" t="n">
        <v>0</v>
      </c>
      <c r="J207" t="inlineStr">
        <is>
          <t>%</t>
        </is>
      </c>
      <c r="K207">
        <f>Source!A15</f>
        <v/>
      </c>
      <c r="L207" t="inlineStr">
        <is>
          <t>255 - Combined Lab Analyses.pdf</t>
        </is>
      </c>
      <c r="Q207" t="inlineStr">
        <is>
          <t>mr_THUP5jRvGnoqqXKT-out_RrRijQ8NSCwAInka-0</t>
        </is>
      </c>
    </row>
    <row r="208">
      <c r="A208" t="inlineStr">
        <is>
          <t>dtp_1KXEJCV221S0ZE7E</t>
        </is>
      </c>
      <c r="B208" t="inlineStr">
        <is>
          <t>derived</t>
        </is>
      </c>
      <c r="C208" t="inlineStr">
        <is>
          <t>Biochar Dry Weight (kg) (CO2 stored) - Applied</t>
        </is>
      </c>
      <c r="D208" t="inlineStr">
        <is>
          <t>Biochar Dry Weight (kg) (CO2 stored) - Applied</t>
        </is>
      </c>
      <c r="E208" s="2" t="n">
        <v>1541.41617</v>
      </c>
      <c r="F208" t="n">
        <v>0</v>
      </c>
      <c r="G208" t="inlineStr">
        <is>
          <t>kg</t>
        </is>
      </c>
      <c r="H208" t="n">
        <v>1541.41617</v>
      </c>
      <c r="I208" t="n">
        <v>0</v>
      </c>
      <c r="J208" t="inlineStr">
        <is>
          <t>kg</t>
        </is>
      </c>
      <c r="K208">
        <f>Source!A44</f>
        <v/>
      </c>
      <c r="L208" t="inlineStr">
        <is>
          <t>Chris Craig 6.6.26 Scale Tickets.png</t>
        </is>
      </c>
      <c r="M208">
        <f>Source!A15</f>
        <v/>
      </c>
      <c r="N208" t="inlineStr">
        <is>
          <t>255 - Combined Lab Analyses.pdf</t>
        </is>
      </c>
      <c r="O208">
        <f>Source!A50</f>
        <v/>
      </c>
      <c r="P208" t="inlineStr">
        <is>
          <t>Chris Craig Delivery Notes.xlsx</t>
        </is>
      </c>
      <c r="Q208" t="inlineStr">
        <is>
          <t>mr_cPnK0HRZGgdYvbyo-out_tHtEVo8cn1cKK0xD-0</t>
        </is>
      </c>
    </row>
    <row r="209">
      <c r="A209" t="inlineStr">
        <is>
          <t>dtp_1KXEJCVAM1S0NBDC</t>
        </is>
      </c>
      <c r="B209" t="inlineStr">
        <is>
          <t>derived</t>
        </is>
      </c>
      <c r="C209" t="inlineStr">
        <is>
          <t>Biochar Applied - Soil Temperature (Cel)</t>
        </is>
      </c>
      <c r="D209" t="inlineStr">
        <is>
          <t>Biochar Applied - Soil Temperature (Cel)</t>
        </is>
      </c>
      <c r="E209" s="2" t="n">
        <v>284.05</v>
      </c>
      <c r="F209" t="n">
        <v>0</v>
      </c>
      <c r="G209" t="inlineStr">
        <is>
          <t>K</t>
        </is>
      </c>
      <c r="H209" t="n">
        <v>10.9</v>
      </c>
      <c r="I209" t="n">
        <v>0</v>
      </c>
      <c r="J209" t="inlineStr">
        <is>
          <t>°C</t>
        </is>
      </c>
      <c r="K209">
        <f>Source!A41</f>
        <v/>
      </c>
      <c r="L209" t="inlineStr">
        <is>
          <t>soil_temperature_chris_craig.csv</t>
        </is>
      </c>
      <c r="Q209" t="inlineStr">
        <is>
          <t>mr_THUP5jRvGnoqqXKT-out_WFEo3VxmWt0N3Yhc-0</t>
        </is>
      </c>
    </row>
    <row r="210">
      <c r="A210" t="inlineStr">
        <is>
          <t>dtp_1KXEJCVV61S0WN4P</t>
        </is>
      </c>
      <c r="B210" t="inlineStr">
        <is>
          <t>derived</t>
        </is>
      </c>
      <c r="C210" t="inlineStr">
        <is>
          <t>Organic Carbon Content % - Applied</t>
        </is>
      </c>
      <c r="D210" t="inlineStr">
        <is>
          <t>Organic Carbon Content % - Applied</t>
        </is>
      </c>
      <c r="E210" s="2" t="n">
        <v>0.836</v>
      </c>
      <c r="F210" t="n">
        <v>0</v>
      </c>
      <c r="G210" t="inlineStr"/>
      <c r="H210" t="n">
        <v>83.59999999999999</v>
      </c>
      <c r="I210" t="n">
        <v>0</v>
      </c>
      <c r="J210" t="inlineStr">
        <is>
          <t>%</t>
        </is>
      </c>
      <c r="K210">
        <f>Source!A14</f>
        <v/>
      </c>
      <c r="L210" t="inlineStr">
        <is>
          <t>255 - Combined Lab Analyses.pdf</t>
        </is>
      </c>
      <c r="Q210" t="inlineStr">
        <is>
          <t>mr_cPnK0HRZGgdYvbyo-out_ye14SNxRG8b285JB-0</t>
        </is>
      </c>
    </row>
    <row r="211">
      <c r="A211" t="inlineStr">
        <is>
          <t>dtp_1KXEJCXK01S0MTMX</t>
        </is>
      </c>
      <c r="B211" t="inlineStr">
        <is>
          <t>derived</t>
        </is>
      </c>
      <c r="C211" t="inlineStr">
        <is>
          <t>Biochar Output - Carbon Intensity - Applied</t>
        </is>
      </c>
      <c r="D211" t="inlineStr">
        <is>
          <t>Biochar Output - Carbon Intensity - Applied</t>
        </is>
      </c>
      <c r="E211" s="2" t="n">
        <v>1.2936</v>
      </c>
      <c r="F211" t="n">
        <v>0</v>
      </c>
      <c r="G211" t="inlineStr"/>
      <c r="H211" t="n">
        <v>1.2936</v>
      </c>
      <c r="I211" t="n">
        <v>0</v>
      </c>
      <c r="J211" t="inlineStr">
        <is>
          <t>kgCO₂e/kg</t>
        </is>
      </c>
      <c r="K211">
        <f>Source!A38</f>
        <v/>
      </c>
      <c r="L211" t="inlineStr">
        <is>
          <t>Biochar CI Summary — All Production Periods.xlsx</t>
        </is>
      </c>
      <c r="M211">
        <f>Source!A53</f>
        <v/>
      </c>
      <c r="N211" t="inlineStr">
        <is>
          <t>Production Period 6 Summary.xlsx</t>
        </is>
      </c>
      <c r="Q211" t="inlineStr">
        <is>
          <t>mr_cPnK0HRZGgdYvbyo-out_Oe27xWXZDsDMPXq9-0</t>
        </is>
      </c>
    </row>
    <row r="212">
      <c r="A212" t="inlineStr">
        <is>
          <t>dtp_1KXEJCXXT1S03E3H</t>
        </is>
      </c>
      <c r="B212" t="inlineStr">
        <is>
          <t>derived</t>
        </is>
      </c>
      <c r="C212" t="inlineStr">
        <is>
          <t>Biochar Dry Product Weight (kg) (Pyrolysis) - Applied</t>
        </is>
      </c>
      <c r="D212" t="inlineStr">
        <is>
          <t>Biochar Dry Product Weight (kg) (Pyrolysis) - Applied</t>
        </is>
      </c>
      <c r="E212" s="2" t="n">
        <v>559.98</v>
      </c>
      <c r="F212" t="n">
        <v>0</v>
      </c>
      <c r="G212" t="inlineStr">
        <is>
          <t>kg</t>
        </is>
      </c>
      <c r="H212" t="n">
        <v>559.98</v>
      </c>
      <c r="I212" t="n">
        <v>0</v>
      </c>
      <c r="J212" t="inlineStr">
        <is>
          <t>kg</t>
        </is>
      </c>
      <c r="K212">
        <f>Source!A44</f>
        <v/>
      </c>
      <c r="L212" t="inlineStr">
        <is>
          <t>Chris Craig 6.6.26 Scale Tickets.png</t>
        </is>
      </c>
      <c r="M212">
        <f>Source!A50</f>
        <v/>
      </c>
      <c r="N212" t="inlineStr">
        <is>
          <t>Chris Craig Delivery Notes.xlsx</t>
        </is>
      </c>
      <c r="O212">
        <f>Source!A53</f>
        <v/>
      </c>
      <c r="P212" t="inlineStr">
        <is>
          <t>Production Period 6 Summary.xlsx</t>
        </is>
      </c>
      <c r="Q212" t="inlineStr">
        <is>
          <t>mr_cPnK0HRZGgdYvbyo-out_P5psgmcwdDniayBV-0</t>
        </is>
      </c>
    </row>
    <row r="213">
      <c r="A213" t="inlineStr">
        <is>
          <t>dtp_1KXEJCYCY1S0J1J5</t>
        </is>
      </c>
      <c r="B213" t="inlineStr">
        <is>
          <t>derived</t>
        </is>
      </c>
      <c r="C213" t="inlineStr">
        <is>
          <t>Copy - Truck EF</t>
        </is>
      </c>
      <c r="D213" t="inlineStr">
        <is>
          <t>Copy - Truck EF</t>
        </is>
      </c>
      <c r="E213" s="2" t="n">
        <v>8.599777300564702e-08</v>
      </c>
      <c r="F213" t="n">
        <v>0</v>
      </c>
      <c r="G213" t="inlineStr">
        <is>
          <t>1/m</t>
        </is>
      </c>
      <c r="H213" t="n">
        <v>0.1384</v>
      </c>
      <c r="I213" t="n">
        <v>0</v>
      </c>
      <c r="J213" t="inlineStr">
        <is>
          <t>kgCO₂e/(t⋅mi)</t>
        </is>
      </c>
      <c r="K213">
        <f>Source!A17</f>
        <v/>
      </c>
      <c r="L213" t="inlineStr">
        <is>
          <t>Standard Emission Factors + Calculations (8).xlsx</t>
        </is>
      </c>
      <c r="Q213" t="inlineStr">
        <is>
          <t>mr_cPnK0HRZGgdYvbyo-out_kz09qsYg6N3uHg55-0</t>
        </is>
      </c>
    </row>
    <row r="214">
      <c r="A214" t="inlineStr">
        <is>
          <t>dtp_1KXEJD0BR1S0M9WE</t>
        </is>
      </c>
      <c r="B214" t="inlineStr">
        <is>
          <t>reported</t>
        </is>
      </c>
      <c r="C214" t="inlineStr">
        <is>
          <t>Biochar Applied - Delivery Distance (km)</t>
        </is>
      </c>
      <c r="D214" t="inlineStr">
        <is>
          <t>Biochar Applied - Delivery Distance (km)</t>
        </is>
      </c>
      <c r="E214" s="2" t="n">
        <v>278416.51</v>
      </c>
      <c r="F214" t="n">
        <v>0</v>
      </c>
      <c r="G214" t="inlineStr">
        <is>
          <t>m</t>
        </is>
      </c>
      <c r="H214" t="n">
        <v>278.41651</v>
      </c>
      <c r="I214" t="n">
        <v>0</v>
      </c>
      <c r="J214" t="inlineStr">
        <is>
          <t>km</t>
        </is>
      </c>
      <c r="K214">
        <f>Source!A18</f>
        <v/>
      </c>
      <c r="L214" t="inlineStr">
        <is>
          <t>CO to Chris Craig Distance (1).png</t>
        </is>
      </c>
      <c r="Q214" t="inlineStr">
        <is>
          <t>mr_cPnK0HRZGgdYvbyo-out_mh2j8s9fAROxQE7o-0</t>
        </is>
      </c>
    </row>
    <row r="215">
      <c r="A215" t="inlineStr">
        <is>
          <t>dtp_1KXEJD15M1S02XB2</t>
        </is>
      </c>
      <c r="B215" t="inlineStr">
        <is>
          <t>derived</t>
        </is>
      </c>
      <c r="C215" t="inlineStr">
        <is>
          <t>Biochar Transported (kg) - Applied</t>
        </is>
      </c>
      <c r="D215" t="inlineStr">
        <is>
          <t>Biochar Transported (kg) - Applied</t>
        </is>
      </c>
      <c r="E215" s="2" t="n">
        <v>2229.08</v>
      </c>
      <c r="F215" t="n">
        <v>0</v>
      </c>
      <c r="G215" t="inlineStr">
        <is>
          <t>kg</t>
        </is>
      </c>
      <c r="H215" t="n">
        <v>2229.08</v>
      </c>
      <c r="I215" t="n">
        <v>0</v>
      </c>
      <c r="J215" t="inlineStr">
        <is>
          <t>kg</t>
        </is>
      </c>
      <c r="K215">
        <f>Source!A44</f>
        <v/>
      </c>
      <c r="L215" t="inlineStr">
        <is>
          <t>Chris Craig 6.6.26 Scale Tickets.png</t>
        </is>
      </c>
      <c r="M215">
        <f>Source!A50</f>
        <v/>
      </c>
      <c r="N215" t="inlineStr">
        <is>
          <t>Chris Craig Delivery Notes.xlsx</t>
        </is>
      </c>
      <c r="O215">
        <f>Source!A53</f>
        <v/>
      </c>
      <c r="P215" t="inlineStr">
        <is>
          <t>Production Period 6 Summary.xlsx</t>
        </is>
      </c>
      <c r="Q215" t="inlineStr">
        <is>
          <t>mr_cPnK0HRZGgdYvbyo-out_sVIPjpDBrGPnpupv-0</t>
        </is>
      </c>
    </row>
    <row r="216">
      <c r="A216" t="inlineStr">
        <is>
          <t>dtp_1KXEJD1EB1S0HGSP</t>
        </is>
      </c>
      <c r="B216" t="inlineStr">
        <is>
          <t>reported</t>
        </is>
      </c>
      <c r="C216" t="inlineStr">
        <is>
          <t>Emissions Factor - Flatbed Truck Transport Embodied Emissions (2025, CO)</t>
        </is>
      </c>
      <c r="D216" t="inlineStr">
        <is>
          <t>Emissions Factor - Flatbed Truck Transport Embodied Emissions (2025, CO)</t>
        </is>
      </c>
      <c r="E216" s="2" t="n">
        <v>0.0001197949629</v>
      </c>
      <c r="F216" t="n">
        <v>0</v>
      </c>
      <c r="G216" t="inlineStr">
        <is>
          <t>kg/m</t>
        </is>
      </c>
      <c r="H216" t="n">
        <v>0.1197949629</v>
      </c>
      <c r="I216" t="n">
        <v>0</v>
      </c>
      <c r="J216" t="inlineStr">
        <is>
          <t>kgCO₂e/km</t>
        </is>
      </c>
      <c r="K216">
        <f>Source!A17</f>
        <v/>
      </c>
      <c r="L216" t="inlineStr">
        <is>
          <t>Standard Emission Factors + Calculations (8).xlsx</t>
        </is>
      </c>
      <c r="Q216" t="inlineStr">
        <is>
          <t>mr_cPnK0HRZGgdYvbyo-out_mh5OWJEQ9TzkSjax-0</t>
        </is>
      </c>
    </row>
    <row r="217">
      <c r="A217" t="inlineStr">
        <is>
          <t>dtp_1KXEJD1T81S0RTH0</t>
        </is>
      </c>
      <c r="B217" t="inlineStr">
        <is>
          <t>reported</t>
        </is>
      </c>
      <c r="C217" t="inlineStr">
        <is>
          <t>Biochar Applied - Allocated Delivery Distance (km)</t>
        </is>
      </c>
      <c r="D217" t="inlineStr">
        <is>
          <t>Biochar Applied - Allocated Delivery Distance (km)</t>
        </is>
      </c>
      <c r="E217" s="2" t="n">
        <v>53038.35</v>
      </c>
      <c r="F217" t="n">
        <v>0</v>
      </c>
      <c r="G217" t="inlineStr">
        <is>
          <t>m</t>
        </is>
      </c>
      <c r="H217" t="n">
        <v>53.03835</v>
      </c>
      <c r="I217" t="n">
        <v>0</v>
      </c>
      <c r="J217" t="inlineStr">
        <is>
          <t>km</t>
        </is>
      </c>
      <c r="K217">
        <f>Source!A18</f>
        <v/>
      </c>
      <c r="L217" t="inlineStr">
        <is>
          <t>CO to Chris Craig Distance (1).png</t>
        </is>
      </c>
      <c r="Q217" t="inlineStr">
        <is>
          <t>mr_cPnK0HRZGgdYvbyo-out_hfoA89qbvT5XX9zd-0</t>
        </is>
      </c>
    </row>
    <row r="218">
      <c r="A218" t="inlineStr">
        <is>
          <t>dtp_1KXEJD28G1S060YM</t>
        </is>
      </c>
      <c r="B218" t="inlineStr">
        <is>
          <t>reported</t>
        </is>
      </c>
      <c r="C218" t="inlineStr">
        <is>
          <t>Attribution factor</t>
        </is>
      </c>
      <c r="E218" s="2" t="n">
        <v>1</v>
      </c>
      <c r="F218" t="n">
        <v>0</v>
      </c>
      <c r="G218" t="inlineStr"/>
      <c r="H218" t="n">
        <v>1</v>
      </c>
      <c r="I218" t="n">
        <v>0</v>
      </c>
      <c r="J218" t="inlineStr"/>
    </row>
    <row r="219">
      <c r="A219" t="inlineStr">
        <is>
          <t>dtp_1KXEJD28G1S0898X</t>
        </is>
      </c>
      <c r="B219" t="inlineStr">
        <is>
          <t>reported</t>
        </is>
      </c>
      <c r="C219" t="inlineStr">
        <is>
          <t>Attribution factor</t>
        </is>
      </c>
      <c r="E219" s="2" t="n">
        <v>1</v>
      </c>
      <c r="F219" t="n">
        <v>0</v>
      </c>
      <c r="G219" t="inlineStr"/>
      <c r="H219" t="n">
        <v>1</v>
      </c>
      <c r="I219" t="n">
        <v>0</v>
      </c>
      <c r="J219" t="inlineStr"/>
    </row>
    <row r="220">
      <c r="A220" t="inlineStr">
        <is>
          <t>dtp_1KXEJD28G1S0DANY</t>
        </is>
      </c>
      <c r="B220" t="inlineStr">
        <is>
          <t>reported</t>
        </is>
      </c>
      <c r="C220" t="inlineStr">
        <is>
          <t>Attribution factor</t>
        </is>
      </c>
      <c r="E220" s="2" t="n">
        <v>1</v>
      </c>
      <c r="F220" t="n">
        <v>0</v>
      </c>
      <c r="G220" t="inlineStr"/>
      <c r="H220" t="n">
        <v>1</v>
      </c>
      <c r="I220" t="n">
        <v>0</v>
      </c>
      <c r="J220" t="inlineStr"/>
    </row>
    <row r="221">
      <c r="A221" t="inlineStr">
        <is>
          <t>dtp_1KXEJD28G1S0MMD8</t>
        </is>
      </c>
      <c r="B221" t="inlineStr">
        <is>
          <t>reported</t>
        </is>
      </c>
      <c r="C221" t="inlineStr">
        <is>
          <t>Attribution factor</t>
        </is>
      </c>
      <c r="E221" s="2" t="n">
        <v>1</v>
      </c>
      <c r="F221" t="n">
        <v>0</v>
      </c>
      <c r="G221" t="inlineStr"/>
      <c r="H221" t="n">
        <v>1</v>
      </c>
      <c r="I221" t="n">
        <v>0</v>
      </c>
      <c r="J221" t="inlineStr"/>
    </row>
    <row r="222">
      <c r="A222" t="inlineStr">
        <is>
          <t>dtp_1KXEJD28G1S0SNT9</t>
        </is>
      </c>
      <c r="B222" t="inlineStr">
        <is>
          <t>reported</t>
        </is>
      </c>
      <c r="C222" t="inlineStr">
        <is>
          <t>Attribution factor</t>
        </is>
      </c>
      <c r="E222" s="2" t="n">
        <v>1</v>
      </c>
      <c r="F222" t="n">
        <v>0</v>
      </c>
      <c r="G222" t="inlineStr"/>
      <c r="H222" t="n">
        <v>1</v>
      </c>
      <c r="I222" t="n">
        <v>0</v>
      </c>
      <c r="J222" t="inlineStr"/>
    </row>
    <row r="223">
      <c r="A223" t="inlineStr">
        <is>
          <t>dtp_1KXEJDSXH1S0SAA7</t>
        </is>
      </c>
      <c r="B223" t="inlineStr">
        <is>
          <t>reported</t>
        </is>
      </c>
      <c r="C223" t="inlineStr">
        <is>
          <t>Attribution factor</t>
        </is>
      </c>
      <c r="E223" s="2" t="n">
        <v>1</v>
      </c>
      <c r="F223" t="n">
        <v>0</v>
      </c>
      <c r="G223" t="inlineStr"/>
      <c r="H223" t="n">
        <v>1</v>
      </c>
      <c r="I223" t="n">
        <v>0</v>
      </c>
      <c r="J223" t="inlineStr"/>
    </row>
    <row r="224">
      <c r="A224" t="inlineStr">
        <is>
          <t>dtp_1KXEJEEBB1S0HFTE</t>
        </is>
      </c>
      <c r="B224" t="inlineStr">
        <is>
          <t>reported</t>
        </is>
      </c>
      <c r="C224" t="inlineStr">
        <is>
          <t>Constant CO₂ reduction</t>
        </is>
      </c>
      <c r="E224" s="2" t="n">
        <v>160.11</v>
      </c>
      <c r="F224" t="n">
        <v>0</v>
      </c>
      <c r="G224" t="inlineStr">
        <is>
          <t>kg</t>
        </is>
      </c>
      <c r="H224" t="n">
        <v>160.11</v>
      </c>
      <c r="I224" t="n">
        <v>0</v>
      </c>
      <c r="J224" t="inlineStr">
        <is>
          <t>kgCO₂e</t>
        </is>
      </c>
      <c r="K224">
        <f>Source!A19</f>
        <v/>
      </c>
      <c r="L224" t="inlineStr">
        <is>
          <t>Charm-RetirementCertificate-RD-EACs-20251218 (1).pdf</t>
        </is>
      </c>
    </row>
    <row r="225">
      <c r="A225" t="inlineStr">
        <is>
          <t>dtp_1KXERC4ZR1S025BP</t>
        </is>
      </c>
      <c r="B225" t="inlineStr">
        <is>
          <t>derived</t>
        </is>
      </c>
      <c r="C225" t="inlineStr">
        <is>
          <t>Emissions Factor - Biochar Spreading</t>
        </is>
      </c>
      <c r="D225" t="inlineStr">
        <is>
          <t>Emissions Factor - Biochar Spreading</t>
        </is>
      </c>
      <c r="E225" s="2" t="n">
        <v>0.004</v>
      </c>
      <c r="F225" t="n">
        <v>0</v>
      </c>
      <c r="G225" t="inlineStr"/>
      <c r="H225" t="n">
        <v>0.004</v>
      </c>
      <c r="I225" t="n">
        <v>0</v>
      </c>
      <c r="J225" t="inlineStr">
        <is>
          <t>kgCO₂e/kg</t>
        </is>
      </c>
      <c r="K225">
        <f>Source!A4</f>
        <v/>
      </c>
      <c r="L225" t="inlineStr">
        <is>
          <t>Biochar Offtake Calculations.xlsx</t>
        </is>
      </c>
      <c r="Q225" t="inlineStr">
        <is>
          <t>mr_HMRbufZeNCw4ufwF-out_hf7qVV7KHcGk4thf-0</t>
        </is>
      </c>
    </row>
    <row r="226">
      <c r="A226" t="inlineStr">
        <is>
          <t>dtp_1KXERC6Z71S04DNZ</t>
        </is>
      </c>
      <c r="B226" t="inlineStr">
        <is>
          <t>derived</t>
        </is>
      </c>
      <c r="C226" t="inlineStr">
        <is>
          <t>Biochar Applied (wet mass) (Spreading) - Applied</t>
        </is>
      </c>
      <c r="D226" t="inlineStr">
        <is>
          <t>Biochar Applied (wet mass) (Spreading) - Applied</t>
        </is>
      </c>
      <c r="E226" s="2" t="n">
        <v>2572.97</v>
      </c>
      <c r="F226" t="n">
        <v>0</v>
      </c>
      <c r="G226" t="inlineStr">
        <is>
          <t>kg</t>
        </is>
      </c>
      <c r="H226" t="n">
        <v>2572.97</v>
      </c>
      <c r="I226" t="n">
        <v>0</v>
      </c>
      <c r="J226" t="inlineStr">
        <is>
          <t>kg</t>
        </is>
      </c>
      <c r="K226">
        <f>Source!A44</f>
        <v/>
      </c>
      <c r="L226" t="inlineStr">
        <is>
          <t>Chris Craig 6.6.26 Scale Tickets.png</t>
        </is>
      </c>
      <c r="M226">
        <f>Source!A50</f>
        <v/>
      </c>
      <c r="N226" t="inlineStr">
        <is>
          <t>Chris Craig Delivery Notes.xlsx</t>
        </is>
      </c>
      <c r="O226">
        <f>Source!A12</f>
        <v/>
      </c>
      <c r="P226" t="inlineStr">
        <is>
          <t>Production Period 2 Summary.xlsx</t>
        </is>
      </c>
      <c r="Q226" t="inlineStr">
        <is>
          <t>mr_HMRbufZeNCw4ufwF-out_0jBoYHtsohNZ8PAk-0</t>
        </is>
      </c>
    </row>
    <row r="227">
      <c r="A227" t="inlineStr">
        <is>
          <t>dtp_1KXERCAXV1S0DZQJ</t>
        </is>
      </c>
      <c r="B227" t="inlineStr">
        <is>
          <t>derived</t>
        </is>
      </c>
      <c r="C227" t="inlineStr">
        <is>
          <t>Biochar - H/C_org - Applied</t>
        </is>
      </c>
      <c r="D227" t="inlineStr">
        <is>
          <t>Biochar - H/C_org - Applied</t>
        </is>
      </c>
      <c r="E227" s="2" t="n">
        <v>0.46333</v>
      </c>
      <c r="F227" t="n">
        <v>0</v>
      </c>
      <c r="G227" t="inlineStr"/>
      <c r="H227" t="n">
        <v>0.46333</v>
      </c>
      <c r="I227" t="n">
        <v>0</v>
      </c>
      <c r="J227" t="inlineStr"/>
      <c r="K227">
        <f>Source!A47</f>
        <v/>
      </c>
      <c r="L227" t="inlineStr">
        <is>
          <t>251 - Combined Lab Analyses.pdf</t>
        </is>
      </c>
      <c r="Q227" t="inlineStr">
        <is>
          <t>mr_lHUZC7elTd9SBaCv-out_SlgcaWsappr9ZCL6-0</t>
        </is>
      </c>
    </row>
    <row r="228">
      <c r="A228" t="inlineStr">
        <is>
          <t>dtp_1KXERCBEM1S0B6MT</t>
        </is>
      </c>
      <c r="B228" t="inlineStr">
        <is>
          <t>derived</t>
        </is>
      </c>
      <c r="C228" t="inlineStr">
        <is>
          <t>Inorganic Carbon Content % - Applied</t>
        </is>
      </c>
      <c r="D228" t="inlineStr">
        <is>
          <t>Inorganic Carbon Content % - Applied</t>
        </is>
      </c>
      <c r="E228" s="2" t="n">
        <v>0.0027</v>
      </c>
      <c r="F228" t="n">
        <v>0</v>
      </c>
      <c r="G228" t="inlineStr"/>
      <c r="H228" t="n">
        <v>0.27</v>
      </c>
      <c r="I228" t="n">
        <v>0</v>
      </c>
      <c r="J228" t="inlineStr">
        <is>
          <t>%</t>
        </is>
      </c>
      <c r="K228">
        <f>Source!A47</f>
        <v/>
      </c>
      <c r="L228" t="inlineStr">
        <is>
          <t>251 - Combined Lab Analyses.pdf</t>
        </is>
      </c>
      <c r="Q228" t="inlineStr">
        <is>
          <t>mr_lHUZC7elTd9SBaCv-out_RrRijQ8NSCwAInka-0</t>
        </is>
      </c>
    </row>
    <row r="229">
      <c r="A229" t="inlineStr">
        <is>
          <t>dtp_1KXERCD1X1S0657S</t>
        </is>
      </c>
      <c r="B229" t="inlineStr">
        <is>
          <t>reported</t>
        </is>
      </c>
      <c r="C229" t="inlineStr">
        <is>
          <t>Biochar Dry Weight (kg) (CO2 stored) - Applied</t>
        </is>
      </c>
      <c r="D229" t="inlineStr">
        <is>
          <t>Biochar Dry Weight (kg) (CO2 stored) - Applied</t>
        </is>
      </c>
      <c r="E229" s="2" t="n">
        <v>1836.180001</v>
      </c>
      <c r="F229" t="n">
        <v>0</v>
      </c>
      <c r="G229" t="inlineStr">
        <is>
          <t>kg</t>
        </is>
      </c>
      <c r="H229" t="n">
        <v>1836.180001</v>
      </c>
      <c r="I229" t="n">
        <v>0</v>
      </c>
      <c r="J229" t="inlineStr">
        <is>
          <t>kg</t>
        </is>
      </c>
      <c r="K229">
        <f>Source!A44</f>
        <v/>
      </c>
      <c r="L229" t="inlineStr">
        <is>
          <t>Chris Craig 6.6.26 Scale Tickets.png</t>
        </is>
      </c>
      <c r="M229">
        <f>Source!A47</f>
        <v/>
      </c>
      <c r="N229" t="inlineStr">
        <is>
          <t>251 - Combined Lab Analyses.pdf</t>
        </is>
      </c>
      <c r="O229">
        <f>Source!A50</f>
        <v/>
      </c>
      <c r="P229" t="inlineStr">
        <is>
          <t>Chris Craig Delivery Notes.xlsx</t>
        </is>
      </c>
      <c r="Q229" t="inlineStr">
        <is>
          <t>mr_HMRbufZeNCw4ufwF-out_tHtEVo8cn1cKK0xD-0</t>
        </is>
      </c>
    </row>
    <row r="230">
      <c r="A230" t="inlineStr">
        <is>
          <t>dtp_1KXERCDJD1S0W2DQ</t>
        </is>
      </c>
      <c r="B230" t="inlineStr">
        <is>
          <t>derived</t>
        </is>
      </c>
      <c r="C230" t="inlineStr">
        <is>
          <t>Biochar Applied - Soil Temperature (Cel)</t>
        </is>
      </c>
      <c r="D230" t="inlineStr">
        <is>
          <t>Biochar Applied - Soil Temperature (Cel)</t>
        </is>
      </c>
      <c r="E230" s="2" t="n">
        <v>284.05</v>
      </c>
      <c r="F230" t="n">
        <v>0</v>
      </c>
      <c r="G230" t="inlineStr">
        <is>
          <t>K</t>
        </is>
      </c>
      <c r="H230" t="n">
        <v>10.9</v>
      </c>
      <c r="I230" t="n">
        <v>0</v>
      </c>
      <c r="J230" t="inlineStr">
        <is>
          <t>°C</t>
        </is>
      </c>
      <c r="K230">
        <f>Source!A41</f>
        <v/>
      </c>
      <c r="L230" t="inlineStr">
        <is>
          <t>soil_temperature_chris_craig.csv</t>
        </is>
      </c>
      <c r="Q230" t="inlineStr">
        <is>
          <t>mr_lHUZC7elTd9SBaCv-out_WFEo3VxmWt0N3Yhc-0</t>
        </is>
      </c>
    </row>
    <row r="231">
      <c r="A231" t="inlineStr">
        <is>
          <t>dtp_1KXERCDT31S03C51</t>
        </is>
      </c>
      <c r="B231" t="inlineStr">
        <is>
          <t>derived</t>
        </is>
      </c>
      <c r="C231" t="inlineStr">
        <is>
          <t>Organic Carbon Content % - Applied</t>
        </is>
      </c>
      <c r="D231" t="inlineStr">
        <is>
          <t>Organic Carbon Content % - Applied</t>
        </is>
      </c>
      <c r="E231" s="2" t="n">
        <v>0.8593000000000001</v>
      </c>
      <c r="F231" t="n">
        <v>0</v>
      </c>
      <c r="G231" t="inlineStr"/>
      <c r="H231" t="n">
        <v>85.93000000000001</v>
      </c>
      <c r="I231" t="n">
        <v>0</v>
      </c>
      <c r="J231" t="inlineStr">
        <is>
          <t>%</t>
        </is>
      </c>
      <c r="K231">
        <f>Source!A47</f>
        <v/>
      </c>
      <c r="L231" t="inlineStr">
        <is>
          <t>251 - Combined Lab Analyses.pdf</t>
        </is>
      </c>
      <c r="Q231" t="inlineStr">
        <is>
          <t>mr_HMRbufZeNCw4ufwF-out_ye14SNxRG8b285JB-0</t>
        </is>
      </c>
    </row>
    <row r="232">
      <c r="A232" t="inlineStr">
        <is>
          <t>dtp_1KXERCF2C1S0M7XY</t>
        </is>
      </c>
      <c r="B232" t="inlineStr">
        <is>
          <t>derived</t>
        </is>
      </c>
      <c r="C232" t="inlineStr">
        <is>
          <t>Biochar Output - Carbon Intensity - Applied</t>
        </is>
      </c>
      <c r="D232" t="inlineStr">
        <is>
          <t>Biochar Output - Carbon Intensity - Applied</t>
        </is>
      </c>
      <c r="E232" s="2" t="n">
        <v>1.1178</v>
      </c>
      <c r="F232" t="n">
        <v>0</v>
      </c>
      <c r="G232" t="inlineStr"/>
      <c r="H232" t="n">
        <v>1.1178</v>
      </c>
      <c r="I232" t="n">
        <v>0</v>
      </c>
      <c r="J232" t="inlineStr">
        <is>
          <t>kgCO₂e/kg</t>
        </is>
      </c>
      <c r="K232">
        <f>Source!A38</f>
        <v/>
      </c>
      <c r="L232" t="inlineStr">
        <is>
          <t>Biochar CI Summary — All Production Periods.xlsx</t>
        </is>
      </c>
      <c r="M232">
        <f>Source!A12</f>
        <v/>
      </c>
      <c r="N232" t="inlineStr">
        <is>
          <t>Production Period 2 Summary.xlsx</t>
        </is>
      </c>
      <c r="Q232" t="inlineStr">
        <is>
          <t>mr_HMRbufZeNCw4ufwF-out_Oe27xWXZDsDMPXq9-0</t>
        </is>
      </c>
    </row>
    <row r="233">
      <c r="A233" t="inlineStr">
        <is>
          <t>dtp_1KXERCFK41S02VCJ</t>
        </is>
      </c>
      <c r="B233" t="inlineStr">
        <is>
          <t>derived</t>
        </is>
      </c>
      <c r="C233" t="inlineStr">
        <is>
          <t>Biochar Dry Product Weight (kg) (Pyrolysis) - Applied</t>
        </is>
      </c>
      <c r="D233" t="inlineStr">
        <is>
          <t>Biochar Dry Product Weight (kg) (Pyrolysis) - Applied</t>
        </is>
      </c>
      <c r="E233" s="2" t="n">
        <v>2080.97</v>
      </c>
      <c r="F233" t="n">
        <v>0</v>
      </c>
      <c r="G233" t="inlineStr">
        <is>
          <t>kg</t>
        </is>
      </c>
      <c r="H233" t="n">
        <v>2080.97</v>
      </c>
      <c r="I233" t="n">
        <v>0</v>
      </c>
      <c r="J233" t="inlineStr">
        <is>
          <t>kg</t>
        </is>
      </c>
      <c r="K233">
        <f>Source!A44</f>
        <v/>
      </c>
      <c r="L233" t="inlineStr">
        <is>
          <t>Chris Craig 6.6.26 Scale Tickets.png</t>
        </is>
      </c>
      <c r="M233">
        <f>Source!A50</f>
        <v/>
      </c>
      <c r="N233" t="inlineStr">
        <is>
          <t>Chris Craig Delivery Notes.xlsx</t>
        </is>
      </c>
      <c r="O233">
        <f>Source!A12</f>
        <v/>
      </c>
      <c r="P233" t="inlineStr">
        <is>
          <t>Production Period 2 Summary.xlsx</t>
        </is>
      </c>
      <c r="Q233" t="inlineStr">
        <is>
          <t>mr_HMRbufZeNCw4ufwF-out_P5psgmcwdDniayBV-0</t>
        </is>
      </c>
    </row>
    <row r="234">
      <c r="A234" t="inlineStr">
        <is>
          <t>dtp_1KXERCJ3Q1S053PV</t>
        </is>
      </c>
      <c r="B234" t="inlineStr">
        <is>
          <t>derived</t>
        </is>
      </c>
      <c r="C234" t="inlineStr">
        <is>
          <t>Copy - Truck EF</t>
        </is>
      </c>
      <c r="D234" t="inlineStr">
        <is>
          <t>Copy - Truck EF</t>
        </is>
      </c>
      <c r="E234" s="2" t="n">
        <v>8.599777300564702e-08</v>
      </c>
      <c r="F234" t="n">
        <v>0</v>
      </c>
      <c r="G234" t="inlineStr">
        <is>
          <t>1/m</t>
        </is>
      </c>
      <c r="H234" t="n">
        <v>0.1384</v>
      </c>
      <c r="I234" t="n">
        <v>0</v>
      </c>
      <c r="J234" t="inlineStr">
        <is>
          <t>kgCO₂e/(t⋅mi)</t>
        </is>
      </c>
      <c r="K234">
        <f>Source!A17</f>
        <v/>
      </c>
      <c r="L234" t="inlineStr">
        <is>
          <t>Standard Emission Factors + Calculations (8).xlsx</t>
        </is>
      </c>
      <c r="Q234" t="inlineStr">
        <is>
          <t>mr_HMRbufZeNCw4ufwF-out_kz09qsYg6N3uHg55-0</t>
        </is>
      </c>
    </row>
    <row r="235">
      <c r="A235" t="inlineStr">
        <is>
          <t>dtp_1KXERCKZ81S07C14</t>
        </is>
      </c>
      <c r="B235" t="inlineStr">
        <is>
          <t>reported</t>
        </is>
      </c>
      <c r="C235" t="inlineStr">
        <is>
          <t>Biochar Applied - Delivery Distance (km)</t>
        </is>
      </c>
      <c r="D235" t="inlineStr">
        <is>
          <t>Biochar Applied - Delivery Distance (km)</t>
        </is>
      </c>
      <c r="E235" s="2" t="n">
        <v>278416.51</v>
      </c>
      <c r="F235" t="n">
        <v>0</v>
      </c>
      <c r="G235" t="inlineStr">
        <is>
          <t>m</t>
        </is>
      </c>
      <c r="H235" t="n">
        <v>278.41651</v>
      </c>
      <c r="I235" t="n">
        <v>0</v>
      </c>
      <c r="J235" t="inlineStr">
        <is>
          <t>km</t>
        </is>
      </c>
      <c r="K235">
        <f>Source!A18</f>
        <v/>
      </c>
      <c r="L235" t="inlineStr">
        <is>
          <t>CO to Chris Craig Distance (1).png</t>
        </is>
      </c>
      <c r="Q235" t="inlineStr">
        <is>
          <t>mr_HMRbufZeNCw4ufwF-out_mh2j8s9fAROxQE7o-0</t>
        </is>
      </c>
    </row>
    <row r="236">
      <c r="A236" t="inlineStr">
        <is>
          <t>dtp_1KXERCMMA1S0NZFR</t>
        </is>
      </c>
      <c r="B236" t="inlineStr">
        <is>
          <t>derived</t>
        </is>
      </c>
      <c r="C236" t="inlineStr">
        <is>
          <t>Biochar Transported (kg) - Applied</t>
        </is>
      </c>
      <c r="D236" t="inlineStr">
        <is>
          <t>Biochar Transported (kg) - Applied</t>
        </is>
      </c>
      <c r="E236" s="2" t="n">
        <v>2693.47</v>
      </c>
      <c r="F236" t="n">
        <v>0</v>
      </c>
      <c r="G236" t="inlineStr">
        <is>
          <t>kg</t>
        </is>
      </c>
      <c r="H236" t="n">
        <v>2693.47</v>
      </c>
      <c r="I236" t="n">
        <v>0</v>
      </c>
      <c r="J236" t="inlineStr">
        <is>
          <t>kg</t>
        </is>
      </c>
      <c r="K236">
        <f>Source!A44</f>
        <v/>
      </c>
      <c r="L236" t="inlineStr">
        <is>
          <t>Chris Craig 6.6.26 Scale Tickets.png</t>
        </is>
      </c>
      <c r="M236">
        <f>Source!A50</f>
        <v/>
      </c>
      <c r="N236" t="inlineStr">
        <is>
          <t>Chris Craig Delivery Notes.xlsx</t>
        </is>
      </c>
      <c r="O236">
        <f>Source!A12</f>
        <v/>
      </c>
      <c r="P236" t="inlineStr">
        <is>
          <t>Production Period 2 Summary.xlsx</t>
        </is>
      </c>
      <c r="Q236" t="inlineStr">
        <is>
          <t>mr_HMRbufZeNCw4ufwF-out_sVIPjpDBrGPnpupv-0</t>
        </is>
      </c>
    </row>
    <row r="237">
      <c r="A237" t="inlineStr">
        <is>
          <t>dtp_1KXERCN4J1S04JYC</t>
        </is>
      </c>
      <c r="B237" t="inlineStr">
        <is>
          <t>reported</t>
        </is>
      </c>
      <c r="C237" t="inlineStr">
        <is>
          <t>Emissions Factor - Flatbed Truck Transport Embodied Emissions (2025, CO)</t>
        </is>
      </c>
      <c r="D237" t="inlineStr">
        <is>
          <t>Emissions Factor - Flatbed Truck Transport Embodied Emissions (2025, CO)</t>
        </is>
      </c>
      <c r="E237" s="2" t="n">
        <v>0.0001197949629</v>
      </c>
      <c r="F237" t="n">
        <v>0</v>
      </c>
      <c r="G237" t="inlineStr">
        <is>
          <t>kg/m</t>
        </is>
      </c>
      <c r="H237" t="n">
        <v>0.1197949629</v>
      </c>
      <c r="I237" t="n">
        <v>0</v>
      </c>
      <c r="J237" t="inlineStr">
        <is>
          <t>kgCO₂e/km</t>
        </is>
      </c>
      <c r="K237">
        <f>Source!A17</f>
        <v/>
      </c>
      <c r="L237" t="inlineStr">
        <is>
          <t>Standard Emission Factors + Calculations (8).xlsx</t>
        </is>
      </c>
      <c r="Q237" t="inlineStr">
        <is>
          <t>mr_HMRbufZeNCw4ufwF-out_mh5OWJEQ9TzkSjax-0</t>
        </is>
      </c>
    </row>
    <row r="238">
      <c r="A238" t="inlineStr">
        <is>
          <t>dtp_1KXERCNMY1S0BWNP</t>
        </is>
      </c>
      <c r="B238" t="inlineStr">
        <is>
          <t>reported</t>
        </is>
      </c>
      <c r="C238" t="inlineStr">
        <is>
          <t>Biochar Applied - Allocated Delivery Distance (km)</t>
        </is>
      </c>
      <c r="D238" t="inlineStr">
        <is>
          <t>Biochar Applied - Allocated Delivery Distance (km)</t>
        </is>
      </c>
      <c r="E238" s="2" t="n">
        <v>66290.97</v>
      </c>
      <c r="F238" t="n">
        <v>0</v>
      </c>
      <c r="G238" t="inlineStr">
        <is>
          <t>m</t>
        </is>
      </c>
      <c r="H238" t="n">
        <v>66.29097</v>
      </c>
      <c r="I238" t="n">
        <v>0</v>
      </c>
      <c r="J238" t="inlineStr">
        <is>
          <t>km</t>
        </is>
      </c>
      <c r="K238">
        <f>Source!A18</f>
        <v/>
      </c>
      <c r="L238" t="inlineStr">
        <is>
          <t>CO to Chris Craig Distance (1).png</t>
        </is>
      </c>
      <c r="Q238" t="inlineStr">
        <is>
          <t>mr_HMRbufZeNCw4ufwF-out_hfoA89qbvT5XX9zd-0</t>
        </is>
      </c>
    </row>
    <row r="239">
      <c r="A239" t="inlineStr">
        <is>
          <t>dtp_1KXERCP431S00CTM</t>
        </is>
      </c>
      <c r="B239" t="inlineStr">
        <is>
          <t>reported</t>
        </is>
      </c>
      <c r="C239" t="inlineStr">
        <is>
          <t>Attribution factor</t>
        </is>
      </c>
      <c r="E239" s="2" t="n">
        <v>1</v>
      </c>
      <c r="F239" t="n">
        <v>0</v>
      </c>
      <c r="G239" t="inlineStr"/>
      <c r="H239" t="n">
        <v>1</v>
      </c>
      <c r="I239" t="n">
        <v>0</v>
      </c>
      <c r="J239" t="inlineStr"/>
    </row>
    <row r="240">
      <c r="A240" t="inlineStr">
        <is>
          <t>dtp_1KXERCP431S07PHY</t>
        </is>
      </c>
      <c r="B240" t="inlineStr">
        <is>
          <t>reported</t>
        </is>
      </c>
      <c r="C240" t="inlineStr">
        <is>
          <t>Attribution factor</t>
        </is>
      </c>
      <c r="E240" s="2" t="n">
        <v>1</v>
      </c>
      <c r="F240" t="n">
        <v>0</v>
      </c>
      <c r="G240" t="inlineStr"/>
      <c r="H240" t="n">
        <v>1</v>
      </c>
      <c r="I240" t="n">
        <v>0</v>
      </c>
      <c r="J240" t="inlineStr"/>
    </row>
    <row r="241">
      <c r="A241" t="inlineStr">
        <is>
          <t>dtp_1KXERCP431S0CQYZ</t>
        </is>
      </c>
      <c r="B241" t="inlineStr">
        <is>
          <t>reported</t>
        </is>
      </c>
      <c r="C241" t="inlineStr">
        <is>
          <t>Attribution factor</t>
        </is>
      </c>
      <c r="E241" s="2" t="n">
        <v>1</v>
      </c>
      <c r="F241" t="n">
        <v>0</v>
      </c>
      <c r="G241" t="inlineStr"/>
      <c r="H241" t="n">
        <v>1</v>
      </c>
      <c r="I241" t="n">
        <v>0</v>
      </c>
      <c r="J241" t="inlineStr"/>
    </row>
    <row r="242">
      <c r="A242" t="inlineStr">
        <is>
          <t>dtp_1KXERCP431S0S33A</t>
        </is>
      </c>
      <c r="B242" t="inlineStr">
        <is>
          <t>reported</t>
        </is>
      </c>
      <c r="C242" t="inlineStr">
        <is>
          <t>Attribution factor</t>
        </is>
      </c>
      <c r="E242" s="2" t="n">
        <v>1</v>
      </c>
      <c r="F242" t="n">
        <v>0</v>
      </c>
      <c r="G242" t="inlineStr"/>
      <c r="H242" t="n">
        <v>1</v>
      </c>
      <c r="I242" t="n">
        <v>0</v>
      </c>
      <c r="J242" t="inlineStr"/>
    </row>
    <row r="243">
      <c r="A243" t="inlineStr">
        <is>
          <t>dtp_1KXERCP431S0VBDK</t>
        </is>
      </c>
      <c r="B243" t="inlineStr">
        <is>
          <t>reported</t>
        </is>
      </c>
      <c r="C243" t="inlineStr">
        <is>
          <t>Attribution factor</t>
        </is>
      </c>
      <c r="E243" s="2" t="n">
        <v>1</v>
      </c>
      <c r="F243" t="n">
        <v>0</v>
      </c>
      <c r="G243" t="inlineStr"/>
      <c r="H243" t="n">
        <v>1</v>
      </c>
      <c r="I243" t="n">
        <v>0</v>
      </c>
      <c r="J243" t="inlineStr"/>
    </row>
    <row r="244">
      <c r="A244" t="inlineStr">
        <is>
          <t>dtp_1KXERCQTZ1S0HDVY</t>
        </is>
      </c>
      <c r="B244" t="inlineStr">
        <is>
          <t>derived</t>
        </is>
      </c>
      <c r="C244" t="inlineStr">
        <is>
          <t>Emissions Factor - Biochar Spreading</t>
        </is>
      </c>
      <c r="D244" t="inlineStr">
        <is>
          <t>Emissions Factor - Biochar Spreading</t>
        </is>
      </c>
      <c r="E244" s="2" t="n">
        <v>0.004</v>
      </c>
      <c r="F244" t="n">
        <v>0</v>
      </c>
      <c r="G244" t="inlineStr"/>
      <c r="H244" t="n">
        <v>0.004</v>
      </c>
      <c r="I244" t="n">
        <v>0</v>
      </c>
      <c r="J244" t="inlineStr">
        <is>
          <t>kgCO₂e/kg</t>
        </is>
      </c>
      <c r="K244">
        <f>Source!A4</f>
        <v/>
      </c>
      <c r="L244" t="inlineStr">
        <is>
          <t>Biochar Offtake Calculations.xlsx</t>
        </is>
      </c>
      <c r="Q244" t="inlineStr">
        <is>
          <t>mr_NK6u1KW35fL2p16K-out_hf7qVV7KHcGk4thf-0</t>
        </is>
      </c>
    </row>
    <row r="245">
      <c r="A245" t="inlineStr">
        <is>
          <t>dtp_1KXERCSM41S0KP67</t>
        </is>
      </c>
      <c r="B245" t="inlineStr">
        <is>
          <t>derived</t>
        </is>
      </c>
      <c r="C245" t="inlineStr">
        <is>
          <t>Biochar Applied (wet mass) (Spreading) - Applied</t>
        </is>
      </c>
      <c r="D245" t="inlineStr">
        <is>
          <t>Biochar Applied (wet mass) (Spreading) - Applied</t>
        </is>
      </c>
      <c r="E245" s="2" t="n">
        <v>514.59</v>
      </c>
      <c r="F245" t="n">
        <v>0</v>
      </c>
      <c r="G245" t="inlineStr">
        <is>
          <t>kg</t>
        </is>
      </c>
      <c r="H245" t="n">
        <v>514.59</v>
      </c>
      <c r="I245" t="n">
        <v>0</v>
      </c>
      <c r="J245" t="inlineStr">
        <is>
          <t>kg</t>
        </is>
      </c>
      <c r="K245">
        <f>Source!A44</f>
        <v/>
      </c>
      <c r="L245" t="inlineStr">
        <is>
          <t>Chris Craig 6.6.26 Scale Tickets.png</t>
        </is>
      </c>
      <c r="M245">
        <f>Source!A50</f>
        <v/>
      </c>
      <c r="N245" t="inlineStr">
        <is>
          <t>Chris Craig Delivery Notes.xlsx</t>
        </is>
      </c>
      <c r="O245">
        <f>Source!A5</f>
        <v/>
      </c>
      <c r="P245" t="inlineStr">
        <is>
          <t>Production Period 3 Summary.xlsx</t>
        </is>
      </c>
      <c r="Q245" t="inlineStr">
        <is>
          <t>mr_NK6u1KW35fL2p16K-out_0jBoYHtsohNZ8PAk-0</t>
        </is>
      </c>
    </row>
    <row r="246">
      <c r="A246" t="inlineStr">
        <is>
          <t>dtp_1KXERCYG11S0GX3F</t>
        </is>
      </c>
      <c r="B246" t="inlineStr">
        <is>
          <t>derived</t>
        </is>
      </c>
      <c r="C246" t="inlineStr">
        <is>
          <t>Biochar - H/C_org - Applied</t>
        </is>
      </c>
      <c r="D246" t="inlineStr">
        <is>
          <t>Biochar - H/C_org - Applied</t>
        </is>
      </c>
      <c r="E246" s="2" t="n">
        <v>0.35</v>
      </c>
      <c r="F246" t="n">
        <v>0</v>
      </c>
      <c r="G246" t="inlineStr"/>
      <c r="H246" t="n">
        <v>0.35</v>
      </c>
      <c r="I246" t="n">
        <v>0</v>
      </c>
      <c r="J246" t="inlineStr"/>
      <c r="K246">
        <f>Source!A48</f>
        <v/>
      </c>
      <c r="L246" t="inlineStr">
        <is>
          <t>McCreath Analysis - BGN CHAR 252 (H26050602).pdf</t>
        </is>
      </c>
      <c r="Q246" t="inlineStr">
        <is>
          <t>mr_tprGQNr4dyeDBsnn-out_SlgcaWsappr9ZCL6-0</t>
        </is>
      </c>
    </row>
    <row r="247">
      <c r="A247" t="inlineStr">
        <is>
          <t>dtp_1KXERCZ0B1S0NDR1</t>
        </is>
      </c>
      <c r="B247" t="inlineStr">
        <is>
          <t>derived</t>
        </is>
      </c>
      <c r="C247" t="inlineStr">
        <is>
          <t>Inorganic Carbon Content % - Applied</t>
        </is>
      </c>
      <c r="D247" t="inlineStr">
        <is>
          <t>Inorganic Carbon Content % - Applied</t>
        </is>
      </c>
      <c r="E247" s="2" t="n">
        <v>0.0018</v>
      </c>
      <c r="F247" t="n">
        <v>0</v>
      </c>
      <c r="G247" t="inlineStr"/>
      <c r="H247" t="n">
        <v>0.18</v>
      </c>
      <c r="I247" t="n">
        <v>0</v>
      </c>
      <c r="J247" t="inlineStr">
        <is>
          <t>%</t>
        </is>
      </c>
      <c r="K247">
        <f>Source!A6</f>
        <v/>
      </c>
      <c r="L247" t="inlineStr">
        <is>
          <t>252 - Combined Lab Analyses.pdf</t>
        </is>
      </c>
      <c r="Q247" t="inlineStr">
        <is>
          <t>mr_tprGQNr4dyeDBsnn-out_RrRijQ8NSCwAInka-0</t>
        </is>
      </c>
    </row>
    <row r="248">
      <c r="A248" t="inlineStr">
        <is>
          <t>dtp_1KXERD04M1S0GCB0</t>
        </is>
      </c>
      <c r="B248" t="inlineStr">
        <is>
          <t>derived</t>
        </is>
      </c>
      <c r="C248" t="inlineStr">
        <is>
          <t>Biochar Dry Weight (kg) (CO2 stored) - Applied</t>
        </is>
      </c>
      <c r="D248" t="inlineStr">
        <is>
          <t>Biochar Dry Weight (kg) (CO2 stored) - Applied</t>
        </is>
      </c>
      <c r="E248" s="2" t="n">
        <v>358.94931</v>
      </c>
      <c r="F248" t="n">
        <v>0</v>
      </c>
      <c r="G248" t="inlineStr">
        <is>
          <t>kg</t>
        </is>
      </c>
      <c r="H248" t="n">
        <v>358.94931</v>
      </c>
      <c r="I248" t="n">
        <v>0</v>
      </c>
      <c r="J248" t="inlineStr">
        <is>
          <t>kg</t>
        </is>
      </c>
      <c r="K248">
        <f>Source!A44</f>
        <v/>
      </c>
      <c r="L248" t="inlineStr">
        <is>
          <t>Chris Craig 6.6.26 Scale Tickets.png</t>
        </is>
      </c>
      <c r="M248">
        <f>Source!A48</f>
        <v/>
      </c>
      <c r="N248" t="inlineStr">
        <is>
          <t>McCreath Analysis - BGN CHAR 252 (H26050602).pdf</t>
        </is>
      </c>
      <c r="O248">
        <f>Source!A50</f>
        <v/>
      </c>
      <c r="P248" t="inlineStr">
        <is>
          <t>Chris Craig Delivery Notes.xlsx</t>
        </is>
      </c>
      <c r="Q248" t="inlineStr">
        <is>
          <t>mr_NK6u1KW35fL2p16K-out_tHtEVo8cn1cKK0xD-0</t>
        </is>
      </c>
    </row>
    <row r="249">
      <c r="A249" t="inlineStr">
        <is>
          <t>dtp_1KXERD0KD1S069GY</t>
        </is>
      </c>
      <c r="B249" t="inlineStr">
        <is>
          <t>derived</t>
        </is>
      </c>
      <c r="C249" t="inlineStr">
        <is>
          <t>Biochar Applied - Soil Temperature (Cel)</t>
        </is>
      </c>
      <c r="D249" t="inlineStr">
        <is>
          <t>Biochar Applied - Soil Temperature (Cel)</t>
        </is>
      </c>
      <c r="E249" s="2" t="n">
        <v>284.05</v>
      </c>
      <c r="F249" t="n">
        <v>0</v>
      </c>
      <c r="G249" t="inlineStr">
        <is>
          <t>K</t>
        </is>
      </c>
      <c r="H249" t="n">
        <v>10.9</v>
      </c>
      <c r="I249" t="n">
        <v>0</v>
      </c>
      <c r="J249" t="inlineStr">
        <is>
          <t>°C</t>
        </is>
      </c>
      <c r="K249">
        <f>Source!A41</f>
        <v/>
      </c>
      <c r="L249" t="inlineStr">
        <is>
          <t>soil_temperature_chris_craig.csv</t>
        </is>
      </c>
      <c r="Q249" t="inlineStr">
        <is>
          <t>mr_tprGQNr4dyeDBsnn-out_WFEo3VxmWt0N3Yhc-0</t>
        </is>
      </c>
    </row>
    <row r="250">
      <c r="A250" t="inlineStr">
        <is>
          <t>dtp_1KXERD12H1S0DK88</t>
        </is>
      </c>
      <c r="B250" t="inlineStr">
        <is>
          <t>derived</t>
        </is>
      </c>
      <c r="C250" t="inlineStr">
        <is>
          <t>Organic Carbon Content % - Applied</t>
        </is>
      </c>
      <c r="D250" t="inlineStr">
        <is>
          <t>Organic Carbon Content % - Applied</t>
        </is>
      </c>
      <c r="E250" s="2" t="n">
        <v>0.8012600000000001</v>
      </c>
      <c r="F250" t="n">
        <v>0</v>
      </c>
      <c r="G250" t="inlineStr"/>
      <c r="H250" t="n">
        <v>80.126</v>
      </c>
      <c r="I250" t="n">
        <v>0</v>
      </c>
      <c r="J250" t="inlineStr">
        <is>
          <t>%</t>
        </is>
      </c>
      <c r="K250">
        <f>Source!A48</f>
        <v/>
      </c>
      <c r="L250" t="inlineStr">
        <is>
          <t>McCreath Analysis - BGN CHAR 252 (H26050602).pdf</t>
        </is>
      </c>
      <c r="Q250" t="inlineStr">
        <is>
          <t>mr_NK6u1KW35fL2p16K-out_ye14SNxRG8b285JB-0</t>
        </is>
      </c>
    </row>
    <row r="251">
      <c r="A251" t="inlineStr">
        <is>
          <t>dtp_1KXERD2M11S05RRF</t>
        </is>
      </c>
      <c r="B251" t="inlineStr">
        <is>
          <t>derived</t>
        </is>
      </c>
      <c r="C251" t="inlineStr">
        <is>
          <t>Biochar Output - Carbon Intensity - Applied</t>
        </is>
      </c>
      <c r="D251" t="inlineStr">
        <is>
          <t>Biochar Output - Carbon Intensity - Applied</t>
        </is>
      </c>
      <c r="E251" s="2" t="n">
        <v>1.0351</v>
      </c>
      <c r="F251" t="n">
        <v>0</v>
      </c>
      <c r="G251" t="inlineStr"/>
      <c r="H251" t="n">
        <v>1.0351</v>
      </c>
      <c r="I251" t="n">
        <v>0</v>
      </c>
      <c r="J251" t="inlineStr">
        <is>
          <t>kgCO₂e/kg</t>
        </is>
      </c>
      <c r="K251">
        <f>Source!A38</f>
        <v/>
      </c>
      <c r="L251" t="inlineStr">
        <is>
          <t>Biochar CI Summary — All Production Periods.xlsx</t>
        </is>
      </c>
      <c r="M251">
        <f>Source!A5</f>
        <v/>
      </c>
      <c r="N251" t="inlineStr">
        <is>
          <t>Production Period 3 Summary.xlsx</t>
        </is>
      </c>
      <c r="Q251" t="inlineStr">
        <is>
          <t>mr_NK6u1KW35fL2p16K-out_Oe27xWXZDsDMPXq9-0</t>
        </is>
      </c>
    </row>
    <row r="252">
      <c r="A252" t="inlineStr">
        <is>
          <t>dtp_1KXERD3731S0MC73</t>
        </is>
      </c>
      <c r="B252" t="inlineStr">
        <is>
          <t>derived</t>
        </is>
      </c>
      <c r="C252" t="inlineStr">
        <is>
          <t>Biochar Dry Product Weight (kg) (Pyrolysis) - Applied</t>
        </is>
      </c>
      <c r="D252" t="inlineStr">
        <is>
          <t>Biochar Dry Product Weight (kg) (Pyrolysis) - Applied</t>
        </is>
      </c>
      <c r="E252" s="2" t="n">
        <v>50.72</v>
      </c>
      <c r="F252" t="n">
        <v>0</v>
      </c>
      <c r="G252" t="inlineStr">
        <is>
          <t>kg</t>
        </is>
      </c>
      <c r="H252" t="n">
        <v>50.72</v>
      </c>
      <c r="I252" t="n">
        <v>0</v>
      </c>
      <c r="J252" t="inlineStr">
        <is>
          <t>kg</t>
        </is>
      </c>
      <c r="K252">
        <f>Source!A44</f>
        <v/>
      </c>
      <c r="L252" t="inlineStr">
        <is>
          <t>Chris Craig 6.6.26 Scale Tickets.png</t>
        </is>
      </c>
      <c r="M252">
        <f>Source!A50</f>
        <v/>
      </c>
      <c r="N252" t="inlineStr">
        <is>
          <t>Chris Craig Delivery Notes.xlsx</t>
        </is>
      </c>
      <c r="O252">
        <f>Source!A5</f>
        <v/>
      </c>
      <c r="P252" t="inlineStr">
        <is>
          <t>Production Period 3 Summary.xlsx</t>
        </is>
      </c>
      <c r="Q252" t="inlineStr">
        <is>
          <t>mr_NK6u1KW35fL2p16K-out_P5psgmcwdDniayBV-0</t>
        </is>
      </c>
    </row>
    <row r="253">
      <c r="A253" t="inlineStr">
        <is>
          <t>dtp_1KXERD3ET1S02ZNQ</t>
        </is>
      </c>
      <c r="B253" t="inlineStr">
        <is>
          <t>derived</t>
        </is>
      </c>
      <c r="C253" t="inlineStr">
        <is>
          <t>Copy - Truck EF</t>
        </is>
      </c>
      <c r="D253" t="inlineStr">
        <is>
          <t>Copy - Truck EF</t>
        </is>
      </c>
      <c r="E253" s="2" t="n">
        <v>8.599777300564702e-08</v>
      </c>
      <c r="F253" t="n">
        <v>0</v>
      </c>
      <c r="G253" t="inlineStr">
        <is>
          <t>1/m</t>
        </is>
      </c>
      <c r="H253" t="n">
        <v>0.1384</v>
      </c>
      <c r="I253" t="n">
        <v>0</v>
      </c>
      <c r="J253" t="inlineStr">
        <is>
          <t>kgCO₂e/(t⋅mi)</t>
        </is>
      </c>
      <c r="K253">
        <f>Source!A17</f>
        <v/>
      </c>
      <c r="L253" t="inlineStr">
        <is>
          <t>Standard Emission Factors + Calculations (8).xlsx</t>
        </is>
      </c>
      <c r="Q253" t="inlineStr">
        <is>
          <t>mr_NK6u1KW35fL2p16K-out_kz09qsYg6N3uHg55-0</t>
        </is>
      </c>
    </row>
    <row r="254">
      <c r="A254" t="inlineStr">
        <is>
          <t>dtp_1KXERD5581S05800</t>
        </is>
      </c>
      <c r="B254" t="inlineStr">
        <is>
          <t>reported</t>
        </is>
      </c>
      <c r="C254" t="inlineStr">
        <is>
          <t>Biochar Applied - Delivery Distance (km)</t>
        </is>
      </c>
      <c r="D254" t="inlineStr">
        <is>
          <t>Biochar Applied - Delivery Distance (km)</t>
        </is>
      </c>
      <c r="E254" s="2" t="n">
        <v>278416.51</v>
      </c>
      <c r="F254" t="n">
        <v>0</v>
      </c>
      <c r="G254" t="inlineStr">
        <is>
          <t>m</t>
        </is>
      </c>
      <c r="H254" t="n">
        <v>278.41651</v>
      </c>
      <c r="I254" t="n">
        <v>0</v>
      </c>
      <c r="J254" t="inlineStr">
        <is>
          <t>km</t>
        </is>
      </c>
      <c r="K254">
        <f>Source!A18</f>
        <v/>
      </c>
      <c r="L254" t="inlineStr">
        <is>
          <t>CO to Chris Craig Distance (1).png</t>
        </is>
      </c>
      <c r="Q254" t="inlineStr">
        <is>
          <t>mr_NK6u1KW35fL2p16K-out_mh2j8s9fAROxQE7o-0</t>
        </is>
      </c>
    </row>
    <row r="255">
      <c r="A255" t="inlineStr">
        <is>
          <t>dtp_1KXERD5SK1S0KVEM</t>
        </is>
      </c>
      <c r="B255" t="inlineStr">
        <is>
          <t>derived</t>
        </is>
      </c>
      <c r="C255" t="inlineStr">
        <is>
          <t>Biochar Transported (kg) - Applied</t>
        </is>
      </c>
      <c r="D255" t="inlineStr">
        <is>
          <t>Biochar Transported (kg) - Applied</t>
        </is>
      </c>
      <c r="E255" s="2" t="n">
        <v>538.6900000000001</v>
      </c>
      <c r="F255" t="n">
        <v>0</v>
      </c>
      <c r="G255" t="inlineStr">
        <is>
          <t>kg</t>
        </is>
      </c>
      <c r="H255" t="n">
        <v>538.6900000000001</v>
      </c>
      <c r="I255" t="n">
        <v>0</v>
      </c>
      <c r="J255" t="inlineStr">
        <is>
          <t>kg</t>
        </is>
      </c>
      <c r="K255">
        <f>Source!A44</f>
        <v/>
      </c>
      <c r="L255" t="inlineStr">
        <is>
          <t>Chris Craig 6.6.26 Scale Tickets.png</t>
        </is>
      </c>
      <c r="M255">
        <f>Source!A50</f>
        <v/>
      </c>
      <c r="N255" t="inlineStr">
        <is>
          <t>Chris Craig Delivery Notes.xlsx</t>
        </is>
      </c>
      <c r="O255">
        <f>Source!A5</f>
        <v/>
      </c>
      <c r="P255" t="inlineStr">
        <is>
          <t>Production Period 3 Summary.xlsx</t>
        </is>
      </c>
      <c r="Q255" t="inlineStr">
        <is>
          <t>mr_NK6u1KW35fL2p16K-out_sVIPjpDBrGPnpupv-0</t>
        </is>
      </c>
    </row>
    <row r="256">
      <c r="A256" t="inlineStr">
        <is>
          <t>dtp_1KXERD68F1S02EX8</t>
        </is>
      </c>
      <c r="B256" t="inlineStr">
        <is>
          <t>reported</t>
        </is>
      </c>
      <c r="C256" t="inlineStr">
        <is>
          <t>Emissions Factor - Flatbed Truck Transport Embodied Emissions (2025, CO)</t>
        </is>
      </c>
      <c r="D256" t="inlineStr">
        <is>
          <t>Emissions Factor - Flatbed Truck Transport Embodied Emissions (2025, CO)</t>
        </is>
      </c>
      <c r="E256" s="2" t="n">
        <v>0.0001197949629</v>
      </c>
      <c r="F256" t="n">
        <v>0</v>
      </c>
      <c r="G256" t="inlineStr">
        <is>
          <t>kg/m</t>
        </is>
      </c>
      <c r="H256" t="n">
        <v>0.1197949629</v>
      </c>
      <c r="I256" t="n">
        <v>0</v>
      </c>
      <c r="J256" t="inlineStr">
        <is>
          <t>kgCO₂e/km</t>
        </is>
      </c>
      <c r="K256">
        <f>Source!A17</f>
        <v/>
      </c>
      <c r="L256" t="inlineStr">
        <is>
          <t>Standard Emission Factors + Calculations (8).xlsx</t>
        </is>
      </c>
      <c r="Q256" t="inlineStr">
        <is>
          <t>mr_NK6u1KW35fL2p16K-out_mh5OWJEQ9TzkSjax-0</t>
        </is>
      </c>
    </row>
    <row r="257">
      <c r="A257" t="inlineStr">
        <is>
          <t>dtp_1KXERD6K51S09RMJ</t>
        </is>
      </c>
      <c r="B257" t="inlineStr">
        <is>
          <t>reported</t>
        </is>
      </c>
      <c r="C257" t="inlineStr">
        <is>
          <t>Biochar Applied - Allocated Delivery Distance (km)</t>
        </is>
      </c>
      <c r="D257" t="inlineStr">
        <is>
          <t>Biochar Applied - Allocated Delivery Distance (km)</t>
        </is>
      </c>
      <c r="E257" s="2" t="n">
        <v>13252.63</v>
      </c>
      <c r="F257" t="n">
        <v>0</v>
      </c>
      <c r="G257" t="inlineStr">
        <is>
          <t>m</t>
        </is>
      </c>
      <c r="H257" t="n">
        <v>13.25263</v>
      </c>
      <c r="I257" t="n">
        <v>0</v>
      </c>
      <c r="J257" t="inlineStr">
        <is>
          <t>km</t>
        </is>
      </c>
      <c r="K257">
        <f>Source!A18</f>
        <v/>
      </c>
      <c r="L257" t="inlineStr">
        <is>
          <t>CO to Chris Craig Distance (1).png</t>
        </is>
      </c>
      <c r="Q257" t="inlineStr">
        <is>
          <t>mr_NK6u1KW35fL2p16K-out_hfoA89qbvT5XX9zd-0</t>
        </is>
      </c>
    </row>
    <row r="258">
      <c r="A258" t="inlineStr">
        <is>
          <t>dtp_1KXERD7151S05JGT</t>
        </is>
      </c>
      <c r="B258" t="inlineStr">
        <is>
          <t>reported</t>
        </is>
      </c>
      <c r="C258" t="inlineStr">
        <is>
          <t>Attribution factor</t>
        </is>
      </c>
      <c r="E258" s="2" t="n">
        <v>1</v>
      </c>
      <c r="F258" t="n">
        <v>0</v>
      </c>
      <c r="G258" t="inlineStr"/>
      <c r="H258" t="n">
        <v>1</v>
      </c>
      <c r="I258" t="n">
        <v>0</v>
      </c>
      <c r="J258" t="inlineStr"/>
    </row>
    <row r="259">
      <c r="A259" t="inlineStr">
        <is>
          <t>dtp_1KXERD7151S0AKXV</t>
        </is>
      </c>
      <c r="B259" t="inlineStr">
        <is>
          <t>reported</t>
        </is>
      </c>
      <c r="C259" t="inlineStr">
        <is>
          <t>Attribution factor</t>
        </is>
      </c>
      <c r="E259" s="2" t="n">
        <v>1</v>
      </c>
      <c r="F259" t="n">
        <v>0</v>
      </c>
      <c r="G259" t="inlineStr"/>
      <c r="H259" t="n">
        <v>1</v>
      </c>
      <c r="I259" t="n">
        <v>0</v>
      </c>
      <c r="J259" t="inlineStr"/>
    </row>
    <row r="260">
      <c r="A260" t="inlineStr">
        <is>
          <t>dtp_1KXERD7151S0PZ26</t>
        </is>
      </c>
      <c r="B260" t="inlineStr">
        <is>
          <t>reported</t>
        </is>
      </c>
      <c r="C260" t="inlineStr">
        <is>
          <t>Attribution factor</t>
        </is>
      </c>
      <c r="E260" s="2" t="n">
        <v>1</v>
      </c>
      <c r="F260" t="n">
        <v>0</v>
      </c>
      <c r="G260" t="inlineStr"/>
      <c r="H260" t="n">
        <v>1</v>
      </c>
      <c r="I260" t="n">
        <v>0</v>
      </c>
      <c r="J260" t="inlineStr"/>
    </row>
    <row r="261">
      <c r="A261" t="inlineStr">
        <is>
          <t>dtp_1KXERD7151S0S7CF</t>
        </is>
      </c>
      <c r="B261" t="inlineStr">
        <is>
          <t>reported</t>
        </is>
      </c>
      <c r="C261" t="inlineStr">
        <is>
          <t>Attribution factor</t>
        </is>
      </c>
      <c r="E261" s="2" t="n">
        <v>1</v>
      </c>
      <c r="F261" t="n">
        <v>0</v>
      </c>
      <c r="G261" t="inlineStr"/>
      <c r="H261" t="n">
        <v>1</v>
      </c>
      <c r="I261" t="n">
        <v>0</v>
      </c>
      <c r="J261" t="inlineStr"/>
    </row>
    <row r="262">
      <c r="A262" t="inlineStr">
        <is>
          <t>dtp_1KXERD7151S0Y8SG</t>
        </is>
      </c>
      <c r="B262" t="inlineStr">
        <is>
          <t>reported</t>
        </is>
      </c>
      <c r="C262" t="inlineStr">
        <is>
          <t>Attribution factor</t>
        </is>
      </c>
      <c r="E262" s="2" t="n">
        <v>1</v>
      </c>
      <c r="F262" t="n">
        <v>0</v>
      </c>
      <c r="G262" t="inlineStr"/>
      <c r="H262" t="n">
        <v>1</v>
      </c>
      <c r="I262" t="n">
        <v>0</v>
      </c>
      <c r="J262" t="inlineStr"/>
    </row>
    <row r="263">
      <c r="A263" t="inlineStr">
        <is>
          <t>dtp_1KXERHFPF1S07FB1</t>
        </is>
      </c>
      <c r="B263" t="inlineStr">
        <is>
          <t>reported</t>
        </is>
      </c>
      <c r="C263" t="inlineStr">
        <is>
          <t>Attribution factor</t>
        </is>
      </c>
      <c r="E263" s="2" t="n">
        <v>1</v>
      </c>
      <c r="F263" t="n">
        <v>0</v>
      </c>
      <c r="G263" t="inlineStr"/>
      <c r="H263" t="n">
        <v>1</v>
      </c>
      <c r="I263" t="n">
        <v>0</v>
      </c>
      <c r="J263" t="inlineStr"/>
    </row>
    <row r="264">
      <c r="A264" t="inlineStr">
        <is>
          <t>dtp_1KXERJDZY1S0ZMV8</t>
        </is>
      </c>
      <c r="B264" t="inlineStr">
        <is>
          <t>reported</t>
        </is>
      </c>
      <c r="C264" t="inlineStr">
        <is>
          <t>Constant CO₂ reduction</t>
        </is>
      </c>
      <c r="E264" s="2" t="n">
        <v>64.48999999999999</v>
      </c>
      <c r="F264" t="n">
        <v>0</v>
      </c>
      <c r="G264" t="inlineStr">
        <is>
          <t>kg</t>
        </is>
      </c>
      <c r="H264" t="n">
        <v>64.48999999999999</v>
      </c>
      <c r="I264" t="n">
        <v>0</v>
      </c>
      <c r="J264" t="inlineStr">
        <is>
          <t>kgCO₂e</t>
        </is>
      </c>
      <c r="K264">
        <f>Source!A19</f>
        <v/>
      </c>
      <c r="L264" t="inlineStr">
        <is>
          <t>Charm-RetirementCertificate-RD-EACs-20251218 (1).pdf</t>
        </is>
      </c>
    </row>
    <row r="265">
      <c r="A265" t="inlineStr">
        <is>
          <t>dtp_1KXGK29WP1S0Q71D</t>
        </is>
      </c>
      <c r="B265" t="inlineStr">
        <is>
          <t>derived</t>
        </is>
      </c>
      <c r="C265" t="inlineStr">
        <is>
          <t>Emissions Factor - Biochar Spreading</t>
        </is>
      </c>
      <c r="D265" t="inlineStr">
        <is>
          <t>Emissions Factor - Biochar Spreading</t>
        </is>
      </c>
      <c r="E265" s="2" t="n">
        <v>0.004</v>
      </c>
      <c r="F265" t="n">
        <v>0</v>
      </c>
      <c r="G265" t="inlineStr"/>
      <c r="H265" t="n">
        <v>0.004</v>
      </c>
      <c r="I265" t="n">
        <v>0</v>
      </c>
      <c r="J265" t="inlineStr">
        <is>
          <t>kgCO₂e/kg</t>
        </is>
      </c>
      <c r="K265">
        <f>Source!A4</f>
        <v/>
      </c>
      <c r="L265" t="inlineStr">
        <is>
          <t>Biochar Offtake Calculations.xlsx</t>
        </is>
      </c>
      <c r="Q265" t="inlineStr">
        <is>
          <t>mr_JZlT2N14xmEKbZGx-out_hf7qVV7KHcGk4thf-0</t>
        </is>
      </c>
    </row>
    <row r="266">
      <c r="A266" t="inlineStr">
        <is>
          <t>dtp_1KXGK2C1K1S0SFBP</t>
        </is>
      </c>
      <c r="B266" t="inlineStr">
        <is>
          <t>derived</t>
        </is>
      </c>
      <c r="C266" t="inlineStr">
        <is>
          <t>Biochar Applied (wet mass) (Spreading) - Applied</t>
        </is>
      </c>
      <c r="D266" t="inlineStr">
        <is>
          <t>Biochar Applied (wet mass) (Spreading) - Applied</t>
        </is>
      </c>
      <c r="E266" s="2" t="n">
        <v>4888.65</v>
      </c>
      <c r="F266" t="n">
        <v>0</v>
      </c>
      <c r="G266" t="inlineStr">
        <is>
          <t>kg</t>
        </is>
      </c>
      <c r="H266" t="n">
        <v>4888.65</v>
      </c>
      <c r="I266" t="n">
        <v>0</v>
      </c>
      <c r="J266" t="inlineStr">
        <is>
          <t>kg</t>
        </is>
      </c>
      <c r="K266">
        <f>Source!A44</f>
        <v/>
      </c>
      <c r="L266" t="inlineStr">
        <is>
          <t>Chris Craig 6.6.26 Scale Tickets.png</t>
        </is>
      </c>
      <c r="M266">
        <f>Source!A50</f>
        <v/>
      </c>
      <c r="N266" t="inlineStr">
        <is>
          <t>Chris Craig Delivery Notes.xlsx</t>
        </is>
      </c>
      <c r="O266">
        <f>Source!A20</f>
        <v/>
      </c>
      <c r="P266" t="inlineStr">
        <is>
          <t>Production Period 4 Summary.xlsx</t>
        </is>
      </c>
      <c r="Q266" t="inlineStr">
        <is>
          <t>mr_JZlT2N14xmEKbZGx-out_0jBoYHtsohNZ8PAk-0</t>
        </is>
      </c>
    </row>
    <row r="267">
      <c r="A267" t="inlineStr">
        <is>
          <t>dtp_1KXGK2H9T1S0PP8Y</t>
        </is>
      </c>
      <c r="B267" t="inlineStr">
        <is>
          <t>derived</t>
        </is>
      </c>
      <c r="C267" t="inlineStr">
        <is>
          <t>Biochar - H/C_org - Applied</t>
        </is>
      </c>
      <c r="D267" t="inlineStr">
        <is>
          <t>Biochar - H/C_org - Applied</t>
        </is>
      </c>
      <c r="E267" s="2" t="n">
        <v>0.46</v>
      </c>
      <c r="F267" t="n">
        <v>0</v>
      </c>
      <c r="G267" t="inlineStr"/>
      <c r="H267" t="n">
        <v>0.46</v>
      </c>
      <c r="I267" t="n">
        <v>0</v>
      </c>
      <c r="J267" t="inlineStr"/>
      <c r="K267">
        <f>Source!A21</f>
        <v/>
      </c>
      <c r="L267" t="inlineStr">
        <is>
          <t>253 - Combined Lab Analyses.pdf</t>
        </is>
      </c>
      <c r="Q267" t="inlineStr">
        <is>
          <t>mr_08fFz1QGWMA4Rji0-out_SlgcaWsappr9ZCL6-0</t>
        </is>
      </c>
    </row>
    <row r="268">
      <c r="A268" t="inlineStr">
        <is>
          <t>dtp_1KXGK2HW61S0V6XG</t>
        </is>
      </c>
      <c r="B268" t="inlineStr">
        <is>
          <t>derived</t>
        </is>
      </c>
      <c r="C268" t="inlineStr">
        <is>
          <t>Inorganic Carbon Content % - Applied</t>
        </is>
      </c>
      <c r="D268" t="inlineStr">
        <is>
          <t>Inorganic Carbon Content % - Applied</t>
        </is>
      </c>
      <c r="E268" s="2" t="n">
        <v>0.002</v>
      </c>
      <c r="F268" t="n">
        <v>0</v>
      </c>
      <c r="G268" t="inlineStr"/>
      <c r="H268" t="n">
        <v>0.2</v>
      </c>
      <c r="I268" t="n">
        <v>0</v>
      </c>
      <c r="J268" t="inlineStr">
        <is>
          <t>%</t>
        </is>
      </c>
      <c r="K268">
        <f>Source!A22</f>
        <v/>
      </c>
      <c r="L268" t="inlineStr">
        <is>
          <t>253 - Combined Lab Analyses.pdf</t>
        </is>
      </c>
      <c r="Q268" t="inlineStr">
        <is>
          <t>mr_08fFz1QGWMA4Rji0-out_RrRijQ8NSCwAInka-0</t>
        </is>
      </c>
    </row>
    <row r="269">
      <c r="A269" t="inlineStr">
        <is>
          <t>dtp_1KXGK2KV61S0P5GF</t>
        </is>
      </c>
      <c r="B269" t="inlineStr">
        <is>
          <t>derived</t>
        </is>
      </c>
      <c r="C269" t="inlineStr">
        <is>
          <t>Biochar Dry Weight (kg) (CO2 stored) - Applied</t>
        </is>
      </c>
      <c r="D269" t="inlineStr">
        <is>
          <t>Biochar Dry Weight (kg) (CO2 stored) - Applied</t>
        </is>
      </c>
      <c r="E269" s="2" t="n">
        <v>3114.5184</v>
      </c>
      <c r="F269" t="n">
        <v>0</v>
      </c>
      <c r="G269" t="inlineStr">
        <is>
          <t>kg</t>
        </is>
      </c>
      <c r="H269" t="n">
        <v>3114.5184</v>
      </c>
      <c r="I269" t="n">
        <v>0</v>
      </c>
      <c r="J269" t="inlineStr">
        <is>
          <t>kg</t>
        </is>
      </c>
      <c r="K269">
        <f>Source!A44</f>
        <v/>
      </c>
      <c r="L269" t="inlineStr">
        <is>
          <t>Chris Craig 6.6.26 Scale Tickets.png</t>
        </is>
      </c>
      <c r="M269">
        <f>Source!A22</f>
        <v/>
      </c>
      <c r="N269" t="inlineStr">
        <is>
          <t>253 - Combined Lab Analyses.pdf</t>
        </is>
      </c>
      <c r="O269">
        <f>Source!A50</f>
        <v/>
      </c>
      <c r="P269" t="inlineStr">
        <is>
          <t>Chris Craig Delivery Notes.xlsx</t>
        </is>
      </c>
      <c r="Q269" t="inlineStr">
        <is>
          <t>mr_JZlT2N14xmEKbZGx-out_tHtEVo8cn1cKK0xD-0</t>
        </is>
      </c>
    </row>
    <row r="270">
      <c r="A270" t="inlineStr">
        <is>
          <t>dtp_1KXGK2MC21S0C2PD</t>
        </is>
      </c>
      <c r="B270" t="inlineStr">
        <is>
          <t>derived</t>
        </is>
      </c>
      <c r="C270" t="inlineStr">
        <is>
          <t>Biochar Applied - Soil Temperature (Cel)</t>
        </is>
      </c>
      <c r="D270" t="inlineStr">
        <is>
          <t>Biochar Applied - Soil Temperature (Cel)</t>
        </is>
      </c>
      <c r="E270" s="2" t="n">
        <v>284.05</v>
      </c>
      <c r="F270" t="n">
        <v>0</v>
      </c>
      <c r="G270" t="inlineStr">
        <is>
          <t>K</t>
        </is>
      </c>
      <c r="H270" t="n">
        <v>10.9</v>
      </c>
      <c r="I270" t="n">
        <v>0</v>
      </c>
      <c r="J270" t="inlineStr">
        <is>
          <t>°C</t>
        </is>
      </c>
      <c r="K270">
        <f>Source!A41</f>
        <v/>
      </c>
      <c r="L270" t="inlineStr">
        <is>
          <t>soil_temperature_chris_craig.csv</t>
        </is>
      </c>
      <c r="Q270" t="inlineStr">
        <is>
          <t>mr_08fFz1QGWMA4Rji0-out_WFEo3VxmWt0N3Yhc-0</t>
        </is>
      </c>
    </row>
    <row r="271">
      <c r="A271" t="inlineStr">
        <is>
          <t>dtp_1KXGK2MZ11S0KCDQ</t>
        </is>
      </c>
      <c r="B271" t="inlineStr">
        <is>
          <t>derived</t>
        </is>
      </c>
      <c r="C271" t="inlineStr">
        <is>
          <t>Organic Carbon Content % - Applied</t>
        </is>
      </c>
      <c r="D271" t="inlineStr">
        <is>
          <t>Organic Carbon Content % - Applied</t>
        </is>
      </c>
      <c r="E271" s="2" t="n">
        <v>0.84133</v>
      </c>
      <c r="F271" t="n">
        <v>0</v>
      </c>
      <c r="G271" t="inlineStr"/>
      <c r="H271" t="n">
        <v>84.133</v>
      </c>
      <c r="I271" t="n">
        <v>0</v>
      </c>
      <c r="J271" t="inlineStr">
        <is>
          <t>%</t>
        </is>
      </c>
      <c r="K271">
        <f>Source!A21</f>
        <v/>
      </c>
      <c r="L271" t="inlineStr">
        <is>
          <t>253 - Combined Lab Analyses.pdf</t>
        </is>
      </c>
      <c r="Q271" t="inlineStr">
        <is>
          <t>mr_JZlT2N14xmEKbZGx-out_ye14SNxRG8b285JB-0</t>
        </is>
      </c>
    </row>
    <row r="272">
      <c r="A272" t="inlineStr">
        <is>
          <t>dtp_1KXGK2P111S0BHXY</t>
        </is>
      </c>
      <c r="B272" t="inlineStr">
        <is>
          <t>derived</t>
        </is>
      </c>
      <c r="C272" t="inlineStr">
        <is>
          <t>Biochar Output - Carbon Intensity - Applied</t>
        </is>
      </c>
      <c r="D272" t="inlineStr">
        <is>
          <t>Biochar Output - Carbon Intensity - Applied</t>
        </is>
      </c>
      <c r="E272" s="2" t="n">
        <v>1.1003</v>
      </c>
      <c r="F272" t="n">
        <v>0</v>
      </c>
      <c r="G272" t="inlineStr"/>
      <c r="H272" t="n">
        <v>1.1003</v>
      </c>
      <c r="I272" t="n">
        <v>0</v>
      </c>
      <c r="J272" t="inlineStr">
        <is>
          <t>kgCO₂e/kg</t>
        </is>
      </c>
      <c r="K272">
        <f>Source!A38</f>
        <v/>
      </c>
      <c r="L272" t="inlineStr">
        <is>
          <t>Biochar CI Summary — All Production Periods.xlsx</t>
        </is>
      </c>
      <c r="M272">
        <f>Source!A20</f>
        <v/>
      </c>
      <c r="N272" t="inlineStr">
        <is>
          <t>Production Period 4 Summary.xlsx</t>
        </is>
      </c>
      <c r="Q272" t="inlineStr">
        <is>
          <t>mr_JZlT2N14xmEKbZGx-out_Oe27xWXZDsDMPXq9-0</t>
        </is>
      </c>
    </row>
    <row r="273">
      <c r="A273" t="inlineStr">
        <is>
          <t>dtp_1KXGK2PNA1S0T5CJ</t>
        </is>
      </c>
      <c r="B273" t="inlineStr">
        <is>
          <t>derived</t>
        </is>
      </c>
      <c r="C273" t="inlineStr">
        <is>
          <t>Biochar Dry Product Weight (kg) (Pyrolysis) - Applied</t>
        </is>
      </c>
      <c r="D273" t="inlineStr">
        <is>
          <t>Biochar Dry Product Weight (kg) (Pyrolysis) - Applied</t>
        </is>
      </c>
      <c r="E273" s="2" t="n">
        <v>3953.85</v>
      </c>
      <c r="F273" t="n">
        <v>0</v>
      </c>
      <c r="G273" t="inlineStr">
        <is>
          <t>kg</t>
        </is>
      </c>
      <c r="H273" t="n">
        <v>3953.85</v>
      </c>
      <c r="I273" t="n">
        <v>0</v>
      </c>
      <c r="J273" t="inlineStr">
        <is>
          <t>kg</t>
        </is>
      </c>
      <c r="K273">
        <f>Source!A44</f>
        <v/>
      </c>
      <c r="L273" t="inlineStr">
        <is>
          <t>Chris Craig 6.6.26 Scale Tickets.png</t>
        </is>
      </c>
      <c r="M273">
        <f>Source!A50</f>
        <v/>
      </c>
      <c r="N273" t="inlineStr">
        <is>
          <t>Chris Craig Delivery Notes.xlsx</t>
        </is>
      </c>
      <c r="O273">
        <f>Source!A20</f>
        <v/>
      </c>
      <c r="P273" t="inlineStr">
        <is>
          <t>Production Period 4 Summary.xlsx</t>
        </is>
      </c>
      <c r="Q273" t="inlineStr">
        <is>
          <t>mr_JZlT2N14xmEKbZGx-out_P5psgmcwdDniayBV-0</t>
        </is>
      </c>
    </row>
    <row r="274">
      <c r="A274" t="inlineStr">
        <is>
          <t>dtp_1KXGK2SSH1S0WDPV</t>
        </is>
      </c>
      <c r="B274" t="inlineStr">
        <is>
          <t>derived</t>
        </is>
      </c>
      <c r="C274" t="inlineStr">
        <is>
          <t>Copy - Truck EF</t>
        </is>
      </c>
      <c r="D274" t="inlineStr">
        <is>
          <t>Copy - Truck EF</t>
        </is>
      </c>
      <c r="E274" s="2" t="n">
        <v>8.599777300564702e-08</v>
      </c>
      <c r="F274" t="n">
        <v>0</v>
      </c>
      <c r="G274" t="inlineStr">
        <is>
          <t>1/m</t>
        </is>
      </c>
      <c r="H274" t="n">
        <v>0.1384</v>
      </c>
      <c r="I274" t="n">
        <v>0</v>
      </c>
      <c r="J274" t="inlineStr">
        <is>
          <t>kgCO₂e/(t⋅mi)</t>
        </is>
      </c>
      <c r="K274">
        <f>Source!A17</f>
        <v/>
      </c>
      <c r="L274" t="inlineStr">
        <is>
          <t>Standard Emission Factors + Calculations (8).xlsx</t>
        </is>
      </c>
      <c r="Q274" t="inlineStr">
        <is>
          <t>mr_JZlT2N14xmEKbZGx-out_kz09qsYg6N3uHg55-0</t>
        </is>
      </c>
    </row>
    <row r="275">
      <c r="A275" t="inlineStr">
        <is>
          <t>dtp_1KXGK2VRM1S0YP14</t>
        </is>
      </c>
      <c r="B275" t="inlineStr">
        <is>
          <t>reported</t>
        </is>
      </c>
      <c r="C275" t="inlineStr">
        <is>
          <t>Biochar Applied - Delivery Distance (km)</t>
        </is>
      </c>
      <c r="D275" t="inlineStr">
        <is>
          <t>Biochar Applied - Delivery Distance (km)</t>
        </is>
      </c>
      <c r="E275" s="2" t="n">
        <v>278416.51</v>
      </c>
      <c r="F275" t="n">
        <v>0</v>
      </c>
      <c r="G275" t="inlineStr">
        <is>
          <t>m</t>
        </is>
      </c>
      <c r="H275" t="n">
        <v>278.41651</v>
      </c>
      <c r="I275" t="n">
        <v>0</v>
      </c>
      <c r="J275" t="inlineStr">
        <is>
          <t>km</t>
        </is>
      </c>
      <c r="K275">
        <f>Source!A18</f>
        <v/>
      </c>
      <c r="L275" t="inlineStr">
        <is>
          <t>CO to Chris Craig Distance (1).png</t>
        </is>
      </c>
      <c r="Q275" t="inlineStr">
        <is>
          <t>mr_JZlT2N14xmEKbZGx-out_mh2j8s9fAROxQE7o-0</t>
        </is>
      </c>
    </row>
    <row r="276">
      <c r="A276" t="inlineStr">
        <is>
          <t>dtp_1KXGK2WMH1S0D9FR</t>
        </is>
      </c>
      <c r="B276" t="inlineStr">
        <is>
          <t>derived</t>
        </is>
      </c>
      <c r="C276" t="inlineStr">
        <is>
          <t>Biochar Transported (kg) - Applied</t>
        </is>
      </c>
      <c r="D276" t="inlineStr">
        <is>
          <t>Biochar Transported (kg) - Applied</t>
        </is>
      </c>
      <c r="E276" s="2" t="n">
        <v>5117.597741</v>
      </c>
      <c r="F276" t="n">
        <v>0</v>
      </c>
      <c r="G276" t="inlineStr">
        <is>
          <t>kg</t>
        </is>
      </c>
      <c r="H276" t="n">
        <v>5117.597741</v>
      </c>
      <c r="I276" t="n">
        <v>0</v>
      </c>
      <c r="J276" t="inlineStr">
        <is>
          <t>kg</t>
        </is>
      </c>
      <c r="K276">
        <f>Source!A44</f>
        <v/>
      </c>
      <c r="L276" t="inlineStr">
        <is>
          <t>Chris Craig 6.6.26 Scale Tickets.png</t>
        </is>
      </c>
      <c r="M276">
        <f>Source!A50</f>
        <v/>
      </c>
      <c r="N276" t="inlineStr">
        <is>
          <t>Chris Craig Delivery Notes.xlsx</t>
        </is>
      </c>
      <c r="O276">
        <f>Source!A20</f>
        <v/>
      </c>
      <c r="P276" t="inlineStr">
        <is>
          <t>Production Period 4 Summary.xlsx</t>
        </is>
      </c>
      <c r="Q276" t="inlineStr">
        <is>
          <t>mr_JZlT2N14xmEKbZGx-out_sVIPjpDBrGPnpupv-0</t>
        </is>
      </c>
    </row>
    <row r="277">
      <c r="A277" t="inlineStr">
        <is>
          <t>dtp_1KXGK2X4M1S0VWYC</t>
        </is>
      </c>
      <c r="B277" t="inlineStr">
        <is>
          <t>reported</t>
        </is>
      </c>
      <c r="C277" t="inlineStr">
        <is>
          <t>Emissions Factor - Flatbed Truck Transport Embodied Emissions (2025, CO)</t>
        </is>
      </c>
      <c r="D277" t="inlineStr">
        <is>
          <t>Emissions Factor - Flatbed Truck Transport Embodied Emissions (2025, CO)</t>
        </is>
      </c>
      <c r="E277" s="2" t="n">
        <v>0.0001197949629</v>
      </c>
      <c r="F277" t="n">
        <v>0</v>
      </c>
      <c r="G277" t="inlineStr">
        <is>
          <t>kg/m</t>
        </is>
      </c>
      <c r="H277" t="n">
        <v>0.1197949629</v>
      </c>
      <c r="I277" t="n">
        <v>0</v>
      </c>
      <c r="J277" t="inlineStr">
        <is>
          <t>kgCO₂e/km</t>
        </is>
      </c>
      <c r="K277">
        <f>Source!A17</f>
        <v/>
      </c>
      <c r="L277" t="inlineStr">
        <is>
          <t>Standard Emission Factors + Calculations (8).xlsx</t>
        </is>
      </c>
      <c r="Q277" t="inlineStr">
        <is>
          <t>mr_JZlT2N14xmEKbZGx-out_mh5OWJEQ9TzkSjax-0</t>
        </is>
      </c>
    </row>
    <row r="278">
      <c r="A278" t="inlineStr">
        <is>
          <t>dtp_1KXGK2XNN1S036NP</t>
        </is>
      </c>
      <c r="B278" t="inlineStr">
        <is>
          <t>reported</t>
        </is>
      </c>
      <c r="C278" t="inlineStr">
        <is>
          <t>Biochar Applied - Allocated Delivery Distance (km)</t>
        </is>
      </c>
      <c r="D278" t="inlineStr">
        <is>
          <t>Biochar Applied - Allocated Delivery Distance (km)</t>
        </is>
      </c>
      <c r="E278" s="2" t="n">
        <v>125955.63</v>
      </c>
      <c r="F278" t="n">
        <v>0</v>
      </c>
      <c r="G278" t="inlineStr">
        <is>
          <t>m</t>
        </is>
      </c>
      <c r="H278" t="n">
        <v>125.95563</v>
      </c>
      <c r="I278" t="n">
        <v>0</v>
      </c>
      <c r="J278" t="inlineStr">
        <is>
          <t>km</t>
        </is>
      </c>
      <c r="K278">
        <f>Source!A18</f>
        <v/>
      </c>
      <c r="L278" t="inlineStr">
        <is>
          <t>CO to Chris Craig Distance (1).png</t>
        </is>
      </c>
      <c r="Q278" t="inlineStr">
        <is>
          <t>mr_JZlT2N14xmEKbZGx-out_hfoA89qbvT5XX9zd-0</t>
        </is>
      </c>
    </row>
    <row r="279">
      <c r="A279" t="inlineStr">
        <is>
          <t>dtp_1KXGK2Y3V1S041YZ</t>
        </is>
      </c>
      <c r="B279" t="inlineStr">
        <is>
          <t>reported</t>
        </is>
      </c>
      <c r="C279" t="inlineStr">
        <is>
          <t>Attribution factor</t>
        </is>
      </c>
      <c r="E279" s="2" t="n">
        <v>1</v>
      </c>
      <c r="F279" t="n">
        <v>0</v>
      </c>
      <c r="G279" t="inlineStr"/>
      <c r="H279" t="n">
        <v>1</v>
      </c>
      <c r="I279" t="n">
        <v>0</v>
      </c>
      <c r="J279" t="inlineStr"/>
    </row>
    <row r="280">
      <c r="A280" t="inlineStr">
        <is>
          <t>dtp_1KXGK2Y3V1S0GD3A</t>
        </is>
      </c>
      <c r="B280" t="inlineStr">
        <is>
          <t>reported</t>
        </is>
      </c>
      <c r="C280" t="inlineStr">
        <is>
          <t>Attribution factor</t>
        </is>
      </c>
      <c r="E280" s="2" t="n">
        <v>1</v>
      </c>
      <c r="F280" t="n">
        <v>0</v>
      </c>
      <c r="G280" t="inlineStr"/>
      <c r="H280" t="n">
        <v>1</v>
      </c>
      <c r="I280" t="n">
        <v>0</v>
      </c>
      <c r="J280" t="inlineStr"/>
    </row>
    <row r="281">
      <c r="A281" t="inlineStr">
        <is>
          <t>dtp_1KXGK2Y3V1S0JNDK</t>
        </is>
      </c>
      <c r="B281" t="inlineStr">
        <is>
          <t>reported</t>
        </is>
      </c>
      <c r="C281" t="inlineStr">
        <is>
          <t>Attribution factor</t>
        </is>
      </c>
      <c r="E281" s="2" t="n">
        <v>1</v>
      </c>
      <c r="F281" t="n">
        <v>0</v>
      </c>
      <c r="G281" t="inlineStr"/>
      <c r="H281" t="n">
        <v>1</v>
      </c>
      <c r="I281" t="n">
        <v>0</v>
      </c>
      <c r="J281" t="inlineStr"/>
    </row>
    <row r="282">
      <c r="A282" t="inlineStr">
        <is>
          <t>dtp_1KXGK2Y3V1S0QPTM</t>
        </is>
      </c>
      <c r="B282" t="inlineStr">
        <is>
          <t>reported</t>
        </is>
      </c>
      <c r="C282" t="inlineStr">
        <is>
          <t>Attribution factor</t>
        </is>
      </c>
      <c r="E282" s="2" t="n">
        <v>1</v>
      </c>
      <c r="F282" t="n">
        <v>0</v>
      </c>
      <c r="G282" t="inlineStr"/>
      <c r="H282" t="n">
        <v>1</v>
      </c>
      <c r="I282" t="n">
        <v>0</v>
      </c>
      <c r="J282" t="inlineStr"/>
    </row>
    <row r="283">
      <c r="A283" t="inlineStr">
        <is>
          <t>dtp_1KXGK2Y3V1S0Z0HY</t>
        </is>
      </c>
      <c r="B283" t="inlineStr">
        <is>
          <t>reported</t>
        </is>
      </c>
      <c r="C283" t="inlineStr">
        <is>
          <t>Attribution factor</t>
        </is>
      </c>
      <c r="E283" s="2" t="n">
        <v>1</v>
      </c>
      <c r="F283" t="n">
        <v>0</v>
      </c>
      <c r="G283" t="inlineStr"/>
      <c r="H283" t="n">
        <v>1</v>
      </c>
      <c r="I283" t="n">
        <v>0</v>
      </c>
      <c r="J283" t="inlineStr"/>
    </row>
    <row r="284">
      <c r="A284" t="inlineStr">
        <is>
          <t>dtp_1KXGK30FA1S08QVY</t>
        </is>
      </c>
      <c r="B284" t="inlineStr">
        <is>
          <t>derived</t>
        </is>
      </c>
      <c r="C284" t="inlineStr">
        <is>
          <t>Emissions Factor - Biochar Spreading</t>
        </is>
      </c>
      <c r="D284" t="inlineStr">
        <is>
          <t>Emissions Factor - Biochar Spreading</t>
        </is>
      </c>
      <c r="E284" s="2" t="n">
        <v>0.004</v>
      </c>
      <c r="F284" t="n">
        <v>0</v>
      </c>
      <c r="G284" t="inlineStr"/>
      <c r="H284" t="n">
        <v>0.004</v>
      </c>
      <c r="I284" t="n">
        <v>0</v>
      </c>
      <c r="J284" t="inlineStr">
        <is>
          <t>kgCO₂e/kg</t>
        </is>
      </c>
      <c r="K284">
        <f>Source!A4</f>
        <v/>
      </c>
      <c r="L284" t="inlineStr">
        <is>
          <t>Biochar Offtake Calculations.xlsx</t>
        </is>
      </c>
      <c r="Q284" t="inlineStr">
        <is>
          <t>mr_Nu7eNsqrSxqkM5nM-out_hf7qVV7KHcGk4thf-0</t>
        </is>
      </c>
    </row>
    <row r="285">
      <c r="A285" t="inlineStr">
        <is>
          <t>dtp_1KXGK32341S0B067</t>
        </is>
      </c>
      <c r="B285" t="inlineStr">
        <is>
          <t>derived</t>
        </is>
      </c>
      <c r="C285" t="inlineStr">
        <is>
          <t>Biochar Applied (wet mass) (Spreading) - Applied</t>
        </is>
      </c>
      <c r="D285" t="inlineStr">
        <is>
          <t>Biochar Applied (wet mass) (Spreading) - Applied</t>
        </is>
      </c>
      <c r="E285" s="2" t="n">
        <v>257.3</v>
      </c>
      <c r="F285" t="n">
        <v>0</v>
      </c>
      <c r="G285" t="inlineStr">
        <is>
          <t>kg</t>
        </is>
      </c>
      <c r="H285" t="n">
        <v>257.3</v>
      </c>
      <c r="I285" t="n">
        <v>0</v>
      </c>
      <c r="J285" t="inlineStr">
        <is>
          <t>kg</t>
        </is>
      </c>
      <c r="K285">
        <f>Source!A44</f>
        <v/>
      </c>
      <c r="L285" t="inlineStr">
        <is>
          <t>Chris Craig 6.6.26 Scale Tickets.png</t>
        </is>
      </c>
      <c r="M285">
        <f>Source!A50</f>
        <v/>
      </c>
      <c r="N285" t="inlineStr">
        <is>
          <t>Chris Craig Delivery Notes.xlsx</t>
        </is>
      </c>
      <c r="O285">
        <f>Source!A53</f>
        <v/>
      </c>
      <c r="P285" t="inlineStr">
        <is>
          <t>Production Period 6 Summary.xlsx</t>
        </is>
      </c>
      <c r="Q285" t="inlineStr">
        <is>
          <t>mr_Nu7eNsqrSxqkM5nM-out_0jBoYHtsohNZ8PAk-0</t>
        </is>
      </c>
    </row>
    <row r="286">
      <c r="A286" t="inlineStr">
        <is>
          <t>dtp_1KXGK36VP1S0873F</t>
        </is>
      </c>
      <c r="B286" t="inlineStr">
        <is>
          <t>derived</t>
        </is>
      </c>
      <c r="C286" t="inlineStr">
        <is>
          <t>Biochar - H/C_org - Applied</t>
        </is>
      </c>
      <c r="D286" t="inlineStr">
        <is>
          <t>Biochar - H/C_org - Applied</t>
        </is>
      </c>
      <c r="E286" s="2" t="n">
        <v>0.45667</v>
      </c>
      <c r="F286" t="n">
        <v>0</v>
      </c>
      <c r="G286" t="inlineStr"/>
      <c r="H286" t="n">
        <v>0.45667</v>
      </c>
      <c r="I286" t="n">
        <v>0</v>
      </c>
      <c r="J286" t="inlineStr"/>
      <c r="K286">
        <f>Source!A14</f>
        <v/>
      </c>
      <c r="L286" t="inlineStr">
        <is>
          <t>255 - Combined Lab Analyses.pdf</t>
        </is>
      </c>
      <c r="Q286" t="inlineStr">
        <is>
          <t>mr_k00NTsCyHMgBAdrE-out_SlgcaWsappr9ZCL6-0</t>
        </is>
      </c>
    </row>
    <row r="287">
      <c r="A287" t="inlineStr">
        <is>
          <t>dtp_1KXGK37DK1S0CQR1</t>
        </is>
      </c>
      <c r="B287" t="inlineStr">
        <is>
          <t>derived</t>
        </is>
      </c>
      <c r="C287" t="inlineStr">
        <is>
          <t>Inorganic Carbon Content % - Applied</t>
        </is>
      </c>
      <c r="D287" t="inlineStr">
        <is>
          <t>Inorganic Carbon Content % - Applied</t>
        </is>
      </c>
      <c r="E287" s="2" t="n">
        <v>0.002</v>
      </c>
      <c r="F287" t="n">
        <v>0</v>
      </c>
      <c r="G287" t="inlineStr"/>
      <c r="H287" t="n">
        <v>0.2</v>
      </c>
      <c r="I287" t="n">
        <v>0</v>
      </c>
      <c r="J287" t="inlineStr">
        <is>
          <t>%</t>
        </is>
      </c>
      <c r="K287">
        <f>Source!A15</f>
        <v/>
      </c>
      <c r="L287" t="inlineStr">
        <is>
          <t>255 - Combined Lab Analyses.pdf</t>
        </is>
      </c>
      <c r="Q287" t="inlineStr">
        <is>
          <t>mr_k00NTsCyHMgBAdrE-out_RrRijQ8NSCwAInka-0</t>
        </is>
      </c>
    </row>
    <row r="288">
      <c r="A288" t="inlineStr">
        <is>
          <t>dtp_1KXGK38XK1S07PB0</t>
        </is>
      </c>
      <c r="B288" t="inlineStr">
        <is>
          <t>derived</t>
        </is>
      </c>
      <c r="C288" t="inlineStr">
        <is>
          <t>Biochar Dry Weight (kg) (CO2 stored) - Applied</t>
        </is>
      </c>
      <c r="D288" t="inlineStr">
        <is>
          <t>Biochar Dry Weight (kg) (CO2 stored) - Applied</t>
        </is>
      </c>
      <c r="E288" s="2" t="n">
        <v>184.44735</v>
      </c>
      <c r="F288" t="n">
        <v>0</v>
      </c>
      <c r="G288" t="inlineStr">
        <is>
          <t>kg</t>
        </is>
      </c>
      <c r="H288" t="n">
        <v>184.44735</v>
      </c>
      <c r="I288" t="n">
        <v>0</v>
      </c>
      <c r="J288" t="inlineStr">
        <is>
          <t>kg</t>
        </is>
      </c>
      <c r="K288">
        <f>Source!A44</f>
        <v/>
      </c>
      <c r="L288" t="inlineStr">
        <is>
          <t>Chris Craig 6.6.26 Scale Tickets.png</t>
        </is>
      </c>
      <c r="M288">
        <f>Source!A15</f>
        <v/>
      </c>
      <c r="N288" t="inlineStr">
        <is>
          <t>255 - Combined Lab Analyses.pdf</t>
        </is>
      </c>
      <c r="O288">
        <f>Source!A50</f>
        <v/>
      </c>
      <c r="P288" t="inlineStr">
        <is>
          <t>Chris Craig Delivery Notes.xlsx</t>
        </is>
      </c>
      <c r="Q288" t="inlineStr">
        <is>
          <t>mr_Nu7eNsqrSxqkM5nM-out_tHtEVo8cn1cKK0xD-0</t>
        </is>
      </c>
    </row>
    <row r="289">
      <c r="A289" t="inlineStr">
        <is>
          <t>dtp_1KXGK39F91S0XKGY</t>
        </is>
      </c>
      <c r="B289" t="inlineStr">
        <is>
          <t>derived</t>
        </is>
      </c>
      <c r="C289" t="inlineStr">
        <is>
          <t>Biochar Applied - Soil Temperature (Cel)</t>
        </is>
      </c>
      <c r="D289" t="inlineStr">
        <is>
          <t>Biochar Applied - Soil Temperature (Cel)</t>
        </is>
      </c>
      <c r="E289" s="2" t="n">
        <v>284.05</v>
      </c>
      <c r="F289" t="n">
        <v>0</v>
      </c>
      <c r="G289" t="inlineStr">
        <is>
          <t>K</t>
        </is>
      </c>
      <c r="H289" t="n">
        <v>10.9</v>
      </c>
      <c r="I289" t="n">
        <v>0</v>
      </c>
      <c r="J289" t="inlineStr">
        <is>
          <t>°C</t>
        </is>
      </c>
      <c r="K289">
        <f>Source!A41</f>
        <v/>
      </c>
      <c r="L289" t="inlineStr">
        <is>
          <t>soil_temperature_chris_craig.csv</t>
        </is>
      </c>
      <c r="Q289" t="inlineStr">
        <is>
          <t>mr_k00NTsCyHMgBAdrE-out_WFEo3VxmWt0N3Yhc-0</t>
        </is>
      </c>
    </row>
    <row r="290">
      <c r="A290" t="inlineStr">
        <is>
          <t>dtp_1KXGK3A251S04X88</t>
        </is>
      </c>
      <c r="B290" t="inlineStr">
        <is>
          <t>derived</t>
        </is>
      </c>
      <c r="C290" t="inlineStr">
        <is>
          <t>Organic Carbon Content % - Applied</t>
        </is>
      </c>
      <c r="D290" t="inlineStr">
        <is>
          <t>Organic Carbon Content % - Applied</t>
        </is>
      </c>
      <c r="E290" s="2" t="n">
        <v>0.836</v>
      </c>
      <c r="F290" t="n">
        <v>0</v>
      </c>
      <c r="G290" t="inlineStr"/>
      <c r="H290" t="n">
        <v>83.59999999999999</v>
      </c>
      <c r="I290" t="n">
        <v>0</v>
      </c>
      <c r="J290" t="inlineStr">
        <is>
          <t>%</t>
        </is>
      </c>
      <c r="K290">
        <f>Source!A14</f>
        <v/>
      </c>
      <c r="L290" t="inlineStr">
        <is>
          <t>255 - Combined Lab Analyses.pdf</t>
        </is>
      </c>
      <c r="Q290" t="inlineStr">
        <is>
          <t>mr_Nu7eNsqrSxqkM5nM-out_ye14SNxRG8b285JB-0</t>
        </is>
      </c>
    </row>
    <row r="291">
      <c r="A291" t="inlineStr">
        <is>
          <t>dtp_1KXGK3BRQ1S0X2RF</t>
        </is>
      </c>
      <c r="B291" t="inlineStr">
        <is>
          <t>derived</t>
        </is>
      </c>
      <c r="C291" t="inlineStr">
        <is>
          <t>Biochar Output - Carbon Intensity - Applied</t>
        </is>
      </c>
      <c r="D291" t="inlineStr">
        <is>
          <t>CI 0 - over-inventory draw. PP255 pyrolysis emissions fully assigned FIFO to earlier removals; this portion carries none. Qty in Removals Tracker col K + overdraft block.</t>
        </is>
      </c>
      <c r="E291" s="2" t="n">
        <v>0</v>
      </c>
      <c r="F291" t="n">
        <v>0</v>
      </c>
      <c r="G291" t="inlineStr"/>
      <c r="H291" t="n">
        <v>0</v>
      </c>
      <c r="I291" t="n">
        <v>0</v>
      </c>
      <c r="J291" t="inlineStr">
        <is>
          <t>kgCO₂e/kg</t>
        </is>
      </c>
      <c r="K291">
        <f>Source!A38</f>
        <v/>
      </c>
      <c r="L291" t="inlineStr">
        <is>
          <t>Biochar CI Summary — All Production Periods.xlsx</t>
        </is>
      </c>
      <c r="M291">
        <f>Source!A53</f>
        <v/>
      </c>
      <c r="N291" t="inlineStr">
        <is>
          <t>Production Period 6 Summary.xlsx</t>
        </is>
      </c>
      <c r="Q291" t="inlineStr">
        <is>
          <t>mr_Nu7eNsqrSxqkM5nM-out_Oe27xWXZDsDMPXq9-0</t>
        </is>
      </c>
    </row>
    <row r="292">
      <c r="A292" t="inlineStr">
        <is>
          <t>dtp_1KXGK3CD61S0BP73</t>
        </is>
      </c>
      <c r="B292" t="inlineStr">
        <is>
          <t>derived</t>
        </is>
      </c>
      <c r="C292" t="inlineStr">
        <is>
          <t>Biochar Dry Product Weight (kg) (Pyrolysis) - Applied</t>
        </is>
      </c>
      <c r="D292" t="inlineStr">
        <is>
          <t>Charged draw 0 kg - PP255 fully drawn before this delivery. Delivery-note pyrolysis basis 208.10 kg; over-inventory portion at CI 0. See Removals Tracker col K.</t>
        </is>
      </c>
      <c r="E292" s="2" t="n">
        <v>0</v>
      </c>
      <c r="F292" t="n">
        <v>0</v>
      </c>
      <c r="G292" t="inlineStr">
        <is>
          <t>kg</t>
        </is>
      </c>
      <c r="H292" t="n">
        <v>0</v>
      </c>
      <c r="I292" t="n">
        <v>0</v>
      </c>
      <c r="J292" t="inlineStr">
        <is>
          <t>kg</t>
        </is>
      </c>
      <c r="K292">
        <f>Source!A44</f>
        <v/>
      </c>
      <c r="L292" t="inlineStr">
        <is>
          <t>Chris Craig 6.6.26 Scale Tickets.png</t>
        </is>
      </c>
      <c r="M292">
        <f>Source!A50</f>
        <v/>
      </c>
      <c r="N292" t="inlineStr">
        <is>
          <t>Chris Craig Delivery Notes.xlsx</t>
        </is>
      </c>
      <c r="O292">
        <f>Source!A53</f>
        <v/>
      </c>
      <c r="P292" t="inlineStr">
        <is>
          <t>Production Period 6 Summary.xlsx</t>
        </is>
      </c>
      <c r="Q292" t="inlineStr">
        <is>
          <t>mr_Nu7eNsqrSxqkM5nM-out_P5psgmcwdDniayBV-0</t>
        </is>
      </c>
    </row>
    <row r="293">
      <c r="A293" t="inlineStr">
        <is>
          <t>dtp_1KXGK3CYP1S0T9NQ</t>
        </is>
      </c>
      <c r="B293" t="inlineStr">
        <is>
          <t>derived</t>
        </is>
      </c>
      <c r="C293" t="inlineStr">
        <is>
          <t>Copy - Truck EF</t>
        </is>
      </c>
      <c r="D293" t="inlineStr">
        <is>
          <t>Copy - Truck EF</t>
        </is>
      </c>
      <c r="E293" s="2" t="n">
        <v>8.599777300564702e-08</v>
      </c>
      <c r="F293" t="n">
        <v>0</v>
      </c>
      <c r="G293" t="inlineStr">
        <is>
          <t>1/m</t>
        </is>
      </c>
      <c r="H293" t="n">
        <v>0.1384</v>
      </c>
      <c r="I293" t="n">
        <v>0</v>
      </c>
      <c r="J293" t="inlineStr">
        <is>
          <t>kgCO₂e/(t⋅mi)</t>
        </is>
      </c>
      <c r="K293">
        <f>Source!A17</f>
        <v/>
      </c>
      <c r="L293" t="inlineStr">
        <is>
          <t>Standard Emission Factors + Calculations (8).xlsx</t>
        </is>
      </c>
      <c r="Q293" t="inlineStr">
        <is>
          <t>mr_Nu7eNsqrSxqkM5nM-out_kz09qsYg6N3uHg55-0</t>
        </is>
      </c>
    </row>
    <row r="294">
      <c r="A294" t="inlineStr">
        <is>
          <t>dtp_1KXGK3F291S0WJ00</t>
        </is>
      </c>
      <c r="B294" t="inlineStr">
        <is>
          <t>reported</t>
        </is>
      </c>
      <c r="C294" t="inlineStr">
        <is>
          <t>Biochar Applied - Delivery Distance (km)</t>
        </is>
      </c>
      <c r="D294" t="inlineStr">
        <is>
          <t>Biochar Applied - Delivery Distance (km)</t>
        </is>
      </c>
      <c r="E294" s="2" t="n">
        <v>278416.51</v>
      </c>
      <c r="F294" t="n">
        <v>0</v>
      </c>
      <c r="G294" t="inlineStr">
        <is>
          <t>m</t>
        </is>
      </c>
      <c r="H294" t="n">
        <v>278.41651</v>
      </c>
      <c r="I294" t="n">
        <v>0</v>
      </c>
      <c r="J294" t="inlineStr">
        <is>
          <t>km</t>
        </is>
      </c>
      <c r="K294">
        <f>Source!A18</f>
        <v/>
      </c>
      <c r="L294" t="inlineStr">
        <is>
          <t>CO to Chris Craig Distance (1).png</t>
        </is>
      </c>
      <c r="Q294" t="inlineStr">
        <is>
          <t>mr_Nu7eNsqrSxqkM5nM-out_mh2j8s9fAROxQE7o-0</t>
        </is>
      </c>
    </row>
    <row r="295">
      <c r="A295" t="inlineStr">
        <is>
          <t>dtp_1KXGK3FWN1S0B5EM</t>
        </is>
      </c>
      <c r="B295" t="inlineStr">
        <is>
          <t>derived</t>
        </is>
      </c>
      <c r="C295" t="inlineStr">
        <is>
          <t>Biochar Transported (kg) - Applied</t>
        </is>
      </c>
      <c r="D295" t="inlineStr">
        <is>
          <t>Biochar Transported (kg) - Applied</t>
        </is>
      </c>
      <c r="E295" s="2" t="n">
        <v>269.35</v>
      </c>
      <c r="F295" t="n">
        <v>0</v>
      </c>
      <c r="G295" t="inlineStr">
        <is>
          <t>kg</t>
        </is>
      </c>
      <c r="H295" t="n">
        <v>269.35</v>
      </c>
      <c r="I295" t="n">
        <v>0</v>
      </c>
      <c r="J295" t="inlineStr">
        <is>
          <t>kg</t>
        </is>
      </c>
      <c r="K295">
        <f>Source!A44</f>
        <v/>
      </c>
      <c r="L295" t="inlineStr">
        <is>
          <t>Chris Craig 6.6.26 Scale Tickets.png</t>
        </is>
      </c>
      <c r="M295">
        <f>Source!A50</f>
        <v/>
      </c>
      <c r="N295" t="inlineStr">
        <is>
          <t>Chris Craig Delivery Notes.xlsx</t>
        </is>
      </c>
      <c r="O295">
        <f>Source!A53</f>
        <v/>
      </c>
      <c r="P295" t="inlineStr">
        <is>
          <t>Production Period 6 Summary.xlsx</t>
        </is>
      </c>
      <c r="Q295" t="inlineStr">
        <is>
          <t>mr_Nu7eNsqrSxqkM5nM-out_sVIPjpDBrGPnpupv-0</t>
        </is>
      </c>
    </row>
    <row r="296">
      <c r="A296" t="inlineStr">
        <is>
          <t>dtp_1KXGK3GFH1S0SRX8</t>
        </is>
      </c>
      <c r="B296" t="inlineStr">
        <is>
          <t>reported</t>
        </is>
      </c>
      <c r="C296" t="inlineStr">
        <is>
          <t>Emissions Factor - Flatbed Truck Transport Embodied Emissions (2025, CO)</t>
        </is>
      </c>
      <c r="D296" t="inlineStr">
        <is>
          <t>Emissions Factor - Flatbed Truck Transport Embodied Emissions (2025, CO)</t>
        </is>
      </c>
      <c r="E296" s="2" t="n">
        <v>0.0001197949629</v>
      </c>
      <c r="F296" t="n">
        <v>0</v>
      </c>
      <c r="G296" t="inlineStr">
        <is>
          <t>kg/m</t>
        </is>
      </c>
      <c r="H296" t="n">
        <v>0.1197949629</v>
      </c>
      <c r="I296" t="n">
        <v>0</v>
      </c>
      <c r="J296" t="inlineStr">
        <is>
          <t>kgCO₂e/km</t>
        </is>
      </c>
      <c r="K296">
        <f>Source!A17</f>
        <v/>
      </c>
      <c r="L296" t="inlineStr">
        <is>
          <t>Standard Emission Factors + Calculations (8).xlsx</t>
        </is>
      </c>
      <c r="Q296" t="inlineStr">
        <is>
          <t>mr_Nu7eNsqrSxqkM5nM-out_mh5OWJEQ9TzkSjax-0</t>
        </is>
      </c>
    </row>
    <row r="297">
      <c r="A297" t="inlineStr">
        <is>
          <t>dtp_1KXGK3H7Z1S012MJ</t>
        </is>
      </c>
      <c r="B297" t="inlineStr">
        <is>
          <t>reported</t>
        </is>
      </c>
      <c r="C297" t="inlineStr">
        <is>
          <t>Biochar Applied - Allocated Delivery Distance (km)</t>
        </is>
      </c>
      <c r="D297" t="inlineStr">
        <is>
          <t>Biochar Applied - Allocated Delivery Distance (km)</t>
        </is>
      </c>
      <c r="E297" s="2" t="n">
        <v>6626.31</v>
      </c>
      <c r="F297" t="n">
        <v>0</v>
      </c>
      <c r="G297" t="inlineStr">
        <is>
          <t>m</t>
        </is>
      </c>
      <c r="H297" t="n">
        <v>6.62631</v>
      </c>
      <c r="I297" t="n">
        <v>0</v>
      </c>
      <c r="J297" t="inlineStr">
        <is>
          <t>km</t>
        </is>
      </c>
      <c r="K297">
        <f>Source!A18</f>
        <v/>
      </c>
      <c r="L297" t="inlineStr">
        <is>
          <t>CO to Chris Craig Distance (1).png</t>
        </is>
      </c>
      <c r="Q297" t="inlineStr">
        <is>
          <t>mr_Nu7eNsqrSxqkM5nM-out_hfoA89qbvT5XX9zd-0</t>
        </is>
      </c>
    </row>
    <row r="298">
      <c r="A298" t="inlineStr">
        <is>
          <t>dtp_1KXGK3HP81S01XXV</t>
        </is>
      </c>
      <c r="B298" t="inlineStr">
        <is>
          <t>reported</t>
        </is>
      </c>
      <c r="C298" t="inlineStr">
        <is>
          <t>Attribution factor</t>
        </is>
      </c>
      <c r="E298" s="2" t="n">
        <v>1</v>
      </c>
      <c r="F298" t="n">
        <v>0</v>
      </c>
      <c r="G298" t="inlineStr"/>
      <c r="H298" t="n">
        <v>1</v>
      </c>
      <c r="I298" t="n">
        <v>0</v>
      </c>
      <c r="J298" t="inlineStr"/>
    </row>
    <row r="299">
      <c r="A299" t="inlineStr">
        <is>
          <t>dtp_1KXGK3HP81S0E926</t>
        </is>
      </c>
      <c r="B299" t="inlineStr">
        <is>
          <t>reported</t>
        </is>
      </c>
      <c r="C299" t="inlineStr">
        <is>
          <t>Attribution factor</t>
        </is>
      </c>
      <c r="E299" s="2" t="n">
        <v>1</v>
      </c>
      <c r="F299" t="n">
        <v>0</v>
      </c>
      <c r="G299" t="inlineStr"/>
      <c r="H299" t="n">
        <v>1</v>
      </c>
      <c r="I299" t="n">
        <v>0</v>
      </c>
      <c r="J299" t="inlineStr"/>
    </row>
    <row r="300">
      <c r="A300" t="inlineStr">
        <is>
          <t>dtp_1KXGK3HP81S0GHCF</t>
        </is>
      </c>
      <c r="B300" t="inlineStr">
        <is>
          <t>reported</t>
        </is>
      </c>
      <c r="C300" t="inlineStr">
        <is>
          <t>Attribution factor</t>
        </is>
      </c>
      <c r="E300" s="2" t="n">
        <v>1</v>
      </c>
      <c r="F300" t="n">
        <v>0</v>
      </c>
      <c r="G300" t="inlineStr"/>
      <c r="H300" t="n">
        <v>1</v>
      </c>
      <c r="I300" t="n">
        <v>0</v>
      </c>
      <c r="J300" t="inlineStr"/>
    </row>
    <row r="301">
      <c r="A301" t="inlineStr">
        <is>
          <t>dtp_1KXGK3HP81S0NJSG</t>
        </is>
      </c>
      <c r="B301" t="inlineStr">
        <is>
          <t>reported</t>
        </is>
      </c>
      <c r="C301" t="inlineStr">
        <is>
          <t>Attribution factor</t>
        </is>
      </c>
      <c r="E301" s="2" t="n">
        <v>1</v>
      </c>
      <c r="F301" t="n">
        <v>0</v>
      </c>
      <c r="G301" t="inlineStr"/>
      <c r="H301" t="n">
        <v>1</v>
      </c>
      <c r="I301" t="n">
        <v>0</v>
      </c>
      <c r="J301" t="inlineStr"/>
    </row>
    <row r="302">
      <c r="A302" t="inlineStr">
        <is>
          <t>dtp_1KXGK3HP81S0WWGT</t>
        </is>
      </c>
      <c r="B302" t="inlineStr">
        <is>
          <t>reported</t>
        </is>
      </c>
      <c r="C302" t="inlineStr">
        <is>
          <t>Attribution factor</t>
        </is>
      </c>
      <c r="E302" s="2" t="n">
        <v>1</v>
      </c>
      <c r="F302" t="n">
        <v>0</v>
      </c>
      <c r="G302" t="inlineStr"/>
      <c r="H302" t="n">
        <v>1</v>
      </c>
      <c r="I302" t="n">
        <v>0</v>
      </c>
      <c r="J302" t="inlineStr"/>
    </row>
    <row r="303">
      <c r="A303" t="inlineStr">
        <is>
          <t>dtp_1KXGK3MCK1S06KTT</t>
        </is>
      </c>
      <c r="B303" t="inlineStr">
        <is>
          <t>derived</t>
        </is>
      </c>
      <c r="C303" t="inlineStr">
        <is>
          <t>Emissions Factor - Biochar Spreading</t>
        </is>
      </c>
      <c r="D303" t="inlineStr">
        <is>
          <t>Emissions Factor - Biochar Spreading</t>
        </is>
      </c>
      <c r="E303" s="2" t="n">
        <v>0.004</v>
      </c>
      <c r="F303" t="n">
        <v>0</v>
      </c>
      <c r="G303" t="inlineStr"/>
      <c r="H303" t="n">
        <v>0.004</v>
      </c>
      <c r="I303" t="n">
        <v>0</v>
      </c>
      <c r="J303" t="inlineStr">
        <is>
          <t>kgCO₂e/kg</t>
        </is>
      </c>
      <c r="K303">
        <f>Source!A4</f>
        <v/>
      </c>
      <c r="L303" t="inlineStr">
        <is>
          <t>Biochar Offtake Calculations.xlsx</t>
        </is>
      </c>
      <c r="Q303" t="inlineStr">
        <is>
          <t>mr_2TuaL6sxqfUVnHHp-out_hf7qVV7KHcGk4thf-0</t>
        </is>
      </c>
    </row>
    <row r="304">
      <c r="A304" t="inlineStr">
        <is>
          <t>dtp_1KXGK3P2N1S08W53</t>
        </is>
      </c>
      <c r="B304" t="inlineStr">
        <is>
          <t>derived</t>
        </is>
      </c>
      <c r="C304" t="inlineStr">
        <is>
          <t>Biochar Applied (wet mass) (Spreading) - Applied</t>
        </is>
      </c>
      <c r="D304" t="inlineStr">
        <is>
          <t>Biochar Applied (wet mass) (Spreading) - Applied</t>
        </is>
      </c>
      <c r="E304" s="2" t="n">
        <v>257.3</v>
      </c>
      <c r="F304" t="n">
        <v>0</v>
      </c>
      <c r="G304" t="inlineStr">
        <is>
          <t>kg</t>
        </is>
      </c>
      <c r="H304" t="n">
        <v>257.3</v>
      </c>
      <c r="I304" t="n">
        <v>0</v>
      </c>
      <c r="J304" t="inlineStr">
        <is>
          <t>kg</t>
        </is>
      </c>
      <c r="K304">
        <f>Source!A44</f>
        <v/>
      </c>
      <c r="L304" t="inlineStr">
        <is>
          <t>Chris Craig 6.6.26 Scale Tickets.png</t>
        </is>
      </c>
      <c r="M304">
        <f>Source!A50</f>
        <v/>
      </c>
      <c r="N304" t="inlineStr">
        <is>
          <t>Chris Craig Delivery Notes.xlsx</t>
        </is>
      </c>
      <c r="O304">
        <f>Source!A25</f>
        <v/>
      </c>
      <c r="P304" t="inlineStr">
        <is>
          <t>Production Period 7 Summary.xlsx</t>
        </is>
      </c>
      <c r="Q304" t="inlineStr">
        <is>
          <t>mr_2TuaL6sxqfUVnHHp-out_0jBoYHtsohNZ8PAk-0</t>
        </is>
      </c>
    </row>
    <row r="305">
      <c r="A305" t="inlineStr">
        <is>
          <t>dtp_1KXGK3TTB1S0632B</t>
        </is>
      </c>
      <c r="B305" t="inlineStr">
        <is>
          <t>derived</t>
        </is>
      </c>
      <c r="C305" t="inlineStr">
        <is>
          <t>Biochar - H/C_org - Applied</t>
        </is>
      </c>
      <c r="D305" t="inlineStr">
        <is>
          <t>Biochar - H/C_org - Applied</t>
        </is>
      </c>
      <c r="E305" s="2" t="n">
        <v>0.41667</v>
      </c>
      <c r="F305" t="n">
        <v>0</v>
      </c>
      <c r="G305" t="inlineStr"/>
      <c r="H305" t="n">
        <v>0.41667</v>
      </c>
      <c r="I305" t="n">
        <v>0</v>
      </c>
      <c r="J305" t="inlineStr"/>
      <c r="K305">
        <f>Source!A26</f>
        <v/>
      </c>
      <c r="L305" t="inlineStr">
        <is>
          <t>256 - Combined Lab Analyses.pdf</t>
        </is>
      </c>
      <c r="Q305" t="inlineStr">
        <is>
          <t>mr_pSZyXTeitRbWl6Sn-out_SlgcaWsappr9ZCL6-0</t>
        </is>
      </c>
    </row>
    <row r="306">
      <c r="A306" t="inlineStr">
        <is>
          <t>dtp_1KXGK3VCE1S0AKPX</t>
        </is>
      </c>
      <c r="B306" t="inlineStr">
        <is>
          <t>derived</t>
        </is>
      </c>
      <c r="C306" t="inlineStr">
        <is>
          <t>Inorganic Carbon Content % - Applied</t>
        </is>
      </c>
      <c r="D306" t="inlineStr">
        <is>
          <t>Inorganic Carbon Content % - Applied</t>
        </is>
      </c>
      <c r="E306" s="2" t="n">
        <v>0.002333</v>
      </c>
      <c r="F306" t="n">
        <v>0</v>
      </c>
      <c r="G306" t="inlineStr"/>
      <c r="H306" t="n">
        <v>0.2333</v>
      </c>
      <c r="I306" t="n">
        <v>0</v>
      </c>
      <c r="J306" t="inlineStr">
        <is>
          <t>%</t>
        </is>
      </c>
      <c r="K306">
        <f>Source!A27</f>
        <v/>
      </c>
      <c r="L306" t="inlineStr">
        <is>
          <t>256 - Combined Lab Analyses.pdf</t>
        </is>
      </c>
      <c r="Q306" t="inlineStr">
        <is>
          <t>mr_pSZyXTeitRbWl6Sn-out_RrRijQ8NSCwAInka-0</t>
        </is>
      </c>
    </row>
    <row r="307">
      <c r="A307" t="inlineStr">
        <is>
          <t>dtp_1KXGK3X251S05J9W</t>
        </is>
      </c>
      <c r="B307" t="inlineStr">
        <is>
          <t>derived</t>
        </is>
      </c>
      <c r="C307" t="inlineStr">
        <is>
          <t>Biochar Dry Weight (kg) (CO2 stored) - Applied</t>
        </is>
      </c>
      <c r="D307" t="inlineStr">
        <is>
          <t>Biochar Dry Weight (kg) (CO2 stored) - Applied</t>
        </is>
      </c>
      <c r="E307" s="2" t="n">
        <v>142.2416</v>
      </c>
      <c r="F307" t="n">
        <v>0</v>
      </c>
      <c r="G307" t="inlineStr">
        <is>
          <t>kg</t>
        </is>
      </c>
      <c r="H307" t="n">
        <v>142.2416</v>
      </c>
      <c r="I307" t="n">
        <v>0</v>
      </c>
      <c r="J307" t="inlineStr">
        <is>
          <t>kg</t>
        </is>
      </c>
      <c r="K307">
        <f>Source!A44</f>
        <v/>
      </c>
      <c r="L307" t="inlineStr">
        <is>
          <t>Chris Craig 6.6.26 Scale Tickets.png</t>
        </is>
      </c>
      <c r="M307">
        <f>Source!A27</f>
        <v/>
      </c>
      <c r="N307" t="inlineStr">
        <is>
          <t>256 - Combined Lab Analyses.pdf</t>
        </is>
      </c>
      <c r="O307">
        <f>Source!A49</f>
        <v/>
      </c>
      <c r="P307" t="inlineStr">
        <is>
          <t>Summary - Biochar Inert &amp; Unprocessed.csv</t>
        </is>
      </c>
      <c r="Q307" t="inlineStr">
        <is>
          <t>mr_2TuaL6sxqfUVnHHp-out_tHtEVo8cn1cKK0xD-0</t>
        </is>
      </c>
    </row>
    <row r="308">
      <c r="A308" t="inlineStr">
        <is>
          <t>dtp_1KXGK3XB01S0VFFT</t>
        </is>
      </c>
      <c r="B308" t="inlineStr">
        <is>
          <t>derived</t>
        </is>
      </c>
      <c r="C308" t="inlineStr">
        <is>
          <t>Biochar Applied - Soil Temperature (Cel)</t>
        </is>
      </c>
      <c r="D308" t="inlineStr">
        <is>
          <t>Biochar Applied - Soil Temperature (Cel)</t>
        </is>
      </c>
      <c r="E308" s="2" t="n">
        <v>284.05</v>
      </c>
      <c r="F308" t="n">
        <v>0</v>
      </c>
      <c r="G308" t="inlineStr">
        <is>
          <t>K</t>
        </is>
      </c>
      <c r="H308" t="n">
        <v>10.9</v>
      </c>
      <c r="I308" t="n">
        <v>0</v>
      </c>
      <c r="J308" t="inlineStr">
        <is>
          <t>°C</t>
        </is>
      </c>
      <c r="K308">
        <f>Source!A41</f>
        <v/>
      </c>
      <c r="L308" t="inlineStr">
        <is>
          <t>soil_temperature_chris_craig.csv</t>
        </is>
      </c>
      <c r="Q308" t="inlineStr">
        <is>
          <t>mr_pSZyXTeitRbWl6Sn-out_WFEo3VxmWt0N3Yhc-0</t>
        </is>
      </c>
    </row>
    <row r="309">
      <c r="A309" t="inlineStr">
        <is>
          <t>dtp_1KXGK3XYN1S02S74</t>
        </is>
      </c>
      <c r="B309" t="inlineStr">
        <is>
          <t>derived</t>
        </is>
      </c>
      <c r="C309" t="inlineStr">
        <is>
          <t>Organic Carbon Content % - Applied</t>
        </is>
      </c>
      <c r="D309" t="inlineStr">
        <is>
          <t>Organic Carbon Content % - Applied</t>
        </is>
      </c>
      <c r="E309" s="2" t="n">
        <v>0.855</v>
      </c>
      <c r="F309" t="n">
        <v>0</v>
      </c>
      <c r="G309" t="inlineStr"/>
      <c r="H309" t="n">
        <v>85.5</v>
      </c>
      <c r="I309" t="n">
        <v>0</v>
      </c>
      <c r="J309" t="inlineStr">
        <is>
          <t>%</t>
        </is>
      </c>
      <c r="K309">
        <f>Source!A26</f>
        <v/>
      </c>
      <c r="L309" t="inlineStr">
        <is>
          <t>256 - Combined Lab Analyses.pdf</t>
        </is>
      </c>
      <c r="Q309" t="inlineStr">
        <is>
          <t>mr_2TuaL6sxqfUVnHHp-out_ye14SNxRG8b285JB-0</t>
        </is>
      </c>
    </row>
    <row r="310">
      <c r="A310" t="inlineStr">
        <is>
          <t>dtp_1KXGK3ZGV1S0TYQB</t>
        </is>
      </c>
      <c r="B310" t="inlineStr">
        <is>
          <t>reported</t>
        </is>
      </c>
      <c r="C310" t="inlineStr">
        <is>
          <t>Biochar Output - Carbon Intensity - Applied</t>
        </is>
      </c>
      <c r="D310" t="inlineStr">
        <is>
          <t>Production CI for PP256 (1.2918 kgCO2e/kg) per the Kg Emissions/Kg Material figure on the Biochar row of the Production Period 7 Summary allocation table.</t>
        </is>
      </c>
      <c r="E310" s="2" t="n">
        <v>0</v>
      </c>
      <c r="F310" t="n">
        <v>0</v>
      </c>
      <c r="G310" t="inlineStr"/>
      <c r="H310" t="n">
        <v>0</v>
      </c>
      <c r="I310" t="n">
        <v>0</v>
      </c>
      <c r="J310" t="inlineStr">
        <is>
          <t>kgCO₂e/kg</t>
        </is>
      </c>
      <c r="K310">
        <f>Source!A38</f>
        <v/>
      </c>
      <c r="L310" t="inlineStr">
        <is>
          <t>Biochar CI Summary — All Production Periods.xlsx</t>
        </is>
      </c>
      <c r="M310">
        <f>Source!A25</f>
        <v/>
      </c>
      <c r="N310" t="inlineStr">
        <is>
          <t>Production Period 7 Summary.xlsx</t>
        </is>
      </c>
      <c r="Q310" t="inlineStr">
        <is>
          <t>mr_2TuaL6sxqfUVnHHp-out_Oe27xWXZDsDMPXq9-0</t>
        </is>
      </c>
    </row>
    <row r="311">
      <c r="A311" t="inlineStr">
        <is>
          <t>dtp_1KXGK405B1S09J5Z</t>
        </is>
      </c>
      <c r="B311" t="inlineStr">
        <is>
          <t>derived</t>
        </is>
      </c>
      <c r="C311" t="inlineStr">
        <is>
          <t>Biochar Dry Product Weight (kg) (Pyrolysis) - Applied</t>
        </is>
      </c>
      <c r="D311" t="inlineStr">
        <is>
          <t>Pyrolysis product mass, PP256 leg = 151.8054 kg: the moisture-adjusted product weight per the delivery note (PP256 is a moisture-backout period). In-inventory draw.</t>
        </is>
      </c>
      <c r="E311" s="2" t="n">
        <v>0</v>
      </c>
      <c r="F311" t="n">
        <v>0</v>
      </c>
      <c r="G311" t="inlineStr">
        <is>
          <t>kg</t>
        </is>
      </c>
      <c r="H311" t="n">
        <v>0</v>
      </c>
      <c r="I311" t="n">
        <v>0</v>
      </c>
      <c r="J311" t="inlineStr">
        <is>
          <t>kg</t>
        </is>
      </c>
      <c r="K311">
        <f>Source!A44</f>
        <v/>
      </c>
      <c r="L311" t="inlineStr">
        <is>
          <t>Chris Craig 6.6.26 Scale Tickets.png</t>
        </is>
      </c>
      <c r="M311">
        <f>Source!A50</f>
        <v/>
      </c>
      <c r="N311" t="inlineStr">
        <is>
          <t>Chris Craig Delivery Notes.xlsx</t>
        </is>
      </c>
      <c r="O311">
        <f>Source!A25</f>
        <v/>
      </c>
      <c r="P311" t="inlineStr">
        <is>
          <t>Production Period 7 Summary.xlsx</t>
        </is>
      </c>
      <c r="Q311" t="inlineStr">
        <is>
          <t>mr_2TuaL6sxqfUVnHHp-out_P5psgmcwdDniayBV-0</t>
        </is>
      </c>
    </row>
    <row r="312">
      <c r="A312" t="inlineStr">
        <is>
          <t>dtp_1KXGK40NG1S0R5MK</t>
        </is>
      </c>
      <c r="B312" t="inlineStr">
        <is>
          <t>derived</t>
        </is>
      </c>
      <c r="C312" t="inlineStr">
        <is>
          <t>Copy - Truck EF</t>
        </is>
      </c>
      <c r="D312" t="inlineStr">
        <is>
          <t>Copy - Truck EF</t>
        </is>
      </c>
      <c r="E312" s="2" t="n">
        <v>8.599777300564702e-08</v>
      </c>
      <c r="F312" t="n">
        <v>0</v>
      </c>
      <c r="G312" t="inlineStr">
        <is>
          <t>1/m</t>
        </is>
      </c>
      <c r="H312" t="n">
        <v>0.1384</v>
      </c>
      <c r="I312" t="n">
        <v>0</v>
      </c>
      <c r="J312" t="inlineStr">
        <is>
          <t>kgCO₂e/(t⋅mi)</t>
        </is>
      </c>
      <c r="K312">
        <f>Source!A17</f>
        <v/>
      </c>
      <c r="L312" t="inlineStr">
        <is>
          <t>Standard Emission Factors + Calculations (8).xlsx</t>
        </is>
      </c>
      <c r="Q312" t="inlineStr">
        <is>
          <t>mr_2TuaL6sxqfUVnHHp-out_kz09qsYg6N3uHg55-0</t>
        </is>
      </c>
    </row>
    <row r="313">
      <c r="A313" t="inlineStr">
        <is>
          <t>dtp_1KXGK42RM1S0TDYW</t>
        </is>
      </c>
      <c r="B313" t="inlineStr">
        <is>
          <t>reported</t>
        </is>
      </c>
      <c r="C313" t="inlineStr">
        <is>
          <t>Biochar Applied - Delivery Distance (km)</t>
        </is>
      </c>
      <c r="D313" t="inlineStr">
        <is>
          <t>Biochar Applied - Delivery Distance (km)</t>
        </is>
      </c>
      <c r="E313" s="2" t="n">
        <v>278416.51</v>
      </c>
      <c r="F313" t="n">
        <v>0</v>
      </c>
      <c r="G313" t="inlineStr">
        <is>
          <t>m</t>
        </is>
      </c>
      <c r="H313" t="n">
        <v>278.41651</v>
      </c>
      <c r="I313" t="n">
        <v>0</v>
      </c>
      <c r="J313" t="inlineStr">
        <is>
          <t>km</t>
        </is>
      </c>
      <c r="K313">
        <f>Source!A18</f>
        <v/>
      </c>
      <c r="L313" t="inlineStr">
        <is>
          <t>CO to Chris Craig Distance (1).png</t>
        </is>
      </c>
      <c r="Q313" t="inlineStr">
        <is>
          <t>mr_2TuaL6sxqfUVnHHp-out_mh2j8s9fAROxQE7o-0</t>
        </is>
      </c>
    </row>
    <row r="314">
      <c r="A314" t="inlineStr">
        <is>
          <t>dtp_1KXGK43WA1S091DG</t>
        </is>
      </c>
      <c r="B314" t="inlineStr">
        <is>
          <t>derived</t>
        </is>
      </c>
      <c r="C314" t="inlineStr">
        <is>
          <t>Biochar Transported (kg) - Applied</t>
        </is>
      </c>
      <c r="D314" t="inlineStr">
        <is>
          <t>Biochar Transported (kg) - Applied</t>
        </is>
      </c>
      <c r="E314" s="2" t="n">
        <v>269.3472495</v>
      </c>
      <c r="F314" t="n">
        <v>0</v>
      </c>
      <c r="G314" t="inlineStr">
        <is>
          <t>kg</t>
        </is>
      </c>
      <c r="H314" t="n">
        <v>269.3472495</v>
      </c>
      <c r="I314" t="n">
        <v>0</v>
      </c>
      <c r="J314" t="inlineStr">
        <is>
          <t>kg</t>
        </is>
      </c>
      <c r="K314">
        <f>Source!A44</f>
        <v/>
      </c>
      <c r="L314" t="inlineStr">
        <is>
          <t>Chris Craig 6.6.26 Scale Tickets.png</t>
        </is>
      </c>
      <c r="M314">
        <f>Source!A50</f>
        <v/>
      </c>
      <c r="N314" t="inlineStr">
        <is>
          <t>Chris Craig Delivery Notes.xlsx</t>
        </is>
      </c>
      <c r="O314">
        <f>Source!A25</f>
        <v/>
      </c>
      <c r="P314" t="inlineStr">
        <is>
          <t>Production Period 7 Summary.xlsx</t>
        </is>
      </c>
      <c r="Q314" t="inlineStr">
        <is>
          <t>mr_2TuaL6sxqfUVnHHp-out_sVIPjpDBrGPnpupv-0</t>
        </is>
      </c>
    </row>
    <row r="315">
      <c r="A315" t="inlineStr">
        <is>
          <t>dtp_1KXGK44CR1S0QMW4</t>
        </is>
      </c>
      <c r="B315" t="inlineStr">
        <is>
          <t>reported</t>
        </is>
      </c>
      <c r="C315" t="inlineStr">
        <is>
          <t>Emissions Factor - Flatbed Truck Transport Embodied Emissions (2025, CO)</t>
        </is>
      </c>
      <c r="D315" t="inlineStr">
        <is>
          <t>Emissions Factor - Flatbed Truck Transport Embodied Emissions (2025, CO)</t>
        </is>
      </c>
      <c r="E315" s="2" t="n">
        <v>0.0001197949629</v>
      </c>
      <c r="F315" t="n">
        <v>0</v>
      </c>
      <c r="G315" t="inlineStr">
        <is>
          <t>kg/m</t>
        </is>
      </c>
      <c r="H315" t="n">
        <v>0.1197949629</v>
      </c>
      <c r="I315" t="n">
        <v>0</v>
      </c>
      <c r="J315" t="inlineStr">
        <is>
          <t>kgCO₂e/km</t>
        </is>
      </c>
      <c r="K315">
        <f>Source!A17</f>
        <v/>
      </c>
      <c r="L315" t="inlineStr">
        <is>
          <t>Standard Emission Factors + Calculations (8).xlsx</t>
        </is>
      </c>
      <c r="Q315" t="inlineStr">
        <is>
          <t>mr_2TuaL6sxqfUVnHHp-out_mh5OWJEQ9TzkSjax-0</t>
        </is>
      </c>
    </row>
    <row r="316">
      <c r="A316" t="inlineStr">
        <is>
          <t>dtp_1KXGK45481S0YYKE</t>
        </is>
      </c>
      <c r="B316" t="inlineStr">
        <is>
          <t>reported</t>
        </is>
      </c>
      <c r="C316" t="inlineStr">
        <is>
          <t>Biochar Applied - Allocated Delivery Distance (km)</t>
        </is>
      </c>
      <c r="D316" t="inlineStr">
        <is>
          <t>Biochar Applied - Allocated Delivery Distance (km)</t>
        </is>
      </c>
      <c r="E316" s="2" t="n">
        <v>6626.31</v>
      </c>
      <c r="F316" t="n">
        <v>0</v>
      </c>
      <c r="G316" t="inlineStr">
        <is>
          <t>m</t>
        </is>
      </c>
      <c r="H316" t="n">
        <v>6.62631</v>
      </c>
      <c r="I316" t="n">
        <v>0</v>
      </c>
      <c r="J316" t="inlineStr">
        <is>
          <t>km</t>
        </is>
      </c>
      <c r="K316">
        <f>Source!A18</f>
        <v/>
      </c>
      <c r="L316" t="inlineStr">
        <is>
          <t>CO to Chris Craig Distance (1).png</t>
        </is>
      </c>
      <c r="Q316" t="inlineStr">
        <is>
          <t>mr_2TuaL6sxqfUVnHHp-out_hfoA89qbvT5XX9zd-0</t>
        </is>
      </c>
    </row>
    <row r="317">
      <c r="A317" t="inlineStr">
        <is>
          <t>dtp_1KXGK45BZ1S0C512</t>
        </is>
      </c>
      <c r="B317" t="inlineStr">
        <is>
          <t>reported</t>
        </is>
      </c>
      <c r="C317" t="inlineStr">
        <is>
          <t>Attribution factor</t>
        </is>
      </c>
      <c r="E317" s="2" t="n">
        <v>1</v>
      </c>
      <c r="F317" t="n">
        <v>0</v>
      </c>
      <c r="G317" t="inlineStr"/>
      <c r="H317" t="n">
        <v>1</v>
      </c>
      <c r="I317" t="n">
        <v>0</v>
      </c>
      <c r="J317" t="inlineStr"/>
    </row>
    <row r="318">
      <c r="A318" t="inlineStr">
        <is>
          <t>dtp_1KXGK45BZ1S0EDBB</t>
        </is>
      </c>
      <c r="B318" t="inlineStr">
        <is>
          <t>reported</t>
        </is>
      </c>
      <c r="C318" t="inlineStr">
        <is>
          <t>Attribution factor</t>
        </is>
      </c>
      <c r="E318" s="2" t="n">
        <v>1</v>
      </c>
      <c r="F318" t="n">
        <v>0</v>
      </c>
      <c r="G318" t="inlineStr"/>
      <c r="H318" t="n">
        <v>1</v>
      </c>
      <c r="I318" t="n">
        <v>0</v>
      </c>
      <c r="J318" t="inlineStr"/>
    </row>
    <row r="319">
      <c r="A319" t="inlineStr">
        <is>
          <t>dtp_1KXGK45BZ1S0KERC</t>
        </is>
      </c>
      <c r="B319" t="inlineStr">
        <is>
          <t>reported</t>
        </is>
      </c>
      <c r="C319" t="inlineStr">
        <is>
          <t>Attribution factor</t>
        </is>
      </c>
      <c r="E319" s="2" t="n">
        <v>1</v>
      </c>
      <c r="F319" t="n">
        <v>0</v>
      </c>
      <c r="G319" t="inlineStr"/>
      <c r="H319" t="n">
        <v>1</v>
      </c>
      <c r="I319" t="n">
        <v>0</v>
      </c>
      <c r="J319" t="inlineStr"/>
    </row>
    <row r="320">
      <c r="A320" t="inlineStr">
        <is>
          <t>dtp_1KXGK45BZ1S0TRFP</t>
        </is>
      </c>
      <c r="B320" t="inlineStr">
        <is>
          <t>reported</t>
        </is>
      </c>
      <c r="C320" t="inlineStr">
        <is>
          <t>Attribution factor</t>
        </is>
      </c>
      <c r="E320" s="2" t="n">
        <v>1</v>
      </c>
      <c r="F320" t="n">
        <v>0</v>
      </c>
      <c r="G320" t="inlineStr"/>
      <c r="H320" t="n">
        <v>1</v>
      </c>
      <c r="I320" t="n">
        <v>0</v>
      </c>
      <c r="J320" t="inlineStr"/>
    </row>
    <row r="321">
      <c r="A321" t="inlineStr">
        <is>
          <t>dtp_1KXGK45BZ1S0ZSWQ</t>
        </is>
      </c>
      <c r="B321" t="inlineStr">
        <is>
          <t>reported</t>
        </is>
      </c>
      <c r="C321" t="inlineStr">
        <is>
          <t>Attribution factor</t>
        </is>
      </c>
      <c r="E321" s="2" t="n">
        <v>1</v>
      </c>
      <c r="F321" t="n">
        <v>0</v>
      </c>
      <c r="G321" t="inlineStr"/>
      <c r="H321" t="n">
        <v>1</v>
      </c>
      <c r="I321" t="n">
        <v>0</v>
      </c>
      <c r="J321" t="inlineStr"/>
    </row>
    <row r="322">
      <c r="A322" t="inlineStr">
        <is>
          <t>dtp_1KXGK47XB1S04FSP</t>
        </is>
      </c>
      <c r="B322" t="inlineStr">
        <is>
          <t>derived</t>
        </is>
      </c>
      <c r="C322" t="inlineStr">
        <is>
          <t>Emissions Factor - Biochar Spreading</t>
        </is>
      </c>
      <c r="D322" t="inlineStr">
        <is>
          <t>Emissions Factor - Biochar Spreading</t>
        </is>
      </c>
      <c r="E322" s="2" t="n">
        <v>0.004</v>
      </c>
      <c r="F322" t="n">
        <v>0</v>
      </c>
      <c r="G322" t="inlineStr"/>
      <c r="H322" t="n">
        <v>0.004</v>
      </c>
      <c r="I322" t="n">
        <v>0</v>
      </c>
      <c r="J322" t="inlineStr">
        <is>
          <t>kgCO₂e/kg</t>
        </is>
      </c>
      <c r="K322">
        <f>Source!A4</f>
        <v/>
      </c>
      <c r="L322" t="inlineStr">
        <is>
          <t>Biochar Offtake Calculations.xlsx</t>
        </is>
      </c>
      <c r="Q322" t="inlineStr">
        <is>
          <t>mr_YmxlqqaJHKNqJTQ2-out_hf7qVV7KHcGk4thf-0</t>
        </is>
      </c>
    </row>
    <row r="323">
      <c r="A323" t="inlineStr">
        <is>
          <t>dtp_1KXGK4BW51S0E1V9</t>
        </is>
      </c>
      <c r="B323" t="inlineStr">
        <is>
          <t>derived</t>
        </is>
      </c>
      <c r="C323" t="inlineStr">
        <is>
          <t>Biochar Applied (wet mass) (Spreading) - Applied</t>
        </is>
      </c>
      <c r="D323" t="inlineStr">
        <is>
          <t>Biochar Applied (wet mass) (Spreading) - Applied</t>
        </is>
      </c>
      <c r="E323" s="2" t="n">
        <v>1286.49</v>
      </c>
      <c r="F323" t="n">
        <v>0</v>
      </c>
      <c r="G323" t="inlineStr">
        <is>
          <t>kg</t>
        </is>
      </c>
      <c r="H323" t="n">
        <v>1286.49</v>
      </c>
      <c r="I323" t="n">
        <v>0</v>
      </c>
      <c r="J323" t="inlineStr">
        <is>
          <t>kg</t>
        </is>
      </c>
      <c r="K323">
        <f>Source!A44</f>
        <v/>
      </c>
      <c r="L323" t="inlineStr">
        <is>
          <t>Chris Craig 6.6.26 Scale Tickets.png</t>
        </is>
      </c>
      <c r="M323">
        <f>Source!A50</f>
        <v/>
      </c>
      <c r="N323" t="inlineStr">
        <is>
          <t>Chris Craig Delivery Notes.xlsx</t>
        </is>
      </c>
      <c r="O323">
        <f>Source!A28</f>
        <v/>
      </c>
      <c r="P323" t="inlineStr">
        <is>
          <t>Production Period 8 Summary (1).xlsx</t>
        </is>
      </c>
      <c r="Q323" t="inlineStr">
        <is>
          <t>mr_YmxlqqaJHKNqJTQ2-out_0jBoYHtsohNZ8PAk-0</t>
        </is>
      </c>
    </row>
    <row r="324">
      <c r="A324" t="inlineStr">
        <is>
          <t>dtp_1KXGK4DPV1S0YXM6</t>
        </is>
      </c>
      <c r="B324" t="inlineStr">
        <is>
          <t>derived</t>
        </is>
      </c>
      <c r="C324" t="inlineStr">
        <is>
          <t>Biochar - H/C_org - Applied</t>
        </is>
      </c>
      <c r="D324" t="inlineStr">
        <is>
          <t>Biochar - H/C_org - Applied</t>
        </is>
      </c>
      <c r="E324" s="2" t="n">
        <v>0.3467</v>
      </c>
      <c r="F324" t="n">
        <v>0</v>
      </c>
      <c r="G324" t="inlineStr"/>
      <c r="H324" t="n">
        <v>0.3467</v>
      </c>
      <c r="I324" t="n">
        <v>0</v>
      </c>
      <c r="J324" t="inlineStr"/>
      <c r="K324">
        <f>Source!A30</f>
        <v/>
      </c>
      <c r="L324" t="inlineStr">
        <is>
          <t>5110270 Custom Biochar Reports.pdf</t>
        </is>
      </c>
      <c r="Q324" t="inlineStr">
        <is>
          <t>mr_d3UUVfWCH7NuQwfO-out_SlgcaWsappr9ZCL6-0</t>
        </is>
      </c>
    </row>
    <row r="325">
      <c r="A325" t="inlineStr">
        <is>
          <t>dtp_1KXGK4E9C1S0DH2T</t>
        </is>
      </c>
      <c r="B325" t="inlineStr">
        <is>
          <t>derived</t>
        </is>
      </c>
      <c r="C325" t="inlineStr">
        <is>
          <t>Inorganic Carbon Content % - Applied</t>
        </is>
      </c>
      <c r="D325" t="inlineStr">
        <is>
          <t>Inorganic Carbon Content % - Applied</t>
        </is>
      </c>
      <c r="E325" s="2" t="n">
        <v>0.003333</v>
      </c>
      <c r="F325" t="n">
        <v>0</v>
      </c>
      <c r="G325" t="inlineStr"/>
      <c r="H325" t="n">
        <v>0.3333</v>
      </c>
      <c r="I325" t="n">
        <v>0</v>
      </c>
      <c r="J325" t="inlineStr">
        <is>
          <t>%</t>
        </is>
      </c>
      <c r="K325">
        <f>Source!A30</f>
        <v/>
      </c>
      <c r="L325" t="inlineStr">
        <is>
          <t>5110270 Custom Biochar Reports.pdf</t>
        </is>
      </c>
      <c r="Q325" t="inlineStr">
        <is>
          <t>mr_d3UUVfWCH7NuQwfO-out_RrRijQ8NSCwAInka-0</t>
        </is>
      </c>
    </row>
    <row r="326">
      <c r="A326" t="inlineStr">
        <is>
          <t>dtp_1KXGK4FPY1S0MTT4</t>
        </is>
      </c>
      <c r="B326" t="inlineStr">
        <is>
          <t>derived</t>
        </is>
      </c>
      <c r="C326" t="inlineStr">
        <is>
          <t>Biochar Dry Weight (kg) (CO2 stored) - Applied</t>
        </is>
      </c>
      <c r="D326" t="inlineStr">
        <is>
          <t>Biochar Dry Weight (kg) (CO2 stored) - Applied</t>
        </is>
      </c>
      <c r="E326" s="2" t="n">
        <v>966.2798</v>
      </c>
      <c r="F326" t="n">
        <v>0</v>
      </c>
      <c r="G326" t="inlineStr">
        <is>
          <t>kg</t>
        </is>
      </c>
      <c r="H326" t="n">
        <v>966.2798</v>
      </c>
      <c r="I326" t="n">
        <v>0</v>
      </c>
      <c r="J326" t="inlineStr">
        <is>
          <t>kg</t>
        </is>
      </c>
      <c r="K326">
        <f>Source!A44</f>
        <v/>
      </c>
      <c r="L326" t="inlineStr">
        <is>
          <t>Chris Craig 6.6.26 Scale Tickets.png</t>
        </is>
      </c>
      <c r="M326">
        <f>Source!A50</f>
        <v/>
      </c>
      <c r="N326" t="inlineStr">
        <is>
          <t>Chris Craig Delivery Notes.xlsx</t>
        </is>
      </c>
      <c r="O326">
        <f>Source!A29</f>
        <v/>
      </c>
      <c r="P326" t="inlineStr">
        <is>
          <t>5110270 Custom Biochar Reports.pdf</t>
        </is>
      </c>
      <c r="Q326" t="inlineStr">
        <is>
          <t>mr_YmxlqqaJHKNqJTQ2-out_tHtEVo8cn1cKK0xD-0</t>
        </is>
      </c>
    </row>
    <row r="327">
      <c r="A327" t="inlineStr">
        <is>
          <t>dtp_1KXGK4GA61S0J1QC</t>
        </is>
      </c>
      <c r="B327" t="inlineStr">
        <is>
          <t>derived</t>
        </is>
      </c>
      <c r="C327" t="inlineStr">
        <is>
          <t>Biochar Applied - Soil Temperature (Cel)</t>
        </is>
      </c>
      <c r="D327" t="inlineStr">
        <is>
          <t>Biochar Applied - Soil Temperature (Cel)</t>
        </is>
      </c>
      <c r="E327" s="2" t="n">
        <v>284.05</v>
      </c>
      <c r="F327" t="n">
        <v>0</v>
      </c>
      <c r="G327" t="inlineStr">
        <is>
          <t>K</t>
        </is>
      </c>
      <c r="H327" t="n">
        <v>10.9</v>
      </c>
      <c r="I327" t="n">
        <v>0</v>
      </c>
      <c r="J327" t="inlineStr">
        <is>
          <t>°C</t>
        </is>
      </c>
      <c r="K327">
        <f>Source!A41</f>
        <v/>
      </c>
      <c r="L327" t="inlineStr">
        <is>
          <t>soil_temperature_chris_craig.csv</t>
        </is>
      </c>
      <c r="Q327" t="inlineStr">
        <is>
          <t>mr_d3UUVfWCH7NuQwfO-out_WFEo3VxmWt0N3Yhc-0</t>
        </is>
      </c>
    </row>
    <row r="328">
      <c r="A328" t="inlineStr">
        <is>
          <t>dtp_1KXGK4H2H1S0SBEP</t>
        </is>
      </c>
      <c r="B328" t="inlineStr">
        <is>
          <t>derived</t>
        </is>
      </c>
      <c r="C328" t="inlineStr">
        <is>
          <t>Organic Carbon Content % - Applied</t>
        </is>
      </c>
      <c r="D328" t="inlineStr">
        <is>
          <t>Organic Carbon Content % - Applied</t>
        </is>
      </c>
      <c r="E328" s="2" t="n">
        <v>0.8743340000000001</v>
      </c>
      <c r="F328" t="n">
        <v>0</v>
      </c>
      <c r="G328" t="inlineStr"/>
      <c r="H328" t="n">
        <v>87.43340000000001</v>
      </c>
      <c r="I328" t="n">
        <v>0</v>
      </c>
      <c r="J328" t="inlineStr">
        <is>
          <t>%</t>
        </is>
      </c>
      <c r="K328">
        <f>Source!A30</f>
        <v/>
      </c>
      <c r="L328" t="inlineStr">
        <is>
          <t>5110270 Custom Biochar Reports.pdf</t>
        </is>
      </c>
      <c r="Q328" t="inlineStr">
        <is>
          <t>mr_YmxlqqaJHKNqJTQ2-out_ye14SNxRG8b285JB-0</t>
        </is>
      </c>
    </row>
    <row r="329">
      <c r="A329" t="inlineStr">
        <is>
          <t>dtp_1KXGK4J9Z1S055TJ</t>
        </is>
      </c>
      <c r="B329" t="inlineStr">
        <is>
          <t>derived</t>
        </is>
      </c>
      <c r="C329" t="inlineStr">
        <is>
          <t>Copy - Truck EF</t>
        </is>
      </c>
      <c r="D329" t="inlineStr">
        <is>
          <t>Copy - Truck EF</t>
        </is>
      </c>
      <c r="E329" s="2" t="n">
        <v>8.599777300564702e-08</v>
      </c>
      <c r="F329" t="n">
        <v>0</v>
      </c>
      <c r="G329" t="inlineStr">
        <is>
          <t>1/m</t>
        </is>
      </c>
      <c r="H329" t="n">
        <v>0.1384</v>
      </c>
      <c r="I329" t="n">
        <v>0</v>
      </c>
      <c r="J329" t="inlineStr">
        <is>
          <t>kgCO₂e/(t⋅mi)</t>
        </is>
      </c>
      <c r="K329">
        <f>Source!A17</f>
        <v/>
      </c>
      <c r="L329" t="inlineStr">
        <is>
          <t>Standard Emission Factors + Calculations (8).xlsx</t>
        </is>
      </c>
      <c r="Q329" t="inlineStr">
        <is>
          <t>mr_YmxlqqaJHKNqJTQ2-out_kz09qsYg6N3uHg55-0</t>
        </is>
      </c>
    </row>
    <row r="330">
      <c r="A330" t="inlineStr">
        <is>
          <t>dtp_1KXGK4MHA1S07E4V</t>
        </is>
      </c>
      <c r="B330" t="inlineStr">
        <is>
          <t>reported</t>
        </is>
      </c>
      <c r="C330" t="inlineStr">
        <is>
          <t>Biochar Applied - Delivery Distance (km)</t>
        </is>
      </c>
      <c r="D330" t="inlineStr">
        <is>
          <t>Biochar Applied - Delivery Distance (km)</t>
        </is>
      </c>
      <c r="E330" s="2" t="n">
        <v>278416.51</v>
      </c>
      <c r="F330" t="n">
        <v>0</v>
      </c>
      <c r="G330" t="inlineStr">
        <is>
          <t>m</t>
        </is>
      </c>
      <c r="H330" t="n">
        <v>278.41651</v>
      </c>
      <c r="I330" t="n">
        <v>0</v>
      </c>
      <c r="J330" t="inlineStr">
        <is>
          <t>km</t>
        </is>
      </c>
      <c r="K330">
        <f>Source!A18</f>
        <v/>
      </c>
      <c r="L330" t="inlineStr">
        <is>
          <t>CO to Chris Craig Distance (1).png</t>
        </is>
      </c>
      <c r="Q330" t="inlineStr">
        <is>
          <t>mr_YmxlqqaJHKNqJTQ2-out_mh2j8s9fAROxQE7o-0</t>
        </is>
      </c>
    </row>
    <row r="331">
      <c r="A331" t="inlineStr">
        <is>
          <t>dtp_1KXGK4P571S0P1KF</t>
        </is>
      </c>
      <c r="B331" t="inlineStr">
        <is>
          <t>derived</t>
        </is>
      </c>
      <c r="C331" t="inlineStr">
        <is>
          <t>Biochar Transported (kg) - Applied</t>
        </is>
      </c>
      <c r="D331" t="inlineStr">
        <is>
          <t>Biochar Transported (kg) - Applied</t>
        </is>
      </c>
      <c r="E331" s="2" t="n">
        <v>1346.736248</v>
      </c>
      <c r="F331" t="n">
        <v>0</v>
      </c>
      <c r="G331" t="inlineStr">
        <is>
          <t>kg</t>
        </is>
      </c>
      <c r="H331" t="n">
        <v>1346.736248</v>
      </c>
      <c r="I331" t="n">
        <v>0</v>
      </c>
      <c r="J331" t="inlineStr">
        <is>
          <t>kg</t>
        </is>
      </c>
      <c r="K331">
        <f>Source!A44</f>
        <v/>
      </c>
      <c r="L331" t="inlineStr">
        <is>
          <t>Chris Craig 6.6.26 Scale Tickets.png</t>
        </is>
      </c>
      <c r="M331">
        <f>Source!A50</f>
        <v/>
      </c>
      <c r="N331" t="inlineStr">
        <is>
          <t>Chris Craig Delivery Notes.xlsx</t>
        </is>
      </c>
      <c r="O331">
        <f>Source!A28</f>
        <v/>
      </c>
      <c r="P331" t="inlineStr">
        <is>
          <t>Production Period 8 Summary (1).xlsx</t>
        </is>
      </c>
      <c r="Q331" t="inlineStr">
        <is>
          <t>mr_YmxlqqaJHKNqJTQ2-out_sVIPjpDBrGPnpupv-0</t>
        </is>
      </c>
    </row>
    <row r="332">
      <c r="A332" t="inlineStr">
        <is>
          <t>dtp_1KXGK4PJ11S0K8GQ</t>
        </is>
      </c>
      <c r="B332" t="inlineStr">
        <is>
          <t>reported</t>
        </is>
      </c>
      <c r="C332" t="inlineStr">
        <is>
          <t>Emissions Factor - Flatbed Truck Transport Embodied Emissions (2025, CO)</t>
        </is>
      </c>
      <c r="D332" t="inlineStr">
        <is>
          <t>Emissions Factor - Flatbed Truck Transport Embodied Emissions (2025, CO)</t>
        </is>
      </c>
      <c r="E332" s="2" t="n">
        <v>0.0001197949629</v>
      </c>
      <c r="F332" t="n">
        <v>0</v>
      </c>
      <c r="G332" t="inlineStr">
        <is>
          <t>kg/m</t>
        </is>
      </c>
      <c r="H332" t="n">
        <v>0.1197949629</v>
      </c>
      <c r="I332" t="n">
        <v>0</v>
      </c>
      <c r="J332" t="inlineStr">
        <is>
          <t>kgCO₂e/km</t>
        </is>
      </c>
      <c r="K332">
        <f>Source!A17</f>
        <v/>
      </c>
      <c r="L332" t="inlineStr">
        <is>
          <t>Standard Emission Factors + Calculations (8).xlsx</t>
        </is>
      </c>
      <c r="Q332" t="inlineStr">
        <is>
          <t>mr_YmxlqqaJHKNqJTQ2-out_mh5OWJEQ9TzkSjax-0</t>
        </is>
      </c>
    </row>
    <row r="333">
      <c r="A333" t="inlineStr">
        <is>
          <t>dtp_1KXGK4QHJ1S0TJ81</t>
        </is>
      </c>
      <c r="B333" t="inlineStr">
        <is>
          <t>reported</t>
        </is>
      </c>
      <c r="C333" t="inlineStr">
        <is>
          <t>Biochar Applied - Allocated Delivery Distance (km)</t>
        </is>
      </c>
      <c r="D333" t="inlineStr">
        <is>
          <t>Biochar Applied - Allocated Delivery Distance (km)</t>
        </is>
      </c>
      <c r="E333" s="2" t="n">
        <v>33131.56</v>
      </c>
      <c r="F333" t="n">
        <v>0</v>
      </c>
      <c r="G333" t="inlineStr">
        <is>
          <t>m</t>
        </is>
      </c>
      <c r="H333" t="n">
        <v>33.13156</v>
      </c>
      <c r="I333" t="n">
        <v>0</v>
      </c>
      <c r="J333" t="inlineStr">
        <is>
          <t>km</t>
        </is>
      </c>
      <c r="K333">
        <f>Source!A18</f>
        <v/>
      </c>
      <c r="L333" t="inlineStr">
        <is>
          <t>CO to Chris Craig Distance (1).png</t>
        </is>
      </c>
      <c r="Q333" t="inlineStr">
        <is>
          <t>mr_YmxlqqaJHKNqJTQ2-out_hfoA89qbvT5XX9zd-0</t>
        </is>
      </c>
    </row>
    <row r="334">
      <c r="A334" t="inlineStr">
        <is>
          <t>dtp_1KXGK4R131S05GBC</t>
        </is>
      </c>
      <c r="B334" t="inlineStr">
        <is>
          <t>reported</t>
        </is>
      </c>
      <c r="C334" t="inlineStr">
        <is>
          <t>Attribution factor</t>
        </is>
      </c>
      <c r="E334" s="2" t="n">
        <v>1</v>
      </c>
      <c r="F334" t="n">
        <v>0</v>
      </c>
      <c r="G334" t="inlineStr"/>
      <c r="H334" t="n">
        <v>1</v>
      </c>
      <c r="I334" t="n">
        <v>0</v>
      </c>
      <c r="J334" t="inlineStr"/>
    </row>
    <row r="335">
      <c r="A335" t="inlineStr">
        <is>
          <t>dtp_1KXGK4R131S07RNN</t>
        </is>
      </c>
      <c r="B335" t="inlineStr">
        <is>
          <t>reported</t>
        </is>
      </c>
      <c r="C335" t="inlineStr">
        <is>
          <t>Attribution factor</t>
        </is>
      </c>
      <c r="E335" s="2" t="n">
        <v>1</v>
      </c>
      <c r="F335" t="n">
        <v>0</v>
      </c>
      <c r="G335" t="inlineStr"/>
      <c r="H335" t="n">
        <v>1</v>
      </c>
      <c r="I335" t="n">
        <v>0</v>
      </c>
      <c r="J335" t="inlineStr"/>
    </row>
    <row r="336">
      <c r="A336" t="inlineStr">
        <is>
          <t>dtp_1KXGK4R131S0CT2P</t>
        </is>
      </c>
      <c r="B336" t="inlineStr">
        <is>
          <t>reported</t>
        </is>
      </c>
      <c r="C336" t="inlineStr">
        <is>
          <t>Attribution factor</t>
        </is>
      </c>
      <c r="E336" s="2" t="n">
        <v>1</v>
      </c>
      <c r="F336" t="n">
        <v>0</v>
      </c>
      <c r="G336" t="inlineStr"/>
      <c r="H336" t="n">
        <v>1</v>
      </c>
      <c r="I336" t="n">
        <v>0</v>
      </c>
      <c r="J336" t="inlineStr"/>
    </row>
    <row r="337">
      <c r="A337" t="inlineStr">
        <is>
          <t>dtp_1KXGK4R131S0S571</t>
        </is>
      </c>
      <c r="B337" t="inlineStr">
        <is>
          <t>reported</t>
        </is>
      </c>
      <c r="C337" t="inlineStr">
        <is>
          <t>Attribution factor</t>
        </is>
      </c>
      <c r="E337" s="2" t="n">
        <v>1</v>
      </c>
      <c r="F337" t="n">
        <v>0</v>
      </c>
      <c r="G337" t="inlineStr"/>
      <c r="H337" t="n">
        <v>1</v>
      </c>
      <c r="I337" t="n">
        <v>0</v>
      </c>
      <c r="J337" t="inlineStr"/>
    </row>
    <row r="338">
      <c r="A338" t="inlineStr">
        <is>
          <t>dtp_1KXGK4THH1S0HFZN</t>
        </is>
      </c>
      <c r="B338" t="inlineStr">
        <is>
          <t>derived</t>
        </is>
      </c>
      <c r="C338" t="inlineStr">
        <is>
          <t>Emissions Factor - Biochar Spreading</t>
        </is>
      </c>
      <c r="D338" t="inlineStr">
        <is>
          <t>Emissions Factor - Biochar Spreading</t>
        </is>
      </c>
      <c r="E338" s="2" t="n">
        <v>0.004</v>
      </c>
      <c r="F338" t="n">
        <v>0</v>
      </c>
      <c r="G338" t="inlineStr"/>
      <c r="H338" t="n">
        <v>0.004</v>
      </c>
      <c r="I338" t="n">
        <v>0</v>
      </c>
      <c r="J338" t="inlineStr">
        <is>
          <t>kgCO₂e/kg</t>
        </is>
      </c>
      <c r="K338">
        <f>Source!A4</f>
        <v/>
      </c>
      <c r="L338" t="inlineStr">
        <is>
          <t>Biochar Offtake Calculations.xlsx</t>
        </is>
      </c>
      <c r="Q338" t="inlineStr">
        <is>
          <t>mr_vOmzWDLvnKf163pQ-out_hf7qVV7KHcGk4thf-0</t>
        </is>
      </c>
    </row>
    <row r="339">
      <c r="A339" t="inlineStr">
        <is>
          <t>dtp_1KXGK4YB31S0V218</t>
        </is>
      </c>
      <c r="B339" t="inlineStr">
        <is>
          <t>derived</t>
        </is>
      </c>
      <c r="C339" t="inlineStr">
        <is>
          <t>Biochar Applied (wet mass) (Spreading) - Applied</t>
        </is>
      </c>
      <c r="D339" t="inlineStr">
        <is>
          <t>Biochar Applied (wet mass) (Spreading) - Applied</t>
        </is>
      </c>
      <c r="E339" s="2" t="n">
        <v>1029.19</v>
      </c>
      <c r="F339" t="n">
        <v>0</v>
      </c>
      <c r="G339" t="inlineStr">
        <is>
          <t>kg</t>
        </is>
      </c>
      <c r="H339" t="n">
        <v>1029.19</v>
      </c>
      <c r="I339" t="n">
        <v>0</v>
      </c>
      <c r="J339" t="inlineStr">
        <is>
          <t>kg</t>
        </is>
      </c>
      <c r="K339">
        <f>Source!A44</f>
        <v/>
      </c>
      <c r="L339" t="inlineStr">
        <is>
          <t>Chris Craig 6.6.26 Scale Tickets.png</t>
        </is>
      </c>
      <c r="M339">
        <f>Source!A50</f>
        <v/>
      </c>
      <c r="N339" t="inlineStr">
        <is>
          <t>Chris Craig Delivery Notes.xlsx</t>
        </is>
      </c>
      <c r="O339">
        <f>Source!A31</f>
        <v/>
      </c>
      <c r="P339" t="inlineStr">
        <is>
          <t>August 2025 Production Period Summary (1).xlsx</t>
        </is>
      </c>
      <c r="Q339" t="inlineStr">
        <is>
          <t>mr_vOmzWDLvnKf163pQ-out_0jBoYHtsohNZ8PAk-0</t>
        </is>
      </c>
    </row>
    <row r="340">
      <c r="A340" t="inlineStr">
        <is>
          <t>dtp_1KXGK4ZY91S0BXT5</t>
        </is>
      </c>
      <c r="B340" t="inlineStr">
        <is>
          <t>derived</t>
        </is>
      </c>
      <c r="C340" t="inlineStr">
        <is>
          <t>Biochar - H/C_org - Applied</t>
        </is>
      </c>
      <c r="D340" t="inlineStr">
        <is>
          <t>Biochar - H/C_org - Applied</t>
        </is>
      </c>
      <c r="E340" s="2" t="n">
        <v>0.32</v>
      </c>
      <c r="F340" t="n">
        <v>0</v>
      </c>
      <c r="G340" t="inlineStr"/>
      <c r="H340" t="n">
        <v>0.32</v>
      </c>
      <c r="I340" t="n">
        <v>0</v>
      </c>
      <c r="J340" t="inlineStr"/>
      <c r="K340">
        <f>Source!A33</f>
        <v/>
      </c>
      <c r="L340" t="inlineStr">
        <is>
          <t>5110270 Custom Biochar Reports.pdf</t>
        </is>
      </c>
      <c r="Q340" t="inlineStr">
        <is>
          <t>mr_4LqAEdOlZ6SCdxN4-out_SlgcaWsappr9ZCL6-0</t>
        </is>
      </c>
    </row>
    <row r="341">
      <c r="A341" t="inlineStr">
        <is>
          <t>dtp_1KXGK50HD1S0TH8S</t>
        </is>
      </c>
      <c r="B341" t="inlineStr">
        <is>
          <t>derived</t>
        </is>
      </c>
      <c r="C341" t="inlineStr">
        <is>
          <t>Inorganic Carbon Content % - Applied</t>
        </is>
      </c>
      <c r="D341" t="inlineStr">
        <is>
          <t>Inorganic Carbon Content % - Applied</t>
        </is>
      </c>
      <c r="E341" s="2" t="n">
        <v>0.004333</v>
      </c>
      <c r="F341" t="n">
        <v>0</v>
      </c>
      <c r="G341" t="inlineStr"/>
      <c r="H341" t="n">
        <v>0.4333</v>
      </c>
      <c r="I341" t="n">
        <v>0</v>
      </c>
      <c r="J341" t="inlineStr">
        <is>
          <t>%</t>
        </is>
      </c>
      <c r="K341">
        <f>Source!A33</f>
        <v/>
      </c>
      <c r="L341" t="inlineStr">
        <is>
          <t>5110270 Custom Biochar Reports.pdf</t>
        </is>
      </c>
      <c r="Q341" t="inlineStr">
        <is>
          <t>mr_4LqAEdOlZ6SCdxN4-out_RrRijQ8NSCwAInka-0</t>
        </is>
      </c>
    </row>
    <row r="342">
      <c r="A342" t="inlineStr">
        <is>
          <t>dtp_1KXGK53761S0NFVR</t>
        </is>
      </c>
      <c r="B342" t="inlineStr">
        <is>
          <t>derived</t>
        </is>
      </c>
      <c r="C342" t="inlineStr">
        <is>
          <t>Biochar Dry Weight (kg) (CO2 stored) - Applied</t>
        </is>
      </c>
      <c r="D342" t="inlineStr">
        <is>
          <t>Biochar Dry Weight (kg) (CO2 stored) - Applied</t>
        </is>
      </c>
      <c r="E342" s="2" t="n">
        <v>329.8602</v>
      </c>
      <c r="F342" t="n">
        <v>0</v>
      </c>
      <c r="G342" t="inlineStr">
        <is>
          <t>kg</t>
        </is>
      </c>
      <c r="H342" t="n">
        <v>329.8602</v>
      </c>
      <c r="I342" t="n">
        <v>0</v>
      </c>
      <c r="J342" t="inlineStr">
        <is>
          <t>kg</t>
        </is>
      </c>
      <c r="K342">
        <f>Source!A44</f>
        <v/>
      </c>
      <c r="L342" t="inlineStr">
        <is>
          <t>Chris Craig 6.6.26 Scale Tickets.png</t>
        </is>
      </c>
      <c r="M342">
        <f>Source!A50</f>
        <v/>
      </c>
      <c r="N342" t="inlineStr">
        <is>
          <t>Chris Craig Delivery Notes.xlsx</t>
        </is>
      </c>
      <c r="O342">
        <f>Source!A32</f>
        <v/>
      </c>
      <c r="P342" t="inlineStr">
        <is>
          <t>5110270 Custom Biochar Reports.pdf</t>
        </is>
      </c>
      <c r="Q342" t="inlineStr">
        <is>
          <t>mr_vOmzWDLvnKf163pQ-out_tHtEVo8cn1cKK0xD-0</t>
        </is>
      </c>
    </row>
    <row r="343">
      <c r="A343" t="inlineStr">
        <is>
          <t>dtp_1KXGK53TZ1S0T0GA</t>
        </is>
      </c>
      <c r="B343" t="inlineStr">
        <is>
          <t>derived</t>
        </is>
      </c>
      <c r="C343" t="inlineStr">
        <is>
          <t>Biochar Applied - Soil Temperature (Cel)</t>
        </is>
      </c>
      <c r="D343" t="inlineStr">
        <is>
          <t>Biochar Applied - Soil Temperature (Cel)</t>
        </is>
      </c>
      <c r="E343" s="2" t="n">
        <v>284.05</v>
      </c>
      <c r="F343" t="n">
        <v>0</v>
      </c>
      <c r="G343" t="inlineStr">
        <is>
          <t>K</t>
        </is>
      </c>
      <c r="H343" t="n">
        <v>10.9</v>
      </c>
      <c r="I343" t="n">
        <v>0</v>
      </c>
      <c r="J343" t="inlineStr">
        <is>
          <t>°C</t>
        </is>
      </c>
      <c r="K343">
        <f>Source!A41</f>
        <v/>
      </c>
      <c r="L343" t="inlineStr">
        <is>
          <t>soil_temperature_chris_craig.csv</t>
        </is>
      </c>
      <c r="Q343" t="inlineStr">
        <is>
          <t>mr_4LqAEdOlZ6SCdxN4-out_WFEo3VxmWt0N3Yhc-0</t>
        </is>
      </c>
    </row>
    <row r="344">
      <c r="A344" t="inlineStr">
        <is>
          <t>dtp_1KXGK54CR1S01A7M</t>
        </is>
      </c>
      <c r="B344" t="inlineStr">
        <is>
          <t>derived</t>
        </is>
      </c>
      <c r="C344" t="inlineStr">
        <is>
          <t>Organic Carbon Content % - Applied</t>
        </is>
      </c>
      <c r="D344" t="inlineStr">
        <is>
          <t>Organic Carbon Content % - Applied</t>
        </is>
      </c>
      <c r="E344" s="2" t="n">
        <v>0.868</v>
      </c>
      <c r="F344" t="n">
        <v>0</v>
      </c>
      <c r="G344" t="inlineStr"/>
      <c r="H344" t="n">
        <v>86.8</v>
      </c>
      <c r="I344" t="n">
        <v>0</v>
      </c>
      <c r="J344" t="inlineStr">
        <is>
          <t>%</t>
        </is>
      </c>
      <c r="K344">
        <f>Source!A33</f>
        <v/>
      </c>
      <c r="L344" t="inlineStr">
        <is>
          <t>5110270 Custom Biochar Reports.pdf</t>
        </is>
      </c>
      <c r="Q344" t="inlineStr">
        <is>
          <t>mr_vOmzWDLvnKf163pQ-out_ye14SNxRG8b285JB-0</t>
        </is>
      </c>
    </row>
    <row r="345">
      <c r="A345" t="inlineStr">
        <is>
          <t>dtp_1KXGK55TQ1S0D4KG</t>
        </is>
      </c>
      <c r="B345" t="inlineStr">
        <is>
          <t>derived</t>
        </is>
      </c>
      <c r="C345" t="inlineStr">
        <is>
          <t>Copy - Truck EF</t>
        </is>
      </c>
      <c r="D345" t="inlineStr">
        <is>
          <t>Copy - Truck EF</t>
        </is>
      </c>
      <c r="E345" s="2" t="n">
        <v>8.599777300564702e-08</v>
      </c>
      <c r="F345" t="n">
        <v>0</v>
      </c>
      <c r="G345" t="inlineStr">
        <is>
          <t>1/m</t>
        </is>
      </c>
      <c r="H345" t="n">
        <v>0.1384</v>
      </c>
      <c r="I345" t="n">
        <v>0</v>
      </c>
      <c r="J345" t="inlineStr">
        <is>
          <t>kgCO₂e/(t⋅mi)</t>
        </is>
      </c>
      <c r="K345">
        <f>Source!A17</f>
        <v/>
      </c>
      <c r="L345" t="inlineStr">
        <is>
          <t>Standard Emission Factors + Calculations (8).xlsx</t>
        </is>
      </c>
      <c r="Q345" t="inlineStr">
        <is>
          <t>mr_vOmzWDLvnKf163pQ-out_kz09qsYg6N3uHg55-0</t>
        </is>
      </c>
    </row>
    <row r="346">
      <c r="A346" t="inlineStr">
        <is>
          <t>dtp_1KXGK58541S0FCXS</t>
        </is>
      </c>
      <c r="B346" t="inlineStr">
        <is>
          <t>reported</t>
        </is>
      </c>
      <c r="C346" t="inlineStr">
        <is>
          <t>Biochar Applied - Delivery Distance (km)</t>
        </is>
      </c>
      <c r="D346" t="inlineStr">
        <is>
          <t>Biochar Applied - Delivery Distance (km)</t>
        </is>
      </c>
      <c r="E346" s="2" t="n">
        <v>278416.51</v>
      </c>
      <c r="F346" t="n">
        <v>0</v>
      </c>
      <c r="G346" t="inlineStr">
        <is>
          <t>m</t>
        </is>
      </c>
      <c r="H346" t="n">
        <v>278.41651</v>
      </c>
      <c r="I346" t="n">
        <v>0</v>
      </c>
      <c r="J346" t="inlineStr">
        <is>
          <t>km</t>
        </is>
      </c>
      <c r="K346">
        <f>Source!A18</f>
        <v/>
      </c>
      <c r="L346" t="inlineStr">
        <is>
          <t>CO to Chris Craig Distance (1).png</t>
        </is>
      </c>
      <c r="Q346" t="inlineStr">
        <is>
          <t>mr_vOmzWDLvnKf163pQ-out_mh2j8s9fAROxQE7o-0</t>
        </is>
      </c>
    </row>
    <row r="347">
      <c r="A347" t="inlineStr">
        <is>
          <t>dtp_1KXGK59TR1S0Y0CD</t>
        </is>
      </c>
      <c r="B347" t="inlineStr">
        <is>
          <t>derived</t>
        </is>
      </c>
      <c r="C347" t="inlineStr">
        <is>
          <t>Biochar Transported (kg) - Applied</t>
        </is>
      </c>
      <c r="D347" t="inlineStr">
        <is>
          <t>Biochar Transported (kg) - Applied</t>
        </is>
      </c>
      <c r="E347" s="2" t="n">
        <v>1077.388998</v>
      </c>
      <c r="F347" t="n">
        <v>0</v>
      </c>
      <c r="G347" t="inlineStr">
        <is>
          <t>kg</t>
        </is>
      </c>
      <c r="H347" t="n">
        <v>1077.388998</v>
      </c>
      <c r="I347" t="n">
        <v>0</v>
      </c>
      <c r="J347" t="inlineStr">
        <is>
          <t>kg</t>
        </is>
      </c>
      <c r="K347">
        <f>Source!A44</f>
        <v/>
      </c>
      <c r="L347" t="inlineStr">
        <is>
          <t>Chris Craig 6.6.26 Scale Tickets.png</t>
        </is>
      </c>
      <c r="M347">
        <f>Source!A50</f>
        <v/>
      </c>
      <c r="N347" t="inlineStr">
        <is>
          <t>Chris Craig Delivery Notes.xlsx</t>
        </is>
      </c>
      <c r="O347">
        <f>Source!A32</f>
        <v/>
      </c>
      <c r="P347" t="inlineStr">
        <is>
          <t>5110270 Custom Biochar Reports.pdf</t>
        </is>
      </c>
      <c r="Q347" t="inlineStr">
        <is>
          <t>mr_vOmzWDLvnKf163pQ-out_sVIPjpDBrGPnpupv-0</t>
        </is>
      </c>
    </row>
    <row r="348">
      <c r="A348" t="inlineStr">
        <is>
          <t>dtp_1KXGK5A891S0V79N</t>
        </is>
      </c>
      <c r="B348" t="inlineStr">
        <is>
          <t>reported</t>
        </is>
      </c>
      <c r="C348" t="inlineStr">
        <is>
          <t>Emissions Factor - Flatbed Truck Transport Embodied Emissions (2025, CO)</t>
        </is>
      </c>
      <c r="D348" t="inlineStr">
        <is>
          <t>Emissions Factor - Flatbed Truck Transport Embodied Emissions (2025, CO)</t>
        </is>
      </c>
      <c r="E348" s="2" t="n">
        <v>0.0001197949629</v>
      </c>
      <c r="F348" t="n">
        <v>0</v>
      </c>
      <c r="G348" t="inlineStr">
        <is>
          <t>kg/m</t>
        </is>
      </c>
      <c r="H348" t="n">
        <v>0.1197949629</v>
      </c>
      <c r="I348" t="n">
        <v>0</v>
      </c>
      <c r="J348" t="inlineStr">
        <is>
          <t>kgCO₂e/km</t>
        </is>
      </c>
      <c r="K348">
        <f>Source!A17</f>
        <v/>
      </c>
      <c r="L348" t="inlineStr">
        <is>
          <t>Standard Emission Factors + Calculations (8).xlsx</t>
        </is>
      </c>
      <c r="Q348" t="inlineStr">
        <is>
          <t>mr_vOmzWDLvnKf163pQ-out_mh5OWJEQ9TzkSjax-0</t>
        </is>
      </c>
    </row>
    <row r="349">
      <c r="A349" t="inlineStr">
        <is>
          <t>dtp_1KXGK5BCA1S02H0Z</t>
        </is>
      </c>
      <c r="B349" t="inlineStr">
        <is>
          <t>reported</t>
        </is>
      </c>
      <c r="C349" t="inlineStr">
        <is>
          <t>Biochar Applied - Allocated Delivery Distance (km)</t>
        </is>
      </c>
      <c r="D349" t="inlineStr">
        <is>
          <t>Biochar Applied - Allocated Delivery Distance (km)</t>
        </is>
      </c>
      <c r="E349" s="2" t="n">
        <v>26505.25</v>
      </c>
      <c r="F349" t="n">
        <v>0</v>
      </c>
      <c r="G349" t="inlineStr">
        <is>
          <t>m</t>
        </is>
      </c>
      <c r="H349" t="n">
        <v>26.50525</v>
      </c>
      <c r="I349" t="n">
        <v>0</v>
      </c>
      <c r="J349" t="inlineStr">
        <is>
          <t>km</t>
        </is>
      </c>
      <c r="K349">
        <f>Source!A18</f>
        <v/>
      </c>
      <c r="L349" t="inlineStr">
        <is>
          <t>CO to Chris Craig Distance (1).png</t>
        </is>
      </c>
      <c r="Q349" t="inlineStr">
        <is>
          <t>mr_vOmzWDLvnKf163pQ-out_hfoA89qbvT5XX9zd-0</t>
        </is>
      </c>
    </row>
    <row r="350">
      <c r="A350" t="inlineStr">
        <is>
          <t>dtp_1KXGK5BMT1S013ZZ</t>
        </is>
      </c>
      <c r="B350" t="inlineStr">
        <is>
          <t>reported</t>
        </is>
      </c>
      <c r="C350" t="inlineStr">
        <is>
          <t>Attribution factor</t>
        </is>
      </c>
      <c r="E350" s="2" t="n">
        <v>1</v>
      </c>
      <c r="F350" t="n">
        <v>0</v>
      </c>
      <c r="G350" t="inlineStr"/>
      <c r="H350" t="n">
        <v>1</v>
      </c>
      <c r="I350" t="n">
        <v>0</v>
      </c>
      <c r="J350" t="inlineStr"/>
    </row>
    <row r="351">
      <c r="A351" t="inlineStr">
        <is>
          <t>dtp_1KXGK5BMT1S0DF4A</t>
        </is>
      </c>
      <c r="B351" t="inlineStr">
        <is>
          <t>reported</t>
        </is>
      </c>
      <c r="C351" t="inlineStr">
        <is>
          <t>Attribution factor</t>
        </is>
      </c>
      <c r="E351" s="2" t="n">
        <v>1</v>
      </c>
      <c r="F351" t="n">
        <v>0</v>
      </c>
      <c r="G351" t="inlineStr"/>
      <c r="H351" t="n">
        <v>1</v>
      </c>
      <c r="I351" t="n">
        <v>0</v>
      </c>
      <c r="J351" t="inlineStr"/>
    </row>
    <row r="352">
      <c r="A352" t="inlineStr">
        <is>
          <t>dtp_1KXGK5BMT1S0FQEK</t>
        </is>
      </c>
      <c r="B352" t="inlineStr">
        <is>
          <t>reported</t>
        </is>
      </c>
      <c r="C352" t="inlineStr">
        <is>
          <t>Attribution factor</t>
        </is>
      </c>
      <c r="E352" s="2" t="n">
        <v>1</v>
      </c>
      <c r="F352" t="n">
        <v>0</v>
      </c>
      <c r="G352" t="inlineStr"/>
      <c r="H352" t="n">
        <v>1</v>
      </c>
      <c r="I352" t="n">
        <v>0</v>
      </c>
      <c r="J352" t="inlineStr"/>
    </row>
    <row r="353">
      <c r="A353" t="inlineStr">
        <is>
          <t>dtp_1KXGK5BMT1S0MRVM</t>
        </is>
      </c>
      <c r="B353" t="inlineStr">
        <is>
          <t>reported</t>
        </is>
      </c>
      <c r="C353" t="inlineStr">
        <is>
          <t>Attribution factor</t>
        </is>
      </c>
      <c r="E353" s="2" t="n">
        <v>1</v>
      </c>
      <c r="F353" t="n">
        <v>0</v>
      </c>
      <c r="G353" t="inlineStr"/>
      <c r="H353" t="n">
        <v>1</v>
      </c>
      <c r="I353" t="n">
        <v>0</v>
      </c>
      <c r="J353" t="inlineStr"/>
    </row>
    <row r="354">
      <c r="A354" t="inlineStr">
        <is>
          <t>dtp_1KXGKF6PX1S0HM8T</t>
        </is>
      </c>
      <c r="B354" t="inlineStr">
        <is>
          <t>reported</t>
        </is>
      </c>
      <c r="C354" t="inlineStr">
        <is>
          <t>Attribution factor</t>
        </is>
      </c>
      <c r="E354" s="2" t="n">
        <v>1</v>
      </c>
      <c r="F354" t="n">
        <v>0</v>
      </c>
      <c r="G354" t="inlineStr"/>
      <c r="H354" t="n">
        <v>1</v>
      </c>
      <c r="I354" t="n">
        <v>0</v>
      </c>
      <c r="J354" t="inlineStr"/>
    </row>
    <row r="355">
      <c r="A355" t="inlineStr">
        <is>
          <t>dtp_1KXGKG2491S09SS1</t>
        </is>
      </c>
      <c r="B355" t="inlineStr">
        <is>
          <t>reported</t>
        </is>
      </c>
      <c r="C355" t="inlineStr">
        <is>
          <t>Constant CO₂ reduction</t>
        </is>
      </c>
      <c r="E355" s="2" t="n">
        <v>25.8</v>
      </c>
      <c r="F355" t="n">
        <v>0</v>
      </c>
      <c r="G355" t="inlineStr">
        <is>
          <t>kg</t>
        </is>
      </c>
      <c r="H355" t="n">
        <v>25.8</v>
      </c>
      <c r="I355" t="n">
        <v>0</v>
      </c>
      <c r="J355" t="inlineStr">
        <is>
          <t>kgCO₂e</t>
        </is>
      </c>
      <c r="K355">
        <f>Source!A19</f>
        <v/>
      </c>
      <c r="L355" t="inlineStr">
        <is>
          <t>Charm-RetirementCertificate-RD-EACs-20251218 (1).pdf</t>
        </is>
      </c>
    </row>
    <row r="356">
      <c r="A356" t="inlineStr">
        <is>
          <t>dtp_1KXGRA8D41S0WQMJ</t>
        </is>
      </c>
      <c r="B356" t="inlineStr">
        <is>
          <t>reported</t>
        </is>
      </c>
      <c r="C356" t="inlineStr">
        <is>
          <t>Attribution factor</t>
        </is>
      </c>
      <c r="E356" s="2" t="n">
        <v>1</v>
      </c>
      <c r="F356" t="n">
        <v>0</v>
      </c>
      <c r="G356" t="inlineStr"/>
      <c r="H356" t="n">
        <v>1</v>
      </c>
      <c r="I356" t="n">
        <v>0</v>
      </c>
      <c r="J356" t="inlineStr"/>
    </row>
    <row r="357">
      <c r="A357" t="inlineStr">
        <is>
          <t>dtp_1KXGRAWJ31S0MX4S</t>
        </is>
      </c>
      <c r="B357" t="inlineStr">
        <is>
          <t>reported</t>
        </is>
      </c>
      <c r="C357" t="inlineStr">
        <is>
          <t>Constant CO₂ reduction</t>
        </is>
      </c>
      <c r="E357" s="2" t="n">
        <v>6.45</v>
      </c>
      <c r="F357" t="n">
        <v>0</v>
      </c>
      <c r="G357" t="inlineStr">
        <is>
          <t>kg</t>
        </is>
      </c>
      <c r="H357" t="n">
        <v>6.45</v>
      </c>
      <c r="I357" t="n">
        <v>0</v>
      </c>
      <c r="J357" t="inlineStr">
        <is>
          <t>kgCO₂e</t>
        </is>
      </c>
      <c r="K357">
        <f>Source!A19</f>
        <v/>
      </c>
      <c r="L357" t="inlineStr">
        <is>
          <t>Charm-RetirementCertificate-RD-EACs-20251218 (1).pdf</t>
        </is>
      </c>
    </row>
    <row r="358">
      <c r="A358" t="inlineStr">
        <is>
          <t>dtp_1KXGRVNQ41S0YMES</t>
        </is>
      </c>
      <c r="B358" t="inlineStr">
        <is>
          <t>reported</t>
        </is>
      </c>
      <c r="C358" t="inlineStr">
        <is>
          <t>Attribution factor</t>
        </is>
      </c>
      <c r="E358" s="2" t="n">
        <v>1</v>
      </c>
      <c r="F358" t="n">
        <v>0</v>
      </c>
      <c r="G358" t="inlineStr"/>
      <c r="H358" t="n">
        <v>1</v>
      </c>
      <c r="I358" t="n">
        <v>0</v>
      </c>
      <c r="J358" t="inlineStr"/>
    </row>
    <row r="359">
      <c r="A359" t="inlineStr">
        <is>
          <t>dtp_1KXGRX66H1S0PSZ0</t>
        </is>
      </c>
      <c r="B359" t="inlineStr">
        <is>
          <t>reported</t>
        </is>
      </c>
      <c r="C359" t="inlineStr">
        <is>
          <t>Constant CO₂ reduction</t>
        </is>
      </c>
      <c r="E359" s="2" t="n">
        <v>122.53</v>
      </c>
      <c r="F359" t="n">
        <v>0</v>
      </c>
      <c r="G359" t="inlineStr">
        <is>
          <t>kg</t>
        </is>
      </c>
      <c r="H359" t="n">
        <v>122.53</v>
      </c>
      <c r="I359" t="n">
        <v>0</v>
      </c>
      <c r="J359" t="inlineStr">
        <is>
          <t>kgCO₂e</t>
        </is>
      </c>
      <c r="K359">
        <f>Source!A19</f>
        <v/>
      </c>
      <c r="L359" t="inlineStr">
        <is>
          <t>Charm-RetirementCertificate-RD-EACs-20251218 (1).pdf</t>
        </is>
      </c>
    </row>
    <row r="360">
      <c r="A360" t="inlineStr">
        <is>
          <t>dtp_1KXKGVXY71S0W9BZ</t>
        </is>
      </c>
      <c r="B360" t="inlineStr">
        <is>
          <t>reported</t>
        </is>
      </c>
      <c r="C360" t="inlineStr">
        <is>
          <t>Biochar - H/C_org - Applied</t>
        </is>
      </c>
      <c r="D360" t="inlineStr">
        <is>
          <t>Biochar - H/C_org - Applied</t>
        </is>
      </c>
      <c r="E360" s="2" t="n">
        <v>0.28667</v>
      </c>
      <c r="F360" t="n">
        <v>0</v>
      </c>
      <c r="G360" t="inlineStr"/>
      <c r="H360" t="n">
        <v>0.28667</v>
      </c>
      <c r="I360" t="n">
        <v>0</v>
      </c>
      <c r="J360" t="inlineStr"/>
      <c r="K360">
        <f>Source!A35</f>
        <v/>
      </c>
      <c r="L360" t="inlineStr">
        <is>
          <t>254 - Combined Lab Analyses.pdf</t>
        </is>
      </c>
      <c r="Q360" t="inlineStr">
        <is>
          <t>manual-charm-D2-254-hc</t>
        </is>
      </c>
    </row>
    <row r="361">
      <c r="A361" t="inlineStr">
        <is>
          <t>dtp_1KXKGVYRN1S0AWTK</t>
        </is>
      </c>
      <c r="B361" t="inlineStr">
        <is>
          <t>reported</t>
        </is>
      </c>
      <c r="C361" t="inlineStr">
        <is>
          <t>Inorganic Carbon Content % - Applied</t>
        </is>
      </c>
      <c r="D361" t="inlineStr">
        <is>
          <t>Inorganic Carbon Content % - Applied</t>
        </is>
      </c>
      <c r="E361" s="2" t="n">
        <v>0.004</v>
      </c>
      <c r="F361" t="n">
        <v>0</v>
      </c>
      <c r="G361" t="inlineStr"/>
      <c r="H361" t="n">
        <v>0.4</v>
      </c>
      <c r="I361" t="n">
        <v>0</v>
      </c>
      <c r="J361" t="inlineStr">
        <is>
          <t>%</t>
        </is>
      </c>
      <c r="K361">
        <f>Source!A35</f>
        <v/>
      </c>
      <c r="L361" t="inlineStr">
        <is>
          <t>254 - Combined Lab Analyses.pdf</t>
        </is>
      </c>
      <c r="Q361" t="inlineStr">
        <is>
          <t>manual-charm-D2-254-inorg</t>
        </is>
      </c>
    </row>
    <row r="362">
      <c r="A362" t="inlineStr">
        <is>
          <t>dtp_1KXKGVZF31S0J6HX</t>
        </is>
      </c>
      <c r="B362" t="inlineStr">
        <is>
          <t>reported</t>
        </is>
      </c>
      <c r="C362" t="inlineStr">
        <is>
          <t>Organic Carbon Content % - Applied</t>
        </is>
      </c>
      <c r="D362" t="inlineStr">
        <is>
          <t>Organic Carbon Content % - Applied</t>
        </is>
      </c>
      <c r="E362" s="2" t="n">
        <v>0.90067</v>
      </c>
      <c r="F362" t="n">
        <v>0</v>
      </c>
      <c r="G362" t="inlineStr"/>
      <c r="H362" t="n">
        <v>90.06699999999999</v>
      </c>
      <c r="I362" t="n">
        <v>0</v>
      </c>
      <c r="J362" t="inlineStr">
        <is>
          <t>%</t>
        </is>
      </c>
      <c r="K362">
        <f>Source!A35</f>
        <v/>
      </c>
      <c r="L362" t="inlineStr">
        <is>
          <t>254 - Combined Lab Analyses.pdf</t>
        </is>
      </c>
      <c r="Q362" t="inlineStr">
        <is>
          <t>manual-charm-D2-254-totalc</t>
        </is>
      </c>
    </row>
    <row r="363">
      <c r="A363" t="inlineStr">
        <is>
          <t>dtp_1KXKGW07E1S00T0H</t>
        </is>
      </c>
      <c r="B363" t="inlineStr">
        <is>
          <t>reported</t>
        </is>
      </c>
      <c r="C363" t="inlineStr">
        <is>
          <t>Biochar Dry Weight (kg) (CO2 stored) - Applied</t>
        </is>
      </c>
      <c r="D363" t="inlineStr">
        <is>
          <t>Biochar Dry Weight (kg) (CO2 stored) - Applied</t>
        </is>
      </c>
      <c r="E363" s="2" t="n">
        <v>257.4742137</v>
      </c>
      <c r="F363" t="n">
        <v>0</v>
      </c>
      <c r="G363" t="inlineStr">
        <is>
          <t>kg</t>
        </is>
      </c>
      <c r="H363" t="n">
        <v>257.4742137</v>
      </c>
      <c r="I363" t="n">
        <v>0</v>
      </c>
      <c r="J363" t="inlineStr">
        <is>
          <t>kg</t>
        </is>
      </c>
      <c r="K363">
        <f>Source!A43</f>
        <v/>
      </c>
      <c r="L363" t="inlineStr">
        <is>
          <t>Chris Craig 5.30.26 Scale Tickets.heic</t>
        </is>
      </c>
      <c r="M363">
        <f>Source!A35</f>
        <v/>
      </c>
      <c r="N363" t="inlineStr">
        <is>
          <t>254 - Combined Lab Analyses.pdf</t>
        </is>
      </c>
      <c r="O363">
        <f>Source!A50</f>
        <v/>
      </c>
      <c r="P363" t="inlineStr">
        <is>
          <t>Chris Craig Delivery Notes.xlsx</t>
        </is>
      </c>
      <c r="Q363" t="inlineStr">
        <is>
          <t>manual-charm-D2-254-seqmass</t>
        </is>
      </c>
    </row>
    <row r="364">
      <c r="A364" t="inlineStr">
        <is>
          <t>dtp_1KXKGW10J1S0Y0XS</t>
        </is>
      </c>
      <c r="B364" t="inlineStr">
        <is>
          <t>reported</t>
        </is>
      </c>
      <c r="C364" t="inlineStr">
        <is>
          <t>Biochar Applied - Soil Temperature (Cel)</t>
        </is>
      </c>
      <c r="D364" t="inlineStr">
        <is>
          <t>Biochar Applied - Soil Temperature (Cel)</t>
        </is>
      </c>
      <c r="E364" s="2" t="n">
        <v>284.05</v>
      </c>
      <c r="F364" t="n">
        <v>0</v>
      </c>
      <c r="G364" t="inlineStr">
        <is>
          <t>K</t>
        </is>
      </c>
      <c r="H364" t="n">
        <v>10.9</v>
      </c>
      <c r="I364" t="n">
        <v>0</v>
      </c>
      <c r="J364" t="inlineStr">
        <is>
          <t>°C</t>
        </is>
      </c>
      <c r="K364">
        <f>Source!A41</f>
        <v/>
      </c>
      <c r="L364" t="inlineStr">
        <is>
          <t>soil_temperature_chris_craig.csv</t>
        </is>
      </c>
      <c r="Q364" t="inlineStr">
        <is>
          <t>manual-charm-D2-254-soil</t>
        </is>
      </c>
    </row>
    <row r="365">
      <c r="A365" t="inlineStr">
        <is>
          <t>dtp_1KXKGW2M51S09V9N</t>
        </is>
      </c>
      <c r="B365" t="inlineStr">
        <is>
          <t>reported</t>
        </is>
      </c>
      <c r="C365" t="inlineStr">
        <is>
          <t>Emissions Factor - Biochar Spreading</t>
        </is>
      </c>
      <c r="D365" t="inlineStr">
        <is>
          <t>Emissions Factor - Biochar Spreading</t>
        </is>
      </c>
      <c r="E365" s="2" t="n">
        <v>0.004</v>
      </c>
      <c r="F365" t="n">
        <v>0</v>
      </c>
      <c r="G365" t="inlineStr"/>
      <c r="H365" t="n">
        <v>0.004</v>
      </c>
      <c r="I365" t="n">
        <v>0</v>
      </c>
      <c r="J365" t="inlineStr">
        <is>
          <t>kgCO₂e/kg</t>
        </is>
      </c>
      <c r="K365">
        <f>Source!A4</f>
        <v/>
      </c>
      <c r="L365" t="inlineStr">
        <is>
          <t>Biochar Offtake Calculations.xlsx</t>
        </is>
      </c>
      <c r="Q365" t="inlineStr">
        <is>
          <t>manual-charm-D2-254-spreadef</t>
        </is>
      </c>
    </row>
    <row r="366">
      <c r="A366" t="inlineStr">
        <is>
          <t>dtp_1KXKGW3AE1S0RER9</t>
        </is>
      </c>
      <c r="B366" t="inlineStr">
        <is>
          <t>reported</t>
        </is>
      </c>
      <c r="C366" t="inlineStr">
        <is>
          <t>Biochar Applied (wet mass) (Spreading) - Applied</t>
        </is>
      </c>
      <c r="D366" t="inlineStr">
        <is>
          <t>Biochar Applied (wet mass) (Spreading) - Applied</t>
        </is>
      </c>
      <c r="E366" s="2" t="n">
        <v>392.77</v>
      </c>
      <c r="F366" t="n">
        <v>0</v>
      </c>
      <c r="G366" t="inlineStr">
        <is>
          <t>kg</t>
        </is>
      </c>
      <c r="H366" t="n">
        <v>392.77</v>
      </c>
      <c r="I366" t="n">
        <v>0</v>
      </c>
      <c r="J366" t="inlineStr">
        <is>
          <t>kg</t>
        </is>
      </c>
      <c r="K366">
        <f>Source!A43</f>
        <v/>
      </c>
      <c r="L366" t="inlineStr">
        <is>
          <t>Chris Craig 5.30.26 Scale Tickets.heic</t>
        </is>
      </c>
      <c r="M366">
        <f>Source!A50</f>
        <v/>
      </c>
      <c r="N366" t="inlineStr">
        <is>
          <t>Chris Craig Delivery Notes.xlsx</t>
        </is>
      </c>
      <c r="O366">
        <f>Source!A36</f>
        <v/>
      </c>
      <c r="P366" t="inlineStr">
        <is>
          <t>Production Period 5 Summary.xlsx</t>
        </is>
      </c>
      <c r="Q366" t="inlineStr">
        <is>
          <t>manual-charm-D2-254-spreadmass</t>
        </is>
      </c>
    </row>
    <row r="367">
      <c r="A367" t="inlineStr">
        <is>
          <t>dtp_1KXKGW41R1S0NNNH</t>
        </is>
      </c>
      <c r="B367" t="inlineStr">
        <is>
          <t>reported</t>
        </is>
      </c>
      <c r="C367" t="inlineStr">
        <is>
          <t>Copy - Truck EF</t>
        </is>
      </c>
      <c r="D367" t="inlineStr">
        <is>
          <t>Copy - Truck EF</t>
        </is>
      </c>
      <c r="E367" s="2" t="n">
        <v>8.599777300564702e-08</v>
      </c>
      <c r="F367" t="n">
        <v>0</v>
      </c>
      <c r="G367" t="inlineStr">
        <is>
          <t>1/m</t>
        </is>
      </c>
      <c r="H367" t="n">
        <v>0.1384</v>
      </c>
      <c r="I367" t="n">
        <v>0</v>
      </c>
      <c r="J367" t="inlineStr">
        <is>
          <t>kgCO₂e/(t⋅mi)</t>
        </is>
      </c>
      <c r="K367">
        <f>Source!A17</f>
        <v/>
      </c>
      <c r="L367" t="inlineStr">
        <is>
          <t>Standard Emission Factors + Calculations (8).xlsx</t>
        </is>
      </c>
      <c r="Q367" t="inlineStr">
        <is>
          <t>manual-charm-D2-254-procef</t>
        </is>
      </c>
    </row>
    <row r="368">
      <c r="A368" t="inlineStr">
        <is>
          <t>dtp_1KXKGW4YX1S04945</t>
        </is>
      </c>
      <c r="B368" t="inlineStr">
        <is>
          <t>reported</t>
        </is>
      </c>
      <c r="C368" t="inlineStr">
        <is>
          <t>Biochar Applied - Delivery Distance (km)</t>
        </is>
      </c>
      <c r="D368" t="inlineStr">
        <is>
          <t>Biochar Applied - Delivery Distance (km)</t>
        </is>
      </c>
      <c r="E368" s="2" t="n">
        <v>278416.51</v>
      </c>
      <c r="F368" t="n">
        <v>0</v>
      </c>
      <c r="G368" t="inlineStr">
        <is>
          <t>m</t>
        </is>
      </c>
      <c r="H368" t="n">
        <v>278.41651</v>
      </c>
      <c r="I368" t="n">
        <v>0</v>
      </c>
      <c r="J368" t="inlineStr">
        <is>
          <t>km</t>
        </is>
      </c>
      <c r="K368">
        <f>Source!A18</f>
        <v/>
      </c>
      <c r="L368" t="inlineStr">
        <is>
          <t>CO to Chris Craig Distance (1).png</t>
        </is>
      </c>
      <c r="Q368" t="inlineStr">
        <is>
          <t>manual-charm-D2-254-procdist</t>
        </is>
      </c>
    </row>
    <row r="369">
      <c r="A369" t="inlineStr">
        <is>
          <t>dtp_1KXKGW5T41S0JWJS</t>
        </is>
      </c>
      <c r="B369" t="inlineStr">
        <is>
          <t>reported</t>
        </is>
      </c>
      <c r="C369" t="inlineStr">
        <is>
          <t>Biochar Transported (kg) - Applied</t>
        </is>
      </c>
      <c r="D369" t="inlineStr">
        <is>
          <t>Biochar Transported (kg) - Applied</t>
        </is>
      </c>
      <c r="E369" s="2" t="n">
        <v>416.8726476</v>
      </c>
      <c r="F369" t="n">
        <v>0</v>
      </c>
      <c r="G369" t="inlineStr">
        <is>
          <t>kg</t>
        </is>
      </c>
      <c r="H369" t="n">
        <v>416.8726476</v>
      </c>
      <c r="I369" t="n">
        <v>0</v>
      </c>
      <c r="J369" t="inlineStr">
        <is>
          <t>kg</t>
        </is>
      </c>
      <c r="K369">
        <f>Source!A43</f>
        <v/>
      </c>
      <c r="L369" t="inlineStr">
        <is>
          <t>Chris Craig 5.30.26 Scale Tickets.heic</t>
        </is>
      </c>
      <c r="M369">
        <f>Source!A50</f>
        <v/>
      </c>
      <c r="N369" t="inlineStr">
        <is>
          <t>Chris Craig Delivery Notes.xlsx</t>
        </is>
      </c>
      <c r="O369">
        <f>Source!A36</f>
        <v/>
      </c>
      <c r="P369" t="inlineStr">
        <is>
          <t>Production Period 5 Summary.xlsx</t>
        </is>
      </c>
      <c r="Q369" t="inlineStr">
        <is>
          <t>manual-charm-D2-254-procmass</t>
        </is>
      </c>
    </row>
    <row r="370">
      <c r="A370" t="inlineStr">
        <is>
          <t>dtp_1KXKGW6JA1S0G3G1</t>
        </is>
      </c>
      <c r="B370" t="inlineStr">
        <is>
          <t>reported</t>
        </is>
      </c>
      <c r="C370" t="inlineStr">
        <is>
          <t>Emissions Factor - Flatbed Truck Transport Embodied Emissions (2026, CO)</t>
        </is>
      </c>
      <c r="D370" t="inlineStr">
        <is>
          <t>Emissions Factor - Flatbed Truck Transport Embodied Emissions (2026, CO)</t>
        </is>
      </c>
      <c r="E370" s="2" t="n">
        <v>0.0001197949629</v>
      </c>
      <c r="F370" t="n">
        <v>0</v>
      </c>
      <c r="G370" t="inlineStr">
        <is>
          <t>kg/m</t>
        </is>
      </c>
      <c r="H370" t="n">
        <v>0.1197949629</v>
      </c>
      <c r="I370" t="n">
        <v>0</v>
      </c>
      <c r="J370" t="inlineStr">
        <is>
          <t>kgCO₂e/km</t>
        </is>
      </c>
      <c r="K370">
        <f>Source!A17</f>
        <v/>
      </c>
      <c r="L370" t="inlineStr">
        <is>
          <t>Standard Emission Factors + Calculations (8).xlsx</t>
        </is>
      </c>
      <c r="Q370" t="inlineStr">
        <is>
          <t>manual-charm-D2-254-embef</t>
        </is>
      </c>
    </row>
    <row r="371">
      <c r="A371" t="inlineStr">
        <is>
          <t>dtp_1KXKGW7H21S0YPYN</t>
        </is>
      </c>
      <c r="B371" t="inlineStr">
        <is>
          <t>reported</t>
        </is>
      </c>
      <c r="C371" t="inlineStr">
        <is>
          <t>Biochar Applied - Allocated Delivery Distance (km)</t>
        </is>
      </c>
      <c r="D371" t="inlineStr">
        <is>
          <t>Biochar Applied - Allocated Delivery Distance (km)</t>
        </is>
      </c>
      <c r="E371" s="2" t="n">
        <v>13257.93</v>
      </c>
      <c r="F371" t="n">
        <v>0</v>
      </c>
      <c r="G371" t="inlineStr">
        <is>
          <t>m</t>
        </is>
      </c>
      <c r="H371" t="n">
        <v>13.25793</v>
      </c>
      <c r="I371" t="n">
        <v>0</v>
      </c>
      <c r="J371" t="inlineStr">
        <is>
          <t>km</t>
        </is>
      </c>
      <c r="K371">
        <f>Source!A18</f>
        <v/>
      </c>
      <c r="L371" t="inlineStr">
        <is>
          <t>CO to Chris Craig Distance (1).png</t>
        </is>
      </c>
      <c r="Q371" t="inlineStr">
        <is>
          <t>manual-charm-D2-254-embdist</t>
        </is>
      </c>
    </row>
    <row r="372">
      <c r="A372" t="inlineStr">
        <is>
          <t>dtp_1KXKGW8131S06VZ8</t>
        </is>
      </c>
      <c r="B372" t="inlineStr">
        <is>
          <t>reported</t>
        </is>
      </c>
      <c r="C372" t="inlineStr">
        <is>
          <t>Attribution factor</t>
        </is>
      </c>
      <c r="E372" s="2" t="n">
        <v>1</v>
      </c>
      <c r="F372" t="n">
        <v>0</v>
      </c>
      <c r="G372" t="inlineStr"/>
      <c r="H372" t="n">
        <v>1</v>
      </c>
      <c r="I372" t="n">
        <v>0</v>
      </c>
      <c r="J372" t="inlineStr"/>
    </row>
    <row r="373">
      <c r="A373" t="inlineStr">
        <is>
          <t>dtp_1KXKGW8131S0BXC9</t>
        </is>
      </c>
      <c r="B373" t="inlineStr">
        <is>
          <t>reported</t>
        </is>
      </c>
      <c r="C373" t="inlineStr">
        <is>
          <t>Attribution factor</t>
        </is>
      </c>
      <c r="E373" s="2" t="n">
        <v>1</v>
      </c>
      <c r="F373" t="n">
        <v>0</v>
      </c>
      <c r="G373" t="inlineStr"/>
      <c r="H373" t="n">
        <v>1</v>
      </c>
      <c r="I373" t="n">
        <v>0</v>
      </c>
      <c r="J373" t="inlineStr"/>
    </row>
    <row r="374">
      <c r="A374" t="inlineStr">
        <is>
          <t>dtp_1KXKGW8131S0E5PJ</t>
        </is>
      </c>
      <c r="B374" t="inlineStr">
        <is>
          <t>reported</t>
        </is>
      </c>
      <c r="C374" t="inlineStr">
        <is>
          <t>Attribution factor</t>
        </is>
      </c>
      <c r="E374" s="2" t="n">
        <v>1</v>
      </c>
      <c r="F374" t="n">
        <v>0</v>
      </c>
      <c r="G374" t="inlineStr"/>
      <c r="H374" t="n">
        <v>1</v>
      </c>
      <c r="I374" t="n">
        <v>0</v>
      </c>
      <c r="J374" t="inlineStr"/>
    </row>
    <row r="375">
      <c r="A375" t="inlineStr">
        <is>
          <t>dtp_1KXKGW8131S0K73K</t>
        </is>
      </c>
      <c r="B375" t="inlineStr">
        <is>
          <t>reported</t>
        </is>
      </c>
      <c r="C375" t="inlineStr">
        <is>
          <t>Attribution factor</t>
        </is>
      </c>
      <c r="E375" s="2" t="n">
        <v>1</v>
      </c>
      <c r="F375" t="n">
        <v>0</v>
      </c>
      <c r="G375" t="inlineStr"/>
      <c r="H375" t="n">
        <v>1</v>
      </c>
      <c r="I375" t="n">
        <v>0</v>
      </c>
      <c r="J375" t="inlineStr"/>
    </row>
    <row r="376">
      <c r="A376" t="inlineStr">
        <is>
          <t>dtp_1KXKGW8131S0ZJ7Y</t>
        </is>
      </c>
      <c r="B376" t="inlineStr">
        <is>
          <t>reported</t>
        </is>
      </c>
      <c r="C376" t="inlineStr">
        <is>
          <t>Attribution factor</t>
        </is>
      </c>
      <c r="E376" s="2" t="n">
        <v>1</v>
      </c>
      <c r="F376" t="n">
        <v>0</v>
      </c>
      <c r="G376" t="inlineStr"/>
      <c r="H376" t="n">
        <v>1</v>
      </c>
      <c r="I376" t="n">
        <v>0</v>
      </c>
      <c r="J376" t="inlineStr"/>
    </row>
    <row r="377">
      <c r="A377" t="inlineStr">
        <is>
          <t>dtp_1KXKGX8SV1S0GK98</t>
        </is>
      </c>
      <c r="B377" t="inlineStr">
        <is>
          <t>reported</t>
        </is>
      </c>
      <c r="C377" t="inlineStr">
        <is>
          <t>Biochar - H/C_org - Applied</t>
        </is>
      </c>
      <c r="D377" t="inlineStr">
        <is>
          <t>Biochar - H/C_org - Applied</t>
        </is>
      </c>
      <c r="E377" s="2" t="n">
        <v>0.28667</v>
      </c>
      <c r="F377" t="n">
        <v>0</v>
      </c>
      <c r="G377" t="inlineStr"/>
      <c r="H377" t="n">
        <v>0.28667</v>
      </c>
      <c r="I377" t="n">
        <v>0</v>
      </c>
      <c r="J377" t="inlineStr"/>
      <c r="K377">
        <f>Source!A35</f>
        <v/>
      </c>
      <c r="L377" t="inlineStr">
        <is>
          <t>254 - Combined Lab Analyses.pdf</t>
        </is>
      </c>
      <c r="Q377" t="inlineStr">
        <is>
          <t>manual-charm-D3-254-hc</t>
        </is>
      </c>
    </row>
    <row r="378">
      <c r="A378" t="inlineStr">
        <is>
          <t>dtp_1KXKGX9GT1S0Z6QW</t>
        </is>
      </c>
      <c r="B378" t="inlineStr">
        <is>
          <t>reported</t>
        </is>
      </c>
      <c r="C378" t="inlineStr">
        <is>
          <t>Inorganic Carbon Content % - Applied</t>
        </is>
      </c>
      <c r="D378" t="inlineStr">
        <is>
          <t>Inorganic Carbon Content % - Applied</t>
        </is>
      </c>
      <c r="E378" s="2" t="n">
        <v>0.004</v>
      </c>
      <c r="F378" t="n">
        <v>0</v>
      </c>
      <c r="G378" t="inlineStr"/>
      <c r="H378" t="n">
        <v>0.4</v>
      </c>
      <c r="I378" t="n">
        <v>0</v>
      </c>
      <c r="J378" t="inlineStr">
        <is>
          <t>%</t>
        </is>
      </c>
      <c r="K378">
        <f>Source!A35</f>
        <v/>
      </c>
      <c r="L378" t="inlineStr">
        <is>
          <t>254 - Combined Lab Analyses.pdf</t>
        </is>
      </c>
      <c r="Q378" t="inlineStr">
        <is>
          <t>manual-charm-D3-254-inorg</t>
        </is>
      </c>
    </row>
    <row r="379">
      <c r="A379" t="inlineStr">
        <is>
          <t>dtp_1KXKGXA921S06GF6</t>
        </is>
      </c>
      <c r="B379" t="inlineStr">
        <is>
          <t>reported</t>
        </is>
      </c>
      <c r="C379" t="inlineStr">
        <is>
          <t>Organic Carbon Content % - Applied</t>
        </is>
      </c>
      <c r="D379" t="inlineStr">
        <is>
          <t>Organic Carbon Content % - Applied</t>
        </is>
      </c>
      <c r="E379" s="2" t="n">
        <v>0.90067</v>
      </c>
      <c r="F379" t="n">
        <v>0</v>
      </c>
      <c r="G379" t="inlineStr"/>
      <c r="H379" t="n">
        <v>90.06699999999999</v>
      </c>
      <c r="I379" t="n">
        <v>0</v>
      </c>
      <c r="J379" t="inlineStr">
        <is>
          <t>%</t>
        </is>
      </c>
      <c r="K379">
        <f>Source!A35</f>
        <v/>
      </c>
      <c r="L379" t="inlineStr">
        <is>
          <t>254 - Combined Lab Analyses.pdf</t>
        </is>
      </c>
      <c r="Q379" t="inlineStr">
        <is>
          <t>manual-charm-D3-254-totalc</t>
        </is>
      </c>
    </row>
    <row r="380">
      <c r="A380" t="inlineStr">
        <is>
          <t>dtp_1KXKGXB0D1S0N3XT</t>
        </is>
      </c>
      <c r="B380" t="inlineStr">
        <is>
          <t>reported</t>
        </is>
      </c>
      <c r="C380" t="inlineStr">
        <is>
          <t>Biochar Dry Weight (kg) (CO2 stored) - Applied</t>
        </is>
      </c>
      <c r="D380" t="inlineStr">
        <is>
          <t>Biochar Dry Weight (kg) (CO2 stored) - Applied</t>
        </is>
      </c>
      <c r="E380" s="2" t="n">
        <v>1140.820409</v>
      </c>
      <c r="F380" t="n">
        <v>0</v>
      </c>
      <c r="G380" t="inlineStr">
        <is>
          <t>kg</t>
        </is>
      </c>
      <c r="H380" t="n">
        <v>1140.820409</v>
      </c>
      <c r="I380" t="n">
        <v>0</v>
      </c>
      <c r="J380" t="inlineStr">
        <is>
          <t>kg</t>
        </is>
      </c>
      <c r="K380">
        <f>Source!A44</f>
        <v/>
      </c>
      <c r="L380" t="inlineStr">
        <is>
          <t>Chris Craig 6.6.26 Scale Tickets.png</t>
        </is>
      </c>
      <c r="M380">
        <f>Source!A35</f>
        <v/>
      </c>
      <c r="N380" t="inlineStr">
        <is>
          <t>254 - Combined Lab Analyses.pdf</t>
        </is>
      </c>
      <c r="O380">
        <f>Source!A50</f>
        <v/>
      </c>
      <c r="P380" t="inlineStr">
        <is>
          <t>Chris Craig Delivery Notes.xlsx</t>
        </is>
      </c>
      <c r="Q380" t="inlineStr">
        <is>
          <t>manual-charm-D3-254-seqmass</t>
        </is>
      </c>
    </row>
    <row r="381">
      <c r="A381" t="inlineStr">
        <is>
          <t>dtp_1KXKGXBTT1S0JAV2</t>
        </is>
      </c>
      <c r="B381" t="inlineStr">
        <is>
          <t>reported</t>
        </is>
      </c>
      <c r="C381" t="inlineStr">
        <is>
          <t>Biochar Applied - Soil Temperature (Cel)</t>
        </is>
      </c>
      <c r="D381" t="inlineStr">
        <is>
          <t>Biochar Applied - Soil Temperature (Cel)</t>
        </is>
      </c>
      <c r="E381" s="2" t="n">
        <v>284.05</v>
      </c>
      <c r="F381" t="n">
        <v>0</v>
      </c>
      <c r="G381" t="inlineStr">
        <is>
          <t>K</t>
        </is>
      </c>
      <c r="H381" t="n">
        <v>10.9</v>
      </c>
      <c r="I381" t="n">
        <v>0</v>
      </c>
      <c r="J381" t="inlineStr">
        <is>
          <t>°C</t>
        </is>
      </c>
      <c r="K381">
        <f>Source!A41</f>
        <v/>
      </c>
      <c r="L381" t="inlineStr">
        <is>
          <t>soil_temperature_chris_craig.csv</t>
        </is>
      </c>
      <c r="Q381" t="inlineStr">
        <is>
          <t>manual-charm-D3-254-soil</t>
        </is>
      </c>
    </row>
    <row r="382">
      <c r="A382" t="inlineStr">
        <is>
          <t>dtp_1KXKGXDVY1S0Y56Y</t>
        </is>
      </c>
      <c r="B382" t="inlineStr">
        <is>
          <t>reported</t>
        </is>
      </c>
      <c r="C382" t="inlineStr">
        <is>
          <t>Emissions Factor - Biochar Spreading</t>
        </is>
      </c>
      <c r="D382" t="inlineStr">
        <is>
          <t>Emissions Factor - Biochar Spreading</t>
        </is>
      </c>
      <c r="E382" s="2" t="n">
        <v>0.004</v>
      </c>
      <c r="F382" t="n">
        <v>0</v>
      </c>
      <c r="G382" t="inlineStr"/>
      <c r="H382" t="n">
        <v>0.004</v>
      </c>
      <c r="I382" t="n">
        <v>0</v>
      </c>
      <c r="J382" t="inlineStr">
        <is>
          <t>kgCO₂e/kg</t>
        </is>
      </c>
      <c r="K382">
        <f>Source!A4</f>
        <v/>
      </c>
      <c r="L382" t="inlineStr">
        <is>
          <t>Biochar Offtake Calculations.xlsx</t>
        </is>
      </c>
      <c r="Q382" t="inlineStr">
        <is>
          <t>manual-charm-D3-254-spreadef</t>
        </is>
      </c>
    </row>
    <row r="383">
      <c r="A383" t="inlineStr">
        <is>
          <t>dtp_1KXKGXEA91S0CRNJ</t>
        </is>
      </c>
      <c r="B383" t="inlineStr">
        <is>
          <t>reported</t>
        </is>
      </c>
      <c r="C383" t="inlineStr">
        <is>
          <t>Biochar Applied (wet mass) (Spreading) - Applied</t>
        </is>
      </c>
      <c r="D383" t="inlineStr">
        <is>
          <t>Biochar Applied (wet mass) (Spreading) - Applied</t>
        </is>
      </c>
      <c r="E383" s="2" t="n">
        <v>1599.51</v>
      </c>
      <c r="F383" t="n">
        <v>0</v>
      </c>
      <c r="G383" t="inlineStr">
        <is>
          <t>kg</t>
        </is>
      </c>
      <c r="H383" t="n">
        <v>1599.51</v>
      </c>
      <c r="I383" t="n">
        <v>0</v>
      </c>
      <c r="J383" t="inlineStr">
        <is>
          <t>kg</t>
        </is>
      </c>
      <c r="K383">
        <f>Source!A44</f>
        <v/>
      </c>
      <c r="L383" t="inlineStr">
        <is>
          <t>Chris Craig 6.6.26 Scale Tickets.png</t>
        </is>
      </c>
      <c r="M383">
        <f>Source!A50</f>
        <v/>
      </c>
      <c r="N383" t="inlineStr">
        <is>
          <t>Chris Craig Delivery Notes.xlsx</t>
        </is>
      </c>
      <c r="O383">
        <f>Source!A36</f>
        <v/>
      </c>
      <c r="P383" t="inlineStr">
        <is>
          <t>Production Period 5 Summary.xlsx</t>
        </is>
      </c>
      <c r="Q383" t="inlineStr">
        <is>
          <t>manual-charm-D3-254-spreadmass</t>
        </is>
      </c>
    </row>
    <row r="384">
      <c r="A384" t="inlineStr">
        <is>
          <t>dtp_1KXKGXEQE1S09ZJT</t>
        </is>
      </c>
      <c r="B384" t="inlineStr">
        <is>
          <t>reported</t>
        </is>
      </c>
      <c r="C384" t="inlineStr">
        <is>
          <t>Copy - Truck EF</t>
        </is>
      </c>
      <c r="D384" t="inlineStr">
        <is>
          <t>Copy - Truck EF</t>
        </is>
      </c>
      <c r="E384" s="2" t="n">
        <v>8.599777300564702e-08</v>
      </c>
      <c r="F384" t="n">
        <v>0</v>
      </c>
      <c r="G384" t="inlineStr">
        <is>
          <t>1/m</t>
        </is>
      </c>
      <c r="H384" t="n">
        <v>0.1384</v>
      </c>
      <c r="I384" t="n">
        <v>0</v>
      </c>
      <c r="J384" t="inlineStr">
        <is>
          <t>kgCO₂e/(t⋅mi)</t>
        </is>
      </c>
      <c r="K384">
        <f>Source!A17</f>
        <v/>
      </c>
      <c r="L384" t="inlineStr">
        <is>
          <t>Standard Emission Factors + Calculations (8).xlsx</t>
        </is>
      </c>
      <c r="Q384" t="inlineStr">
        <is>
          <t>manual-charm-D3-254-procef</t>
        </is>
      </c>
    </row>
    <row r="385">
      <c r="A385" t="inlineStr">
        <is>
          <t>dtp_1KXKGXFHA1S0RK1E</t>
        </is>
      </c>
      <c r="B385" t="inlineStr">
        <is>
          <t>reported</t>
        </is>
      </c>
      <c r="C385" t="inlineStr">
        <is>
          <t>Biochar Applied - Delivery Distance (km)</t>
        </is>
      </c>
      <c r="D385" t="inlineStr">
        <is>
          <t>Biochar Applied - Delivery Distance (km)</t>
        </is>
      </c>
      <c r="E385" s="2" t="n">
        <v>278416.51</v>
      </c>
      <c r="F385" t="n">
        <v>0</v>
      </c>
      <c r="G385" t="inlineStr">
        <is>
          <t>m</t>
        </is>
      </c>
      <c r="H385" t="n">
        <v>278.41651</v>
      </c>
      <c r="I385" t="n">
        <v>0</v>
      </c>
      <c r="J385" t="inlineStr">
        <is>
          <t>km</t>
        </is>
      </c>
      <c r="K385">
        <f>Source!A18</f>
        <v/>
      </c>
      <c r="L385" t="inlineStr">
        <is>
          <t>CO to Chris Craig Distance (1).png</t>
        </is>
      </c>
      <c r="Q385" t="inlineStr">
        <is>
          <t>manual-charm-D3-254-procdist</t>
        </is>
      </c>
    </row>
    <row r="386">
      <c r="A386" t="inlineStr">
        <is>
          <t>dtp_1KXKGXG9R1S076G2</t>
        </is>
      </c>
      <c r="B386" t="inlineStr">
        <is>
          <t>reported</t>
        </is>
      </c>
      <c r="C386" t="inlineStr">
        <is>
          <t>Biochar Transported (kg) - Applied</t>
        </is>
      </c>
      <c r="D386" t="inlineStr">
        <is>
          <t>Biochar Transported (kg) - Applied</t>
        </is>
      </c>
      <c r="E386" s="2" t="n">
        <v>1671.810514</v>
      </c>
      <c r="F386" t="n">
        <v>0</v>
      </c>
      <c r="G386" t="inlineStr">
        <is>
          <t>kg</t>
        </is>
      </c>
      <c r="H386" t="n">
        <v>1671.810514</v>
      </c>
      <c r="I386" t="n">
        <v>0</v>
      </c>
      <c r="J386" t="inlineStr">
        <is>
          <t>kg</t>
        </is>
      </c>
      <c r="K386">
        <f>Source!A44</f>
        <v/>
      </c>
      <c r="L386" t="inlineStr">
        <is>
          <t>Chris Craig 6.6.26 Scale Tickets.png</t>
        </is>
      </c>
      <c r="M386">
        <f>Source!A50</f>
        <v/>
      </c>
      <c r="N386" t="inlineStr">
        <is>
          <t>Chris Craig Delivery Notes.xlsx</t>
        </is>
      </c>
      <c r="O386">
        <f>Source!A36</f>
        <v/>
      </c>
      <c r="P386" t="inlineStr">
        <is>
          <t>Production Period 5 Summary.xlsx</t>
        </is>
      </c>
      <c r="Q386" t="inlineStr">
        <is>
          <t>manual-charm-D3-254-procmass</t>
        </is>
      </c>
    </row>
    <row r="387">
      <c r="A387" t="inlineStr">
        <is>
          <t>dtp_1KXKGXH151S04DDA</t>
        </is>
      </c>
      <c r="B387" t="inlineStr">
        <is>
          <t>reported</t>
        </is>
      </c>
      <c r="C387" t="inlineStr">
        <is>
          <t>Emissions Factor - Flatbed Truck Transport Embodied Emissions (2026, CO)</t>
        </is>
      </c>
      <c r="D387" t="inlineStr">
        <is>
          <t>Emissions Factor - Flatbed Truck Transport Embodied Emissions (2026, CO)</t>
        </is>
      </c>
      <c r="E387" s="2" t="n">
        <v>0.0001197949629</v>
      </c>
      <c r="F387" t="n">
        <v>0</v>
      </c>
      <c r="G387" t="inlineStr">
        <is>
          <t>kg/m</t>
        </is>
      </c>
      <c r="H387" t="n">
        <v>0.1197949629</v>
      </c>
      <c r="I387" t="n">
        <v>0</v>
      </c>
      <c r="J387" t="inlineStr">
        <is>
          <t>kgCO₂e/km</t>
        </is>
      </c>
      <c r="K387">
        <f>Source!A17</f>
        <v/>
      </c>
      <c r="L387" t="inlineStr">
        <is>
          <t>Standard Emission Factors + Calculations (8).xlsx</t>
        </is>
      </c>
      <c r="Q387" t="inlineStr">
        <is>
          <t>manual-charm-D3-254-embef</t>
        </is>
      </c>
    </row>
    <row r="388">
      <c r="A388" t="inlineStr">
        <is>
          <t>dtp_1KXKGXHS31S0K0VY</t>
        </is>
      </c>
      <c r="B388" t="inlineStr">
        <is>
          <t>reported</t>
        </is>
      </c>
      <c r="C388" t="inlineStr">
        <is>
          <t>Biochar Applied - Allocated Delivery Distance (km)</t>
        </is>
      </c>
      <c r="D388" t="inlineStr">
        <is>
          <t>Biochar Applied - Allocated Delivery Distance (km)</t>
        </is>
      </c>
      <c r="E388" s="2" t="n">
        <v>39773.78714</v>
      </c>
      <c r="F388" t="n">
        <v>0</v>
      </c>
      <c r="G388" t="inlineStr">
        <is>
          <t>m</t>
        </is>
      </c>
      <c r="H388" t="n">
        <v>39.77378714</v>
      </c>
      <c r="I388" t="n">
        <v>0</v>
      </c>
      <c r="J388" t="inlineStr">
        <is>
          <t>km</t>
        </is>
      </c>
      <c r="K388">
        <f>Source!A18</f>
        <v/>
      </c>
      <c r="L388" t="inlineStr">
        <is>
          <t>CO to Chris Craig Distance (1).png</t>
        </is>
      </c>
      <c r="Q388" t="inlineStr">
        <is>
          <t>manual-charm-D3-254-embdist</t>
        </is>
      </c>
    </row>
    <row r="389">
      <c r="A389" t="inlineStr">
        <is>
          <t>dtp_1KXKGXJB61S0079J</t>
        </is>
      </c>
      <c r="B389" t="inlineStr">
        <is>
          <t>reported</t>
        </is>
      </c>
      <c r="C389" t="inlineStr">
        <is>
          <t>Attribution factor</t>
        </is>
      </c>
      <c r="E389" s="2" t="n">
        <v>1</v>
      </c>
      <c r="F389" t="n">
        <v>0</v>
      </c>
      <c r="G389" t="inlineStr"/>
      <c r="H389" t="n">
        <v>1</v>
      </c>
      <c r="I389" t="n">
        <v>0</v>
      </c>
      <c r="J389" t="inlineStr"/>
    </row>
    <row r="390">
      <c r="A390" t="inlineStr">
        <is>
          <t>dtp_1KXKGXJB61S02FKV</t>
        </is>
      </c>
      <c r="B390" t="inlineStr">
        <is>
          <t>reported</t>
        </is>
      </c>
      <c r="C390" t="inlineStr">
        <is>
          <t>Attribution factor</t>
        </is>
      </c>
      <c r="E390" s="2" t="n">
        <v>1</v>
      </c>
      <c r="F390" t="n">
        <v>0</v>
      </c>
      <c r="G390" t="inlineStr"/>
      <c r="H390" t="n">
        <v>1</v>
      </c>
      <c r="I390" t="n">
        <v>0</v>
      </c>
      <c r="J390" t="inlineStr"/>
    </row>
    <row r="391">
      <c r="A391" t="inlineStr">
        <is>
          <t>dtp_1KXKGXJB61S07H0W</t>
        </is>
      </c>
      <c r="B391" t="inlineStr">
        <is>
          <t>reported</t>
        </is>
      </c>
      <c r="C391" t="inlineStr">
        <is>
          <t>Attribution factor</t>
        </is>
      </c>
      <c r="E391" s="2" t="n">
        <v>1</v>
      </c>
      <c r="F391" t="n">
        <v>0</v>
      </c>
      <c r="G391" t="inlineStr"/>
      <c r="H391" t="n">
        <v>1</v>
      </c>
      <c r="I391" t="n">
        <v>0</v>
      </c>
      <c r="J391" t="inlineStr"/>
    </row>
    <row r="392">
      <c r="A392" t="inlineStr">
        <is>
          <t>dtp_1KXKGXJB61S0KW57</t>
        </is>
      </c>
      <c r="B392" t="inlineStr">
        <is>
          <t>reported</t>
        </is>
      </c>
      <c r="C392" t="inlineStr">
        <is>
          <t>Attribution factor</t>
        </is>
      </c>
      <c r="E392" s="2" t="n">
        <v>1</v>
      </c>
      <c r="F392" t="n">
        <v>0</v>
      </c>
      <c r="G392" t="inlineStr"/>
      <c r="H392" t="n">
        <v>1</v>
      </c>
      <c r="I392" t="n">
        <v>0</v>
      </c>
      <c r="J392" t="inlineStr"/>
    </row>
    <row r="393">
      <c r="A393" t="inlineStr">
        <is>
          <t>dtp_1KXKH5M4S1S0X2PR</t>
        </is>
      </c>
      <c r="B393" t="inlineStr">
        <is>
          <t>reported</t>
        </is>
      </c>
      <c r="C393" t="inlineStr">
        <is>
          <t>Constant CO₂ reduction</t>
        </is>
      </c>
      <c r="E393" s="2" t="n">
        <v>9.98</v>
      </c>
      <c r="F393" t="n">
        <v>0</v>
      </c>
      <c r="G393" t="inlineStr">
        <is>
          <t>kg</t>
        </is>
      </c>
      <c r="H393" t="n">
        <v>9.98</v>
      </c>
      <c r="I393" t="n">
        <v>0</v>
      </c>
      <c r="J393" t="inlineStr">
        <is>
          <t>kgCO₂e</t>
        </is>
      </c>
      <c r="K393">
        <f>Source!A19</f>
        <v/>
      </c>
      <c r="L393" t="inlineStr">
        <is>
          <t>Charm-RetirementCertificate-RD-EACs-20251218 (1).pdf</t>
        </is>
      </c>
    </row>
    <row r="394">
      <c r="A394" t="inlineStr">
        <is>
          <t>dtp_1KXKP6Y9D1S0GCEG</t>
        </is>
      </c>
      <c r="B394" t="inlineStr">
        <is>
          <t>reported</t>
        </is>
      </c>
      <c r="C394" t="inlineStr">
        <is>
          <t>Biochar - H/C_org - Applied</t>
        </is>
      </c>
      <c r="D394" t="inlineStr">
        <is>
          <t>Biochar - H/C_org - Applied</t>
        </is>
      </c>
      <c r="E394" s="2" t="n">
        <v>0.35</v>
      </c>
      <c r="F394" t="n">
        <v>0</v>
      </c>
      <c r="G394" t="inlineStr"/>
      <c r="H394" t="n">
        <v>0.35</v>
      </c>
      <c r="I394" t="n">
        <v>0</v>
      </c>
      <c r="J394" t="inlineStr"/>
      <c r="K394">
        <f>Source!A48</f>
        <v/>
      </c>
      <c r="L394" t="inlineStr">
        <is>
          <t>McCreath Analysis - BGN CHAR 252 (H26050602).pdf</t>
        </is>
      </c>
      <c r="Q394" t="inlineStr">
        <is>
          <t>manual-charm-D3-252-hc</t>
        </is>
      </c>
    </row>
    <row r="395">
      <c r="A395" t="inlineStr">
        <is>
          <t>dtp_1KXKP6YTT1S0YZX4</t>
        </is>
      </c>
      <c r="B395" t="inlineStr">
        <is>
          <t>reported</t>
        </is>
      </c>
      <c r="C395" t="inlineStr">
        <is>
          <t>Inorganic Carbon Content % - Applied</t>
        </is>
      </c>
      <c r="D395" t="inlineStr">
        <is>
          <t>Inorganic Carbon Content % - Applied</t>
        </is>
      </c>
      <c r="E395" s="2" t="n">
        <v>0.0018</v>
      </c>
      <c r="F395" t="n">
        <v>0</v>
      </c>
      <c r="G395" t="inlineStr"/>
      <c r="H395" t="n">
        <v>0.18</v>
      </c>
      <c r="I395" t="n">
        <v>0</v>
      </c>
      <c r="J395" t="inlineStr">
        <is>
          <t>%</t>
        </is>
      </c>
      <c r="K395">
        <f>Source!A6</f>
        <v/>
      </c>
      <c r="L395" t="inlineStr">
        <is>
          <t>252 - Combined Lab Analyses.pdf</t>
        </is>
      </c>
      <c r="Q395" t="inlineStr">
        <is>
          <t>manual-charm-D3-252-inorg</t>
        </is>
      </c>
    </row>
    <row r="396">
      <c r="A396" t="inlineStr">
        <is>
          <t>dtp_1KXKP6ZF71S069ME</t>
        </is>
      </c>
      <c r="B396" t="inlineStr">
        <is>
          <t>reported</t>
        </is>
      </c>
      <c r="C396" t="inlineStr">
        <is>
          <t>Organic Carbon Content % - Applied</t>
        </is>
      </c>
      <c r="D396" t="inlineStr">
        <is>
          <t>Organic Carbon Content % - Applied</t>
        </is>
      </c>
      <c r="E396" s="2" t="n">
        <v>0.8012600000000001</v>
      </c>
      <c r="F396" t="n">
        <v>0</v>
      </c>
      <c r="G396" t="inlineStr"/>
      <c r="H396" t="n">
        <v>80.126</v>
      </c>
      <c r="I396" t="n">
        <v>0</v>
      </c>
      <c r="J396" t="inlineStr">
        <is>
          <t>%</t>
        </is>
      </c>
      <c r="K396">
        <f>Source!A48</f>
        <v/>
      </c>
      <c r="L396" t="inlineStr">
        <is>
          <t>McCreath Analysis - BGN CHAR 252 (H26050602).pdf</t>
        </is>
      </c>
      <c r="Q396" t="inlineStr">
        <is>
          <t>manual-charm-D3-252-totalc</t>
        </is>
      </c>
    </row>
    <row r="397">
      <c r="A397" t="inlineStr">
        <is>
          <t>dtp_1KXKP706Q1S0MX32</t>
        </is>
      </c>
      <c r="B397" t="inlineStr">
        <is>
          <t>reported</t>
        </is>
      </c>
      <c r="C397" t="inlineStr">
        <is>
          <t>Biochar Dry Weight (kg) (CO2 stored) - Applied</t>
        </is>
      </c>
      <c r="D397" t="inlineStr">
        <is>
          <t>Biochar Dry Weight (kg) (CO2 stored) - Applied</t>
        </is>
      </c>
      <c r="E397" s="2" t="n">
        <v>374.9740559</v>
      </c>
      <c r="F397" t="n">
        <v>0</v>
      </c>
      <c r="G397" t="inlineStr">
        <is>
          <t>kg</t>
        </is>
      </c>
      <c r="H397" t="n">
        <v>374.9740559</v>
      </c>
      <c r="I397" t="n">
        <v>0</v>
      </c>
      <c r="J397" t="inlineStr">
        <is>
          <t>kg</t>
        </is>
      </c>
      <c r="K397">
        <f>Source!A44</f>
        <v/>
      </c>
      <c r="L397" t="inlineStr">
        <is>
          <t>Chris Craig 6.6.26 Scale Tickets.png</t>
        </is>
      </c>
      <c r="M397">
        <f>Source!A48</f>
        <v/>
      </c>
      <c r="N397" t="inlineStr">
        <is>
          <t>McCreath Analysis - BGN CHAR 252 (H26050602).pdf</t>
        </is>
      </c>
      <c r="O397">
        <f>Source!A50</f>
        <v/>
      </c>
      <c r="P397" t="inlineStr">
        <is>
          <t>Chris Craig Delivery Notes.xlsx</t>
        </is>
      </c>
      <c r="Q397" t="inlineStr">
        <is>
          <t>manual-charm-D3-252-seqmass</t>
        </is>
      </c>
    </row>
    <row r="398">
      <c r="A398" t="inlineStr">
        <is>
          <t>dtp_1KXKP70Y21S0J40A</t>
        </is>
      </c>
      <c r="B398" t="inlineStr">
        <is>
          <t>reported</t>
        </is>
      </c>
      <c r="C398" t="inlineStr">
        <is>
          <t>Biochar Applied - Soil Temperature (Cel)</t>
        </is>
      </c>
      <c r="D398" t="inlineStr">
        <is>
          <t>Biochar Applied - Soil Temperature (Cel)</t>
        </is>
      </c>
      <c r="E398" s="2" t="n">
        <v>284.05</v>
      </c>
      <c r="F398" t="n">
        <v>0</v>
      </c>
      <c r="G398" t="inlineStr">
        <is>
          <t>K</t>
        </is>
      </c>
      <c r="H398" t="n">
        <v>10.9</v>
      </c>
      <c r="I398" t="n">
        <v>0</v>
      </c>
      <c r="J398" t="inlineStr">
        <is>
          <t>°C</t>
        </is>
      </c>
      <c r="K398">
        <f>Source!A41</f>
        <v/>
      </c>
      <c r="L398" t="inlineStr">
        <is>
          <t>soil_temperature_chris_craig.csv</t>
        </is>
      </c>
      <c r="Q398" t="inlineStr">
        <is>
          <t>manual-charm-D3-252-soil</t>
        </is>
      </c>
    </row>
    <row r="399">
      <c r="A399" t="inlineStr">
        <is>
          <t>dtp_1KXKP71JQ1S0SDQM</t>
        </is>
      </c>
      <c r="B399" t="inlineStr">
        <is>
          <t>reported</t>
        </is>
      </c>
      <c r="C399" t="inlineStr">
        <is>
          <t>Biochar Output - Carbon Intensity - Applied</t>
        </is>
      </c>
      <c r="D399" t="inlineStr">
        <is>
          <t>PP252 production carbon intensity. Applied to 69.3 kg only — the residual of PP252's reported production (7,984 kg) still carrying an unallocated share of the finite PP252 production-emission pool after the other PP252 removals. The remaining 365.5 kg of this delivery is in excess of reported PP252 production and carries zero production emissions per the finite-pool allocation. See VVB Guidance — Charm Biochar Removals.</t>
        </is>
      </c>
      <c r="E399" s="2" t="n">
        <v>1.0351</v>
      </c>
      <c r="F399" t="n">
        <v>0</v>
      </c>
      <c r="G399" t="inlineStr"/>
      <c r="H399" t="n">
        <v>1.0351</v>
      </c>
      <c r="I399" t="n">
        <v>0</v>
      </c>
      <c r="J399" t="inlineStr">
        <is>
          <t>kgCO₂e/kg</t>
        </is>
      </c>
      <c r="K399">
        <f>Source!A38</f>
        <v/>
      </c>
      <c r="L399" t="inlineStr">
        <is>
          <t>Biochar CI Summary — All Production Periods.xlsx</t>
        </is>
      </c>
      <c r="M399">
        <f>Source!A33</f>
        <v/>
      </c>
      <c r="N399" t="inlineStr">
        <is>
          <t>5110270 Custom Biochar Reports.pdf</t>
        </is>
      </c>
      <c r="O399">
        <f>Source!A5</f>
        <v/>
      </c>
      <c r="P399" t="inlineStr">
        <is>
          <t>Production Period 3 Summary.xlsx</t>
        </is>
      </c>
      <c r="Q399" t="inlineStr">
        <is>
          <t>manual-charm-D3-252-prodci</t>
        </is>
      </c>
    </row>
    <row r="400">
      <c r="A400" t="inlineStr">
        <is>
          <t>dtp_1KXKP729Z1S08168</t>
        </is>
      </c>
      <c r="B400" t="inlineStr">
        <is>
          <t>reported</t>
        </is>
      </c>
      <c r="C400" t="inlineStr">
        <is>
          <t>Biochar Dry Product Weight (kg) (Pyrolysis) - Applied</t>
        </is>
      </c>
      <c r="D400" t="inlineStr">
        <is>
          <t>Residual PP252 reported production still carrying unallocated production emissions (see carbon intensity note).</t>
        </is>
      </c>
      <c r="E400" s="2" t="n">
        <v>434.77</v>
      </c>
      <c r="F400" t="n">
        <v>0</v>
      </c>
      <c r="G400" t="inlineStr">
        <is>
          <t>kg</t>
        </is>
      </c>
      <c r="H400" t="n">
        <v>434.77</v>
      </c>
      <c r="I400" t="n">
        <v>0</v>
      </c>
      <c r="J400" t="inlineStr">
        <is>
          <t>kg</t>
        </is>
      </c>
      <c r="K400">
        <f>Source!A5</f>
        <v/>
      </c>
      <c r="L400" t="inlineStr">
        <is>
          <t>Production Period 3 Summary.xlsx</t>
        </is>
      </c>
      <c r="M400">
        <f>Source!A44</f>
        <v/>
      </c>
      <c r="N400" t="inlineStr">
        <is>
          <t>Chris Craig 6.6.26 Scale Tickets.png</t>
        </is>
      </c>
      <c r="O400">
        <f>Source!A50</f>
        <v/>
      </c>
      <c r="P400" t="inlineStr">
        <is>
          <t>Chris Craig Delivery Notes.xlsx</t>
        </is>
      </c>
      <c r="Q400" t="inlineStr">
        <is>
          <t>manual-charm-D3-252-prodmass</t>
        </is>
      </c>
    </row>
    <row r="401">
      <c r="A401" t="inlineStr">
        <is>
          <t>dtp_1KXKP73JT1S0583G</t>
        </is>
      </c>
      <c r="B401" t="inlineStr">
        <is>
          <t>reported</t>
        </is>
      </c>
      <c r="C401" t="inlineStr">
        <is>
          <t>Emissions Factor - Biochar Spreading</t>
        </is>
      </c>
      <c r="D401" t="inlineStr">
        <is>
          <t>Emissions Factor - Biochar Spreading</t>
        </is>
      </c>
      <c r="E401" s="2" t="n">
        <v>0.004</v>
      </c>
      <c r="F401" t="n">
        <v>0</v>
      </c>
      <c r="G401" t="inlineStr"/>
      <c r="H401" t="n">
        <v>0.004</v>
      </c>
      <c r="I401" t="n">
        <v>0</v>
      </c>
      <c r="J401" t="inlineStr">
        <is>
          <t>kgCO₂e/kg</t>
        </is>
      </c>
      <c r="K401">
        <f>Source!A4</f>
        <v/>
      </c>
      <c r="L401" t="inlineStr">
        <is>
          <t>Biochar Offtake Calculations.xlsx</t>
        </is>
      </c>
      <c r="Q401" t="inlineStr">
        <is>
          <t>manual-charm-D3-252-spreadef</t>
        </is>
      </c>
    </row>
    <row r="402">
      <c r="A402" t="inlineStr">
        <is>
          <t>dtp_1KXKP74A11S0KVJ4</t>
        </is>
      </c>
      <c r="B402" t="inlineStr">
        <is>
          <t>reported</t>
        </is>
      </c>
      <c r="C402" t="inlineStr">
        <is>
          <t>Biochar Applied (wet mass) (Spreading) - Applied</t>
        </is>
      </c>
      <c r="D402" t="inlineStr">
        <is>
          <t>Biochar Applied (wet mass) (Spreading) - Applied</t>
        </is>
      </c>
      <c r="E402" s="2" t="n">
        <v>533.17</v>
      </c>
      <c r="F402" t="n">
        <v>0</v>
      </c>
      <c r="G402" t="inlineStr">
        <is>
          <t>kg</t>
        </is>
      </c>
      <c r="H402" t="n">
        <v>533.17</v>
      </c>
      <c r="I402" t="n">
        <v>0</v>
      </c>
      <c r="J402" t="inlineStr">
        <is>
          <t>kg</t>
        </is>
      </c>
      <c r="K402">
        <f>Source!A44</f>
        <v/>
      </c>
      <c r="L402" t="inlineStr">
        <is>
          <t>Chris Craig 6.6.26 Scale Tickets.png</t>
        </is>
      </c>
      <c r="M402">
        <f>Source!A50</f>
        <v/>
      </c>
      <c r="N402" t="inlineStr">
        <is>
          <t>Chris Craig Delivery Notes.xlsx</t>
        </is>
      </c>
      <c r="O402">
        <f>Source!A5</f>
        <v/>
      </c>
      <c r="P402" t="inlineStr">
        <is>
          <t>Production Period 3 Summary.xlsx</t>
        </is>
      </c>
      <c r="Q402" t="inlineStr">
        <is>
          <t>manual-charm-D3-252-spreadmass</t>
        </is>
      </c>
    </row>
    <row r="403">
      <c r="A403" t="inlineStr">
        <is>
          <t>dtp_1KXKP74RP1S0H2FC</t>
        </is>
      </c>
      <c r="B403" t="inlineStr">
        <is>
          <t>reported</t>
        </is>
      </c>
      <c r="C403" t="inlineStr">
        <is>
          <t>Copy - Truck EF</t>
        </is>
      </c>
      <c r="D403" t="inlineStr">
        <is>
          <t>Copy - Truck EF</t>
        </is>
      </c>
      <c r="E403" s="2" t="n">
        <v>8.599777300564702e-08</v>
      </c>
      <c r="F403" t="n">
        <v>0</v>
      </c>
      <c r="G403" t="inlineStr">
        <is>
          <t>1/m</t>
        </is>
      </c>
      <c r="H403" t="n">
        <v>0.1384</v>
      </c>
      <c r="I403" t="n">
        <v>0</v>
      </c>
      <c r="J403" t="inlineStr">
        <is>
          <t>kgCO₂e/(t⋅mi)</t>
        </is>
      </c>
      <c r="K403">
        <f>Source!A17</f>
        <v/>
      </c>
      <c r="L403" t="inlineStr">
        <is>
          <t>Standard Emission Factors + Calculations (8).xlsx</t>
        </is>
      </c>
      <c r="Q403" t="inlineStr">
        <is>
          <t>manual-charm-D3-252-procef</t>
        </is>
      </c>
    </row>
    <row r="404">
      <c r="A404" t="inlineStr">
        <is>
          <t>dtp_1KXKP75FW1S0ZNY0</t>
        </is>
      </c>
      <c r="B404" t="inlineStr">
        <is>
          <t>reported</t>
        </is>
      </c>
      <c r="C404" t="inlineStr">
        <is>
          <t>Biochar Applied - Delivery Distance (km)</t>
        </is>
      </c>
      <c r="D404" t="inlineStr">
        <is>
          <t>Biochar Applied - Delivery Distance (km)</t>
        </is>
      </c>
      <c r="E404" s="2" t="n">
        <v>278416.51</v>
      </c>
      <c r="F404" t="n">
        <v>0</v>
      </c>
      <c r="G404" t="inlineStr">
        <is>
          <t>m</t>
        </is>
      </c>
      <c r="H404" t="n">
        <v>278.41651</v>
      </c>
      <c r="I404" t="n">
        <v>0</v>
      </c>
      <c r="J404" t="inlineStr">
        <is>
          <t>km</t>
        </is>
      </c>
      <c r="K404">
        <f>Source!A18</f>
        <v/>
      </c>
      <c r="L404" t="inlineStr">
        <is>
          <t>CO to Chris Craig Distance (1).png</t>
        </is>
      </c>
      <c r="Q404" t="inlineStr">
        <is>
          <t>manual-charm-D3-252-procdist</t>
        </is>
      </c>
    </row>
    <row r="405">
      <c r="A405" t="inlineStr">
        <is>
          <t>dtp_1KXKP767C1S0E9CM</t>
        </is>
      </c>
      <c r="B405" t="inlineStr">
        <is>
          <t>reported</t>
        </is>
      </c>
      <c r="C405" t="inlineStr">
        <is>
          <t>Biochar Transported (kg) - Applied</t>
        </is>
      </c>
      <c r="D405" t="inlineStr">
        <is>
          <t>Biochar Transported (kg) - Applied</t>
        </is>
      </c>
      <c r="E405" s="2" t="n">
        <v>557.2701714</v>
      </c>
      <c r="F405" t="n">
        <v>0</v>
      </c>
      <c r="G405" t="inlineStr">
        <is>
          <t>kg</t>
        </is>
      </c>
      <c r="H405" t="n">
        <v>557.2701714</v>
      </c>
      <c r="I405" t="n">
        <v>0</v>
      </c>
      <c r="J405" t="inlineStr">
        <is>
          <t>kg</t>
        </is>
      </c>
      <c r="K405">
        <f>Source!A44</f>
        <v/>
      </c>
      <c r="L405" t="inlineStr">
        <is>
          <t>Chris Craig 6.6.26 Scale Tickets.png</t>
        </is>
      </c>
      <c r="M405">
        <f>Source!A50</f>
        <v/>
      </c>
      <c r="N405" t="inlineStr">
        <is>
          <t>Chris Craig Delivery Notes.xlsx</t>
        </is>
      </c>
      <c r="O405">
        <f>Source!A5</f>
        <v/>
      </c>
      <c r="P405" t="inlineStr">
        <is>
          <t>Production Period 3 Summary.xlsx</t>
        </is>
      </c>
      <c r="Q405" t="inlineStr">
        <is>
          <t>manual-charm-D3-252-procmass</t>
        </is>
      </c>
    </row>
    <row r="406">
      <c r="A406" t="inlineStr">
        <is>
          <t>dtp_1KXKP76QH1S0BG9W</t>
        </is>
      </c>
      <c r="B406" t="inlineStr">
        <is>
          <t>reported</t>
        </is>
      </c>
      <c r="C406" t="inlineStr">
        <is>
          <t>Emissions Factor - Flatbed Truck Transport Embodied Emissions (2026, CO)</t>
        </is>
      </c>
      <c r="D406" t="inlineStr">
        <is>
          <t>Emissions Factor - Flatbed Truck Transport Embodied Emissions (2026, CO)</t>
        </is>
      </c>
      <c r="E406" s="2" t="n">
        <v>0.0001197949629</v>
      </c>
      <c r="F406" t="n">
        <v>0</v>
      </c>
      <c r="G406" t="inlineStr">
        <is>
          <t>kg/m</t>
        </is>
      </c>
      <c r="H406" t="n">
        <v>0.1197949629</v>
      </c>
      <c r="I406" t="n">
        <v>0</v>
      </c>
      <c r="J406" t="inlineStr">
        <is>
          <t>kgCO₂e/km</t>
        </is>
      </c>
      <c r="K406">
        <f>Source!A17</f>
        <v/>
      </c>
      <c r="L406" t="inlineStr">
        <is>
          <t>Standard Emission Factors + Calculations (8).xlsx</t>
        </is>
      </c>
      <c r="Q406" t="inlineStr">
        <is>
          <t>manual-charm-D3-252-embef</t>
        </is>
      </c>
    </row>
    <row r="407">
      <c r="A407" t="inlineStr">
        <is>
          <t>dtp_1KXKP77511S0T3RG</t>
        </is>
      </c>
      <c r="B407" t="inlineStr">
        <is>
          <t>reported</t>
        </is>
      </c>
      <c r="C407" t="inlineStr">
        <is>
          <t>Biochar Applied - Allocated Delivery Distance (km)</t>
        </is>
      </c>
      <c r="D407" t="inlineStr">
        <is>
          <t>Biochar Applied - Allocated Delivery Distance (km)</t>
        </is>
      </c>
      <c r="E407" s="2" t="n">
        <v>13257.929</v>
      </c>
      <c r="F407" t="n">
        <v>0</v>
      </c>
      <c r="G407" t="inlineStr">
        <is>
          <t>m</t>
        </is>
      </c>
      <c r="H407" t="n">
        <v>13.257929</v>
      </c>
      <c r="I407" t="n">
        <v>0</v>
      </c>
      <c r="J407" t="inlineStr">
        <is>
          <t>km</t>
        </is>
      </c>
      <c r="K407">
        <f>Source!A18</f>
        <v/>
      </c>
      <c r="L407" t="inlineStr">
        <is>
          <t>CO to Chris Craig Distance (1).png</t>
        </is>
      </c>
      <c r="Q407" t="inlineStr">
        <is>
          <t>manual-charm-D3-252-embdist</t>
        </is>
      </c>
    </row>
    <row r="408">
      <c r="A408" t="inlineStr">
        <is>
          <t>dtp_1KXKP77Q21S07A64</t>
        </is>
      </c>
      <c r="B408" t="inlineStr">
        <is>
          <t>reported</t>
        </is>
      </c>
      <c r="C408" t="inlineStr">
        <is>
          <t>Attribution factor</t>
        </is>
      </c>
      <c r="E408" s="2" t="n">
        <v>1</v>
      </c>
      <c r="F408" t="n">
        <v>0</v>
      </c>
      <c r="G408" t="inlineStr"/>
      <c r="H408" t="n">
        <v>1</v>
      </c>
      <c r="I408" t="n">
        <v>0</v>
      </c>
      <c r="J408" t="inlineStr"/>
    </row>
    <row r="409">
      <c r="A409" t="inlineStr">
        <is>
          <t>dtp_1KXKP77Q21S09JGD</t>
        </is>
      </c>
      <c r="B409" t="inlineStr">
        <is>
          <t>reported</t>
        </is>
      </c>
      <c r="C409" t="inlineStr">
        <is>
          <t>Attribution factor</t>
        </is>
      </c>
      <c r="E409" s="2" t="n">
        <v>1</v>
      </c>
      <c r="F409" t="n">
        <v>0</v>
      </c>
      <c r="G409" t="inlineStr"/>
      <c r="H409" t="n">
        <v>1</v>
      </c>
      <c r="I409" t="n">
        <v>0</v>
      </c>
      <c r="J409" t="inlineStr"/>
    </row>
    <row r="410">
      <c r="A410" t="inlineStr">
        <is>
          <t>dtp_1KXKP77Q21S0EKXE</t>
        </is>
      </c>
      <c r="B410" t="inlineStr">
        <is>
          <t>reported</t>
        </is>
      </c>
      <c r="C410" t="inlineStr">
        <is>
          <t>Attribution factor</t>
        </is>
      </c>
      <c r="E410" s="2" t="n">
        <v>1</v>
      </c>
      <c r="F410" t="n">
        <v>0</v>
      </c>
      <c r="G410" t="inlineStr"/>
      <c r="H410" t="n">
        <v>1</v>
      </c>
      <c r="I410" t="n">
        <v>0</v>
      </c>
      <c r="J410" t="inlineStr"/>
    </row>
    <row r="411">
      <c r="A411" t="inlineStr">
        <is>
          <t>dtp_1KXKP77Q21S0NXMR</t>
        </is>
      </c>
      <c r="B411" t="inlineStr">
        <is>
          <t>reported</t>
        </is>
      </c>
      <c r="C411" t="inlineStr">
        <is>
          <t>Attribution factor</t>
        </is>
      </c>
      <c r="E411" s="2" t="n">
        <v>1</v>
      </c>
      <c r="F411" t="n">
        <v>0</v>
      </c>
      <c r="G411" t="inlineStr"/>
      <c r="H411" t="n">
        <v>1</v>
      </c>
      <c r="I411" t="n">
        <v>0</v>
      </c>
      <c r="J411" t="inlineStr"/>
    </row>
    <row r="412">
      <c r="A412" t="inlineStr">
        <is>
          <t>dtp_1KXKP77Q21S0TZ1S</t>
        </is>
      </c>
      <c r="B412" t="inlineStr">
        <is>
          <t>reported</t>
        </is>
      </c>
      <c r="C412" t="inlineStr">
        <is>
          <t>Attribution factor</t>
        </is>
      </c>
      <c r="E412" s="2" t="n">
        <v>1</v>
      </c>
      <c r="F412" t="n">
        <v>0</v>
      </c>
      <c r="G412" t="inlineStr"/>
      <c r="H412" t="n">
        <v>1</v>
      </c>
      <c r="I412" t="n">
        <v>0</v>
      </c>
      <c r="J412" t="inlineStr"/>
    </row>
    <row r="413">
      <c r="A413" t="inlineStr">
        <is>
          <t>dtp_1KY02NWNA1S0MRGF</t>
        </is>
      </c>
      <c r="B413" t="inlineStr">
        <is>
          <t>derived</t>
        </is>
      </c>
      <c r="C413" t="inlineStr">
        <is>
          <t>Emissions Factor - Biochar Spreading</t>
        </is>
      </c>
      <c r="D413" t="inlineStr">
        <is>
          <t>Emissions Factor - Biochar Spreading</t>
        </is>
      </c>
      <c r="E413" s="2" t="n">
        <v>0.004</v>
      </c>
      <c r="F413" t="n">
        <v>0</v>
      </c>
      <c r="G413" t="inlineStr"/>
      <c r="H413" t="n">
        <v>0.004</v>
      </c>
      <c r="I413" t="n">
        <v>0</v>
      </c>
      <c r="J413" t="inlineStr">
        <is>
          <t>kgCO₂e/kg</t>
        </is>
      </c>
      <c r="K413">
        <f>Source!A4</f>
        <v/>
      </c>
      <c r="L413" t="inlineStr">
        <is>
          <t>Biochar Offtake Calculations.xlsx</t>
        </is>
      </c>
      <c r="Q413" t="inlineStr">
        <is>
          <t>mr_eeMHemNPA0zEAHzu-out_hf7qVV7KHcGk4thf-0</t>
        </is>
      </c>
    </row>
    <row r="414">
      <c r="A414" t="inlineStr">
        <is>
          <t>dtp_1KY02P17T1S0YAJ2</t>
        </is>
      </c>
      <c r="B414" t="inlineStr">
        <is>
          <t>reported</t>
        </is>
      </c>
      <c r="C414" t="inlineStr">
        <is>
          <t>Biochar Applied (wet mass) (Spreading) - Applied</t>
        </is>
      </c>
      <c r="D414" t="inlineStr">
        <is>
          <t>Biochar Applied (wet mass) (Spreading) - Applied</t>
        </is>
      </c>
      <c r="E414" s="2" t="n">
        <v>6351.39</v>
      </c>
      <c r="F414" t="n">
        <v>0</v>
      </c>
      <c r="G414" t="inlineStr">
        <is>
          <t>kg</t>
        </is>
      </c>
      <c r="H414" t="n">
        <v>6351.39</v>
      </c>
      <c r="I414" t="n">
        <v>0</v>
      </c>
      <c r="J414" t="inlineStr">
        <is>
          <t>kg</t>
        </is>
      </c>
      <c r="K414">
        <f>Source!A28</f>
        <v/>
      </c>
      <c r="L414" t="inlineStr">
        <is>
          <t>Production Period 8 Summary (1).xlsx</t>
        </is>
      </c>
      <c r="M414">
        <f>Source!A29</f>
        <v/>
      </c>
      <c r="N414" t="inlineStr">
        <is>
          <t>5110270 Custom Biochar Reports.pdf</t>
        </is>
      </c>
      <c r="O414">
        <f>Source!A46</f>
        <v/>
      </c>
      <c r="P414" t="inlineStr">
        <is>
          <t>20260121_Scale_Ticket.pdf</t>
        </is>
      </c>
      <c r="Q414" t="inlineStr">
        <is>
          <t>mr_eeMHemNPA0zEAHzu-out_0jBoYHtsohNZ8PAk-0</t>
        </is>
      </c>
    </row>
    <row r="415">
      <c r="A415" t="inlineStr">
        <is>
          <t>dtp_1KY02P2ST1S0F6AZ</t>
        </is>
      </c>
      <c r="B415" t="inlineStr">
        <is>
          <t>derived</t>
        </is>
      </c>
      <c r="C415" t="inlineStr">
        <is>
          <t>Biochar - H/C_org - Applied</t>
        </is>
      </c>
      <c r="D415" t="inlineStr">
        <is>
          <t>Biochar - H/C_org - Applied</t>
        </is>
      </c>
      <c r="E415" s="2" t="n">
        <v>0.3467</v>
      </c>
      <c r="F415" t="n">
        <v>0</v>
      </c>
      <c r="G415" t="inlineStr"/>
      <c r="H415" t="n">
        <v>0.3467</v>
      </c>
      <c r="I415" t="n">
        <v>0</v>
      </c>
      <c r="J415" t="inlineStr"/>
      <c r="K415">
        <f>Source!A30</f>
        <v/>
      </c>
      <c r="L415" t="inlineStr">
        <is>
          <t>5110270 Custom Biochar Reports.pdf</t>
        </is>
      </c>
      <c r="Q415" t="inlineStr">
        <is>
          <t>mr_xIUvkjrYAiG0zAc0-out_SlgcaWsappr9ZCL6-0</t>
        </is>
      </c>
    </row>
    <row r="416">
      <c r="A416" t="inlineStr">
        <is>
          <t>dtp_1KY02P3DD1S0XSSK</t>
        </is>
      </c>
      <c r="B416" t="inlineStr">
        <is>
          <t>derived</t>
        </is>
      </c>
      <c r="C416" t="inlineStr">
        <is>
          <t>Inorganic Carbon Content % - Applied</t>
        </is>
      </c>
      <c r="D416" t="inlineStr">
        <is>
          <t>Inorganic Carbon Content % - Applied</t>
        </is>
      </c>
      <c r="E416" s="2" t="n">
        <v>0.003333</v>
      </c>
      <c r="F416" t="n">
        <v>0</v>
      </c>
      <c r="G416" t="inlineStr"/>
      <c r="H416" t="n">
        <v>0.3333</v>
      </c>
      <c r="I416" t="n">
        <v>0</v>
      </c>
      <c r="J416" t="inlineStr">
        <is>
          <t>%</t>
        </is>
      </c>
      <c r="K416">
        <f>Source!A30</f>
        <v/>
      </c>
      <c r="L416" t="inlineStr">
        <is>
          <t>5110270 Custom Biochar Reports.pdf</t>
        </is>
      </c>
      <c r="Q416" t="inlineStr">
        <is>
          <t>mr_xIUvkjrYAiG0zAc0-out_RrRijQ8NSCwAInka-0</t>
        </is>
      </c>
    </row>
    <row r="417">
      <c r="A417" t="inlineStr">
        <is>
          <t>dtp_1KY02P45D1S053GX</t>
        </is>
      </c>
      <c r="B417" t="inlineStr">
        <is>
          <t>reported</t>
        </is>
      </c>
      <c r="C417" t="inlineStr">
        <is>
          <t>Biochar Dry Weight (kg) (CO2 stored) - Applied</t>
        </is>
      </c>
      <c r="D417" t="inlineStr">
        <is>
          <t>Biochar Dry Weight (kg) (CO2 stored) - Applied</t>
        </is>
      </c>
      <c r="E417" s="2" t="n">
        <v>4770.5267</v>
      </c>
      <c r="F417" t="n">
        <v>0</v>
      </c>
      <c r="G417" t="inlineStr">
        <is>
          <t>kg</t>
        </is>
      </c>
      <c r="H417" t="n">
        <v>4770.5267</v>
      </c>
      <c r="I417" t="n">
        <v>0</v>
      </c>
      <c r="J417" t="inlineStr">
        <is>
          <t>kg</t>
        </is>
      </c>
      <c r="K417">
        <f>Source!A28</f>
        <v/>
      </c>
      <c r="L417" t="inlineStr">
        <is>
          <t>Production Period 8 Summary (1).xlsx</t>
        </is>
      </c>
      <c r="M417">
        <f>Source!A29</f>
        <v/>
      </c>
      <c r="N417" t="inlineStr">
        <is>
          <t>5110270 Custom Biochar Reports.pdf</t>
        </is>
      </c>
      <c r="O417">
        <f>Source!A46</f>
        <v/>
      </c>
      <c r="P417" t="inlineStr">
        <is>
          <t>20260121_Scale_Ticket.pdf</t>
        </is>
      </c>
      <c r="Q417" t="inlineStr">
        <is>
          <t>mr_eeMHemNPA0zEAHzu-out_tHtEVo8cn1cKK0xD-0</t>
        </is>
      </c>
    </row>
    <row r="418">
      <c r="A418" t="inlineStr">
        <is>
          <t>dtp_1KY02P4QE1S02AE5</t>
        </is>
      </c>
      <c r="B418" t="inlineStr">
        <is>
          <t>derived</t>
        </is>
      </c>
      <c r="C418" t="inlineStr">
        <is>
          <t>Biochar Applied - Soil Temperature (Cel)</t>
        </is>
      </c>
      <c r="D418" t="inlineStr">
        <is>
          <t>Biochar Applied - Soil Temperature (Cel)</t>
        </is>
      </c>
      <c r="E418" s="2" t="n">
        <v>284.35</v>
      </c>
      <c r="F418" t="n">
        <v>0</v>
      </c>
      <c r="G418" t="inlineStr">
        <is>
          <t>K</t>
        </is>
      </c>
      <c r="H418" t="n">
        <v>11.2</v>
      </c>
      <c r="I418" t="n">
        <v>0</v>
      </c>
      <c r="J418" t="inlineStr">
        <is>
          <t>°C</t>
        </is>
      </c>
      <c r="K418">
        <f>Source!A39</f>
        <v/>
      </c>
      <c r="L418" t="inlineStr">
        <is>
          <t>soil_temperature_1785168873474.csv</t>
        </is>
      </c>
      <c r="Q418" t="inlineStr">
        <is>
          <t>mr_xIUvkjrYAiG0zAc0-out_WFEo3VxmWt0N3Yhc-0</t>
        </is>
      </c>
    </row>
    <row r="419">
      <c r="A419" t="inlineStr">
        <is>
          <t>dtp_1KY02P57K1S09M5F</t>
        </is>
      </c>
      <c r="B419" t="inlineStr">
        <is>
          <t>derived</t>
        </is>
      </c>
      <c r="C419" t="inlineStr">
        <is>
          <t>Organic Carbon Content % - Applied</t>
        </is>
      </c>
      <c r="D419" t="inlineStr">
        <is>
          <t>Organic Carbon Content % - Applied</t>
        </is>
      </c>
      <c r="E419" s="2" t="n">
        <v>0.8743340000000001</v>
      </c>
      <c r="F419" t="n">
        <v>0</v>
      </c>
      <c r="G419" t="inlineStr"/>
      <c r="H419" t="n">
        <v>87.43340000000001</v>
      </c>
      <c r="I419" t="n">
        <v>0</v>
      </c>
      <c r="J419" t="inlineStr">
        <is>
          <t>%</t>
        </is>
      </c>
      <c r="K419">
        <f>Source!A30</f>
        <v/>
      </c>
      <c r="L419" t="inlineStr">
        <is>
          <t>5110270 Custom Biochar Reports.pdf</t>
        </is>
      </c>
      <c r="Q419" t="inlineStr">
        <is>
          <t>mr_eeMHemNPA0zEAHzu-out_ye14SNxRG8b285JB-0</t>
        </is>
      </c>
    </row>
    <row r="420">
      <c r="A420" t="inlineStr">
        <is>
          <t>dtp_1KY02P7C61S093D0</t>
        </is>
      </c>
      <c r="B420" t="inlineStr">
        <is>
          <t>derived</t>
        </is>
      </c>
      <c r="C420" t="inlineStr">
        <is>
          <t>Copy - Truck EF</t>
        </is>
      </c>
      <c r="D420" t="inlineStr">
        <is>
          <t>Copy - Truck EF</t>
        </is>
      </c>
      <c r="E420" s="2" t="n">
        <v>8.398204485802911e-08</v>
      </c>
      <c r="F420" t="n">
        <v>0</v>
      </c>
      <c r="G420" t="inlineStr">
        <is>
          <t>1/m</t>
        </is>
      </c>
      <c r="H420" t="n">
        <v>0.135156</v>
      </c>
      <c r="I420" t="n">
        <v>0</v>
      </c>
      <c r="J420" t="inlineStr">
        <is>
          <t>kgCO₂e/(t⋅mi)</t>
        </is>
      </c>
      <c r="K420">
        <f>Source!A17</f>
        <v/>
      </c>
      <c r="L420" t="inlineStr">
        <is>
          <t>Standard Emission Factors + Calculations (8).xlsx</t>
        </is>
      </c>
      <c r="Q420" t="inlineStr">
        <is>
          <t>mr_eeMHemNPA0zEAHzu-out_kz09qsYg6N3uHg55-0</t>
        </is>
      </c>
    </row>
    <row r="421">
      <c r="A421" t="inlineStr">
        <is>
          <t>dtp_1KY02P9XX1S0BBQ9</t>
        </is>
      </c>
      <c r="B421" t="inlineStr">
        <is>
          <t>derived</t>
        </is>
      </c>
      <c r="C421" t="inlineStr">
        <is>
          <t>Biochar Applied - Delivery Distance (km)</t>
        </is>
      </c>
      <c r="D421" t="inlineStr">
        <is>
          <t>Delivery distance 196 mi (Google Maps, longest route via I-70, Fort Lupton CO -&gt; Brenner Farms Burlington CO). 196 mi x 1.609344 = 315.431 km.</t>
        </is>
      </c>
      <c r="E421" s="2" t="n">
        <v>315431.424</v>
      </c>
      <c r="F421" t="n">
        <v>0</v>
      </c>
      <c r="G421" t="inlineStr">
        <is>
          <t>m</t>
        </is>
      </c>
      <c r="H421" t="n">
        <v>315.431424</v>
      </c>
      <c r="I421" t="n">
        <v>0</v>
      </c>
      <c r="J421" t="inlineStr">
        <is>
          <t>km</t>
        </is>
      </c>
      <c r="K421">
        <f>Source!A40</f>
        <v/>
      </c>
      <c r="L421" t="inlineStr">
        <is>
          <t>Charm To Brenner Farms Distance (Google Maps, 196mi via I-70).png</t>
        </is>
      </c>
      <c r="Q421" t="inlineStr">
        <is>
          <t>mr_eeMHemNPA0zEAHzu-out_mh2j8s9fAROxQE7o-0</t>
        </is>
      </c>
    </row>
    <row r="422">
      <c r="A422" t="inlineStr">
        <is>
          <t>dtp_1KY02PAS61S0SZ5X</t>
        </is>
      </c>
      <c r="B422" t="inlineStr">
        <is>
          <t>derived</t>
        </is>
      </c>
      <c r="C422" t="inlineStr">
        <is>
          <t>Biochar Transported (kg) - Applied</t>
        </is>
      </c>
      <c r="D422" t="inlineStr">
        <is>
          <t>Biochar Transported (kg) - Applied</t>
        </is>
      </c>
      <c r="E422" s="2" t="n">
        <v>6640.58688</v>
      </c>
      <c r="F422" t="n">
        <v>0</v>
      </c>
      <c r="G422" t="inlineStr">
        <is>
          <t>kg</t>
        </is>
      </c>
      <c r="H422" t="n">
        <v>6640.58688</v>
      </c>
      <c r="I422" t="n">
        <v>0</v>
      </c>
      <c r="J422" t="inlineStr">
        <is>
          <t>kg</t>
        </is>
      </c>
      <c r="K422">
        <f>Source!A29</f>
        <v/>
      </c>
      <c r="L422" t="inlineStr">
        <is>
          <t>5110270 Custom Biochar Reports.pdf</t>
        </is>
      </c>
      <c r="M422">
        <f>Source!A28</f>
        <v/>
      </c>
      <c r="N422" t="inlineStr">
        <is>
          <t>Production Period 8 Summary (1).xlsx</t>
        </is>
      </c>
      <c r="O422">
        <f>Source!A46</f>
        <v/>
      </c>
      <c r="P422" t="inlineStr">
        <is>
          <t>20260121_Scale_Ticket.pdf</t>
        </is>
      </c>
      <c r="Q422" t="inlineStr">
        <is>
          <t>mr_eeMHemNPA0zEAHzu-out_sVIPjpDBrGPnpupv-0</t>
        </is>
      </c>
    </row>
    <row r="423">
      <c r="A423" t="inlineStr">
        <is>
          <t>dtp_1KY02PB2F1S0Q635</t>
        </is>
      </c>
      <c r="B423" t="inlineStr">
        <is>
          <t>derived</t>
        </is>
      </c>
      <c r="C423" t="inlineStr">
        <is>
          <t>Emissions Factor - Flatbed Truck Transport Embodied Emissions (2025, CO)</t>
        </is>
      </c>
      <c r="D423" t="inlineStr">
        <is>
          <t>Emissions Factor - Flatbed Truck Transport Embodied Emissions (2025, CO)</t>
        </is>
      </c>
      <c r="E423" s="2" t="n">
        <v>4.01e-05</v>
      </c>
      <c r="F423" t="n">
        <v>0</v>
      </c>
      <c r="G423" t="inlineStr">
        <is>
          <t>kg/m</t>
        </is>
      </c>
      <c r="H423" t="n">
        <v>0.0401</v>
      </c>
      <c r="I423" t="n">
        <v>0</v>
      </c>
      <c r="J423" t="inlineStr">
        <is>
          <t>kgCO₂e/km</t>
        </is>
      </c>
      <c r="K423">
        <f>Source!A17</f>
        <v/>
      </c>
      <c r="L423" t="inlineStr">
        <is>
          <t>Standard Emission Factors + Calculations (8).xlsx</t>
        </is>
      </c>
      <c r="Q423" t="inlineStr">
        <is>
          <t>mr_eeMHemNPA0zEAHzu-out_mh5OWJEQ9TzkSjax-0</t>
        </is>
      </c>
    </row>
    <row r="424">
      <c r="A424" t="inlineStr">
        <is>
          <t>dtp_1KY02PBQW1S0YFTF</t>
        </is>
      </c>
      <c r="B424" t="inlineStr">
        <is>
          <t>derived</t>
        </is>
      </c>
      <c r="C424" t="inlineStr">
        <is>
          <t>Biochar Applied - Allocated Delivery Distance (km)</t>
        </is>
      </c>
      <c r="D424" t="inlineStr">
        <is>
          <t>Delivery distance 196 mi (Google Maps, longest route via I-70, Fort Lupton CO -&gt; Brenner Farms Burlington CO). 196 mi x 1.609344 = 315.431 km.</t>
        </is>
      </c>
      <c r="E424" s="2" t="n">
        <v>151407.1</v>
      </c>
      <c r="F424" t="n">
        <v>0</v>
      </c>
      <c r="G424" t="inlineStr">
        <is>
          <t>m</t>
        </is>
      </c>
      <c r="H424" t="n">
        <v>151.4071</v>
      </c>
      <c r="I424" t="n">
        <v>0</v>
      </c>
      <c r="J424" t="inlineStr">
        <is>
          <t>km</t>
        </is>
      </c>
      <c r="K424">
        <f>Source!A40</f>
        <v/>
      </c>
      <c r="L424" t="inlineStr">
        <is>
          <t>Charm To Brenner Farms Distance (Google Maps, 196mi via I-70).png</t>
        </is>
      </c>
      <c r="Q424" t="inlineStr">
        <is>
          <t>mr_eeMHemNPA0zEAHzu-out_hfoA89qbvT5XX9zd-0</t>
        </is>
      </c>
    </row>
    <row r="425">
      <c r="A425" t="inlineStr">
        <is>
          <t>dtp_1KY02PC6H1S09DXT</t>
        </is>
      </c>
      <c r="B425" t="inlineStr">
        <is>
          <t>reported</t>
        </is>
      </c>
      <c r="C425" t="inlineStr">
        <is>
          <t>Attribution factor</t>
        </is>
      </c>
      <c r="E425" s="2" t="n">
        <v>1</v>
      </c>
      <c r="F425" t="n">
        <v>0</v>
      </c>
      <c r="G425" t="inlineStr"/>
      <c r="H425" t="n">
        <v>1</v>
      </c>
      <c r="I425" t="n">
        <v>0</v>
      </c>
      <c r="J425" t="inlineStr"/>
    </row>
    <row r="426">
      <c r="A426" t="inlineStr">
        <is>
          <t>dtp_1KY02PC6H1S0BP83</t>
        </is>
      </c>
      <c r="B426" t="inlineStr">
        <is>
          <t>reported</t>
        </is>
      </c>
      <c r="C426" t="inlineStr">
        <is>
          <t>Attribution factor</t>
        </is>
      </c>
      <c r="E426" s="2" t="n">
        <v>1</v>
      </c>
      <c r="F426" t="n">
        <v>0</v>
      </c>
      <c r="G426" t="inlineStr"/>
      <c r="H426" t="n">
        <v>1</v>
      </c>
      <c r="I426" t="n">
        <v>0</v>
      </c>
      <c r="J426" t="inlineStr"/>
    </row>
    <row r="427">
      <c r="A427" t="inlineStr">
        <is>
          <t>dtp_1KY02PC6H1S0GQN4</t>
        </is>
      </c>
      <c r="B427" t="inlineStr">
        <is>
          <t>reported</t>
        </is>
      </c>
      <c r="C427" t="inlineStr">
        <is>
          <t>Attribution factor</t>
        </is>
      </c>
      <c r="E427" s="2" t="n">
        <v>1</v>
      </c>
      <c r="F427" t="n">
        <v>0</v>
      </c>
      <c r="G427" t="inlineStr"/>
      <c r="H427" t="n">
        <v>1</v>
      </c>
      <c r="I427" t="n">
        <v>0</v>
      </c>
      <c r="J427" t="inlineStr"/>
    </row>
    <row r="428">
      <c r="A428" t="inlineStr">
        <is>
          <t>dtp_1KY02PC6H1S0X2SF</t>
        </is>
      </c>
      <c r="B428" t="inlineStr">
        <is>
          <t>reported</t>
        </is>
      </c>
      <c r="C428" t="inlineStr">
        <is>
          <t>Attribution factor</t>
        </is>
      </c>
      <c r="E428" s="2" t="n">
        <v>1</v>
      </c>
      <c r="F428" t="n">
        <v>0</v>
      </c>
      <c r="G428" t="inlineStr"/>
      <c r="H428" t="n">
        <v>1</v>
      </c>
      <c r="I428" t="n">
        <v>0</v>
      </c>
      <c r="J428" t="inlineStr"/>
    </row>
    <row r="429">
      <c r="A429" t="inlineStr">
        <is>
          <t>dtp_1KY02PG181S0NDJ3</t>
        </is>
      </c>
      <c r="B429" t="inlineStr">
        <is>
          <t>derived</t>
        </is>
      </c>
      <c r="C429" t="inlineStr">
        <is>
          <t>Emissions Factor - Biochar Spreading</t>
        </is>
      </c>
      <c r="D429" t="inlineStr">
        <is>
          <t>Emissions Factor - Biochar Spreading</t>
        </is>
      </c>
      <c r="E429" s="2" t="n">
        <v>0.004</v>
      </c>
      <c r="F429" t="n">
        <v>0</v>
      </c>
      <c r="G429" t="inlineStr"/>
      <c r="H429" t="n">
        <v>0.004</v>
      </c>
      <c r="I429" t="n">
        <v>0</v>
      </c>
      <c r="J429" t="inlineStr">
        <is>
          <t>kgCO₂e/kg</t>
        </is>
      </c>
      <c r="K429">
        <f>Source!A4</f>
        <v/>
      </c>
      <c r="L429" t="inlineStr">
        <is>
          <t>Biochar Offtake Calculations.xlsx</t>
        </is>
      </c>
      <c r="Q429" t="inlineStr">
        <is>
          <t>mr_ISR3cIAoEtTVDrcW-out_hf7qVV7KHcGk4thf-0</t>
        </is>
      </c>
    </row>
    <row r="430">
      <c r="A430" t="inlineStr">
        <is>
          <t>dtp_1KY02PMBG1S0YZKP</t>
        </is>
      </c>
      <c r="B430" t="inlineStr">
        <is>
          <t>derived</t>
        </is>
      </c>
      <c r="C430" t="inlineStr">
        <is>
          <t>Biochar Applied (wet mass) (Spreading) - Applied</t>
        </is>
      </c>
      <c r="D430" t="inlineStr">
        <is>
          <t>Biochar Applied (wet mass) (Spreading) - Applied</t>
        </is>
      </c>
      <c r="E430" s="2" t="n">
        <v>2381.77</v>
      </c>
      <c r="F430" t="n">
        <v>0</v>
      </c>
      <c r="G430" t="inlineStr">
        <is>
          <t>kg</t>
        </is>
      </c>
      <c r="H430" t="n">
        <v>2381.77</v>
      </c>
      <c r="I430" t="n">
        <v>0</v>
      </c>
      <c r="J430" t="inlineStr">
        <is>
          <t>kg</t>
        </is>
      </c>
      <c r="K430">
        <f>Source!A32</f>
        <v/>
      </c>
      <c r="L430" t="inlineStr">
        <is>
          <t>5110270 Custom Biochar Reports.pdf</t>
        </is>
      </c>
      <c r="M430">
        <f>Source!A31</f>
        <v/>
      </c>
      <c r="N430" t="inlineStr">
        <is>
          <t>August 2025 Production Period Summary (1).xlsx</t>
        </is>
      </c>
      <c r="O430">
        <f>Source!A46</f>
        <v/>
      </c>
      <c r="P430" t="inlineStr">
        <is>
          <t>20260121_Scale_Ticket.pdf</t>
        </is>
      </c>
      <c r="Q430" t="inlineStr">
        <is>
          <t>mr_ISR3cIAoEtTVDrcW-out_0jBoYHtsohNZ8PAk-0</t>
        </is>
      </c>
    </row>
    <row r="431">
      <c r="A431" t="inlineStr">
        <is>
          <t>dtp_1KY02PP091S0FVCK</t>
        </is>
      </c>
      <c r="B431" t="inlineStr">
        <is>
          <t>derived</t>
        </is>
      </c>
      <c r="C431" t="inlineStr">
        <is>
          <t>Biochar - H/C_org - Applied</t>
        </is>
      </c>
      <c r="D431" t="inlineStr">
        <is>
          <t>Biochar - H/C_org - Applied</t>
        </is>
      </c>
      <c r="E431" s="2" t="n">
        <v>0.32</v>
      </c>
      <c r="F431" t="n">
        <v>0</v>
      </c>
      <c r="G431" t="inlineStr"/>
      <c r="H431" t="n">
        <v>0.32</v>
      </c>
      <c r="I431" t="n">
        <v>0</v>
      </c>
      <c r="J431" t="inlineStr"/>
      <c r="K431">
        <f>Source!A33</f>
        <v/>
      </c>
      <c r="L431" t="inlineStr">
        <is>
          <t>5110270 Custom Biochar Reports.pdf</t>
        </is>
      </c>
      <c r="Q431" t="inlineStr">
        <is>
          <t>mr_EMQph26Gc3e6wHhZ-out_SlgcaWsappr9ZCL6-0</t>
        </is>
      </c>
    </row>
    <row r="432">
      <c r="A432" t="inlineStr">
        <is>
          <t>dtp_1KY02PPKA1S0YEV7</t>
        </is>
      </c>
      <c r="B432" t="inlineStr">
        <is>
          <t>derived</t>
        </is>
      </c>
      <c r="C432" t="inlineStr">
        <is>
          <t>Inorganic Carbon Content % - Applied</t>
        </is>
      </c>
      <c r="D432" t="inlineStr">
        <is>
          <t>Inorganic Carbon Content % - Applied</t>
        </is>
      </c>
      <c r="E432" s="2" t="n">
        <v>0.004333</v>
      </c>
      <c r="F432" t="n">
        <v>0</v>
      </c>
      <c r="G432" t="inlineStr"/>
      <c r="H432" t="n">
        <v>0.4333</v>
      </c>
      <c r="I432" t="n">
        <v>0</v>
      </c>
      <c r="J432" t="inlineStr">
        <is>
          <t>%</t>
        </is>
      </c>
      <c r="K432">
        <f>Source!A33</f>
        <v/>
      </c>
      <c r="L432" t="inlineStr">
        <is>
          <t>5110270 Custom Biochar Reports.pdf</t>
        </is>
      </c>
      <c r="Q432" t="inlineStr">
        <is>
          <t>mr_EMQph26Gc3e6wHhZ-out_RrRijQ8NSCwAInka-0</t>
        </is>
      </c>
    </row>
    <row r="433">
      <c r="A433" t="inlineStr">
        <is>
          <t>dtp_1KY02PR4R1S0SDE6</t>
        </is>
      </c>
      <c r="B433" t="inlineStr">
        <is>
          <t>derived</t>
        </is>
      </c>
      <c r="C433" t="inlineStr">
        <is>
          <t>Biochar Dry Weight (kg) (CO2 stored) - Applied</t>
        </is>
      </c>
      <c r="D433" t="inlineStr">
        <is>
          <t>Biochar Dry Weight (kg) (CO2 stored) - Applied</t>
        </is>
      </c>
      <c r="E433" s="2" t="n">
        <v>763.3692</v>
      </c>
      <c r="F433" t="n">
        <v>0</v>
      </c>
      <c r="G433" t="inlineStr">
        <is>
          <t>kg</t>
        </is>
      </c>
      <c r="H433" t="n">
        <v>763.3692</v>
      </c>
      <c r="I433" t="n">
        <v>0</v>
      </c>
      <c r="J433" t="inlineStr">
        <is>
          <t>kg</t>
        </is>
      </c>
      <c r="K433">
        <f>Source!A32</f>
        <v/>
      </c>
      <c r="L433" t="inlineStr">
        <is>
          <t>5110270 Custom Biochar Reports.pdf</t>
        </is>
      </c>
      <c r="M433">
        <f>Source!A31</f>
        <v/>
      </c>
      <c r="N433" t="inlineStr">
        <is>
          <t>August 2025 Production Period Summary (1).xlsx</t>
        </is>
      </c>
      <c r="O433">
        <f>Source!A46</f>
        <v/>
      </c>
      <c r="P433" t="inlineStr">
        <is>
          <t>20260121_Scale_Ticket.pdf</t>
        </is>
      </c>
      <c r="Q433" t="inlineStr">
        <is>
          <t>mr_ISR3cIAoEtTVDrcW-out_tHtEVo8cn1cKK0xD-0</t>
        </is>
      </c>
    </row>
    <row r="434">
      <c r="A434" t="inlineStr">
        <is>
          <t>dtp_1KY02PRGY1S0XY2R</t>
        </is>
      </c>
      <c r="B434" t="inlineStr">
        <is>
          <t>derived</t>
        </is>
      </c>
      <c r="C434" t="inlineStr">
        <is>
          <t>Biochar Applied - Soil Temperature (Cel)</t>
        </is>
      </c>
      <c r="D434" t="inlineStr">
        <is>
          <t>Biochar Applied - Soil Temperature (Cel)</t>
        </is>
      </c>
      <c r="E434" s="2" t="n">
        <v>284.35</v>
      </c>
      <c r="F434" t="n">
        <v>0</v>
      </c>
      <c r="G434" t="inlineStr">
        <is>
          <t>K</t>
        </is>
      </c>
      <c r="H434" t="n">
        <v>11.2</v>
      </c>
      <c r="I434" t="n">
        <v>0</v>
      </c>
      <c r="J434" t="inlineStr">
        <is>
          <t>°C</t>
        </is>
      </c>
      <c r="K434">
        <f>Source!A39</f>
        <v/>
      </c>
      <c r="L434" t="inlineStr">
        <is>
          <t>soil_temperature_1785168873474.csv</t>
        </is>
      </c>
      <c r="Q434" t="inlineStr">
        <is>
          <t>mr_EMQph26Gc3e6wHhZ-out_WFEo3VxmWt0N3Yhc-0</t>
        </is>
      </c>
    </row>
    <row r="435">
      <c r="A435" t="inlineStr">
        <is>
          <t>dtp_1KY02PS2Z1S057T2</t>
        </is>
      </c>
      <c r="B435" t="inlineStr">
        <is>
          <t>derived</t>
        </is>
      </c>
      <c r="C435" t="inlineStr">
        <is>
          <t>Organic Carbon Content % - Applied</t>
        </is>
      </c>
      <c r="D435" t="inlineStr">
        <is>
          <t>Organic Carbon Content % - Applied</t>
        </is>
      </c>
      <c r="E435" s="2" t="n">
        <v>0.868</v>
      </c>
      <c r="F435" t="n">
        <v>0</v>
      </c>
      <c r="G435" t="inlineStr"/>
      <c r="H435" t="n">
        <v>86.8</v>
      </c>
      <c r="I435" t="n">
        <v>0</v>
      </c>
      <c r="J435" t="inlineStr">
        <is>
          <t>%</t>
        </is>
      </c>
      <c r="K435">
        <f>Source!A33</f>
        <v/>
      </c>
      <c r="L435" t="inlineStr">
        <is>
          <t>5110270 Custom Biochar Reports.pdf</t>
        </is>
      </c>
      <c r="Q435" t="inlineStr">
        <is>
          <t>mr_ISR3cIAoEtTVDrcW-out_ye14SNxRG8b285JB-0</t>
        </is>
      </c>
    </row>
    <row r="436">
      <c r="A436" t="inlineStr">
        <is>
          <t>dtp_1KY02PT5N1S0H25Y</t>
        </is>
      </c>
      <c r="B436" t="inlineStr">
        <is>
          <t>derived</t>
        </is>
      </c>
      <c r="C436" t="inlineStr">
        <is>
          <t>Copy - Truck EF</t>
        </is>
      </c>
      <c r="D436" t="inlineStr">
        <is>
          <t>Copy - Truck EF</t>
        </is>
      </c>
      <c r="E436" s="2" t="n">
        <v>8.398204485802911e-08</v>
      </c>
      <c r="F436" t="n">
        <v>0</v>
      </c>
      <c r="G436" t="inlineStr">
        <is>
          <t>1/m</t>
        </is>
      </c>
      <c r="H436" t="n">
        <v>0.135156</v>
      </c>
      <c r="I436" t="n">
        <v>0</v>
      </c>
      <c r="J436" t="inlineStr">
        <is>
          <t>kgCO₂e/(t⋅mi)</t>
        </is>
      </c>
      <c r="K436">
        <f>Source!A17</f>
        <v/>
      </c>
      <c r="L436" t="inlineStr">
        <is>
          <t>Standard Emission Factors + Calculations (8).xlsx</t>
        </is>
      </c>
      <c r="Q436" t="inlineStr">
        <is>
          <t>mr_ISR3cIAoEtTVDrcW-out_kz09qsYg6N3uHg55-0</t>
        </is>
      </c>
    </row>
    <row r="437">
      <c r="A437" t="inlineStr">
        <is>
          <t>dtp_1KY02PVW51S0KAG7</t>
        </is>
      </c>
      <c r="B437" t="inlineStr">
        <is>
          <t>derived</t>
        </is>
      </c>
      <c r="C437" t="inlineStr">
        <is>
          <t>Biochar Applied - Delivery Distance (km)</t>
        </is>
      </c>
      <c r="D437" t="inlineStr">
        <is>
          <t>Delivery distance 196 mi (Google Maps, longest route via I-70, Fort Lupton CO -&gt; Brenner Farms Burlington CO). 196 mi x 1.609344 = 315.431 km.</t>
        </is>
      </c>
      <c r="E437" s="2" t="n">
        <v>315431.424</v>
      </c>
      <c r="F437" t="n">
        <v>0</v>
      </c>
      <c r="G437" t="inlineStr">
        <is>
          <t>m</t>
        </is>
      </c>
      <c r="H437" t="n">
        <v>315.431424</v>
      </c>
      <c r="I437" t="n">
        <v>0</v>
      </c>
      <c r="J437" t="inlineStr">
        <is>
          <t>km</t>
        </is>
      </c>
      <c r="K437">
        <f>Source!A40</f>
        <v/>
      </c>
      <c r="L437" t="inlineStr">
        <is>
          <t>Charm To Brenner Farms Distance (Google Maps, 196mi via I-70).png</t>
        </is>
      </c>
      <c r="Q437" t="inlineStr">
        <is>
          <t>mr_ISR3cIAoEtTVDrcW-out_mh2j8s9fAROxQE7o-0</t>
        </is>
      </c>
    </row>
    <row r="438">
      <c r="A438" t="inlineStr">
        <is>
          <t>dtp_1KY02PWP31S01XYV</t>
        </is>
      </c>
      <c r="B438" t="inlineStr">
        <is>
          <t>derived</t>
        </is>
      </c>
      <c r="C438" t="inlineStr">
        <is>
          <t>Biochar Transported (kg) - Applied</t>
        </is>
      </c>
      <c r="D438" t="inlineStr">
        <is>
          <t>Biochar Transported (kg) - Applied</t>
        </is>
      </c>
      <c r="E438" s="2" t="n">
        <v>2490.22008</v>
      </c>
      <c r="F438" t="n">
        <v>0</v>
      </c>
      <c r="G438" t="inlineStr">
        <is>
          <t>kg</t>
        </is>
      </c>
      <c r="H438" t="n">
        <v>2490.22008</v>
      </c>
      <c r="I438" t="n">
        <v>0</v>
      </c>
      <c r="J438" t="inlineStr">
        <is>
          <t>kg</t>
        </is>
      </c>
      <c r="K438">
        <f>Source!A32</f>
        <v/>
      </c>
      <c r="L438" t="inlineStr">
        <is>
          <t>5110270 Custom Biochar Reports.pdf</t>
        </is>
      </c>
      <c r="M438">
        <f>Source!A31</f>
        <v/>
      </c>
      <c r="N438" t="inlineStr">
        <is>
          <t>August 2025 Production Period Summary (1).xlsx</t>
        </is>
      </c>
      <c r="O438">
        <f>Source!A46</f>
        <v/>
      </c>
      <c r="P438" t="inlineStr">
        <is>
          <t>20260121_Scale_Ticket.pdf</t>
        </is>
      </c>
      <c r="Q438" t="inlineStr">
        <is>
          <t>mr_ISR3cIAoEtTVDrcW-out_sVIPjpDBrGPnpupv-0</t>
        </is>
      </c>
    </row>
    <row r="439">
      <c r="A439" t="inlineStr">
        <is>
          <t>dtp_1KY02PX6Z1S0Z4W3</t>
        </is>
      </c>
      <c r="B439" t="inlineStr">
        <is>
          <t>derived</t>
        </is>
      </c>
      <c r="C439" t="inlineStr">
        <is>
          <t>Emissions Factor - Flatbed Truck Transport Embodied Emissions (2025, CO)</t>
        </is>
      </c>
      <c r="D439" t="inlineStr">
        <is>
          <t>Emissions Factor - Flatbed Truck Transport Embodied Emissions (2025, CO)</t>
        </is>
      </c>
      <c r="E439" s="2" t="n">
        <v>4.01e-05</v>
      </c>
      <c r="F439" t="n">
        <v>0</v>
      </c>
      <c r="G439" t="inlineStr">
        <is>
          <t>kg/m</t>
        </is>
      </c>
      <c r="H439" t="n">
        <v>0.0401</v>
      </c>
      <c r="I439" t="n">
        <v>0</v>
      </c>
      <c r="J439" t="inlineStr">
        <is>
          <t>kgCO₂e/km</t>
        </is>
      </c>
      <c r="K439">
        <f>Source!A17</f>
        <v/>
      </c>
      <c r="L439" t="inlineStr">
        <is>
          <t>Standard Emission Factors + Calculations (8).xlsx</t>
        </is>
      </c>
      <c r="Q439" t="inlineStr">
        <is>
          <t>mr_ISR3cIAoEtTVDrcW-out_mh5OWJEQ9TzkSjax-0</t>
        </is>
      </c>
    </row>
    <row r="440">
      <c r="A440" t="inlineStr">
        <is>
          <t>dtp_1KY02PXTC1S06EKD</t>
        </is>
      </c>
      <c r="B440" t="inlineStr">
        <is>
          <t>derived</t>
        </is>
      </c>
      <c r="C440" t="inlineStr">
        <is>
          <t>Biochar Applied - Allocated Delivery Distance (km)</t>
        </is>
      </c>
      <c r="D440" t="inlineStr">
        <is>
          <t>Delivery distance 196 mi (Google Maps, longest route via I-70, Fort Lupton CO -&gt; Brenner Farms Burlington CO). 196 mi x 1.609344 = 315.431 km.</t>
        </is>
      </c>
      <c r="E440" s="2" t="n">
        <v>56777.7</v>
      </c>
      <c r="F440" t="n">
        <v>0</v>
      </c>
      <c r="G440" t="inlineStr">
        <is>
          <t>m</t>
        </is>
      </c>
      <c r="H440" t="n">
        <v>56.7777</v>
      </c>
      <c r="I440" t="n">
        <v>0</v>
      </c>
      <c r="J440" t="inlineStr">
        <is>
          <t>km</t>
        </is>
      </c>
      <c r="K440">
        <f>Source!A40</f>
        <v/>
      </c>
      <c r="L440" t="inlineStr">
        <is>
          <t>Charm To Brenner Farms Distance (Google Maps, 196mi via I-70).png</t>
        </is>
      </c>
      <c r="Q440" t="inlineStr">
        <is>
          <t>mr_ISR3cIAoEtTVDrcW-out_hfoA89qbvT5XX9zd-0</t>
        </is>
      </c>
    </row>
    <row r="441">
      <c r="A441" t="inlineStr">
        <is>
          <t>dtp_1KY02PYB11S051JD</t>
        </is>
      </c>
      <c r="B441" t="inlineStr">
        <is>
          <t>reported</t>
        </is>
      </c>
      <c r="C441" t="inlineStr">
        <is>
          <t>Attribution factor</t>
        </is>
      </c>
      <c r="E441" s="2" t="n">
        <v>1</v>
      </c>
      <c r="F441" t="n">
        <v>0</v>
      </c>
      <c r="G441" t="inlineStr"/>
      <c r="H441" t="n">
        <v>1</v>
      </c>
      <c r="I441" t="n">
        <v>0</v>
      </c>
      <c r="J441" t="inlineStr"/>
    </row>
    <row r="442">
      <c r="A442" t="inlineStr">
        <is>
          <t>dtp_1KY02PYB11S0HCPR</t>
        </is>
      </c>
      <c r="B442" t="inlineStr">
        <is>
          <t>reported</t>
        </is>
      </c>
      <c r="C442" t="inlineStr">
        <is>
          <t>Attribution factor</t>
        </is>
      </c>
      <c r="E442" s="2" t="n">
        <v>1</v>
      </c>
      <c r="F442" t="n">
        <v>0</v>
      </c>
      <c r="G442" t="inlineStr"/>
      <c r="H442" t="n">
        <v>1</v>
      </c>
      <c r="I442" t="n">
        <v>0</v>
      </c>
      <c r="J442" t="inlineStr"/>
    </row>
    <row r="443">
      <c r="A443" t="inlineStr">
        <is>
          <t>dtp_1KY02PYB11S0KN11</t>
        </is>
      </c>
      <c r="B443" t="inlineStr">
        <is>
          <t>reported</t>
        </is>
      </c>
      <c r="C443" t="inlineStr">
        <is>
          <t>Attribution factor</t>
        </is>
      </c>
      <c r="E443" s="2" t="n">
        <v>1</v>
      </c>
      <c r="F443" t="n">
        <v>0</v>
      </c>
      <c r="G443" t="inlineStr"/>
      <c r="H443" t="n">
        <v>1</v>
      </c>
      <c r="I443" t="n">
        <v>0</v>
      </c>
      <c r="J443" t="inlineStr"/>
    </row>
    <row r="444">
      <c r="A444" t="inlineStr">
        <is>
          <t>dtp_1KY02PYB11S0RPE2</t>
        </is>
      </c>
      <c r="B444" t="inlineStr">
        <is>
          <t>reported</t>
        </is>
      </c>
      <c r="C444" t="inlineStr">
        <is>
          <t>Attribution factor</t>
        </is>
      </c>
      <c r="E444" s="2" t="n">
        <v>1</v>
      </c>
      <c r="F444" t="n">
        <v>0</v>
      </c>
      <c r="G444" t="inlineStr"/>
      <c r="H444" t="n">
        <v>1</v>
      </c>
      <c r="I444" t="n">
        <v>0</v>
      </c>
      <c r="J444" t="inlineStr"/>
    </row>
    <row r="445">
      <c r="A445" t="inlineStr">
        <is>
          <t>dtp_1KY38JYEC1S0BF9X</t>
        </is>
      </c>
      <c r="B445" t="inlineStr">
        <is>
          <t>derived</t>
        </is>
      </c>
      <c r="C445" t="inlineStr">
        <is>
          <t>Emissions Factor - Biochar Spreading</t>
        </is>
      </c>
      <c r="D445" t="inlineStr">
        <is>
          <t>Emissions Factor - Biochar Spreading</t>
        </is>
      </c>
      <c r="E445" s="2" t="n">
        <v>0.004</v>
      </c>
      <c r="F445" t="n">
        <v>0</v>
      </c>
      <c r="G445" t="inlineStr"/>
      <c r="H445" t="n">
        <v>0.004</v>
      </c>
      <c r="I445" t="n">
        <v>0</v>
      </c>
      <c r="J445" t="inlineStr">
        <is>
          <t>kgCO₂e/kg</t>
        </is>
      </c>
      <c r="K445">
        <f>Source!A4</f>
        <v/>
      </c>
      <c r="L445" t="inlineStr">
        <is>
          <t>Biochar Offtake Calculations.xlsx</t>
        </is>
      </c>
      <c r="Q445" t="inlineStr">
        <is>
          <t>mr_DbbbnX1AtYp142cA-out_hf7qVV7KHcGk4thf-0</t>
        </is>
      </c>
    </row>
    <row r="446">
      <c r="A446" t="inlineStr">
        <is>
          <t>dtp_1KY38K2E71S0N1BG</t>
        </is>
      </c>
      <c r="B446" t="inlineStr">
        <is>
          <t>derived</t>
        </is>
      </c>
      <c r="C446" t="inlineStr">
        <is>
          <t>Biochar Applied (wet mass) (Spreading) - Applied</t>
        </is>
      </c>
      <c r="D446" t="inlineStr">
        <is>
          <t>Biochar Applied (wet mass) (Spreading) - Applied</t>
        </is>
      </c>
      <c r="E446" s="2" t="n">
        <v>307.54</v>
      </c>
      <c r="F446" t="n">
        <v>0</v>
      </c>
      <c r="G446" t="inlineStr">
        <is>
          <t>kg</t>
        </is>
      </c>
      <c r="H446" t="n">
        <v>307.54</v>
      </c>
      <c r="I446" t="n">
        <v>0</v>
      </c>
      <c r="J446" t="inlineStr">
        <is>
          <t>kg</t>
        </is>
      </c>
      <c r="K446">
        <f>Source!A28</f>
        <v/>
      </c>
      <c r="L446" t="inlineStr">
        <is>
          <t>Production Period 8 Summary (1).xlsx</t>
        </is>
      </c>
      <c r="M446">
        <f>Source!A29</f>
        <v/>
      </c>
      <c r="N446" t="inlineStr">
        <is>
          <t>5110270 Custom Biochar Reports.pdf</t>
        </is>
      </c>
      <c r="O446">
        <f>Source!A45</f>
        <v/>
      </c>
      <c r="P446" t="inlineStr">
        <is>
          <t>March 20 Brenner Farms Scale Ticket.png</t>
        </is>
      </c>
      <c r="Q446" t="inlineStr">
        <is>
          <t>mr_DbbbnX1AtYp142cA-out_0jBoYHtsohNZ8PAk-0</t>
        </is>
      </c>
    </row>
    <row r="447">
      <c r="A447" t="inlineStr">
        <is>
          <t>dtp_1KY38K40X1S05X4D</t>
        </is>
      </c>
      <c r="B447" t="inlineStr">
        <is>
          <t>derived</t>
        </is>
      </c>
      <c r="C447" t="inlineStr">
        <is>
          <t>Biochar - H/C_org - Applied</t>
        </is>
      </c>
      <c r="D447" t="inlineStr">
        <is>
          <t>Biochar - H/C_org - Applied</t>
        </is>
      </c>
      <c r="E447" s="2" t="n">
        <v>0.3467</v>
      </c>
      <c r="F447" t="n">
        <v>0</v>
      </c>
      <c r="G447" t="inlineStr"/>
      <c r="H447" t="n">
        <v>0.3467</v>
      </c>
      <c r="I447" t="n">
        <v>0</v>
      </c>
      <c r="J447" t="inlineStr"/>
      <c r="K447">
        <f>Source!A30</f>
        <v/>
      </c>
      <c r="L447" t="inlineStr">
        <is>
          <t>5110270 Custom Biochar Reports.pdf</t>
        </is>
      </c>
      <c r="Q447" t="inlineStr">
        <is>
          <t>mr_xlEMqq29SkvUbNwL-out_SlgcaWsappr9ZCL6-0</t>
        </is>
      </c>
    </row>
    <row r="448">
      <c r="A448" t="inlineStr">
        <is>
          <t>dtp_1KY38K4GW1S0MGK1</t>
        </is>
      </c>
      <c r="B448" t="inlineStr">
        <is>
          <t>derived</t>
        </is>
      </c>
      <c r="C448" t="inlineStr">
        <is>
          <t>Inorganic Carbon Content % - Applied</t>
        </is>
      </c>
      <c r="D448" t="inlineStr">
        <is>
          <t>Inorganic Carbon Content % - Applied</t>
        </is>
      </c>
      <c r="E448" s="2" t="n">
        <v>0.003333</v>
      </c>
      <c r="F448" t="n">
        <v>0</v>
      </c>
      <c r="G448" t="inlineStr"/>
      <c r="H448" t="n">
        <v>0.3333</v>
      </c>
      <c r="I448" t="n">
        <v>0</v>
      </c>
      <c r="J448" t="inlineStr">
        <is>
          <t>%</t>
        </is>
      </c>
      <c r="K448">
        <f>Source!A30</f>
        <v/>
      </c>
      <c r="L448" t="inlineStr">
        <is>
          <t>5110270 Custom Biochar Reports.pdf</t>
        </is>
      </c>
      <c r="Q448" t="inlineStr">
        <is>
          <t>mr_xlEMqq29SkvUbNwL-out_RrRijQ8NSCwAInka-0</t>
        </is>
      </c>
    </row>
    <row r="449">
      <c r="A449" t="inlineStr">
        <is>
          <t>dtp_1KY38K5621S0VTAB</t>
        </is>
      </c>
      <c r="B449" t="inlineStr">
        <is>
          <t>derived</t>
        </is>
      </c>
      <c r="C449" t="inlineStr">
        <is>
          <t>Biochar Dry Weight (kg) (CO2 stored) - Applied</t>
        </is>
      </c>
      <c r="D449" t="inlineStr">
        <is>
          <t>Biochar Dry Weight (kg) (CO2 stored) - Applied</t>
        </is>
      </c>
      <c r="E449" s="2" t="n">
        <v>230.9918</v>
      </c>
      <c r="F449" t="n">
        <v>0</v>
      </c>
      <c r="G449" t="inlineStr">
        <is>
          <t>kg</t>
        </is>
      </c>
      <c r="H449" t="n">
        <v>230.9918</v>
      </c>
      <c r="I449" t="n">
        <v>0</v>
      </c>
      <c r="J449" t="inlineStr">
        <is>
          <t>kg</t>
        </is>
      </c>
      <c r="K449">
        <f>Source!A28</f>
        <v/>
      </c>
      <c r="L449" t="inlineStr">
        <is>
          <t>Production Period 8 Summary (1).xlsx</t>
        </is>
      </c>
      <c r="M449">
        <f>Source!A29</f>
        <v/>
      </c>
      <c r="N449" t="inlineStr">
        <is>
          <t>5110270 Custom Biochar Reports.pdf</t>
        </is>
      </c>
      <c r="O449">
        <f>Source!A45</f>
        <v/>
      </c>
      <c r="P449" t="inlineStr">
        <is>
          <t>March 20 Brenner Farms Scale Ticket.png</t>
        </is>
      </c>
      <c r="Q449" t="inlineStr">
        <is>
          <t>mr_DbbbnX1AtYp142cA-out_tHtEVo8cn1cKK0xD-0</t>
        </is>
      </c>
    </row>
    <row r="450">
      <c r="A450" t="inlineStr">
        <is>
          <t>dtp_1KY38K5QG1S0S17K</t>
        </is>
      </c>
      <c r="B450" t="inlineStr">
        <is>
          <t>derived</t>
        </is>
      </c>
      <c r="C450" t="inlineStr">
        <is>
          <t>Biochar Applied - Soil Temperature (Cel)</t>
        </is>
      </c>
      <c r="D450" t="inlineStr">
        <is>
          <t>Biochar Applied - Soil Temperature (Cel)</t>
        </is>
      </c>
      <c r="E450" s="2" t="n">
        <v>284.35</v>
      </c>
      <c r="F450" t="n">
        <v>0</v>
      </c>
      <c r="G450" t="inlineStr">
        <is>
          <t>K</t>
        </is>
      </c>
      <c r="H450" t="n">
        <v>11.2</v>
      </c>
      <c r="I450" t="n">
        <v>0</v>
      </c>
      <c r="J450" t="inlineStr">
        <is>
          <t>°C</t>
        </is>
      </c>
      <c r="K450">
        <f>Source!A39</f>
        <v/>
      </c>
      <c r="L450" t="inlineStr">
        <is>
          <t>soil_temperature_1785168873474.csv</t>
        </is>
      </c>
      <c r="Q450" t="inlineStr">
        <is>
          <t>mr_xlEMqq29SkvUbNwL-out_WFEo3VxmWt0N3Yhc-0</t>
        </is>
      </c>
    </row>
    <row r="451">
      <c r="A451" t="inlineStr">
        <is>
          <t>dtp_1KY38K66G1S00AYX</t>
        </is>
      </c>
      <c r="B451" t="inlineStr">
        <is>
          <t>derived</t>
        </is>
      </c>
      <c r="C451" t="inlineStr">
        <is>
          <t>Organic Carbon Content % - Applied</t>
        </is>
      </c>
      <c r="D451" t="inlineStr">
        <is>
          <t>Organic Carbon Content % - Applied</t>
        </is>
      </c>
      <c r="E451" s="2" t="n">
        <v>0.8743340000000001</v>
      </c>
      <c r="F451" t="n">
        <v>0</v>
      </c>
      <c r="G451" t="inlineStr"/>
      <c r="H451" t="n">
        <v>87.43340000000001</v>
      </c>
      <c r="I451" t="n">
        <v>0</v>
      </c>
      <c r="J451" t="inlineStr">
        <is>
          <t>%</t>
        </is>
      </c>
      <c r="K451">
        <f>Source!A30</f>
        <v/>
      </c>
      <c r="L451" t="inlineStr">
        <is>
          <t>5110270 Custom Biochar Reports.pdf</t>
        </is>
      </c>
      <c r="Q451" t="inlineStr">
        <is>
          <t>mr_DbbbnX1AtYp142cA-out_ye14SNxRG8b285JB-0</t>
        </is>
      </c>
    </row>
    <row r="452">
      <c r="A452" t="inlineStr">
        <is>
          <t>dtp_1KY38K9TT1S0ZT6E</t>
        </is>
      </c>
      <c r="B452" t="inlineStr">
        <is>
          <t>derived</t>
        </is>
      </c>
      <c r="C452" t="inlineStr">
        <is>
          <t>Copy - Truck EF</t>
        </is>
      </c>
      <c r="D452" t="inlineStr">
        <is>
          <t>Copy - Truck EF</t>
        </is>
      </c>
      <c r="E452" s="2" t="n">
        <v>8.599777300564702e-08</v>
      </c>
      <c r="F452" t="n">
        <v>0</v>
      </c>
      <c r="G452" t="inlineStr">
        <is>
          <t>1/m</t>
        </is>
      </c>
      <c r="H452" t="n">
        <v>0.1384</v>
      </c>
      <c r="I452" t="n">
        <v>0</v>
      </c>
      <c r="J452" t="inlineStr">
        <is>
          <t>kgCO₂e/(t⋅mi)</t>
        </is>
      </c>
      <c r="K452">
        <f>Source!A17</f>
        <v/>
      </c>
      <c r="L452" t="inlineStr">
        <is>
          <t>Standard Emission Factors + Calculations (8).xlsx</t>
        </is>
      </c>
      <c r="Q452" t="inlineStr">
        <is>
          <t>mr_DbbbnX1AtYp142cA-out_kz09qsYg6N3uHg55-0</t>
        </is>
      </c>
    </row>
    <row r="453">
      <c r="A453" t="inlineStr">
        <is>
          <t>dtp_1KY38KBTP1S022GQ</t>
        </is>
      </c>
      <c r="B453" t="inlineStr">
        <is>
          <t>derived</t>
        </is>
      </c>
      <c r="C453" t="inlineStr">
        <is>
          <t>Biochar Applied - Delivery Distance (km)</t>
        </is>
      </c>
      <c r="D453" t="inlineStr">
        <is>
          <t>Delivery distance 196 mi (Google Maps, longest route via I-70, Fort Lupton CO -&gt; Brenner Farms Burlington CO). 196 mi x 1.609344 = 315.431 km.</t>
        </is>
      </c>
      <c r="E453" s="2" t="n">
        <v>315431.424</v>
      </c>
      <c r="F453" t="n">
        <v>0</v>
      </c>
      <c r="G453" t="inlineStr">
        <is>
          <t>m</t>
        </is>
      </c>
      <c r="H453" t="n">
        <v>315.431424</v>
      </c>
      <c r="I453" t="n">
        <v>0</v>
      </c>
      <c r="J453" t="inlineStr">
        <is>
          <t>km</t>
        </is>
      </c>
      <c r="K453">
        <f>Source!A40</f>
        <v/>
      </c>
      <c r="L453" t="inlineStr">
        <is>
          <t>Charm To Brenner Farms Distance (Google Maps, 196mi via I-70).png</t>
        </is>
      </c>
      <c r="Q453" t="inlineStr">
        <is>
          <t>mr_DbbbnX1AtYp142cA-out_mh2j8s9fAROxQE7o-0</t>
        </is>
      </c>
    </row>
    <row r="454">
      <c r="A454" t="inlineStr">
        <is>
          <t>dtp_1KY38KCFP1S0GNZB</t>
        </is>
      </c>
      <c r="B454" t="inlineStr">
        <is>
          <t>reported</t>
        </is>
      </c>
      <c r="C454" t="inlineStr">
        <is>
          <t>Biochar Transported (kg) - Applied</t>
        </is>
      </c>
      <c r="D454" t="inlineStr">
        <is>
          <t>Biochar Transported (kg) - Applied</t>
        </is>
      </c>
      <c r="E454" s="2" t="n">
        <v>319.59</v>
      </c>
      <c r="F454" t="n">
        <v>0</v>
      </c>
      <c r="G454" t="inlineStr">
        <is>
          <t>kg</t>
        </is>
      </c>
      <c r="H454" t="n">
        <v>319.59</v>
      </c>
      <c r="I454" t="n">
        <v>0</v>
      </c>
      <c r="J454" t="inlineStr">
        <is>
          <t>kg</t>
        </is>
      </c>
      <c r="K454">
        <f>Source!A28</f>
        <v/>
      </c>
      <c r="L454" t="inlineStr">
        <is>
          <t>Production Period 8 Summary (1).xlsx</t>
        </is>
      </c>
      <c r="M454">
        <f>Source!A29</f>
        <v/>
      </c>
      <c r="N454" t="inlineStr">
        <is>
          <t>5110270 Custom Biochar Reports.pdf</t>
        </is>
      </c>
      <c r="O454">
        <f>Source!A45</f>
        <v/>
      </c>
      <c r="P454" t="inlineStr">
        <is>
          <t>March 20 Brenner Farms Scale Ticket.png</t>
        </is>
      </c>
      <c r="Q454" t="inlineStr">
        <is>
          <t>mr_DbbbnX1AtYp142cA-out_sVIPjpDBrGPnpupv-0</t>
        </is>
      </c>
    </row>
    <row r="455">
      <c r="A455" t="inlineStr">
        <is>
          <t>dtp_1KY38KD0E1S0DWWK</t>
        </is>
      </c>
      <c r="B455" t="inlineStr">
        <is>
          <t>derived</t>
        </is>
      </c>
      <c r="C455" t="inlineStr">
        <is>
          <t>Emissions Factor - Flatbed Truck Transport Embodied Emissions (2025, CO)</t>
        </is>
      </c>
      <c r="D455" t="inlineStr">
        <is>
          <t>Emissions Factor - Flatbed Truck Transport Embodied Emissions (2025, CO)</t>
        </is>
      </c>
      <c r="E455" s="2" t="n">
        <v>0.000119795</v>
      </c>
      <c r="F455" t="n">
        <v>0</v>
      </c>
      <c r="G455" t="inlineStr">
        <is>
          <t>kg/m</t>
        </is>
      </c>
      <c r="H455" t="n">
        <v>0.119795</v>
      </c>
      <c r="I455" t="n">
        <v>0</v>
      </c>
      <c r="J455" t="inlineStr">
        <is>
          <t>kgCO₂e/km</t>
        </is>
      </c>
      <c r="K455">
        <f>Source!A17</f>
        <v/>
      </c>
      <c r="L455" t="inlineStr">
        <is>
          <t>Standard Emission Factors + Calculations (8).xlsx</t>
        </is>
      </c>
      <c r="Q455" t="inlineStr">
        <is>
          <t>mr_DbbbnX1AtYp142cA-out_mh5OWJEQ9TzkSjax-0</t>
        </is>
      </c>
    </row>
    <row r="456">
      <c r="A456" t="inlineStr">
        <is>
          <t>dtp_1KY38KDJY1S0N6KX</t>
        </is>
      </c>
      <c r="B456" t="inlineStr">
        <is>
          <t>derived</t>
        </is>
      </c>
      <c r="C456" t="inlineStr">
        <is>
          <t>Biochar Applied - Allocated Delivery Distance (km)</t>
        </is>
      </c>
      <c r="D456" t="inlineStr">
        <is>
          <t>Delivery distance 196 mi (Google Maps, longest route via I-70, Fort Lupton CO -&gt; Brenner Farms Burlington CO). 196 mi x 1.609344 = 315.431 km.</t>
        </is>
      </c>
      <c r="E456" s="2" t="n">
        <v>9021.299999999999</v>
      </c>
      <c r="F456" t="n">
        <v>0</v>
      </c>
      <c r="G456" t="inlineStr">
        <is>
          <t>m</t>
        </is>
      </c>
      <c r="H456" t="n">
        <v>9.0213</v>
      </c>
      <c r="I456" t="n">
        <v>0</v>
      </c>
      <c r="J456" t="inlineStr">
        <is>
          <t>km</t>
        </is>
      </c>
      <c r="K456">
        <f>Source!A40</f>
        <v/>
      </c>
      <c r="L456" t="inlineStr">
        <is>
          <t>Charm To Brenner Farms Distance (Google Maps, 196mi via I-70).png</t>
        </is>
      </c>
      <c r="Q456" t="inlineStr">
        <is>
          <t>mr_DbbbnX1AtYp142cA-out_hfoA89qbvT5XX9zd-0</t>
        </is>
      </c>
    </row>
    <row r="457">
      <c r="A457" t="inlineStr">
        <is>
          <t>dtp_1KY38KE1C1S004Q8</t>
        </is>
      </c>
      <c r="B457" t="inlineStr">
        <is>
          <t>reported</t>
        </is>
      </c>
      <c r="C457" t="inlineStr">
        <is>
          <t>Attribution factor</t>
        </is>
      </c>
      <c r="E457" s="2" t="n">
        <v>1</v>
      </c>
      <c r="F457" t="n">
        <v>0</v>
      </c>
      <c r="G457" t="inlineStr"/>
      <c r="H457" t="n">
        <v>1</v>
      </c>
      <c r="I457" t="n">
        <v>0</v>
      </c>
      <c r="J457" t="inlineStr"/>
    </row>
    <row r="458">
      <c r="A458" t="inlineStr">
        <is>
          <t>dtp_1KY38KE1C1S02D1H</t>
        </is>
      </c>
      <c r="B458" t="inlineStr">
        <is>
          <t>reported</t>
        </is>
      </c>
      <c r="C458" t="inlineStr">
        <is>
          <t>Attribution factor</t>
        </is>
      </c>
      <c r="E458" s="2" t="n">
        <v>1</v>
      </c>
      <c r="F458" t="n">
        <v>0</v>
      </c>
      <c r="G458" t="inlineStr"/>
      <c r="H458" t="n">
        <v>1</v>
      </c>
      <c r="I458" t="n">
        <v>0</v>
      </c>
      <c r="J458" t="inlineStr"/>
    </row>
    <row r="459">
      <c r="A459" t="inlineStr">
        <is>
          <t>dtp_1KY38KE1C1S07EEJ</t>
        </is>
      </c>
      <c r="B459" t="inlineStr">
        <is>
          <t>reported</t>
        </is>
      </c>
      <c r="C459" t="inlineStr">
        <is>
          <t>Attribution factor</t>
        </is>
      </c>
      <c r="E459" s="2" t="n">
        <v>1</v>
      </c>
      <c r="F459" t="n">
        <v>0</v>
      </c>
      <c r="G459" t="inlineStr"/>
      <c r="H459" t="n">
        <v>1</v>
      </c>
      <c r="I459" t="n">
        <v>0</v>
      </c>
      <c r="J459" t="inlineStr"/>
    </row>
    <row r="460">
      <c r="A460" t="inlineStr">
        <is>
          <t>dtp_1KY38KE1C1S0KSJX</t>
        </is>
      </c>
      <c r="B460" t="inlineStr">
        <is>
          <t>reported</t>
        </is>
      </c>
      <c r="C460" t="inlineStr">
        <is>
          <t>Attribution factor</t>
        </is>
      </c>
      <c r="E460" s="2" t="n">
        <v>1</v>
      </c>
      <c r="F460" t="n">
        <v>0</v>
      </c>
      <c r="G460" t="inlineStr"/>
      <c r="H460" t="n">
        <v>1</v>
      </c>
      <c r="I460" t="n">
        <v>0</v>
      </c>
      <c r="J460" t="inlineStr"/>
    </row>
    <row r="461">
      <c r="A461" t="inlineStr">
        <is>
          <t>dtp_1KY57KW481S0B9TJ</t>
        </is>
      </c>
      <c r="B461" t="inlineStr">
        <is>
          <t>derived</t>
        </is>
      </c>
      <c r="C461" t="inlineStr">
        <is>
          <t>Emissions Factor - Biochar Spreading</t>
        </is>
      </c>
      <c r="D461" t="inlineStr">
        <is>
          <t>Emissions Factor - Biochar Spreading</t>
        </is>
      </c>
      <c r="E461" s="2" t="n">
        <v>0.004</v>
      </c>
      <c r="F461" t="n">
        <v>0</v>
      </c>
      <c r="G461" t="inlineStr"/>
      <c r="H461" t="n">
        <v>0.004</v>
      </c>
      <c r="I461" t="n">
        <v>0</v>
      </c>
      <c r="J461" t="inlineStr">
        <is>
          <t>kgCO₂e/kg</t>
        </is>
      </c>
      <c r="K461">
        <f>Source!A4</f>
        <v/>
      </c>
      <c r="L461" t="inlineStr">
        <is>
          <t>Biochar Offtake Calculations.xlsx</t>
        </is>
      </c>
      <c r="Q461" t="inlineStr">
        <is>
          <t>mr_dDuUWmmLa2AgRCyi-out_hf7qVV7KHcGk4thf-0</t>
        </is>
      </c>
    </row>
    <row r="462">
      <c r="A462" t="inlineStr">
        <is>
          <t>dtp_1KY57M0A21S0MVW5</t>
        </is>
      </c>
      <c r="B462" t="inlineStr">
        <is>
          <t>derived</t>
        </is>
      </c>
      <c r="C462" t="inlineStr">
        <is>
          <t>Biochar Applied (wet mass) (Spreading) - Applied</t>
        </is>
      </c>
      <c r="D462" t="inlineStr">
        <is>
          <t>Biochar Applied (wet mass) (Spreading) - Applied</t>
        </is>
      </c>
      <c r="E462" s="2" t="n">
        <v>954.75</v>
      </c>
      <c r="F462" t="n">
        <v>0</v>
      </c>
      <c r="G462" t="inlineStr">
        <is>
          <t>kg</t>
        </is>
      </c>
      <c r="H462" t="n">
        <v>954.75</v>
      </c>
      <c r="I462" t="n">
        <v>0</v>
      </c>
      <c r="J462" t="inlineStr">
        <is>
          <t>kg</t>
        </is>
      </c>
      <c r="K462">
        <f>Source!A29</f>
        <v/>
      </c>
      <c r="L462" t="inlineStr">
        <is>
          <t>5110270 Custom Biochar Reports.pdf</t>
        </is>
      </c>
      <c r="M462">
        <f>Source!A28</f>
        <v/>
      </c>
      <c r="N462" t="inlineStr">
        <is>
          <t>Production Period 8 Summary (1).xlsx</t>
        </is>
      </c>
      <c r="O462">
        <f>Source!A51</f>
        <v/>
      </c>
      <c r="P462" t="inlineStr">
        <is>
          <t>Brenner Farms Delivery Notes.xlsx</t>
        </is>
      </c>
      <c r="Q462" t="inlineStr">
        <is>
          <t>mr_dDuUWmmLa2AgRCyi-out_0jBoYHtsohNZ8PAk-0</t>
        </is>
      </c>
    </row>
    <row r="463">
      <c r="A463" t="inlineStr">
        <is>
          <t>dtp_1KY57M21D1S05QN2</t>
        </is>
      </c>
      <c r="B463" t="inlineStr">
        <is>
          <t>derived</t>
        </is>
      </c>
      <c r="C463" t="inlineStr">
        <is>
          <t>Biochar - H/C_org - Applied</t>
        </is>
      </c>
      <c r="D463" t="inlineStr">
        <is>
          <t>Biochar - H/C_org - Applied</t>
        </is>
      </c>
      <c r="E463" s="2" t="n">
        <v>0.3467</v>
      </c>
      <c r="F463" t="n">
        <v>0</v>
      </c>
      <c r="G463" t="inlineStr"/>
      <c r="H463" t="n">
        <v>0.3467</v>
      </c>
      <c r="I463" t="n">
        <v>0</v>
      </c>
      <c r="J463" t="inlineStr"/>
      <c r="K463">
        <f>Source!A30</f>
        <v/>
      </c>
      <c r="L463" t="inlineStr">
        <is>
          <t>5110270 Custom Biochar Reports.pdf</t>
        </is>
      </c>
      <c r="Q463" t="inlineStr">
        <is>
          <t>mr_EoZLl7QQ99PNmaUb-out_SlgcaWsappr9ZCL6-0</t>
        </is>
      </c>
    </row>
    <row r="464">
      <c r="A464" t="inlineStr">
        <is>
          <t>dtp_1KY57M2JD1S0MB3P</t>
        </is>
      </c>
      <c r="B464" t="inlineStr">
        <is>
          <t>derived</t>
        </is>
      </c>
      <c r="C464" t="inlineStr">
        <is>
          <t>Inorganic Carbon Content % - Applied</t>
        </is>
      </c>
      <c r="D464" t="inlineStr">
        <is>
          <t>Inorganic Carbon Content % - Applied</t>
        </is>
      </c>
      <c r="E464" s="2" t="n">
        <v>0.003333</v>
      </c>
      <c r="F464" t="n">
        <v>0</v>
      </c>
      <c r="G464" t="inlineStr"/>
      <c r="H464" t="n">
        <v>0.3333</v>
      </c>
      <c r="I464" t="n">
        <v>0</v>
      </c>
      <c r="J464" t="inlineStr">
        <is>
          <t>%</t>
        </is>
      </c>
      <c r="K464">
        <f>Source!A30</f>
        <v/>
      </c>
      <c r="L464" t="inlineStr">
        <is>
          <t>5110270 Custom Biochar Reports.pdf</t>
        </is>
      </c>
      <c r="Q464" t="inlineStr">
        <is>
          <t>mr_EoZLl7QQ99PNmaUb-out_RrRijQ8NSCwAInka-0</t>
        </is>
      </c>
    </row>
    <row r="465">
      <c r="A465" t="inlineStr">
        <is>
          <t>dtp_1KY57M3261S0VMV0</t>
        </is>
      </c>
      <c r="B465" t="inlineStr">
        <is>
          <t>derived</t>
        </is>
      </c>
      <c r="C465" t="inlineStr">
        <is>
          <t>Biochar Dry Weight (kg) (CO2 stored) - Applied</t>
        </is>
      </c>
      <c r="D465" t="inlineStr">
        <is>
          <t>Biochar Dry Weight (kg) (CO2 stored) - Applied</t>
        </is>
      </c>
      <c r="E465" s="2" t="n">
        <v>572.33334</v>
      </c>
      <c r="F465" t="n">
        <v>0</v>
      </c>
      <c r="G465" t="inlineStr">
        <is>
          <t>kg</t>
        </is>
      </c>
      <c r="H465" t="n">
        <v>572.33334</v>
      </c>
      <c r="I465" t="n">
        <v>0</v>
      </c>
      <c r="J465" t="inlineStr">
        <is>
          <t>kg</t>
        </is>
      </c>
      <c r="K465">
        <f>Source!A28</f>
        <v/>
      </c>
      <c r="L465" t="inlineStr">
        <is>
          <t>Production Period 8 Summary (1).xlsx</t>
        </is>
      </c>
      <c r="M465">
        <f>Source!A29</f>
        <v/>
      </c>
      <c r="N465" t="inlineStr">
        <is>
          <t>5110270 Custom Biochar Reports.pdf</t>
        </is>
      </c>
      <c r="O465">
        <f>Source!A51</f>
        <v/>
      </c>
      <c r="P465" t="inlineStr">
        <is>
          <t>Brenner Farms Delivery Notes.xlsx</t>
        </is>
      </c>
      <c r="Q465" t="inlineStr">
        <is>
          <t>mr_dDuUWmmLa2AgRCyi-out_tHtEVo8cn1cKK0xD-0</t>
        </is>
      </c>
    </row>
    <row r="466">
      <c r="A466" t="inlineStr">
        <is>
          <t>dtp_1KY57M3M31S0RVR8</t>
        </is>
      </c>
      <c r="B466" t="inlineStr">
        <is>
          <t>derived</t>
        </is>
      </c>
      <c r="C466" t="inlineStr">
        <is>
          <t>Biochar Applied - Soil Temperature (Cel)</t>
        </is>
      </c>
      <c r="D466" t="inlineStr">
        <is>
          <t>Biochar Applied - Soil Temperature (Cel)</t>
        </is>
      </c>
      <c r="E466" s="2" t="n">
        <v>284.35</v>
      </c>
      <c r="F466" t="n">
        <v>0</v>
      </c>
      <c r="G466" t="inlineStr">
        <is>
          <t>K</t>
        </is>
      </c>
      <c r="H466" t="n">
        <v>11.2</v>
      </c>
      <c r="I466" t="n">
        <v>0</v>
      </c>
      <c r="J466" t="inlineStr">
        <is>
          <t>°C</t>
        </is>
      </c>
      <c r="K466">
        <f>Source!A39</f>
        <v/>
      </c>
      <c r="L466" t="inlineStr">
        <is>
          <t>soil_temperature_1785168873474.csv</t>
        </is>
      </c>
      <c r="Q466" t="inlineStr">
        <is>
          <t>mr_EoZLl7QQ99PNmaUb-out_WFEo3VxmWt0N3Yhc-0</t>
        </is>
      </c>
    </row>
    <row r="467">
      <c r="A467" t="inlineStr">
        <is>
          <t>dtp_1KY57M42C1S005FJ</t>
        </is>
      </c>
      <c r="B467" t="inlineStr">
        <is>
          <t>derived</t>
        </is>
      </c>
      <c r="C467" t="inlineStr">
        <is>
          <t>Organic Carbon Content % - Applied</t>
        </is>
      </c>
      <c r="D467" t="inlineStr">
        <is>
          <t>Organic Carbon Content % - Applied</t>
        </is>
      </c>
      <c r="E467" s="2" t="n">
        <v>0.8743340000000001</v>
      </c>
      <c r="F467" t="n">
        <v>0</v>
      </c>
      <c r="G467" t="inlineStr"/>
      <c r="H467" t="n">
        <v>87.43340000000001</v>
      </c>
      <c r="I467" t="n">
        <v>0</v>
      </c>
      <c r="J467" t="inlineStr">
        <is>
          <t>%</t>
        </is>
      </c>
      <c r="K467">
        <f>Source!A30</f>
        <v/>
      </c>
      <c r="L467" t="inlineStr">
        <is>
          <t>5110270 Custom Biochar Reports.pdf</t>
        </is>
      </c>
      <c r="Q467" t="inlineStr">
        <is>
          <t>mr_dDuUWmmLa2AgRCyi-out_ye14SNxRG8b285JB-0</t>
        </is>
      </c>
    </row>
    <row r="468">
      <c r="A468" t="inlineStr">
        <is>
          <t>dtp_1KY57M5X31S0ZMQ3</t>
        </is>
      </c>
      <c r="B468" t="inlineStr">
        <is>
          <t>derived</t>
        </is>
      </c>
      <c r="C468" t="inlineStr">
        <is>
          <t>Copy - Truck EF</t>
        </is>
      </c>
      <c r="D468" t="inlineStr">
        <is>
          <t>Copy - Truck EF</t>
        </is>
      </c>
      <c r="E468" s="2" t="n">
        <v>8.599777300564702e-08</v>
      </c>
      <c r="F468" t="n">
        <v>0</v>
      </c>
      <c r="G468" t="inlineStr">
        <is>
          <t>1/m</t>
        </is>
      </c>
      <c r="H468" t="n">
        <v>0.1384</v>
      </c>
      <c r="I468" t="n">
        <v>0</v>
      </c>
      <c r="J468" t="inlineStr">
        <is>
          <t>kgCO₂e/(t⋅mi)</t>
        </is>
      </c>
      <c r="K468">
        <f>Source!A17</f>
        <v/>
      </c>
      <c r="L468" t="inlineStr">
        <is>
          <t>Standard Emission Factors + Calculations (8).xlsx</t>
        </is>
      </c>
      <c r="Q468" t="inlineStr">
        <is>
          <t>mr_dDuUWmmLa2AgRCyi-out_kz09qsYg6N3uHg55-0</t>
        </is>
      </c>
    </row>
    <row r="469">
      <c r="A469" t="inlineStr">
        <is>
          <t>dtp_1KY57M7N31S01X1C</t>
        </is>
      </c>
      <c r="B469" t="inlineStr">
        <is>
          <t>derived</t>
        </is>
      </c>
      <c r="C469" t="inlineStr">
        <is>
          <t>Biochar Applied - Delivery Distance (km)</t>
        </is>
      </c>
      <c r="D469" t="inlineStr">
        <is>
          <t>Delivery distance 196 mi (Google Maps, longest route via I-70, Fort Lupton CO -&gt; Brenner Farms Burlington CO). 196 mi x 1.609344 = 315.431 km.</t>
        </is>
      </c>
      <c r="E469" s="2" t="n">
        <v>315431.424</v>
      </c>
      <c r="F469" t="n">
        <v>0</v>
      </c>
      <c r="G469" t="inlineStr">
        <is>
          <t>m</t>
        </is>
      </c>
      <c r="H469" t="n">
        <v>315.431424</v>
      </c>
      <c r="I469" t="n">
        <v>0</v>
      </c>
      <c r="J469" t="inlineStr">
        <is>
          <t>km</t>
        </is>
      </c>
      <c r="K469">
        <f>Source!A40</f>
        <v/>
      </c>
      <c r="L469" t="inlineStr">
        <is>
          <t>Charm To Brenner Farms Distance (Google Maps, 196mi via I-70).png</t>
        </is>
      </c>
      <c r="Q469" t="inlineStr">
        <is>
          <t>mr_dDuUWmmLa2AgRCyi-out_mh2j8s9fAROxQE7o-0</t>
        </is>
      </c>
    </row>
    <row r="470">
      <c r="A470" t="inlineStr">
        <is>
          <t>dtp_1KY57M7ZY1S0GGG0</t>
        </is>
      </c>
      <c r="B470" t="inlineStr">
        <is>
          <t>derived</t>
        </is>
      </c>
      <c r="C470" t="inlineStr">
        <is>
          <t>Biochar Transported (kg) - Applied</t>
        </is>
      </c>
      <c r="D470" t="inlineStr">
        <is>
          <t>Biochar Transported (kg) - Applied</t>
        </is>
      </c>
      <c r="E470" s="2" t="n">
        <v>1015</v>
      </c>
      <c r="F470" t="n">
        <v>0</v>
      </c>
      <c r="G470" t="inlineStr">
        <is>
          <t>kg</t>
        </is>
      </c>
      <c r="H470" t="n">
        <v>1015</v>
      </c>
      <c r="I470" t="n">
        <v>0</v>
      </c>
      <c r="J470" t="inlineStr">
        <is>
          <t>kg</t>
        </is>
      </c>
      <c r="K470">
        <f>Source!A28</f>
        <v/>
      </c>
      <c r="L470" t="inlineStr">
        <is>
          <t>Production Period 8 Summary (1).xlsx</t>
        </is>
      </c>
      <c r="M470">
        <f>Source!A29</f>
        <v/>
      </c>
      <c r="N470" t="inlineStr">
        <is>
          <t>5110270 Custom Biochar Reports.pdf</t>
        </is>
      </c>
      <c r="O470">
        <f>Source!A51</f>
        <v/>
      </c>
      <c r="P470" t="inlineStr">
        <is>
          <t>Brenner Farms Delivery Notes.xlsx</t>
        </is>
      </c>
      <c r="Q470" t="inlineStr">
        <is>
          <t>mr_dDuUWmmLa2AgRCyi-out_sVIPjpDBrGPnpupv-0</t>
        </is>
      </c>
    </row>
    <row r="471">
      <c r="A471" t="inlineStr">
        <is>
          <t>dtp_1KY57M8GJ1S0DQD8</t>
        </is>
      </c>
      <c r="B471" t="inlineStr">
        <is>
          <t>derived</t>
        </is>
      </c>
      <c r="C471" t="inlineStr">
        <is>
          <t>Emissions Factor - Flatbed Truck Transport Embodied Emissions (2025, CO)</t>
        </is>
      </c>
      <c r="D471" t="inlineStr">
        <is>
          <t>Emissions Factor - Flatbed Truck Transport Embodied Emissions (2025, CO)</t>
        </is>
      </c>
      <c r="E471" s="2" t="n">
        <v>0.000119795</v>
      </c>
      <c r="F471" t="n">
        <v>0</v>
      </c>
      <c r="G471" t="inlineStr">
        <is>
          <t>kg/m</t>
        </is>
      </c>
      <c r="H471" t="n">
        <v>0.119795</v>
      </c>
      <c r="I471" t="n">
        <v>0</v>
      </c>
      <c r="J471" t="inlineStr">
        <is>
          <t>kgCO₂e/km</t>
        </is>
      </c>
      <c r="K471">
        <f>Source!A17</f>
        <v/>
      </c>
      <c r="L471" t="inlineStr">
        <is>
          <t>Standard Emission Factors + Calculations (8).xlsx</t>
        </is>
      </c>
      <c r="Q471" t="inlineStr">
        <is>
          <t>mr_dDuUWmmLa2AgRCyi-out_mh5OWJEQ9TzkSjax-0</t>
        </is>
      </c>
    </row>
    <row r="472">
      <c r="A472" t="inlineStr">
        <is>
          <t>dtp_1KY57M8ZQ1S0N14J</t>
        </is>
      </c>
      <c r="B472" t="inlineStr">
        <is>
          <t>derived</t>
        </is>
      </c>
      <c r="C472" t="inlineStr">
        <is>
          <t>Biochar Applied - Allocated Delivery Distance (km)</t>
        </is>
      </c>
      <c r="D472" t="inlineStr">
        <is>
          <t>Delivery distance 196 mi (Google Maps, longest route via I-70, Fort Lupton CO -&gt; Brenner Farms Burlington CO). 196 mi x 1.609344 = 315.431 km.</t>
        </is>
      </c>
      <c r="E472" s="2" t="n">
        <v>34287.4</v>
      </c>
      <c r="F472" t="n">
        <v>0</v>
      </c>
      <c r="G472" t="inlineStr">
        <is>
          <t>m</t>
        </is>
      </c>
      <c r="H472" t="n">
        <v>34.2874</v>
      </c>
      <c r="I472" t="n">
        <v>0</v>
      </c>
      <c r="J472" t="inlineStr">
        <is>
          <t>km</t>
        </is>
      </c>
      <c r="K472">
        <f>Source!A40</f>
        <v/>
      </c>
      <c r="L472" t="inlineStr">
        <is>
          <t>Charm To Brenner Farms Distance (Google Maps, 196mi via I-70).png</t>
        </is>
      </c>
      <c r="Q472" t="inlineStr">
        <is>
          <t>mr_dDuUWmmLa2AgRCyi-out_hfoA89qbvT5XX9zd-0</t>
        </is>
      </c>
    </row>
    <row r="473">
      <c r="A473" t="inlineStr">
        <is>
          <t>dtp_1KY57M9F81S027J6</t>
        </is>
      </c>
      <c r="B473" t="inlineStr">
        <is>
          <t>reported</t>
        </is>
      </c>
      <c r="C473" t="inlineStr">
        <is>
          <t>Attribution factor</t>
        </is>
      </c>
      <c r="E473" s="2" t="n">
        <v>1</v>
      </c>
      <c r="F473" t="n">
        <v>0</v>
      </c>
      <c r="G473" t="inlineStr"/>
      <c r="H473" t="n">
        <v>1</v>
      </c>
      <c r="I473" t="n">
        <v>0</v>
      </c>
      <c r="J473" t="inlineStr"/>
    </row>
    <row r="474">
      <c r="A474" t="inlineStr">
        <is>
          <t>dtp_1KY57M9F81S078Z7</t>
        </is>
      </c>
      <c r="B474" t="inlineStr">
        <is>
          <t>reported</t>
        </is>
      </c>
      <c r="C474" t="inlineStr">
        <is>
          <t>Attribution factor</t>
        </is>
      </c>
      <c r="E474" s="2" t="n">
        <v>1</v>
      </c>
      <c r="F474" t="n">
        <v>0</v>
      </c>
      <c r="G474" t="inlineStr"/>
      <c r="H474" t="n">
        <v>1</v>
      </c>
      <c r="I474" t="n">
        <v>0</v>
      </c>
      <c r="J474" t="inlineStr"/>
    </row>
    <row r="475">
      <c r="A475" t="inlineStr">
        <is>
          <t>dtp_1KY57M9F81S0KM3J</t>
        </is>
      </c>
      <c r="B475" t="inlineStr">
        <is>
          <t>reported</t>
        </is>
      </c>
      <c r="C475" t="inlineStr">
        <is>
          <t>Attribution factor</t>
        </is>
      </c>
      <c r="E475" s="2" t="n">
        <v>1</v>
      </c>
      <c r="F475" t="n">
        <v>0</v>
      </c>
      <c r="G475" t="inlineStr"/>
      <c r="H475" t="n">
        <v>1</v>
      </c>
      <c r="I475" t="n">
        <v>0</v>
      </c>
      <c r="J475" t="inlineStr"/>
    </row>
    <row r="476">
      <c r="A476" t="inlineStr">
        <is>
          <t>dtp_1KY57M9F81S0ZZ7X</t>
        </is>
      </c>
      <c r="B476" t="inlineStr">
        <is>
          <t>reported</t>
        </is>
      </c>
      <c r="C476" t="inlineStr">
        <is>
          <t>Attribution factor</t>
        </is>
      </c>
      <c r="E476" s="2" t="n">
        <v>1</v>
      </c>
      <c r="F476" t="n">
        <v>0</v>
      </c>
      <c r="G476" t="inlineStr"/>
      <c r="H476" t="n">
        <v>1</v>
      </c>
      <c r="I476" t="n">
        <v>0</v>
      </c>
      <c r="J476" t="inlineStr"/>
    </row>
    <row r="477">
      <c r="A477" t="inlineStr">
        <is>
          <t>dtp_1KY57MCET1S0BYW6</t>
        </is>
      </c>
      <c r="B477" t="inlineStr">
        <is>
          <t>derived</t>
        </is>
      </c>
      <c r="C477" t="inlineStr">
        <is>
          <t>Emissions Factor - Biochar Spreading</t>
        </is>
      </c>
      <c r="D477" t="inlineStr">
        <is>
          <t>Emissions Factor - Biochar Spreading</t>
        </is>
      </c>
      <c r="E477" s="2" t="n">
        <v>0.004</v>
      </c>
      <c r="F477" t="n">
        <v>0</v>
      </c>
      <c r="G477" t="inlineStr"/>
      <c r="H477" t="n">
        <v>0.004</v>
      </c>
      <c r="I477" t="n">
        <v>0</v>
      </c>
      <c r="J477" t="inlineStr">
        <is>
          <t>kgCO₂e/kg</t>
        </is>
      </c>
      <c r="K477">
        <f>Source!A4</f>
        <v/>
      </c>
      <c r="L477" t="inlineStr">
        <is>
          <t>Biochar Offtake Calculations.xlsx</t>
        </is>
      </c>
      <c r="Q477" t="inlineStr">
        <is>
          <t>mr_M1Im5lmlFTc90O7h-out_hf7qVV7KHcGk4thf-0</t>
        </is>
      </c>
    </row>
    <row r="478">
      <c r="A478" t="inlineStr">
        <is>
          <t>dtp_1KY57MGPW1S0NGXS</t>
        </is>
      </c>
      <c r="B478" t="inlineStr">
        <is>
          <t>derived</t>
        </is>
      </c>
      <c r="C478" t="inlineStr">
        <is>
          <t>Biochar Applied (wet mass) (Spreading) - Applied</t>
        </is>
      </c>
      <c r="D478" t="inlineStr">
        <is>
          <t>Biochar Applied (wet mass) (Spreading) - Applied</t>
        </is>
      </c>
      <c r="E478" s="2" t="n">
        <v>1336.65</v>
      </c>
      <c r="F478" t="n">
        <v>0</v>
      </c>
      <c r="G478" t="inlineStr">
        <is>
          <t>kg</t>
        </is>
      </c>
      <c r="H478" t="n">
        <v>1336.65</v>
      </c>
      <c r="I478" t="n">
        <v>0</v>
      </c>
      <c r="J478" t="inlineStr">
        <is>
          <t>kg</t>
        </is>
      </c>
      <c r="K478">
        <f>Source!A32</f>
        <v/>
      </c>
      <c r="L478" t="inlineStr">
        <is>
          <t>5110270 Custom Biochar Reports.pdf</t>
        </is>
      </c>
      <c r="M478">
        <f>Source!A31</f>
        <v/>
      </c>
      <c r="N478" t="inlineStr">
        <is>
          <t>August 2025 Production Period Summary (1).xlsx</t>
        </is>
      </c>
      <c r="O478">
        <f>Source!A51</f>
        <v/>
      </c>
      <c r="P478" t="inlineStr">
        <is>
          <t>Brenner Farms Delivery Notes.xlsx</t>
        </is>
      </c>
      <c r="Q478" t="inlineStr">
        <is>
          <t>mr_M1Im5lmlFTc90O7h-out_0jBoYHtsohNZ8PAk-0</t>
        </is>
      </c>
    </row>
    <row r="479">
      <c r="A479" t="inlineStr">
        <is>
          <t>dtp_1KY57MJF21S06CPP</t>
        </is>
      </c>
      <c r="B479" t="inlineStr">
        <is>
          <t>derived</t>
        </is>
      </c>
      <c r="C479" t="inlineStr">
        <is>
          <t>Biochar - H/C_org - Applied</t>
        </is>
      </c>
      <c r="D479" t="inlineStr">
        <is>
          <t>Biochar - H/C_org - Applied</t>
        </is>
      </c>
      <c r="E479" s="2" t="n">
        <v>0.32</v>
      </c>
      <c r="F479" t="n">
        <v>0</v>
      </c>
      <c r="G479" t="inlineStr"/>
      <c r="H479" t="n">
        <v>0.32</v>
      </c>
      <c r="I479" t="n">
        <v>0</v>
      </c>
      <c r="J479" t="inlineStr"/>
      <c r="K479">
        <f>Source!A33</f>
        <v/>
      </c>
      <c r="L479" t="inlineStr">
        <is>
          <t>5110270 Custom Biochar Reports.pdf</t>
        </is>
      </c>
      <c r="Q479" t="inlineStr">
        <is>
          <t>mr_4asUYaSRtAxbihoP-out_SlgcaWsappr9ZCL6-0</t>
        </is>
      </c>
    </row>
    <row r="480">
      <c r="A480" t="inlineStr">
        <is>
          <t>dtp_1KY57MJYM1S0N05A</t>
        </is>
      </c>
      <c r="B480" t="inlineStr">
        <is>
          <t>derived</t>
        </is>
      </c>
      <c r="C480" t="inlineStr">
        <is>
          <t>Inorganic Carbon Content % - Applied</t>
        </is>
      </c>
      <c r="D480" t="inlineStr">
        <is>
          <t>Inorganic Carbon Content % - Applied</t>
        </is>
      </c>
      <c r="E480" s="2" t="n">
        <v>0.004333</v>
      </c>
      <c r="F480" t="n">
        <v>0</v>
      </c>
      <c r="G480" t="inlineStr"/>
      <c r="H480" t="n">
        <v>0.4333</v>
      </c>
      <c r="I480" t="n">
        <v>0</v>
      </c>
      <c r="J480" t="inlineStr">
        <is>
          <t>%</t>
        </is>
      </c>
      <c r="K480">
        <f>Source!A33</f>
        <v/>
      </c>
      <c r="L480" t="inlineStr">
        <is>
          <t>5110270 Custom Biochar Reports.pdf</t>
        </is>
      </c>
      <c r="Q480" t="inlineStr">
        <is>
          <t>mr_4asUYaSRtAxbihoP-out_RrRijQ8NSCwAInka-0</t>
        </is>
      </c>
    </row>
    <row r="481">
      <c r="A481" t="inlineStr">
        <is>
          <t>dtp_1KY57MMP51S0FYR9</t>
        </is>
      </c>
      <c r="B481" t="inlineStr">
        <is>
          <t>derived</t>
        </is>
      </c>
      <c r="C481" t="inlineStr">
        <is>
          <t>Biochar Dry Weight (kg) (CO2 stored) - Applied</t>
        </is>
      </c>
      <c r="D481" t="inlineStr">
        <is>
          <t>Biochar Dry Weight (kg) (CO2 stored) - Applied</t>
        </is>
      </c>
      <c r="E481" s="2" t="n">
        <v>804.73162</v>
      </c>
      <c r="F481" t="n">
        <v>0</v>
      </c>
      <c r="G481" t="inlineStr">
        <is>
          <t>kg</t>
        </is>
      </c>
      <c r="H481" t="n">
        <v>804.73162</v>
      </c>
      <c r="I481" t="n">
        <v>0</v>
      </c>
      <c r="J481" t="inlineStr">
        <is>
          <t>kg</t>
        </is>
      </c>
      <c r="K481">
        <f>Source!A32</f>
        <v/>
      </c>
      <c r="L481" t="inlineStr">
        <is>
          <t>5110270 Custom Biochar Reports.pdf</t>
        </is>
      </c>
      <c r="M481">
        <f>Source!A31</f>
        <v/>
      </c>
      <c r="N481" t="inlineStr">
        <is>
          <t>August 2025 Production Period Summary (1).xlsx</t>
        </is>
      </c>
      <c r="O481">
        <f>Source!A51</f>
        <v/>
      </c>
      <c r="P481" t="inlineStr">
        <is>
          <t>Brenner Farms Delivery Notes.xlsx</t>
        </is>
      </c>
      <c r="Q481" t="inlineStr">
        <is>
          <t>mr_M1Im5lmlFTc90O7h-out_tHtEVo8cn1cKK0xD-0</t>
        </is>
      </c>
    </row>
    <row r="482">
      <c r="A482" t="inlineStr">
        <is>
          <t>dtp_1KY57MN7J1S0MFCV</t>
        </is>
      </c>
      <c r="B482" t="inlineStr">
        <is>
          <t>derived</t>
        </is>
      </c>
      <c r="C482" t="inlineStr">
        <is>
          <t>Biochar Applied - Soil Temperature (Cel)</t>
        </is>
      </c>
      <c r="D482" t="inlineStr">
        <is>
          <t>Biochar Applied - Soil Temperature (Cel)</t>
        </is>
      </c>
      <c r="E482" s="2" t="n">
        <v>284.35</v>
      </c>
      <c r="F482" t="n">
        <v>0</v>
      </c>
      <c r="G482" t="inlineStr">
        <is>
          <t>K</t>
        </is>
      </c>
      <c r="H482" t="n">
        <v>11.2</v>
      </c>
      <c r="I482" t="n">
        <v>0</v>
      </c>
      <c r="J482" t="inlineStr">
        <is>
          <t>°C</t>
        </is>
      </c>
      <c r="K482">
        <f>Source!A39</f>
        <v/>
      </c>
      <c r="L482" t="inlineStr">
        <is>
          <t>soil_temperature_1785168873474.csv</t>
        </is>
      </c>
      <c r="Q482" t="inlineStr">
        <is>
          <t>mr_4asUYaSRtAxbihoP-out_WFEo3VxmWt0N3Yhc-0</t>
        </is>
      </c>
    </row>
    <row r="483">
      <c r="A483" t="inlineStr">
        <is>
          <t>dtp_1KY57MNP51S0VS45</t>
        </is>
      </c>
      <c r="B483" t="inlineStr">
        <is>
          <t>derived</t>
        </is>
      </c>
      <c r="C483" t="inlineStr">
        <is>
          <t>Organic Carbon Content % - Applied</t>
        </is>
      </c>
      <c r="D483" t="inlineStr">
        <is>
          <t>Organic Carbon Content % - Applied</t>
        </is>
      </c>
      <c r="E483" s="2" t="n">
        <v>0.868</v>
      </c>
      <c r="F483" t="n">
        <v>0</v>
      </c>
      <c r="G483" t="inlineStr"/>
      <c r="H483" t="n">
        <v>86.8</v>
      </c>
      <c r="I483" t="n">
        <v>0</v>
      </c>
      <c r="J483" t="inlineStr">
        <is>
          <t>%</t>
        </is>
      </c>
      <c r="K483">
        <f>Source!A33</f>
        <v/>
      </c>
      <c r="L483" t="inlineStr">
        <is>
          <t>5110270 Custom Biochar Reports.pdf</t>
        </is>
      </c>
      <c r="Q483" t="inlineStr">
        <is>
          <t>mr_M1Im5lmlFTc90O7h-out_ye14SNxRG8b285JB-0</t>
        </is>
      </c>
    </row>
    <row r="484">
      <c r="A484" t="inlineStr">
        <is>
          <t>dtp_1KY57MPPR1S07KG1</t>
        </is>
      </c>
      <c r="B484" t="inlineStr">
        <is>
          <t>derived</t>
        </is>
      </c>
      <c r="C484" t="inlineStr">
        <is>
          <t>Copy - Truck EF</t>
        </is>
      </c>
      <c r="D484" t="inlineStr">
        <is>
          <t>Copy - Truck EF</t>
        </is>
      </c>
      <c r="E484" s="2" t="n">
        <v>8.599777300564702e-08</v>
      </c>
      <c r="F484" t="n">
        <v>0</v>
      </c>
      <c r="G484" t="inlineStr">
        <is>
          <t>1/m</t>
        </is>
      </c>
      <c r="H484" t="n">
        <v>0.1384</v>
      </c>
      <c r="I484" t="n">
        <v>0</v>
      </c>
      <c r="J484" t="inlineStr">
        <is>
          <t>kgCO₂e/(t⋅mi)</t>
        </is>
      </c>
      <c r="K484">
        <f>Source!A17</f>
        <v/>
      </c>
      <c r="L484" t="inlineStr">
        <is>
          <t>Standard Emission Factors + Calculations (8).xlsx</t>
        </is>
      </c>
      <c r="Q484" t="inlineStr">
        <is>
          <t>mr_M1Im5lmlFTc90O7h-out_kz09qsYg6N3uHg55-0</t>
        </is>
      </c>
    </row>
    <row r="485">
      <c r="A485" t="inlineStr">
        <is>
          <t>dtp_1KY57MREQ1S09VTA</t>
        </is>
      </c>
      <c r="B485" t="inlineStr">
        <is>
          <t>derived</t>
        </is>
      </c>
      <c r="C485" t="inlineStr">
        <is>
          <t>Biochar Applied - Delivery Distance (km)</t>
        </is>
      </c>
      <c r="D485" t="inlineStr">
        <is>
          <t>Delivery distance 196 mi (Google Maps, longest route via I-70, Fort Lupton CO -&gt; Brenner Farms Burlington CO). 196 mi x 1.609344 = 315.431 km.</t>
        </is>
      </c>
      <c r="E485" s="2" t="n">
        <v>315431.424</v>
      </c>
      <c r="F485" t="n">
        <v>0</v>
      </c>
      <c r="G485" t="inlineStr">
        <is>
          <t>m</t>
        </is>
      </c>
      <c r="H485" t="n">
        <v>315.431424</v>
      </c>
      <c r="I485" t="n">
        <v>0</v>
      </c>
      <c r="J485" t="inlineStr">
        <is>
          <t>km</t>
        </is>
      </c>
      <c r="K485">
        <f>Source!A40</f>
        <v/>
      </c>
      <c r="L485" t="inlineStr">
        <is>
          <t>Charm To Brenner Farms Distance (Google Maps, 196mi via I-70).png</t>
        </is>
      </c>
      <c r="Q485" t="inlineStr">
        <is>
          <t>mr_M1Im5lmlFTc90O7h-out_mh2j8s9fAROxQE7o-0</t>
        </is>
      </c>
    </row>
    <row r="486">
      <c r="A486" t="inlineStr">
        <is>
          <t>dtp_1KY57MRSY1S0RF8Y</t>
        </is>
      </c>
      <c r="B486" t="inlineStr">
        <is>
          <t>derived</t>
        </is>
      </c>
      <c r="C486" t="inlineStr">
        <is>
          <t>Biochar Transported (kg) - Applied</t>
        </is>
      </c>
      <c r="D486" t="inlineStr">
        <is>
          <t>Biochar Transported (kg) - Applied</t>
        </is>
      </c>
      <c r="E486" s="2" t="n">
        <v>1421</v>
      </c>
      <c r="F486" t="n">
        <v>0</v>
      </c>
      <c r="G486" t="inlineStr">
        <is>
          <t>kg</t>
        </is>
      </c>
      <c r="H486" t="n">
        <v>1421</v>
      </c>
      <c r="I486" t="n">
        <v>0</v>
      </c>
      <c r="J486" t="inlineStr">
        <is>
          <t>kg</t>
        </is>
      </c>
      <c r="K486">
        <f>Source!A32</f>
        <v/>
      </c>
      <c r="L486" t="inlineStr">
        <is>
          <t>5110270 Custom Biochar Reports.pdf</t>
        </is>
      </c>
      <c r="M486">
        <f>Source!A31</f>
        <v/>
      </c>
      <c r="N486" t="inlineStr">
        <is>
          <t>August 2025 Production Period Summary (1).xlsx</t>
        </is>
      </c>
      <c r="O486">
        <f>Source!A51</f>
        <v/>
      </c>
      <c r="P486" t="inlineStr">
        <is>
          <t>Brenner Farms Delivery Notes.xlsx</t>
        </is>
      </c>
      <c r="Q486" t="inlineStr">
        <is>
          <t>mr_M1Im5lmlFTc90O7h-out_sVIPjpDBrGPnpupv-0</t>
        </is>
      </c>
    </row>
    <row r="487">
      <c r="A487" t="inlineStr">
        <is>
          <t>dtp_1KY57MSAG1S0NP66</t>
        </is>
      </c>
      <c r="B487" t="inlineStr">
        <is>
          <t>derived</t>
        </is>
      </c>
      <c r="C487" t="inlineStr">
        <is>
          <t>Emissions Factor - Flatbed Truck Transport Embodied Emissions (2025, CO)</t>
        </is>
      </c>
      <c r="D487" t="inlineStr">
        <is>
          <t>Emissions Factor - Flatbed Truck Transport Embodied Emissions (2025, CO)</t>
        </is>
      </c>
      <c r="E487" s="2" t="n">
        <v>0.000119795</v>
      </c>
      <c r="F487" t="n">
        <v>0</v>
      </c>
      <c r="G487" t="inlineStr">
        <is>
          <t>kg/m</t>
        </is>
      </c>
      <c r="H487" t="n">
        <v>0.119795</v>
      </c>
      <c r="I487" t="n">
        <v>0</v>
      </c>
      <c r="J487" t="inlineStr">
        <is>
          <t>kgCO₂e/km</t>
        </is>
      </c>
      <c r="K487">
        <f>Source!A17</f>
        <v/>
      </c>
      <c r="L487" t="inlineStr">
        <is>
          <t>Standard Emission Factors + Calculations (8).xlsx</t>
        </is>
      </c>
      <c r="Q487" t="inlineStr">
        <is>
          <t>mr_M1Im5lmlFTc90O7h-out_mh5OWJEQ9TzkSjax-0</t>
        </is>
      </c>
    </row>
    <row r="488">
      <c r="A488" t="inlineStr">
        <is>
          <t>dtp_1KY57MSHR1S0WZXG</t>
        </is>
      </c>
      <c r="B488" t="inlineStr">
        <is>
          <t>derived</t>
        </is>
      </c>
      <c r="C488" t="inlineStr">
        <is>
          <t>Biochar Applied - Allocated Delivery Distance (km)</t>
        </is>
      </c>
      <c r="D488" t="inlineStr">
        <is>
          <t>Delivery distance 196 mi (Google Maps, longest route via I-70, Fort Lupton CO -&gt; Brenner Farms Burlington CO). 196 mi x 1.609344 = 315.431 km.</t>
        </is>
      </c>
      <c r="E488" s="2" t="n">
        <v>48008.7</v>
      </c>
      <c r="F488" t="n">
        <v>0</v>
      </c>
      <c r="G488" t="inlineStr">
        <is>
          <t>m</t>
        </is>
      </c>
      <c r="H488" t="n">
        <v>48.0087</v>
      </c>
      <c r="I488" t="n">
        <v>0</v>
      </c>
      <c r="J488" t="inlineStr">
        <is>
          <t>km</t>
        </is>
      </c>
      <c r="K488">
        <f>Source!A40</f>
        <v/>
      </c>
      <c r="L488" t="inlineStr">
        <is>
          <t>Charm To Brenner Farms Distance (Google Maps, 196mi via I-70).png</t>
        </is>
      </c>
      <c r="Q488" t="inlineStr">
        <is>
          <t>mr_M1Im5lmlFTc90O7h-out_hfoA89qbvT5XX9zd-0</t>
        </is>
      </c>
    </row>
    <row r="489">
      <c r="A489" t="inlineStr">
        <is>
          <t>dtp_1KY57MT101S07Y0V</t>
        </is>
      </c>
      <c r="B489" t="inlineStr">
        <is>
          <t>reported</t>
        </is>
      </c>
      <c r="C489" t="inlineStr">
        <is>
          <t>Attribution factor</t>
        </is>
      </c>
      <c r="E489" s="2" t="n">
        <v>1</v>
      </c>
      <c r="F489" t="n">
        <v>0</v>
      </c>
      <c r="G489" t="inlineStr"/>
      <c r="H489" t="n">
        <v>1</v>
      </c>
      <c r="I489" t="n">
        <v>0</v>
      </c>
      <c r="J489" t="inlineStr"/>
    </row>
    <row r="490">
      <c r="A490" t="inlineStr">
        <is>
          <t>dtp_1KY57MT101S0A6B4</t>
        </is>
      </c>
      <c r="B490" t="inlineStr">
        <is>
          <t>reported</t>
        </is>
      </c>
      <c r="C490" t="inlineStr">
        <is>
          <t>Attribution factor</t>
        </is>
      </c>
      <c r="E490" s="2" t="n">
        <v>1</v>
      </c>
      <c r="F490" t="n">
        <v>0</v>
      </c>
      <c r="G490" t="inlineStr"/>
      <c r="H490" t="n">
        <v>1</v>
      </c>
      <c r="I490" t="n">
        <v>0</v>
      </c>
      <c r="J490" t="inlineStr"/>
    </row>
    <row r="491">
      <c r="A491" t="inlineStr">
        <is>
          <t>dtp_1KY57MT101S0F7R5</t>
        </is>
      </c>
      <c r="B491" t="inlineStr">
        <is>
          <t>reported</t>
        </is>
      </c>
      <c r="C491" t="inlineStr">
        <is>
          <t>Attribution factor</t>
        </is>
      </c>
      <c r="E491" s="2" t="n">
        <v>1</v>
      </c>
      <c r="F491" t="n">
        <v>0</v>
      </c>
      <c r="G491" t="inlineStr"/>
      <c r="H491" t="n">
        <v>1</v>
      </c>
      <c r="I491" t="n">
        <v>0</v>
      </c>
      <c r="J491" t="inlineStr"/>
    </row>
    <row r="492">
      <c r="A492" t="inlineStr">
        <is>
          <t>dtp_1KY57MT101S0VJWG</t>
        </is>
      </c>
      <c r="B492" t="inlineStr">
        <is>
          <t>reported</t>
        </is>
      </c>
      <c r="C492" t="inlineStr">
        <is>
          <t>Attribution factor</t>
        </is>
      </c>
      <c r="E492" s="2" t="n">
        <v>1</v>
      </c>
      <c r="F492" t="n">
        <v>0</v>
      </c>
      <c r="G492" t="inlineStr"/>
      <c r="H492" t="n">
        <v>1</v>
      </c>
      <c r="I492" t="n">
        <v>0</v>
      </c>
      <c r="J492" t="inlineStr"/>
    </row>
    <row r="493">
      <c r="A493" t="inlineStr">
        <is>
          <t>dtp_1KY57MWNM1S0KXN4</t>
        </is>
      </c>
      <c r="B493" t="inlineStr">
        <is>
          <t>derived</t>
        </is>
      </c>
      <c r="C493" t="inlineStr">
        <is>
          <t>Emissions Factor - Biochar Spreading</t>
        </is>
      </c>
      <c r="D493" t="inlineStr">
        <is>
          <t>Emissions Factor - Biochar Spreading</t>
        </is>
      </c>
      <c r="E493" s="2" t="n">
        <v>0.004</v>
      </c>
      <c r="F493" t="n">
        <v>0</v>
      </c>
      <c r="G493" t="inlineStr"/>
      <c r="H493" t="n">
        <v>0.004</v>
      </c>
      <c r="I493" t="n">
        <v>0</v>
      </c>
      <c r="J493" t="inlineStr">
        <is>
          <t>kgCO₂e/kg</t>
        </is>
      </c>
      <c r="K493">
        <f>Source!A4</f>
        <v/>
      </c>
      <c r="L493" t="inlineStr">
        <is>
          <t>Biochar Offtake Calculations.xlsx</t>
        </is>
      </c>
      <c r="Q493" t="inlineStr">
        <is>
          <t>mr_yi8DyGcbWkMfHm97-out_hf7qVV7KHcGk4thf-0</t>
        </is>
      </c>
    </row>
    <row r="494">
      <c r="A494" t="inlineStr">
        <is>
          <t>dtp_1KY57MY811S0P5ZD</t>
        </is>
      </c>
      <c r="B494" t="inlineStr">
        <is>
          <t>derived</t>
        </is>
      </c>
      <c r="C494" t="inlineStr">
        <is>
          <t>Biochar Applied (wet mass) (Spreading) - Applied</t>
        </is>
      </c>
      <c r="D494" t="inlineStr">
        <is>
          <t>Biochar Applied (wet mass) (Spreading) - Applied</t>
        </is>
      </c>
      <c r="E494" s="2" t="n">
        <v>190.95</v>
      </c>
      <c r="F494" t="n">
        <v>0</v>
      </c>
      <c r="G494" t="inlineStr">
        <is>
          <t>kg</t>
        </is>
      </c>
      <c r="H494" t="n">
        <v>190.95</v>
      </c>
      <c r="I494" t="n">
        <v>0</v>
      </c>
      <c r="J494" t="inlineStr">
        <is>
          <t>kg</t>
        </is>
      </c>
      <c r="K494">
        <f>Source!A25</f>
        <v/>
      </c>
      <c r="L494" t="inlineStr">
        <is>
          <t>Production Period 7 Summary.xlsx</t>
        </is>
      </c>
      <c r="M494">
        <f>Source!A51</f>
        <v/>
      </c>
      <c r="N494" t="inlineStr">
        <is>
          <t>Brenner Farms Delivery Notes.xlsx</t>
        </is>
      </c>
      <c r="Q494" t="inlineStr">
        <is>
          <t>mr_yi8DyGcbWkMfHm97-out_0jBoYHtsohNZ8PAk-0</t>
        </is>
      </c>
    </row>
    <row r="495">
      <c r="A495" t="inlineStr">
        <is>
          <t>dtp_1KY57N3071S0KCWN</t>
        </is>
      </c>
      <c r="B495" t="inlineStr">
        <is>
          <t>derived</t>
        </is>
      </c>
      <c r="C495" t="inlineStr">
        <is>
          <t>Biochar - H/C_org - Applied</t>
        </is>
      </c>
      <c r="D495" t="inlineStr">
        <is>
          <t>Biochar - H/C_org - Applied</t>
        </is>
      </c>
      <c r="E495" s="2" t="n">
        <v>0.41667</v>
      </c>
      <c r="F495" t="n">
        <v>0</v>
      </c>
      <c r="G495" t="inlineStr"/>
      <c r="H495" t="n">
        <v>0.41667</v>
      </c>
      <c r="I495" t="n">
        <v>0</v>
      </c>
      <c r="J495" t="inlineStr"/>
      <c r="K495">
        <f>Source!A26</f>
        <v/>
      </c>
      <c r="L495" t="inlineStr">
        <is>
          <t>256 - Combined Lab Analyses.pdf</t>
        </is>
      </c>
      <c r="Q495" t="inlineStr">
        <is>
          <t>mr_w2xO0vN8iSvL4lJJ-out_SlgcaWsappr9ZCL6-0</t>
        </is>
      </c>
    </row>
    <row r="496">
      <c r="A496" t="inlineStr">
        <is>
          <t>dtp_1KY57N3971S0QXH7</t>
        </is>
      </c>
      <c r="B496" t="inlineStr">
        <is>
          <t>derived</t>
        </is>
      </c>
      <c r="C496" t="inlineStr">
        <is>
          <t>Inorganic Carbon Content % - Applied</t>
        </is>
      </c>
      <c r="D496" t="inlineStr">
        <is>
          <t>Inorganic Carbon Content % - Applied</t>
        </is>
      </c>
      <c r="E496" s="2" t="n">
        <v>0.002333</v>
      </c>
      <c r="F496" t="n">
        <v>0</v>
      </c>
      <c r="G496" t="inlineStr"/>
      <c r="H496" t="n">
        <v>0.2333</v>
      </c>
      <c r="I496" t="n">
        <v>0</v>
      </c>
      <c r="J496" t="inlineStr">
        <is>
          <t>%</t>
        </is>
      </c>
      <c r="K496">
        <f>Source!A27</f>
        <v/>
      </c>
      <c r="L496" t="inlineStr">
        <is>
          <t>256 - Combined Lab Analyses.pdf</t>
        </is>
      </c>
      <c r="Q496" t="inlineStr">
        <is>
          <t>mr_w2xO0vN8iSvL4lJJ-out_RrRijQ8NSCwAInka-0</t>
        </is>
      </c>
    </row>
    <row r="497">
      <c r="A497" t="inlineStr">
        <is>
          <t>dtp_1KY57N50F1S0JW46</t>
        </is>
      </c>
      <c r="B497" t="inlineStr">
        <is>
          <t>derived</t>
        </is>
      </c>
      <c r="C497" t="inlineStr">
        <is>
          <t>Biochar Dry Weight (kg) (CO2 stored) - Applied</t>
        </is>
      </c>
      <c r="D497" t="inlineStr">
        <is>
          <t>Biochar Dry Weight (kg) (CO2 stored) - Applied</t>
        </is>
      </c>
      <c r="E497" s="2" t="n">
        <v>115.95164</v>
      </c>
      <c r="F497" t="n">
        <v>0</v>
      </c>
      <c r="G497" t="inlineStr">
        <is>
          <t>kg</t>
        </is>
      </c>
      <c r="H497" t="n">
        <v>115.95164</v>
      </c>
      <c r="I497" t="n">
        <v>0</v>
      </c>
      <c r="J497" t="inlineStr">
        <is>
          <t>kg</t>
        </is>
      </c>
      <c r="K497">
        <f>Source!A25</f>
        <v/>
      </c>
      <c r="L497" t="inlineStr">
        <is>
          <t>Production Period 7 Summary.xlsx</t>
        </is>
      </c>
      <c r="M497">
        <f>Source!A27</f>
        <v/>
      </c>
      <c r="N497" t="inlineStr">
        <is>
          <t>256 - Combined Lab Analyses.pdf</t>
        </is>
      </c>
      <c r="O497">
        <f>Source!A49</f>
        <v/>
      </c>
      <c r="P497" t="inlineStr">
        <is>
          <t>Summary - Biochar Inert &amp; Unprocessed.csv</t>
        </is>
      </c>
      <c r="Q497" t="inlineStr">
        <is>
          <t>mr_yi8DyGcbWkMfHm97-out_tHtEVo8cn1cKK0xD-0</t>
        </is>
      </c>
    </row>
    <row r="498">
      <c r="A498" t="inlineStr">
        <is>
          <t>dtp_1KY57N5G51S08SA4</t>
        </is>
      </c>
      <c r="B498" t="inlineStr">
        <is>
          <t>derived</t>
        </is>
      </c>
      <c r="C498" t="inlineStr">
        <is>
          <t>Biochar Applied - Soil Temperature (Cel)</t>
        </is>
      </c>
      <c r="D498" t="inlineStr">
        <is>
          <t>Biochar Applied - Soil Temperature (Cel)</t>
        </is>
      </c>
      <c r="E498" s="2" t="n">
        <v>284.35</v>
      </c>
      <c r="F498" t="n">
        <v>0</v>
      </c>
      <c r="G498" t="inlineStr">
        <is>
          <t>K</t>
        </is>
      </c>
      <c r="H498" t="n">
        <v>11.2</v>
      </c>
      <c r="I498" t="n">
        <v>0</v>
      </c>
      <c r="J498" t="inlineStr">
        <is>
          <t>°C</t>
        </is>
      </c>
      <c r="K498">
        <f>Source!A39</f>
        <v/>
      </c>
      <c r="L498" t="inlineStr">
        <is>
          <t>soil_temperature_1785168873474.csv</t>
        </is>
      </c>
      <c r="Q498" t="inlineStr">
        <is>
          <t>mr_w2xO0vN8iSvL4lJJ-out_WFEo3VxmWt0N3Yhc-0</t>
        </is>
      </c>
    </row>
    <row r="499">
      <c r="A499" t="inlineStr">
        <is>
          <t>dtp_1KY57N5Y81S0G31E</t>
        </is>
      </c>
      <c r="B499" t="inlineStr">
        <is>
          <t>derived</t>
        </is>
      </c>
      <c r="C499" t="inlineStr">
        <is>
          <t>Organic Carbon Content % - Applied</t>
        </is>
      </c>
      <c r="D499" t="inlineStr">
        <is>
          <t>Organic Carbon Content % - Applied</t>
        </is>
      </c>
      <c r="E499" s="2" t="n">
        <v>0.855</v>
      </c>
      <c r="F499" t="n">
        <v>0</v>
      </c>
      <c r="G499" t="inlineStr"/>
      <c r="H499" t="n">
        <v>85.5</v>
      </c>
      <c r="I499" t="n">
        <v>0</v>
      </c>
      <c r="J499" t="inlineStr">
        <is>
          <t>%</t>
        </is>
      </c>
      <c r="K499">
        <f>Source!A26</f>
        <v/>
      </c>
      <c r="L499" t="inlineStr">
        <is>
          <t>256 - Combined Lab Analyses.pdf</t>
        </is>
      </c>
      <c r="Q499" t="inlineStr">
        <is>
          <t>mr_yi8DyGcbWkMfHm97-out_ye14SNxRG8b285JB-0</t>
        </is>
      </c>
    </row>
    <row r="500">
      <c r="A500" t="inlineStr">
        <is>
          <t>dtp_1KY57N7EF1S088HN</t>
        </is>
      </c>
      <c r="B500" t="inlineStr">
        <is>
          <t>derived</t>
        </is>
      </c>
      <c r="C500" t="inlineStr">
        <is>
          <t>Biochar Output - Carbon Intensity - Applied</t>
        </is>
      </c>
      <c r="D500" t="inlineStr">
        <is>
          <t>CI 0 - over-inventory draw. PP256 pyrolysis emissions fully assigned FIFO to earlier removals; this leg carries none. Basis 123.75 kg. See Removals Tracker col K.</t>
        </is>
      </c>
      <c r="E500" s="2" t="n">
        <v>0</v>
      </c>
      <c r="F500" t="n">
        <v>0</v>
      </c>
      <c r="G500" t="inlineStr"/>
      <c r="H500" t="n">
        <v>0</v>
      </c>
      <c r="I500" t="n">
        <v>0</v>
      </c>
      <c r="J500" t="inlineStr">
        <is>
          <t>kgCO₂e/kg</t>
        </is>
      </c>
      <c r="K500">
        <f>Source!A38</f>
        <v/>
      </c>
      <c r="L500" t="inlineStr">
        <is>
          <t>Biochar CI Summary — All Production Periods.xlsx</t>
        </is>
      </c>
      <c r="M500">
        <f>Source!A25</f>
        <v/>
      </c>
      <c r="N500" t="inlineStr">
        <is>
          <t>Production Period 7 Summary.xlsx</t>
        </is>
      </c>
      <c r="Q500" t="inlineStr">
        <is>
          <t>mr_yi8DyGcbWkMfHm97-out_Oe27xWXZDsDMPXq9-0</t>
        </is>
      </c>
    </row>
    <row r="501">
      <c r="A501" t="inlineStr">
        <is>
          <t>dtp_1KY57N7XV1S0PW09</t>
        </is>
      </c>
      <c r="B501" t="inlineStr">
        <is>
          <t>derived</t>
        </is>
      </c>
      <c r="C501" t="inlineStr">
        <is>
          <t>Biochar Dry Product Weight (kg) (Pyrolysis) - Applied</t>
        </is>
      </c>
      <c r="D501" t="inlineStr">
        <is>
          <t>Charged draw 0 kg - PP256 fully drawn before this delivery. Delivery-note pyrolysis basis 123.75 kg at CI 0. See Removals Tracker col K.</t>
        </is>
      </c>
      <c r="E501" s="2" t="n">
        <v>0</v>
      </c>
      <c r="F501" t="n">
        <v>0</v>
      </c>
      <c r="G501" t="inlineStr">
        <is>
          <t>kg</t>
        </is>
      </c>
      <c r="H501" t="n">
        <v>0</v>
      </c>
      <c r="I501" t="n">
        <v>0</v>
      </c>
      <c r="J501" t="inlineStr">
        <is>
          <t>kg</t>
        </is>
      </c>
      <c r="K501">
        <f>Source!A25</f>
        <v/>
      </c>
      <c r="L501" t="inlineStr">
        <is>
          <t>Production Period 7 Summary.xlsx</t>
        </is>
      </c>
      <c r="M501">
        <f>Source!A51</f>
        <v/>
      </c>
      <c r="N501" t="inlineStr">
        <is>
          <t>Brenner Farms Delivery Notes.xlsx</t>
        </is>
      </c>
      <c r="Q501" t="inlineStr">
        <is>
          <t>mr_yi8DyGcbWkMfHm97-out_P5psgmcwdDniayBV-0</t>
        </is>
      </c>
    </row>
    <row r="502">
      <c r="A502" t="inlineStr">
        <is>
          <t>dtp_1KY57N8DE1S05FEX</t>
        </is>
      </c>
      <c r="B502" t="inlineStr">
        <is>
          <t>derived</t>
        </is>
      </c>
      <c r="C502" t="inlineStr">
        <is>
          <t>Copy - Truck EF</t>
        </is>
      </c>
      <c r="D502" t="inlineStr">
        <is>
          <t>Copy - Truck EF</t>
        </is>
      </c>
      <c r="E502" s="2" t="n">
        <v>8.599777300564702e-08</v>
      </c>
      <c r="F502" t="n">
        <v>0</v>
      </c>
      <c r="G502" t="inlineStr">
        <is>
          <t>1/m</t>
        </is>
      </c>
      <c r="H502" t="n">
        <v>0.1384</v>
      </c>
      <c r="I502" t="n">
        <v>0</v>
      </c>
      <c r="J502" t="inlineStr">
        <is>
          <t>kgCO₂e/(t⋅mi)</t>
        </is>
      </c>
      <c r="K502">
        <f>Source!A17</f>
        <v/>
      </c>
      <c r="L502" t="inlineStr">
        <is>
          <t>Standard Emission Factors + Calculations (8).xlsx</t>
        </is>
      </c>
      <c r="Q502" t="inlineStr">
        <is>
          <t>mr_yi8DyGcbWkMfHm97-out_kz09qsYg6N3uHg55-0</t>
        </is>
      </c>
    </row>
    <row r="503">
      <c r="A503" t="inlineStr">
        <is>
          <t>dtp_1KY57NABY1S07QS6</t>
        </is>
      </c>
      <c r="B503" t="inlineStr">
        <is>
          <t>derived</t>
        </is>
      </c>
      <c r="C503" t="inlineStr">
        <is>
          <t>Biochar Applied - Delivery Distance (km)</t>
        </is>
      </c>
      <c r="D503" t="inlineStr">
        <is>
          <t>Delivery distance 196 mi (Google Maps, longest route via I-70, Fort Lupton CO -&gt; Brenner Farms Burlington CO). 196 mi x 1.609344 = 315.431 km.</t>
        </is>
      </c>
      <c r="E503" s="2" t="n">
        <v>315431.424</v>
      </c>
      <c r="F503" t="n">
        <v>0</v>
      </c>
      <c r="G503" t="inlineStr">
        <is>
          <t>m</t>
        </is>
      </c>
      <c r="H503" t="n">
        <v>315.431424</v>
      </c>
      <c r="I503" t="n">
        <v>0</v>
      </c>
      <c r="J503" t="inlineStr">
        <is>
          <t>km</t>
        </is>
      </c>
      <c r="K503">
        <f>Source!A40</f>
        <v/>
      </c>
      <c r="L503" t="inlineStr">
        <is>
          <t>Charm To Brenner Farms Distance (Google Maps, 196mi via I-70).png</t>
        </is>
      </c>
      <c r="Q503" t="inlineStr">
        <is>
          <t>mr_yi8DyGcbWkMfHm97-out_mh2j8s9fAROxQE7o-0</t>
        </is>
      </c>
    </row>
    <row r="504">
      <c r="A504" t="inlineStr">
        <is>
          <t>dtp_1KY57NAXZ1S0PB7T</t>
        </is>
      </c>
      <c r="B504" t="inlineStr">
        <is>
          <t>derived</t>
        </is>
      </c>
      <c r="C504" t="inlineStr">
        <is>
          <t>Biochar Transported (kg) - Applied</t>
        </is>
      </c>
      <c r="D504" t="inlineStr">
        <is>
          <t>Biochar Transported (kg) - Applied</t>
        </is>
      </c>
      <c r="E504" s="2" t="n">
        <v>203</v>
      </c>
      <c r="F504" t="n">
        <v>0</v>
      </c>
      <c r="G504" t="inlineStr">
        <is>
          <t>kg</t>
        </is>
      </c>
      <c r="H504" t="n">
        <v>203</v>
      </c>
      <c r="I504" t="n">
        <v>0</v>
      </c>
      <c r="J504" t="inlineStr">
        <is>
          <t>kg</t>
        </is>
      </c>
      <c r="K504">
        <f>Source!A25</f>
        <v/>
      </c>
      <c r="L504" t="inlineStr">
        <is>
          <t>Production Period 7 Summary.xlsx</t>
        </is>
      </c>
      <c r="M504">
        <f>Source!A51</f>
        <v/>
      </c>
      <c r="N504" t="inlineStr">
        <is>
          <t>Brenner Farms Delivery Notes.xlsx</t>
        </is>
      </c>
      <c r="Q504" t="inlineStr">
        <is>
          <t>mr_yi8DyGcbWkMfHm97-out_sVIPjpDBrGPnpupv-0</t>
        </is>
      </c>
    </row>
    <row r="505">
      <c r="A505" t="inlineStr">
        <is>
          <t>dtp_1KY57NBDV1S04YPE</t>
        </is>
      </c>
      <c r="B505" t="inlineStr">
        <is>
          <t>derived</t>
        </is>
      </c>
      <c r="C505" t="inlineStr">
        <is>
          <t>Emissions Factor - Flatbed Truck Transport Embodied Emissions (2025, CO)</t>
        </is>
      </c>
      <c r="D505" t="inlineStr">
        <is>
          <t>Emissions Factor - Flatbed Truck Transport Embodied Emissions (2025, CO)</t>
        </is>
      </c>
      <c r="E505" s="2" t="n">
        <v>0.000119795</v>
      </c>
      <c r="F505" t="n">
        <v>0</v>
      </c>
      <c r="G505" t="inlineStr">
        <is>
          <t>kg/m</t>
        </is>
      </c>
      <c r="H505" t="n">
        <v>0.119795</v>
      </c>
      <c r="I505" t="n">
        <v>0</v>
      </c>
      <c r="J505" t="inlineStr">
        <is>
          <t>kgCO₂e/km</t>
        </is>
      </c>
      <c r="K505">
        <f>Source!A17</f>
        <v/>
      </c>
      <c r="L505" t="inlineStr">
        <is>
          <t>Standard Emission Factors + Calculations (8).xlsx</t>
        </is>
      </c>
      <c r="Q505" t="inlineStr">
        <is>
          <t>mr_yi8DyGcbWkMfHm97-out_mh5OWJEQ9TzkSjax-0</t>
        </is>
      </c>
    </row>
    <row r="506">
      <c r="A506" t="inlineStr">
        <is>
          <t>dtp_1KY57NBWN1S0C8DR</t>
        </is>
      </c>
      <c r="B506" t="inlineStr">
        <is>
          <t>derived</t>
        </is>
      </c>
      <c r="C506" t="inlineStr">
        <is>
          <t>Biochar Applied - Allocated Delivery Distance (km)</t>
        </is>
      </c>
      <c r="D506" t="inlineStr">
        <is>
          <t>Delivery distance 196 mi (Google Maps, longest route via I-70, Fort Lupton CO -&gt; Brenner Farms Burlington CO). 196 mi x 1.609344 = 315.431 km.</t>
        </is>
      </c>
      <c r="E506" s="2" t="n">
        <v>6844.9</v>
      </c>
      <c r="F506" t="n">
        <v>0</v>
      </c>
      <c r="G506" t="inlineStr">
        <is>
          <t>m</t>
        </is>
      </c>
      <c r="H506" t="n">
        <v>6.8449</v>
      </c>
      <c r="I506" t="n">
        <v>0</v>
      </c>
      <c r="J506" t="inlineStr">
        <is>
          <t>km</t>
        </is>
      </c>
      <c r="K506">
        <f>Source!A40</f>
        <v/>
      </c>
      <c r="L506" t="inlineStr">
        <is>
          <t>Charm To Brenner Farms Distance (Google Maps, 196mi via I-70).png</t>
        </is>
      </c>
      <c r="Q506" t="inlineStr">
        <is>
          <t>mr_yi8DyGcbWkMfHm97-out_hfoA89qbvT5XX9zd-0</t>
        </is>
      </c>
    </row>
    <row r="507">
      <c r="A507" t="inlineStr">
        <is>
          <t>dtp_1KY57NCC21S00RJP</t>
        </is>
      </c>
      <c r="B507" t="inlineStr">
        <is>
          <t>reported</t>
        </is>
      </c>
      <c r="C507" t="inlineStr">
        <is>
          <t>Attribution factor</t>
        </is>
      </c>
      <c r="E507" s="2" t="n">
        <v>1</v>
      </c>
      <c r="F507" t="n">
        <v>0</v>
      </c>
      <c r="G507" t="inlineStr"/>
      <c r="H507" t="n">
        <v>1</v>
      </c>
      <c r="I507" t="n">
        <v>0</v>
      </c>
      <c r="J507" t="inlineStr"/>
    </row>
    <row r="508">
      <c r="A508" t="inlineStr">
        <is>
          <t>dtp_1KY57NCC21S082A0</t>
        </is>
      </c>
      <c r="B508" t="inlineStr">
        <is>
          <t>reported</t>
        </is>
      </c>
      <c r="C508" t="inlineStr">
        <is>
          <t>Attribution factor</t>
        </is>
      </c>
      <c r="E508" s="2" t="n">
        <v>1</v>
      </c>
      <c r="F508" t="n">
        <v>0</v>
      </c>
      <c r="G508" t="inlineStr"/>
      <c r="H508" t="n">
        <v>1</v>
      </c>
      <c r="I508" t="n">
        <v>0</v>
      </c>
      <c r="J508" t="inlineStr"/>
    </row>
    <row r="509">
      <c r="A509" t="inlineStr">
        <is>
          <t>dtp_1KY57NCC21S0D3Q1</t>
        </is>
      </c>
      <c r="B509" t="inlineStr">
        <is>
          <t>reported</t>
        </is>
      </c>
      <c r="C509" t="inlineStr">
        <is>
          <t>Attribution factor</t>
        </is>
      </c>
      <c r="E509" s="2" t="n">
        <v>1</v>
      </c>
      <c r="F509" t="n">
        <v>0</v>
      </c>
      <c r="G509" t="inlineStr"/>
      <c r="H509" t="n">
        <v>1</v>
      </c>
      <c r="I509" t="n">
        <v>0</v>
      </c>
      <c r="J509" t="inlineStr"/>
    </row>
    <row r="510">
      <c r="A510" t="inlineStr">
        <is>
          <t>dtp_1KY57NCC21S0SEVC</t>
        </is>
      </c>
      <c r="B510" t="inlineStr">
        <is>
          <t>reported</t>
        </is>
      </c>
      <c r="C510" t="inlineStr">
        <is>
          <t>Attribution factor</t>
        </is>
      </c>
      <c r="E510" s="2" t="n">
        <v>1</v>
      </c>
      <c r="F510" t="n">
        <v>0</v>
      </c>
      <c r="G510" t="inlineStr"/>
      <c r="H510" t="n">
        <v>1</v>
      </c>
      <c r="I510" t="n">
        <v>0</v>
      </c>
      <c r="J510" t="inlineStr"/>
    </row>
    <row r="511">
      <c r="A511" t="inlineStr">
        <is>
          <t>dtp_1KY57NCC21S0VQ5N</t>
        </is>
      </c>
      <c r="B511" t="inlineStr">
        <is>
          <t>reported</t>
        </is>
      </c>
      <c r="C511" t="inlineStr">
        <is>
          <t>Attribution factor</t>
        </is>
      </c>
      <c r="E511" s="2" t="n">
        <v>1</v>
      </c>
      <c r="F511" t="n">
        <v>0</v>
      </c>
      <c r="G511" t="inlineStr"/>
      <c r="H511" t="n">
        <v>1</v>
      </c>
      <c r="I511" t="n">
        <v>0</v>
      </c>
      <c r="J511" t="inlineStr"/>
    </row>
    <row r="512">
      <c r="A512" t="inlineStr">
        <is>
          <t>dtp_1KY5G75M51S0H7W9</t>
        </is>
      </c>
      <c r="B512" t="inlineStr">
        <is>
          <t>derived</t>
        </is>
      </c>
      <c r="C512" t="inlineStr">
        <is>
          <t>Emissions Factor - Biochar Spreading</t>
        </is>
      </c>
      <c r="D512" t="inlineStr">
        <is>
          <t>Emissions Factor - Biochar Spreading</t>
        </is>
      </c>
      <c r="E512" s="2" t="n">
        <v>0.004</v>
      </c>
      <c r="F512" t="n">
        <v>0</v>
      </c>
      <c r="G512" t="inlineStr"/>
      <c r="H512" t="n">
        <v>0.004</v>
      </c>
      <c r="I512" t="n">
        <v>0</v>
      </c>
      <c r="J512" t="inlineStr">
        <is>
          <t>kgCO₂e/kg</t>
        </is>
      </c>
      <c r="K512">
        <f>Source!A4</f>
        <v/>
      </c>
      <c r="L512" t="inlineStr">
        <is>
          <t>Biochar Offtake Calculations.xlsx</t>
        </is>
      </c>
      <c r="Q512" t="inlineStr">
        <is>
          <t>mr_qnGPx1mjacSF1L31-out_hf7qVV7KHcGk4thf-0</t>
        </is>
      </c>
    </row>
    <row r="513">
      <c r="A513" t="inlineStr">
        <is>
          <t>dtp_1KY5G761Z1S0ZVAX</t>
        </is>
      </c>
      <c r="B513" t="inlineStr">
        <is>
          <t>derived</t>
        </is>
      </c>
      <c r="C513" t="inlineStr">
        <is>
          <t>Biochar Applied (wet mass) (Spreading) - Applied</t>
        </is>
      </c>
      <c r="D513" t="inlineStr">
        <is>
          <t>Biochar Applied (wet mass) (Spreading) - Applied</t>
        </is>
      </c>
      <c r="E513" s="2" t="n">
        <v>6301.35</v>
      </c>
      <c r="F513" t="n">
        <v>0</v>
      </c>
      <c r="G513" t="inlineStr">
        <is>
          <t>kg</t>
        </is>
      </c>
      <c r="H513" t="n">
        <v>6301.35</v>
      </c>
      <c r="I513" t="n">
        <v>0</v>
      </c>
      <c r="J513" t="inlineStr">
        <is>
          <t>kg</t>
        </is>
      </c>
      <c r="K513">
        <f>Source!A51</f>
        <v/>
      </c>
      <c r="L513" t="inlineStr">
        <is>
          <t>Brenner Farms Delivery Notes.xlsx</t>
        </is>
      </c>
      <c r="Q513" t="inlineStr">
        <is>
          <t>mr_qnGPx1mjacSF1L31-out_0jBoYHtsohNZ8PAk-0</t>
        </is>
      </c>
    </row>
    <row r="514">
      <c r="A514" t="inlineStr">
        <is>
          <t>dtp_1KY5G76HQ1S07527</t>
        </is>
      </c>
      <c r="B514" t="inlineStr">
        <is>
          <t>derived</t>
        </is>
      </c>
      <c r="C514" t="inlineStr">
        <is>
          <t>Biochar - H/C_org - Applied</t>
        </is>
      </c>
      <c r="D514" t="inlineStr">
        <is>
          <t>Biochar - H/C_org - Applied</t>
        </is>
      </c>
      <c r="E514" s="2" t="n">
        <v>0.46</v>
      </c>
      <c r="F514" t="n">
        <v>0</v>
      </c>
      <c r="G514" t="inlineStr"/>
      <c r="H514" t="n">
        <v>0.46</v>
      </c>
      <c r="I514" t="n">
        <v>0</v>
      </c>
      <c r="J514" t="inlineStr"/>
      <c r="K514">
        <f>Source!A34</f>
        <v/>
      </c>
      <c r="L514" t="inlineStr">
        <is>
          <t>5110270 Custom Biochar Reports.pdf</t>
        </is>
      </c>
      <c r="Q514" t="inlineStr">
        <is>
          <t>mr_hp1ewDklL0danJpz-out_SlgcaWsappr9ZCL6-0</t>
        </is>
      </c>
    </row>
    <row r="515">
      <c r="A515" t="inlineStr">
        <is>
          <t>dtp_1KY5G76YQ1S0EESH</t>
        </is>
      </c>
      <c r="B515" t="inlineStr">
        <is>
          <t>derived</t>
        </is>
      </c>
      <c r="C515" t="inlineStr">
        <is>
          <t>Inorganic Carbon Content % - Applied</t>
        </is>
      </c>
      <c r="D515" t="inlineStr">
        <is>
          <t>Inorganic Carbon Content % - Applied</t>
        </is>
      </c>
      <c r="E515" s="2" t="n">
        <v>0.002</v>
      </c>
      <c r="F515" t="n">
        <v>0</v>
      </c>
      <c r="G515" t="inlineStr"/>
      <c r="H515" t="n">
        <v>0.2</v>
      </c>
      <c r="I515" t="n">
        <v>0</v>
      </c>
      <c r="J515" t="inlineStr">
        <is>
          <t>%</t>
        </is>
      </c>
      <c r="K515">
        <f>Source!A34</f>
        <v/>
      </c>
      <c r="L515" t="inlineStr">
        <is>
          <t>5110270 Custom Biochar Reports.pdf</t>
        </is>
      </c>
      <c r="Q515" t="inlineStr">
        <is>
          <t>mr_hp1ewDklL0danJpz-out_RrRijQ8NSCwAInka-0</t>
        </is>
      </c>
    </row>
    <row r="516">
      <c r="A516" t="inlineStr">
        <is>
          <t>dtp_1KY5G77FG1S0NRGV</t>
        </is>
      </c>
      <c r="B516" t="inlineStr">
        <is>
          <t>derived</t>
        </is>
      </c>
      <c r="C516" t="inlineStr">
        <is>
          <t>Biochar Dry Weight (kg) (CO2 stored) - Applied</t>
        </is>
      </c>
      <c r="D516" t="inlineStr">
        <is>
          <t>Biochar Dry Weight (kg) (CO2 stored) - Applied</t>
        </is>
      </c>
      <c r="E516" s="2" t="n">
        <v>3805.9858</v>
      </c>
      <c r="F516" t="n">
        <v>0</v>
      </c>
      <c r="G516" t="inlineStr">
        <is>
          <t>kg</t>
        </is>
      </c>
      <c r="H516" t="n">
        <v>3805.9858</v>
      </c>
      <c r="I516" t="n">
        <v>0</v>
      </c>
      <c r="J516" t="inlineStr">
        <is>
          <t>kg</t>
        </is>
      </c>
      <c r="K516">
        <f>Source!A34</f>
        <v/>
      </c>
      <c r="L516" t="inlineStr">
        <is>
          <t>5110270 Custom Biochar Reports.pdf</t>
        </is>
      </c>
      <c r="M516">
        <f>Source!A51</f>
        <v/>
      </c>
      <c r="N516" t="inlineStr">
        <is>
          <t>Brenner Farms Delivery Notes.xlsx</t>
        </is>
      </c>
      <c r="Q516" t="inlineStr">
        <is>
          <t>mr_qnGPx1mjacSF1L31-out_tHtEVo8cn1cKK0xD-0</t>
        </is>
      </c>
    </row>
    <row r="517">
      <c r="A517" t="inlineStr">
        <is>
          <t>dtp_1KY5G77XA1S0X285</t>
        </is>
      </c>
      <c r="B517" t="inlineStr">
        <is>
          <t>derived</t>
        </is>
      </c>
      <c r="C517" t="inlineStr">
        <is>
          <t>Biochar Applied - Soil Temperature (Cel)</t>
        </is>
      </c>
      <c r="D517" t="inlineStr">
        <is>
          <t>Biochar Applied - Soil Temperature (Cel)</t>
        </is>
      </c>
      <c r="E517" s="2" t="n">
        <v>284.35</v>
      </c>
      <c r="F517" t="n">
        <v>0</v>
      </c>
      <c r="G517" t="inlineStr">
        <is>
          <t>K</t>
        </is>
      </c>
      <c r="H517" t="n">
        <v>11.2</v>
      </c>
      <c r="I517" t="n">
        <v>0</v>
      </c>
      <c r="J517" t="inlineStr">
        <is>
          <t>°C</t>
        </is>
      </c>
      <c r="K517">
        <f>Source!A39</f>
        <v/>
      </c>
      <c r="L517" t="inlineStr">
        <is>
          <t>soil_temperature_1785168873474.csv</t>
        </is>
      </c>
      <c r="Q517" t="inlineStr">
        <is>
          <t>mr_hp1ewDklL0danJpz-out_WFEo3VxmWt0N3Yhc-0</t>
        </is>
      </c>
    </row>
    <row r="518">
      <c r="A518" t="inlineStr">
        <is>
          <t>dtp_1KY5G78BB1S04BZF</t>
        </is>
      </c>
      <c r="B518" t="inlineStr">
        <is>
          <t>derived</t>
        </is>
      </c>
      <c r="C518" t="inlineStr">
        <is>
          <t>Organic Carbon Content % - Applied</t>
        </is>
      </c>
      <c r="D518" t="inlineStr">
        <is>
          <t>Organic Carbon Content % - Applied</t>
        </is>
      </c>
      <c r="E518" s="2" t="n">
        <v>0.832667</v>
      </c>
      <c r="F518" t="n">
        <v>0</v>
      </c>
      <c r="G518" t="inlineStr"/>
      <c r="H518" t="n">
        <v>83.2667</v>
      </c>
      <c r="I518" t="n">
        <v>0</v>
      </c>
      <c r="J518" t="inlineStr">
        <is>
          <t>%</t>
        </is>
      </c>
      <c r="K518">
        <f>Source!A34</f>
        <v/>
      </c>
      <c r="L518" t="inlineStr">
        <is>
          <t>5110270 Custom Biochar Reports.pdf</t>
        </is>
      </c>
      <c r="Q518" t="inlineStr">
        <is>
          <t>mr_qnGPx1mjacSF1L31-out_ye14SNxRG8b285JB-0</t>
        </is>
      </c>
    </row>
    <row r="519">
      <c r="A519" t="inlineStr">
        <is>
          <t>dtp_1KY5G79ZB1S06M9R</t>
        </is>
      </c>
      <c r="B519" t="inlineStr">
        <is>
          <t>derived</t>
        </is>
      </c>
      <c r="C519" t="inlineStr">
        <is>
          <t>Copy - Truck EF</t>
        </is>
      </c>
      <c r="D519" t="inlineStr">
        <is>
          <t>Copy - Truck EF</t>
        </is>
      </c>
      <c r="E519" s="2" t="n">
        <v>8.599777300564702e-08</v>
      </c>
      <c r="F519" t="n">
        <v>0</v>
      </c>
      <c r="G519" t="inlineStr">
        <is>
          <t>1/m</t>
        </is>
      </c>
      <c r="H519" t="n">
        <v>0.1384</v>
      </c>
      <c r="I519" t="n">
        <v>0</v>
      </c>
      <c r="J519" t="inlineStr">
        <is>
          <t>kgCO₂e/(t⋅mi)</t>
        </is>
      </c>
      <c r="K519">
        <f>Source!A17</f>
        <v/>
      </c>
      <c r="L519" t="inlineStr">
        <is>
          <t>Standard Emission Factors + Calculations (8).xlsx</t>
        </is>
      </c>
      <c r="Q519" t="inlineStr">
        <is>
          <t>mr_qnGPx1mjacSF1L31-out_kz09qsYg6N3uHg55-0</t>
        </is>
      </c>
    </row>
    <row r="520">
      <c r="A520" t="inlineStr">
        <is>
          <t>dtp_1KY5G7C1M1S08WM1</t>
        </is>
      </c>
      <c r="B520" t="inlineStr">
        <is>
          <t>derived</t>
        </is>
      </c>
      <c r="C520" t="inlineStr">
        <is>
          <t>Biochar Applied - Delivery Distance (km)</t>
        </is>
      </c>
      <c r="D520" t="inlineStr">
        <is>
          <t>Delivery distance 196 mi (Google Maps, longest route via I-70, Fort Lupton CO -&gt; Brenner Farms Burlington CO). 196 mi x 1.609344 = 315.431 km.</t>
        </is>
      </c>
      <c r="E520" s="2" t="n">
        <v>315431.424</v>
      </c>
      <c r="F520" t="n">
        <v>0</v>
      </c>
      <c r="G520" t="inlineStr">
        <is>
          <t>m</t>
        </is>
      </c>
      <c r="H520" t="n">
        <v>315.431424</v>
      </c>
      <c r="I520" t="n">
        <v>0</v>
      </c>
      <c r="J520" t="inlineStr">
        <is>
          <t>km</t>
        </is>
      </c>
      <c r="K520">
        <f>Source!A40</f>
        <v/>
      </c>
      <c r="L520" t="inlineStr">
        <is>
          <t>Charm To Brenner Farms Distance (Google Maps, 196mi via I-70).png</t>
        </is>
      </c>
      <c r="Q520" t="inlineStr">
        <is>
          <t>mr_qnGPx1mjacSF1L31-out_mh2j8s9fAROxQE7o-0</t>
        </is>
      </c>
    </row>
    <row r="521">
      <c r="A521" t="inlineStr">
        <is>
          <t>dtp_1KY5G7DPZ1S0QG2N</t>
        </is>
      </c>
      <c r="B521" t="inlineStr">
        <is>
          <t>derived</t>
        </is>
      </c>
      <c r="C521" t="inlineStr">
        <is>
          <t>Biochar Transported (kg) - Applied</t>
        </is>
      </c>
      <c r="D521" t="inlineStr">
        <is>
          <t>Biochar Transported (kg) - Applied</t>
        </is>
      </c>
      <c r="E521" s="2" t="n">
        <v>6699</v>
      </c>
      <c r="F521" t="n">
        <v>0</v>
      </c>
      <c r="G521" t="inlineStr">
        <is>
          <t>kg</t>
        </is>
      </c>
      <c r="H521" t="n">
        <v>6699</v>
      </c>
      <c r="I521" t="n">
        <v>0</v>
      </c>
      <c r="J521" t="inlineStr">
        <is>
          <t>kg</t>
        </is>
      </c>
      <c r="K521">
        <f>Source!A51</f>
        <v/>
      </c>
      <c r="L521" t="inlineStr">
        <is>
          <t>Brenner Farms Delivery Notes.xlsx</t>
        </is>
      </c>
      <c r="Q521" t="inlineStr">
        <is>
          <t>mr_qnGPx1mjacSF1L31-out_sVIPjpDBrGPnpupv-0</t>
        </is>
      </c>
    </row>
    <row r="522">
      <c r="A522" t="inlineStr">
        <is>
          <t>dtp_1KY5G7E4F1S0YSSZ</t>
        </is>
      </c>
      <c r="B522" t="inlineStr">
        <is>
          <t>derived</t>
        </is>
      </c>
      <c r="C522" t="inlineStr">
        <is>
          <t>Emissions Factor - Flatbed Truck Transport Embodied Emissions (2025, CO)</t>
        </is>
      </c>
      <c r="D522" t="inlineStr">
        <is>
          <t>Emissions Factor - Flatbed Truck Transport Embodied Emissions (2025, CO)</t>
        </is>
      </c>
      <c r="E522" s="2" t="n">
        <v>0.000119795</v>
      </c>
      <c r="F522" t="n">
        <v>0</v>
      </c>
      <c r="G522" t="inlineStr">
        <is>
          <t>kg/m</t>
        </is>
      </c>
      <c r="H522" t="n">
        <v>0.119795</v>
      </c>
      <c r="I522" t="n">
        <v>0</v>
      </c>
      <c r="J522" t="inlineStr">
        <is>
          <t>kgCO₂e/km</t>
        </is>
      </c>
      <c r="K522">
        <f>Source!A17</f>
        <v/>
      </c>
      <c r="L522" t="inlineStr">
        <is>
          <t>Standard Emission Factors + Calculations (8).xlsx</t>
        </is>
      </c>
      <c r="Q522" t="inlineStr">
        <is>
          <t>mr_qnGPx1mjacSF1L31-out_mh5OWJEQ9TzkSjax-0</t>
        </is>
      </c>
    </row>
    <row r="523">
      <c r="A523" t="inlineStr">
        <is>
          <t>dtp_1KY5G7EKV1S063H9</t>
        </is>
      </c>
      <c r="B523" t="inlineStr">
        <is>
          <t>derived</t>
        </is>
      </c>
      <c r="C523" t="inlineStr">
        <is>
          <t>Biochar Applied - Allocated Delivery Distance (km)</t>
        </is>
      </c>
      <c r="D523" t="inlineStr">
        <is>
          <t>Delivery distance 196 mi (Google Maps, longest route via I-70, Fort Lupton CO -&gt; Brenner Farms Burlington CO). 196 mi x 1.609344 = 315.431 km.</t>
        </is>
      </c>
      <c r="E523" s="2" t="n">
        <v>226290.5</v>
      </c>
      <c r="F523" t="n">
        <v>0</v>
      </c>
      <c r="G523" t="inlineStr">
        <is>
          <t>m</t>
        </is>
      </c>
      <c r="H523" t="n">
        <v>226.2905</v>
      </c>
      <c r="I523" t="n">
        <v>0</v>
      </c>
      <c r="J523" t="inlineStr">
        <is>
          <t>km</t>
        </is>
      </c>
      <c r="K523">
        <f>Source!A40</f>
        <v/>
      </c>
      <c r="L523" t="inlineStr">
        <is>
          <t>Charm To Brenner Farms Distance (Google Maps, 196mi via I-70).png</t>
        </is>
      </c>
      <c r="Q523" t="inlineStr">
        <is>
          <t>mr_qnGPx1mjacSF1L31-out_hfoA89qbvT5XX9zd-0</t>
        </is>
      </c>
    </row>
    <row r="524">
      <c r="A524" t="inlineStr">
        <is>
          <t>dtp_1KY5G7F3N1S04PG9</t>
        </is>
      </c>
      <c r="B524" t="inlineStr">
        <is>
          <t>reported</t>
        </is>
      </c>
      <c r="C524" t="inlineStr">
        <is>
          <t>Attribution factor</t>
        </is>
      </c>
      <c r="E524" s="2" t="n">
        <v>1</v>
      </c>
      <c r="F524" t="n">
        <v>0</v>
      </c>
      <c r="G524" t="inlineStr"/>
      <c r="H524" t="n">
        <v>1</v>
      </c>
      <c r="I524" t="n">
        <v>0</v>
      </c>
      <c r="J524" t="inlineStr"/>
    </row>
    <row r="525">
      <c r="A525" t="inlineStr">
        <is>
          <t>dtp_1KY5G7F3N1S0H1MM</t>
        </is>
      </c>
      <c r="B525" t="inlineStr">
        <is>
          <t>reported</t>
        </is>
      </c>
      <c r="C525" t="inlineStr">
        <is>
          <t>Attribution factor</t>
        </is>
      </c>
      <c r="E525" s="2" t="n">
        <v>1</v>
      </c>
      <c r="F525" t="n">
        <v>0</v>
      </c>
      <c r="G525" t="inlineStr"/>
      <c r="H525" t="n">
        <v>1</v>
      </c>
      <c r="I525" t="n">
        <v>0</v>
      </c>
      <c r="J525" t="inlineStr"/>
    </row>
    <row r="526">
      <c r="A526" t="inlineStr">
        <is>
          <t>dtp_1KY5G7F3N1S0K9YX</t>
        </is>
      </c>
      <c r="B526" t="inlineStr">
        <is>
          <t>reported</t>
        </is>
      </c>
      <c r="C526" t="inlineStr">
        <is>
          <t>Attribution factor</t>
        </is>
      </c>
      <c r="E526" s="2" t="n">
        <v>1</v>
      </c>
      <c r="F526" t="n">
        <v>0</v>
      </c>
      <c r="G526" t="inlineStr"/>
      <c r="H526" t="n">
        <v>1</v>
      </c>
      <c r="I526" t="n">
        <v>0</v>
      </c>
      <c r="J526" t="inlineStr"/>
    </row>
    <row r="527">
      <c r="A527" t="inlineStr">
        <is>
          <t>dtp_1KY5G7F3N1S0RBBY</t>
        </is>
      </c>
      <c r="B527" t="inlineStr">
        <is>
          <t>reported</t>
        </is>
      </c>
      <c r="C527" t="inlineStr">
        <is>
          <t>Attribution factor</t>
        </is>
      </c>
      <c r="E527" s="2" t="n">
        <v>1</v>
      </c>
      <c r="F527" t="n">
        <v>0</v>
      </c>
      <c r="G527" t="inlineStr"/>
      <c r="H527" t="n">
        <v>1</v>
      </c>
      <c r="I527" t="n">
        <v>0</v>
      </c>
      <c r="J527" t="inlineStr"/>
    </row>
    <row r="528">
      <c r="A528" t="inlineStr">
        <is>
          <t>dtp_1KYA6A07M1S0XXZJ</t>
        </is>
      </c>
      <c r="B528" t="inlineStr">
        <is>
          <t>derived</t>
        </is>
      </c>
      <c r="C528" t="inlineStr">
        <is>
          <t>Emissions Factor - Biochar Spreading</t>
        </is>
      </c>
      <c r="D528" t="inlineStr">
        <is>
          <t>Emissions Factor - Biochar Spreading</t>
        </is>
      </c>
      <c r="E528" s="2" t="n">
        <v>0.004</v>
      </c>
      <c r="F528" t="n">
        <v>0</v>
      </c>
      <c r="G528" t="inlineStr"/>
      <c r="H528" t="n">
        <v>0.004</v>
      </c>
      <c r="I528" t="n">
        <v>0</v>
      </c>
      <c r="J528" t="inlineStr">
        <is>
          <t>kgCO₂e/kg</t>
        </is>
      </c>
      <c r="K528">
        <f>Source!A4</f>
        <v/>
      </c>
      <c r="L528" t="inlineStr">
        <is>
          <t>Biochar Offtake Calculations.xlsx</t>
        </is>
      </c>
      <c r="Q528" t="inlineStr">
        <is>
          <t>mr_DmKjPhFOflZCYuu8-out_hf7qVV7KHcGk4thf-0</t>
        </is>
      </c>
    </row>
    <row r="529">
      <c r="A529" t="inlineStr">
        <is>
          <t>dtp_1KYA6A2PZ1S0F2AS</t>
        </is>
      </c>
      <c r="B529" t="inlineStr">
        <is>
          <t>derived</t>
        </is>
      </c>
      <c r="C529" t="inlineStr">
        <is>
          <t>Biochar Applied (wet mass) (Spreading) - Applied</t>
        </is>
      </c>
      <c r="D529" t="inlineStr">
        <is>
          <t>Biochar Applied (wet mass) (Spreading) - Applied</t>
        </is>
      </c>
      <c r="E529" s="2" t="n">
        <v>4498.9</v>
      </c>
      <c r="F529" t="n">
        <v>0</v>
      </c>
      <c r="G529" t="inlineStr">
        <is>
          <t>kg</t>
        </is>
      </c>
      <c r="H529" t="n">
        <v>4498.9</v>
      </c>
      <c r="I529" t="n">
        <v>0</v>
      </c>
      <c r="J529" t="inlineStr">
        <is>
          <t>kg</t>
        </is>
      </c>
      <c r="K529">
        <f>Source!A25</f>
        <v/>
      </c>
      <c r="L529" t="inlineStr">
        <is>
          <t>Production Period 7 Summary.xlsx</t>
        </is>
      </c>
      <c r="M529">
        <f>Source!A46</f>
        <v/>
      </c>
      <c r="N529" t="inlineStr">
        <is>
          <t>20260121_Scale_Ticket.pdf</t>
        </is>
      </c>
      <c r="O529">
        <f>Source!A51</f>
        <v/>
      </c>
      <c r="P529" t="inlineStr">
        <is>
          <t>Brenner Farms Delivery Notes.xlsx</t>
        </is>
      </c>
      <c r="Q529" t="inlineStr">
        <is>
          <t>mr_DmKjPhFOflZCYuu8-out_0jBoYHtsohNZ8PAk-0</t>
        </is>
      </c>
    </row>
    <row r="530">
      <c r="A530" t="inlineStr">
        <is>
          <t>dtp_1KYA6A7Q61S0HSF1</t>
        </is>
      </c>
      <c r="B530" t="inlineStr">
        <is>
          <t>derived</t>
        </is>
      </c>
      <c r="C530" t="inlineStr">
        <is>
          <t>Biochar - H/C_org - Applied</t>
        </is>
      </c>
      <c r="D530" t="inlineStr">
        <is>
          <t>Biochar - H/C_org - Applied</t>
        </is>
      </c>
      <c r="E530" s="2" t="n">
        <v>0.41667</v>
      </c>
      <c r="F530" t="n">
        <v>0</v>
      </c>
      <c r="G530" t="inlineStr"/>
      <c r="H530" t="n">
        <v>0.41667</v>
      </c>
      <c r="I530" t="n">
        <v>0</v>
      </c>
      <c r="J530" t="inlineStr"/>
      <c r="K530">
        <f>Source!A27</f>
        <v/>
      </c>
      <c r="L530" t="inlineStr">
        <is>
          <t>256 - Combined Lab Analyses.pdf</t>
        </is>
      </c>
      <c r="Q530" t="inlineStr">
        <is>
          <t>mr_7LiTebgkKvS8GSid-out_SlgcaWsappr9ZCL6-0</t>
        </is>
      </c>
    </row>
    <row r="531">
      <c r="A531" t="inlineStr">
        <is>
          <t>dtp_1KYA6A8931S0FG5G</t>
        </is>
      </c>
      <c r="B531" t="inlineStr">
        <is>
          <t>derived</t>
        </is>
      </c>
      <c r="C531" t="inlineStr">
        <is>
          <t>Inorganic Carbon Content % - Applied</t>
        </is>
      </c>
      <c r="D531" t="inlineStr">
        <is>
          <t>Inorganic Carbon Content % - Applied</t>
        </is>
      </c>
      <c r="E531" s="2" t="n">
        <v>0.002333</v>
      </c>
      <c r="F531" t="n">
        <v>0</v>
      </c>
      <c r="G531" t="inlineStr"/>
      <c r="H531" t="n">
        <v>0.2333</v>
      </c>
      <c r="I531" t="n">
        <v>0</v>
      </c>
      <c r="J531" t="inlineStr">
        <is>
          <t>%</t>
        </is>
      </c>
      <c r="K531">
        <f>Source!A27</f>
        <v/>
      </c>
      <c r="L531" t="inlineStr">
        <is>
          <t>256 - Combined Lab Analyses.pdf</t>
        </is>
      </c>
      <c r="Q531" t="inlineStr">
        <is>
          <t>mr_7LiTebgkKvS8GSid-out_RrRijQ8NSCwAInka-0</t>
        </is>
      </c>
    </row>
    <row r="532">
      <c r="A532" t="inlineStr">
        <is>
          <t>dtp_1KYA6A9T11S0H7QA</t>
        </is>
      </c>
      <c r="B532" t="inlineStr">
        <is>
          <t>derived</t>
        </is>
      </c>
      <c r="C532" t="inlineStr">
        <is>
          <t>Biochar Dry Weight (kg) (CO2 stored) - Applied</t>
        </is>
      </c>
      <c r="D532" t="inlineStr">
        <is>
          <t>Biochar Dry Weight (kg) (CO2 stored) - Applied</t>
        </is>
      </c>
      <c r="E532" s="2" t="n">
        <v>2487.1264</v>
      </c>
      <c r="F532" t="n">
        <v>0</v>
      </c>
      <c r="G532" t="inlineStr">
        <is>
          <t>kg</t>
        </is>
      </c>
      <c r="H532" t="n">
        <v>2487.1264</v>
      </c>
      <c r="I532" t="n">
        <v>0</v>
      </c>
      <c r="J532" t="inlineStr">
        <is>
          <t>kg</t>
        </is>
      </c>
      <c r="K532">
        <f>Source!A25</f>
        <v/>
      </c>
      <c r="L532" t="inlineStr">
        <is>
          <t>Production Period 7 Summary.xlsx</t>
        </is>
      </c>
      <c r="M532">
        <f>Source!A46</f>
        <v/>
      </c>
      <c r="N532" t="inlineStr">
        <is>
          <t>20260121_Scale_Ticket.pdf</t>
        </is>
      </c>
      <c r="O532">
        <f>Source!A27</f>
        <v/>
      </c>
      <c r="P532" t="inlineStr">
        <is>
          <t>256 - Combined Lab Analyses.pdf</t>
        </is>
      </c>
      <c r="Q532" t="inlineStr">
        <is>
          <t>mr_DmKjPhFOflZCYuu8-out_tHtEVo8cn1cKK0xD-0</t>
        </is>
      </c>
    </row>
    <row r="533">
      <c r="A533" t="inlineStr">
        <is>
          <t>dtp_1KYA6AA271S0TSRX</t>
        </is>
      </c>
      <c r="B533" t="inlineStr">
        <is>
          <t>derived</t>
        </is>
      </c>
      <c r="C533" t="inlineStr">
        <is>
          <t>Biochar Applied - Soil Temperature (Cel)</t>
        </is>
      </c>
      <c r="D533" t="inlineStr">
        <is>
          <t>Biochar Applied - Soil Temperature (Cel)</t>
        </is>
      </c>
      <c r="E533" s="2" t="n">
        <v>284.35</v>
      </c>
      <c r="F533" t="n">
        <v>0</v>
      </c>
      <c r="G533" t="inlineStr">
        <is>
          <t>K</t>
        </is>
      </c>
      <c r="H533" t="n">
        <v>11.2</v>
      </c>
      <c r="I533" t="n">
        <v>0</v>
      </c>
      <c r="J533" t="inlineStr">
        <is>
          <t>°C</t>
        </is>
      </c>
      <c r="K533">
        <f>Source!A39</f>
        <v/>
      </c>
      <c r="L533" t="inlineStr">
        <is>
          <t>soil_temperature_1785168873474.csv</t>
        </is>
      </c>
      <c r="Q533" t="inlineStr">
        <is>
          <t>mr_7LiTebgkKvS8GSid-out_WFEo3VxmWt0N3Yhc-0</t>
        </is>
      </c>
    </row>
    <row r="534">
      <c r="A534" t="inlineStr">
        <is>
          <t>dtp_1KYA6AAGY1S023G7</t>
        </is>
      </c>
      <c r="B534" t="inlineStr">
        <is>
          <t>derived</t>
        </is>
      </c>
      <c r="C534" t="inlineStr">
        <is>
          <t>Organic Carbon Content % - Applied</t>
        </is>
      </c>
      <c r="D534" t="inlineStr">
        <is>
          <t>Organic Carbon Content % - Applied</t>
        </is>
      </c>
      <c r="E534" s="2" t="n">
        <v>0.855</v>
      </c>
      <c r="F534" t="n">
        <v>0</v>
      </c>
      <c r="G534" t="inlineStr"/>
      <c r="H534" t="n">
        <v>85.5</v>
      </c>
      <c r="I534" t="n">
        <v>0</v>
      </c>
      <c r="J534" t="inlineStr">
        <is>
          <t>%</t>
        </is>
      </c>
      <c r="K534">
        <f>Source!A27</f>
        <v/>
      </c>
      <c r="L534" t="inlineStr">
        <is>
          <t>256 - Combined Lab Analyses.pdf</t>
        </is>
      </c>
      <c r="Q534" t="inlineStr">
        <is>
          <t>mr_DmKjPhFOflZCYuu8-out_ye14SNxRG8b285JB-0</t>
        </is>
      </c>
    </row>
    <row r="535">
      <c r="A535" t="inlineStr">
        <is>
          <t>dtp_1KYA6AEV31S0Y8WH</t>
        </is>
      </c>
      <c r="B535" t="inlineStr">
        <is>
          <t>derived</t>
        </is>
      </c>
      <c r="C535" t="inlineStr">
        <is>
          <t>Biochar Output - Carbon Intensity - Applied</t>
        </is>
      </c>
      <c r="D535" t="inlineStr">
        <is>
          <t>Biochar Output - Carbon Intensity - Applied</t>
        </is>
      </c>
      <c r="E535" s="2" t="n">
        <v>1.2918</v>
      </c>
      <c r="F535" t="n">
        <v>0</v>
      </c>
      <c r="G535" t="inlineStr"/>
      <c r="H535" t="n">
        <v>1.2918</v>
      </c>
      <c r="I535" t="n">
        <v>0</v>
      </c>
      <c r="J535" t="inlineStr">
        <is>
          <t>kgCO₂e/kg</t>
        </is>
      </c>
      <c r="K535">
        <f>Source!A38</f>
        <v/>
      </c>
      <c r="L535" t="inlineStr">
        <is>
          <t>Biochar CI Summary — All Production Periods.xlsx</t>
        </is>
      </c>
      <c r="M535">
        <f>Source!A25</f>
        <v/>
      </c>
      <c r="N535" t="inlineStr">
        <is>
          <t>Production Period 7 Summary.xlsx</t>
        </is>
      </c>
      <c r="Q535" t="inlineStr">
        <is>
          <t>mr_DmKjPhFOflZCYuu8-out_Oe27xWXZDsDMPXq9-0</t>
        </is>
      </c>
    </row>
    <row r="536">
      <c r="A536" t="inlineStr">
        <is>
          <t>dtp_1KYA6AFAA1S0CWB5</t>
        </is>
      </c>
      <c r="B536" t="inlineStr">
        <is>
          <t>derived</t>
        </is>
      </c>
      <c r="C536" t="inlineStr">
        <is>
          <t>Biochar Dry Product Weight (kg) (Pyrolysis) - Applied</t>
        </is>
      </c>
      <c r="D536" t="inlineStr">
        <is>
          <t>Biochar Dry Product Weight (kg) (Pyrolysis) - Applied</t>
        </is>
      </c>
      <c r="E536" s="2" t="n">
        <v>1174.35</v>
      </c>
      <c r="F536" t="n">
        <v>0</v>
      </c>
      <c r="G536" t="inlineStr">
        <is>
          <t>kg</t>
        </is>
      </c>
      <c r="H536" t="n">
        <v>1174.35</v>
      </c>
      <c r="I536" t="n">
        <v>0</v>
      </c>
      <c r="J536" t="inlineStr">
        <is>
          <t>kg</t>
        </is>
      </c>
      <c r="K536">
        <f>Source!A25</f>
        <v/>
      </c>
      <c r="L536" t="inlineStr">
        <is>
          <t>Production Period 7 Summary.xlsx</t>
        </is>
      </c>
      <c r="M536">
        <f>Source!A46</f>
        <v/>
      </c>
      <c r="N536" t="inlineStr">
        <is>
          <t>20260121_Scale_Ticket.pdf</t>
        </is>
      </c>
      <c r="O536">
        <f>Source!A51</f>
        <v/>
      </c>
      <c r="P536" t="inlineStr">
        <is>
          <t>Brenner Farms Delivery Notes.xlsx</t>
        </is>
      </c>
      <c r="Q536" t="inlineStr">
        <is>
          <t>mr_DmKjPhFOflZCYuu8-out_P5psgmcwdDniayBV-0</t>
        </is>
      </c>
    </row>
    <row r="537">
      <c r="A537" t="inlineStr">
        <is>
          <t>dtp_1KYA6AHTR1S0PPZ2</t>
        </is>
      </c>
      <c r="B537" t="inlineStr">
        <is>
          <t>derived</t>
        </is>
      </c>
      <c r="C537" t="inlineStr">
        <is>
          <t>Copy - Truck EF</t>
        </is>
      </c>
      <c r="D537" t="inlineStr">
        <is>
          <t>Copy - Truck EF</t>
        </is>
      </c>
      <c r="E537" s="2" t="n">
        <v>8.398204485802911e-08</v>
      </c>
      <c r="F537" t="n">
        <v>0</v>
      </c>
      <c r="G537" t="inlineStr">
        <is>
          <t>1/m</t>
        </is>
      </c>
      <c r="H537" t="n">
        <v>0.135156</v>
      </c>
      <c r="I537" t="n">
        <v>0</v>
      </c>
      <c r="J537" t="inlineStr">
        <is>
          <t>kgCO₂e/(t⋅mi)</t>
        </is>
      </c>
      <c r="K537">
        <f>Source!A17</f>
        <v/>
      </c>
      <c r="L537" t="inlineStr">
        <is>
          <t>Standard Emission Factors + Calculations (8).xlsx</t>
        </is>
      </c>
      <c r="Q537" t="inlineStr">
        <is>
          <t>mr_DmKjPhFOflZCYuu8-out_kz09qsYg6N3uHg55-0</t>
        </is>
      </c>
    </row>
    <row r="538">
      <c r="A538" t="inlineStr">
        <is>
          <t>dtp_1KYA6AKJ21S0C3CH</t>
        </is>
      </c>
      <c r="B538" t="inlineStr">
        <is>
          <t>derived</t>
        </is>
      </c>
      <c r="C538" t="inlineStr">
        <is>
          <t>Biochar Applied - Delivery Distance (km)</t>
        </is>
      </c>
      <c r="D538" t="inlineStr">
        <is>
          <t>Delivery distance 196 mi (Google Maps, longest route via I-70, Fort Lupton CO -&gt; Brenner Farms Burlington CO). 196 mi x 1.609344 = 315.431 km.</t>
        </is>
      </c>
      <c r="E538" s="2" t="n">
        <v>315431.424</v>
      </c>
      <c r="F538" t="n">
        <v>0</v>
      </c>
      <c r="G538" t="inlineStr">
        <is>
          <t>m</t>
        </is>
      </c>
      <c r="H538" t="n">
        <v>315.431424</v>
      </c>
      <c r="I538" t="n">
        <v>0</v>
      </c>
      <c r="J538" t="inlineStr">
        <is>
          <t>km</t>
        </is>
      </c>
      <c r="K538">
        <f>Source!A40</f>
        <v/>
      </c>
      <c r="L538" t="inlineStr">
        <is>
          <t>Charm To Brenner Farms Distance (Google Maps, 196mi via I-70).png</t>
        </is>
      </c>
      <c r="Q538" t="inlineStr">
        <is>
          <t>mr_DmKjPhFOflZCYuu8-out_mh2j8s9fAROxQE7o-0</t>
        </is>
      </c>
    </row>
    <row r="539">
      <c r="A539" t="inlineStr">
        <is>
          <t>dtp_1KYA6AM3Y1S0WZ5E</t>
        </is>
      </c>
      <c r="B539" t="inlineStr">
        <is>
          <t>derived</t>
        </is>
      </c>
      <c r="C539" t="inlineStr">
        <is>
          <t>Biochar Transported (kg) - Applied</t>
        </is>
      </c>
      <c r="D539" t="inlineStr">
        <is>
          <t>Biochar Transported (kg) - Applied</t>
        </is>
      </c>
      <c r="E539" s="2" t="n">
        <v>4703.74904</v>
      </c>
      <c r="F539" t="n">
        <v>0</v>
      </c>
      <c r="G539" t="inlineStr">
        <is>
          <t>kg</t>
        </is>
      </c>
      <c r="H539" t="n">
        <v>4703.74904</v>
      </c>
      <c r="I539" t="n">
        <v>0</v>
      </c>
      <c r="J539" t="inlineStr">
        <is>
          <t>kg</t>
        </is>
      </c>
      <c r="K539">
        <f>Source!A25</f>
        <v/>
      </c>
      <c r="L539" t="inlineStr">
        <is>
          <t>Production Period 7 Summary.xlsx</t>
        </is>
      </c>
      <c r="M539">
        <f>Source!A46</f>
        <v/>
      </c>
      <c r="N539" t="inlineStr">
        <is>
          <t>20260121_Scale_Ticket.pdf</t>
        </is>
      </c>
      <c r="O539">
        <f>Source!A51</f>
        <v/>
      </c>
      <c r="P539" t="inlineStr">
        <is>
          <t>Brenner Farms Delivery Notes.xlsx</t>
        </is>
      </c>
      <c r="Q539" t="inlineStr">
        <is>
          <t>mr_DmKjPhFOflZCYuu8-out_sVIPjpDBrGPnpupv-0</t>
        </is>
      </c>
    </row>
    <row r="540">
      <c r="A540" t="inlineStr">
        <is>
          <t>dtp_1KYA6AMJV1S0WECZ</t>
        </is>
      </c>
      <c r="B540" t="inlineStr">
        <is>
          <t>derived</t>
        </is>
      </c>
      <c r="C540" t="inlineStr">
        <is>
          <t>Emissions Factor - Flatbed Truck Transport Embodied Emissions (2025, CO)</t>
        </is>
      </c>
      <c r="D540" t="inlineStr">
        <is>
          <t>Emissions Factor - Flatbed Truck Transport Embodied Emissions (2025, CO)</t>
        </is>
      </c>
      <c r="E540" s="2" t="n">
        <v>4.01e-05</v>
      </c>
      <c r="F540" t="n">
        <v>0</v>
      </c>
      <c r="G540" t="inlineStr">
        <is>
          <t>kg/m</t>
        </is>
      </c>
      <c r="H540" t="n">
        <v>0.0401</v>
      </c>
      <c r="I540" t="n">
        <v>0</v>
      </c>
      <c r="J540" t="inlineStr">
        <is>
          <t>kgCO₂e/km</t>
        </is>
      </c>
      <c r="K540">
        <f>Source!A17</f>
        <v/>
      </c>
      <c r="L540" t="inlineStr">
        <is>
          <t>Standard Emission Factors + Calculations (8).xlsx</t>
        </is>
      </c>
      <c r="Q540" t="inlineStr">
        <is>
          <t>mr_DmKjPhFOflZCYuu8-out_mh5OWJEQ9TzkSjax-0</t>
        </is>
      </c>
    </row>
    <row r="541">
      <c r="A541" t="inlineStr">
        <is>
          <t>dtp_1KYA6AN6K1S00Z1H</t>
        </is>
      </c>
      <c r="B541" t="inlineStr">
        <is>
          <t>derived</t>
        </is>
      </c>
      <c r="C541" t="inlineStr">
        <is>
          <t>Biochar Applied - Allocated Delivery Distance (km)</t>
        </is>
      </c>
      <c r="D541" t="inlineStr">
        <is>
          <t>Delivery distance 196 mi (Google Maps, longest route via I-70, Fort Lupton CO -&gt; Brenner Farms Burlington CO). 196 mi x 1.609344 = 315.431 km.</t>
        </is>
      </c>
      <c r="E541" s="2" t="n">
        <v>107246.7</v>
      </c>
      <c r="F541" t="n">
        <v>0</v>
      </c>
      <c r="G541" t="inlineStr">
        <is>
          <t>m</t>
        </is>
      </c>
      <c r="H541" t="n">
        <v>107.2467</v>
      </c>
      <c r="I541" t="n">
        <v>0</v>
      </c>
      <c r="J541" t="inlineStr">
        <is>
          <t>km</t>
        </is>
      </c>
      <c r="K541">
        <f>Source!A40</f>
        <v/>
      </c>
      <c r="L541" t="inlineStr">
        <is>
          <t>Charm To Brenner Farms Distance (Google Maps, 196mi via I-70).png</t>
        </is>
      </c>
      <c r="Q541" t="inlineStr">
        <is>
          <t>mr_DmKjPhFOflZCYuu8-out_hfoA89qbvT5XX9zd-0</t>
        </is>
      </c>
    </row>
    <row r="542">
      <c r="A542" t="inlineStr">
        <is>
          <t>dtp_1KYA6ANEE1S001SR</t>
        </is>
      </c>
      <c r="B542" t="inlineStr">
        <is>
          <t>reported</t>
        </is>
      </c>
      <c r="C542" t="inlineStr">
        <is>
          <t>Attribution factor</t>
        </is>
      </c>
      <c r="E542" s="2" t="n">
        <v>1</v>
      </c>
      <c r="F542" t="n">
        <v>0</v>
      </c>
      <c r="G542" t="inlineStr"/>
      <c r="H542" t="n">
        <v>1</v>
      </c>
      <c r="I542" t="n">
        <v>0</v>
      </c>
      <c r="J542" t="inlineStr"/>
    </row>
    <row r="543">
      <c r="A543" t="inlineStr">
        <is>
          <t>dtp_1KYA6ANEE1S0536S</t>
        </is>
      </c>
      <c r="B543" t="inlineStr">
        <is>
          <t>reported</t>
        </is>
      </c>
      <c r="C543" t="inlineStr">
        <is>
          <t>Attribution factor</t>
        </is>
      </c>
      <c r="E543" s="2" t="n">
        <v>1</v>
      </c>
      <c r="F543" t="n">
        <v>0</v>
      </c>
      <c r="G543" t="inlineStr"/>
      <c r="H543" t="n">
        <v>1</v>
      </c>
      <c r="I543" t="n">
        <v>0</v>
      </c>
      <c r="J543" t="inlineStr"/>
    </row>
    <row r="544">
      <c r="A544" t="inlineStr">
        <is>
          <t>dtp_1KYA6ANEE1S0HEB4</t>
        </is>
      </c>
      <c r="B544" t="inlineStr">
        <is>
          <t>reported</t>
        </is>
      </c>
      <c r="C544" t="inlineStr">
        <is>
          <t>Attribution factor</t>
        </is>
      </c>
      <c r="E544" s="2" t="n">
        <v>1</v>
      </c>
      <c r="F544" t="n">
        <v>0</v>
      </c>
      <c r="G544" t="inlineStr"/>
      <c r="H544" t="n">
        <v>1</v>
      </c>
      <c r="I544" t="n">
        <v>0</v>
      </c>
      <c r="J544" t="inlineStr"/>
    </row>
    <row r="545">
      <c r="A545" t="inlineStr">
        <is>
          <t>dtp_1KYA6ANEE1S0KPND</t>
        </is>
      </c>
      <c r="B545" t="inlineStr">
        <is>
          <t>reported</t>
        </is>
      </c>
      <c r="C545" t="inlineStr">
        <is>
          <t>Attribution factor</t>
        </is>
      </c>
      <c r="E545" s="2" t="n">
        <v>1</v>
      </c>
      <c r="F545" t="n">
        <v>0</v>
      </c>
      <c r="G545" t="inlineStr"/>
      <c r="H545" t="n">
        <v>1</v>
      </c>
      <c r="I545" t="n">
        <v>0</v>
      </c>
      <c r="J545" t="inlineStr"/>
    </row>
    <row r="546">
      <c r="A546" t="inlineStr">
        <is>
          <t>dtp_1KYA6ANEE1S0RR2E</t>
        </is>
      </c>
      <c r="B546" t="inlineStr">
        <is>
          <t>reported</t>
        </is>
      </c>
      <c r="C546" t="inlineStr">
        <is>
          <t>Attribution factor</t>
        </is>
      </c>
      <c r="E546" s="2" t="n">
        <v>1</v>
      </c>
      <c r="F546" t="n">
        <v>0</v>
      </c>
      <c r="G546" t="inlineStr"/>
      <c r="H546" t="n">
        <v>1</v>
      </c>
      <c r="I546" t="n">
        <v>0</v>
      </c>
      <c r="J546" t="inlineStr"/>
    </row>
    <row r="547">
      <c r="A547" t="inlineStr">
        <is>
          <t>dtp_1KYA74EZY1S0PDA4</t>
        </is>
      </c>
      <c r="B547" t="inlineStr">
        <is>
          <t>derived</t>
        </is>
      </c>
      <c r="C547" t="inlineStr">
        <is>
          <t>Emissions Factor - Biochar Spreading</t>
        </is>
      </c>
      <c r="D547" t="inlineStr">
        <is>
          <t>Emissions Factor - Biochar Spreading</t>
        </is>
      </c>
      <c r="E547" s="2" t="n">
        <v>0.004</v>
      </c>
      <c r="F547" t="n">
        <v>0</v>
      </c>
      <c r="G547" t="inlineStr"/>
      <c r="H547" t="n">
        <v>0.004</v>
      </c>
      <c r="I547" t="n">
        <v>0</v>
      </c>
      <c r="J547" t="inlineStr">
        <is>
          <t>kgCO₂e/kg</t>
        </is>
      </c>
      <c r="K547">
        <f>Source!A4</f>
        <v/>
      </c>
      <c r="L547" t="inlineStr">
        <is>
          <t>Biochar Offtake Calculations.xlsx</t>
        </is>
      </c>
      <c r="Q547" t="inlineStr">
        <is>
          <t>mr_L5QE8QYrVveJNRjL-out_hf7qVV7KHcGk4thf-0</t>
        </is>
      </c>
    </row>
    <row r="548">
      <c r="A548" t="inlineStr">
        <is>
          <t>dtp_1KYA74GGH1S0RNMD</t>
        </is>
      </c>
      <c r="B548" t="inlineStr">
        <is>
          <t>derived</t>
        </is>
      </c>
      <c r="C548" t="inlineStr">
        <is>
          <t>Biochar Applied (wet mass) (Spreading) - Applied</t>
        </is>
      </c>
      <c r="D548" t="inlineStr">
        <is>
          <t>Biochar Applied (wet mass) (Spreading) - Applied</t>
        </is>
      </c>
      <c r="E548" s="2" t="n">
        <v>615.08</v>
      </c>
      <c r="F548" t="n">
        <v>0</v>
      </c>
      <c r="G548" t="inlineStr">
        <is>
          <t>kg</t>
        </is>
      </c>
      <c r="H548" t="n">
        <v>615.08</v>
      </c>
      <c r="I548" t="n">
        <v>0</v>
      </c>
      <c r="J548" t="inlineStr">
        <is>
          <t>kg</t>
        </is>
      </c>
      <c r="K548">
        <f>Source!A36</f>
        <v/>
      </c>
      <c r="L548" t="inlineStr">
        <is>
          <t>Production Period 5 Summary.xlsx</t>
        </is>
      </c>
      <c r="M548">
        <f>Source!A45</f>
        <v/>
      </c>
      <c r="N548" t="inlineStr">
        <is>
          <t>March 20 Brenner Farms Scale Ticket.png</t>
        </is>
      </c>
      <c r="O548">
        <f>Source!A51</f>
        <v/>
      </c>
      <c r="P548" t="inlineStr">
        <is>
          <t>Brenner Farms Delivery Notes.xlsx</t>
        </is>
      </c>
      <c r="Q548" t="inlineStr">
        <is>
          <t>mr_L5QE8QYrVveJNRjL-out_0jBoYHtsohNZ8PAk-0</t>
        </is>
      </c>
    </row>
    <row r="549">
      <c r="A549" t="inlineStr">
        <is>
          <t>dtp_1KYA74NGP1S0NWHN</t>
        </is>
      </c>
      <c r="B549" t="inlineStr">
        <is>
          <t>derived</t>
        </is>
      </c>
      <c r="C549" t="inlineStr">
        <is>
          <t>Biochar - H/C_org - Applied</t>
        </is>
      </c>
      <c r="D549" t="inlineStr">
        <is>
          <t>Biochar - H/C_org - Applied</t>
        </is>
      </c>
      <c r="E549" s="2" t="n">
        <v>0.28667</v>
      </c>
      <c r="F549" t="n">
        <v>0</v>
      </c>
      <c r="G549" t="inlineStr"/>
      <c r="H549" t="n">
        <v>0.28667</v>
      </c>
      <c r="I549" t="n">
        <v>0</v>
      </c>
      <c r="J549" t="inlineStr"/>
      <c r="K549">
        <f>Source!A35</f>
        <v/>
      </c>
      <c r="L549" t="inlineStr">
        <is>
          <t>254 - Combined Lab Analyses.pdf</t>
        </is>
      </c>
      <c r="Q549" t="inlineStr">
        <is>
          <t>mr_uFdIALzl6QUOrWOy-out_SlgcaWsappr9ZCL6-0</t>
        </is>
      </c>
    </row>
    <row r="550">
      <c r="A550" t="inlineStr">
        <is>
          <t>dtp_1KYA74P3B1S0TD67</t>
        </is>
      </c>
      <c r="B550" t="inlineStr">
        <is>
          <t>derived</t>
        </is>
      </c>
      <c r="C550" t="inlineStr">
        <is>
          <t>Inorganic Carbon Content % - Applied</t>
        </is>
      </c>
      <c r="D550" t="inlineStr">
        <is>
          <t>Inorganic Carbon Content % - Applied</t>
        </is>
      </c>
      <c r="E550" s="2" t="n">
        <v>0.004</v>
      </c>
      <c r="F550" t="n">
        <v>0</v>
      </c>
      <c r="G550" t="inlineStr"/>
      <c r="H550" t="n">
        <v>0.4</v>
      </c>
      <c r="I550" t="n">
        <v>0</v>
      </c>
      <c r="J550" t="inlineStr">
        <is>
          <t>%</t>
        </is>
      </c>
      <c r="K550">
        <f>Source!A35</f>
        <v/>
      </c>
      <c r="L550" t="inlineStr">
        <is>
          <t>254 - Combined Lab Analyses.pdf</t>
        </is>
      </c>
      <c r="Q550" t="inlineStr">
        <is>
          <t>mr_uFdIALzl6QUOrWOy-out_RrRijQ8NSCwAInka-0</t>
        </is>
      </c>
    </row>
    <row r="551">
      <c r="A551" t="inlineStr">
        <is>
          <t>dtp_1KYA74RK21S0NBS6</t>
        </is>
      </c>
      <c r="B551" t="inlineStr">
        <is>
          <t>derived</t>
        </is>
      </c>
      <c r="C551" t="inlineStr">
        <is>
          <t>Biochar Dry Weight (kg) (CO2 stored) - Applied</t>
        </is>
      </c>
      <c r="D551" t="inlineStr">
        <is>
          <t>Biochar Dry Weight (kg) (CO2 stored) - Applied</t>
        </is>
      </c>
      <c r="E551" s="2" t="n">
        <v>451.9126661</v>
      </c>
      <c r="F551" t="n">
        <v>0</v>
      </c>
      <c r="G551" t="inlineStr">
        <is>
          <t>kg</t>
        </is>
      </c>
      <c r="H551" t="n">
        <v>451.9126661</v>
      </c>
      <c r="I551" t="n">
        <v>0</v>
      </c>
      <c r="J551" t="inlineStr">
        <is>
          <t>kg</t>
        </is>
      </c>
      <c r="K551">
        <f>Source!A36</f>
        <v/>
      </c>
      <c r="L551" t="inlineStr">
        <is>
          <t>Production Period 5 Summary.xlsx</t>
        </is>
      </c>
      <c r="M551">
        <f>Source!A37</f>
        <v/>
      </c>
      <c r="N551" t="inlineStr">
        <is>
          <t>Summary - Biochar Inert &amp; Unprocessed.csv</t>
        </is>
      </c>
      <c r="O551">
        <f>Source!A45</f>
        <v/>
      </c>
      <c r="P551" t="inlineStr">
        <is>
          <t>March 20 Brenner Farms Scale Ticket.png</t>
        </is>
      </c>
      <c r="Q551" t="inlineStr">
        <is>
          <t>mr_L5QE8QYrVveJNRjL-out_tHtEVo8cn1cKK0xD-0</t>
        </is>
      </c>
    </row>
    <row r="552">
      <c r="A552" t="inlineStr">
        <is>
          <t>dtp_1KYA74S3P1S0B8Z4</t>
        </is>
      </c>
      <c r="B552" t="inlineStr">
        <is>
          <t>derived</t>
        </is>
      </c>
      <c r="C552" t="inlineStr">
        <is>
          <t>Biochar Applied - Soil Temperature (Cel)</t>
        </is>
      </c>
      <c r="D552" t="inlineStr">
        <is>
          <t>Biochar Applied - Soil Temperature (Cel)</t>
        </is>
      </c>
      <c r="E552" s="2" t="n">
        <v>284.35</v>
      </c>
      <c r="F552" t="n">
        <v>0</v>
      </c>
      <c r="G552" t="inlineStr">
        <is>
          <t>K</t>
        </is>
      </c>
      <c r="H552" t="n">
        <v>11.2</v>
      </c>
      <c r="I552" t="n">
        <v>0</v>
      </c>
      <c r="J552" t="inlineStr">
        <is>
          <t>°C</t>
        </is>
      </c>
      <c r="K552">
        <f>Source!A39</f>
        <v/>
      </c>
      <c r="L552" t="inlineStr">
        <is>
          <t>soil_temperature_1785168873474.csv</t>
        </is>
      </c>
      <c r="Q552" t="inlineStr">
        <is>
          <t>mr_uFdIALzl6QUOrWOy-out_WFEo3VxmWt0N3Yhc-0</t>
        </is>
      </c>
    </row>
    <row r="553">
      <c r="A553" t="inlineStr">
        <is>
          <t>dtp_1KYA74SB21S0JJPE</t>
        </is>
      </c>
      <c r="B553" t="inlineStr">
        <is>
          <t>derived</t>
        </is>
      </c>
      <c r="C553" t="inlineStr">
        <is>
          <t>Organic Carbon Content % - Applied</t>
        </is>
      </c>
      <c r="D553" t="inlineStr">
        <is>
          <t>Organic Carbon Content % - Applied</t>
        </is>
      </c>
      <c r="E553" s="2" t="n">
        <v>0.90067</v>
      </c>
      <c r="F553" t="n">
        <v>0</v>
      </c>
      <c r="G553" t="inlineStr"/>
      <c r="H553" t="n">
        <v>90.06699999999999</v>
      </c>
      <c r="I553" t="n">
        <v>0</v>
      </c>
      <c r="J553" t="inlineStr">
        <is>
          <t>%</t>
        </is>
      </c>
      <c r="K553">
        <f>Source!A35</f>
        <v/>
      </c>
      <c r="L553" t="inlineStr">
        <is>
          <t>254 - Combined Lab Analyses.pdf</t>
        </is>
      </c>
      <c r="Q553" t="inlineStr">
        <is>
          <t>mr_L5QE8QYrVveJNRjL-out_ye14SNxRG8b285JB-0</t>
        </is>
      </c>
    </row>
    <row r="554">
      <c r="A554" t="inlineStr">
        <is>
          <t>dtp_1KYA74WDP1S0VKZJ</t>
        </is>
      </c>
      <c r="B554" t="inlineStr">
        <is>
          <t>derived</t>
        </is>
      </c>
      <c r="C554" t="inlineStr">
        <is>
          <t>Copy - Truck EF</t>
        </is>
      </c>
      <c r="D554" t="inlineStr">
        <is>
          <t>Copy - Truck EF</t>
        </is>
      </c>
      <c r="E554" s="2" t="n">
        <v>8.599777300564702e-08</v>
      </c>
      <c r="F554" t="n">
        <v>0</v>
      </c>
      <c r="G554" t="inlineStr">
        <is>
          <t>1/m</t>
        </is>
      </c>
      <c r="H554" t="n">
        <v>0.1384</v>
      </c>
      <c r="I554" t="n">
        <v>0</v>
      </c>
      <c r="J554" t="inlineStr">
        <is>
          <t>kgCO₂e/(t⋅mi)</t>
        </is>
      </c>
      <c r="K554">
        <f>Source!A17</f>
        <v/>
      </c>
      <c r="L554" t="inlineStr">
        <is>
          <t>Standard Emission Factors + Calculations (8).xlsx</t>
        </is>
      </c>
      <c r="Q554" t="inlineStr">
        <is>
          <t>mr_L5QE8QYrVveJNRjL-out_kz09qsYg6N3uHg55-0</t>
        </is>
      </c>
    </row>
    <row r="555">
      <c r="A555" t="inlineStr">
        <is>
          <t>dtp_1KYA74YCQ1S0XW9V</t>
        </is>
      </c>
      <c r="B555" t="inlineStr">
        <is>
          <t>derived</t>
        </is>
      </c>
      <c r="C555" t="inlineStr">
        <is>
          <t>Biochar Applied - Delivery Distance (km)</t>
        </is>
      </c>
      <c r="D555" t="inlineStr">
        <is>
          <t>Delivery distance 196 mi (Google Maps, longest route via I-70, Fort Lupton CO -&gt; Brenner Farms Burlington CO). 196 mi x 1.609344 = 315.431 km.</t>
        </is>
      </c>
      <c r="E555" s="2" t="n">
        <v>315431.424</v>
      </c>
      <c r="F555" t="n">
        <v>0</v>
      </c>
      <c r="G555" t="inlineStr">
        <is>
          <t>m</t>
        </is>
      </c>
      <c r="H555" t="n">
        <v>315.431424</v>
      </c>
      <c r="I555" t="n">
        <v>0</v>
      </c>
      <c r="J555" t="inlineStr">
        <is>
          <t>km</t>
        </is>
      </c>
      <c r="K555">
        <f>Source!A40</f>
        <v/>
      </c>
      <c r="L555" t="inlineStr">
        <is>
          <t>Charm To Brenner Farms Distance (Google Maps, 196mi via I-70).png</t>
        </is>
      </c>
      <c r="Q555" t="inlineStr">
        <is>
          <t>mr_L5QE8QYrVveJNRjL-out_mh2j8s9fAROxQE7o-0</t>
        </is>
      </c>
    </row>
    <row r="556">
      <c r="A556" t="inlineStr">
        <is>
          <t>dtp_1KYA74YQ01S0CFRF</t>
        </is>
      </c>
      <c r="B556" t="inlineStr">
        <is>
          <t>derived</t>
        </is>
      </c>
      <c r="C556" t="inlineStr">
        <is>
          <t>Biochar Transported (kg) - Applied</t>
        </is>
      </c>
      <c r="D556" t="inlineStr">
        <is>
          <t>Biochar Transported (kg) - Applied</t>
        </is>
      </c>
      <c r="E556" s="2" t="n">
        <v>639.1759269</v>
      </c>
      <c r="F556" t="n">
        <v>0</v>
      </c>
      <c r="G556" t="inlineStr">
        <is>
          <t>kg</t>
        </is>
      </c>
      <c r="H556" t="n">
        <v>639.1759269</v>
      </c>
      <c r="I556" t="n">
        <v>0</v>
      </c>
      <c r="J556" t="inlineStr">
        <is>
          <t>kg</t>
        </is>
      </c>
      <c r="K556">
        <f>Source!A36</f>
        <v/>
      </c>
      <c r="L556" t="inlineStr">
        <is>
          <t>Production Period 5 Summary.xlsx</t>
        </is>
      </c>
      <c r="M556">
        <f>Source!A45</f>
        <v/>
      </c>
      <c r="N556" t="inlineStr">
        <is>
          <t>March 20 Brenner Farms Scale Ticket.png</t>
        </is>
      </c>
      <c r="O556">
        <f>Source!A51</f>
        <v/>
      </c>
      <c r="P556" t="inlineStr">
        <is>
          <t>Brenner Farms Delivery Notes.xlsx</t>
        </is>
      </c>
      <c r="Q556" t="inlineStr">
        <is>
          <t>mr_L5QE8QYrVveJNRjL-out_sVIPjpDBrGPnpupv-0</t>
        </is>
      </c>
    </row>
    <row r="557">
      <c r="A557" t="inlineStr">
        <is>
          <t>dtp_1KYA74Z661S0V373</t>
        </is>
      </c>
      <c r="B557" t="inlineStr">
        <is>
          <t>derived</t>
        </is>
      </c>
      <c r="C557" t="inlineStr">
        <is>
          <t>Emissions Factor - Flatbed Truck Transport Embodied Emissions (2025, CO)</t>
        </is>
      </c>
      <c r="D557" t="inlineStr">
        <is>
          <t>Emissions Factor - Flatbed Truck Transport Embodied Emissions (2025, CO)</t>
        </is>
      </c>
      <c r="E557" s="2" t="n">
        <v>0.000119795</v>
      </c>
      <c r="F557" t="n">
        <v>0</v>
      </c>
      <c r="G557" t="inlineStr">
        <is>
          <t>kg/m</t>
        </is>
      </c>
      <c r="H557" t="n">
        <v>0.119795</v>
      </c>
      <c r="I557" t="n">
        <v>0</v>
      </c>
      <c r="J557" t="inlineStr">
        <is>
          <t>kgCO₂e/km</t>
        </is>
      </c>
      <c r="K557">
        <f>Source!A17</f>
        <v/>
      </c>
      <c r="L557" t="inlineStr">
        <is>
          <t>Standard Emission Factors + Calculations (8).xlsx</t>
        </is>
      </c>
      <c r="Q557" t="inlineStr">
        <is>
          <t>mr_L5QE8QYrVveJNRjL-out_mh5OWJEQ9TzkSjax-0</t>
        </is>
      </c>
    </row>
    <row r="558">
      <c r="A558" t="inlineStr">
        <is>
          <t>dtp_1KYA74ZMQ1S02CYD</t>
        </is>
      </c>
      <c r="B558" t="inlineStr">
        <is>
          <t>derived</t>
        </is>
      </c>
      <c r="C558" t="inlineStr">
        <is>
          <t>Biochar Applied - Allocated Delivery Distance (km)</t>
        </is>
      </c>
      <c r="D558" t="inlineStr">
        <is>
          <t>Delivery distance 196 mi (Google Maps, longest route via I-70, Fort Lupton CO -&gt; Brenner Farms Burlington CO). 196 mi x 1.609344 = 315.431 km.</t>
        </is>
      </c>
      <c r="E558" s="2" t="n">
        <v>18011.1</v>
      </c>
      <c r="F558" t="n">
        <v>0</v>
      </c>
      <c r="G558" t="inlineStr">
        <is>
          <t>m</t>
        </is>
      </c>
      <c r="H558" t="n">
        <v>18.0111</v>
      </c>
      <c r="I558" t="n">
        <v>0</v>
      </c>
      <c r="J558" t="inlineStr">
        <is>
          <t>km</t>
        </is>
      </c>
      <c r="K558">
        <f>Source!A40</f>
        <v/>
      </c>
      <c r="L558" t="inlineStr">
        <is>
          <t>Charm To Brenner Farms Distance (Google Maps, 196mi via I-70).png</t>
        </is>
      </c>
      <c r="Q558" t="inlineStr">
        <is>
          <t>mr_L5QE8QYrVveJNRjL-out_hfoA89qbvT5XX9zd-0</t>
        </is>
      </c>
    </row>
    <row r="559">
      <c r="A559" t="inlineStr">
        <is>
          <t>dtp_1KYA74ZX41S0387P</t>
        </is>
      </c>
      <c r="B559" t="inlineStr">
        <is>
          <t>reported</t>
        </is>
      </c>
      <c r="C559" t="inlineStr">
        <is>
          <t>Attribution factor</t>
        </is>
      </c>
      <c r="E559" s="2" t="n">
        <v>1</v>
      </c>
      <c r="F559" t="n">
        <v>0</v>
      </c>
      <c r="G559" t="inlineStr"/>
      <c r="H559" t="n">
        <v>1</v>
      </c>
      <c r="I559" t="n">
        <v>0</v>
      </c>
      <c r="J559" t="inlineStr"/>
    </row>
    <row r="560">
      <c r="A560" t="inlineStr">
        <is>
          <t>dtp_1KYA74ZX41S0FKC1</t>
        </is>
      </c>
      <c r="B560" t="inlineStr">
        <is>
          <t>reported</t>
        </is>
      </c>
      <c r="C560" t="inlineStr">
        <is>
          <t>Attribution factor</t>
        </is>
      </c>
      <c r="E560" s="2" t="n">
        <v>1</v>
      </c>
      <c r="F560" t="n">
        <v>0</v>
      </c>
      <c r="G560" t="inlineStr"/>
      <c r="H560" t="n">
        <v>1</v>
      </c>
      <c r="I560" t="n">
        <v>0</v>
      </c>
      <c r="J560" t="inlineStr"/>
    </row>
    <row r="561">
      <c r="A561" t="inlineStr">
        <is>
          <t>dtp_1KYA74ZX41S0HVPA</t>
        </is>
      </c>
      <c r="B561" t="inlineStr">
        <is>
          <t>reported</t>
        </is>
      </c>
      <c r="C561" t="inlineStr">
        <is>
          <t>Attribution factor</t>
        </is>
      </c>
      <c r="E561" s="2" t="n">
        <v>1</v>
      </c>
      <c r="F561" t="n">
        <v>0</v>
      </c>
      <c r="G561" t="inlineStr"/>
      <c r="H561" t="n">
        <v>1</v>
      </c>
      <c r="I561" t="n">
        <v>0</v>
      </c>
      <c r="J561" t="inlineStr"/>
    </row>
    <row r="562">
      <c r="A562" t="inlineStr">
        <is>
          <t>dtp_1KYA74ZX41S0PX3B</t>
        </is>
      </c>
      <c r="B562" t="inlineStr">
        <is>
          <t>reported</t>
        </is>
      </c>
      <c r="C562" t="inlineStr">
        <is>
          <t>Attribution factor</t>
        </is>
      </c>
      <c r="E562" s="2" t="n">
        <v>1</v>
      </c>
      <c r="F562" t="n">
        <v>0</v>
      </c>
      <c r="G562" t="inlineStr"/>
      <c r="H562" t="n">
        <v>1</v>
      </c>
      <c r="I562" t="n">
        <v>0</v>
      </c>
      <c r="J562" t="inlineStr"/>
    </row>
    <row r="563">
      <c r="A563" t="inlineStr">
        <is>
          <t>dtp_1KYA752E51S07Y4N</t>
        </is>
      </c>
      <c r="B563" t="inlineStr">
        <is>
          <t>derived</t>
        </is>
      </c>
      <c r="C563" t="inlineStr">
        <is>
          <t>Emissions Factor - Biochar Spreading</t>
        </is>
      </c>
      <c r="D563" t="inlineStr">
        <is>
          <t>Emissions Factor - Biochar Spreading</t>
        </is>
      </c>
      <c r="E563" s="2" t="n">
        <v>0.004</v>
      </c>
      <c r="F563" t="n">
        <v>0</v>
      </c>
      <c r="G563" t="inlineStr"/>
      <c r="H563" t="n">
        <v>0.004</v>
      </c>
      <c r="I563" t="n">
        <v>0</v>
      </c>
      <c r="J563" t="inlineStr">
        <is>
          <t>kgCO₂e/kg</t>
        </is>
      </c>
      <c r="K563">
        <f>Source!A4</f>
        <v/>
      </c>
      <c r="L563" t="inlineStr">
        <is>
          <t>Biochar Offtake Calculations.xlsx</t>
        </is>
      </c>
      <c r="Q563" t="inlineStr">
        <is>
          <t>mr_dmEnhJqCm93trkE0-out_hf7qVV7KHcGk4thf-0</t>
        </is>
      </c>
    </row>
    <row r="564">
      <c r="A564" t="inlineStr">
        <is>
          <t>dtp_1KYA755NQ1S0HG68</t>
        </is>
      </c>
      <c r="B564" t="inlineStr">
        <is>
          <t>derived</t>
        </is>
      </c>
      <c r="C564" t="inlineStr">
        <is>
          <t>Biochar Applied (wet mass) (Spreading) - Applied</t>
        </is>
      </c>
      <c r="D564" t="inlineStr">
        <is>
          <t>Biochar Applied (wet mass) (Spreading) - Applied</t>
        </is>
      </c>
      <c r="E564" s="2" t="n">
        <v>9841.209999999999</v>
      </c>
      <c r="F564" t="n">
        <v>0</v>
      </c>
      <c r="G564" t="inlineStr">
        <is>
          <t>kg</t>
        </is>
      </c>
      <c r="H564" t="n">
        <v>9841.209999999999</v>
      </c>
      <c r="I564" t="n">
        <v>0</v>
      </c>
      <c r="J564" t="inlineStr">
        <is>
          <t>kg</t>
        </is>
      </c>
      <c r="K564">
        <f>Source!A32</f>
        <v/>
      </c>
      <c r="L564" t="inlineStr">
        <is>
          <t>5110270 Custom Biochar Reports.pdf</t>
        </is>
      </c>
      <c r="M564">
        <f>Source!A31</f>
        <v/>
      </c>
      <c r="N564" t="inlineStr">
        <is>
          <t>August 2025 Production Period Summary (1).xlsx</t>
        </is>
      </c>
      <c r="O564">
        <f>Source!A45</f>
        <v/>
      </c>
      <c r="P564" t="inlineStr">
        <is>
          <t>March 20 Brenner Farms Scale Ticket.png</t>
        </is>
      </c>
      <c r="Q564" t="inlineStr">
        <is>
          <t>mr_dmEnhJqCm93trkE0-out_0jBoYHtsohNZ8PAk-0</t>
        </is>
      </c>
    </row>
    <row r="565">
      <c r="A565" t="inlineStr">
        <is>
          <t>dtp_1KYA7576C1S02BZ5</t>
        </is>
      </c>
      <c r="B565" t="inlineStr">
        <is>
          <t>derived</t>
        </is>
      </c>
      <c r="C565" t="inlineStr">
        <is>
          <t>Biochar - H/C_org - Applied</t>
        </is>
      </c>
      <c r="D565" t="inlineStr">
        <is>
          <t>Biochar - H/C_org - Applied</t>
        </is>
      </c>
      <c r="E565" s="2" t="n">
        <v>0.32</v>
      </c>
      <c r="F565" t="n">
        <v>0</v>
      </c>
      <c r="G565" t="inlineStr"/>
      <c r="H565" t="n">
        <v>0.32</v>
      </c>
      <c r="I565" t="n">
        <v>0</v>
      </c>
      <c r="J565" t="inlineStr"/>
      <c r="K565">
        <f>Source!A33</f>
        <v/>
      </c>
      <c r="L565" t="inlineStr">
        <is>
          <t>5110270 Custom Biochar Reports.pdf</t>
        </is>
      </c>
      <c r="Q565" t="inlineStr">
        <is>
          <t>mr_uTB9WmtvDhrjcWNF-out_SlgcaWsappr9ZCL6-0</t>
        </is>
      </c>
    </row>
    <row r="566">
      <c r="A566" t="inlineStr">
        <is>
          <t>dtp_1KYA757NT1S0GZDS</t>
        </is>
      </c>
      <c r="B566" t="inlineStr">
        <is>
          <t>derived</t>
        </is>
      </c>
      <c r="C566" t="inlineStr">
        <is>
          <t>Inorganic Carbon Content % - Applied</t>
        </is>
      </c>
      <c r="D566" t="inlineStr">
        <is>
          <t>Inorganic Carbon Content % - Applied</t>
        </is>
      </c>
      <c r="E566" s="2" t="n">
        <v>0.004333</v>
      </c>
      <c r="F566" t="n">
        <v>0</v>
      </c>
      <c r="G566" t="inlineStr"/>
      <c r="H566" t="n">
        <v>0.4333</v>
      </c>
      <c r="I566" t="n">
        <v>0</v>
      </c>
      <c r="J566" t="inlineStr">
        <is>
          <t>%</t>
        </is>
      </c>
      <c r="K566">
        <f>Source!A33</f>
        <v/>
      </c>
      <c r="L566" t="inlineStr">
        <is>
          <t>5110270 Custom Biochar Reports.pdf</t>
        </is>
      </c>
      <c r="Q566" t="inlineStr">
        <is>
          <t>mr_uTB9WmtvDhrjcWNF-out_RrRijQ8NSCwAInka-0</t>
        </is>
      </c>
    </row>
    <row r="567">
      <c r="A567" t="inlineStr">
        <is>
          <t>dtp_1KYA7595B1S0BY0R</t>
        </is>
      </c>
      <c r="B567" t="inlineStr">
        <is>
          <t>derived</t>
        </is>
      </c>
      <c r="C567" t="inlineStr">
        <is>
          <t>Biochar Dry Weight (kg) (CO2 stored) - Applied</t>
        </is>
      </c>
      <c r="D567" t="inlineStr">
        <is>
          <t>Biochar Dry Weight (kg) (CO2 stored) - Applied</t>
        </is>
      </c>
      <c r="E567" s="2" t="n">
        <v>3154.1586</v>
      </c>
      <c r="F567" t="n">
        <v>0</v>
      </c>
      <c r="G567" t="inlineStr">
        <is>
          <t>kg</t>
        </is>
      </c>
      <c r="H567" t="n">
        <v>3154.1586</v>
      </c>
      <c r="I567" t="n">
        <v>0</v>
      </c>
      <c r="J567" t="inlineStr">
        <is>
          <t>kg</t>
        </is>
      </c>
      <c r="K567">
        <f>Source!A32</f>
        <v/>
      </c>
      <c r="L567" t="inlineStr">
        <is>
          <t>5110270 Custom Biochar Reports.pdf</t>
        </is>
      </c>
      <c r="M567">
        <f>Source!A31</f>
        <v/>
      </c>
      <c r="N567" t="inlineStr">
        <is>
          <t>August 2025 Production Period Summary (1).xlsx</t>
        </is>
      </c>
      <c r="O567">
        <f>Source!A45</f>
        <v/>
      </c>
      <c r="P567" t="inlineStr">
        <is>
          <t>March 20 Brenner Farms Scale Ticket.png</t>
        </is>
      </c>
      <c r="Q567" t="inlineStr">
        <is>
          <t>mr_dmEnhJqCm93trkE0-out_tHtEVo8cn1cKK0xD-0</t>
        </is>
      </c>
    </row>
    <row r="568">
      <c r="A568" t="inlineStr">
        <is>
          <t>dtp_1KYA759NR1S0GENA</t>
        </is>
      </c>
      <c r="B568" t="inlineStr">
        <is>
          <t>derived</t>
        </is>
      </c>
      <c r="C568" t="inlineStr">
        <is>
          <t>Biochar Applied - Soil Temperature (Cel)</t>
        </is>
      </c>
      <c r="D568" t="inlineStr">
        <is>
          <t>Biochar Applied - Soil Temperature (Cel)</t>
        </is>
      </c>
      <c r="E568" s="2" t="n">
        <v>284.35</v>
      </c>
      <c r="F568" t="n">
        <v>0</v>
      </c>
      <c r="G568" t="inlineStr">
        <is>
          <t>K</t>
        </is>
      </c>
      <c r="H568" t="n">
        <v>11.2</v>
      </c>
      <c r="I568" t="n">
        <v>0</v>
      </c>
      <c r="J568" t="inlineStr">
        <is>
          <t>°C</t>
        </is>
      </c>
      <c r="K568">
        <f>Source!A39</f>
        <v/>
      </c>
      <c r="L568" t="inlineStr">
        <is>
          <t>soil_temperature_1785168873474.csv</t>
        </is>
      </c>
      <c r="Q568" t="inlineStr">
        <is>
          <t>mr_uTB9WmtvDhrjcWNF-out_WFEo3VxmWt0N3Yhc-0</t>
        </is>
      </c>
    </row>
    <row r="569">
      <c r="A569" t="inlineStr">
        <is>
          <t>dtp_1KYA75A401S0QRCM</t>
        </is>
      </c>
      <c r="B569" t="inlineStr">
        <is>
          <t>derived</t>
        </is>
      </c>
      <c r="C569" t="inlineStr">
        <is>
          <t>Organic Carbon Content % - Applied</t>
        </is>
      </c>
      <c r="D569" t="inlineStr">
        <is>
          <t>Organic Carbon Content % - Applied</t>
        </is>
      </c>
      <c r="E569" s="2" t="n">
        <v>0.868</v>
      </c>
      <c r="F569" t="n">
        <v>0</v>
      </c>
      <c r="G569" t="inlineStr"/>
      <c r="H569" t="n">
        <v>86.8</v>
      </c>
      <c r="I569" t="n">
        <v>0</v>
      </c>
      <c r="J569" t="inlineStr">
        <is>
          <t>%</t>
        </is>
      </c>
      <c r="K569">
        <f>Source!A33</f>
        <v/>
      </c>
      <c r="L569" t="inlineStr">
        <is>
          <t>5110270 Custom Biochar Reports.pdf</t>
        </is>
      </c>
      <c r="Q569" t="inlineStr">
        <is>
          <t>mr_dmEnhJqCm93trkE0-out_ye14SNxRG8b285JB-0</t>
        </is>
      </c>
    </row>
    <row r="570">
      <c r="A570" t="inlineStr">
        <is>
          <t>dtp_1KYA75B3C1S03JRG</t>
        </is>
      </c>
      <c r="B570" t="inlineStr">
        <is>
          <t>derived</t>
        </is>
      </c>
      <c r="C570" t="inlineStr">
        <is>
          <t>Copy - Truck EF</t>
        </is>
      </c>
      <c r="D570" t="inlineStr">
        <is>
          <t>Copy - Truck EF</t>
        </is>
      </c>
      <c r="E570" s="2" t="n">
        <v>8.599777300564702e-08</v>
      </c>
      <c r="F570" t="n">
        <v>0</v>
      </c>
      <c r="G570" t="inlineStr">
        <is>
          <t>1/m</t>
        </is>
      </c>
      <c r="H570" t="n">
        <v>0.1384</v>
      </c>
      <c r="I570" t="n">
        <v>0</v>
      </c>
      <c r="J570" t="inlineStr">
        <is>
          <t>kgCO₂e/(t⋅mi)</t>
        </is>
      </c>
      <c r="K570">
        <f>Source!A17</f>
        <v/>
      </c>
      <c r="L570" t="inlineStr">
        <is>
          <t>Standard Emission Factors + Calculations (8).xlsx</t>
        </is>
      </c>
      <c r="Q570" t="inlineStr">
        <is>
          <t>mr_dmEnhJqCm93trkE0-out_kz09qsYg6N3uHg55-0</t>
        </is>
      </c>
    </row>
    <row r="571">
      <c r="A571" t="inlineStr">
        <is>
          <t>dtp_1KYA75D2X1S05V2S</t>
        </is>
      </c>
      <c r="B571" t="inlineStr">
        <is>
          <t>derived</t>
        </is>
      </c>
      <c r="C571" t="inlineStr">
        <is>
          <t>Biochar Applied - Delivery Distance (km)</t>
        </is>
      </c>
      <c r="D571" t="inlineStr">
        <is>
          <t>Delivery distance 196 mi (Google Maps, longest route via I-70, Fort Lupton CO -&gt; Brenner Farms Burlington CO). 196 mi x 1.609344 = 315.431 km.</t>
        </is>
      </c>
      <c r="E571" s="2" t="n">
        <v>315431.424</v>
      </c>
      <c r="F571" t="n">
        <v>0</v>
      </c>
      <c r="G571" t="inlineStr">
        <is>
          <t>m</t>
        </is>
      </c>
      <c r="H571" t="n">
        <v>315.431424</v>
      </c>
      <c r="I571" t="n">
        <v>0</v>
      </c>
      <c r="J571" t="inlineStr">
        <is>
          <t>km</t>
        </is>
      </c>
      <c r="K571">
        <f>Source!A40</f>
        <v/>
      </c>
      <c r="L571" t="inlineStr">
        <is>
          <t>Charm To Brenner Farms Distance (Google Maps, 196mi via I-70).png</t>
        </is>
      </c>
      <c r="Q571" t="inlineStr">
        <is>
          <t>mr_dmEnhJqCm93trkE0-out_mh2j8s9fAROxQE7o-0</t>
        </is>
      </c>
    </row>
    <row r="572">
      <c r="A572" t="inlineStr">
        <is>
          <t>dtp_1KYA75DE01S0MEHD</t>
        </is>
      </c>
      <c r="B572" t="inlineStr">
        <is>
          <t>derived</t>
        </is>
      </c>
      <c r="C572" t="inlineStr">
        <is>
          <t>Biochar Transported (kg) - Applied</t>
        </is>
      </c>
      <c r="D572" t="inlineStr">
        <is>
          <t>Biochar Transported (kg) - Applied</t>
        </is>
      </c>
      <c r="E572" s="2" t="n">
        <v>10226.81483</v>
      </c>
      <c r="F572" t="n">
        <v>0</v>
      </c>
      <c r="G572" t="inlineStr">
        <is>
          <t>kg</t>
        </is>
      </c>
      <c r="H572" t="n">
        <v>10226.81483</v>
      </c>
      <c r="I572" t="n">
        <v>0</v>
      </c>
      <c r="J572" t="inlineStr">
        <is>
          <t>kg</t>
        </is>
      </c>
      <c r="K572">
        <f>Source!A32</f>
        <v/>
      </c>
      <c r="L572" t="inlineStr">
        <is>
          <t>5110270 Custom Biochar Reports.pdf</t>
        </is>
      </c>
      <c r="M572">
        <f>Source!A31</f>
        <v/>
      </c>
      <c r="N572" t="inlineStr">
        <is>
          <t>August 2025 Production Period Summary (1).xlsx</t>
        </is>
      </c>
      <c r="O572">
        <f>Source!A45</f>
        <v/>
      </c>
      <c r="P572" t="inlineStr">
        <is>
          <t>March 20 Brenner Farms Scale Ticket.png</t>
        </is>
      </c>
      <c r="Q572" t="inlineStr">
        <is>
          <t>mr_dmEnhJqCm93trkE0-out_sVIPjpDBrGPnpupv-0</t>
        </is>
      </c>
    </row>
    <row r="573">
      <c r="A573" t="inlineStr">
        <is>
          <t>dtp_1KYA75DXY1S0HNEN</t>
        </is>
      </c>
      <c r="B573" t="inlineStr">
        <is>
          <t>derived</t>
        </is>
      </c>
      <c r="C573" t="inlineStr">
        <is>
          <t>Emissions Factor - Flatbed Truck Transport Embodied Emissions (2025, CO)</t>
        </is>
      </c>
      <c r="D573" t="inlineStr">
        <is>
          <t>Emissions Factor - Flatbed Truck Transport Embodied Emissions (2025, CO)</t>
        </is>
      </c>
      <c r="E573" s="2" t="n">
        <v>0.000119795</v>
      </c>
      <c r="F573" t="n">
        <v>0</v>
      </c>
      <c r="G573" t="inlineStr">
        <is>
          <t>kg/m</t>
        </is>
      </c>
      <c r="H573" t="n">
        <v>0.119795</v>
      </c>
      <c r="I573" t="n">
        <v>0</v>
      </c>
      <c r="J573" t="inlineStr">
        <is>
          <t>kgCO₂e/km</t>
        </is>
      </c>
      <c r="K573">
        <f>Source!A17</f>
        <v/>
      </c>
      <c r="L573" t="inlineStr">
        <is>
          <t>Standard Emission Factors + Calculations (8).xlsx</t>
        </is>
      </c>
      <c r="Q573" t="inlineStr">
        <is>
          <t>mr_dmEnhJqCm93trkE0-out_mh5OWJEQ9TzkSjax-0</t>
        </is>
      </c>
    </row>
    <row r="574">
      <c r="A574" t="inlineStr">
        <is>
          <t>dtp_1KYA75ED01S0RZ5Z</t>
        </is>
      </c>
      <c r="B574" t="inlineStr">
        <is>
          <t>derived</t>
        </is>
      </c>
      <c r="C574" t="inlineStr">
        <is>
          <t>Biochar Applied - Allocated Delivery Distance (km)</t>
        </is>
      </c>
      <c r="D574" t="inlineStr">
        <is>
          <t>Delivery distance 196 mi (Google Maps, longest route via I-70, Fort Lupton CO -&gt; Brenner Farms Burlington CO). 196 mi x 1.609344 = 315.431 km.</t>
        </is>
      </c>
      <c r="E574" s="2" t="n">
        <v>288398.9</v>
      </c>
      <c r="F574" t="n">
        <v>0</v>
      </c>
      <c r="G574" t="inlineStr">
        <is>
          <t>m</t>
        </is>
      </c>
      <c r="H574" t="n">
        <v>288.3989</v>
      </c>
      <c r="I574" t="n">
        <v>0</v>
      </c>
      <c r="J574" t="inlineStr">
        <is>
          <t>km</t>
        </is>
      </c>
      <c r="K574">
        <f>Source!A40</f>
        <v/>
      </c>
      <c r="L574" t="inlineStr">
        <is>
          <t>Charm To Brenner Farms Distance (Google Maps, 196mi via I-70).png</t>
        </is>
      </c>
      <c r="Q574" t="inlineStr">
        <is>
          <t>mr_dmEnhJqCm93trkE0-out_hfoA89qbvT5XX9zd-0</t>
        </is>
      </c>
    </row>
    <row r="575">
      <c r="A575" t="inlineStr">
        <is>
          <t>dtp_1KYA75EW41S03X9A</t>
        </is>
      </c>
      <c r="B575" t="inlineStr">
        <is>
          <t>reported</t>
        </is>
      </c>
      <c r="C575" t="inlineStr">
        <is>
          <t>Attribution factor</t>
        </is>
      </c>
      <c r="E575" s="2" t="n">
        <v>1</v>
      </c>
      <c r="F575" t="n">
        <v>0</v>
      </c>
      <c r="G575" t="inlineStr"/>
      <c r="H575" t="n">
        <v>1</v>
      </c>
      <c r="I575" t="n">
        <v>0</v>
      </c>
      <c r="J575" t="inlineStr"/>
    </row>
    <row r="576">
      <c r="A576" t="inlineStr">
        <is>
          <t>dtp_1KYA75EW41S065KK</t>
        </is>
      </c>
      <c r="B576" t="inlineStr">
        <is>
          <t>reported</t>
        </is>
      </c>
      <c r="C576" t="inlineStr">
        <is>
          <t>Attribution factor</t>
        </is>
      </c>
      <c r="E576" s="2" t="n">
        <v>1</v>
      </c>
      <c r="F576" t="n">
        <v>0</v>
      </c>
      <c r="G576" t="inlineStr"/>
      <c r="H576" t="n">
        <v>1</v>
      </c>
      <c r="I576" t="n">
        <v>0</v>
      </c>
      <c r="J576" t="inlineStr"/>
    </row>
    <row r="577">
      <c r="A577" t="inlineStr">
        <is>
          <t>dtp_1KYA75EW41S0B70M</t>
        </is>
      </c>
      <c r="B577" t="inlineStr">
        <is>
          <t>reported</t>
        </is>
      </c>
      <c r="C577" t="inlineStr">
        <is>
          <t>Attribution factor</t>
        </is>
      </c>
      <c r="E577" s="2" t="n">
        <v>1</v>
      </c>
      <c r="F577" t="n">
        <v>0</v>
      </c>
      <c r="G577" t="inlineStr"/>
      <c r="H577" t="n">
        <v>1</v>
      </c>
      <c r="I577" t="n">
        <v>0</v>
      </c>
      <c r="J577" t="inlineStr"/>
    </row>
    <row r="578">
      <c r="A578" t="inlineStr">
        <is>
          <t>dtp_1KYA75EW41S0QJ4Z</t>
        </is>
      </c>
      <c r="B578" t="inlineStr">
        <is>
          <t>reported</t>
        </is>
      </c>
      <c r="C578" t="inlineStr">
        <is>
          <t>Attribution factor</t>
        </is>
      </c>
      <c r="E578" s="2" t="n">
        <v>1</v>
      </c>
      <c r="F578" t="n">
        <v>0</v>
      </c>
      <c r="G578" t="inlineStr"/>
      <c r="H578" t="n">
        <v>1</v>
      </c>
      <c r="I578" t="n">
        <v>0</v>
      </c>
      <c r="J578" t="inlineStr"/>
    </row>
    <row r="579">
      <c r="A579" t="inlineStr">
        <is>
          <t>dtp_1KYA88MNV1S0GN7K</t>
        </is>
      </c>
      <c r="B579" t="inlineStr">
        <is>
          <t>reported</t>
        </is>
      </c>
      <c r="C579" t="inlineStr">
        <is>
          <t>Constant CO₂ reduction</t>
        </is>
      </c>
      <c r="D579" t="inlineStr">
        <is>
          <t>BCU offset of transport process emissions (renewable diesel EAC, cert 13-47206-50000)</t>
        </is>
      </c>
      <c r="E579" s="2" t="n">
        <v>175.913409</v>
      </c>
      <c r="F579" t="n">
        <v>0</v>
      </c>
      <c r="G579" t="inlineStr">
        <is>
          <t>kg</t>
        </is>
      </c>
      <c r="H579" t="n">
        <v>175.913409</v>
      </c>
      <c r="I579" t="n">
        <v>0</v>
      </c>
      <c r="J579" t="inlineStr">
        <is>
          <t>kgCO₂e</t>
        </is>
      </c>
      <c r="K579">
        <f>Source!A19</f>
        <v/>
      </c>
      <c r="L579" t="inlineStr">
        <is>
          <t>Charm-RetirementCertificate-RD-EACs-20251218 (1).pdf</t>
        </is>
      </c>
      <c r="Q579" t="inlineStr">
        <is>
          <t>bcu-dp-rmv_1KY02PC6H1S0D393</t>
        </is>
      </c>
    </row>
    <row r="580">
      <c r="A580" t="inlineStr">
        <is>
          <t>dtp_1KYA88P3H1S08TQT</t>
        </is>
      </c>
      <c r="B580" t="inlineStr">
        <is>
          <t>reported</t>
        </is>
      </c>
      <c r="C580" t="inlineStr">
        <is>
          <t>Attribution factor</t>
        </is>
      </c>
      <c r="E580" s="2" t="n">
        <v>1</v>
      </c>
      <c r="F580" t="n">
        <v>0</v>
      </c>
      <c r="G580" t="inlineStr"/>
      <c r="H580" t="n">
        <v>1</v>
      </c>
      <c r="I580" t="n">
        <v>0</v>
      </c>
      <c r="J580" t="inlineStr"/>
    </row>
    <row r="581">
      <c r="A581" t="inlineStr">
        <is>
          <t>dtp_1KYA8ABCV1S038JA</t>
        </is>
      </c>
      <c r="B581" t="inlineStr">
        <is>
          <t>reported</t>
        </is>
      </c>
      <c r="C581" t="inlineStr">
        <is>
          <t>Constant CO₂ reduction</t>
        </is>
      </c>
      <c r="D581" t="inlineStr">
        <is>
          <t>BCU offset of transport process emissions (renewable diesel EAC, cert 13-47206-50000)</t>
        </is>
      </c>
      <c r="E581" s="2" t="n">
        <v>65.967528</v>
      </c>
      <c r="F581" t="n">
        <v>0</v>
      </c>
      <c r="G581" t="inlineStr">
        <is>
          <t>kg</t>
        </is>
      </c>
      <c r="H581" t="n">
        <v>65.967528</v>
      </c>
      <c r="I581" t="n">
        <v>0</v>
      </c>
      <c r="J581" t="inlineStr">
        <is>
          <t>kgCO₂e</t>
        </is>
      </c>
      <c r="K581">
        <f>Source!A19</f>
        <v/>
      </c>
      <c r="L581" t="inlineStr">
        <is>
          <t>Charm-RetirementCertificate-RD-EACs-20251218 (1).pdf</t>
        </is>
      </c>
      <c r="Q581" t="inlineStr">
        <is>
          <t>bcu-dp-rmv_1KY02PYB11S0N221</t>
        </is>
      </c>
    </row>
    <row r="582">
      <c r="A582" t="inlineStr">
        <is>
          <t>dtp_1KYA8ACRW1S0VE2H</t>
        </is>
      </c>
      <c r="B582" t="inlineStr">
        <is>
          <t>reported</t>
        </is>
      </c>
      <c r="C582" t="inlineStr">
        <is>
          <t>Attribution factor</t>
        </is>
      </c>
      <c r="E582" s="2" t="n">
        <v>1</v>
      </c>
      <c r="F582" t="n">
        <v>0</v>
      </c>
      <c r="G582" t="inlineStr"/>
      <c r="H582" t="n">
        <v>1</v>
      </c>
      <c r="I582" t="n">
        <v>0</v>
      </c>
      <c r="J582" t="inlineStr"/>
    </row>
    <row r="583">
      <c r="A583" t="inlineStr">
        <is>
          <t>dtp_1KYA8AHZP1S0NVX1</t>
        </is>
      </c>
      <c r="B583" t="inlineStr">
        <is>
          <t>reported</t>
        </is>
      </c>
      <c r="C583" t="inlineStr">
        <is>
          <t>Constant CO₂ reduction</t>
        </is>
      </c>
      <c r="D583" t="inlineStr">
        <is>
          <t>BCU offset of transport process emissions (renewable diesel EAC, cert 13-47206-50000)</t>
        </is>
      </c>
      <c r="E583" s="2" t="n">
        <v>5.506673</v>
      </c>
      <c r="F583" t="n">
        <v>0</v>
      </c>
      <c r="G583" t="inlineStr">
        <is>
          <t>kg</t>
        </is>
      </c>
      <c r="H583" t="n">
        <v>5.506673</v>
      </c>
      <c r="I583" t="n">
        <v>0</v>
      </c>
      <c r="J583" t="inlineStr">
        <is>
          <t>kg</t>
        </is>
      </c>
      <c r="K583">
        <f>Source!A19</f>
        <v/>
      </c>
      <c r="L583" t="inlineStr">
        <is>
          <t>Charm-RetirementCertificate-RD-EACs-20251218 (1).pdf</t>
        </is>
      </c>
      <c r="Q583" t="inlineStr">
        <is>
          <t>bcu-dp-rmv_1KY57NCC21S0TVWC</t>
        </is>
      </c>
    </row>
    <row r="584">
      <c r="A584" t="inlineStr">
        <is>
          <t>dtp_1KYA8AKC61S0E1D8</t>
        </is>
      </c>
      <c r="B584" t="inlineStr">
        <is>
          <t>reported</t>
        </is>
      </c>
      <c r="C584" t="inlineStr">
        <is>
          <t>Attribution factor</t>
        </is>
      </c>
      <c r="E584" s="2" t="n">
        <v>1</v>
      </c>
      <c r="F584" t="n">
        <v>0</v>
      </c>
      <c r="G584" t="inlineStr"/>
      <c r="H584" t="n">
        <v>1</v>
      </c>
      <c r="I584" t="n">
        <v>0</v>
      </c>
      <c r="J584" t="inlineStr"/>
    </row>
    <row r="585">
      <c r="A585" t="inlineStr">
        <is>
          <t>dtp_1KYA8AT1W1S08F7R</t>
        </is>
      </c>
      <c r="B585" t="inlineStr">
        <is>
          <t>reported</t>
        </is>
      </c>
      <c r="C585" t="inlineStr">
        <is>
          <t>Constant CO₂ reduction</t>
        </is>
      </c>
      <c r="D585" t="inlineStr">
        <is>
          <t>BCU offset of transport process emissions (renewable diesel EAC, cert 13-47206-50000)</t>
        </is>
      </c>
      <c r="E585" s="2" t="n">
        <v>27.533364</v>
      </c>
      <c r="F585" t="n">
        <v>0</v>
      </c>
      <c r="G585" t="inlineStr">
        <is>
          <t>kg</t>
        </is>
      </c>
      <c r="H585" t="n">
        <v>27.533364</v>
      </c>
      <c r="I585" t="n">
        <v>0</v>
      </c>
      <c r="J585" t="inlineStr">
        <is>
          <t>kg</t>
        </is>
      </c>
      <c r="K585">
        <f>Source!A19</f>
        <v/>
      </c>
      <c r="L585" t="inlineStr">
        <is>
          <t>Charm-RetirementCertificate-RD-EACs-20251218 (1).pdf</t>
        </is>
      </c>
      <c r="Q585" t="inlineStr">
        <is>
          <t>bcu-dp-rmv_1KY57M9F81S03MK6</t>
        </is>
      </c>
    </row>
    <row r="586">
      <c r="A586" t="inlineStr">
        <is>
          <t>dtp_1KYA8AVFH1S00MQZ</t>
        </is>
      </c>
      <c r="B586" t="inlineStr">
        <is>
          <t>reported</t>
        </is>
      </c>
      <c r="C586" t="inlineStr">
        <is>
          <t>Attribution factor</t>
        </is>
      </c>
      <c r="E586" s="2" t="n">
        <v>1</v>
      </c>
      <c r="F586" t="n">
        <v>0</v>
      </c>
      <c r="G586" t="inlineStr"/>
      <c r="H586" t="n">
        <v>1</v>
      </c>
      <c r="I586" t="n">
        <v>0</v>
      </c>
      <c r="J586" t="inlineStr"/>
    </row>
    <row r="587">
      <c r="A587" t="inlineStr">
        <is>
          <t>dtp_1KYA8B0631S0V2JF</t>
        </is>
      </c>
      <c r="B587" t="inlineStr">
        <is>
          <t>reported</t>
        </is>
      </c>
      <c r="C587" t="inlineStr">
        <is>
          <t>Constant CO₂ reduction</t>
        </is>
      </c>
      <c r="D587" t="inlineStr">
        <is>
          <t>BCU offset of transport process emissions (renewable diesel EAC, cert 13-47206-50000)</t>
        </is>
      </c>
      <c r="E587" s="2" t="n">
        <v>38.54671</v>
      </c>
      <c r="F587" t="n">
        <v>0</v>
      </c>
      <c r="G587" t="inlineStr">
        <is>
          <t>kg</t>
        </is>
      </c>
      <c r="H587" t="n">
        <v>38.54671</v>
      </c>
      <c r="I587" t="n">
        <v>0</v>
      </c>
      <c r="J587" t="inlineStr">
        <is>
          <t>kg</t>
        </is>
      </c>
      <c r="K587">
        <f>Source!A19</f>
        <v/>
      </c>
      <c r="L587" t="inlineStr">
        <is>
          <t>Charm-RetirementCertificate-RD-EACs-20251218 (1).pdf</t>
        </is>
      </c>
      <c r="Q587" t="inlineStr">
        <is>
          <t>bcu-dp-rmv_1KY57MT101S0BKC4</t>
        </is>
      </c>
    </row>
    <row r="588">
      <c r="A588" t="inlineStr">
        <is>
          <t>dtp_1KYA8B11X1S0K82P</t>
        </is>
      </c>
      <c r="B588" t="inlineStr">
        <is>
          <t>reported</t>
        </is>
      </c>
      <c r="C588" t="inlineStr">
        <is>
          <t>Attribution factor</t>
        </is>
      </c>
      <c r="E588" s="2" t="n">
        <v>1</v>
      </c>
      <c r="F588" t="n">
        <v>0</v>
      </c>
      <c r="G588" t="inlineStr"/>
      <c r="H588" t="n">
        <v>1</v>
      </c>
      <c r="I588" t="n">
        <v>0</v>
      </c>
      <c r="J588" t="inlineStr"/>
    </row>
    <row r="589">
      <c r="A589" t="inlineStr">
        <is>
          <t>dtp_1KYA8B75M1S0DNX6</t>
        </is>
      </c>
      <c r="B589" t="inlineStr">
        <is>
          <t>reported</t>
        </is>
      </c>
      <c r="C589" t="inlineStr">
        <is>
          <t>Constant CO₂ reduction</t>
        </is>
      </c>
      <c r="D589" t="inlineStr">
        <is>
          <t>BCU offset of transport process emissions (renewable diesel EAC, cert 13-47206-50000)</t>
        </is>
      </c>
      <c r="E589" s="2" t="n">
        <v>181.720205</v>
      </c>
      <c r="F589" t="n">
        <v>0</v>
      </c>
      <c r="G589" t="inlineStr">
        <is>
          <t>kg</t>
        </is>
      </c>
      <c r="H589" t="n">
        <v>181.720205</v>
      </c>
      <c r="I589" t="n">
        <v>0</v>
      </c>
      <c r="J589" t="inlineStr">
        <is>
          <t>kg</t>
        </is>
      </c>
      <c r="K589">
        <f>Source!A19</f>
        <v/>
      </c>
      <c r="L589" t="inlineStr">
        <is>
          <t>Charm-RetirementCertificate-RD-EACs-20251218 (1).pdf</t>
        </is>
      </c>
      <c r="Q589" t="inlineStr">
        <is>
          <t>bcu-dp-rmv_1KY5G7F3N1S0MPZX</t>
        </is>
      </c>
    </row>
    <row r="590">
      <c r="A590" t="inlineStr">
        <is>
          <t>dtp_1KYA8B8MY1S05VDD</t>
        </is>
      </c>
      <c r="B590" t="inlineStr">
        <is>
          <t>reported</t>
        </is>
      </c>
      <c r="C590" t="inlineStr">
        <is>
          <t>Attribution factor</t>
        </is>
      </c>
      <c r="E590" s="2" t="n">
        <v>1</v>
      </c>
      <c r="F590" t="n">
        <v>0</v>
      </c>
      <c r="G590" t="inlineStr"/>
      <c r="H590" t="n">
        <v>1</v>
      </c>
      <c r="I590" t="n">
        <v>0</v>
      </c>
      <c r="J590" t="inlineStr"/>
    </row>
    <row r="591">
      <c r="A591" t="inlineStr">
        <is>
          <t>dtp_1KYA8BEVK1S0097X</t>
        </is>
      </c>
      <c r="B591" t="inlineStr">
        <is>
          <t>reported</t>
        </is>
      </c>
      <c r="C591" t="inlineStr">
        <is>
          <t>Constant CO₂ reduction</t>
        </is>
      </c>
      <c r="D591" t="inlineStr">
        <is>
          <t>BCU offset of transport process emissions (renewable diesel EAC, cert 13-47206-50000)</t>
        </is>
      </c>
      <c r="E591" s="2" t="n">
        <v>8.669347699999999</v>
      </c>
      <c r="F591" t="n">
        <v>0</v>
      </c>
      <c r="G591" t="inlineStr">
        <is>
          <t>kg</t>
        </is>
      </c>
      <c r="H591" t="n">
        <v>8.669347699999999</v>
      </c>
      <c r="I591" t="n">
        <v>0</v>
      </c>
      <c r="J591" t="inlineStr">
        <is>
          <t>kgCO₂e</t>
        </is>
      </c>
      <c r="K591">
        <f>Source!A19</f>
        <v/>
      </c>
      <c r="L591" t="inlineStr">
        <is>
          <t>Charm-RetirementCertificate-RD-EACs-20251218 (1).pdf</t>
        </is>
      </c>
      <c r="Q591" t="inlineStr">
        <is>
          <t>bcu-dp-rmv_1KY38KE1C1S03T2H</t>
        </is>
      </c>
    </row>
    <row r="592">
      <c r="A592" t="inlineStr">
        <is>
          <t>dtp_1KYA8BFYR1S0RER4</t>
        </is>
      </c>
      <c r="B592" t="inlineStr">
        <is>
          <t>reported</t>
        </is>
      </c>
      <c r="C592" t="inlineStr">
        <is>
          <t>Attribution factor</t>
        </is>
      </c>
      <c r="E592" s="2" t="n">
        <v>1</v>
      </c>
      <c r="F592" t="n">
        <v>0</v>
      </c>
      <c r="G592" t="inlineStr"/>
      <c r="H592" t="n">
        <v>1</v>
      </c>
      <c r="I592" t="n">
        <v>0</v>
      </c>
      <c r="J592" t="inlineStr"/>
    </row>
    <row r="593">
      <c r="A593" t="inlineStr">
        <is>
          <t>dtp_1KYA8BKV71S0JWJM</t>
        </is>
      </c>
      <c r="B593" t="inlineStr">
        <is>
          <t>reported</t>
        </is>
      </c>
      <c r="C593" t="inlineStr">
        <is>
          <t>Constant CO₂ reduction</t>
        </is>
      </c>
      <c r="D593" t="inlineStr">
        <is>
          <t>BCU offset of transport process emissions (renewable diesel EAC, cert 13-47206-50000)</t>
        </is>
      </c>
      <c r="E593" s="2" t="n">
        <v>4.99</v>
      </c>
      <c r="F593" t="n">
        <v>0</v>
      </c>
      <c r="G593" t="inlineStr">
        <is>
          <t>kg</t>
        </is>
      </c>
      <c r="H593" t="n">
        <v>4.99</v>
      </c>
      <c r="I593" t="n">
        <v>0</v>
      </c>
      <c r="J593" t="inlineStr">
        <is>
          <t>kgCO₂e</t>
        </is>
      </c>
      <c r="K593">
        <f>Source!A19</f>
        <v/>
      </c>
      <c r="L593" t="inlineStr">
        <is>
          <t>Charm-RetirementCertificate-RD-EACs-20251218 (1).pdf</t>
        </is>
      </c>
      <c r="Q593" t="inlineStr">
        <is>
          <t>bcu-dp-rmv_1KWCSDFQF1S0CSCB</t>
        </is>
      </c>
    </row>
    <row r="594">
      <c r="A594" t="inlineStr">
        <is>
          <t>dtp_1KYA8BNC31S0B22V</t>
        </is>
      </c>
      <c r="B594" t="inlineStr">
        <is>
          <t>reported</t>
        </is>
      </c>
      <c r="C594" t="inlineStr">
        <is>
          <t>Attribution factor</t>
        </is>
      </c>
      <c r="E594" s="2" t="n">
        <v>1</v>
      </c>
      <c r="F594" t="n">
        <v>0</v>
      </c>
      <c r="G594" t="inlineStr"/>
      <c r="H594" t="n">
        <v>1</v>
      </c>
      <c r="I594" t="n">
        <v>0</v>
      </c>
      <c r="J594" t="inlineStr"/>
    </row>
    <row r="595">
      <c r="A595" t="inlineStr">
        <is>
          <t>dtp_1KYA8BTYJ1S05FXB</t>
        </is>
      </c>
      <c r="B595" t="inlineStr">
        <is>
          <t>reported</t>
        </is>
      </c>
      <c r="C595" t="inlineStr">
        <is>
          <t>Constant CO₂ reduction</t>
        </is>
      </c>
      <c r="D595" t="inlineStr">
        <is>
          <t>BCU offset of transport process emissions (renewable diesel EAC, cert 13-47206-50000)</t>
        </is>
      </c>
      <c r="E595" s="2" t="n">
        <v>184.46</v>
      </c>
      <c r="F595" t="n">
        <v>0</v>
      </c>
      <c r="G595" t="inlineStr">
        <is>
          <t>kg</t>
        </is>
      </c>
      <c r="H595" t="n">
        <v>184.46</v>
      </c>
      <c r="I595" t="n">
        <v>0</v>
      </c>
      <c r="J595" t="inlineStr">
        <is>
          <t>kgCO₂e</t>
        </is>
      </c>
      <c r="K595">
        <f>Source!A19</f>
        <v/>
      </c>
      <c r="L595" t="inlineStr">
        <is>
          <t>Charm-RetirementCertificate-RD-EACs-20251218 (1).pdf</t>
        </is>
      </c>
      <c r="Q595" t="inlineStr">
        <is>
          <t>bcu-dp-rmv_1KWCC0FY31S0QD5T</t>
        </is>
      </c>
    </row>
    <row r="596">
      <c r="A596" t="inlineStr">
        <is>
          <t>dtp_1KYA8BW1Q1S0XNDJ</t>
        </is>
      </c>
      <c r="B596" t="inlineStr">
        <is>
          <t>reported</t>
        </is>
      </c>
      <c r="C596" t="inlineStr">
        <is>
          <t>Attribution factor</t>
        </is>
      </c>
      <c r="E596" s="2" t="n">
        <v>1</v>
      </c>
      <c r="F596" t="n">
        <v>0</v>
      </c>
      <c r="G596" t="inlineStr"/>
      <c r="H596" t="n">
        <v>1</v>
      </c>
      <c r="I596" t="n">
        <v>0</v>
      </c>
      <c r="J596" t="inlineStr"/>
    </row>
    <row r="597">
      <c r="A597" t="inlineStr">
        <is>
          <t>dtp_1KYA8C0WR1S0R382</t>
        </is>
      </c>
      <c r="B597" t="inlineStr">
        <is>
          <t>reported</t>
        </is>
      </c>
      <c r="C597" t="inlineStr">
        <is>
          <t>Constant CO₂ reduction</t>
        </is>
      </c>
      <c r="D597" t="inlineStr">
        <is>
          <t>BCU offset of transport process emissions (renewable diesel EAC, cert 13-47206-50000)</t>
        </is>
      </c>
      <c r="E597" s="2" t="n">
        <v>9.970000000000001</v>
      </c>
      <c r="F597" t="n">
        <v>0</v>
      </c>
      <c r="G597" t="inlineStr">
        <is>
          <t>kg</t>
        </is>
      </c>
      <c r="H597" t="n">
        <v>9.970000000000001</v>
      </c>
      <c r="I597" t="n">
        <v>0</v>
      </c>
      <c r="J597" t="inlineStr">
        <is>
          <t>kgCO₂e</t>
        </is>
      </c>
      <c r="K597">
        <f>Source!A19</f>
        <v/>
      </c>
      <c r="L597" t="inlineStr">
        <is>
          <t>Charm-RetirementCertificate-RD-EACs-20251218 (1).pdf</t>
        </is>
      </c>
      <c r="Q597" t="inlineStr">
        <is>
          <t>bcu-dp-rmv_1KWCZP1M61S02KMH</t>
        </is>
      </c>
    </row>
    <row r="598">
      <c r="A598" t="inlineStr">
        <is>
          <t>dtp_1KYA8C1QC1S0G8R9</t>
        </is>
      </c>
      <c r="B598" t="inlineStr">
        <is>
          <t>reported</t>
        </is>
      </c>
      <c r="C598" t="inlineStr">
        <is>
          <t>Attribution factor</t>
        </is>
      </c>
      <c r="E598" s="2" t="n">
        <v>1</v>
      </c>
      <c r="F598" t="n">
        <v>0</v>
      </c>
      <c r="G598" t="inlineStr"/>
      <c r="H598" t="n">
        <v>1</v>
      </c>
      <c r="I598" t="n">
        <v>0</v>
      </c>
      <c r="J598" t="inlineStr"/>
    </row>
    <row r="599">
      <c r="A599" t="inlineStr">
        <is>
          <t>dtp_1KYA8C5T51S0APJS</t>
        </is>
      </c>
      <c r="B599" t="inlineStr">
        <is>
          <t>reported</t>
        </is>
      </c>
      <c r="C599" t="inlineStr">
        <is>
          <t>Constant CO₂ reduction</t>
        </is>
      </c>
      <c r="D599" t="inlineStr">
        <is>
          <t>BCU offset of transport process emissions (renewable diesel EAC, cert 13-47206-50000)</t>
        </is>
      </c>
      <c r="E599" s="2" t="n">
        <v>13.34</v>
      </c>
      <c r="F599" t="n">
        <v>0</v>
      </c>
      <c r="G599" t="inlineStr">
        <is>
          <t>kg</t>
        </is>
      </c>
      <c r="H599" t="n">
        <v>13.34</v>
      </c>
      <c r="I599" t="n">
        <v>0</v>
      </c>
      <c r="J599" t="inlineStr">
        <is>
          <t>kgCO₂e</t>
        </is>
      </c>
      <c r="K599">
        <f>Source!A19</f>
        <v/>
      </c>
      <c r="L599" t="inlineStr">
        <is>
          <t>Charm-RetirementCertificate-RD-EACs-20251218 (1).pdf</t>
        </is>
      </c>
      <c r="Q599" t="inlineStr">
        <is>
          <t>bcu-dp-rmv_1KXKP77Q21S08Q74</t>
        </is>
      </c>
    </row>
    <row r="600">
      <c r="A600" t="inlineStr">
        <is>
          <t>dtp_1KYA8C7131S02W30</t>
        </is>
      </c>
      <c r="B600" t="inlineStr">
        <is>
          <t>reported</t>
        </is>
      </c>
      <c r="C600" t="inlineStr">
        <is>
          <t>Attribution factor</t>
        </is>
      </c>
      <c r="E600" s="2" t="n">
        <v>1</v>
      </c>
      <c r="F600" t="n">
        <v>0</v>
      </c>
      <c r="G600" t="inlineStr"/>
      <c r="H600" t="n">
        <v>1</v>
      </c>
      <c r="I600" t="n">
        <v>0</v>
      </c>
      <c r="J600" t="inlineStr"/>
    </row>
    <row r="601">
      <c r="A601" t="inlineStr">
        <is>
          <t>dtp_1KYA8CDJX1S0GYS5</t>
        </is>
      </c>
      <c r="B601" t="inlineStr">
        <is>
          <t>reported</t>
        </is>
      </c>
      <c r="C601" t="inlineStr">
        <is>
          <t>Constant CO₂ reduction</t>
        </is>
      </c>
      <c r="D601" t="inlineStr">
        <is>
          <t>BCU offset of transport process emissions (renewable diesel EAC, cert 13-47206-50000)</t>
        </is>
      </c>
      <c r="E601" s="2" t="n">
        <v>40.03</v>
      </c>
      <c r="F601" t="n">
        <v>0</v>
      </c>
      <c r="G601" t="inlineStr">
        <is>
          <t>kg</t>
        </is>
      </c>
      <c r="H601" t="n">
        <v>40.03</v>
      </c>
      <c r="I601" t="n">
        <v>0</v>
      </c>
      <c r="J601" t="inlineStr">
        <is>
          <t>kgCO₂e</t>
        </is>
      </c>
      <c r="K601">
        <f>Source!A19</f>
        <v/>
      </c>
      <c r="L601" t="inlineStr">
        <is>
          <t>Charm-RetirementCertificate-RD-EACs-20251218 (1).pdf</t>
        </is>
      </c>
      <c r="Q601" t="inlineStr">
        <is>
          <t>bcu-dp-rmv_1KXKGXJB61S01MAJ</t>
        </is>
      </c>
    </row>
    <row r="602">
      <c r="A602" t="inlineStr">
        <is>
          <t>dtp_1KYA8CF0N1S0949C</t>
        </is>
      </c>
      <c r="B602" t="inlineStr">
        <is>
          <t>reported</t>
        </is>
      </c>
      <c r="C602" t="inlineStr">
        <is>
          <t>Attribution factor</t>
        </is>
      </c>
      <c r="E602" s="2" t="n">
        <v>1</v>
      </c>
      <c r="F602" t="n">
        <v>0</v>
      </c>
      <c r="G602" t="inlineStr"/>
      <c r="H602" t="n">
        <v>1</v>
      </c>
      <c r="I602" t="n">
        <v>0</v>
      </c>
      <c r="J602" t="inlineStr"/>
    </row>
    <row r="603">
      <c r="A603" t="inlineStr">
        <is>
          <t>dtp_1KYA8CKCZ1S0Q6ZH</t>
        </is>
      </c>
      <c r="B603" t="inlineStr">
        <is>
          <t>reported</t>
        </is>
      </c>
      <c r="C603" t="inlineStr">
        <is>
          <t>Constant CO₂ reduction</t>
        </is>
      </c>
      <c r="D603" t="inlineStr">
        <is>
          <t>BCU offset of transport process emissions (renewable diesel EAC, cert 13-47206-50000)</t>
        </is>
      </c>
      <c r="E603" s="2" t="n">
        <v>53.37</v>
      </c>
      <c r="F603" t="n">
        <v>0</v>
      </c>
      <c r="G603" t="inlineStr">
        <is>
          <t>kg</t>
        </is>
      </c>
      <c r="H603" t="n">
        <v>53.37</v>
      </c>
      <c r="I603" t="n">
        <v>0</v>
      </c>
      <c r="J603" t="inlineStr">
        <is>
          <t>kgCO₂e</t>
        </is>
      </c>
      <c r="K603">
        <f>Source!A19</f>
        <v/>
      </c>
      <c r="L603" t="inlineStr">
        <is>
          <t>Charm-RetirementCertificate-RD-EACs-20251218 (1).pdf</t>
        </is>
      </c>
      <c r="Q603" t="inlineStr">
        <is>
          <t>bcu-dp-rmv_1KXEJD28G1S07DZM</t>
        </is>
      </c>
    </row>
    <row r="604">
      <c r="A604" t="inlineStr">
        <is>
          <t>dtp_1KYA8CMSQ1S0FCFR</t>
        </is>
      </c>
      <c r="B604" t="inlineStr">
        <is>
          <t>reported</t>
        </is>
      </c>
      <c r="C604" t="inlineStr">
        <is>
          <t>Attribution factor</t>
        </is>
      </c>
      <c r="E604" s="2" t="n">
        <v>1</v>
      </c>
      <c r="F604" t="n">
        <v>0</v>
      </c>
      <c r="G604" t="inlineStr"/>
      <c r="H604" t="n">
        <v>1</v>
      </c>
      <c r="I604" t="n">
        <v>0</v>
      </c>
      <c r="J604" t="inlineStr"/>
    </row>
    <row r="605">
      <c r="A605" t="inlineStr">
        <is>
          <t>dtp_1KYA8CTJW1S09TA8</t>
        </is>
      </c>
      <c r="B605" t="inlineStr">
        <is>
          <t>reported</t>
        </is>
      </c>
      <c r="C605" t="inlineStr">
        <is>
          <t>Constant CO₂ reduction</t>
        </is>
      </c>
      <c r="D605" t="inlineStr">
        <is>
          <t>BCU offset of transport process emissions (renewable diesel EAC, cert 13-47206-50000)</t>
        </is>
      </c>
      <c r="E605" s="2" t="n">
        <v>12.9</v>
      </c>
      <c r="F605" t="n">
        <v>0</v>
      </c>
      <c r="G605" t="inlineStr">
        <is>
          <t>kg</t>
        </is>
      </c>
      <c r="H605" t="n">
        <v>12.9</v>
      </c>
      <c r="I605" t="n">
        <v>0</v>
      </c>
      <c r="J605" t="inlineStr">
        <is>
          <t>kgCO₂e</t>
        </is>
      </c>
      <c r="K605">
        <f>Source!A19</f>
        <v/>
      </c>
      <c r="L605" t="inlineStr">
        <is>
          <t>Charm-RetirementCertificate-RD-EACs-20251218 (1).pdf</t>
        </is>
      </c>
      <c r="Q605" t="inlineStr">
        <is>
          <t>bcu-dp-rmv_1KXERD7151S0RC36</t>
        </is>
      </c>
    </row>
    <row r="606">
      <c r="A606" t="inlineStr">
        <is>
          <t>dtp_1KYA8CW3S1S01ZTF</t>
        </is>
      </c>
      <c r="B606" t="inlineStr">
        <is>
          <t>reported</t>
        </is>
      </c>
      <c r="C606" t="inlineStr">
        <is>
          <t>Attribution factor</t>
        </is>
      </c>
      <c r="E606" s="2" t="n">
        <v>1</v>
      </c>
      <c r="F606" t="n">
        <v>0</v>
      </c>
      <c r="G606" t="inlineStr"/>
      <c r="H606" t="n">
        <v>1</v>
      </c>
      <c r="I606" t="n">
        <v>0</v>
      </c>
      <c r="J606" t="inlineStr"/>
    </row>
    <row r="607">
      <c r="A607" t="inlineStr">
        <is>
          <t>dtp_1KYA8D10X1S0G2GM</t>
        </is>
      </c>
      <c r="B607" t="inlineStr">
        <is>
          <t>reported</t>
        </is>
      </c>
      <c r="C607" t="inlineStr">
        <is>
          <t>Constant CO₂ reduction</t>
        </is>
      </c>
      <c r="D607" t="inlineStr">
        <is>
          <t>BCU offset of transport process emissions (renewable diesel EAC, cert 13-47206-50000)</t>
        </is>
      </c>
      <c r="E607" s="2" t="n">
        <v>6.45</v>
      </c>
      <c r="F607" t="n">
        <v>0</v>
      </c>
      <c r="G607" t="inlineStr">
        <is>
          <t>kg</t>
        </is>
      </c>
      <c r="H607" t="n">
        <v>6.45</v>
      </c>
      <c r="I607" t="n">
        <v>0</v>
      </c>
      <c r="J607" t="inlineStr">
        <is>
          <t>kgCO₂e</t>
        </is>
      </c>
      <c r="K607">
        <f>Source!A19</f>
        <v/>
      </c>
      <c r="L607" t="inlineStr">
        <is>
          <t>Charm-RetirementCertificate-RD-EACs-20251218 (1).pdf</t>
        </is>
      </c>
      <c r="Q607" t="inlineStr">
        <is>
          <t>bcu-dp-rmv_1KXGK3HP81S0FP36</t>
        </is>
      </c>
    </row>
    <row r="608">
      <c r="A608" t="inlineStr">
        <is>
          <t>dtp_1KYA8D23J1S0880V</t>
        </is>
      </c>
      <c r="B608" t="inlineStr">
        <is>
          <t>reported</t>
        </is>
      </c>
      <c r="C608" t="inlineStr">
        <is>
          <t>Attribution factor</t>
        </is>
      </c>
      <c r="E608" s="2" t="n">
        <v>1</v>
      </c>
      <c r="F608" t="n">
        <v>0</v>
      </c>
      <c r="G608" t="inlineStr"/>
      <c r="H608" t="n">
        <v>1</v>
      </c>
      <c r="I608" t="n">
        <v>0</v>
      </c>
      <c r="J608" t="inlineStr"/>
    </row>
    <row r="609">
      <c r="A609" t="inlineStr">
        <is>
          <t>dtp_1KYA8D60A1S02NVB</t>
        </is>
      </c>
      <c r="B609" t="inlineStr">
        <is>
          <t>reported</t>
        </is>
      </c>
      <c r="C609" t="inlineStr">
        <is>
          <t>Constant CO₂ reduction</t>
        </is>
      </c>
      <c r="D609" t="inlineStr">
        <is>
          <t>BCU offset of transport process emissions (renewable diesel EAC, cert 13-47206-50000)</t>
        </is>
      </c>
      <c r="E609" s="2" t="n">
        <v>32.25</v>
      </c>
      <c r="F609" t="n">
        <v>0</v>
      </c>
      <c r="G609" t="inlineStr">
        <is>
          <t>kg</t>
        </is>
      </c>
      <c r="H609" t="n">
        <v>32.25</v>
      </c>
      <c r="I609" t="n">
        <v>0</v>
      </c>
      <c r="J609" t="inlineStr">
        <is>
          <t>kgCO₂e</t>
        </is>
      </c>
      <c r="K609">
        <f>Source!A19</f>
        <v/>
      </c>
      <c r="L609" t="inlineStr">
        <is>
          <t>Charm-RetirementCertificate-RD-EACs-20251218 (1).pdf</t>
        </is>
      </c>
      <c r="Q609" t="inlineStr">
        <is>
          <t>bcu-dp-rmv_1KXGK4R131S095PN</t>
        </is>
      </c>
    </row>
    <row r="610">
      <c r="A610" t="inlineStr">
        <is>
          <t>dtp_1KYA8D7DF1S0TVBJ</t>
        </is>
      </c>
      <c r="B610" t="inlineStr">
        <is>
          <t>reported</t>
        </is>
      </c>
      <c r="C610" t="inlineStr">
        <is>
          <t>Attribution factor</t>
        </is>
      </c>
      <c r="E610" s="2" t="n">
        <v>1</v>
      </c>
      <c r="F610" t="n">
        <v>0</v>
      </c>
      <c r="G610" t="inlineStr"/>
      <c r="H610" t="n">
        <v>1</v>
      </c>
      <c r="I610" t="n">
        <v>0</v>
      </c>
      <c r="J610" t="inlineStr"/>
    </row>
    <row r="611">
      <c r="A611" t="inlineStr">
        <is>
          <t>dtp_1KYA9395Q1S0D8EM</t>
        </is>
      </c>
      <c r="B611" t="inlineStr">
        <is>
          <t>reported</t>
        </is>
      </c>
      <c r="C611" t="inlineStr">
        <is>
          <t>Constant CO₂ reduction</t>
        </is>
      </c>
      <c r="D611" t="inlineStr">
        <is>
          <t>BCU offset of transport process emissions (renewable diesel EAC, cert 13-47206-50000)</t>
        </is>
      </c>
      <c r="E611" s="2" t="n">
        <v>124.605331</v>
      </c>
      <c r="F611" t="n">
        <v>0</v>
      </c>
      <c r="G611" t="inlineStr">
        <is>
          <t>kg</t>
        </is>
      </c>
      <c r="H611" t="n">
        <v>124.605331</v>
      </c>
      <c r="I611" t="n">
        <v>0</v>
      </c>
      <c r="J611" t="inlineStr">
        <is>
          <t>kgCO₂e</t>
        </is>
      </c>
      <c r="K611">
        <f>Source!A19</f>
        <v/>
      </c>
      <c r="L611" t="inlineStr">
        <is>
          <t>Charm-RetirementCertificate-RD-EACs-20251218 (1).pdf</t>
        </is>
      </c>
      <c r="Q611" t="inlineStr">
        <is>
          <t>bcu-dp-rmv_1KYA6ANEE1S0PW7F</t>
        </is>
      </c>
    </row>
    <row r="612">
      <c r="A612" t="inlineStr">
        <is>
          <t>dtp_1KYA93AQT1S05DYV</t>
        </is>
      </c>
      <c r="B612" t="inlineStr">
        <is>
          <t>reported</t>
        </is>
      </c>
      <c r="C612" t="inlineStr">
        <is>
          <t>Attribution factor</t>
        </is>
      </c>
      <c r="E612" s="2" t="n">
        <v>1</v>
      </c>
      <c r="F612" t="n">
        <v>0</v>
      </c>
      <c r="G612" t="inlineStr"/>
      <c r="H612" t="n">
        <v>1</v>
      </c>
      <c r="I612" t="n">
        <v>0</v>
      </c>
      <c r="J612" t="inlineStr"/>
    </row>
    <row r="613">
      <c r="A613" t="inlineStr">
        <is>
          <t>dtp_1KYA93K6T1S0EF7Z</t>
        </is>
      </c>
      <c r="B613" t="inlineStr">
        <is>
          <t>reported</t>
        </is>
      </c>
      <c r="C613" t="inlineStr">
        <is>
          <t>Constant CO₂ reduction</t>
        </is>
      </c>
      <c r="D613" t="inlineStr">
        <is>
          <t>BCU offset of transport process emissions (renewable diesel EAC, cert 13-47206-50000)</t>
        </is>
      </c>
      <c r="E613" s="2" t="n">
        <v>17.338585</v>
      </c>
      <c r="F613" t="n">
        <v>0</v>
      </c>
      <c r="G613" t="inlineStr">
        <is>
          <t>kg</t>
        </is>
      </c>
      <c r="H613" t="n">
        <v>17.338585</v>
      </c>
      <c r="I613" t="n">
        <v>0</v>
      </c>
      <c r="J613" t="inlineStr">
        <is>
          <t>kgCO₂e</t>
        </is>
      </c>
      <c r="K613">
        <f>Source!A19</f>
        <v/>
      </c>
      <c r="L613" t="inlineStr">
        <is>
          <t>Charm-RetirementCertificate-RD-EACs-20251218 (1).pdf</t>
        </is>
      </c>
      <c r="Q613" t="inlineStr">
        <is>
          <t>bcu-dp-rmv_1KYA74ZX41S0H0D1</t>
        </is>
      </c>
    </row>
    <row r="614">
      <c r="A614" t="inlineStr">
        <is>
          <t>dtp_1KYA93M5R1S06MR6</t>
        </is>
      </c>
      <c r="B614" t="inlineStr">
        <is>
          <t>reported</t>
        </is>
      </c>
      <c r="C614" t="inlineStr">
        <is>
          <t>Attribution factor</t>
        </is>
      </c>
      <c r="E614" s="2" t="n">
        <v>1</v>
      </c>
      <c r="F614" t="n">
        <v>0</v>
      </c>
      <c r="G614" t="inlineStr"/>
      <c r="H614" t="n">
        <v>1</v>
      </c>
      <c r="I614" t="n">
        <v>0</v>
      </c>
      <c r="J614" t="inlineStr"/>
    </row>
    <row r="615">
      <c r="A615" t="inlineStr">
        <is>
          <t>dtp_1KYA93VXE1S012JP</t>
        </is>
      </c>
      <c r="B615" t="inlineStr">
        <is>
          <t>reported</t>
        </is>
      </c>
      <c r="C615" t="inlineStr">
        <is>
          <t>Constant CO₂ reduction</t>
        </is>
      </c>
      <c r="D615" t="inlineStr">
        <is>
          <t>BCU offset of transport process emissions (renewable diesel EAC, cert 13-47206-50000)</t>
        </is>
      </c>
      <c r="E615" s="2" t="n">
        <v>277.4173593</v>
      </c>
      <c r="F615" t="n">
        <v>0</v>
      </c>
      <c r="G615" t="inlineStr">
        <is>
          <t>kg</t>
        </is>
      </c>
      <c r="H615" t="n">
        <v>277.4173593</v>
      </c>
      <c r="I615" t="n">
        <v>0</v>
      </c>
      <c r="J615" t="inlineStr">
        <is>
          <t>kgCO₂e</t>
        </is>
      </c>
      <c r="K615">
        <f>Source!A19</f>
        <v/>
      </c>
      <c r="L615" t="inlineStr">
        <is>
          <t>Charm-RetirementCertificate-RD-EACs-20251218 (1).pdf</t>
        </is>
      </c>
      <c r="Q615" t="inlineStr">
        <is>
          <t>bcu-dp-rmv_1KYA75EW41S07JMK</t>
        </is>
      </c>
    </row>
    <row r="616">
      <c r="A616" t="inlineStr">
        <is>
          <t>dtp_1KYA93Y3Q1S0S82X</t>
        </is>
      </c>
      <c r="B616" t="inlineStr">
        <is>
          <t>reported</t>
        </is>
      </c>
      <c r="C616" t="inlineStr">
        <is>
          <t>Attribution factor</t>
        </is>
      </c>
      <c r="E616" s="2" t="n">
        <v>1</v>
      </c>
      <c r="F616" t="n">
        <v>0</v>
      </c>
      <c r="G616" t="inlineStr"/>
      <c r="H616" t="n">
        <v>1</v>
      </c>
      <c r="I616" t="n">
        <v>0</v>
      </c>
      <c r="J616" t="inlineStr"/>
    </row>
    <row r="617">
      <c r="A617" t="inlineStr">
        <is>
          <t>dtp_1KYABQKCP1S00PVP</t>
        </is>
      </c>
      <c r="B617" t="inlineStr">
        <is>
          <t>reported</t>
        </is>
      </c>
      <c r="C617" t="inlineStr">
        <is>
          <t>Biochar Output - Carbon Intensity - Applied</t>
        </is>
      </c>
      <c r="D617" t="inlineStr">
        <is>
          <t>PP257 biochar production carbon intensity, applied per CI Summary</t>
        </is>
      </c>
      <c r="E617" s="2" t="n">
        <v>1.2926</v>
      </c>
      <c r="F617" t="n">
        <v>0</v>
      </c>
      <c r="G617" t="inlineStr"/>
      <c r="H617" t="n">
        <v>1.2926</v>
      </c>
      <c r="I617" t="n">
        <v>0</v>
      </c>
      <c r="J617" t="inlineStr">
        <is>
          <t>kgCO₂e/kg</t>
        </is>
      </c>
      <c r="K617">
        <f>Source!A38</f>
        <v/>
      </c>
      <c r="L617" t="inlineStr">
        <is>
          <t>Biochar CI Summary — All Production Periods.xlsx</t>
        </is>
      </c>
      <c r="M617">
        <f>Source!A28</f>
        <v/>
      </c>
      <c r="N617" t="inlineStr">
        <is>
          <t>Production Period 8 Summary (1).xlsx</t>
        </is>
      </c>
      <c r="Q617" t="inlineStr">
        <is>
          <t>pyro-ci-rmv_1KY02PC6H1S0D393</t>
        </is>
      </c>
    </row>
    <row r="618">
      <c r="A618" t="inlineStr">
        <is>
          <t>dtp_1KYABQKR01S0VNEN</t>
        </is>
      </c>
      <c r="B618" t="inlineStr">
        <is>
          <t>reported</t>
        </is>
      </c>
      <c r="C618" t="inlineStr">
        <is>
          <t>Biochar Dry Product Weight (kg) (Pyrolysis) - Applied</t>
        </is>
      </c>
      <c r="D618" t="inlineStr">
        <is>
          <t>Dry biochar product weight (pyrolysis), spreading-mass basis</t>
        </is>
      </c>
      <c r="E618" s="2" t="n">
        <v>5157.3261</v>
      </c>
      <c r="F618" t="n">
        <v>0</v>
      </c>
      <c r="G618" t="inlineStr">
        <is>
          <t>kg</t>
        </is>
      </c>
      <c r="H618" t="n">
        <v>5157.3261</v>
      </c>
      <c r="I618" t="n">
        <v>0</v>
      </c>
      <c r="J618" t="inlineStr">
        <is>
          <t>kg</t>
        </is>
      </c>
      <c r="K618">
        <f>Source!A28</f>
        <v/>
      </c>
      <c r="L618" t="inlineStr">
        <is>
          <t>Production Period 8 Summary (1).xlsx</t>
        </is>
      </c>
      <c r="M618">
        <f>Source!A46</f>
        <v/>
      </c>
      <c r="N618" t="inlineStr">
        <is>
          <t>20260121_Scale_Ticket.pdf</t>
        </is>
      </c>
      <c r="O618">
        <f>Source!A51</f>
        <v/>
      </c>
      <c r="P618" t="inlineStr">
        <is>
          <t>Brenner Farms Delivery Notes.xlsx</t>
        </is>
      </c>
      <c r="Q618" t="inlineStr">
        <is>
          <t>pyro-mass-rmv_1KY02PC6H1S0D393</t>
        </is>
      </c>
    </row>
    <row r="619">
      <c r="A619" t="inlineStr">
        <is>
          <t>dtp_1KYABR8761S05XH4</t>
        </is>
      </c>
      <c r="B619" t="inlineStr">
        <is>
          <t>reported</t>
        </is>
      </c>
      <c r="C619" t="inlineStr">
        <is>
          <t>Attribution factor</t>
        </is>
      </c>
      <c r="E619" s="2" t="n">
        <v>1</v>
      </c>
      <c r="F619" t="n">
        <v>0</v>
      </c>
      <c r="G619" t="inlineStr"/>
      <c r="H619" t="n">
        <v>1</v>
      </c>
      <c r="I619" t="n">
        <v>0</v>
      </c>
      <c r="J619" t="inlineStr"/>
    </row>
    <row r="620">
      <c r="A620" t="inlineStr">
        <is>
          <t>dtp_1KYABS3HC1S0HX5D</t>
        </is>
      </c>
      <c r="B620" t="inlineStr">
        <is>
          <t>reported</t>
        </is>
      </c>
      <c r="C620" t="inlineStr">
        <is>
          <t>Biochar Output - Carbon Intensity - Applied</t>
        </is>
      </c>
      <c r="D620" t="inlineStr">
        <is>
          <t>PP258 biochar production carbon intensity, applied per CI Summary</t>
        </is>
      </c>
      <c r="E620" s="2" t="n">
        <v>1.1815</v>
      </c>
      <c r="F620" t="n">
        <v>0</v>
      </c>
      <c r="G620" t="inlineStr"/>
      <c r="H620" t="n">
        <v>1.1815</v>
      </c>
      <c r="I620" t="n">
        <v>0</v>
      </c>
      <c r="J620" t="inlineStr">
        <is>
          <t>kgCO₂e/kg</t>
        </is>
      </c>
      <c r="K620">
        <f>Source!A38</f>
        <v/>
      </c>
      <c r="L620" t="inlineStr">
        <is>
          <t>Biochar CI Summary — All Production Periods.xlsx</t>
        </is>
      </c>
      <c r="M620">
        <f>Source!A31</f>
        <v/>
      </c>
      <c r="N620" t="inlineStr">
        <is>
          <t>August 2025 Production Period Summary (1).xlsx</t>
        </is>
      </c>
      <c r="Q620" t="inlineStr">
        <is>
          <t>pyro-ci-rmv_1KY02PYB11S0N221</t>
        </is>
      </c>
    </row>
    <row r="621">
      <c r="A621" t="inlineStr">
        <is>
          <t>dtp_1KYABS46N1S0CVRC</t>
        </is>
      </c>
      <c r="B621" t="inlineStr">
        <is>
          <t>reported</t>
        </is>
      </c>
      <c r="C621" t="inlineStr">
        <is>
          <t>Biochar Dry Product Weight (kg) (Pyrolysis) - Applied</t>
        </is>
      </c>
      <c r="D621" t="inlineStr">
        <is>
          <t>Dry biochar product weight (pyrolysis), spreading-mass basis</t>
        </is>
      </c>
      <c r="E621" s="2" t="n">
        <v>821.7107</v>
      </c>
      <c r="F621" t="n">
        <v>0</v>
      </c>
      <c r="G621" t="inlineStr">
        <is>
          <t>kg</t>
        </is>
      </c>
      <c r="H621" t="n">
        <v>821.7107</v>
      </c>
      <c r="I621" t="n">
        <v>0</v>
      </c>
      <c r="J621" t="inlineStr">
        <is>
          <t>kg</t>
        </is>
      </c>
      <c r="K621">
        <f>Source!A31</f>
        <v/>
      </c>
      <c r="L621" t="inlineStr">
        <is>
          <t>August 2025 Production Period Summary (1).xlsx</t>
        </is>
      </c>
      <c r="M621">
        <f>Source!A46</f>
        <v/>
      </c>
      <c r="N621" t="inlineStr">
        <is>
          <t>20260121_Scale_Ticket.pdf</t>
        </is>
      </c>
      <c r="O621">
        <f>Source!A51</f>
        <v/>
      </c>
      <c r="P621" t="inlineStr">
        <is>
          <t>Brenner Farms Delivery Notes.xlsx</t>
        </is>
      </c>
      <c r="Q621" t="inlineStr">
        <is>
          <t>pyro-mass-rmv_1KY02PYB11S0N221</t>
        </is>
      </c>
    </row>
    <row r="622">
      <c r="A622" t="inlineStr">
        <is>
          <t>dtp_1KYABS5E81S0KMQ7</t>
        </is>
      </c>
      <c r="B622" t="inlineStr">
        <is>
          <t>reported</t>
        </is>
      </c>
      <c r="C622" t="inlineStr">
        <is>
          <t>Attribution factor</t>
        </is>
      </c>
      <c r="E622" s="2" t="n">
        <v>1</v>
      </c>
      <c r="F622" t="n">
        <v>0</v>
      </c>
      <c r="G622" t="inlineStr"/>
      <c r="H622" t="n">
        <v>1</v>
      </c>
      <c r="I622" t="n">
        <v>0</v>
      </c>
      <c r="J622" t="inlineStr"/>
    </row>
    <row r="623">
      <c r="A623" t="inlineStr">
        <is>
          <t>dtp_1KYABS93Q1S0YYAM</t>
        </is>
      </c>
      <c r="B623" t="inlineStr">
        <is>
          <t>reported</t>
        </is>
      </c>
      <c r="C623" t="inlineStr">
        <is>
          <t>Biochar Output - Carbon Intensity - Applied</t>
        </is>
      </c>
      <c r="D623" t="inlineStr">
        <is>
          <t>PP257 biochar production carbon intensity, applied per CI Summary</t>
        </is>
      </c>
      <c r="E623" s="2" t="n">
        <v>1.2926</v>
      </c>
      <c r="F623" t="n">
        <v>0</v>
      </c>
      <c r="G623" t="inlineStr"/>
      <c r="H623" t="n">
        <v>1.2926</v>
      </c>
      <c r="I623" t="n">
        <v>0</v>
      </c>
      <c r="J623" t="inlineStr">
        <is>
          <t>kgCO₂e/kg</t>
        </is>
      </c>
      <c r="K623">
        <f>Source!A38</f>
        <v/>
      </c>
      <c r="L623" t="inlineStr">
        <is>
          <t>Biochar CI Summary — All Production Periods.xlsx</t>
        </is>
      </c>
      <c r="M623">
        <f>Source!A28</f>
        <v/>
      </c>
      <c r="N623" t="inlineStr">
        <is>
          <t>Production Period 8 Summary (1).xlsx</t>
        </is>
      </c>
      <c r="Q623" t="inlineStr">
        <is>
          <t>pyro-ci-rmv_1KY57M9F81S03MK6</t>
        </is>
      </c>
    </row>
    <row r="624">
      <c r="A624" t="inlineStr">
        <is>
          <t>dtp_1KYABS9HB1S0SWXK</t>
        </is>
      </c>
      <c r="B624" t="inlineStr">
        <is>
          <t>reported</t>
        </is>
      </c>
      <c r="C624" t="inlineStr">
        <is>
          <t>Biochar Dry Product Weight (kg) (Pyrolysis) - Applied</t>
        </is>
      </c>
      <c r="D624" t="inlineStr">
        <is>
          <t>Dry biochar product weight (pyrolysis), spreading-mass basis</t>
        </is>
      </c>
      <c r="E624" s="2" t="n">
        <v>618.73875</v>
      </c>
      <c r="F624" t="n">
        <v>0</v>
      </c>
      <c r="G624" t="inlineStr">
        <is>
          <t>kg</t>
        </is>
      </c>
      <c r="H624" t="n">
        <v>618.73875</v>
      </c>
      <c r="I624" t="n">
        <v>0</v>
      </c>
      <c r="J624" t="inlineStr">
        <is>
          <t>kg</t>
        </is>
      </c>
      <c r="K624">
        <f>Source!A28</f>
        <v/>
      </c>
      <c r="L624" t="inlineStr">
        <is>
          <t>Production Period 8 Summary (1).xlsx</t>
        </is>
      </c>
      <c r="M624">
        <f>Source!A51</f>
        <v/>
      </c>
      <c r="N624" t="inlineStr">
        <is>
          <t>Brenner Farms Delivery Notes.xlsx</t>
        </is>
      </c>
      <c r="Q624" t="inlineStr">
        <is>
          <t>pyro-mass-rmv_1KY57M9F81S03MK6</t>
        </is>
      </c>
    </row>
    <row r="625">
      <c r="A625" t="inlineStr">
        <is>
          <t>dtp_1KYABSAWZ1S07ZKR</t>
        </is>
      </c>
      <c r="B625" t="inlineStr">
        <is>
          <t>reported</t>
        </is>
      </c>
      <c r="C625" t="inlineStr">
        <is>
          <t>Attribution factor</t>
        </is>
      </c>
      <c r="E625" s="2" t="n">
        <v>1</v>
      </c>
      <c r="F625" t="n">
        <v>0</v>
      </c>
      <c r="G625" t="inlineStr"/>
      <c r="H625" t="n">
        <v>1</v>
      </c>
      <c r="I625" t="n">
        <v>0</v>
      </c>
      <c r="J625" t="inlineStr"/>
    </row>
    <row r="626">
      <c r="A626" t="inlineStr">
        <is>
          <t>dtp_1KYABSE941S02DE8</t>
        </is>
      </c>
      <c r="B626" t="inlineStr">
        <is>
          <t>reported</t>
        </is>
      </c>
      <c r="C626" t="inlineStr">
        <is>
          <t>Biochar Output - Carbon Intensity - Applied</t>
        </is>
      </c>
      <c r="D626" t="inlineStr">
        <is>
          <t>PP258 biochar production carbon intensity, applied per CI Summary</t>
        </is>
      </c>
      <c r="E626" s="2" t="n">
        <v>1.1815</v>
      </c>
      <c r="F626" t="n">
        <v>0</v>
      </c>
      <c r="G626" t="inlineStr"/>
      <c r="H626" t="n">
        <v>1.1815</v>
      </c>
      <c r="I626" t="n">
        <v>0</v>
      </c>
      <c r="J626" t="inlineStr">
        <is>
          <t>kgCO₂e/kg</t>
        </is>
      </c>
      <c r="K626">
        <f>Source!A38</f>
        <v/>
      </c>
      <c r="L626" t="inlineStr">
        <is>
          <t>Biochar CI Summary — All Production Periods.xlsx</t>
        </is>
      </c>
      <c r="M626">
        <f>Source!A31</f>
        <v/>
      </c>
      <c r="N626" t="inlineStr">
        <is>
          <t>August 2025 Production Period Summary (1).xlsx</t>
        </is>
      </c>
      <c r="Q626" t="inlineStr">
        <is>
          <t>pyro-ci-rmv_1KY57MT101S0BKC4</t>
        </is>
      </c>
    </row>
    <row r="627">
      <c r="A627" t="inlineStr">
        <is>
          <t>dtp_1KYABSF0B1S09Q5J</t>
        </is>
      </c>
      <c r="B627" t="inlineStr">
        <is>
          <t>reported</t>
        </is>
      </c>
      <c r="C627" t="inlineStr">
        <is>
          <t>Biochar Dry Product Weight (kg) (Pyrolysis) - Applied</t>
        </is>
      </c>
      <c r="D627" t="inlineStr">
        <is>
          <t>Dry biochar product weight (pyrolysis), spreading-mass basis</t>
        </is>
      </c>
      <c r="E627" s="2" t="n">
        <v>866.23425</v>
      </c>
      <c r="F627" t="n">
        <v>0</v>
      </c>
      <c r="G627" t="inlineStr">
        <is>
          <t>kg</t>
        </is>
      </c>
      <c r="H627" t="n">
        <v>866.23425</v>
      </c>
      <c r="I627" t="n">
        <v>0</v>
      </c>
      <c r="J627" t="inlineStr">
        <is>
          <t>kg</t>
        </is>
      </c>
      <c r="K627">
        <f>Source!A31</f>
        <v/>
      </c>
      <c r="L627" t="inlineStr">
        <is>
          <t>August 2025 Production Period Summary (1).xlsx</t>
        </is>
      </c>
      <c r="M627">
        <f>Source!A51</f>
        <v/>
      </c>
      <c r="N627" t="inlineStr">
        <is>
          <t>Brenner Farms Delivery Notes.xlsx</t>
        </is>
      </c>
      <c r="Q627" t="inlineStr">
        <is>
          <t>pyro-mass-rmv_1KY57MT101S0BKC4</t>
        </is>
      </c>
    </row>
    <row r="628">
      <c r="A628" t="inlineStr">
        <is>
          <t>dtp_1KYABSG681S04502</t>
        </is>
      </c>
      <c r="B628" t="inlineStr">
        <is>
          <t>reported</t>
        </is>
      </c>
      <c r="C628" t="inlineStr">
        <is>
          <t>Attribution factor</t>
        </is>
      </c>
      <c r="E628" s="2" t="n">
        <v>1</v>
      </c>
      <c r="F628" t="n">
        <v>0</v>
      </c>
      <c r="G628" t="inlineStr"/>
      <c r="H628" t="n">
        <v>1</v>
      </c>
      <c r="I628" t="n">
        <v>0</v>
      </c>
      <c r="J628" t="inlineStr"/>
    </row>
    <row r="629">
      <c r="A629" t="inlineStr">
        <is>
          <t>dtp_1KYABSK9S1S084W5</t>
        </is>
      </c>
      <c r="B629" t="inlineStr">
        <is>
          <t>reported</t>
        </is>
      </c>
      <c r="C629" t="inlineStr">
        <is>
          <t>Biochar Output - Carbon Intensity - Applied</t>
        </is>
      </c>
      <c r="D629" t="inlineStr">
        <is>
          <t>PP259 biochar production carbon intensity, applied per CI Summary</t>
        </is>
      </c>
      <c r="E629" s="2" t="n">
        <v>1.4278</v>
      </c>
      <c r="F629" t="n">
        <v>0</v>
      </c>
      <c r="G629" t="inlineStr"/>
      <c r="H629" t="n">
        <v>1.4278</v>
      </c>
      <c r="I629" t="n">
        <v>0</v>
      </c>
      <c r="J629" t="inlineStr">
        <is>
          <t>kgCO₂e/kg</t>
        </is>
      </c>
      <c r="K629">
        <f>Source!A38</f>
        <v/>
      </c>
      <c r="L629" t="inlineStr">
        <is>
          <t>Biochar CI Summary — All Production Periods.xlsx</t>
        </is>
      </c>
      <c r="M629">
        <f>Source!A52</f>
        <v/>
      </c>
      <c r="N629" t="inlineStr">
        <is>
          <t>September 2025 Production Period Summary.xlsx</t>
        </is>
      </c>
      <c r="Q629" t="inlineStr">
        <is>
          <t>pyro-ci-rmv_1KY5G7F3N1S0MPZX</t>
        </is>
      </c>
    </row>
    <row r="630">
      <c r="A630" t="inlineStr">
        <is>
          <t>dtp_1KYABSKS11S0PRAS</t>
        </is>
      </c>
      <c r="B630" t="inlineStr">
        <is>
          <t>reported</t>
        </is>
      </c>
      <c r="C630" t="inlineStr">
        <is>
          <t>Biochar Dry Product Weight (kg) (Pyrolysis) - Applied</t>
        </is>
      </c>
      <c r="D630" t="inlineStr">
        <is>
          <t>Dry biochar product weight (pyrolysis), spreading-mass basis</t>
        </is>
      </c>
      <c r="E630" s="2" t="n">
        <v>3868</v>
      </c>
      <c r="F630" t="n">
        <v>0</v>
      </c>
      <c r="G630" t="inlineStr">
        <is>
          <t>kg</t>
        </is>
      </c>
      <c r="H630" t="n">
        <v>3868</v>
      </c>
      <c r="I630" t="n">
        <v>0</v>
      </c>
      <c r="J630" t="inlineStr">
        <is>
          <t>kg</t>
        </is>
      </c>
      <c r="K630">
        <f>Source!A51</f>
        <v/>
      </c>
      <c r="L630" t="inlineStr">
        <is>
          <t>Brenner Farms Delivery Notes.xlsx</t>
        </is>
      </c>
      <c r="M630">
        <f>Source!A52</f>
        <v/>
      </c>
      <c r="N630" t="inlineStr">
        <is>
          <t>September 2025 Production Period Summary.xlsx</t>
        </is>
      </c>
      <c r="Q630" t="inlineStr">
        <is>
          <t>pyro-mass-rmv_1KY5G7F3N1S0MPZX</t>
        </is>
      </c>
    </row>
    <row r="631">
      <c r="A631" t="inlineStr">
        <is>
          <t>dtp_1KYABSN6J1S0XH9M</t>
        </is>
      </c>
      <c r="B631" t="inlineStr">
        <is>
          <t>reported</t>
        </is>
      </c>
      <c r="C631" t="inlineStr">
        <is>
          <t>Attribution factor</t>
        </is>
      </c>
      <c r="E631" s="2" t="n">
        <v>1</v>
      </c>
      <c r="F631" t="n">
        <v>0</v>
      </c>
      <c r="G631" t="inlineStr"/>
      <c r="H631" t="n">
        <v>1</v>
      </c>
      <c r="I631" t="n">
        <v>0</v>
      </c>
      <c r="J631" t="inlineStr"/>
    </row>
    <row r="632">
      <c r="A632" t="inlineStr">
        <is>
          <t>dtp_1KYABSR6B1S0Z8VE</t>
        </is>
      </c>
      <c r="B632" t="inlineStr">
        <is>
          <t>reported</t>
        </is>
      </c>
      <c r="C632" t="inlineStr">
        <is>
          <t>Biochar Output - Carbon Intensity - Applied</t>
        </is>
      </c>
      <c r="D632" t="inlineStr">
        <is>
          <t>PP257 biochar production carbon intensity, applied per CI Summary</t>
        </is>
      </c>
      <c r="E632" s="2" t="n">
        <v>1.2926</v>
      </c>
      <c r="F632" t="n">
        <v>0</v>
      </c>
      <c r="G632" t="inlineStr"/>
      <c r="H632" t="n">
        <v>1.2926</v>
      </c>
      <c r="I632" t="n">
        <v>0</v>
      </c>
      <c r="J632" t="inlineStr">
        <is>
          <t>kgCO₂e/kg</t>
        </is>
      </c>
      <c r="K632">
        <f>Source!A38</f>
        <v/>
      </c>
      <c r="L632" t="inlineStr">
        <is>
          <t>Biochar CI Summary — All Production Periods.xlsx</t>
        </is>
      </c>
      <c r="M632">
        <f>Source!A28</f>
        <v/>
      </c>
      <c r="N632" t="inlineStr">
        <is>
          <t>Production Period 8 Summary (1).xlsx</t>
        </is>
      </c>
      <c r="Q632" t="inlineStr">
        <is>
          <t>pyro-ci-rmv_1KY38KE1C1S03T2H</t>
        </is>
      </c>
    </row>
    <row r="633">
      <c r="A633" t="inlineStr">
        <is>
          <t>dtp_1KYABSRWR1S0WFRP</t>
        </is>
      </c>
      <c r="B633" t="inlineStr">
        <is>
          <t>reported</t>
        </is>
      </c>
      <c r="C633" t="inlineStr">
        <is>
          <t>Biochar Dry Product Weight (kg) (Pyrolysis) - Applied</t>
        </is>
      </c>
      <c r="D633" t="inlineStr">
        <is>
          <t>Dry biochar product weight (pyrolysis), spreading-mass basis</t>
        </is>
      </c>
      <c r="E633" s="2" t="n">
        <v>249.7208</v>
      </c>
      <c r="F633" t="n">
        <v>0</v>
      </c>
      <c r="G633" t="inlineStr">
        <is>
          <t>kg</t>
        </is>
      </c>
      <c r="H633" t="n">
        <v>249.7208</v>
      </c>
      <c r="I633" t="n">
        <v>0</v>
      </c>
      <c r="J633" t="inlineStr">
        <is>
          <t>kg</t>
        </is>
      </c>
      <c r="K633">
        <f>Source!A28</f>
        <v/>
      </c>
      <c r="L633" t="inlineStr">
        <is>
          <t>Production Period 8 Summary (1).xlsx</t>
        </is>
      </c>
      <c r="M633">
        <f>Source!A45</f>
        <v/>
      </c>
      <c r="N633" t="inlineStr">
        <is>
          <t>March 20 Brenner Farms Scale Ticket.png</t>
        </is>
      </c>
      <c r="O633">
        <f>Source!A51</f>
        <v/>
      </c>
      <c r="P633" t="inlineStr">
        <is>
          <t>Brenner Farms Delivery Notes.xlsx</t>
        </is>
      </c>
      <c r="Q633" t="inlineStr">
        <is>
          <t>pyro-mass-rmv_1KY38KE1C1S03T2H</t>
        </is>
      </c>
    </row>
    <row r="634">
      <c r="A634" t="inlineStr">
        <is>
          <t>dtp_1KYABSVPC1S038QH</t>
        </is>
      </c>
      <c r="B634" t="inlineStr">
        <is>
          <t>reported</t>
        </is>
      </c>
      <c r="C634" t="inlineStr">
        <is>
          <t>Attribution factor</t>
        </is>
      </c>
      <c r="E634" s="2" t="n">
        <v>1</v>
      </c>
      <c r="F634" t="n">
        <v>0</v>
      </c>
      <c r="G634" t="inlineStr"/>
      <c r="H634" t="n">
        <v>1</v>
      </c>
      <c r="I634" t="n">
        <v>0</v>
      </c>
      <c r="J634" t="inlineStr"/>
    </row>
    <row r="635">
      <c r="A635" t="inlineStr">
        <is>
          <t>dtp_1KYABSZ6G1S0RN50</t>
        </is>
      </c>
      <c r="B635" t="inlineStr">
        <is>
          <t>reported</t>
        </is>
      </c>
      <c r="C635" t="inlineStr">
        <is>
          <t>Biochar Output - Carbon Intensity - Applied</t>
        </is>
      </c>
      <c r="D635" t="inlineStr">
        <is>
          <t>PP258 biochar production carbon intensity, applied per CI Summary</t>
        </is>
      </c>
      <c r="E635" s="2" t="n">
        <v>1.1815</v>
      </c>
      <c r="F635" t="n">
        <v>0</v>
      </c>
      <c r="G635" t="inlineStr"/>
      <c r="H635" t="n">
        <v>1.1815</v>
      </c>
      <c r="I635" t="n">
        <v>0</v>
      </c>
      <c r="J635" t="inlineStr">
        <is>
          <t>kgCO₂e/kg</t>
        </is>
      </c>
      <c r="K635">
        <f>Source!A38</f>
        <v/>
      </c>
      <c r="L635" t="inlineStr">
        <is>
          <t>Biochar CI Summary — All Production Periods.xlsx</t>
        </is>
      </c>
      <c r="M635">
        <f>Source!A31</f>
        <v/>
      </c>
      <c r="N635" t="inlineStr">
        <is>
          <t>August 2025 Production Period Summary (1).xlsx</t>
        </is>
      </c>
      <c r="Q635" t="inlineStr">
        <is>
          <t>pyro-ci-rmv_1KYA75EW41S07JMK</t>
        </is>
      </c>
    </row>
    <row r="636">
      <c r="A636" t="inlineStr">
        <is>
          <t>dtp_1KYABSZHW1S0ZYWA</t>
        </is>
      </c>
      <c r="B636" t="inlineStr">
        <is>
          <t>reported</t>
        </is>
      </c>
      <c r="C636" t="inlineStr">
        <is>
          <t>Biochar Dry Product Weight (kg) (Pyrolysis) - Applied</t>
        </is>
      </c>
      <c r="D636" t="inlineStr">
        <is>
          <t>Dry biochar product weight (pyrolysis), spreading-mass basis</t>
        </is>
      </c>
      <c r="E636" s="2" t="n">
        <v>3395.2191</v>
      </c>
      <c r="F636" t="n">
        <v>0</v>
      </c>
      <c r="G636" t="inlineStr">
        <is>
          <t>kg</t>
        </is>
      </c>
      <c r="H636" t="n">
        <v>3395.2191</v>
      </c>
      <c r="I636" t="n">
        <v>0</v>
      </c>
      <c r="J636" t="inlineStr">
        <is>
          <t>kg</t>
        </is>
      </c>
      <c r="K636">
        <f>Source!A31</f>
        <v/>
      </c>
      <c r="L636" t="inlineStr">
        <is>
          <t>August 2025 Production Period Summary (1).xlsx</t>
        </is>
      </c>
      <c r="M636">
        <f>Source!A45</f>
        <v/>
      </c>
      <c r="N636" t="inlineStr">
        <is>
          <t>March 20 Brenner Farms Scale Ticket.png</t>
        </is>
      </c>
      <c r="O636">
        <f>Source!A51</f>
        <v/>
      </c>
      <c r="P636" t="inlineStr">
        <is>
          <t>Brenner Farms Delivery Notes.xlsx</t>
        </is>
      </c>
      <c r="Q636" t="inlineStr">
        <is>
          <t>pyro-mass-rmv_1KYA75EW41S07JMK</t>
        </is>
      </c>
    </row>
    <row r="637">
      <c r="A637" t="inlineStr">
        <is>
          <t>dtp_1KYABT0NR1S0TCPT</t>
        </is>
      </c>
      <c r="B637" t="inlineStr">
        <is>
          <t>reported</t>
        </is>
      </c>
      <c r="C637" t="inlineStr">
        <is>
          <t>Attribution factor</t>
        </is>
      </c>
      <c r="E637" s="2" t="n">
        <v>1</v>
      </c>
      <c r="F637" t="n">
        <v>0</v>
      </c>
      <c r="G637" t="inlineStr"/>
      <c r="H637" t="n">
        <v>1</v>
      </c>
      <c r="I637" t="n">
        <v>0</v>
      </c>
      <c r="J637" t="inlineStr"/>
    </row>
    <row r="638">
      <c r="A638" t="inlineStr">
        <is>
          <t>dtp_1KYABT3YN1S05PA7</t>
        </is>
      </c>
      <c r="B638" t="inlineStr">
        <is>
          <t>reported</t>
        </is>
      </c>
      <c r="C638" t="inlineStr">
        <is>
          <t>Biochar Output - Carbon Intensity - Applied</t>
        </is>
      </c>
      <c r="D638" t="inlineStr">
        <is>
          <t>PP257 biochar production carbon intensity, applied per CI Summary</t>
        </is>
      </c>
      <c r="E638" s="2" t="n">
        <v>1.2926</v>
      </c>
      <c r="F638" t="n">
        <v>0</v>
      </c>
      <c r="G638" t="inlineStr"/>
      <c r="H638" t="n">
        <v>1.2926</v>
      </c>
      <c r="I638" t="n">
        <v>0</v>
      </c>
      <c r="J638" t="inlineStr">
        <is>
          <t>kgCO₂e/kg</t>
        </is>
      </c>
      <c r="K638">
        <f>Source!A38</f>
        <v/>
      </c>
      <c r="L638" t="inlineStr">
        <is>
          <t>Biochar CI Summary — All Production Periods.xlsx</t>
        </is>
      </c>
      <c r="M638">
        <f>Source!A28</f>
        <v/>
      </c>
      <c r="N638" t="inlineStr">
        <is>
          <t>Production Period 8 Summary (1).xlsx</t>
        </is>
      </c>
      <c r="Q638" t="inlineStr">
        <is>
          <t>pyro-ci-rmv_1KXGK4R131S095PN</t>
        </is>
      </c>
    </row>
    <row r="639">
      <c r="A639" t="inlineStr">
        <is>
          <t>dtp_1KYABT4MA1S0M9RV</t>
        </is>
      </c>
      <c r="B639" t="inlineStr">
        <is>
          <t>reported</t>
        </is>
      </c>
      <c r="C639" t="inlineStr">
        <is>
          <t>Biochar Dry Product Weight (kg) (Pyrolysis) - Applied</t>
        </is>
      </c>
      <c r="D639" t="inlineStr">
        <is>
          <t>Dry biochar product weight (pyrolysis), spreading-mass basis</t>
        </is>
      </c>
      <c r="E639" s="2" t="n">
        <v>1044.6268</v>
      </c>
      <c r="F639" t="n">
        <v>0</v>
      </c>
      <c r="G639" t="inlineStr">
        <is>
          <t>kg</t>
        </is>
      </c>
      <c r="H639" t="n">
        <v>1044.6268</v>
      </c>
      <c r="I639" t="n">
        <v>0</v>
      </c>
      <c r="J639" t="inlineStr">
        <is>
          <t>kg</t>
        </is>
      </c>
      <c r="K639">
        <f>Source!A28</f>
        <v/>
      </c>
      <c r="L639" t="inlineStr">
        <is>
          <t>Production Period 8 Summary (1).xlsx</t>
        </is>
      </c>
      <c r="M639">
        <f>Source!A44</f>
        <v/>
      </c>
      <c r="N639" t="inlineStr">
        <is>
          <t>Chris Craig 6.6.26 Scale Tickets.png</t>
        </is>
      </c>
      <c r="O639">
        <f>Source!A50</f>
        <v/>
      </c>
      <c r="P639" t="inlineStr">
        <is>
          <t>Chris Craig Delivery Notes.xlsx</t>
        </is>
      </c>
      <c r="Q639" t="inlineStr">
        <is>
          <t>pyro-mass-rmv_1KXGK4R131S095PN</t>
        </is>
      </c>
    </row>
    <row r="640">
      <c r="A640" t="inlineStr">
        <is>
          <t>dtp_1KYABT6RW1S0KS0C</t>
        </is>
      </c>
      <c r="B640" t="inlineStr">
        <is>
          <t>reported</t>
        </is>
      </c>
      <c r="C640" t="inlineStr">
        <is>
          <t>Attribution factor</t>
        </is>
      </c>
      <c r="E640" s="2" t="n">
        <v>1</v>
      </c>
      <c r="F640" t="n">
        <v>0</v>
      </c>
      <c r="G640" t="inlineStr"/>
      <c r="H640" t="n">
        <v>1</v>
      </c>
      <c r="I640" t="n">
        <v>0</v>
      </c>
      <c r="J640" t="inlineStr"/>
    </row>
    <row r="641">
      <c r="A641" t="inlineStr">
        <is>
          <t>dtp_1KYABTA0S1S0QRWF</t>
        </is>
      </c>
      <c r="B641" t="inlineStr">
        <is>
          <t>reported</t>
        </is>
      </c>
      <c r="C641" t="inlineStr">
        <is>
          <t>Biochar Output - Carbon Intensity - Applied</t>
        </is>
      </c>
      <c r="D641" t="inlineStr">
        <is>
          <t>PP258 biochar production carbon intensity, applied per CI Summary</t>
        </is>
      </c>
      <c r="E641" s="2" t="n">
        <v>1.1815</v>
      </c>
      <c r="F641" t="n">
        <v>0</v>
      </c>
      <c r="G641" t="inlineStr"/>
      <c r="H641" t="n">
        <v>1.1815</v>
      </c>
      <c r="I641" t="n">
        <v>0</v>
      </c>
      <c r="J641" t="inlineStr">
        <is>
          <t>kgCO₂e/kg</t>
        </is>
      </c>
      <c r="K641">
        <f>Source!A38</f>
        <v/>
      </c>
      <c r="L641" t="inlineStr">
        <is>
          <t>Biochar CI Summary — All Production Periods.xlsx</t>
        </is>
      </c>
      <c r="M641">
        <f>Source!A31</f>
        <v/>
      </c>
      <c r="N641" t="inlineStr">
        <is>
          <t>August 2025 Production Period Summary (1).xlsx</t>
        </is>
      </c>
      <c r="Q641" t="inlineStr">
        <is>
          <t>pyro-ci-rmv_1KXGK5BMT1S0H4FK</t>
        </is>
      </c>
    </row>
    <row r="642">
      <c r="A642" t="inlineStr">
        <is>
          <t>dtp_1KYABTAPP1S06CB3</t>
        </is>
      </c>
      <c r="B642" t="inlineStr">
        <is>
          <t>reported</t>
        </is>
      </c>
      <c r="C642" t="inlineStr">
        <is>
          <t>Biochar Dry Product Weight (kg) (Pyrolysis) - Applied</t>
        </is>
      </c>
      <c r="D642" t="inlineStr">
        <is>
          <t>Dry biochar product weight (pyrolysis), spreading-mass basis</t>
        </is>
      </c>
      <c r="E642" s="2" t="n">
        <v>355.0702</v>
      </c>
      <c r="F642" t="n">
        <v>0</v>
      </c>
      <c r="G642" t="inlineStr">
        <is>
          <t>kg</t>
        </is>
      </c>
      <c r="H642" t="n">
        <v>355.0702</v>
      </c>
      <c r="I642" t="n">
        <v>0</v>
      </c>
      <c r="J642" t="inlineStr">
        <is>
          <t>kg</t>
        </is>
      </c>
      <c r="K642">
        <f>Source!A31</f>
        <v/>
      </c>
      <c r="L642" t="inlineStr">
        <is>
          <t>August 2025 Production Period Summary (1).xlsx</t>
        </is>
      </c>
      <c r="M642">
        <f>Source!A44</f>
        <v/>
      </c>
      <c r="N642" t="inlineStr">
        <is>
          <t>Chris Craig 6.6.26 Scale Tickets.png</t>
        </is>
      </c>
      <c r="O642">
        <f>Source!A50</f>
        <v/>
      </c>
      <c r="P642" t="inlineStr">
        <is>
          <t>Chris Craig Delivery Notes.xlsx</t>
        </is>
      </c>
      <c r="Q642" t="inlineStr">
        <is>
          <t>pyro-mass-rmv_1KXGK5BMT1S0H4FK</t>
        </is>
      </c>
    </row>
    <row r="643">
      <c r="A643" t="inlineStr">
        <is>
          <t>dtp_1KYABTC7Y1S00T5K</t>
        </is>
      </c>
      <c r="B643" t="inlineStr">
        <is>
          <t>reported</t>
        </is>
      </c>
      <c r="C643" t="inlineStr">
        <is>
          <t>Attribution factor</t>
        </is>
      </c>
      <c r="E643" s="2" t="n">
        <v>1</v>
      </c>
      <c r="F643" t="n">
        <v>0</v>
      </c>
      <c r="G643" t="inlineStr"/>
      <c r="H643" t="n">
        <v>1</v>
      </c>
      <c r="I643" t="n">
        <v>0</v>
      </c>
      <c r="J643" t="inlineStr"/>
    </row>
    <row r="644">
      <c r="A644" t="inlineStr">
        <is>
          <t>dtp_1KYMS0Q121S01K54</t>
        </is>
      </c>
      <c r="B644" t="inlineStr">
        <is>
          <t>reported</t>
        </is>
      </c>
      <c r="C644" t="inlineStr">
        <is>
          <t>Attribution factor</t>
        </is>
      </c>
      <c r="E644" s="2" t="n">
        <v>1</v>
      </c>
      <c r="F644" t="n">
        <v>0</v>
      </c>
      <c r="G644" t="inlineStr"/>
      <c r="H644" t="n">
        <v>1</v>
      </c>
      <c r="I644" t="n">
        <v>0</v>
      </c>
      <c r="J644" t="inlineStr"/>
    </row>
    <row r="645">
      <c r="A645" t="inlineStr">
        <is>
          <t>dtp_1KYN3YECW1S0QJNQ</t>
        </is>
      </c>
      <c r="B645" t="inlineStr">
        <is>
          <t>reported</t>
        </is>
      </c>
      <c r="C645" t="inlineStr">
        <is>
          <t>Attribution factor</t>
        </is>
      </c>
      <c r="E645" s="2" t="n">
        <v>1</v>
      </c>
      <c r="F645" t="n">
        <v>0</v>
      </c>
      <c r="G645" t="inlineStr"/>
      <c r="H645" t="n">
        <v>1</v>
      </c>
      <c r="I645" t="n">
        <v>0</v>
      </c>
      <c r="J645" t="inlineStr"/>
    </row>
    <row r="646">
      <c r="A646" t="inlineStr">
        <is>
          <t>dtp_1KYN3YVQN1S0W3A9</t>
        </is>
      </c>
      <c r="B646" t="inlineStr">
        <is>
          <t>reported</t>
        </is>
      </c>
      <c r="C646" t="inlineStr">
        <is>
          <t>Constant emissions</t>
        </is>
      </c>
      <c r="E646" s="2" t="n">
        <v>6135</v>
      </c>
      <c r="F646" t="n">
        <v>0</v>
      </c>
      <c r="G646" t="inlineStr">
        <is>
          <t>kg</t>
        </is>
      </c>
      <c r="H646" t="n">
        <v>6135</v>
      </c>
      <c r="I646" t="n">
        <v>0</v>
      </c>
      <c r="J646" t="inlineStr">
        <is>
          <t>kgCO₂e</t>
        </is>
      </c>
      <c r="K646">
        <f>Source!A42</f>
        <v/>
      </c>
      <c r="L646" t="inlineStr">
        <is>
          <t>Biochar Removals Tracker — H1 2026.xlsx</t>
        </is>
      </c>
    </row>
    <row r="647">
      <c r="A647" t="inlineStr">
        <is>
          <t>dtp_1KYN4431R1S0036C</t>
        </is>
      </c>
      <c r="B647" t="inlineStr">
        <is>
          <t>reported</t>
        </is>
      </c>
      <c r="C647" t="inlineStr">
        <is>
          <t>Attribution factor</t>
        </is>
      </c>
      <c r="E647" s="2" t="n">
        <v>1</v>
      </c>
      <c r="F647" t="n">
        <v>0</v>
      </c>
      <c r="G647" t="inlineStr"/>
      <c r="H647" t="n">
        <v>1</v>
      </c>
      <c r="I647" t="n">
        <v>0</v>
      </c>
      <c r="J647" t="inlineStr"/>
    </row>
    <row r="648">
      <c r="A648" t="inlineStr">
        <is>
          <t>dtp_1KYN44FAZ1S0XA3M</t>
        </is>
      </c>
      <c r="B648" t="inlineStr">
        <is>
          <t>reported</t>
        </is>
      </c>
      <c r="C648" t="inlineStr">
        <is>
          <t>Constant emissions</t>
        </is>
      </c>
      <c r="E648" s="2" t="n">
        <v>5000</v>
      </c>
      <c r="F648" t="n">
        <v>0</v>
      </c>
      <c r="G648" t="inlineStr">
        <is>
          <t>kg</t>
        </is>
      </c>
      <c r="H648" t="n">
        <v>5000</v>
      </c>
      <c r="I648" t="n">
        <v>0</v>
      </c>
      <c r="J648" t="inlineStr">
        <is>
          <t>kgCO₂e</t>
        </is>
      </c>
      <c r="K648">
        <f>Source!A42</f>
        <v/>
      </c>
      <c r="L648" t="inlineStr">
        <is>
          <t>Biochar Removals Tracker — H1 2026.xlsx</t>
        </is>
      </c>
    </row>
    <row r="649">
      <c r="A649" t="inlineStr">
        <is>
          <t>dtp_1KYN471V91S0T08D</t>
        </is>
      </c>
      <c r="B649" t="inlineStr">
        <is>
          <t>reported</t>
        </is>
      </c>
      <c r="C649" t="inlineStr">
        <is>
          <t>Attribution factor</t>
        </is>
      </c>
      <c r="E649" s="2" t="n">
        <v>1</v>
      </c>
      <c r="F649" t="n">
        <v>0</v>
      </c>
      <c r="G649" t="inlineStr"/>
      <c r="H649" t="n">
        <v>1</v>
      </c>
      <c r="I649" t="n">
        <v>0</v>
      </c>
      <c r="J649" t="inlineStr"/>
    </row>
    <row r="650">
      <c r="A650" t="inlineStr">
        <is>
          <t>dtp_1KYN4A3AM1S0Q75N</t>
        </is>
      </c>
      <c r="B650" t="inlineStr">
        <is>
          <t>reported</t>
        </is>
      </c>
      <c r="C650" t="inlineStr">
        <is>
          <t>Constant emissions</t>
        </is>
      </c>
      <c r="E650" s="2" t="n">
        <v>3137.17</v>
      </c>
      <c r="F650" t="n">
        <v>0</v>
      </c>
      <c r="G650" t="inlineStr">
        <is>
          <t>kg</t>
        </is>
      </c>
      <c r="H650" t="n">
        <v>3137.17</v>
      </c>
      <c r="I650" t="n">
        <v>0</v>
      </c>
      <c r="J650" t="inlineStr">
        <is>
          <t>kgCO₂e</t>
        </is>
      </c>
      <c r="K650">
        <f>Source!A42</f>
        <v/>
      </c>
      <c r="L650" t="inlineStr">
        <is>
          <t>Biochar Removals Tracker — H1 2026.xlsx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Source ID</t>
        </is>
      </c>
      <c r="B1" s="1" t="inlineStr">
        <is>
          <t>Type</t>
        </is>
      </c>
      <c r="C1" s="1" t="inlineStr">
        <is>
          <t>Display Name</t>
        </is>
      </c>
      <c r="D1" s="1" t="inlineStr">
        <is>
          <t>Published at</t>
        </is>
      </c>
      <c r="E1" s="1" t="inlineStr">
        <is>
          <t>Isometric URL</t>
        </is>
      </c>
      <c r="F1" s="1" t="inlineStr">
        <is>
          <t>Supplier reference ID</t>
        </is>
      </c>
    </row>
    <row r="2"/>
    <row r="3">
      <c r="A3" t="inlineStr">
        <is>
          <t>src_1KCMCJKCR1S0ZHKZ</t>
        </is>
      </c>
      <c r="B3" t="inlineStr">
        <is>
          <t>document</t>
        </is>
      </c>
      <c r="C3" t="inlineStr">
        <is>
          <t>123 - Combined Lab Analyses.pdf</t>
        </is>
      </c>
      <c r="D3" s="5" t="n">
        <v>46002</v>
      </c>
      <c r="E3" t="inlineStr">
        <is>
          <t>https://to.isometric.com/certify/src_1KCMCJKCR1S0ZHKZ</t>
        </is>
      </c>
      <c r="F3" t="inlineStr">
        <is>
          <t>66713</t>
        </is>
      </c>
    </row>
    <row r="4">
      <c r="A4" t="inlineStr">
        <is>
          <t>src_1KW06BDA81S0TE9E</t>
        </is>
      </c>
      <c r="B4" t="inlineStr">
        <is>
          <t>document</t>
        </is>
      </c>
      <c r="C4" t="inlineStr">
        <is>
          <t>Biochar Offtake Calculations.xlsx</t>
        </is>
      </c>
      <c r="D4" s="5" t="n">
        <v>45987</v>
      </c>
      <c r="E4" t="inlineStr">
        <is>
          <t>https://to.isometric.com/certify/src_1KW06BDA81S0TE9E</t>
        </is>
      </c>
      <c r="F4" t="inlineStr">
        <is>
          <t>ev_IUcU9bvdrQ2OsdXV-prj_1JN6XNWDQ1S0BSN7</t>
        </is>
      </c>
    </row>
    <row r="5">
      <c r="A5" t="inlineStr">
        <is>
          <t>src_1KW06BFE01S0NCWD</t>
        </is>
      </c>
      <c r="B5" t="inlineStr">
        <is>
          <t>document</t>
        </is>
      </c>
      <c r="C5" t="inlineStr">
        <is>
          <t>Production Period 3 Summary.xlsx</t>
        </is>
      </c>
      <c r="D5" s="5" t="n">
        <v>46002</v>
      </c>
      <c r="E5" t="inlineStr">
        <is>
          <t>https://to.isometric.com/certify/src_1KW06BFE01S0NCWD</t>
        </is>
      </c>
      <c r="F5" t="inlineStr">
        <is>
          <t>ev_cwH5ZO366irKbE8s-prj_1JN6XNWDQ1S0BSN7</t>
        </is>
      </c>
    </row>
    <row r="6">
      <c r="A6" t="inlineStr">
        <is>
          <t>src_1KW06BJE31S040B1</t>
        </is>
      </c>
      <c r="B6" t="inlineStr">
        <is>
          <t>document</t>
        </is>
      </c>
      <c r="C6" t="inlineStr">
        <is>
          <t>252 - Combined Lab Analyses.pdf</t>
        </is>
      </c>
      <c r="D6" s="5" t="n">
        <v>46002</v>
      </c>
      <c r="E6" t="inlineStr">
        <is>
          <t>https://to.isometric.com/certify/src_1KW06BJE31S040B1</t>
        </is>
      </c>
      <c r="F6" t="inlineStr">
        <is>
          <t>ev_ESk7QapA9dMmwOLj-prj_1JN6XNWDQ1S0BSN7</t>
        </is>
      </c>
    </row>
    <row r="7">
      <c r="A7" t="inlineStr">
        <is>
          <t>src_1KW06BPEP1S01789</t>
        </is>
      </c>
      <c r="B7" t="inlineStr">
        <is>
          <t>document</t>
        </is>
      </c>
      <c r="C7" t="inlineStr">
        <is>
          <t>Summary - Biochar Inert &amp; Unprocessed.csv</t>
        </is>
      </c>
      <c r="D7" s="5" t="n">
        <v>46007</v>
      </c>
      <c r="E7" t="inlineStr">
        <is>
          <t>https://to.isometric.com/certify/src_1KW06BPEP1S01789</t>
        </is>
      </c>
      <c r="F7" t="inlineStr">
        <is>
          <t>ev_Bw7ZbH93OC29dTbc-prj_1JN6XNWDQ1S0BSN7</t>
        </is>
      </c>
    </row>
    <row r="8">
      <c r="A8" t="inlineStr">
        <is>
          <t>src_1KWCC0B8K1S09AFN</t>
        </is>
      </c>
      <c r="B8" t="inlineStr">
        <is>
          <t>document</t>
        </is>
      </c>
      <c r="C8" t="inlineStr">
        <is>
          <t>GLEC NA Road Transport.png</t>
        </is>
      </c>
      <c r="D8" s="5" t="n">
        <v>45931</v>
      </c>
      <c r="E8" t="inlineStr">
        <is>
          <t>https://to.isometric.com/certify/src_1KWCC0B8K1S09AFN</t>
        </is>
      </c>
      <c r="F8" t="inlineStr">
        <is>
          <t>ev_t1Cb6cdD6KnjdbWb-prj_1JN6XNWDQ1S0BSN7</t>
        </is>
      </c>
    </row>
    <row r="9">
      <c r="A9" t="inlineStr">
        <is>
          <t>src_1KWCSB6591S0322B</t>
        </is>
      </c>
      <c r="B9" t="inlineStr">
        <is>
          <t>document</t>
        </is>
      </c>
      <c r="C9" t="inlineStr">
        <is>
          <t>Production Period 1 Summary -- Final Submission (Updated 4_25).xlsx</t>
        </is>
      </c>
      <c r="D9" s="5" t="n">
        <v>46007</v>
      </c>
      <c r="E9" t="inlineStr">
        <is>
          <t>https://to.isometric.com/certify/src_1KWCSB6591S0322B</t>
        </is>
      </c>
      <c r="F9" t="inlineStr">
        <is>
          <t>ev_OOfLce2fDpWTPwbt-prj_1JN6XNWDQ1S0BSN7</t>
        </is>
      </c>
    </row>
    <row r="10">
      <c r="A10" t="inlineStr">
        <is>
          <t>src_1KWCSCJBT1S04SM5</t>
        </is>
      </c>
      <c r="B10" t="inlineStr">
        <is>
          <t>document</t>
        </is>
      </c>
      <c r="C10" t="inlineStr">
        <is>
          <t>Summary - Biochar Inert &amp; Unprocessed.csv</t>
        </is>
      </c>
      <c r="D10" s="5" t="n">
        <v>46007</v>
      </c>
      <c r="E10" t="inlineStr">
        <is>
          <t>https://to.isometric.com/certify/src_1KWCSCJBT1S04SM5</t>
        </is>
      </c>
      <c r="F10" t="inlineStr">
        <is>
          <t>ev_NT27hibzxgRGfzR2-prj_1JN6XNWDQ1S0BSN7</t>
        </is>
      </c>
    </row>
    <row r="11">
      <c r="A11" t="inlineStr">
        <is>
          <t>src_1KWCSCVGZ1S0JWAA</t>
        </is>
      </c>
      <c r="B11" t="inlineStr">
        <is>
          <t>document</t>
        </is>
      </c>
      <c r="C11" t="inlineStr">
        <is>
          <t>Production Period 1 Summary -- Final Submission (Updated 4_25) (1).xlsx</t>
        </is>
      </c>
      <c r="D11" s="5" t="n">
        <v>46007</v>
      </c>
      <c r="E11" t="inlineStr">
        <is>
          <t>https://to.isometric.com/certify/src_1KWCSCVGZ1S0JWAA</t>
        </is>
      </c>
      <c r="F11" t="inlineStr">
        <is>
          <t>ev_qGueCPJS6n29VqVU-prj_1JN6XNWDQ1S0BSN7</t>
        </is>
      </c>
    </row>
    <row r="12">
      <c r="A12" t="inlineStr">
        <is>
          <t>src_1KWCY02JD1S0TAAS</t>
        </is>
      </c>
      <c r="B12" t="inlineStr">
        <is>
          <t>document</t>
        </is>
      </c>
      <c r="C12" t="inlineStr">
        <is>
          <t>Production Period 2 Summary.xlsx</t>
        </is>
      </c>
      <c r="D12" s="5" t="n">
        <v>46003</v>
      </c>
      <c r="E12" t="inlineStr">
        <is>
          <t>https://to.isometric.com/certify/src_1KWCY02JD1S0TAAS</t>
        </is>
      </c>
      <c r="F12" t="inlineStr">
        <is>
          <t>ev_EO0WvwZYWELBGacJ-prj_1JN6XNWDQ1S0BSN7</t>
        </is>
      </c>
    </row>
    <row r="13">
      <c r="A13" t="inlineStr">
        <is>
          <t>src_1KWCY07XX1S0W1WK</t>
        </is>
      </c>
      <c r="B13" t="inlineStr">
        <is>
          <t>document</t>
        </is>
      </c>
      <c r="C13" t="inlineStr">
        <is>
          <t>Summary - Biochar Inert &amp; Unprocessed.csv</t>
        </is>
      </c>
      <c r="D13" s="5" t="n">
        <v>46007</v>
      </c>
      <c r="E13" t="inlineStr">
        <is>
          <t>https://to.isometric.com/certify/src_1KWCY07XX1S0W1WK</t>
        </is>
      </c>
      <c r="F13" t="inlineStr">
        <is>
          <t>ev_EYurv7k6HWr2cpEV-prj_1JN6XNWDQ1S0BSN7</t>
        </is>
      </c>
    </row>
    <row r="14">
      <c r="A14" t="inlineStr">
        <is>
          <t>src_1KWCZNM9M1S0KTXG</t>
        </is>
      </c>
      <c r="B14" t="inlineStr">
        <is>
          <t>document</t>
        </is>
      </c>
      <c r="C14" t="inlineStr">
        <is>
          <t>255 - Combined Lab Analyses.pdf</t>
        </is>
      </c>
      <c r="D14" s="5" t="n">
        <v>46002</v>
      </c>
      <c r="E14" t="inlineStr">
        <is>
          <t>https://to.isometric.com/certify/src_1KWCZNM9M1S0KTXG</t>
        </is>
      </c>
      <c r="F14" t="inlineStr">
        <is>
          <t>ev_IUG4X1nhxocWXpK8-prj_1JN6XNWDQ1S0BSN7</t>
        </is>
      </c>
    </row>
    <row r="15">
      <c r="A15" t="inlineStr">
        <is>
          <t>src_1KWCZNQEA1S0ESGF</t>
        </is>
      </c>
      <c r="B15" t="inlineStr">
        <is>
          <t>document</t>
        </is>
      </c>
      <c r="C15" t="inlineStr">
        <is>
          <t>255 - Combined Lab Analyses.pdf</t>
        </is>
      </c>
      <c r="D15" s="5" t="n">
        <v>46002</v>
      </c>
      <c r="E15" t="inlineStr">
        <is>
          <t>https://to.isometric.com/certify/src_1KWCZNQEA1S0ESGF</t>
        </is>
      </c>
      <c r="F15" t="inlineStr">
        <is>
          <t>ev_WZiwlfkqrrlx4eCs-prj_1JN6XNWDQ1S0BSN7</t>
        </is>
      </c>
    </row>
    <row r="16">
      <c r="A16" t="inlineStr">
        <is>
          <t>src_1KWCZNSFT1S0E8R0</t>
        </is>
      </c>
      <c r="B16" t="inlineStr">
        <is>
          <t>document</t>
        </is>
      </c>
      <c r="C16" t="inlineStr">
        <is>
          <t>Summary - Biochar Inert &amp; Unprocessed.csv</t>
        </is>
      </c>
      <c r="D16" s="5" t="n">
        <v>46007</v>
      </c>
      <c r="E16" t="inlineStr">
        <is>
          <t>https://to.isometric.com/certify/src_1KWCZNSFT1S0E8R0</t>
        </is>
      </c>
      <c r="F16" t="inlineStr">
        <is>
          <t>ev_Ce0yIwcpE31BlDuS-prj_1JN6XNWDQ1S0BSN7</t>
        </is>
      </c>
    </row>
    <row r="17">
      <c r="A17" t="inlineStr">
        <is>
          <t>src_1KWZ28RXG1S043DG</t>
        </is>
      </c>
      <c r="B17" t="inlineStr">
        <is>
          <t>document</t>
        </is>
      </c>
      <c r="C17" t="inlineStr">
        <is>
          <t>Standard Emission Factors + Calculations (8).xlsx</t>
        </is>
      </c>
      <c r="D17" s="5" t="n">
        <v>46209</v>
      </c>
      <c r="E17" t="inlineStr">
        <is>
          <t>https://to.isometric.com/certify/src_1KWZ28RXG1S043DG</t>
        </is>
      </c>
      <c r="F17" t="inlineStr">
        <is>
          <t>ev_GbStK2YdL2Q5l7tl-prj_1JN6XNWDQ1S0BSN7</t>
        </is>
      </c>
    </row>
    <row r="18">
      <c r="A18" t="inlineStr">
        <is>
          <t>src_1KXE9GFQT1S06X1Y</t>
        </is>
      </c>
      <c r="B18" t="inlineStr">
        <is>
          <t>document</t>
        </is>
      </c>
      <c r="C18" t="inlineStr">
        <is>
          <t>CO to Chris Craig Distance (1).png</t>
        </is>
      </c>
      <c r="D18" s="5" t="n">
        <v>46216</v>
      </c>
      <c r="E18" t="inlineStr">
        <is>
          <t>https://to.isometric.com/certify/src_1KXE9GFQT1S06X1Y</t>
        </is>
      </c>
    </row>
    <row r="19">
      <c r="A19" t="inlineStr">
        <is>
          <t>src_1KXE9X50W1S05ARH</t>
        </is>
      </c>
      <c r="B19" t="inlineStr">
        <is>
          <t>document</t>
        </is>
      </c>
      <c r="C19" t="inlineStr">
        <is>
          <t>Charm-RetirementCertificate-RD-EACs-20251218 (1).pdf</t>
        </is>
      </c>
      <c r="D19" s="5" t="n">
        <v>46216</v>
      </c>
      <c r="E19" t="inlineStr">
        <is>
          <t>https://to.isometric.com/certify/src_1KXE9X50W1S05ARH</t>
        </is>
      </c>
    </row>
    <row r="20">
      <c r="A20" t="inlineStr">
        <is>
          <t>src_1KXECA9TR1S0PGF5</t>
        </is>
      </c>
      <c r="B20" t="inlineStr">
        <is>
          <t>document</t>
        </is>
      </c>
      <c r="C20" t="inlineStr">
        <is>
          <t>Production Period 4 Summary.xlsx</t>
        </is>
      </c>
      <c r="D20" s="5" t="n">
        <v>46002</v>
      </c>
      <c r="E20" t="inlineStr">
        <is>
          <t>https://to.isometric.com/certify/src_1KXECA9TR1S0PGF5</t>
        </is>
      </c>
      <c r="F20" t="inlineStr">
        <is>
          <t>ev_Z6qHeW0fKcCvtlC0-prj_1JN6XNWDQ1S0BSN7</t>
        </is>
      </c>
    </row>
    <row r="21">
      <c r="A21" t="inlineStr">
        <is>
          <t>src_1KXECAB7X1S0RRSE</t>
        </is>
      </c>
      <c r="B21" t="inlineStr">
        <is>
          <t>document</t>
        </is>
      </c>
      <c r="C21" t="inlineStr">
        <is>
          <t>253 - Combined Lab Analyses.pdf</t>
        </is>
      </c>
      <c r="D21" s="5" t="n">
        <v>46002</v>
      </c>
      <c r="E21" t="inlineStr">
        <is>
          <t>https://to.isometric.com/certify/src_1KXECAB7X1S0RRSE</t>
        </is>
      </c>
      <c r="F21" t="inlineStr">
        <is>
          <t>ev_G3lI7mWaNLNF1fFV-prj_1JN6XNWDQ1S0BSN7</t>
        </is>
      </c>
    </row>
    <row r="22">
      <c r="A22" t="inlineStr">
        <is>
          <t>src_1KXECAE631S0KQCD</t>
        </is>
      </c>
      <c r="B22" t="inlineStr">
        <is>
          <t>document</t>
        </is>
      </c>
      <c r="C22" t="inlineStr">
        <is>
          <t>253 - Combined Lab Analyses.pdf</t>
        </is>
      </c>
      <c r="D22" s="5" t="n">
        <v>46002</v>
      </c>
      <c r="E22" t="inlineStr">
        <is>
          <t>https://to.isometric.com/certify/src_1KXECAE631S0KQCD</t>
        </is>
      </c>
      <c r="F22" t="inlineStr">
        <is>
          <t>ev_y9X7I9jESFNcxeT6-prj_1JN6XNWDQ1S0BSN7</t>
        </is>
      </c>
    </row>
    <row r="23">
      <c r="A23" t="inlineStr">
        <is>
          <t>src_1KXECAG7D1S0828Y</t>
        </is>
      </c>
      <c r="B23" t="inlineStr">
        <is>
          <t>document</t>
        </is>
      </c>
      <c r="C23" t="inlineStr">
        <is>
          <t>Summary - Biochar Inert &amp; Unprocessed.csv</t>
        </is>
      </c>
      <c r="D23" s="5" t="n">
        <v>46007</v>
      </c>
      <c r="E23" t="inlineStr">
        <is>
          <t>https://to.isometric.com/certify/src_1KXECAG7D1S0828Y</t>
        </is>
      </c>
      <c r="F23" t="inlineStr">
        <is>
          <t>ev_VJBOAeDI7sx0bsq3-prj_1JN6XNWDQ1S0BSN7</t>
        </is>
      </c>
    </row>
    <row r="24">
      <c r="A24" t="inlineStr">
        <is>
          <t>src_1KXECAJ3F1S0XEPD</t>
        </is>
      </c>
      <c r="B24" t="inlineStr">
        <is>
          <t>document</t>
        </is>
      </c>
      <c r="C24" t="inlineStr">
        <is>
          <t>Production Period 4 Summary.xlsx</t>
        </is>
      </c>
      <c r="D24" s="5" t="n">
        <v>46002</v>
      </c>
      <c r="E24" t="inlineStr">
        <is>
          <t>https://to.isometric.com/certify/src_1KXECAJ3F1S0XEPD</t>
        </is>
      </c>
      <c r="F24" t="inlineStr">
        <is>
          <t>ev_KsvhMsIwKigKI2id-prj_1JN6XNWDQ1S0BSN7</t>
        </is>
      </c>
    </row>
    <row r="25">
      <c r="A25" t="inlineStr">
        <is>
          <t>src_1KXGK3N921S0N79E</t>
        </is>
      </c>
      <c r="B25" t="inlineStr">
        <is>
          <t>document</t>
        </is>
      </c>
      <c r="C25" t="inlineStr">
        <is>
          <t>Production Period 7 Summary.xlsx</t>
        </is>
      </c>
      <c r="D25" s="5" t="n">
        <v>46002</v>
      </c>
      <c r="E25" t="inlineStr">
        <is>
          <t>https://to.isometric.com/certify/src_1KXGK3N921S0N79E</t>
        </is>
      </c>
      <c r="F25" t="inlineStr">
        <is>
          <t>ev_CXu5sFvrj2Luw8Kh-prj_1JN6XNWDQ1S0BSN7</t>
        </is>
      </c>
    </row>
    <row r="26">
      <c r="A26" t="inlineStr">
        <is>
          <t>src_1KXGK3PNM1S0QFKQ</t>
        </is>
      </c>
      <c r="B26" t="inlineStr">
        <is>
          <t>document</t>
        </is>
      </c>
      <c r="C26" t="inlineStr">
        <is>
          <t>256 - Combined Lab Analyses.pdf</t>
        </is>
      </c>
      <c r="D26" s="5" t="n">
        <v>46002</v>
      </c>
      <c r="E26" t="inlineStr">
        <is>
          <t>https://to.isometric.com/certify/src_1KXGK3PNM1S0QFKQ</t>
        </is>
      </c>
      <c r="F26" t="inlineStr">
        <is>
          <t>ev_zZkKN2u7zhKQsAF5-prj_1JN6XNWDQ1S0BSN7</t>
        </is>
      </c>
    </row>
    <row r="27">
      <c r="A27" t="inlineStr">
        <is>
          <t>src_1KXGK3RNH1S0YSB1</t>
        </is>
      </c>
      <c r="B27" t="inlineStr">
        <is>
          <t>document</t>
        </is>
      </c>
      <c r="C27" t="inlineStr">
        <is>
          <t>256 - Combined Lab Analyses.pdf</t>
        </is>
      </c>
      <c r="D27" s="5" t="n">
        <v>46002</v>
      </c>
      <c r="E27" t="inlineStr">
        <is>
          <t>https://to.isometric.com/certify/src_1KXGK3RNH1S0YSB1</t>
        </is>
      </c>
      <c r="F27" t="inlineStr">
        <is>
          <t>ev_B35cDmRcXQDHhLsw-prj_1JN6XNWDQ1S0BSN7</t>
        </is>
      </c>
    </row>
    <row r="28">
      <c r="A28" t="inlineStr">
        <is>
          <t>src_1KXGK497M1S0K38A</t>
        </is>
      </c>
      <c r="B28" t="inlineStr">
        <is>
          <t>document</t>
        </is>
      </c>
      <c r="C28" t="inlineStr">
        <is>
          <t>Production Period 8 Summary (1).xlsx</t>
        </is>
      </c>
      <c r="D28" s="5" t="n">
        <v>46189</v>
      </c>
      <c r="E28" t="inlineStr">
        <is>
          <t>https://to.isometric.com/certify/src_1KXGK497M1S0K38A</t>
        </is>
      </c>
      <c r="F28" t="inlineStr">
        <is>
          <t>ev_OXRZnEHlLFAQJQAH-prj_1JN6XNWDQ1S0BSN7</t>
        </is>
      </c>
    </row>
    <row r="29">
      <c r="A29" t="inlineStr">
        <is>
          <t>src_1KXGK4APC1S0TCZM</t>
        </is>
      </c>
      <c r="B29" t="inlineStr">
        <is>
          <t>document</t>
        </is>
      </c>
      <c r="C29" t="inlineStr">
        <is>
          <t>5110270 Custom Biochar Reports.pdf</t>
        </is>
      </c>
      <c r="D29" s="5" t="n">
        <v>46189</v>
      </c>
      <c r="E29" t="inlineStr">
        <is>
          <t>https://to.isometric.com/certify/src_1KXGK4APC1S0TCZM</t>
        </is>
      </c>
      <c r="F29" t="inlineStr">
        <is>
          <t>ev_nRa1DInZpTB1Cpos-prj_1JN6XNWDQ1S0BSN7</t>
        </is>
      </c>
    </row>
    <row r="30">
      <c r="A30" t="inlineStr">
        <is>
          <t>src_1KXGK4CM21S0B8RH</t>
        </is>
      </c>
      <c r="B30" t="inlineStr">
        <is>
          <t>document</t>
        </is>
      </c>
      <c r="C30" t="inlineStr">
        <is>
          <t>5110270 Custom Biochar Reports.pdf</t>
        </is>
      </c>
      <c r="D30" s="5" t="n">
        <v>46189</v>
      </c>
      <c r="E30" t="inlineStr">
        <is>
          <t>https://to.isometric.com/certify/src_1KXGK4CM21S0B8RH</t>
        </is>
      </c>
      <c r="F30" t="inlineStr">
        <is>
          <t>ev_qfpdKRRXoGpQCG9U-prj_1JN6XNWDQ1S0BSN7</t>
        </is>
      </c>
    </row>
    <row r="31">
      <c r="A31" t="inlineStr">
        <is>
          <t>src_1KXGK4VTB1S003E9</t>
        </is>
      </c>
      <c r="B31" t="inlineStr">
        <is>
          <t>document</t>
        </is>
      </c>
      <c r="C31" t="inlineStr">
        <is>
          <t>August 2025 Production Period Summary (1).xlsx</t>
        </is>
      </c>
      <c r="D31" s="5" t="n">
        <v>46189</v>
      </c>
      <c r="E31" t="inlineStr">
        <is>
          <t>https://to.isometric.com/certify/src_1KXGK4VTB1S003E9</t>
        </is>
      </c>
      <c r="F31" t="inlineStr">
        <is>
          <t>ev_e97G9g6KCG5bG4Ju-prj_1JN6XNWDQ1S0BSN7</t>
        </is>
      </c>
    </row>
    <row r="32">
      <c r="A32" t="inlineStr">
        <is>
          <t>src_1KXGK4XCS1S07D5K</t>
        </is>
      </c>
      <c r="B32" t="inlineStr">
        <is>
          <t>document</t>
        </is>
      </c>
      <c r="C32" t="inlineStr">
        <is>
          <t>5110270 Custom Biochar Reports.pdf</t>
        </is>
      </c>
      <c r="D32" s="5" t="n">
        <v>46189</v>
      </c>
      <c r="E32" t="inlineStr">
        <is>
          <t>https://to.isometric.com/certify/src_1KXGK4XCS1S07D5K</t>
        </is>
      </c>
      <c r="F32" t="inlineStr">
        <is>
          <t>ev_2oYGxPmRf1MdDOVf-prj_1JN6XNWDQ1S0BSN7</t>
        </is>
      </c>
    </row>
    <row r="33">
      <c r="A33" t="inlineStr">
        <is>
          <t>src_1KXGK4Z111S0R8YG</t>
        </is>
      </c>
      <c r="B33" t="inlineStr">
        <is>
          <t>document</t>
        </is>
      </c>
      <c r="C33" t="inlineStr">
        <is>
          <t>5110270 Custom Biochar Reports.pdf</t>
        </is>
      </c>
      <c r="D33" s="5" t="n">
        <v>46189</v>
      </c>
      <c r="E33" t="inlineStr">
        <is>
          <t>https://to.isometric.com/certify/src_1KXGK4Z111S0R8YG</t>
        </is>
      </c>
      <c r="F33" t="inlineStr">
        <is>
          <t>ev_snrqOUeXfE154gCa-prj_1JN6XNWDQ1S0BSN7</t>
        </is>
      </c>
    </row>
    <row r="34">
      <c r="A34" t="inlineStr">
        <is>
          <t>src_1KXGK520G1S01V03</t>
        </is>
      </c>
      <c r="B34" t="inlineStr">
        <is>
          <t>document</t>
        </is>
      </c>
      <c r="C34" t="inlineStr">
        <is>
          <t>5110270 Custom Biochar Reports.pdf</t>
        </is>
      </c>
      <c r="D34" s="5" t="n">
        <v>46189</v>
      </c>
      <c r="E34" t="inlineStr">
        <is>
          <t>https://to.isometric.com/certify/src_1KXGK520G1S01V03</t>
        </is>
      </c>
      <c r="F34" t="inlineStr">
        <is>
          <t>ev_S7QPNUzxI8rTReA4-prj_1JN6XNWDQ1S0BSN7</t>
        </is>
      </c>
    </row>
    <row r="35">
      <c r="A35" t="inlineStr">
        <is>
          <t>src_1KYA6K69N1S0WEBA</t>
        </is>
      </c>
      <c r="B35" t="inlineStr">
        <is>
          <t>document</t>
        </is>
      </c>
      <c r="C35" t="inlineStr">
        <is>
          <t>254 - Combined Lab Analyses.pdf</t>
        </is>
      </c>
      <c r="D35" s="5" t="n">
        <v>46002</v>
      </c>
      <c r="E35" t="inlineStr">
        <is>
          <t>https://to.isometric.com/certify/src_1KYA6K69N1S0WEBA</t>
        </is>
      </c>
      <c r="F35" t="inlineStr">
        <is>
          <t>ev_vPNR7RWcUDcggFLc-prj_1JN6XNWDQ1S0BSN7</t>
        </is>
      </c>
    </row>
    <row r="36">
      <c r="A36" t="inlineStr">
        <is>
          <t>src_1KYA74FN51S050RR</t>
        </is>
      </c>
      <c r="B36" t="inlineStr">
        <is>
          <t>document</t>
        </is>
      </c>
      <c r="C36" t="inlineStr">
        <is>
          <t>Production Period 5 Summary.xlsx</t>
        </is>
      </c>
      <c r="D36" s="5" t="n">
        <v>46002</v>
      </c>
      <c r="E36" t="inlineStr">
        <is>
          <t>https://to.isometric.com/certify/src_1KYA74FN51S050RR</t>
        </is>
      </c>
      <c r="F36" t="inlineStr">
        <is>
          <t>ev_BXoCDMz0IEQPqAxD-prj_1JN6XNWDQ1S0BSN7</t>
        </is>
      </c>
    </row>
    <row r="37">
      <c r="A37" t="inlineStr">
        <is>
          <t>src_1KYA74R0J1S01PXH</t>
        </is>
      </c>
      <c r="B37" t="inlineStr">
        <is>
          <t>document</t>
        </is>
      </c>
      <c r="C37" t="inlineStr">
        <is>
          <t>Summary - Biochar Inert &amp; Unprocessed.csv</t>
        </is>
      </c>
      <c r="D37" s="5" t="n">
        <v>46007</v>
      </c>
      <c r="E37" t="inlineStr">
        <is>
          <t>https://to.isometric.com/certify/src_1KYA74R0J1S01PXH</t>
        </is>
      </c>
      <c r="F37" t="inlineStr">
        <is>
          <t>ev_3OYcIZuChKBHjH7M-prj_1JN6XNWDQ1S0BSN7</t>
        </is>
      </c>
    </row>
    <row r="38">
      <c r="A38" t="inlineStr">
        <is>
          <t>src_1KYJ3QH6B1S0CT51</t>
        </is>
      </c>
      <c r="B38" t="inlineStr">
        <is>
          <t>document</t>
        </is>
      </c>
      <c r="C38" t="inlineStr">
        <is>
          <t>Biochar CI Summary — All Production Periods.xlsx</t>
        </is>
      </c>
      <c r="D38" s="5" t="n">
        <v>46230</v>
      </c>
      <c r="E38" t="inlineStr">
        <is>
          <t>https://to.isometric.com/certify/src_1KYJ3QH6B1S0CT51</t>
        </is>
      </c>
      <c r="F38" t="inlineStr">
        <is>
          <t>biochar-ci-summary</t>
        </is>
      </c>
    </row>
    <row r="39">
      <c r="A39" t="inlineStr">
        <is>
          <t>src_1KYJ5TQTB1S0FGDK</t>
        </is>
      </c>
      <c r="B39" t="inlineStr">
        <is>
          <t>document</t>
        </is>
      </c>
      <c r="C39" t="inlineStr">
        <is>
          <t>soil_temperature_1785168873474.csv</t>
        </is>
      </c>
      <c r="D39" s="5" t="n">
        <v>46230</v>
      </c>
      <c r="E39" t="inlineStr">
        <is>
          <t>https://to.isometric.com/certify/src_1KYJ5TQTB1S0FGDK</t>
        </is>
      </c>
      <c r="F39" t="inlineStr">
        <is>
          <t>soil-temp-brenner-burlington</t>
        </is>
      </c>
    </row>
    <row r="40">
      <c r="A40" t="inlineStr">
        <is>
          <t>src_1KYJP3P731S0XG2J</t>
        </is>
      </c>
      <c r="B40" t="inlineStr">
        <is>
          <t>document</t>
        </is>
      </c>
      <c r="C40" t="inlineStr">
        <is>
          <t>Charm To Brenner Farms Distance (Google Maps, 196mi via I-70).png</t>
        </is>
      </c>
      <c r="D40" s="5" t="n">
        <v>46230</v>
      </c>
      <c r="E40" t="inlineStr">
        <is>
          <t>https://to.isometric.com/certify/src_1KYJP3P731S0XG2J</t>
        </is>
      </c>
      <c r="F40" t="inlineStr">
        <is>
          <t>brenner-distance-googlemaps-196mi</t>
        </is>
      </c>
    </row>
    <row r="41">
      <c r="A41" t="inlineStr">
        <is>
          <t>src_1KYJPAZT51S0N0XA</t>
        </is>
      </c>
      <c r="B41" t="inlineStr">
        <is>
          <t>document</t>
        </is>
      </c>
      <c r="C41" t="inlineStr">
        <is>
          <t>soil_temperature_chris_craig.csv</t>
        </is>
      </c>
      <c r="D41" s="5" t="n">
        <v>46230</v>
      </c>
      <c r="E41" t="inlineStr">
        <is>
          <t>https://to.isometric.com/certify/src_1KYJPAZT51S0N0XA</t>
        </is>
      </c>
      <c r="F41" t="inlineStr">
        <is>
          <t>soil-temp-chris-craig</t>
        </is>
      </c>
    </row>
    <row r="42">
      <c r="A42" t="inlineStr">
        <is>
          <t>src_1KYN4BC7D1S0RYQF</t>
        </is>
      </c>
      <c r="B42" t="inlineStr">
        <is>
          <t>document</t>
        </is>
      </c>
      <c r="C42" t="inlineStr">
        <is>
          <t>Biochar Removals Tracker — H1 2026.xlsx</t>
        </is>
      </c>
      <c r="D42" s="5" t="n">
        <v>46231</v>
      </c>
      <c r="E42" t="inlineStr">
        <is>
          <t>https://to.isometric.com/certify/src_1KYN4BC7D1S0RYQF</t>
        </is>
      </c>
    </row>
    <row r="43">
      <c r="A43" t="inlineStr">
        <is>
          <t>src_1KYQ6W9EC1S00056</t>
        </is>
      </c>
      <c r="B43" t="inlineStr">
        <is>
          <t>document</t>
        </is>
      </c>
      <c r="C43" t="inlineStr">
        <is>
          <t>Chris Craig 5.30.26 Scale Tickets.heic</t>
        </is>
      </c>
      <c r="D43" s="5" t="n">
        <v>46172</v>
      </c>
      <c r="E43" t="inlineStr">
        <is>
          <t>https://to.isometric.com/certify/src_1KYQ6W9EC1S00056</t>
        </is>
      </c>
      <c r="F43" t="inlineStr">
        <is>
          <t>scale-cc-5-30-26</t>
        </is>
      </c>
    </row>
    <row r="44">
      <c r="A44" t="inlineStr">
        <is>
          <t>src_1KYQ6WC7A1S0KN0V</t>
        </is>
      </c>
      <c r="B44" t="inlineStr">
        <is>
          <t>document</t>
        </is>
      </c>
      <c r="C44" t="inlineStr">
        <is>
          <t>Chris Craig 6.6.26 Scale Tickets.png</t>
        </is>
      </c>
      <c r="D44" s="5" t="n">
        <v>46179</v>
      </c>
      <c r="E44" t="inlineStr">
        <is>
          <t>https://to.isometric.com/certify/src_1KYQ6WC7A1S0KN0V</t>
        </is>
      </c>
      <c r="F44" t="inlineStr">
        <is>
          <t>scale-cc-6-6-26</t>
        </is>
      </c>
    </row>
    <row r="45">
      <c r="A45" t="inlineStr">
        <is>
          <t>src_1KYQ6WF1C1S079WG</t>
        </is>
      </c>
      <c r="B45" t="inlineStr">
        <is>
          <t>document</t>
        </is>
      </c>
      <c r="C45" t="inlineStr">
        <is>
          <t>March 20 Brenner Farms Scale Ticket.png</t>
        </is>
      </c>
      <c r="D45" s="5" t="n">
        <v>46101</v>
      </c>
      <c r="E45" t="inlineStr">
        <is>
          <t>https://to.isometric.com/certify/src_1KYQ6WF1C1S079WG</t>
        </is>
      </c>
      <c r="F45" t="inlineStr">
        <is>
          <t>scale-brenner-3-20-26</t>
        </is>
      </c>
    </row>
    <row r="46">
      <c r="A46" t="inlineStr">
        <is>
          <t>src_1KYQ7DMC71S0Q8DM</t>
        </is>
      </c>
      <c r="B46" t="inlineStr">
        <is>
          <t>document</t>
        </is>
      </c>
      <c r="C46" t="inlineStr">
        <is>
          <t>20260121_Scale_Ticket.pdf</t>
        </is>
      </c>
      <c r="D46" s="5" t="n">
        <v>46232</v>
      </c>
      <c r="E46" t="inlineStr">
        <is>
          <t>https://to.isometric.com/certify/src_1KYQ7DMC71S0Q8DM</t>
        </is>
      </c>
      <c r="F46" t="inlineStr">
        <is>
          <t>scale-brenner-1-20-26</t>
        </is>
      </c>
    </row>
    <row r="47">
      <c r="A47" t="inlineStr">
        <is>
          <t>src_1KYQQ6PQ61S0K99V</t>
        </is>
      </c>
      <c r="B47" t="inlineStr">
        <is>
          <t>document</t>
        </is>
      </c>
      <c r="C47" t="inlineStr">
        <is>
          <t>251 - Combined Lab Analyses.pdf</t>
        </is>
      </c>
      <c r="D47" s="5" t="n">
        <v>46232</v>
      </c>
      <c r="E47" t="inlineStr">
        <is>
          <t>https://to.isometric.com/certify/src_1KYQQ6PQ61S0K99V</t>
        </is>
      </c>
      <c r="F47" t="inlineStr">
        <is>
          <t>251-combined-lab-analyses-20260729</t>
        </is>
      </c>
    </row>
    <row r="48">
      <c r="A48" t="inlineStr">
        <is>
          <t>src_1KYQSQN1K1S0T7H3</t>
        </is>
      </c>
      <c r="B48" t="inlineStr">
        <is>
          <t>document</t>
        </is>
      </c>
      <c r="C48" t="inlineStr">
        <is>
          <t>McCreath Analysis - BGN CHAR 252 (H26050602).pdf</t>
        </is>
      </c>
      <c r="D48" s="5" t="n">
        <v>46150</v>
      </c>
      <c r="E48" t="inlineStr">
        <is>
          <t>https://to.isometric.com/certify/src_1KYQSQN1K1S0T7H3</t>
        </is>
      </c>
      <c r="F48" t="inlineStr">
        <is>
          <t>mccreath-252-H26050602-20260508</t>
        </is>
      </c>
    </row>
    <row r="49">
      <c r="A49" t="inlineStr">
        <is>
          <t>src_1KYQXKCQY1S0CMX8</t>
        </is>
      </c>
      <c r="B49" t="inlineStr">
        <is>
          <t>document</t>
        </is>
      </c>
      <c r="C49" t="inlineStr">
        <is>
          <t>Summary - Biochar Inert &amp; Unprocessed.csv</t>
        </is>
      </c>
      <c r="D49" s="5" t="n">
        <v>46232</v>
      </c>
      <c r="E49" t="inlineStr">
        <is>
          <t>https://to.isometric.com/certify/src_1KYQXKCQY1S0CMX8</t>
        </is>
      </c>
      <c r="F49" t="inlineStr">
        <is>
          <t>biochar-inert-unprocessed-map-v2-20260729</t>
        </is>
      </c>
    </row>
    <row r="50">
      <c r="A50" t="inlineStr">
        <is>
          <t>src_1KYT9DEY21S0NADN</t>
        </is>
      </c>
      <c r="B50" t="inlineStr">
        <is>
          <t>document</t>
        </is>
      </c>
      <c r="C50" t="inlineStr">
        <is>
          <t>Chris Craig Delivery Notes.xlsx</t>
        </is>
      </c>
      <c r="D50" s="5" t="n">
        <v>46233</v>
      </c>
      <c r="E50" t="inlineStr">
        <is>
          <t>https://to.isometric.com/certify/src_1KYT9DEY21S0NADN</t>
        </is>
      </c>
      <c r="F50" t="inlineStr">
        <is>
          <t>delivery-note-chris-craig-v5-pyrobasis-20260730</t>
        </is>
      </c>
    </row>
    <row r="51">
      <c r="A51" t="inlineStr">
        <is>
          <t>src_1KYT9DGYK1S08Z9A</t>
        </is>
      </c>
      <c r="B51" t="inlineStr">
        <is>
          <t>document</t>
        </is>
      </c>
      <c r="C51" t="inlineStr">
        <is>
          <t>Brenner Farms Delivery Notes.xlsx</t>
        </is>
      </c>
      <c r="D51" s="5" t="n">
        <v>46233</v>
      </c>
      <c r="E51" t="inlineStr">
        <is>
          <t>https://to.isometric.com/certify/src_1KYT9DGYK1S08Z9A</t>
        </is>
      </c>
      <c r="F51" t="inlineStr">
        <is>
          <t>delivery-note-brenner-v5-pyrobasis-20260730</t>
        </is>
      </c>
    </row>
    <row r="52">
      <c r="A52" t="inlineStr">
        <is>
          <t>src_1KYTHE3GQ1S0N188</t>
        </is>
      </c>
      <c r="B52" t="inlineStr">
        <is>
          <t>document</t>
        </is>
      </c>
      <c r="C52" t="inlineStr">
        <is>
          <t>September 2025 Production Period Summary.xlsx</t>
        </is>
      </c>
      <c r="D52" s="5" t="n">
        <v>46233</v>
      </c>
      <c r="E52" t="inlineStr">
        <is>
          <t>https://to.isometric.com/certify/src_1KYTHE3GQ1S0N188</t>
        </is>
      </c>
      <c r="F52" t="inlineStr">
        <is>
          <t>pp-summary-259-sept2025-corrected-20260730</t>
        </is>
      </c>
    </row>
    <row r="53">
      <c r="A53" t="inlineStr">
        <is>
          <t>src_1KYTHE5NR1S08P3X</t>
        </is>
      </c>
      <c r="B53" t="inlineStr">
        <is>
          <t>document</t>
        </is>
      </c>
      <c r="C53" t="inlineStr">
        <is>
          <t>Production Period 6 Summary.xlsx</t>
        </is>
      </c>
      <c r="D53" s="5" t="n">
        <v>46233</v>
      </c>
      <c r="E53" t="inlineStr">
        <is>
          <t>https://to.isometric.com/certify/src_1KYTHE5NR1S08P3X</t>
        </is>
      </c>
      <c r="F53" t="inlineStr">
        <is>
          <t>pp-summary-255-pp6-current-20260730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Input to expression ID</t>
        </is>
      </c>
      <c r="B1" s="1" t="inlineStr">
        <is>
          <t>Result of expression ID</t>
        </is>
      </c>
      <c r="C1" s="1" t="inlineStr">
        <is>
          <t>Datapoint ID</t>
        </is>
      </c>
      <c r="D1" s="1" t="inlineStr">
        <is>
          <t>Variable name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List Index</t>
        </is>
      </c>
    </row>
    <row r="2"/>
    <row r="3">
      <c r="A3">
        <f>Expression!A11</f>
        <v/>
      </c>
      <c r="C3">
        <f>Datapoint!A227</f>
        <v/>
      </c>
      <c r="D3" t="inlineStr">
        <is>
          <t>cmp_1KXERCP431S06AG6_h_c_molar_ratios</t>
        </is>
      </c>
      <c r="E3" t="n">
        <v>0.46333</v>
      </c>
      <c r="F3" t="inlineStr"/>
      <c r="G3" s="6" t="n">
        <v>0</v>
      </c>
    </row>
    <row r="4">
      <c r="A4">
        <f>Expression!A14</f>
        <v/>
      </c>
      <c r="C4">
        <f>Datapoint!A231</f>
        <v/>
      </c>
      <c r="D4" t="inlineStr">
        <is>
          <t>cmp_1KXERCP431S06AG6_total_carbon_contents</t>
        </is>
      </c>
      <c r="E4" t="n">
        <v>85.93000000000001</v>
      </c>
      <c r="F4" t="inlineStr">
        <is>
          <t>%</t>
        </is>
      </c>
      <c r="G4" s="6" t="n">
        <v>0</v>
      </c>
    </row>
    <row r="5">
      <c r="A5">
        <f>Expression!A14</f>
        <v/>
      </c>
      <c r="C5">
        <f>Datapoint!A228</f>
        <v/>
      </c>
      <c r="D5" t="inlineStr">
        <is>
          <t>cmp_1KXERCP431S06AG6_inorganic_carbon_contents</t>
        </is>
      </c>
      <c r="E5" t="n">
        <v>0.27</v>
      </c>
      <c r="F5" t="inlineStr">
        <is>
          <t>%</t>
        </is>
      </c>
      <c r="G5" s="6" t="n">
        <v>0</v>
      </c>
    </row>
    <row r="6">
      <c r="A6">
        <f>Expression!A29</f>
        <v/>
      </c>
      <c r="C6">
        <f>Datapoint!A187</f>
        <v/>
      </c>
      <c r="D6" t="inlineStr">
        <is>
          <t>cmp_1KXEJCGYM1S0NCCM_h_c_molar_ratios</t>
        </is>
      </c>
      <c r="E6" t="n">
        <v>0.46</v>
      </c>
      <c r="F6" t="inlineStr"/>
      <c r="G6" s="6" t="n">
        <v>0</v>
      </c>
    </row>
    <row r="7">
      <c r="A7">
        <f>Expression!A32</f>
        <v/>
      </c>
      <c r="C7">
        <f>Datapoint!A191</f>
        <v/>
      </c>
      <c r="D7" t="inlineStr">
        <is>
          <t>cmp_1KXEJCGYM1S0NCCM_total_carbon_contents</t>
        </is>
      </c>
      <c r="E7" t="n">
        <v>84.133</v>
      </c>
      <c r="F7" t="inlineStr">
        <is>
          <t>%</t>
        </is>
      </c>
      <c r="G7" s="6" t="n">
        <v>0</v>
      </c>
    </row>
    <row r="8">
      <c r="A8">
        <f>Expression!A32</f>
        <v/>
      </c>
      <c r="C8">
        <f>Datapoint!A188</f>
        <v/>
      </c>
      <c r="D8" t="inlineStr">
        <is>
          <t>cmp_1KXEJCGYM1S0NCCM_inorganic_carbon_contents</t>
        </is>
      </c>
      <c r="E8" t="n">
        <v>0.2</v>
      </c>
      <c r="F8" t="inlineStr">
        <is>
          <t>%</t>
        </is>
      </c>
      <c r="G8" s="6" t="n">
        <v>0</v>
      </c>
    </row>
    <row r="9">
      <c r="A9">
        <f>Expression!A45</f>
        <v/>
      </c>
      <c r="C9">
        <f>Datapoint!A305</f>
        <v/>
      </c>
      <c r="D9" t="inlineStr">
        <is>
          <t>cmp_1KXGK45BZ1S0SCDY_h_c_molar_ratios</t>
        </is>
      </c>
      <c r="E9" t="n">
        <v>0.41667</v>
      </c>
      <c r="F9" t="inlineStr"/>
      <c r="G9" s="6" t="n">
        <v>0</v>
      </c>
    </row>
    <row r="10">
      <c r="A10">
        <f>Expression!A48</f>
        <v/>
      </c>
      <c r="C10">
        <f>Datapoint!A309</f>
        <v/>
      </c>
      <c r="D10" t="inlineStr">
        <is>
          <t>cmp_1KXGK45BZ1S0SCDY_total_carbon_contents</t>
        </is>
      </c>
      <c r="E10" t="n">
        <v>85.5</v>
      </c>
      <c r="F10" t="inlineStr">
        <is>
          <t>%</t>
        </is>
      </c>
      <c r="G10" s="6" t="n">
        <v>0</v>
      </c>
    </row>
    <row r="11">
      <c r="A11">
        <f>Expression!A48</f>
        <v/>
      </c>
      <c r="C11">
        <f>Datapoint!A306</f>
        <v/>
      </c>
      <c r="D11" t="inlineStr">
        <is>
          <t>cmp_1KXGK45BZ1S0SCDY_inorganic_carbon_contents</t>
        </is>
      </c>
      <c r="E11" t="n">
        <v>0.2333</v>
      </c>
      <c r="F11" t="inlineStr">
        <is>
          <t>%</t>
        </is>
      </c>
      <c r="G11" s="6" t="n">
        <v>0</v>
      </c>
    </row>
    <row r="12">
      <c r="A12">
        <f>Expression!A58</f>
        <v/>
      </c>
      <c r="C12">
        <f>Datapoint!A495</f>
        <v/>
      </c>
      <c r="D12" t="inlineStr">
        <is>
          <t>cmp_1KY57NCC21S06P88_h_c_molar_ratios</t>
        </is>
      </c>
      <c r="E12" t="n">
        <v>0.41667</v>
      </c>
      <c r="F12" t="inlineStr"/>
      <c r="G12" s="6" t="n">
        <v>0</v>
      </c>
    </row>
    <row r="13">
      <c r="A13">
        <f>Expression!A61</f>
        <v/>
      </c>
      <c r="C13">
        <f>Datapoint!A499</f>
        <v/>
      </c>
      <c r="D13" t="inlineStr">
        <is>
          <t>cmp_1KY57NCC21S06P88_total_carbon_contents</t>
        </is>
      </c>
      <c r="E13" t="n">
        <v>85.5</v>
      </c>
      <c r="F13" t="inlineStr">
        <is>
          <t>%</t>
        </is>
      </c>
      <c r="G13" s="6" t="n">
        <v>0</v>
      </c>
    </row>
    <row r="14">
      <c r="A14">
        <f>Expression!A61</f>
        <v/>
      </c>
      <c r="C14">
        <f>Datapoint!A496</f>
        <v/>
      </c>
      <c r="D14" t="inlineStr">
        <is>
          <t>cmp_1KY57NCC21S06P88_inorganic_carbon_contents</t>
        </is>
      </c>
      <c r="E14" t="n">
        <v>0.2333</v>
      </c>
      <c r="F14" t="inlineStr">
        <is>
          <t>%</t>
        </is>
      </c>
      <c r="G14" s="6" t="n">
        <v>0</v>
      </c>
    </row>
    <row r="15">
      <c r="A15">
        <f>Expression!A70</f>
        <v/>
      </c>
      <c r="C15">
        <f>Datapoint!A377</f>
        <v/>
      </c>
      <c r="D15" t="inlineStr">
        <is>
          <t>cmp_1KXKGXJB61S0DEPE_h_c_molar_ratios</t>
        </is>
      </c>
      <c r="E15" t="n">
        <v>0.28667</v>
      </c>
      <c r="F15" t="inlineStr"/>
      <c r="G15" s="6" t="n">
        <v>0</v>
      </c>
    </row>
    <row r="16">
      <c r="A16">
        <f>Expression!A73</f>
        <v/>
      </c>
      <c r="C16">
        <f>Datapoint!A379</f>
        <v/>
      </c>
      <c r="D16" t="inlineStr">
        <is>
          <t>cmp_1KXKGXJB61S0DEPE_total_carbon_contents</t>
        </is>
      </c>
      <c r="E16" t="n">
        <v>90.06699999999999</v>
      </c>
      <c r="F16" t="inlineStr">
        <is>
          <t>%</t>
        </is>
      </c>
      <c r="G16" s="6" t="n">
        <v>0</v>
      </c>
    </row>
    <row r="17">
      <c r="A17">
        <f>Expression!A73</f>
        <v/>
      </c>
      <c r="C17">
        <f>Datapoint!A378</f>
        <v/>
      </c>
      <c r="D17" t="inlineStr">
        <is>
          <t>cmp_1KXKGXJB61S0DEPE_inorganic_carbon_contents</t>
        </is>
      </c>
      <c r="E17" t="n">
        <v>0.4</v>
      </c>
      <c r="F17" t="inlineStr">
        <is>
          <t>%</t>
        </is>
      </c>
      <c r="G17" s="6" t="n">
        <v>0</v>
      </c>
    </row>
    <row r="18">
      <c r="A18">
        <f>Expression!A94</f>
        <v/>
      </c>
      <c r="C18">
        <f>Datapoint!A206</f>
        <v/>
      </c>
      <c r="D18" t="inlineStr">
        <is>
          <t>cmp_1KXEJD28G1S0K8BG_h_c_molar_ratios</t>
        </is>
      </c>
      <c r="E18" t="n">
        <v>0.45667</v>
      </c>
      <c r="F18" t="inlineStr"/>
      <c r="G18" s="6" t="n">
        <v>0</v>
      </c>
    </row>
    <row r="19">
      <c r="A19">
        <f>Expression!A97</f>
        <v/>
      </c>
      <c r="C19">
        <f>Datapoint!A210</f>
        <v/>
      </c>
      <c r="D19" t="inlineStr">
        <is>
          <t>cmp_1KXEJD28G1S0K8BG_total_carbon_contents</t>
        </is>
      </c>
      <c r="E19" t="n">
        <v>83.59999999999999</v>
      </c>
      <c r="F19" t="inlineStr">
        <is>
          <t>%</t>
        </is>
      </c>
      <c r="G19" s="6" t="n">
        <v>0</v>
      </c>
    </row>
    <row r="20">
      <c r="A20">
        <f>Expression!A97</f>
        <v/>
      </c>
      <c r="C20">
        <f>Datapoint!A207</f>
        <v/>
      </c>
      <c r="D20" t="inlineStr">
        <is>
          <t>cmp_1KXEJD28G1S0K8BG_inorganic_carbon_contents</t>
        </is>
      </c>
      <c r="E20" t="n">
        <v>0.2</v>
      </c>
      <c r="F20" t="inlineStr">
        <is>
          <t>%</t>
        </is>
      </c>
      <c r="G20" s="6" t="n">
        <v>0</v>
      </c>
    </row>
    <row r="21">
      <c r="A21">
        <f>Expression!A113</f>
        <v/>
      </c>
      <c r="C21">
        <f>Datapoint!A59</f>
        <v/>
      </c>
      <c r="D21" t="inlineStr">
        <is>
          <t>cmp_1KWCZP1M61S0EE0D_h_c_molar_ratios</t>
        </is>
      </c>
      <c r="E21" t="n">
        <v>0.45667</v>
      </c>
      <c r="F21" t="inlineStr"/>
      <c r="G21" s="6" t="n">
        <v>0</v>
      </c>
    </row>
    <row r="22">
      <c r="A22">
        <f>Expression!A116</f>
        <v/>
      </c>
      <c r="C22">
        <f>Datapoint!A63</f>
        <v/>
      </c>
      <c r="D22" t="inlineStr">
        <is>
          <t>cmp_1KWCZP1M61S0EE0D_total_carbon_contents</t>
        </is>
      </c>
      <c r="E22" t="n">
        <v>83.59999999999999</v>
      </c>
      <c r="F22" t="inlineStr">
        <is>
          <t>%</t>
        </is>
      </c>
      <c r="G22" s="6" t="n">
        <v>0</v>
      </c>
    </row>
    <row r="23">
      <c r="A23">
        <f>Expression!A116</f>
        <v/>
      </c>
      <c r="C23">
        <f>Datapoint!A60</f>
        <v/>
      </c>
      <c r="D23" t="inlineStr">
        <is>
          <t>cmp_1KWCZP1M61S0EE0D_inorganic_carbon_contents</t>
        </is>
      </c>
      <c r="E23" t="n">
        <v>0.2</v>
      </c>
      <c r="F23" t="inlineStr">
        <is>
          <t>%</t>
        </is>
      </c>
      <c r="G23" s="6" t="n">
        <v>0</v>
      </c>
    </row>
    <row r="24">
      <c r="A24">
        <f>Expression!A131</f>
        <v/>
      </c>
      <c r="C24">
        <f>Datapoint!A394</f>
        <v/>
      </c>
      <c r="D24" t="inlineStr">
        <is>
          <t>cmp_1KXKP77Q21S0MHK0_h_c_molar_ratios</t>
        </is>
      </c>
      <c r="E24" t="n">
        <v>0.35</v>
      </c>
      <c r="F24" t="inlineStr"/>
      <c r="G24" s="6" t="n">
        <v>0</v>
      </c>
    </row>
    <row r="25">
      <c r="A25">
        <f>Expression!A134</f>
        <v/>
      </c>
      <c r="C25">
        <f>Datapoint!A396</f>
        <v/>
      </c>
      <c r="D25" t="inlineStr">
        <is>
          <t>cmp_1KXKP77Q21S0MHK0_total_carbon_contents</t>
        </is>
      </c>
      <c r="E25" t="n">
        <v>80.126</v>
      </c>
      <c r="F25" t="inlineStr">
        <is>
          <t>%</t>
        </is>
      </c>
      <c r="G25" s="6" t="n">
        <v>0</v>
      </c>
    </row>
    <row r="26">
      <c r="A26">
        <f>Expression!A134</f>
        <v/>
      </c>
      <c r="C26">
        <f>Datapoint!A395</f>
        <v/>
      </c>
      <c r="D26" t="inlineStr">
        <is>
          <t>cmp_1KXKP77Q21S0MHK0_inorganic_carbon_contents</t>
        </is>
      </c>
      <c r="E26" t="n">
        <v>0.18</v>
      </c>
      <c r="F26" t="inlineStr">
        <is>
          <t>%</t>
        </is>
      </c>
      <c r="G26" s="6" t="n">
        <v>0</v>
      </c>
    </row>
    <row r="27">
      <c r="A27">
        <f>Expression!A142</f>
        <v/>
      </c>
      <c r="C27">
        <f>Datapoint!A267</f>
        <v/>
      </c>
      <c r="D27" t="inlineStr">
        <is>
          <t>cmp_1KXGK2Y3V1S0XMG6_h_c_molar_ratios</t>
        </is>
      </c>
      <c r="E27" t="n">
        <v>0.46</v>
      </c>
      <c r="F27" t="inlineStr"/>
      <c r="G27" s="6" t="n">
        <v>0</v>
      </c>
    </row>
    <row r="28">
      <c r="A28">
        <f>Expression!A145</f>
        <v/>
      </c>
      <c r="C28">
        <f>Datapoint!A271</f>
        <v/>
      </c>
      <c r="D28" t="inlineStr">
        <is>
          <t>cmp_1KXGK2Y3V1S0XMG6_total_carbon_contents</t>
        </is>
      </c>
      <c r="E28" t="n">
        <v>84.133</v>
      </c>
      <c r="F28" t="inlineStr">
        <is>
          <t>%</t>
        </is>
      </c>
      <c r="G28" s="6" t="n">
        <v>0</v>
      </c>
    </row>
    <row r="29">
      <c r="A29">
        <f>Expression!A145</f>
        <v/>
      </c>
      <c r="C29">
        <f>Datapoint!A268</f>
        <v/>
      </c>
      <c r="D29" t="inlineStr">
        <is>
          <t>cmp_1KXGK2Y3V1S0XMG6_inorganic_carbon_contents</t>
        </is>
      </c>
      <c r="E29" t="n">
        <v>0.2</v>
      </c>
      <c r="F29" t="inlineStr">
        <is>
          <t>%</t>
        </is>
      </c>
      <c r="G29" s="6" t="n">
        <v>0</v>
      </c>
    </row>
    <row r="30">
      <c r="A30">
        <f>Expression!A161</f>
        <v/>
      </c>
      <c r="C30">
        <f>Datapoint!A77</f>
        <v/>
      </c>
      <c r="D30" t="inlineStr">
        <is>
          <t>cmp_1KXE4AHAG1S0PDC6_h_c_molar_ratios</t>
        </is>
      </c>
      <c r="E30" t="n">
        <v>0.44</v>
      </c>
      <c r="F30" t="inlineStr"/>
      <c r="G30" s="6" t="n">
        <v>0</v>
      </c>
    </row>
    <row r="31">
      <c r="A31">
        <f>Expression!A164</f>
        <v/>
      </c>
      <c r="C31">
        <f>Datapoint!A81</f>
        <v/>
      </c>
      <c r="D31" t="inlineStr">
        <is>
          <t>cmp_1KXE4AHAG1S0PDC6_total_carbon_contents</t>
        </is>
      </c>
      <c r="E31" t="n">
        <v>85.2</v>
      </c>
      <c r="F31" t="inlineStr">
        <is>
          <t>%</t>
        </is>
      </c>
      <c r="G31" s="6" t="n">
        <v>0</v>
      </c>
    </row>
    <row r="32">
      <c r="A32">
        <f>Expression!A164</f>
        <v/>
      </c>
      <c r="C32">
        <f>Datapoint!A78</f>
        <v/>
      </c>
      <c r="D32" t="inlineStr">
        <is>
          <t>cmp_1KXE4AHAG1S0PDC6_inorganic_carbon_contents</t>
        </is>
      </c>
      <c r="E32" t="n">
        <v>0.267</v>
      </c>
      <c r="F32" t="inlineStr">
        <is>
          <t>%</t>
        </is>
      </c>
      <c r="G32" s="6" t="n">
        <v>0</v>
      </c>
    </row>
    <row r="33">
      <c r="A33">
        <f>Expression!A186</f>
        <v/>
      </c>
      <c r="C33">
        <f>Datapoint!A166</f>
        <v/>
      </c>
      <c r="D33" t="inlineStr">
        <is>
          <t>cmp_1KXEHAAVZ1S07R49_h_c_molar_ratios</t>
        </is>
      </c>
      <c r="E33" t="n">
        <v>0.44</v>
      </c>
      <c r="F33" t="inlineStr"/>
      <c r="G33" s="6" t="n">
        <v>0</v>
      </c>
    </row>
    <row r="34">
      <c r="A34">
        <f>Expression!A189</f>
        <v/>
      </c>
      <c r="C34">
        <f>Datapoint!A170</f>
        <v/>
      </c>
      <c r="D34" t="inlineStr">
        <is>
          <t>cmp_1KXEHAAVZ1S07R49_total_carbon_contents</t>
        </is>
      </c>
      <c r="E34" t="n">
        <v>85.2</v>
      </c>
      <c r="F34" t="inlineStr">
        <is>
          <t>%</t>
        </is>
      </c>
      <c r="G34" s="6" t="n">
        <v>0</v>
      </c>
    </row>
    <row r="35">
      <c r="A35">
        <f>Expression!A189</f>
        <v/>
      </c>
      <c r="C35">
        <f>Datapoint!A167</f>
        <v/>
      </c>
      <c r="D35" t="inlineStr">
        <is>
          <t>cmp_1KXEHAAVZ1S07R49_inorganic_carbon_contents</t>
        </is>
      </c>
      <c r="E35" t="n">
        <v>0.267</v>
      </c>
      <c r="F35" t="inlineStr">
        <is>
          <t>%</t>
        </is>
      </c>
      <c r="G35" s="6" t="n">
        <v>0</v>
      </c>
    </row>
    <row r="36">
      <c r="A36">
        <f>Expression!A235</f>
        <v/>
      </c>
      <c r="C36">
        <f>Datapoint!A340</f>
        <v/>
      </c>
      <c r="D36" t="inlineStr">
        <is>
          <t>cmp_1KXGK5BMT1S0WYVF_h_c_molar_ratios</t>
        </is>
      </c>
      <c r="E36" t="n">
        <v>0.32</v>
      </c>
      <c r="F36" t="inlineStr"/>
      <c r="G36" s="6" t="n">
        <v>0</v>
      </c>
    </row>
    <row r="37">
      <c r="A37">
        <f>Expression!A238</f>
        <v/>
      </c>
      <c r="C37">
        <f>Datapoint!A344</f>
        <v/>
      </c>
      <c r="D37" t="inlineStr">
        <is>
          <t>cmp_1KXGK5BMT1S0WYVF_total_carbon_contents</t>
        </is>
      </c>
      <c r="E37" t="n">
        <v>86.8</v>
      </c>
      <c r="F37" t="inlineStr">
        <is>
          <t>%</t>
        </is>
      </c>
      <c r="G37" s="6" t="n">
        <v>0</v>
      </c>
    </row>
    <row r="38">
      <c r="A38">
        <f>Expression!A238</f>
        <v/>
      </c>
      <c r="C38">
        <f>Datapoint!A341</f>
        <v/>
      </c>
      <c r="D38" t="inlineStr">
        <is>
          <t>cmp_1KXGK5BMT1S0WYVF_inorganic_carbon_contents</t>
        </is>
      </c>
      <c r="E38" t="n">
        <v>0.4333</v>
      </c>
      <c r="F38" t="inlineStr">
        <is>
          <t>%</t>
        </is>
      </c>
      <c r="G38" s="6" t="n">
        <v>0</v>
      </c>
    </row>
    <row r="39">
      <c r="A39">
        <f>Expression!A246</f>
        <v/>
      </c>
      <c r="C39">
        <f>Datapoint!A530</f>
        <v/>
      </c>
      <c r="D39" t="inlineStr">
        <is>
          <t>cmp_1KYA6ANEE1S02PKB_h_c_molar_ratios</t>
        </is>
      </c>
      <c r="E39" t="n">
        <v>0.41667</v>
      </c>
      <c r="F39" t="inlineStr"/>
      <c r="G39" s="6" t="n">
        <v>0</v>
      </c>
    </row>
    <row r="40">
      <c r="A40">
        <f>Expression!A249</f>
        <v/>
      </c>
      <c r="C40">
        <f>Datapoint!A534</f>
        <v/>
      </c>
      <c r="D40" t="inlineStr">
        <is>
          <t>cmp_1KYA6ANEE1S02PKB_total_carbon_contents</t>
        </is>
      </c>
      <c r="E40" t="n">
        <v>85.5</v>
      </c>
      <c r="F40" t="inlineStr">
        <is>
          <t>%</t>
        </is>
      </c>
      <c r="G40" s="6" t="n">
        <v>0</v>
      </c>
    </row>
    <row r="41">
      <c r="A41">
        <f>Expression!A249</f>
        <v/>
      </c>
      <c r="C41">
        <f>Datapoint!A531</f>
        <v/>
      </c>
      <c r="D41" t="inlineStr">
        <is>
          <t>cmp_1KYA6ANEE1S02PKB_inorganic_carbon_contents</t>
        </is>
      </c>
      <c r="E41" t="n">
        <v>0.2333</v>
      </c>
      <c r="F41" t="inlineStr">
        <is>
          <t>%</t>
        </is>
      </c>
      <c r="G41" s="6" t="n">
        <v>0</v>
      </c>
    </row>
    <row r="42">
      <c r="A42">
        <f>Expression!A261</f>
        <v/>
      </c>
      <c r="C42">
        <f>Datapoint!A549</f>
        <v/>
      </c>
      <c r="D42" t="inlineStr">
        <is>
          <t>cmp_1KYA74ZX41S0WTRX_h_c_molar_ratios</t>
        </is>
      </c>
      <c r="E42" t="n">
        <v>0.28667</v>
      </c>
      <c r="F42" t="inlineStr"/>
      <c r="G42" s="6" t="n">
        <v>0</v>
      </c>
    </row>
    <row r="43">
      <c r="A43">
        <f>Expression!A264</f>
        <v/>
      </c>
      <c r="C43">
        <f>Datapoint!A553</f>
        <v/>
      </c>
      <c r="D43" t="inlineStr">
        <is>
          <t>cmp_1KYA74ZX41S0WTRX_total_carbon_contents</t>
        </is>
      </c>
      <c r="E43" t="n">
        <v>90.06699999999999</v>
      </c>
      <c r="F43" t="inlineStr">
        <is>
          <t>%</t>
        </is>
      </c>
      <c r="G43" s="6" t="n">
        <v>0</v>
      </c>
    </row>
    <row r="44">
      <c r="A44">
        <f>Expression!A264</f>
        <v/>
      </c>
      <c r="C44">
        <f>Datapoint!A550</f>
        <v/>
      </c>
      <c r="D44" t="inlineStr">
        <is>
          <t>cmp_1KYA74ZX41S0WTRX_inorganic_carbon_contents</t>
        </is>
      </c>
      <c r="E44" t="n">
        <v>0.4</v>
      </c>
      <c r="F44" t="inlineStr">
        <is>
          <t>%</t>
        </is>
      </c>
      <c r="G44" s="6" t="n">
        <v>0</v>
      </c>
    </row>
    <row r="45">
      <c r="A45">
        <f>Expression!A276</f>
        <v/>
      </c>
      <c r="C45">
        <f>Datapoint!A145</f>
        <v/>
      </c>
      <c r="D45" t="inlineStr">
        <is>
          <t>cmp_1KXECAV741S0M1X7_h_c_molar_ratios</t>
        </is>
      </c>
      <c r="E45" t="n">
        <v>0.46</v>
      </c>
      <c r="F45" t="inlineStr"/>
      <c r="G45" s="6" t="n">
        <v>0</v>
      </c>
    </row>
    <row r="46">
      <c r="A46">
        <f>Expression!A279</f>
        <v/>
      </c>
      <c r="C46">
        <f>Datapoint!A149</f>
        <v/>
      </c>
      <c r="D46" t="inlineStr">
        <is>
          <t>cmp_1KXECAV741S0M1X7_total_carbon_contents</t>
        </is>
      </c>
      <c r="E46" t="n">
        <v>84.133</v>
      </c>
      <c r="F46" t="inlineStr">
        <is>
          <t>%</t>
        </is>
      </c>
      <c r="G46" s="6" t="n">
        <v>0</v>
      </c>
    </row>
    <row r="47">
      <c r="A47">
        <f>Expression!A279</f>
        <v/>
      </c>
      <c r="C47">
        <f>Datapoint!A146</f>
        <v/>
      </c>
      <c r="D47" t="inlineStr">
        <is>
          <t>cmp_1KXECAV741S0M1X7_inorganic_carbon_contents</t>
        </is>
      </c>
      <c r="E47" t="n">
        <v>0.2</v>
      </c>
      <c r="F47" t="inlineStr">
        <is>
          <t>%</t>
        </is>
      </c>
      <c r="G47" s="6" t="n">
        <v>0</v>
      </c>
    </row>
    <row r="48">
      <c r="A48">
        <f>Expression!A292</f>
        <v/>
      </c>
      <c r="C48">
        <f>Datapoint!A447</f>
        <v/>
      </c>
      <c r="D48" t="inlineStr">
        <is>
          <t>cmp_1KY38KE1C1S0FMED_h_c_molar_ratios</t>
        </is>
      </c>
      <c r="E48" t="n">
        <v>0.3467</v>
      </c>
      <c r="F48" t="inlineStr"/>
      <c r="G48" s="6" t="n">
        <v>0</v>
      </c>
    </row>
    <row r="49">
      <c r="A49">
        <f>Expression!A295</f>
        <v/>
      </c>
      <c r="C49">
        <f>Datapoint!A451</f>
        <v/>
      </c>
      <c r="D49" t="inlineStr">
        <is>
          <t>cmp_1KY38KE1C1S0FMED_total_carbon_contents</t>
        </is>
      </c>
      <c r="E49" t="n">
        <v>87.43340000000001</v>
      </c>
      <c r="F49" t="inlineStr">
        <is>
          <t>%</t>
        </is>
      </c>
      <c r="G49" s="6" t="n">
        <v>0</v>
      </c>
    </row>
    <row r="50">
      <c r="A50">
        <f>Expression!A295</f>
        <v/>
      </c>
      <c r="C50">
        <f>Datapoint!A448</f>
        <v/>
      </c>
      <c r="D50" t="inlineStr">
        <is>
          <t>cmp_1KY38KE1C1S0FMED_inorganic_carbon_contents</t>
        </is>
      </c>
      <c r="E50" t="n">
        <v>0.3333</v>
      </c>
      <c r="F50" t="inlineStr">
        <is>
          <t>%</t>
        </is>
      </c>
      <c r="G50" s="6" t="n">
        <v>0</v>
      </c>
    </row>
    <row r="51">
      <c r="A51">
        <f>Expression!A305</f>
        <v/>
      </c>
      <c r="C51">
        <f>Datapoint!A246</f>
        <v/>
      </c>
      <c r="D51" t="inlineStr">
        <is>
          <t>cmp_1KXERD7151S046F2_h_c_molar_ratios</t>
        </is>
      </c>
      <c r="E51" t="n">
        <v>0.35</v>
      </c>
      <c r="F51" t="inlineStr"/>
      <c r="G51" s="6" t="n">
        <v>0</v>
      </c>
    </row>
    <row r="52">
      <c r="A52">
        <f>Expression!A308</f>
        <v/>
      </c>
      <c r="C52">
        <f>Datapoint!A250</f>
        <v/>
      </c>
      <c r="D52" t="inlineStr">
        <is>
          <t>cmp_1KXERD7151S046F2_total_carbon_contents</t>
        </is>
      </c>
      <c r="E52" t="n">
        <v>80.126</v>
      </c>
      <c r="F52" t="inlineStr">
        <is>
          <t>%</t>
        </is>
      </c>
      <c r="G52" s="6" t="n">
        <v>0</v>
      </c>
    </row>
    <row r="53">
      <c r="A53">
        <f>Expression!A308</f>
        <v/>
      </c>
      <c r="C53">
        <f>Datapoint!A247</f>
        <v/>
      </c>
      <c r="D53" t="inlineStr">
        <is>
          <t>cmp_1KXERD7151S046F2_inorganic_carbon_contents</t>
        </is>
      </c>
      <c r="E53" t="n">
        <v>0.18</v>
      </c>
      <c r="F53" t="inlineStr">
        <is>
          <t>%</t>
        </is>
      </c>
      <c r="G53" s="6" t="n">
        <v>0</v>
      </c>
    </row>
    <row r="54">
      <c r="A54">
        <f>Expression!A317</f>
        <v/>
      </c>
      <c r="C54">
        <f>Datapoint!A479</f>
        <v/>
      </c>
      <c r="D54" t="inlineStr">
        <is>
          <t>cmp_1KY57MT101S0QDR0_h_c_molar_ratios</t>
        </is>
      </c>
      <c r="E54" t="n">
        <v>0.32</v>
      </c>
      <c r="F54" t="inlineStr"/>
      <c r="G54" s="6" t="n">
        <v>0</v>
      </c>
    </row>
    <row r="55">
      <c r="A55">
        <f>Expression!A320</f>
        <v/>
      </c>
      <c r="C55">
        <f>Datapoint!A483</f>
        <v/>
      </c>
      <c r="D55" t="inlineStr">
        <is>
          <t>cmp_1KY57MT101S0QDR0_total_carbon_contents</t>
        </is>
      </c>
      <c r="E55" t="n">
        <v>86.8</v>
      </c>
      <c r="F55" t="inlineStr">
        <is>
          <t>%</t>
        </is>
      </c>
      <c r="G55" s="6" t="n">
        <v>0</v>
      </c>
    </row>
    <row r="56">
      <c r="A56">
        <f>Expression!A320</f>
        <v/>
      </c>
      <c r="C56">
        <f>Datapoint!A480</f>
        <v/>
      </c>
      <c r="D56" t="inlineStr">
        <is>
          <t>cmp_1KY57MT101S0QDR0_inorganic_carbon_contents</t>
        </is>
      </c>
      <c r="E56" t="n">
        <v>0.4333</v>
      </c>
      <c r="F56" t="inlineStr">
        <is>
          <t>%</t>
        </is>
      </c>
      <c r="G56" s="6" t="n">
        <v>0</v>
      </c>
    </row>
    <row r="57">
      <c r="A57">
        <f>Expression!A328</f>
        <v/>
      </c>
      <c r="C57">
        <f>Datapoint!A286</f>
        <v/>
      </c>
      <c r="D57" t="inlineStr">
        <is>
          <t>cmp_1KXGK3HP81S0VGF2_h_c_molar_ratios</t>
        </is>
      </c>
      <c r="E57" t="n">
        <v>0.45667</v>
      </c>
      <c r="F57" t="inlineStr"/>
      <c r="G57" s="6" t="n">
        <v>0</v>
      </c>
    </row>
    <row r="58">
      <c r="A58">
        <f>Expression!A331</f>
        <v/>
      </c>
      <c r="C58">
        <f>Datapoint!A290</f>
        <v/>
      </c>
      <c r="D58" t="inlineStr">
        <is>
          <t>cmp_1KXGK3HP81S0VGF2_total_carbon_contents</t>
        </is>
      </c>
      <c r="E58" t="n">
        <v>83.59999999999999</v>
      </c>
      <c r="F58" t="inlineStr">
        <is>
          <t>%</t>
        </is>
      </c>
      <c r="G58" s="6" t="n">
        <v>0</v>
      </c>
    </row>
    <row r="59">
      <c r="A59">
        <f>Expression!A331</f>
        <v/>
      </c>
      <c r="C59">
        <f>Datapoint!A287</f>
        <v/>
      </c>
      <c r="D59" t="inlineStr">
        <is>
          <t>cmp_1KXGK3HP81S0VGF2_inorganic_carbon_contents</t>
        </is>
      </c>
      <c r="E59" t="n">
        <v>0.2</v>
      </c>
      <c r="F59" t="inlineStr">
        <is>
          <t>%</t>
        </is>
      </c>
      <c r="G59" s="6" t="n">
        <v>0</v>
      </c>
    </row>
    <row r="60">
      <c r="A60">
        <f>Expression!A340</f>
        <v/>
      </c>
      <c r="C60">
        <f>Datapoint!A97</f>
        <v/>
      </c>
      <c r="D60" t="inlineStr">
        <is>
          <t>cmp_1KXEA1TH21S0G8VW_h_c_molar_ratios</t>
        </is>
      </c>
      <c r="E60" t="n">
        <v>0.46333</v>
      </c>
      <c r="F60" t="inlineStr"/>
      <c r="G60" s="6" t="n">
        <v>0</v>
      </c>
    </row>
    <row r="61">
      <c r="A61">
        <f>Expression!A343</f>
        <v/>
      </c>
      <c r="C61">
        <f>Datapoint!A101</f>
        <v/>
      </c>
      <c r="D61" t="inlineStr">
        <is>
          <t>cmp_1KXEA1TH21S0G8VW_total_carbon_contents</t>
        </is>
      </c>
      <c r="E61" t="n">
        <v>85.93000000000001</v>
      </c>
      <c r="F61" t="inlineStr">
        <is>
          <t>%</t>
        </is>
      </c>
      <c r="G61" s="6" t="n">
        <v>0</v>
      </c>
    </row>
    <row r="62">
      <c r="A62">
        <f>Expression!A343</f>
        <v/>
      </c>
      <c r="C62">
        <f>Datapoint!A98</f>
        <v/>
      </c>
      <c r="D62" t="inlineStr">
        <is>
          <t>cmp_1KXEA1TH21S0G8VW_inorganic_carbon_contents</t>
        </is>
      </c>
      <c r="E62" t="n">
        <v>0.27</v>
      </c>
      <c r="F62" t="inlineStr">
        <is>
          <t>%</t>
        </is>
      </c>
      <c r="G62" s="6" t="n">
        <v>0</v>
      </c>
    </row>
    <row r="63">
      <c r="A63">
        <f>Expression!A356</f>
        <v/>
      </c>
      <c r="C63">
        <f>Datapoint!A431</f>
        <v/>
      </c>
      <c r="D63" t="inlineStr">
        <is>
          <t>cmp_1KY02PYB11S00WDX_h_c_molar_ratios</t>
        </is>
      </c>
      <c r="E63" t="n">
        <v>0.32</v>
      </c>
      <c r="F63" t="inlineStr"/>
      <c r="G63" s="6" t="n">
        <v>0</v>
      </c>
    </row>
    <row r="64">
      <c r="A64">
        <f>Expression!A359</f>
        <v/>
      </c>
      <c r="C64">
        <f>Datapoint!A435</f>
        <v/>
      </c>
      <c r="D64" t="inlineStr">
        <is>
          <t>cmp_1KY02PYB11S00WDX_total_carbon_contents</t>
        </is>
      </c>
      <c r="E64" t="n">
        <v>86.8</v>
      </c>
      <c r="F64" t="inlineStr">
        <is>
          <t>%</t>
        </is>
      </c>
      <c r="G64" s="6" t="n">
        <v>0</v>
      </c>
    </row>
    <row r="65">
      <c r="A65">
        <f>Expression!A359</f>
        <v/>
      </c>
      <c r="C65">
        <f>Datapoint!A432</f>
        <v/>
      </c>
      <c r="D65" t="inlineStr">
        <is>
          <t>cmp_1KY02PYB11S00WDX_inorganic_carbon_contents</t>
        </is>
      </c>
      <c r="E65" t="n">
        <v>0.4333</v>
      </c>
      <c r="F65" t="inlineStr">
        <is>
          <t>%</t>
        </is>
      </c>
      <c r="G65" s="6" t="n">
        <v>0</v>
      </c>
    </row>
    <row r="66">
      <c r="A66">
        <f>Expression!A379</f>
        <v/>
      </c>
      <c r="C66">
        <f>Datapoint!A463</f>
        <v/>
      </c>
      <c r="D66" t="inlineStr">
        <is>
          <t>cmp_1KY57M9F81S0FEZ2_h_c_molar_ratios</t>
        </is>
      </c>
      <c r="E66" t="n">
        <v>0.3467</v>
      </c>
      <c r="F66" t="inlineStr"/>
      <c r="G66" s="6" t="n">
        <v>0</v>
      </c>
    </row>
    <row r="67">
      <c r="A67">
        <f>Expression!A382</f>
        <v/>
      </c>
      <c r="C67">
        <f>Datapoint!A467</f>
        <v/>
      </c>
      <c r="D67" t="inlineStr">
        <is>
          <t>cmp_1KY57M9F81S0FEZ2_total_carbon_contents</t>
        </is>
      </c>
      <c r="E67" t="n">
        <v>87.43340000000001</v>
      </c>
      <c r="F67" t="inlineStr">
        <is>
          <t>%</t>
        </is>
      </c>
      <c r="G67" s="6" t="n">
        <v>0</v>
      </c>
    </row>
    <row r="68">
      <c r="A68">
        <f>Expression!A382</f>
        <v/>
      </c>
      <c r="C68">
        <f>Datapoint!A464</f>
        <v/>
      </c>
      <c r="D68" t="inlineStr">
        <is>
          <t>cmp_1KY57M9F81S0FEZ2_inorganic_carbon_contents</t>
        </is>
      </c>
      <c r="E68" t="n">
        <v>0.3333</v>
      </c>
      <c r="F68" t="inlineStr">
        <is>
          <t>%</t>
        </is>
      </c>
      <c r="G68" s="6" t="n">
        <v>0</v>
      </c>
    </row>
    <row r="69">
      <c r="A69">
        <f>Expression!A390</f>
        <v/>
      </c>
      <c r="C69">
        <f>Datapoint!A23</f>
        <v/>
      </c>
      <c r="D69" t="inlineStr">
        <is>
          <t>cmp_1KWCSDFQF1S0RKR7_h_c_molar_ratios</t>
        </is>
      </c>
      <c r="E69" t="n">
        <v>0.44</v>
      </c>
      <c r="F69" t="inlineStr"/>
      <c r="G69" s="6" t="n">
        <v>0</v>
      </c>
    </row>
    <row r="70">
      <c r="A70">
        <f>Expression!A393</f>
        <v/>
      </c>
      <c r="C70">
        <f>Datapoint!A27</f>
        <v/>
      </c>
      <c r="D70" t="inlineStr">
        <is>
          <t>cmp_1KWCSDFQF1S0RKR7_total_carbon_contents</t>
        </is>
      </c>
      <c r="E70" t="n">
        <v>85.2</v>
      </c>
      <c r="F70" t="inlineStr">
        <is>
          <t>%</t>
        </is>
      </c>
      <c r="G70" s="6" t="n">
        <v>0</v>
      </c>
    </row>
    <row r="71">
      <c r="A71">
        <f>Expression!A393</f>
        <v/>
      </c>
      <c r="C71">
        <f>Datapoint!A24</f>
        <v/>
      </c>
      <c r="D71" t="inlineStr">
        <is>
          <t>cmp_1KWCSDFQF1S0RKR7_inorganic_carbon_contents</t>
        </is>
      </c>
      <c r="E71" t="n">
        <v>0.267</v>
      </c>
      <c r="F71" t="inlineStr">
        <is>
          <t>%</t>
        </is>
      </c>
      <c r="G71" s="6" t="n">
        <v>0</v>
      </c>
    </row>
    <row r="72">
      <c r="A72">
        <f>Expression!A402</f>
        <v/>
      </c>
      <c r="C72">
        <f>Datapoint!A415</f>
        <v/>
      </c>
      <c r="D72" t="inlineStr">
        <is>
          <t>cmp_1KY02PC6H1S0RXMZ_h_c_molar_ratios</t>
        </is>
      </c>
      <c r="E72" t="n">
        <v>0.3467</v>
      </c>
      <c r="F72" t="inlineStr"/>
      <c r="G72" s="6" t="n">
        <v>0</v>
      </c>
    </row>
    <row r="73">
      <c r="A73">
        <f>Expression!A405</f>
        <v/>
      </c>
      <c r="C73">
        <f>Datapoint!A419</f>
        <v/>
      </c>
      <c r="D73" t="inlineStr">
        <is>
          <t>cmp_1KY02PC6H1S0RXMZ_total_carbon_contents</t>
        </is>
      </c>
      <c r="E73" t="n">
        <v>87.43340000000001</v>
      </c>
      <c r="F73" t="inlineStr">
        <is>
          <t>%</t>
        </is>
      </c>
      <c r="G73" s="6" t="n">
        <v>0</v>
      </c>
    </row>
    <row r="74">
      <c r="A74">
        <f>Expression!A405</f>
        <v/>
      </c>
      <c r="C74">
        <f>Datapoint!A416</f>
        <v/>
      </c>
      <c r="D74" t="inlineStr">
        <is>
          <t>cmp_1KY02PC6H1S0RXMZ_inorganic_carbon_contents</t>
        </is>
      </c>
      <c r="E74" t="n">
        <v>0.3333</v>
      </c>
      <c r="F74" t="inlineStr">
        <is>
          <t>%</t>
        </is>
      </c>
      <c r="G74" s="6" t="n">
        <v>0</v>
      </c>
    </row>
    <row r="75">
      <c r="A75">
        <f>Expression!A413</f>
        <v/>
      </c>
      <c r="C75">
        <f>Datapoint!A565</f>
        <v/>
      </c>
      <c r="D75" t="inlineStr">
        <is>
          <t>cmp_1KYA75EW41S0KD0F_h_c_molar_ratios</t>
        </is>
      </c>
      <c r="E75" t="n">
        <v>0.32</v>
      </c>
      <c r="F75" t="inlineStr"/>
      <c r="G75" s="6" t="n">
        <v>0</v>
      </c>
    </row>
    <row r="76">
      <c r="A76">
        <f>Expression!A416</f>
        <v/>
      </c>
      <c r="C76">
        <f>Datapoint!A569</f>
        <v/>
      </c>
      <c r="D76" t="inlineStr">
        <is>
          <t>cmp_1KYA75EW41S0KD0F_total_carbon_contents</t>
        </is>
      </c>
      <c r="E76" t="n">
        <v>86.8</v>
      </c>
      <c r="F76" t="inlineStr">
        <is>
          <t>%</t>
        </is>
      </c>
      <c r="G76" s="6" t="n">
        <v>0</v>
      </c>
    </row>
    <row r="77">
      <c r="A77">
        <f>Expression!A416</f>
        <v/>
      </c>
      <c r="C77">
        <f>Datapoint!A566</f>
        <v/>
      </c>
      <c r="D77" t="inlineStr">
        <is>
          <t>cmp_1KYA75EW41S0KD0F_inorganic_carbon_contents</t>
        </is>
      </c>
      <c r="E77" t="n">
        <v>0.4333</v>
      </c>
      <c r="F77" t="inlineStr">
        <is>
          <t>%</t>
        </is>
      </c>
      <c r="G77" s="6" t="n">
        <v>0</v>
      </c>
    </row>
    <row r="78">
      <c r="A78">
        <f>Expression!A432</f>
        <v/>
      </c>
      <c r="C78">
        <f>Datapoint!A324</f>
        <v/>
      </c>
      <c r="D78" t="inlineStr">
        <is>
          <t>cmp_1KXGK4R131S0N02H_h_c_molar_ratios</t>
        </is>
      </c>
      <c r="E78" t="n">
        <v>0.3467</v>
      </c>
      <c r="F78" t="inlineStr"/>
      <c r="G78" s="6" t="n">
        <v>0</v>
      </c>
    </row>
    <row r="79">
      <c r="A79">
        <f>Expression!A435</f>
        <v/>
      </c>
      <c r="C79">
        <f>Datapoint!A328</f>
        <v/>
      </c>
      <c r="D79" t="inlineStr">
        <is>
          <t>cmp_1KXGK4R131S0N02H_total_carbon_contents</t>
        </is>
      </c>
      <c r="E79" t="n">
        <v>87.43340000000001</v>
      </c>
      <c r="F79" t="inlineStr">
        <is>
          <t>%</t>
        </is>
      </c>
      <c r="G79" s="6" t="n">
        <v>0</v>
      </c>
    </row>
    <row r="80">
      <c r="A80">
        <f>Expression!A435</f>
        <v/>
      </c>
      <c r="C80">
        <f>Datapoint!A325</f>
        <v/>
      </c>
      <c r="D80" t="inlineStr">
        <is>
          <t>cmp_1KXGK4R131S0N02H_inorganic_carbon_contents</t>
        </is>
      </c>
      <c r="E80" t="n">
        <v>0.3333</v>
      </c>
      <c r="F80" t="inlineStr">
        <is>
          <t>%</t>
        </is>
      </c>
      <c r="G80" s="6" t="n">
        <v>0</v>
      </c>
    </row>
    <row r="81">
      <c r="A81">
        <f>Expression!A456</f>
        <v/>
      </c>
      <c r="C81">
        <f>Datapoint!A124</f>
        <v/>
      </c>
      <c r="D81" t="inlineStr">
        <is>
          <t>cmp_1KXEBV2PW1S0P1N6_h_c_molar_ratios</t>
        </is>
      </c>
      <c r="E81" t="n">
        <v>0.35</v>
      </c>
      <c r="F81" t="inlineStr"/>
      <c r="G81" s="6" t="n">
        <v>0</v>
      </c>
    </row>
    <row r="82">
      <c r="A82">
        <f>Expression!A459</f>
        <v/>
      </c>
      <c r="C82">
        <f>Datapoint!A128</f>
        <v/>
      </c>
      <c r="D82" t="inlineStr">
        <is>
          <t>cmp_1KXEBV2PW1S0P1N6_total_carbon_contents</t>
        </is>
      </c>
      <c r="E82" t="n">
        <v>80.126</v>
      </c>
      <c r="F82" t="inlineStr">
        <is>
          <t>%</t>
        </is>
      </c>
      <c r="G82" s="6" t="n">
        <v>0</v>
      </c>
    </row>
    <row r="83">
      <c r="A83">
        <f>Expression!A459</f>
        <v/>
      </c>
      <c r="C83">
        <f>Datapoint!A125</f>
        <v/>
      </c>
      <c r="D83" t="inlineStr">
        <is>
          <t>cmp_1KXEBV2PW1S0P1N6_inorganic_carbon_contents</t>
        </is>
      </c>
      <c r="E83" t="n">
        <v>0.18</v>
      </c>
      <c r="F83" t="inlineStr">
        <is>
          <t>%</t>
        </is>
      </c>
      <c r="G83" s="6" t="n">
        <v>0</v>
      </c>
    </row>
    <row r="84">
      <c r="A84">
        <f>Expression!A468</f>
        <v/>
      </c>
      <c r="C84">
        <f>Datapoint!A5</f>
        <v/>
      </c>
      <c r="D84" t="inlineStr">
        <is>
          <t>cmp_1KWCC0FY31S037HP_h_c_molar_ratios</t>
        </is>
      </c>
      <c r="E84" t="n">
        <v>0.35</v>
      </c>
      <c r="F84" t="inlineStr"/>
      <c r="G84" s="6" t="n">
        <v>0</v>
      </c>
    </row>
    <row r="85">
      <c r="A85">
        <f>Expression!A471</f>
        <v/>
      </c>
      <c r="C85">
        <f>Datapoint!A9</f>
        <v/>
      </c>
      <c r="D85" t="inlineStr">
        <is>
          <t>cmp_1KWCC0FY31S037HP_total_carbon_contents</t>
        </is>
      </c>
      <c r="E85" t="n">
        <v>80.126</v>
      </c>
      <c r="F85" t="inlineStr">
        <is>
          <t>%</t>
        </is>
      </c>
      <c r="G85" s="6" t="n">
        <v>0</v>
      </c>
    </row>
    <row r="86">
      <c r="A86">
        <f>Expression!A471</f>
        <v/>
      </c>
      <c r="C86">
        <f>Datapoint!A6</f>
        <v/>
      </c>
      <c r="D86" t="inlineStr">
        <is>
          <t>cmp_1KWCC0FY31S037HP_inorganic_carbon_contents</t>
        </is>
      </c>
      <c r="E86" t="n">
        <v>0.18</v>
      </c>
      <c r="F86" t="inlineStr">
        <is>
          <t>%</t>
        </is>
      </c>
      <c r="G86" s="6" t="n">
        <v>0</v>
      </c>
    </row>
    <row r="87">
      <c r="A87">
        <f>Expression!A486</f>
        <v/>
      </c>
      <c r="C87">
        <f>Datapoint!A360</f>
        <v/>
      </c>
      <c r="D87" t="inlineStr">
        <is>
          <t>cmp_1KXKGW8131S0S4S5_h_c_molar_ratios</t>
        </is>
      </c>
      <c r="E87" t="n">
        <v>0.28667</v>
      </c>
      <c r="F87" t="inlineStr"/>
      <c r="G87" s="6" t="n">
        <v>0</v>
      </c>
    </row>
    <row r="88">
      <c r="A88">
        <f>Expression!A489</f>
        <v/>
      </c>
      <c r="C88">
        <f>Datapoint!A362</f>
        <v/>
      </c>
      <c r="D88" t="inlineStr">
        <is>
          <t>cmp_1KXKGW8131S0S4S5_total_carbon_contents</t>
        </is>
      </c>
      <c r="E88" t="n">
        <v>90.06699999999999</v>
      </c>
      <c r="F88" t="inlineStr">
        <is>
          <t>%</t>
        </is>
      </c>
      <c r="G88" s="6" t="n">
        <v>0</v>
      </c>
    </row>
    <row r="89">
      <c r="A89">
        <f>Expression!A489</f>
        <v/>
      </c>
      <c r="C89">
        <f>Datapoint!A361</f>
        <v/>
      </c>
      <c r="D89" t="inlineStr">
        <is>
          <t>cmp_1KXKGW8131S0S4S5_inorganic_carbon_contents</t>
        </is>
      </c>
      <c r="E89" t="n">
        <v>0.4</v>
      </c>
      <c r="F89" t="inlineStr">
        <is>
          <t>%</t>
        </is>
      </c>
      <c r="G89" s="6" t="n">
        <v>0</v>
      </c>
    </row>
    <row r="90">
      <c r="A90">
        <f>Expression!A499</f>
        <v/>
      </c>
      <c r="C90">
        <f>Datapoint!A514</f>
        <v/>
      </c>
      <c r="D90" t="inlineStr">
        <is>
          <t>cmp_1KY5G7F3N1S00HBS_h_c_molar_ratios</t>
        </is>
      </c>
      <c r="E90" t="n">
        <v>0.46</v>
      </c>
      <c r="F90" t="inlineStr"/>
      <c r="G90" s="6" t="n">
        <v>0</v>
      </c>
    </row>
    <row r="91">
      <c r="A91">
        <f>Expression!A502</f>
        <v/>
      </c>
      <c r="C91">
        <f>Datapoint!A518</f>
        <v/>
      </c>
      <c r="D91" t="inlineStr">
        <is>
          <t>cmp_1KY5G7F3N1S00HBS_total_carbon_contents</t>
        </is>
      </c>
      <c r="E91" t="n">
        <v>83.2667</v>
      </c>
      <c r="F91" t="inlineStr">
        <is>
          <t>%</t>
        </is>
      </c>
      <c r="G91" s="6" t="n">
        <v>0</v>
      </c>
    </row>
    <row r="92">
      <c r="A92">
        <f>Expression!A502</f>
        <v/>
      </c>
      <c r="C92">
        <f>Datapoint!A515</f>
        <v/>
      </c>
      <c r="D92" t="inlineStr">
        <is>
          <t>cmp_1KY5G7F3N1S00HBS_inorganic_carbon_contents</t>
        </is>
      </c>
      <c r="E92" t="n">
        <v>0.2</v>
      </c>
      <c r="F92" t="inlineStr">
        <is>
          <t>%</t>
        </is>
      </c>
      <c r="G92" s="6" t="n">
        <v>0</v>
      </c>
    </row>
    <row r="93">
      <c r="A93">
        <f>Expression!A522</f>
        <v/>
      </c>
      <c r="C93">
        <f>Datapoint!A41</f>
        <v/>
      </c>
      <c r="D93" t="inlineStr">
        <is>
          <t>cmp_1KWCY0G8W1S0MXDP_h_c_molar_ratios</t>
        </is>
      </c>
      <c r="E93" t="n">
        <v>0.46333</v>
      </c>
      <c r="F93" t="inlineStr"/>
      <c r="G93" s="6" t="n">
        <v>0</v>
      </c>
    </row>
    <row r="94">
      <c r="A94">
        <f>Expression!A525</f>
        <v/>
      </c>
      <c r="C94">
        <f>Datapoint!A45</f>
        <v/>
      </c>
      <c r="D94" t="inlineStr">
        <is>
          <t>cmp_1KWCY0G8W1S0MXDP_total_carbon_contents</t>
        </is>
      </c>
      <c r="E94" t="n">
        <v>85.93000000000001</v>
      </c>
      <c r="F94" t="inlineStr">
        <is>
          <t>%</t>
        </is>
      </c>
      <c r="G94" s="6" t="n">
        <v>0</v>
      </c>
    </row>
    <row r="95">
      <c r="A95">
        <f>Expression!A525</f>
        <v/>
      </c>
      <c r="C95">
        <f>Datapoint!A42</f>
        <v/>
      </c>
      <c r="D95" t="inlineStr">
        <is>
          <t>cmp_1KWCY0G8W1S0MXDP_inorganic_carbon_contents</t>
        </is>
      </c>
      <c r="E95" t="n">
        <v>0.27</v>
      </c>
      <c r="F95" t="inlineStr">
        <is>
          <t>%</t>
        </is>
      </c>
      <c r="G95" s="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Measurement Location ID</t>
        </is>
      </c>
      <c r="B1" s="1" t="inlineStr">
        <is>
          <t>Supplier Reference ID</t>
        </is>
      </c>
      <c r="C1" s="1" t="inlineStr">
        <is>
          <t>Latitude</t>
        </is>
      </c>
      <c r="D1" s="1" t="inlineStr">
        <is>
          <t>Longitude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2026-08-07T19:20:08Z</dcterms:created>
  <dcterms:modified xmlns:dcterms="http://purl.org/dc/terms/" xmlns:xsi="http://www.w3.org/2001/XMLSchema-instance" xsi:type="dcterms:W3CDTF">2026-08-07T19:20:09Z</dcterms:modified>
</cp:coreProperties>
</file>