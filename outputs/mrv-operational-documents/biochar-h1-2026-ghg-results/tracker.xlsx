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movals" sheetId="1" r:id="rId4"/>
    <sheet state="visible" name="Biochar Period Reconciliation" sheetId="2" r:id="rId5"/>
    <sheet state="visible" name="PP Summary Name Key" sheetId="3" r:id="rId6"/>
  </sheets>
  <definedNames/>
  <calcPr/>
  <extLst>
    <ext uri="GoogleSheetsCustomDataVersion2">
      <go:sheetsCustomData xmlns:go="http://customooxmlschemas.google.com/" r:id="rId7" roundtripDataChecksum="rn/hb064vnN9JQAwCW8eNJpP4esNPHbmOjZujAIvmf4="/>
    </ext>
  </extLst>
</workbook>
</file>

<file path=xl/sharedStrings.xml><?xml version="1.0" encoding="utf-8"?>
<sst xmlns="http://schemas.openxmlformats.org/spreadsheetml/2006/main" count="409" uniqueCount="253">
  <si>
    <t>Internal Tracking</t>
  </si>
  <si>
    <t>Customer</t>
  </si>
  <si>
    <t>Delivery</t>
  </si>
  <si>
    <t>PP</t>
  </si>
  <si>
    <t>Certify Removal ID</t>
  </si>
  <si>
    <t>Supplier Ref (join key)</t>
  </si>
  <si>
    <t>Completed On</t>
  </si>
  <si>
    <t>Net CO₂e (kg)</t>
  </si>
  <si>
    <t>Status</t>
  </si>
  <si>
    <t>Notes</t>
  </si>
  <si>
    <t>Overdraft flag - over-inventory product at 0 pyrolysis emissions (kg)</t>
  </si>
  <si>
    <t>Certify prod mass (kg)</t>
  </si>
  <si>
    <t>Attribution factor</t>
  </si>
  <si>
    <t>Prod CI applied</t>
  </si>
  <si>
    <t>Charged production draw (kg)</t>
  </si>
  <si>
    <t>Production Period</t>
  </si>
  <si>
    <t>Brenner - Jan20 - PP256</t>
  </si>
  <si>
    <t>MRV PP Name</t>
  </si>
  <si>
    <t>Ops PP Number</t>
  </si>
  <si>
    <t>Actual Time Period</t>
  </si>
  <si>
    <t>Production Period 1</t>
  </si>
  <si>
    <t>Produced (kg) — PP Summary</t>
  </si>
  <si>
    <t>Production draw (kg)</t>
  </si>
  <si>
    <t>Surplus / (Deficit) kg</t>
  </si>
  <si>
    <t>8/12-12/5</t>
  </si>
  <si>
    <t>Prod CI (kgCO2e/kg)</t>
  </si>
  <si>
    <t>Brenner</t>
  </si>
  <si>
    <t>Production emissions (kgCO2e)</t>
  </si>
  <si>
    <t>Production Period 2</t>
  </si>
  <si>
    <t>(K) Emissions on undelivered surplus</t>
  </si>
  <si>
    <t>12/6-1/31</t>
  </si>
  <si>
    <t>PP123</t>
  </si>
  <si>
    <t>Production Period 3</t>
  </si>
  <si>
    <t>2/1-2/28</t>
  </si>
  <si>
    <t>rmv_1KYA6ANEE1S0PW7F</t>
  </si>
  <si>
    <t>ba_Mnyp1ajWTFoo2VkH</t>
  </si>
  <si>
    <t>Production Period 4</t>
  </si>
  <si>
    <t>3/1-3/31</t>
  </si>
  <si>
    <t>Production Period 5</t>
  </si>
  <si>
    <t>Draft (no GHG statement)</t>
  </si>
  <si>
    <t>4/1-4/30</t>
  </si>
  <si>
    <t>Cap MG draw at 1,731; Certify top-up @ 0 prod emissions. MG event evt_zkIhMem9OwDeyWVU. Pushed to Certify; net draft/actively edited. | PP256 over-inventory: capped to 1,174.3 of 2,160.9 kg (moisture-adj); excess 0 CI. Ceiling = Produced 10,309.</t>
  </si>
  <si>
    <t>1174.35/2654.35</t>
  </si>
  <si>
    <t>Production Period 6</t>
  </si>
  <si>
    <t>5/1-5/31</t>
  </si>
  <si>
    <t>Production Period 7</t>
  </si>
  <si>
    <t>6/1-6/30</t>
  </si>
  <si>
    <t>Production Period 8</t>
  </si>
  <si>
    <t>7/1-7/31</t>
  </si>
  <si>
    <t>August 2025 Production Period</t>
  </si>
  <si>
    <t>8/1-8/31</t>
  </si>
  <si>
    <t>September 2025 Production Period</t>
  </si>
  <si>
    <t>9/1-9/30</t>
  </si>
  <si>
    <t>October 2025 Production Period</t>
  </si>
  <si>
    <t>10/1-10/31</t>
  </si>
  <si>
    <t>November 2025 Production Period</t>
  </si>
  <si>
    <t>11/1-11/30</t>
  </si>
  <si>
    <t>December 2025 Production Period</t>
  </si>
  <si>
    <t>12/1-12/31</t>
  </si>
  <si>
    <t>Brenner - Jan20 - PP257</t>
  </si>
  <si>
    <t>rmv_1KY02PC6H1S0D393</t>
  </si>
  <si>
    <t>ba_WhokCybTDfXx5J9b</t>
  </si>
  <si>
    <t/>
  </si>
  <si>
    <t>Brenner - Jan20 - PP258</t>
  </si>
  <si>
    <t>rmv_1KY02PYB11S0N221</t>
  </si>
  <si>
    <t>ba_KgcBuWQUZqU1iIh0</t>
  </si>
  <si>
    <t>PP251</t>
  </si>
  <si>
    <t>Brenner - Mar11 - PP256</t>
  </si>
  <si>
    <t>rmv_1KY57NCC21S0TVWC</t>
  </si>
  <si>
    <t>ba_k5O479XvMebZlTY5</t>
  </si>
  <si>
    <t>PP256 over-inventory: fully over (30.1 kg); CI 0.</t>
  </si>
  <si>
    <t>0/123.75</t>
  </si>
  <si>
    <t>PP252</t>
  </si>
  <si>
    <t>Brenner - Mar11 - PP257</t>
  </si>
  <si>
    <t>rmv_1KY57M9F81S03MK6</t>
  </si>
  <si>
    <t>ba_TMAR7Xx3vwC16Jan</t>
  </si>
  <si>
    <t>Brenner - Mar11 - PP258</t>
  </si>
  <si>
    <t>PP253</t>
  </si>
  <si>
    <t>rmv_1KY57MT101S0BKC4</t>
  </si>
  <si>
    <t>ba_tyHD61LKMjHX0tm8</t>
  </si>
  <si>
    <t>Brenner - Mar11 - PP259</t>
  </si>
  <si>
    <t>rmv_1KY5G7F3N1S0MPZX</t>
  </si>
  <si>
    <t>ba_STp6R7r1eTkvhMC4</t>
  </si>
  <si>
    <t>PP259 now over-inventory on volumetric bag-mass basis: delivered 4,084 kg green-in (33 bags x 141.75 x (1-0.127)) vs produced 3,868 kg -&gt; production mass CAPPED at 3,868 (FIFO); excess ~216 kg carries 0 production CI, sequestration credit retained. Applied 2026-07-28.</t>
  </si>
  <si>
    <t>3868/4083.68</t>
  </si>
  <si>
    <t>Brenner - Mar20 - PP257</t>
  </si>
  <si>
    <t>rmv_1KY38KE1C1S03T2H</t>
  </si>
  <si>
    <t>ba_ouUP380dPZPm3TwY</t>
  </si>
  <si>
    <t>Brenner - Mar20 - PP258</t>
  </si>
  <si>
    <t>PP254</t>
  </si>
  <si>
    <t>rmv_1KYA75EW41S07JMK</t>
  </si>
  <si>
    <t>Brenner - Mar20 - PP254</t>
  </si>
  <si>
    <t>rmv_1KYA74ZX41S0H0D1</t>
  </si>
  <si>
    <t>PP254: fully within production (495.0 kg moisture-adj, no cap).</t>
  </si>
  <si>
    <t>0/516.68</t>
  </si>
  <si>
    <t>PP255</t>
  </si>
  <si>
    <t>D1 - Chris Craig - PP123</t>
  </si>
  <si>
    <t>Chris Craig</t>
  </si>
  <si>
    <t>D1 - May 30</t>
  </si>
  <si>
    <t>rmv_1KWCSDFQF1S0CSCB</t>
  </si>
  <si>
    <t>ba_9kP9SwYZMlGNTqqx</t>
  </si>
  <si>
    <t>PP256</t>
  </si>
  <si>
    <t>D1 - Chris Craig - PP251</t>
  </si>
  <si>
    <t>rmv_1KWCY0G8W1S0931T</t>
  </si>
  <si>
    <t>ba_tHRLhKtxK34N9epQ</t>
  </si>
  <si>
    <t>D1 - Chris Craig - PP252</t>
  </si>
  <si>
    <t>PP259</t>
  </si>
  <si>
    <t>rmv_1KWCC0FY31S0QD5T</t>
  </si>
  <si>
    <t>D1 - Chris Craig - PP255</t>
  </si>
  <si>
    <t>rmv_1KWCZP1M61S02KMH</t>
  </si>
  <si>
    <t>ba_T8zfcMUbDDHUruuA</t>
  </si>
  <si>
    <t>TOTAL</t>
  </si>
  <si>
    <t>PP255: fully within production (286.3 kg moisture-adj); CI 1.2936.</t>
  </si>
  <si>
    <t>D2 - Chris Craig - PP123</t>
  </si>
  <si>
    <t>D2 - May 30</t>
  </si>
  <si>
    <t>rmv_1KXE4AHAG1S0AK0A</t>
  </si>
  <si>
    <t>ba_lwnWhNsjh8WoV53l</t>
  </si>
  <si>
    <t>D2 - Chris Craig - PP251</t>
  </si>
  <si>
    <t>rmv_1KXEA1TH21S04EG0</t>
  </si>
  <si>
    <t>ba_Z9EfWkX89iM3ii1v</t>
  </si>
  <si>
    <t>Note — PP257 and PP258 are excluded from this reconciliation: those periods still have bags in inventory and are not yet being drawn down, so no production emissions are outstanding on them. PP256 is included because it is fully drawn (over-drawn), i.e. complete. Draw column C sums Removals!O (= mass x attribution factor, charged legs only) and ties to live Certify for all periods.</t>
  </si>
  <si>
    <t>D2 - Chris Craig - PP252</t>
  </si>
  <si>
    <t>rmv_1KXEBV2PW1S0A79A</t>
  </si>
  <si>
    <t>ba_VWf4sxkY2EscDW5o</t>
  </si>
  <si>
    <t>D2 - Chris Craig - PP253</t>
  </si>
  <si>
    <t>Period is Completed</t>
  </si>
  <si>
    <t>rmv_1KXECAV741S0SM2Q</t>
  </si>
  <si>
    <t>ba_oE4jAK80l7BJyFMg</t>
  </si>
  <si>
    <t>Production emissions OUTSTANDING</t>
  </si>
  <si>
    <t>D2 - Chris Craig - PP254</t>
  </si>
  <si>
    <t>rmv_1KXKGW8131S0DAD9</t>
  </si>
  <si>
    <t>manual-charm-biochar-D2-254</t>
  </si>
  <si>
    <t>PP254 over-inventory: production capped to in-inventory 93.9 of 282.0 kg (moisture-adjusted); excess at 0 CI. FIFO ceiling = Produced 11,426.</t>
  </si>
  <si>
    <t>0/294.37</t>
  </si>
  <si>
    <t>Removals Burdened</t>
  </si>
  <si>
    <t>Kg of burden</t>
  </si>
  <si>
    <t>Total Burden after Removal</t>
  </si>
  <si>
    <t>Total Burden</t>
  </si>
  <si>
    <t>D3 - Chris Craig - PP123</t>
  </si>
  <si>
    <t>D3 - June 6</t>
  </si>
  <si>
    <t>rmv_1KXEHAAVZ1S0VXRD</t>
  </si>
  <si>
    <t>ba_yYdKOBIvyBMfCOdf</t>
  </si>
  <si>
    <t>D3 - Chris Craig - PP252</t>
  </si>
  <si>
    <t>rmv_1KXKP77Q21S08Q74</t>
  </si>
  <si>
    <t>manual-charm-biochar-D3-252</t>
  </si>
  <si>
    <t>Corrected D3-252 (PP252 characterization + CI)</t>
  </si>
  <si>
    <t>D3 - Chris Craig - PP253</t>
  </si>
  <si>
    <t>rmv_1KXEJCGYM1S09J0R</t>
  </si>
  <si>
    <t>ba_ZmHB6yt6Jtzs0PTW</t>
  </si>
  <si>
    <t>D3-Chris Craig - PP254</t>
  </si>
  <si>
    <t>rmv_1KXKGXJB61S01MAJ</t>
  </si>
  <si>
    <t>manual-charm-biochar-D3-254</t>
  </si>
  <si>
    <t>Hand-built in Certify (MG blocked) | PP254 over-inventory: fully over (1,249.5 kg moisture-adj); production CI 0.</t>
  </si>
  <si>
    <t>0/1304.31</t>
  </si>
  <si>
    <t xml:space="preserve"> </t>
  </si>
  <si>
    <t>D3 - Chris Craig - PP255</t>
  </si>
  <si>
    <t>rmv_1KXEJD28G1S07DZM</t>
  </si>
  <si>
    <t>ba_Sm5nzKG9gj21Dxl1</t>
  </si>
  <si>
    <t>PP255 over-inventory: capped to 559.98 of 1,693.9 kg (moisture-adj); excess 0 CI; CI 1.2936. Ceiling = Produced 10,357; FIFO headroom after EO (9,503.08) + D1 (293.94).</t>
  </si>
  <si>
    <t>559.98/1739.08</t>
  </si>
  <si>
    <t>D4 - Chris Craig - PP251</t>
  </si>
  <si>
    <t>D4 - June 6</t>
  </si>
  <si>
    <t>rmv_1KXERCP431S0TG4A</t>
  </si>
  <si>
    <t>ba_7FH3EjYwQp16ttVc</t>
  </si>
  <si>
    <t>D4 - Chris Craig - PP252</t>
  </si>
  <si>
    <t>rmv_1KXERD7151S0RC36</t>
  </si>
  <si>
    <t>ba_bVEAvO9legIMhHcD</t>
  </si>
  <si>
    <t>50.72/416.19</t>
  </si>
  <si>
    <t>D4 - Chris Craig - PP253</t>
  </si>
  <si>
    <t>rmv_1KXGK2Y3V1S0HT4A</t>
  </si>
  <si>
    <t>ba_fcqDPyfocSyfS0ba</t>
  </si>
  <si>
    <t>D4 - Chris Craig - PP255</t>
  </si>
  <si>
    <t>rmv_1KXGK3HP81S0FP36</t>
  </si>
  <si>
    <t>ba_R4Vr8Bfn1uspC4R1</t>
  </si>
  <si>
    <t>PP255 over-inventory: fully over (202.7 kg); CI 0.</t>
  </si>
  <si>
    <t>0/208.09</t>
  </si>
  <si>
    <t>D4 - Chris Craig - PP256</t>
  </si>
  <si>
    <t>rmv_1KXGK45BZ1S0DJ22</t>
  </si>
  <si>
    <t>ba_OPir9NJcYGrhzD92</t>
  </si>
  <si>
    <t>PP256 over-inventory: fully over (122.8 kg moisture-adj); production CI 0. Ceiling = Produced 10,309, fully consumed by EO (9,134.65) + Brenner Jan-20 (1,174.35).</t>
  </si>
  <si>
    <t>0/151.8</t>
  </si>
  <si>
    <t>D4 - Chris Craig - PP257</t>
  </si>
  <si>
    <t>rmv_1KXGK4R131S095PN</t>
  </si>
  <si>
    <t>ba_SEeVg0i26QTA0MGj</t>
  </si>
  <si>
    <t>D4 - Chris Craig - PP258</t>
  </si>
  <si>
    <t>rmv_1KXGK5BMT1S0H4FK</t>
  </si>
  <si>
    <t>ba_Ab0wKI6z4meTsSHJ</t>
  </si>
  <si>
    <t>123-Chris Hamman 20250829</t>
  </si>
  <si>
    <t>Chris Hamman</t>
  </si>
  <si>
    <t>EO</t>
  </si>
  <si>
    <t>rmv_1KCTBF69Z1S0XHTB</t>
  </si>
  <si>
    <t>ba_fUeZ1eLibeF6O4cE</t>
  </si>
  <si>
    <t>Submitted (Apr–Sep 2025 GHG statement)</t>
  </si>
  <si>
    <t>123-Chris Hamman 20250916</t>
  </si>
  <si>
    <t>rmv_1KCTBHBK11S0SP7D</t>
  </si>
  <si>
    <t>ba_1Oq53uWjtTwFNYk3</t>
  </si>
  <si>
    <t>254-Chris Hamman 20250916</t>
  </si>
  <si>
    <t>rmv_1KCTBKXGC1S0X4BS</t>
  </si>
  <si>
    <t>ba_4FPvu3C6mBX9xuE5</t>
  </si>
  <si>
    <t>123-Chris Hamman 20250918</t>
  </si>
  <si>
    <t>rmv_1KCTBP4DY1S0Q0EJ</t>
  </si>
  <si>
    <t>ba_eyW02BeG1N1jgEWy</t>
  </si>
  <si>
    <t>254-Chris Hamman 20250918</t>
  </si>
  <si>
    <t>rmv_1KCTBR95H1S0BV4A</t>
  </si>
  <si>
    <t>ba_bdzRMTASXSJB2JfZ</t>
  </si>
  <si>
    <t>254-Chris Hamman 20250923</t>
  </si>
  <si>
    <t>rmv_1KCTBTHWT1S05Q73</t>
  </si>
  <si>
    <t>ba_KEnxJerCkCe7I2By</t>
  </si>
  <si>
    <t>255-Chris Hamman 20250923</t>
  </si>
  <si>
    <t>rmv_1KCTB8JVM1S031N6</t>
  </si>
  <si>
    <t>ba_GwJpGqft6MCOFNan</t>
  </si>
  <si>
    <t>254-Chris Hamman 20250929</t>
  </si>
  <si>
    <t>rmv_1KCTBWPM91S0V2NA</t>
  </si>
  <si>
    <t>ba_YC3RbkXOz1WiikZe</t>
  </si>
  <si>
    <t>255-Chris Hamman-20250929</t>
  </si>
  <si>
    <t>rmv_1KCTBYT0D1S0BCPG</t>
  </si>
  <si>
    <t>ba_frGHe8kgessB6QCj</t>
  </si>
  <si>
    <t>254-Compost Colarado 20250424</t>
  </si>
  <si>
    <t>Compost Colarado</t>
  </si>
  <si>
    <t>rmv_1KCTC8EPJ1S0EX5H</t>
  </si>
  <si>
    <t>ba_V4xBDzG1zBwg6ZOD</t>
  </si>
  <si>
    <t>123-Grace Hill Winery 20250414</t>
  </si>
  <si>
    <t>Grace Hill Winery</t>
  </si>
  <si>
    <t>rmv_1KCTBAYGN1S0EA9B</t>
  </si>
  <si>
    <t>ba_K8qjHr3a9k8YfAOl</t>
  </si>
  <si>
    <t>251-Grow Girl 20250324</t>
  </si>
  <si>
    <t>Grow Girl</t>
  </si>
  <si>
    <t>rmv_1KCTC3EQG1S0TM7G</t>
  </si>
  <si>
    <t>ba_PeUCdoZHg928mPCX</t>
  </si>
  <si>
    <t>253-Grow Girl 20250324</t>
  </si>
  <si>
    <t>rmv_1KCTC63DR1S0SHQA</t>
  </si>
  <si>
    <t>ba_Xz8GqSPuWjXaDAFa</t>
  </si>
  <si>
    <t>256-Joshua Llyod 20250915</t>
  </si>
  <si>
    <t>Joshua Llyod</t>
  </si>
  <si>
    <t>rmv_1KCTB5Y4D1S0KYDB</t>
  </si>
  <si>
    <t>ba_AT0xdi5ufRlRrCs5</t>
  </si>
  <si>
    <t>254-Joshua Llyod 20250915 (2nd production component, same removal)</t>
  </si>
  <si>
    <t>Second biochar-production component on rmv_1KCTB5Y4D1S0KYDB: this removal draws on BOTH PP256 (8,166.17 kg) and PP254 (113.77 kg). Split across two rows so per-period SUMIF totals are complete.</t>
  </si>
  <si>
    <t>123-Terrachar 20250430</t>
  </si>
  <si>
    <t>Terrachar</t>
  </si>
  <si>
    <t>rmv_1KCTBD3WG1S03NQJ</t>
  </si>
  <si>
    <t>ba_LG5y8dx0r58lbvAL</t>
  </si>
  <si>
    <t>256-Terrachar 20250709</t>
  </si>
  <si>
    <t>rmv_1KCTC0Z9R1S0FBKB</t>
  </si>
  <si>
    <t>ba_iy2GbYUehHDu4yiT</t>
  </si>
  <si>
    <t>CH-848 - PP123 (verified, sep. statement)</t>
  </si>
  <si>
    <t>rmv_1K04TP4S01S0CW0E</t>
  </si>
  <si>
    <t>CH-848</t>
  </si>
  <si>
    <t>Credits issued (ggs_1K0QG59581S0WGSE)</t>
  </si>
  <si>
    <t>Verified biochar removal in a separate credits-issued statement (not the Dec biochar statement); added for delivered-column completeness.</t>
  </si>
  <si>
    <t>CH-850 - PP251 (verified, sep. statement)</t>
  </si>
  <si>
    <t>rmv_1K04TR94S1S04AGH</t>
  </si>
  <si>
    <t>CH-850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</si>
</sst>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d"/>
    <numFmt numFmtId="165" formatCode="yyyy-mm-dd"/>
    <numFmt numFmtId="166" formatCode="#,##0.0"/>
  </numFmts>
  <fonts count="3">
    <font>
      <sz val="10.0"/>
      <color rgb="FF000000"/>
      <name val="Arial"/>
      <scheme val="minor"/>
    </font>
    <font>
      <b/>
      <color theme="1"/>
      <name val="Arial"/>
    </font>
    <font>
      <color theme="1"/>
      <name val="Arial"/>
    </font>
  </fonts>
  <fills count="5">
    <fill>
      <patternFill patternType="none"/>
    </fill>
    <fill>
      <patternFill patternType="lightGray"/>
    </fill>
    <fill>
      <patternFill patternType="solid">
        <fgColor rgb="FFFFE599"/>
        <bgColor rgb="FFFFE599"/>
      </patternFill>
    </fill>
    <fill>
      <patternFill patternType="solid">
        <fgColor rgb="FFFCE5CD"/>
        <bgColor rgb="FFFCE5CD"/>
      </patternFill>
    </fill>
    <fill>
      <patternFill patternType="solid">
        <fgColor rgb="FF00FF00"/>
        <bgColor rgb="FF00FF00"/>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shrinkToFit="0" wrapText="1"/>
    </xf>
    <xf borderId="0" fillId="0" fontId="1" numFmtId="0" xfId="0" applyFont="1"/>
    <xf borderId="0" fillId="0" fontId="2" numFmtId="0" xfId="0" applyAlignment="1" applyFont="1">
      <alignment vertical="bottom"/>
    </xf>
    <xf borderId="0" fillId="0" fontId="2" numFmtId="0" xfId="0" applyFont="1"/>
    <xf borderId="0" fillId="0" fontId="1" numFmtId="0" xfId="0" applyAlignment="1" applyFont="1">
      <alignment vertical="bottom"/>
    </xf>
    <xf borderId="0" fillId="2" fontId="2" numFmtId="0" xfId="0" applyAlignment="1" applyFill="1" applyFont="1">
      <alignment horizontal="center"/>
    </xf>
    <xf borderId="0" fillId="0" fontId="2" numFmtId="0" xfId="0" applyAlignment="1" applyFont="1">
      <alignment horizontal="center" vertical="bottom"/>
    </xf>
    <xf borderId="0" fillId="2" fontId="2" numFmtId="164" xfId="0" applyAlignment="1" applyFont="1" applyNumberFormat="1">
      <alignment horizontal="center"/>
    </xf>
    <xf borderId="0" fillId="3" fontId="2" numFmtId="0" xfId="0" applyAlignment="1" applyFill="1" applyFont="1">
      <alignment vertical="bottom"/>
    </xf>
    <xf borderId="0" fillId="2" fontId="2" numFmtId="165" xfId="0" applyAlignment="1" applyFont="1" applyNumberFormat="1">
      <alignment horizontal="center"/>
    </xf>
    <xf borderId="0" fillId="3" fontId="2" numFmtId="4" xfId="0" applyAlignment="1" applyFont="1" applyNumberFormat="1">
      <alignment horizontal="right" vertical="bottom"/>
    </xf>
    <xf borderId="0" fillId="2" fontId="2" numFmtId="0" xfId="0" applyAlignment="1" applyFont="1">
      <alignment horizontal="center" shrinkToFit="0" wrapText="1"/>
    </xf>
    <xf borderId="0" fillId="2" fontId="2" numFmtId="0" xfId="0" applyFont="1"/>
    <xf borderId="0" fillId="0" fontId="2" numFmtId="0" xfId="0" applyAlignment="1" applyFont="1">
      <alignment horizontal="center"/>
    </xf>
    <xf borderId="0" fillId="0" fontId="2" numFmtId="164" xfId="0" applyAlignment="1" applyFont="1" applyNumberFormat="1">
      <alignment horizontal="center"/>
    </xf>
    <xf borderId="0" fillId="0" fontId="2" numFmtId="165" xfId="0" applyAlignment="1" applyFont="1" applyNumberFormat="1">
      <alignment horizontal="center"/>
    </xf>
    <xf borderId="0" fillId="3" fontId="1" numFmtId="4" xfId="0" applyAlignment="1" applyFont="1" applyNumberFormat="1">
      <alignment horizontal="right" vertical="bottom"/>
    </xf>
    <xf borderId="0" fillId="0" fontId="2" numFmtId="0" xfId="0" applyAlignment="1" applyFont="1">
      <alignment horizontal="center" shrinkToFit="0" wrapText="1"/>
    </xf>
    <xf borderId="0" fillId="3" fontId="2" numFmtId="0" xfId="0" applyAlignment="1" applyFont="1">
      <alignment horizontal="right" vertical="bottom"/>
    </xf>
    <xf borderId="0" fillId="0" fontId="2" numFmtId="4" xfId="0" applyAlignment="1" applyFont="1" applyNumberFormat="1">
      <alignment horizontal="right" vertical="bottom"/>
    </xf>
    <xf borderId="0" fillId="4" fontId="1" numFmtId="4" xfId="0" applyAlignment="1" applyFill="1" applyFont="1" applyNumberFormat="1">
      <alignment vertical="bottom"/>
    </xf>
    <xf borderId="0" fillId="4" fontId="1" numFmtId="4" xfId="0" applyAlignment="1" applyFont="1" applyNumberFormat="1">
      <alignment horizontal="right" vertical="bottom"/>
    </xf>
    <xf borderId="0" fillId="0" fontId="2" numFmtId="4" xfId="0" applyFont="1" applyNumberFormat="1"/>
    <xf borderId="0" fillId="0" fontId="2" numFmtId="166" xfId="0" applyAlignment="1" applyFont="1" applyNumberFormat="1">
      <alignment horizontal="center"/>
    </xf>
    <xf borderId="0" fillId="0" fontId="1" numFmtId="166" xfId="0" applyAlignment="1" applyFont="1" applyNumberFormat="1">
      <alignment horizontal="center"/>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38"/>
    <col customWidth="1" min="2" max="2" width="14.5"/>
    <col customWidth="1" min="3" max="3" width="23.0"/>
    <col customWidth="1" min="4" max="4" width="18.88"/>
    <col customWidth="1" min="5" max="5" width="22.75"/>
    <col customWidth="1" hidden="1" min="6" max="6" width="23.75"/>
    <col customWidth="1" hidden="1" min="7" max="7" width="11.38"/>
    <col customWidth="1" hidden="1" min="8" max="8" width="15.63"/>
    <col customWidth="1" hidden="1" min="9" max="9" width="31.75"/>
    <col customWidth="1" hidden="1" min="10" max="10" width="73.13"/>
    <col customWidth="1" min="11" max="11" width="57.5"/>
    <col customWidth="1" min="12" max="12" width="18.63"/>
  </cols>
  <sheetData>
    <row r="1" ht="15.75" customHeight="1">
      <c r="A1" s="1" t="s">
        <v>0</v>
      </c>
      <c r="B1" s="1" t="s">
        <v>1</v>
      </c>
      <c r="C1" s="1" t="s">
        <v>2</v>
      </c>
      <c r="D1" s="1" t="s">
        <v>3</v>
      </c>
      <c r="E1" s="1" t="s">
        <v>4</v>
      </c>
      <c r="F1" s="1" t="s">
        <v>5</v>
      </c>
      <c r="G1" s="1" t="s">
        <v>6</v>
      </c>
      <c r="H1" s="1" t="s">
        <v>7</v>
      </c>
      <c r="I1" s="1" t="s">
        <v>8</v>
      </c>
      <c r="J1" s="1" t="s">
        <v>9</v>
      </c>
      <c r="K1" s="2" t="s">
        <v>10</v>
      </c>
      <c r="L1" s="3" t="s">
        <v>11</v>
      </c>
      <c r="M1" s="3" t="s">
        <v>12</v>
      </c>
      <c r="N1" s="3" t="s">
        <v>13</v>
      </c>
      <c r="O1" s="3" t="s">
        <v>14</v>
      </c>
      <c r="P1" s="3"/>
      <c r="Q1" s="3"/>
      <c r="R1" s="3"/>
      <c r="S1" s="3"/>
      <c r="T1" s="3"/>
      <c r="U1" s="3"/>
      <c r="V1" s="3"/>
      <c r="W1" s="3"/>
      <c r="X1" s="3"/>
      <c r="Y1" s="3"/>
      <c r="Z1" s="3"/>
    </row>
    <row r="2" ht="15.75" customHeight="1">
      <c r="A2" s="7" t="s">
        <v>16</v>
      </c>
      <c r="B2" s="7" t="s">
        <v>26</v>
      </c>
      <c r="C2" s="9">
        <v>46042.0</v>
      </c>
      <c r="D2" s="7">
        <v>256.0</v>
      </c>
      <c r="E2" s="7" t="s">
        <v>34</v>
      </c>
      <c r="F2" s="7" t="s">
        <v>35</v>
      </c>
      <c r="G2" s="11">
        <v>46042.0</v>
      </c>
      <c r="H2" s="7">
        <v>129.88</v>
      </c>
      <c r="I2" s="7" t="s">
        <v>39</v>
      </c>
      <c r="J2" s="7" t="s">
        <v>41</v>
      </c>
      <c r="K2" s="13" t="s">
        <v>42</v>
      </c>
      <c r="L2" s="14">
        <v>1174.35</v>
      </c>
      <c r="M2" s="14">
        <v>1.0</v>
      </c>
      <c r="N2" s="14">
        <v>1.2918</v>
      </c>
      <c r="O2" s="14">
        <f t="shared" ref="O2:O51" si="1">IF(N2&gt;0,L2*M2,0)</f>
        <v>1174.35</v>
      </c>
      <c r="P2" s="14"/>
      <c r="Q2" s="14"/>
      <c r="R2" s="14"/>
      <c r="S2" s="14"/>
      <c r="T2" s="14"/>
      <c r="U2" s="14"/>
      <c r="V2" s="14"/>
      <c r="W2" s="14"/>
      <c r="X2" s="14"/>
      <c r="Y2" s="14"/>
      <c r="Z2" s="14"/>
    </row>
    <row r="3" ht="15.75" customHeight="1">
      <c r="A3" s="15" t="s">
        <v>59</v>
      </c>
      <c r="B3" s="15" t="s">
        <v>26</v>
      </c>
      <c r="C3" s="16">
        <v>46042.0</v>
      </c>
      <c r="D3" s="15">
        <v>257.0</v>
      </c>
      <c r="E3" s="15" t="s">
        <v>60</v>
      </c>
      <c r="F3" s="15" t="s">
        <v>61</v>
      </c>
      <c r="G3" s="17">
        <v>46042.0</v>
      </c>
      <c r="H3" s="15">
        <v>743.58</v>
      </c>
      <c r="I3" s="15" t="s">
        <v>39</v>
      </c>
      <c r="J3" s="15"/>
      <c r="K3" s="19" t="s">
        <v>62</v>
      </c>
      <c r="L3" s="5">
        <v>5157.3261</v>
      </c>
      <c r="M3" s="5">
        <v>1.0</v>
      </c>
      <c r="N3" s="5">
        <v>1.2926</v>
      </c>
      <c r="O3" s="5">
        <f t="shared" si="1"/>
        <v>5157.3261</v>
      </c>
    </row>
    <row r="4" ht="15.75" customHeight="1">
      <c r="A4" s="15" t="s">
        <v>63</v>
      </c>
      <c r="B4" s="15" t="s">
        <v>26</v>
      </c>
      <c r="C4" s="16">
        <v>46042.0</v>
      </c>
      <c r="D4" s="15">
        <v>258.0</v>
      </c>
      <c r="E4" s="15" t="s">
        <v>64</v>
      </c>
      <c r="F4" s="15" t="s">
        <v>65</v>
      </c>
      <c r="G4" s="17">
        <v>46042.0</v>
      </c>
      <c r="H4" s="15">
        <v>1204.08</v>
      </c>
      <c r="I4" s="15" t="s">
        <v>39</v>
      </c>
      <c r="J4" s="15"/>
      <c r="K4" s="19" t="s">
        <v>62</v>
      </c>
      <c r="L4" s="5">
        <v>821.7107</v>
      </c>
      <c r="M4" s="5">
        <v>1.0</v>
      </c>
      <c r="N4" s="5">
        <v>1.1815</v>
      </c>
      <c r="O4" s="5">
        <f t="shared" si="1"/>
        <v>821.7107</v>
      </c>
    </row>
    <row r="5" ht="15.75" customHeight="1">
      <c r="A5" s="7" t="s">
        <v>67</v>
      </c>
      <c r="B5" s="7" t="s">
        <v>26</v>
      </c>
      <c r="C5" s="9">
        <v>46092.0</v>
      </c>
      <c r="D5" s="7">
        <v>256.0</v>
      </c>
      <c r="E5" s="7" t="s">
        <v>68</v>
      </c>
      <c r="F5" s="7" t="s">
        <v>69</v>
      </c>
      <c r="G5" s="11">
        <v>46092.0</v>
      </c>
      <c r="H5" s="7">
        <v>309.54</v>
      </c>
      <c r="I5" s="7" t="s">
        <v>39</v>
      </c>
      <c r="J5" s="7" t="s">
        <v>70</v>
      </c>
      <c r="K5" s="13" t="s">
        <v>71</v>
      </c>
      <c r="L5" s="14">
        <v>0.0</v>
      </c>
      <c r="M5" s="14">
        <v>1.0</v>
      </c>
      <c r="N5" s="14">
        <v>0.0</v>
      </c>
      <c r="O5" s="14">
        <f t="shared" si="1"/>
        <v>0</v>
      </c>
      <c r="P5" s="14"/>
      <c r="Q5" s="14"/>
      <c r="R5" s="14"/>
      <c r="S5" s="14"/>
      <c r="T5" s="14"/>
      <c r="U5" s="14"/>
      <c r="V5" s="14"/>
      <c r="W5" s="14"/>
      <c r="X5" s="14"/>
      <c r="Y5" s="14"/>
      <c r="Z5" s="14"/>
    </row>
    <row r="6" ht="15.75" customHeight="1">
      <c r="A6" s="15" t="s">
        <v>73</v>
      </c>
      <c r="B6" s="15" t="s">
        <v>26</v>
      </c>
      <c r="C6" s="16">
        <v>46092.0</v>
      </c>
      <c r="D6" s="15">
        <v>257.0</v>
      </c>
      <c r="E6" s="15" t="s">
        <v>74</v>
      </c>
      <c r="F6" s="15" t="s">
        <v>75</v>
      </c>
      <c r="G6" s="17">
        <v>46092.0</v>
      </c>
      <c r="H6" s="15">
        <v>822.08</v>
      </c>
      <c r="I6" s="15" t="s">
        <v>39</v>
      </c>
      <c r="J6" s="15"/>
      <c r="K6" s="19" t="s">
        <v>62</v>
      </c>
      <c r="L6" s="5">
        <v>618.73875</v>
      </c>
      <c r="M6" s="5">
        <v>1.0</v>
      </c>
      <c r="N6" s="5">
        <v>1.2926</v>
      </c>
      <c r="O6" s="5">
        <f t="shared" si="1"/>
        <v>618.73875</v>
      </c>
    </row>
    <row r="7" ht="15.75" customHeight="1">
      <c r="A7" s="15" t="s">
        <v>76</v>
      </c>
      <c r="B7" s="15" t="s">
        <v>26</v>
      </c>
      <c r="C7" s="16">
        <v>46092.0</v>
      </c>
      <c r="D7" s="15">
        <v>258.0</v>
      </c>
      <c r="E7" s="15" t="s">
        <v>78</v>
      </c>
      <c r="F7" s="15" t="s">
        <v>79</v>
      </c>
      <c r="G7" s="17">
        <v>46092.0</v>
      </c>
      <c r="H7" s="15">
        <v>1272.05</v>
      </c>
      <c r="I7" s="15" t="s">
        <v>39</v>
      </c>
      <c r="J7" s="15"/>
      <c r="K7" s="19" t="s">
        <v>62</v>
      </c>
      <c r="L7" s="5">
        <v>866.23425</v>
      </c>
      <c r="M7" s="5">
        <v>1.0</v>
      </c>
      <c r="N7" s="5">
        <v>1.1815</v>
      </c>
      <c r="O7" s="5">
        <f t="shared" si="1"/>
        <v>866.23425</v>
      </c>
    </row>
    <row r="8" ht="15.75" customHeight="1">
      <c r="A8" s="7" t="s">
        <v>80</v>
      </c>
      <c r="B8" s="7" t="s">
        <v>26</v>
      </c>
      <c r="C8" s="9">
        <v>46092.0</v>
      </c>
      <c r="D8" s="7">
        <v>259.0</v>
      </c>
      <c r="E8" s="7" t="s">
        <v>81</v>
      </c>
      <c r="F8" s="7" t="s">
        <v>82</v>
      </c>
      <c r="G8" s="11">
        <v>46092.0</v>
      </c>
      <c r="H8" s="7">
        <v>4137.65</v>
      </c>
      <c r="I8" s="7" t="s">
        <v>39</v>
      </c>
      <c r="J8" s="7" t="s">
        <v>83</v>
      </c>
      <c r="K8" s="13" t="s">
        <v>84</v>
      </c>
      <c r="L8" s="14">
        <v>3868.0</v>
      </c>
      <c r="M8" s="14">
        <v>1.0</v>
      </c>
      <c r="N8" s="14">
        <v>1.4278</v>
      </c>
      <c r="O8" s="14">
        <f t="shared" si="1"/>
        <v>3868</v>
      </c>
      <c r="P8" s="14"/>
      <c r="Q8" s="14"/>
      <c r="R8" s="14"/>
      <c r="S8" s="14"/>
      <c r="T8" s="14"/>
      <c r="U8" s="14"/>
      <c r="V8" s="14"/>
      <c r="W8" s="14"/>
      <c r="X8" s="14"/>
      <c r="Y8" s="14"/>
      <c r="Z8" s="14"/>
    </row>
    <row r="9" ht="15.75" customHeight="1">
      <c r="A9" s="15" t="s">
        <v>85</v>
      </c>
      <c r="B9" s="15" t="s">
        <v>26</v>
      </c>
      <c r="C9" s="16">
        <v>46101.0</v>
      </c>
      <c r="D9" s="15">
        <v>257.0</v>
      </c>
      <c r="E9" s="15" t="s">
        <v>86</v>
      </c>
      <c r="F9" s="15" t="s">
        <v>87</v>
      </c>
      <c r="G9" s="17">
        <v>46101.0</v>
      </c>
      <c r="H9" s="15">
        <v>332.28</v>
      </c>
      <c r="I9" s="15" t="s">
        <v>39</v>
      </c>
      <c r="J9" s="15"/>
      <c r="K9" s="19" t="s">
        <v>62</v>
      </c>
      <c r="L9" s="5">
        <v>249.7208</v>
      </c>
      <c r="M9" s="5">
        <v>1.0</v>
      </c>
      <c r="N9" s="5">
        <v>1.2926</v>
      </c>
      <c r="O9" s="5">
        <f t="shared" si="1"/>
        <v>249.7208</v>
      </c>
    </row>
    <row r="10" ht="15.75" customHeight="1">
      <c r="A10" s="15" t="s">
        <v>88</v>
      </c>
      <c r="B10" s="15" t="s">
        <v>26</v>
      </c>
      <c r="C10" s="16">
        <v>46101.0</v>
      </c>
      <c r="D10" s="15">
        <v>258.0</v>
      </c>
      <c r="E10" s="15" t="s">
        <v>90</v>
      </c>
      <c r="F10" s="15"/>
      <c r="G10" s="17"/>
      <c r="H10" s="15">
        <v>4950.0</v>
      </c>
      <c r="I10" s="15"/>
      <c r="J10" s="15"/>
      <c r="K10" s="19"/>
      <c r="L10" s="5">
        <v>3395.2191</v>
      </c>
      <c r="M10" s="5">
        <v>1.0</v>
      </c>
      <c r="N10" s="5">
        <v>1.1815</v>
      </c>
      <c r="O10" s="5">
        <f t="shared" si="1"/>
        <v>3395.2191</v>
      </c>
    </row>
    <row r="11" ht="15.75" customHeight="1">
      <c r="A11" s="7" t="s">
        <v>91</v>
      </c>
      <c r="B11" s="7" t="s">
        <v>26</v>
      </c>
      <c r="C11" s="9">
        <v>46101.0</v>
      </c>
      <c r="D11" s="7">
        <v>254.0</v>
      </c>
      <c r="E11" s="7" t="s">
        <v>92</v>
      </c>
      <c r="F11" s="7"/>
      <c r="G11" s="11"/>
      <c r="H11" s="7">
        <v>640.42</v>
      </c>
      <c r="I11" s="7"/>
      <c r="J11" s="7" t="s">
        <v>93</v>
      </c>
      <c r="K11" s="13" t="s">
        <v>94</v>
      </c>
      <c r="L11" s="14">
        <v>0.0</v>
      </c>
      <c r="M11" s="14">
        <v>1.0</v>
      </c>
      <c r="N11" s="14">
        <v>1.4579</v>
      </c>
      <c r="O11" s="14">
        <f t="shared" si="1"/>
        <v>0</v>
      </c>
      <c r="P11" s="14"/>
      <c r="Q11" s="14"/>
      <c r="R11" s="14"/>
      <c r="S11" s="14"/>
      <c r="T11" s="14"/>
      <c r="U11" s="14"/>
      <c r="V11" s="14"/>
      <c r="W11" s="14"/>
      <c r="X11" s="14"/>
      <c r="Y11" s="14"/>
      <c r="Z11" s="14"/>
    </row>
    <row r="12" ht="15.75" customHeight="1">
      <c r="A12" s="15" t="s">
        <v>96</v>
      </c>
      <c r="B12" s="15" t="s">
        <v>97</v>
      </c>
      <c r="C12" s="15" t="s">
        <v>98</v>
      </c>
      <c r="D12" s="15">
        <v>123.0</v>
      </c>
      <c r="E12" s="15" t="s">
        <v>99</v>
      </c>
      <c r="F12" s="15" t="s">
        <v>100</v>
      </c>
      <c r="G12" s="17">
        <v>46172.0</v>
      </c>
      <c r="H12" s="15">
        <v>213.04</v>
      </c>
      <c r="I12" s="15" t="s">
        <v>39</v>
      </c>
      <c r="J12" s="15"/>
      <c r="K12" s="19" t="s">
        <v>62</v>
      </c>
      <c r="L12" s="5">
        <v>146.97</v>
      </c>
      <c r="M12" s="5">
        <v>1.0</v>
      </c>
      <c r="N12" s="5">
        <v>0.842</v>
      </c>
      <c r="O12" s="5">
        <f t="shared" si="1"/>
        <v>146.97</v>
      </c>
    </row>
    <row r="13" ht="15.75" customHeight="1">
      <c r="A13" s="15" t="s">
        <v>102</v>
      </c>
      <c r="B13" s="15" t="s">
        <v>97</v>
      </c>
      <c r="C13" s="15" t="s">
        <v>98</v>
      </c>
      <c r="D13" s="15">
        <v>251.0</v>
      </c>
      <c r="E13" s="15" t="s">
        <v>103</v>
      </c>
      <c r="F13" s="15" t="s">
        <v>104</v>
      </c>
      <c r="G13" s="17">
        <v>46172.0</v>
      </c>
      <c r="H13" s="15">
        <v>363.23</v>
      </c>
      <c r="I13" s="15" t="s">
        <v>39</v>
      </c>
      <c r="J13" s="15"/>
      <c r="K13" s="19" t="s">
        <v>62</v>
      </c>
      <c r="L13" s="5">
        <v>293.94</v>
      </c>
      <c r="M13" s="5">
        <v>1.0</v>
      </c>
      <c r="N13" s="5">
        <v>1.1178</v>
      </c>
      <c r="O13" s="5">
        <f t="shared" si="1"/>
        <v>293.94</v>
      </c>
    </row>
    <row r="14" ht="15.75" customHeight="1">
      <c r="A14" s="15" t="s">
        <v>105</v>
      </c>
      <c r="B14" s="15" t="s">
        <v>97</v>
      </c>
      <c r="C14" s="15" t="s">
        <v>98</v>
      </c>
      <c r="D14" s="15">
        <v>252.0</v>
      </c>
      <c r="E14" s="15" t="s">
        <v>107</v>
      </c>
      <c r="F14" s="15"/>
      <c r="G14" s="17"/>
      <c r="H14" s="15">
        <v>1842.59</v>
      </c>
      <c r="I14" s="15"/>
      <c r="J14" s="15"/>
      <c r="K14" s="19"/>
      <c r="L14" s="5">
        <v>5437.9</v>
      </c>
      <c r="M14" s="5">
        <v>1.0</v>
      </c>
      <c r="N14" s="5">
        <v>1.0351</v>
      </c>
      <c r="O14" s="5">
        <f t="shared" si="1"/>
        <v>5437.9</v>
      </c>
    </row>
    <row r="15" ht="15.75" customHeight="1">
      <c r="A15" s="15" t="s">
        <v>108</v>
      </c>
      <c r="B15" s="15" t="s">
        <v>97</v>
      </c>
      <c r="C15" s="15" t="s">
        <v>98</v>
      </c>
      <c r="D15" s="15">
        <v>255.0</v>
      </c>
      <c r="E15" s="15" t="s">
        <v>109</v>
      </c>
      <c r="F15" s="15" t="s">
        <v>110</v>
      </c>
      <c r="G15" s="17">
        <v>46172.0</v>
      </c>
      <c r="H15" s="15">
        <v>298.65</v>
      </c>
      <c r="I15" s="15" t="s">
        <v>39</v>
      </c>
      <c r="J15" s="15" t="s">
        <v>112</v>
      </c>
      <c r="K15" s="19"/>
      <c r="L15" s="5">
        <v>293.94</v>
      </c>
      <c r="M15" s="5">
        <v>1.0</v>
      </c>
      <c r="N15" s="5">
        <v>1.2936</v>
      </c>
      <c r="O15" s="5">
        <f t="shared" si="1"/>
        <v>293.94</v>
      </c>
    </row>
    <row r="16" ht="15.75" customHeight="1">
      <c r="A16" s="15" t="s">
        <v>113</v>
      </c>
      <c r="B16" s="15" t="s">
        <v>97</v>
      </c>
      <c r="C16" s="15" t="s">
        <v>114</v>
      </c>
      <c r="D16" s="15">
        <v>123.0</v>
      </c>
      <c r="E16" s="15" t="s">
        <v>115</v>
      </c>
      <c r="F16" s="15" t="s">
        <v>116</v>
      </c>
      <c r="G16" s="17">
        <v>46172.0</v>
      </c>
      <c r="H16" s="15">
        <v>213.36</v>
      </c>
      <c r="I16" s="15" t="s">
        <v>39</v>
      </c>
      <c r="J16" s="15"/>
      <c r="K16" s="19" t="s">
        <v>62</v>
      </c>
      <c r="L16" s="5">
        <v>147.19</v>
      </c>
      <c r="M16" s="5">
        <v>1.0</v>
      </c>
      <c r="N16" s="5">
        <v>0.842</v>
      </c>
      <c r="O16" s="5">
        <f t="shared" si="1"/>
        <v>147.19</v>
      </c>
    </row>
    <row r="17" ht="15.75" customHeight="1">
      <c r="A17" s="15" t="s">
        <v>117</v>
      </c>
      <c r="B17" s="15" t="s">
        <v>97</v>
      </c>
      <c r="C17" s="15" t="s">
        <v>114</v>
      </c>
      <c r="D17" s="15">
        <v>251.0</v>
      </c>
      <c r="E17" s="15" t="s">
        <v>118</v>
      </c>
      <c r="F17" s="15" t="s">
        <v>119</v>
      </c>
      <c r="G17" s="17">
        <v>46172.0</v>
      </c>
      <c r="H17" s="15">
        <v>4183.34</v>
      </c>
      <c r="I17" s="15" t="s">
        <v>39</v>
      </c>
      <c r="J17" s="15"/>
      <c r="K17" s="19" t="s">
        <v>62</v>
      </c>
      <c r="L17" s="5">
        <v>3385.29</v>
      </c>
      <c r="M17" s="5">
        <v>1.0</v>
      </c>
      <c r="N17" s="5">
        <v>1.1178</v>
      </c>
      <c r="O17" s="5">
        <f t="shared" si="1"/>
        <v>3385.29</v>
      </c>
    </row>
    <row r="18" ht="15.75" customHeight="1">
      <c r="A18" s="15" t="s">
        <v>121</v>
      </c>
      <c r="B18" s="15" t="s">
        <v>97</v>
      </c>
      <c r="C18" s="15" t="s">
        <v>114</v>
      </c>
      <c r="D18" s="15">
        <v>252.0</v>
      </c>
      <c r="E18" s="15" t="s">
        <v>122</v>
      </c>
      <c r="F18" s="15" t="s">
        <v>123</v>
      </c>
      <c r="G18" s="17">
        <v>46172.0</v>
      </c>
      <c r="H18" s="15">
        <v>2593.19</v>
      </c>
      <c r="I18" s="15" t="s">
        <v>39</v>
      </c>
      <c r="J18" s="15"/>
      <c r="K18" s="19" t="s">
        <v>62</v>
      </c>
      <c r="L18" s="5">
        <v>2060.61</v>
      </c>
      <c r="M18" s="5">
        <v>1.0</v>
      </c>
      <c r="N18" s="5">
        <v>1.0351</v>
      </c>
      <c r="O18" s="5">
        <f t="shared" si="1"/>
        <v>2060.61</v>
      </c>
    </row>
    <row r="19" ht="15.75" customHeight="1">
      <c r="A19" s="15" t="s">
        <v>124</v>
      </c>
      <c r="B19" s="15" t="s">
        <v>97</v>
      </c>
      <c r="C19" s="15" t="s">
        <v>114</v>
      </c>
      <c r="D19" s="15">
        <v>253.0</v>
      </c>
      <c r="E19" s="15" t="s">
        <v>126</v>
      </c>
      <c r="F19" s="15" t="s">
        <v>127</v>
      </c>
      <c r="G19" s="17">
        <v>46172.0</v>
      </c>
      <c r="H19" s="15">
        <v>345.08</v>
      </c>
      <c r="I19" s="15" t="s">
        <v>39</v>
      </c>
      <c r="J19" s="15"/>
      <c r="K19" s="19" t="s">
        <v>62</v>
      </c>
      <c r="L19" s="5">
        <v>294.37</v>
      </c>
      <c r="M19" s="5">
        <v>1.0</v>
      </c>
      <c r="N19" s="5">
        <v>1.1003</v>
      </c>
      <c r="O19" s="5">
        <f t="shared" si="1"/>
        <v>294.37</v>
      </c>
    </row>
    <row r="20" ht="15.75" customHeight="1">
      <c r="A20" s="7" t="s">
        <v>129</v>
      </c>
      <c r="B20" s="7" t="s">
        <v>97</v>
      </c>
      <c r="C20" s="7" t="s">
        <v>114</v>
      </c>
      <c r="D20" s="7">
        <v>254.0</v>
      </c>
      <c r="E20" s="7" t="s">
        <v>130</v>
      </c>
      <c r="F20" s="7" t="s">
        <v>131</v>
      </c>
      <c r="G20" s="11">
        <v>46172.0</v>
      </c>
      <c r="H20" s="7">
        <v>641.07</v>
      </c>
      <c r="I20" s="7" t="s">
        <v>39</v>
      </c>
      <c r="J20" s="7" t="s">
        <v>132</v>
      </c>
      <c r="K20" s="13" t="s">
        <v>133</v>
      </c>
      <c r="L20" s="14">
        <v>0.0</v>
      </c>
      <c r="M20" s="14">
        <v>1.0</v>
      </c>
      <c r="N20" s="14">
        <v>1.4579</v>
      </c>
      <c r="O20" s="14">
        <f t="shared" si="1"/>
        <v>0</v>
      </c>
      <c r="P20" s="14"/>
      <c r="Q20" s="14"/>
      <c r="R20" s="14"/>
      <c r="S20" s="14"/>
      <c r="T20" s="14"/>
      <c r="U20" s="14"/>
      <c r="V20" s="14"/>
      <c r="W20" s="14"/>
      <c r="X20" s="14"/>
      <c r="Y20" s="14"/>
      <c r="Z20" s="14"/>
    </row>
    <row r="21" ht="15.75" customHeight="1">
      <c r="A21" s="15" t="s">
        <v>138</v>
      </c>
      <c r="B21" s="15" t="s">
        <v>97</v>
      </c>
      <c r="C21" s="15" t="s">
        <v>139</v>
      </c>
      <c r="D21" s="15">
        <v>123.0</v>
      </c>
      <c r="E21" s="15" t="s">
        <v>140</v>
      </c>
      <c r="F21" s="15" t="s">
        <v>141</v>
      </c>
      <c r="G21" s="17">
        <v>46179.0</v>
      </c>
      <c r="H21" s="15">
        <v>630.97</v>
      </c>
      <c r="I21" s="15" t="s">
        <v>39</v>
      </c>
      <c r="J21" s="15"/>
      <c r="K21" s="19" t="s">
        <v>62</v>
      </c>
      <c r="L21" s="5">
        <v>434.77</v>
      </c>
      <c r="M21" s="5">
        <v>1.0</v>
      </c>
      <c r="N21" s="5">
        <v>0.842</v>
      </c>
      <c r="O21" s="5">
        <f t="shared" si="1"/>
        <v>434.77</v>
      </c>
    </row>
    <row r="22" ht="15.75" customHeight="1">
      <c r="A22" s="15" t="s">
        <v>142</v>
      </c>
      <c r="B22" s="15" t="s">
        <v>97</v>
      </c>
      <c r="C22" s="15" t="s">
        <v>139</v>
      </c>
      <c r="D22" s="15">
        <v>252.0</v>
      </c>
      <c r="E22" s="15" t="s">
        <v>143</v>
      </c>
      <c r="F22" s="15" t="s">
        <v>144</v>
      </c>
      <c r="G22" s="17">
        <v>46179.0</v>
      </c>
      <c r="H22" s="15">
        <v>547.89</v>
      </c>
      <c r="I22" s="15" t="s">
        <v>39</v>
      </c>
      <c r="J22" s="15" t="s">
        <v>145</v>
      </c>
      <c r="K22" s="19" t="s">
        <v>62</v>
      </c>
      <c r="L22" s="5">
        <v>434.77</v>
      </c>
      <c r="M22" s="5">
        <v>1.0</v>
      </c>
      <c r="N22" s="5">
        <v>1.0351</v>
      </c>
      <c r="O22" s="5">
        <f t="shared" si="1"/>
        <v>434.77</v>
      </c>
    </row>
    <row r="23" ht="15.75" customHeight="1">
      <c r="A23" s="15" t="s">
        <v>146</v>
      </c>
      <c r="B23" s="15" t="s">
        <v>97</v>
      </c>
      <c r="C23" s="15" t="s">
        <v>139</v>
      </c>
      <c r="D23" s="15">
        <v>253.0</v>
      </c>
      <c r="E23" s="15" t="s">
        <v>147</v>
      </c>
      <c r="F23" s="15" t="s">
        <v>148</v>
      </c>
      <c r="G23" s="17">
        <v>46179.0</v>
      </c>
      <c r="H23" s="15">
        <v>5628.03</v>
      </c>
      <c r="I23" s="15" t="s">
        <v>39</v>
      </c>
      <c r="J23" s="15"/>
      <c r="K23" s="19" t="s">
        <v>62</v>
      </c>
      <c r="L23" s="5">
        <v>5217.24</v>
      </c>
      <c r="M23" s="5">
        <v>1.0</v>
      </c>
      <c r="N23" s="5">
        <v>1.1003</v>
      </c>
      <c r="O23" s="5">
        <f t="shared" si="1"/>
        <v>5217.24</v>
      </c>
    </row>
    <row r="24" ht="15.75" customHeight="1">
      <c r="A24" s="7" t="s">
        <v>149</v>
      </c>
      <c r="B24" s="7" t="s">
        <v>97</v>
      </c>
      <c r="C24" s="7" t="s">
        <v>139</v>
      </c>
      <c r="D24" s="7">
        <v>254.0</v>
      </c>
      <c r="E24" s="7" t="s">
        <v>150</v>
      </c>
      <c r="F24" s="7" t="s">
        <v>151</v>
      </c>
      <c r="G24" s="11">
        <v>46179.0</v>
      </c>
      <c r="H24" s="7">
        <v>3449.36</v>
      </c>
      <c r="I24" s="7" t="s">
        <v>39</v>
      </c>
      <c r="J24" s="7" t="s">
        <v>152</v>
      </c>
      <c r="K24" s="13" t="s">
        <v>153</v>
      </c>
      <c r="L24" s="14"/>
      <c r="M24" s="14"/>
      <c r="N24" s="14"/>
      <c r="O24" s="14">
        <f t="shared" si="1"/>
        <v>0</v>
      </c>
      <c r="P24" s="14"/>
      <c r="Q24" s="14"/>
      <c r="R24" s="14"/>
      <c r="S24" s="14"/>
      <c r="T24" s="14"/>
      <c r="U24" s="14"/>
      <c r="V24" s="14"/>
      <c r="W24" s="14"/>
      <c r="X24" s="14"/>
      <c r="Y24" s="14"/>
      <c r="Z24" s="14"/>
    </row>
    <row r="25" ht="15.75" customHeight="1">
      <c r="A25" s="7" t="s">
        <v>155</v>
      </c>
      <c r="B25" s="7" t="s">
        <v>97</v>
      </c>
      <c r="C25" s="7" t="s">
        <v>139</v>
      </c>
      <c r="D25" s="7">
        <v>255.0</v>
      </c>
      <c r="E25" s="7" t="s">
        <v>156</v>
      </c>
      <c r="F25" s="7" t="s">
        <v>157</v>
      </c>
      <c r="G25" s="11">
        <v>46179.0</v>
      </c>
      <c r="H25" s="7">
        <v>2907.3</v>
      </c>
      <c r="I25" s="7" t="s">
        <v>39</v>
      </c>
      <c r="J25" s="7" t="s">
        <v>158</v>
      </c>
      <c r="K25" s="13" t="s">
        <v>159</v>
      </c>
      <c r="L25" s="14">
        <v>559.98</v>
      </c>
      <c r="M25" s="14">
        <v>1.0</v>
      </c>
      <c r="N25" s="14">
        <v>1.2936</v>
      </c>
      <c r="O25" s="14">
        <f t="shared" si="1"/>
        <v>559.98</v>
      </c>
      <c r="P25" s="14"/>
      <c r="Q25" s="14"/>
      <c r="R25" s="14"/>
      <c r="S25" s="14"/>
      <c r="T25" s="14"/>
      <c r="U25" s="14"/>
      <c r="V25" s="14"/>
      <c r="W25" s="14"/>
      <c r="X25" s="14"/>
      <c r="Y25" s="14"/>
      <c r="Z25" s="14"/>
    </row>
    <row r="26" ht="15.75" customHeight="1">
      <c r="A26" s="15" t="s">
        <v>160</v>
      </c>
      <c r="B26" s="15" t="s">
        <v>97</v>
      </c>
      <c r="C26" s="15" t="s">
        <v>161</v>
      </c>
      <c r="D26" s="15">
        <v>251.0</v>
      </c>
      <c r="E26" s="15" t="s">
        <v>162</v>
      </c>
      <c r="F26" s="15" t="s">
        <v>163</v>
      </c>
      <c r="G26" s="17">
        <v>46179.0</v>
      </c>
      <c r="H26" s="15">
        <v>2574.83</v>
      </c>
      <c r="I26" s="15" t="s">
        <v>39</v>
      </c>
      <c r="J26" s="15"/>
      <c r="K26" s="19" t="s">
        <v>62</v>
      </c>
      <c r="L26" s="5">
        <v>2080.97</v>
      </c>
      <c r="M26" s="5">
        <v>1.0</v>
      </c>
      <c r="N26" s="5">
        <v>1.1178</v>
      </c>
      <c r="O26" s="5">
        <f t="shared" si="1"/>
        <v>2080.97</v>
      </c>
    </row>
    <row r="27" ht="15.75" customHeight="1">
      <c r="A27" s="7" t="s">
        <v>164</v>
      </c>
      <c r="B27" s="7" t="s">
        <v>97</v>
      </c>
      <c r="C27" s="7" t="s">
        <v>161</v>
      </c>
      <c r="D27" s="7">
        <v>252.0</v>
      </c>
      <c r="E27" s="7" t="s">
        <v>165</v>
      </c>
      <c r="F27" s="7" t="s">
        <v>166</v>
      </c>
      <c r="G27" s="11">
        <v>46179.0</v>
      </c>
      <c r="H27" s="7">
        <v>524.42</v>
      </c>
      <c r="I27" s="7" t="s">
        <v>39</v>
      </c>
      <c r="J27" s="7"/>
      <c r="K27" s="13" t="s">
        <v>167</v>
      </c>
      <c r="L27" s="14">
        <v>50.72</v>
      </c>
      <c r="M27" s="14">
        <v>1.0</v>
      </c>
      <c r="N27" s="14">
        <v>1.0351</v>
      </c>
      <c r="O27" s="14">
        <f t="shared" si="1"/>
        <v>50.72</v>
      </c>
      <c r="P27" s="14"/>
      <c r="Q27" s="14"/>
      <c r="R27" s="14"/>
      <c r="S27" s="14"/>
      <c r="T27" s="14"/>
      <c r="U27" s="14"/>
      <c r="V27" s="14"/>
      <c r="W27" s="14"/>
      <c r="X27" s="14"/>
      <c r="Y27" s="14"/>
      <c r="Z27" s="14"/>
    </row>
    <row r="28" ht="15.75" customHeight="1">
      <c r="A28" s="15" t="s">
        <v>168</v>
      </c>
      <c r="B28" s="15" t="s">
        <v>97</v>
      </c>
      <c r="C28" s="15" t="s">
        <v>161</v>
      </c>
      <c r="D28" s="15">
        <v>253.0</v>
      </c>
      <c r="E28" s="15" t="s">
        <v>169</v>
      </c>
      <c r="F28" s="15" t="s">
        <v>170</v>
      </c>
      <c r="G28" s="17">
        <v>46179.0</v>
      </c>
      <c r="H28" s="15">
        <v>4299.77</v>
      </c>
      <c r="I28" s="15" t="s">
        <v>39</v>
      </c>
      <c r="J28" s="15"/>
      <c r="K28" s="19" t="s">
        <v>62</v>
      </c>
      <c r="L28" s="5">
        <v>3953.85</v>
      </c>
      <c r="M28" s="5">
        <v>1.0</v>
      </c>
      <c r="N28" s="5">
        <v>1.1003</v>
      </c>
      <c r="O28" s="5">
        <f t="shared" si="1"/>
        <v>3953.85</v>
      </c>
    </row>
    <row r="29" ht="15.75" customHeight="1">
      <c r="A29" s="7" t="s">
        <v>171</v>
      </c>
      <c r="B29" s="7" t="s">
        <v>97</v>
      </c>
      <c r="C29" s="7" t="s">
        <v>161</v>
      </c>
      <c r="D29" s="7">
        <v>255.0</v>
      </c>
      <c r="E29" s="7" t="s">
        <v>172</v>
      </c>
      <c r="F29" s="7" t="s">
        <v>173</v>
      </c>
      <c r="G29" s="11">
        <v>46179.0</v>
      </c>
      <c r="H29" s="7">
        <v>473.97</v>
      </c>
      <c r="I29" s="7" t="s">
        <v>39</v>
      </c>
      <c r="J29" s="7" t="s">
        <v>174</v>
      </c>
      <c r="K29" s="13" t="s">
        <v>175</v>
      </c>
      <c r="L29" s="14">
        <v>0.0</v>
      </c>
      <c r="M29" s="14">
        <v>1.0</v>
      </c>
      <c r="N29" s="14">
        <v>0.0</v>
      </c>
      <c r="O29" s="14">
        <f t="shared" si="1"/>
        <v>0</v>
      </c>
      <c r="P29" s="14"/>
      <c r="Q29" s="14"/>
      <c r="R29" s="14"/>
      <c r="S29" s="14"/>
      <c r="T29" s="14"/>
      <c r="U29" s="14"/>
      <c r="V29" s="14"/>
      <c r="W29" s="14"/>
      <c r="X29" s="14"/>
      <c r="Y29" s="14"/>
      <c r="Z29" s="14"/>
    </row>
    <row r="30" ht="15.75" customHeight="1">
      <c r="A30" s="7" t="s">
        <v>176</v>
      </c>
      <c r="B30" s="7" t="s">
        <v>97</v>
      </c>
      <c r="C30" s="7" t="s">
        <v>161</v>
      </c>
      <c r="D30" s="7">
        <v>256.0</v>
      </c>
      <c r="E30" s="7" t="s">
        <v>177</v>
      </c>
      <c r="F30" s="7" t="s">
        <v>178</v>
      </c>
      <c r="G30" s="11">
        <v>46179.0</v>
      </c>
      <c r="H30" s="7">
        <v>381.36</v>
      </c>
      <c r="I30" s="7" t="s">
        <v>39</v>
      </c>
      <c r="J30" s="7" t="s">
        <v>179</v>
      </c>
      <c r="K30" s="13" t="s">
        <v>180</v>
      </c>
      <c r="L30" s="14">
        <v>0.0</v>
      </c>
      <c r="M30" s="14">
        <v>1.0</v>
      </c>
      <c r="N30" s="14">
        <v>0.0</v>
      </c>
      <c r="O30" s="14">
        <f t="shared" si="1"/>
        <v>0</v>
      </c>
      <c r="P30" s="14"/>
      <c r="Q30" s="14"/>
      <c r="R30" s="14"/>
      <c r="S30" s="14"/>
      <c r="T30" s="14"/>
      <c r="U30" s="14"/>
      <c r="V30" s="14"/>
      <c r="W30" s="14"/>
      <c r="X30" s="14"/>
      <c r="Y30" s="14"/>
      <c r="Z30" s="14"/>
    </row>
    <row r="31" ht="15.75" customHeight="1">
      <c r="A31" s="15" t="s">
        <v>181</v>
      </c>
      <c r="B31" s="15" t="s">
        <v>97</v>
      </c>
      <c r="C31" s="15" t="s">
        <v>161</v>
      </c>
      <c r="D31" s="15">
        <v>257.0</v>
      </c>
      <c r="E31" s="15" t="s">
        <v>182</v>
      </c>
      <c r="F31" s="15" t="s">
        <v>183</v>
      </c>
      <c r="G31" s="17">
        <v>46179.0</v>
      </c>
      <c r="H31" s="15">
        <v>1400.74</v>
      </c>
      <c r="I31" s="15" t="s">
        <v>39</v>
      </c>
      <c r="J31" s="15"/>
      <c r="K31" s="19" t="s">
        <v>62</v>
      </c>
      <c r="L31" s="5">
        <v>1044.6268</v>
      </c>
      <c r="M31" s="5">
        <v>1.0</v>
      </c>
      <c r="N31" s="5">
        <v>1.2926</v>
      </c>
      <c r="O31" s="5">
        <f t="shared" si="1"/>
        <v>1044.6268</v>
      </c>
    </row>
    <row r="32" ht="15.75" customHeight="1">
      <c r="A32" s="15" t="s">
        <v>184</v>
      </c>
      <c r="B32" s="15" t="s">
        <v>97</v>
      </c>
      <c r="C32" s="15" t="s">
        <v>161</v>
      </c>
      <c r="D32" s="15">
        <v>258.0</v>
      </c>
      <c r="E32" s="15" t="s">
        <v>185</v>
      </c>
      <c r="F32" s="15" t="s">
        <v>186</v>
      </c>
      <c r="G32" s="17">
        <v>46179.0</v>
      </c>
      <c r="H32" s="15">
        <v>521.3</v>
      </c>
      <c r="I32" s="15" t="s">
        <v>39</v>
      </c>
      <c r="J32" s="15"/>
      <c r="K32" s="19" t="s">
        <v>62</v>
      </c>
      <c r="L32" s="5">
        <v>355.0702</v>
      </c>
      <c r="M32" s="5">
        <v>1.0</v>
      </c>
      <c r="N32" s="5">
        <v>1.1815</v>
      </c>
      <c r="O32" s="5">
        <f t="shared" si="1"/>
        <v>355.0702</v>
      </c>
    </row>
    <row r="33" ht="15.75" customHeight="1">
      <c r="A33" s="15" t="s">
        <v>187</v>
      </c>
      <c r="B33" s="15" t="s">
        <v>188</v>
      </c>
      <c r="C33" s="15" t="s">
        <v>189</v>
      </c>
      <c r="D33" s="15">
        <v>123.0</v>
      </c>
      <c r="E33" s="15" t="s">
        <v>190</v>
      </c>
      <c r="F33" s="15" t="s">
        <v>191</v>
      </c>
      <c r="G33" s="17">
        <v>45898.0</v>
      </c>
      <c r="H33" s="15">
        <v>6503.83</v>
      </c>
      <c r="I33" s="15" t="s">
        <v>192</v>
      </c>
      <c r="J33" s="15"/>
      <c r="K33" s="19" t="s">
        <v>62</v>
      </c>
      <c r="L33" s="5">
        <v>5487.679</v>
      </c>
      <c r="M33" s="5">
        <v>1.0</v>
      </c>
      <c r="N33" s="5">
        <v>0.842</v>
      </c>
      <c r="O33" s="5">
        <f t="shared" si="1"/>
        <v>5487.679</v>
      </c>
    </row>
    <row r="34" ht="15.75" customHeight="1">
      <c r="A34" s="15" t="s">
        <v>193</v>
      </c>
      <c r="B34" s="15" t="s">
        <v>188</v>
      </c>
      <c r="C34" s="15" t="s">
        <v>189</v>
      </c>
      <c r="D34" s="15">
        <v>123.0</v>
      </c>
      <c r="E34" s="15" t="s">
        <v>194</v>
      </c>
      <c r="F34" s="15" t="s">
        <v>195</v>
      </c>
      <c r="G34" s="17">
        <v>45916.0</v>
      </c>
      <c r="H34" s="15">
        <v>4128.26</v>
      </c>
      <c r="I34" s="15" t="s">
        <v>192</v>
      </c>
      <c r="J34" s="15"/>
      <c r="K34" s="19" t="s">
        <v>62</v>
      </c>
      <c r="L34" s="5">
        <v>3479.9939</v>
      </c>
      <c r="M34" s="5">
        <v>1.0</v>
      </c>
      <c r="N34" s="5">
        <v>0.842</v>
      </c>
      <c r="O34" s="5">
        <f t="shared" si="1"/>
        <v>3479.9939</v>
      </c>
    </row>
    <row r="35" ht="15.75" customHeight="1">
      <c r="A35" s="15" t="s">
        <v>196</v>
      </c>
      <c r="B35" s="15" t="s">
        <v>188</v>
      </c>
      <c r="C35" s="15" t="s">
        <v>189</v>
      </c>
      <c r="D35" s="15">
        <v>254.0</v>
      </c>
      <c r="E35" s="15" t="s">
        <v>197</v>
      </c>
      <c r="F35" s="15" t="s">
        <v>198</v>
      </c>
      <c r="G35" s="17">
        <v>45916.0</v>
      </c>
      <c r="H35" s="15">
        <v>2616.49</v>
      </c>
      <c r="I35" s="15" t="s">
        <v>192</v>
      </c>
      <c r="J35" s="15"/>
      <c r="K35" s="19" t="s">
        <v>62</v>
      </c>
      <c r="L35" s="5">
        <v>2551.9955</v>
      </c>
      <c r="M35" s="5">
        <v>1.0</v>
      </c>
      <c r="N35" s="5">
        <v>1.4579</v>
      </c>
      <c r="O35" s="5">
        <f t="shared" si="1"/>
        <v>2551.9955</v>
      </c>
    </row>
    <row r="36" ht="15.75" customHeight="1">
      <c r="A36" s="15" t="s">
        <v>199</v>
      </c>
      <c r="B36" s="15" t="s">
        <v>188</v>
      </c>
      <c r="C36" s="15" t="s">
        <v>189</v>
      </c>
      <c r="D36" s="15">
        <v>123.0</v>
      </c>
      <c r="E36" s="15" t="s">
        <v>200</v>
      </c>
      <c r="F36" s="15" t="s">
        <v>201</v>
      </c>
      <c r="G36" s="17">
        <v>45918.0</v>
      </c>
      <c r="H36" s="15">
        <v>2546.1</v>
      </c>
      <c r="I36" s="15" t="s">
        <v>192</v>
      </c>
      <c r="J36" s="15"/>
      <c r="K36" s="19" t="s">
        <v>62</v>
      </c>
      <c r="L36" s="5">
        <v>2142.34433</v>
      </c>
      <c r="M36" s="5">
        <v>1.0</v>
      </c>
      <c r="N36" s="5">
        <v>0.842</v>
      </c>
      <c r="O36" s="5">
        <f t="shared" si="1"/>
        <v>2142.34433</v>
      </c>
    </row>
    <row r="37" ht="15.75" customHeight="1">
      <c r="A37" s="15" t="s">
        <v>202</v>
      </c>
      <c r="B37" s="15" t="s">
        <v>188</v>
      </c>
      <c r="C37" s="15" t="s">
        <v>189</v>
      </c>
      <c r="D37" s="15">
        <v>254.0</v>
      </c>
      <c r="E37" s="15" t="s">
        <v>203</v>
      </c>
      <c r="F37" s="15" t="s">
        <v>204</v>
      </c>
      <c r="G37" s="17">
        <v>45918.0</v>
      </c>
      <c r="H37" s="15">
        <v>5869.64</v>
      </c>
      <c r="I37" s="15" t="s">
        <v>192</v>
      </c>
      <c r="J37" s="15"/>
      <c r="K37" s="19" t="s">
        <v>62</v>
      </c>
      <c r="L37" s="5">
        <v>5712.91823</v>
      </c>
      <c r="M37" s="5">
        <v>1.0</v>
      </c>
      <c r="N37" s="5">
        <v>1.4579</v>
      </c>
      <c r="O37" s="5">
        <f t="shared" si="1"/>
        <v>5712.91823</v>
      </c>
    </row>
    <row r="38" ht="15.75" customHeight="1">
      <c r="A38" s="15" t="s">
        <v>205</v>
      </c>
      <c r="B38" s="15" t="s">
        <v>188</v>
      </c>
      <c r="C38" s="15" t="s">
        <v>189</v>
      </c>
      <c r="D38" s="15">
        <v>254.0</v>
      </c>
      <c r="E38" s="15" t="s">
        <v>206</v>
      </c>
      <c r="F38" s="15" t="s">
        <v>207</v>
      </c>
      <c r="G38" s="17">
        <v>45923.0</v>
      </c>
      <c r="H38" s="15">
        <v>568.85</v>
      </c>
      <c r="I38" s="15" t="s">
        <v>192</v>
      </c>
      <c r="J38" s="15"/>
      <c r="K38" s="19" t="s">
        <v>62</v>
      </c>
      <c r="L38" s="5">
        <v>554.0779</v>
      </c>
      <c r="M38" s="5">
        <v>1.0</v>
      </c>
      <c r="N38" s="5">
        <v>1.4579</v>
      </c>
      <c r="O38" s="5">
        <f t="shared" si="1"/>
        <v>554.0779</v>
      </c>
    </row>
    <row r="39" ht="15.75" customHeight="1">
      <c r="A39" s="15" t="s">
        <v>208</v>
      </c>
      <c r="B39" s="15" t="s">
        <v>188</v>
      </c>
      <c r="C39" s="15" t="s">
        <v>189</v>
      </c>
      <c r="D39" s="15">
        <v>255.0</v>
      </c>
      <c r="E39" s="15" t="s">
        <v>209</v>
      </c>
      <c r="F39" s="15" t="s">
        <v>210</v>
      </c>
      <c r="G39" s="17">
        <v>45923.0</v>
      </c>
      <c r="H39" s="15">
        <v>4466.25</v>
      </c>
      <c r="I39" s="15" t="s">
        <v>192</v>
      </c>
      <c r="J39" s="15"/>
      <c r="K39" s="19" t="s">
        <v>62</v>
      </c>
      <c r="L39" s="5">
        <v>6094.857</v>
      </c>
      <c r="M39" s="5">
        <v>1.0</v>
      </c>
      <c r="N39" s="5">
        <v>1.2936</v>
      </c>
      <c r="O39" s="5">
        <f t="shared" si="1"/>
        <v>6094.857</v>
      </c>
    </row>
    <row r="40" ht="15.75" customHeight="1">
      <c r="A40" s="15" t="s">
        <v>211</v>
      </c>
      <c r="B40" s="15" t="s">
        <v>188</v>
      </c>
      <c r="C40" s="15" t="s">
        <v>189</v>
      </c>
      <c r="D40" s="15">
        <v>254.0</v>
      </c>
      <c r="E40" s="15" t="s">
        <v>212</v>
      </c>
      <c r="F40" s="15" t="s">
        <v>213</v>
      </c>
      <c r="G40" s="17">
        <v>45929.0</v>
      </c>
      <c r="H40" s="15">
        <v>2181.11</v>
      </c>
      <c r="I40" s="15" t="s">
        <v>192</v>
      </c>
      <c r="J40" s="15"/>
      <c r="K40" s="19" t="s">
        <v>62</v>
      </c>
      <c r="L40" s="5">
        <v>2130.1407</v>
      </c>
      <c r="M40" s="5">
        <v>1.0</v>
      </c>
      <c r="N40" s="5">
        <v>1.4579</v>
      </c>
      <c r="O40" s="5">
        <f t="shared" si="1"/>
        <v>2130.1407</v>
      </c>
    </row>
    <row r="41" ht="15.75" customHeight="1">
      <c r="A41" s="15" t="s">
        <v>214</v>
      </c>
      <c r="B41" s="15" t="s">
        <v>188</v>
      </c>
      <c r="C41" s="15" t="s">
        <v>189</v>
      </c>
      <c r="D41" s="15">
        <v>255.0</v>
      </c>
      <c r="E41" s="15" t="s">
        <v>215</v>
      </c>
      <c r="F41" s="15" t="s">
        <v>216</v>
      </c>
      <c r="G41" s="17">
        <v>45929.0</v>
      </c>
      <c r="H41" s="15">
        <v>2227.87</v>
      </c>
      <c r="I41" s="15" t="s">
        <v>192</v>
      </c>
      <c r="J41" s="15"/>
      <c r="K41" s="19" t="s">
        <v>62</v>
      </c>
      <c r="L41" s="5">
        <v>3408.2252</v>
      </c>
      <c r="M41" s="5">
        <v>1.0</v>
      </c>
      <c r="N41" s="5">
        <v>1.2936</v>
      </c>
      <c r="O41" s="5">
        <f t="shared" si="1"/>
        <v>3408.2252</v>
      </c>
    </row>
    <row r="42" ht="15.75" customHeight="1">
      <c r="A42" s="15" t="s">
        <v>217</v>
      </c>
      <c r="B42" s="15" t="s">
        <v>218</v>
      </c>
      <c r="C42" s="15" t="s">
        <v>189</v>
      </c>
      <c r="D42" s="15">
        <v>254.0</v>
      </c>
      <c r="E42" s="15" t="s">
        <v>219</v>
      </c>
      <c r="F42" s="15" t="s">
        <v>220</v>
      </c>
      <c r="G42" s="17">
        <v>45771.0</v>
      </c>
      <c r="H42" s="15">
        <v>434.06</v>
      </c>
      <c r="I42" s="15" t="s">
        <v>192</v>
      </c>
      <c r="J42" s="15"/>
      <c r="K42" s="19" t="s">
        <v>62</v>
      </c>
      <c r="L42" s="5">
        <v>363.1</v>
      </c>
      <c r="M42" s="5">
        <v>1.0</v>
      </c>
      <c r="N42" s="5">
        <v>1.4579</v>
      </c>
      <c r="O42" s="5">
        <f t="shared" si="1"/>
        <v>363.1</v>
      </c>
    </row>
    <row r="43" ht="15.75" customHeight="1">
      <c r="A43" s="15" t="s">
        <v>221</v>
      </c>
      <c r="B43" s="15" t="s">
        <v>222</v>
      </c>
      <c r="C43" s="15" t="s">
        <v>189</v>
      </c>
      <c r="D43" s="15">
        <v>123.0</v>
      </c>
      <c r="E43" s="15" t="s">
        <v>223</v>
      </c>
      <c r="F43" s="15" t="s">
        <v>224</v>
      </c>
      <c r="G43" s="17">
        <v>45763.0</v>
      </c>
      <c r="H43" s="15">
        <v>371.07</v>
      </c>
      <c r="I43" s="15" t="s">
        <v>192</v>
      </c>
      <c r="J43" s="15"/>
      <c r="K43" s="19" t="s">
        <v>62</v>
      </c>
      <c r="L43" s="5">
        <v>294.2</v>
      </c>
      <c r="M43" s="5">
        <v>1.0</v>
      </c>
      <c r="N43" s="5">
        <v>0.842</v>
      </c>
      <c r="O43" s="5">
        <f t="shared" si="1"/>
        <v>294.2</v>
      </c>
    </row>
    <row r="44" ht="15.75" customHeight="1">
      <c r="A44" s="15" t="s">
        <v>225</v>
      </c>
      <c r="B44" s="15" t="s">
        <v>226</v>
      </c>
      <c r="C44" s="15" t="s">
        <v>189</v>
      </c>
      <c r="D44" s="15">
        <v>251.0</v>
      </c>
      <c r="E44" s="15" t="s">
        <v>227</v>
      </c>
      <c r="F44" s="15" t="s">
        <v>228</v>
      </c>
      <c r="G44" s="17">
        <v>45763.0</v>
      </c>
      <c r="H44" s="15">
        <v>461.21</v>
      </c>
      <c r="I44" s="15" t="s">
        <v>192</v>
      </c>
      <c r="J44" s="15"/>
      <c r="K44" s="19" t="s">
        <v>62</v>
      </c>
      <c r="L44" s="5">
        <v>405.4</v>
      </c>
      <c r="M44" s="5">
        <v>1.0</v>
      </c>
      <c r="N44" s="5">
        <v>1.1178</v>
      </c>
      <c r="O44" s="5">
        <f t="shared" si="1"/>
        <v>405.4</v>
      </c>
    </row>
    <row r="45" ht="15.75" customHeight="1">
      <c r="A45" s="15" t="s">
        <v>229</v>
      </c>
      <c r="B45" s="15" t="s">
        <v>226</v>
      </c>
      <c r="C45" s="15" t="s">
        <v>189</v>
      </c>
      <c r="D45" s="15">
        <v>253.0</v>
      </c>
      <c r="E45" s="15" t="s">
        <v>230</v>
      </c>
      <c r="F45" s="15" t="s">
        <v>231</v>
      </c>
      <c r="G45" s="17">
        <v>45763.0</v>
      </c>
      <c r="H45" s="15">
        <v>388.62</v>
      </c>
      <c r="I45" s="15" t="s">
        <v>192</v>
      </c>
      <c r="J45" s="15"/>
      <c r="K45" s="19" t="s">
        <v>62</v>
      </c>
      <c r="L45" s="5">
        <v>323.751</v>
      </c>
      <c r="M45" s="5">
        <v>1.0</v>
      </c>
      <c r="N45" s="5">
        <v>1.1003</v>
      </c>
      <c r="O45" s="5">
        <f t="shared" si="1"/>
        <v>323.751</v>
      </c>
    </row>
    <row r="46" ht="15.75" customHeight="1">
      <c r="A46" s="15" t="s">
        <v>232</v>
      </c>
      <c r="B46" s="15" t="s">
        <v>233</v>
      </c>
      <c r="C46" s="15" t="s">
        <v>189</v>
      </c>
      <c r="D46" s="15">
        <v>256.0</v>
      </c>
      <c r="E46" s="15" t="s">
        <v>234</v>
      </c>
      <c r="F46" s="15" t="s">
        <v>235</v>
      </c>
      <c r="G46" s="17">
        <v>45915.0</v>
      </c>
      <c r="H46" s="15">
        <v>12117.99</v>
      </c>
      <c r="I46" s="15" t="s">
        <v>192</v>
      </c>
      <c r="J46" s="15"/>
      <c r="K46" s="19" t="s">
        <v>62</v>
      </c>
      <c r="L46" s="5">
        <v>8166.167</v>
      </c>
      <c r="M46" s="5">
        <v>1.0</v>
      </c>
      <c r="N46" s="5">
        <v>1.2918</v>
      </c>
      <c r="O46" s="5">
        <f t="shared" si="1"/>
        <v>8166.167</v>
      </c>
    </row>
    <row r="47" ht="15.75" customHeight="1">
      <c r="A47" s="15" t="s">
        <v>236</v>
      </c>
      <c r="B47" s="15" t="s">
        <v>233</v>
      </c>
      <c r="C47" s="15" t="s">
        <v>189</v>
      </c>
      <c r="D47" s="15">
        <v>254.0</v>
      </c>
      <c r="E47" s="15" t="s">
        <v>234</v>
      </c>
      <c r="F47" s="15"/>
      <c r="G47" s="17">
        <v>45915.0</v>
      </c>
      <c r="H47" s="15"/>
      <c r="I47" s="15" t="s">
        <v>192</v>
      </c>
      <c r="J47" s="15" t="s">
        <v>237</v>
      </c>
      <c r="K47" s="19"/>
      <c r="L47" s="5">
        <v>113.77</v>
      </c>
      <c r="M47" s="5">
        <v>1.0</v>
      </c>
      <c r="N47" s="5">
        <v>1.4579</v>
      </c>
      <c r="O47" s="5">
        <f t="shared" si="1"/>
        <v>113.77</v>
      </c>
    </row>
    <row r="48" ht="15.75" customHeight="1">
      <c r="A48" s="15" t="s">
        <v>238</v>
      </c>
      <c r="B48" s="15" t="s">
        <v>239</v>
      </c>
      <c r="C48" s="15" t="s">
        <v>189</v>
      </c>
      <c r="D48" s="15">
        <v>123.0</v>
      </c>
      <c r="E48" s="15" t="s">
        <v>240</v>
      </c>
      <c r="F48" s="15" t="s">
        <v>241</v>
      </c>
      <c r="G48" s="17">
        <v>45777.0</v>
      </c>
      <c r="H48" s="15">
        <v>1760.25</v>
      </c>
      <c r="I48" s="15" t="s">
        <v>192</v>
      </c>
      <c r="J48" s="15"/>
      <c r="K48" s="19" t="s">
        <v>62</v>
      </c>
      <c r="L48" s="5">
        <v>1316.5</v>
      </c>
      <c r="M48" s="5">
        <v>1.0</v>
      </c>
      <c r="N48" s="5">
        <v>0.842</v>
      </c>
      <c r="O48" s="5">
        <f t="shared" si="1"/>
        <v>1316.5</v>
      </c>
    </row>
    <row r="49" ht="15.75" customHeight="1">
      <c r="A49" s="15" t="s">
        <v>242</v>
      </c>
      <c r="B49" s="15" t="s">
        <v>239</v>
      </c>
      <c r="C49" s="15" t="s">
        <v>189</v>
      </c>
      <c r="D49" s="15">
        <v>256.0</v>
      </c>
      <c r="E49" s="15" t="s">
        <v>243</v>
      </c>
      <c r="F49" s="15" t="s">
        <v>244</v>
      </c>
      <c r="G49" s="17">
        <v>45847.0</v>
      </c>
      <c r="H49" s="15">
        <v>1084.6</v>
      </c>
      <c r="I49" s="15" t="s">
        <v>192</v>
      </c>
      <c r="J49" s="15"/>
      <c r="K49" s="19" t="s">
        <v>62</v>
      </c>
      <c r="L49" s="5">
        <v>968.485</v>
      </c>
      <c r="M49" s="5">
        <v>1.0</v>
      </c>
      <c r="N49" s="5">
        <v>1.2918</v>
      </c>
      <c r="O49" s="5">
        <f t="shared" si="1"/>
        <v>968.485</v>
      </c>
    </row>
    <row r="50" ht="15.75" customHeight="1">
      <c r="A50" s="15" t="s">
        <v>245</v>
      </c>
      <c r="B50" s="15"/>
      <c r="C50" s="15"/>
      <c r="D50" s="15">
        <v>123.0</v>
      </c>
      <c r="E50" s="15" t="s">
        <v>246</v>
      </c>
      <c r="F50" s="15" t="s">
        <v>247</v>
      </c>
      <c r="G50" s="17">
        <v>45762.0</v>
      </c>
      <c r="H50" s="15">
        <v>2596.65</v>
      </c>
      <c r="I50" s="15" t="s">
        <v>248</v>
      </c>
      <c r="J50" s="15" t="s">
        <v>249</v>
      </c>
      <c r="K50" s="19"/>
      <c r="L50" s="5">
        <v>16184.0</v>
      </c>
      <c r="M50" s="5">
        <v>0.09836875926841325</v>
      </c>
      <c r="N50" s="5">
        <v>0.8418</v>
      </c>
      <c r="O50" s="5">
        <f t="shared" si="1"/>
        <v>1592</v>
      </c>
    </row>
    <row r="51" ht="15.75" customHeight="1">
      <c r="A51" s="15" t="s">
        <v>250</v>
      </c>
      <c r="B51" s="15"/>
      <c r="C51" s="15"/>
      <c r="D51" s="15">
        <v>251.0</v>
      </c>
      <c r="E51" s="15" t="s">
        <v>251</v>
      </c>
      <c r="F51" s="15" t="s">
        <v>252</v>
      </c>
      <c r="G51" s="17">
        <v>45762.0</v>
      </c>
      <c r="H51" s="15">
        <v>921.15</v>
      </c>
      <c r="I51" s="15" t="s">
        <v>248</v>
      </c>
      <c r="J51" s="15" t="s">
        <v>249</v>
      </c>
      <c r="K51" s="19"/>
      <c r="L51" s="5">
        <v>12516.0</v>
      </c>
      <c r="M51" s="5">
        <v>0.055848513902205174</v>
      </c>
      <c r="N51" s="5">
        <v>1.1178</v>
      </c>
      <c r="O51" s="5">
        <f t="shared" si="1"/>
        <v>699</v>
      </c>
    </row>
    <row r="52" ht="15.75" customHeight="1">
      <c r="A52" s="15"/>
      <c r="B52" s="15"/>
      <c r="C52" s="15"/>
      <c r="D52" s="15"/>
      <c r="E52" s="15"/>
      <c r="F52" s="15"/>
      <c r="G52" s="15"/>
      <c r="H52" s="15"/>
      <c r="I52" s="15"/>
      <c r="J52" s="15"/>
      <c r="K52" s="19"/>
    </row>
    <row r="53" ht="15.75" customHeight="1">
      <c r="A53" s="15"/>
      <c r="B53" s="15"/>
      <c r="C53" s="15"/>
      <c r="D53" s="15"/>
      <c r="E53" s="15"/>
      <c r="F53" s="15"/>
      <c r="G53" s="15"/>
      <c r="H53" s="15"/>
      <c r="I53" s="15"/>
      <c r="J53" s="15"/>
      <c r="K53" s="19" t="s">
        <v>62</v>
      </c>
    </row>
    <row r="54" ht="15.75" customHeight="1">
      <c r="A54" s="15"/>
      <c r="B54" s="15"/>
      <c r="C54" s="15"/>
      <c r="D54" s="15"/>
      <c r="E54" s="15"/>
      <c r="F54" s="15"/>
      <c r="G54" s="15"/>
      <c r="H54" s="15"/>
      <c r="I54" s="15"/>
      <c r="J54" s="15"/>
      <c r="K54" s="19"/>
    </row>
    <row r="55" ht="15.75" customHeight="1">
      <c r="A55" s="1"/>
      <c r="B55" s="15"/>
      <c r="C55" s="15"/>
      <c r="D55" s="15"/>
      <c r="E55" s="15"/>
      <c r="F55" s="15"/>
      <c r="G55" s="15"/>
      <c r="H55" s="15"/>
      <c r="I55" s="15"/>
      <c r="J55" s="15"/>
      <c r="K55" s="19"/>
    </row>
    <row r="56" ht="15.75" customHeight="1">
      <c r="A56" s="2"/>
      <c r="B56" s="2"/>
      <c r="C56" s="2"/>
      <c r="D56" s="2"/>
      <c r="E56" s="15"/>
      <c r="F56" s="15"/>
      <c r="G56" s="15"/>
      <c r="H56" s="15"/>
      <c r="I56" s="15"/>
      <c r="J56" s="15"/>
      <c r="K56" s="19"/>
    </row>
    <row r="57" ht="15.75" customHeight="1">
      <c r="A57" s="15"/>
      <c r="B57" s="25"/>
      <c r="C57" s="25"/>
      <c r="D57" s="15"/>
      <c r="E57" s="15"/>
      <c r="F57" s="15"/>
      <c r="G57" s="15"/>
      <c r="H57" s="15"/>
      <c r="I57" s="15"/>
      <c r="J57" s="15"/>
      <c r="K57" s="19"/>
    </row>
    <row r="58" ht="15.75" customHeight="1">
      <c r="A58" s="15"/>
      <c r="B58" s="25"/>
      <c r="C58" s="25"/>
      <c r="D58" s="15"/>
      <c r="E58" s="15"/>
      <c r="F58" s="15"/>
      <c r="G58" s="15"/>
      <c r="H58" s="15"/>
      <c r="I58" s="15"/>
      <c r="J58" s="15"/>
      <c r="K58" s="19"/>
    </row>
    <row r="59" ht="15.75" customHeight="1">
      <c r="A59" s="15"/>
      <c r="B59" s="25"/>
      <c r="C59" s="25"/>
      <c r="D59" s="15"/>
      <c r="E59" s="15"/>
      <c r="F59" s="15"/>
      <c r="G59" s="15"/>
      <c r="H59" s="15"/>
      <c r="I59" s="15"/>
      <c r="J59" s="15"/>
      <c r="K59" s="19"/>
    </row>
    <row r="60" ht="15.75" customHeight="1">
      <c r="A60" s="15"/>
      <c r="B60" s="25"/>
      <c r="C60" s="25"/>
      <c r="D60" s="15"/>
      <c r="E60" s="15"/>
      <c r="F60" s="15"/>
      <c r="G60" s="15"/>
      <c r="H60" s="15"/>
      <c r="I60" s="15"/>
      <c r="J60" s="15"/>
      <c r="K60" s="19"/>
    </row>
    <row r="61" ht="15.75" customHeight="1">
      <c r="A61" s="15"/>
      <c r="B61" s="25"/>
      <c r="C61" s="25"/>
      <c r="D61" s="15"/>
      <c r="E61" s="15"/>
      <c r="F61" s="15"/>
      <c r="G61" s="15"/>
      <c r="H61" s="15"/>
      <c r="I61" s="15"/>
      <c r="J61" s="15"/>
      <c r="K61" s="19"/>
    </row>
    <row r="62" ht="15.75" customHeight="1">
      <c r="A62" s="1"/>
      <c r="B62" s="26"/>
      <c r="C62" s="26"/>
      <c r="D62" s="1"/>
      <c r="E62" s="15"/>
      <c r="F62" s="15"/>
      <c r="G62" s="15"/>
      <c r="H62" s="15"/>
      <c r="I62" s="15"/>
      <c r="J62" s="15"/>
      <c r="K62" s="19"/>
    </row>
    <row r="63" ht="15.75" customHeight="1">
      <c r="K63" s="27"/>
    </row>
    <row r="64" ht="15.75" customHeight="1">
      <c r="K64" s="27"/>
    </row>
    <row r="65" ht="15.75" customHeight="1">
      <c r="A65" s="15"/>
      <c r="B65" s="15"/>
      <c r="C65" s="15"/>
      <c r="D65" s="15"/>
      <c r="E65" s="15"/>
      <c r="F65" s="15"/>
      <c r="G65" s="15"/>
      <c r="H65" s="15"/>
      <c r="I65" s="15"/>
      <c r="J65" s="15"/>
      <c r="K65" s="19"/>
    </row>
    <row r="66" ht="15.75" customHeight="1">
      <c r="A66" s="15"/>
      <c r="B66" s="15"/>
      <c r="C66" s="15"/>
      <c r="D66" s="15"/>
      <c r="E66" s="15"/>
      <c r="F66" s="15"/>
      <c r="G66" s="15"/>
      <c r="H66" s="15"/>
      <c r="I66" s="15"/>
      <c r="J66" s="15"/>
      <c r="K66" s="19"/>
    </row>
    <row r="67" ht="15.75" customHeight="1">
      <c r="A67" s="15"/>
      <c r="B67" s="15"/>
      <c r="C67" s="15"/>
      <c r="D67" s="15"/>
      <c r="E67" s="15"/>
      <c r="F67" s="15"/>
      <c r="G67" s="15"/>
      <c r="H67" s="15"/>
      <c r="I67" s="15"/>
      <c r="J67" s="15"/>
      <c r="K67" s="19"/>
    </row>
    <row r="68" ht="15.75" customHeight="1">
      <c r="A68" s="15"/>
      <c r="B68" s="15"/>
      <c r="C68" s="15"/>
      <c r="D68" s="15"/>
      <c r="E68" s="15"/>
      <c r="F68" s="15"/>
      <c r="G68" s="15"/>
      <c r="H68" s="15"/>
      <c r="I68" s="15"/>
      <c r="J68" s="15"/>
      <c r="K68" s="19"/>
    </row>
    <row r="69" ht="15.75" customHeight="1">
      <c r="A69" s="15"/>
      <c r="B69" s="15"/>
      <c r="C69" s="15"/>
      <c r="D69" s="15"/>
      <c r="E69" s="15"/>
      <c r="F69" s="15"/>
      <c r="G69" s="15"/>
      <c r="H69" s="15"/>
      <c r="I69" s="15"/>
      <c r="J69" s="15"/>
      <c r="K69" s="19"/>
    </row>
    <row r="70" ht="15.75" customHeight="1">
      <c r="A70" s="15"/>
      <c r="B70" s="15"/>
      <c r="C70" s="15"/>
      <c r="D70" s="15"/>
      <c r="E70" s="15"/>
      <c r="F70" s="15"/>
      <c r="G70" s="15"/>
      <c r="H70" s="15"/>
      <c r="I70" s="15"/>
      <c r="J70" s="15"/>
      <c r="K70" s="19"/>
    </row>
    <row r="71" ht="15.75" customHeight="1">
      <c r="A71" s="15"/>
      <c r="B71" s="15"/>
      <c r="C71" s="15"/>
      <c r="D71" s="15"/>
      <c r="E71" s="15"/>
      <c r="F71" s="15"/>
      <c r="G71" s="15"/>
      <c r="H71" s="15"/>
      <c r="I71" s="15"/>
      <c r="J71" s="15"/>
      <c r="K71" s="19"/>
    </row>
    <row r="72" ht="15.75" customHeight="1">
      <c r="K72" s="27"/>
    </row>
    <row r="73" ht="15.75" customHeight="1">
      <c r="K73" s="27"/>
    </row>
    <row r="74" ht="15.75" customHeight="1">
      <c r="K74" s="27"/>
    </row>
    <row r="75" ht="15.75" customHeight="1">
      <c r="K75" s="27"/>
    </row>
    <row r="76" ht="15.75" customHeight="1">
      <c r="K76" s="27"/>
    </row>
    <row r="77" ht="15.75" customHeight="1">
      <c r="K77" s="27"/>
    </row>
    <row r="78" ht="15.75" customHeight="1">
      <c r="K78" s="27"/>
    </row>
    <row r="79" ht="15.75" customHeight="1">
      <c r="K79" s="27"/>
    </row>
    <row r="80" ht="15.75" customHeight="1">
      <c r="K80" s="27"/>
    </row>
    <row r="81" ht="15.75" customHeight="1">
      <c r="K81" s="27"/>
    </row>
    <row r="82" ht="15.75" customHeight="1">
      <c r="K82" s="27"/>
    </row>
    <row r="83" ht="15.75" customHeight="1">
      <c r="K83" s="27"/>
    </row>
    <row r="84" ht="15.75" customHeight="1">
      <c r="K84" s="27"/>
    </row>
    <row r="85" ht="15.75" customHeight="1">
      <c r="K85" s="27"/>
    </row>
    <row r="86" ht="15.75" customHeight="1">
      <c r="K86" s="27"/>
    </row>
    <row r="87" ht="15.75" customHeight="1">
      <c r="K87" s="27"/>
    </row>
    <row r="88" ht="15.75" customHeight="1">
      <c r="K88" s="27"/>
    </row>
    <row r="89" ht="15.75" customHeight="1">
      <c r="K89" s="27"/>
    </row>
    <row r="90" ht="15.75" customHeight="1">
      <c r="K90" s="27"/>
    </row>
    <row r="91" ht="15.75" customHeight="1">
      <c r="K91" s="27"/>
    </row>
    <row r="92" ht="15.75" customHeight="1">
      <c r="K92" s="27"/>
    </row>
    <row r="93" ht="15.75" customHeight="1">
      <c r="K93" s="27"/>
    </row>
    <row r="94" ht="15.75" customHeight="1">
      <c r="K94" s="27"/>
    </row>
    <row r="95" ht="15.75" customHeight="1">
      <c r="K95" s="27"/>
    </row>
    <row r="96" ht="15.75" customHeight="1">
      <c r="K96" s="27"/>
    </row>
    <row r="97" ht="15.75" customHeight="1">
      <c r="K97" s="27"/>
    </row>
    <row r="98" ht="15.75" customHeight="1">
      <c r="K98" s="27"/>
    </row>
    <row r="99" ht="15.75" customHeight="1">
      <c r="K99" s="27"/>
    </row>
    <row r="100" ht="15.75" customHeight="1">
      <c r="K100" s="27"/>
    </row>
    <row r="101" ht="15.75" customHeight="1">
      <c r="K101" s="27"/>
    </row>
    <row r="102" ht="15.75" customHeight="1">
      <c r="K102" s="27"/>
    </row>
    <row r="103" ht="15.75" customHeight="1">
      <c r="K103" s="27"/>
    </row>
    <row r="104" ht="15.75" customHeight="1">
      <c r="K104" s="27"/>
    </row>
    <row r="105" ht="15.75" customHeight="1">
      <c r="K105" s="27"/>
    </row>
    <row r="106" ht="15.75" customHeight="1">
      <c r="K106" s="27"/>
    </row>
    <row r="107" ht="15.75" customHeight="1">
      <c r="K107" s="27"/>
    </row>
    <row r="108" ht="15.75" customHeight="1">
      <c r="K108" s="27"/>
    </row>
    <row r="109" ht="15.75" customHeight="1">
      <c r="K109" s="27"/>
    </row>
    <row r="110" ht="15.75" customHeight="1">
      <c r="K110" s="27"/>
    </row>
    <row r="111" ht="15.75" customHeight="1">
      <c r="K111" s="27"/>
    </row>
    <row r="112" ht="15.75" customHeight="1">
      <c r="K112" s="27"/>
    </row>
    <row r="113" ht="15.75" customHeight="1">
      <c r="K113" s="27"/>
    </row>
    <row r="114" ht="15.75" customHeight="1">
      <c r="K114" s="27"/>
    </row>
    <row r="115" ht="15.75" customHeight="1">
      <c r="K115" s="27"/>
    </row>
    <row r="116" ht="15.75" customHeight="1">
      <c r="K116" s="27"/>
    </row>
    <row r="117" ht="15.75" customHeight="1">
      <c r="K117" s="27"/>
    </row>
    <row r="118" ht="15.75" customHeight="1">
      <c r="K118" s="27"/>
    </row>
    <row r="119" ht="15.75" customHeight="1">
      <c r="K119" s="27"/>
    </row>
    <row r="120" ht="15.75" customHeight="1">
      <c r="K120" s="27"/>
    </row>
    <row r="121" ht="15.75" customHeight="1">
      <c r="K121" s="27"/>
    </row>
    <row r="122" ht="15.75" customHeight="1">
      <c r="K122" s="27"/>
    </row>
    <row r="123" ht="15.75" customHeight="1">
      <c r="K123" s="27"/>
    </row>
    <row r="124" ht="15.75" customHeight="1">
      <c r="K124" s="27"/>
    </row>
    <row r="125" ht="15.75" customHeight="1">
      <c r="K125" s="27"/>
    </row>
    <row r="126" ht="15.75" customHeight="1">
      <c r="K126" s="27"/>
    </row>
    <row r="127" ht="15.75" customHeight="1">
      <c r="K127" s="27"/>
    </row>
    <row r="128" ht="15.75" customHeight="1">
      <c r="K128" s="27"/>
    </row>
    <row r="129" ht="15.75" customHeight="1">
      <c r="K129" s="27"/>
    </row>
    <row r="130" ht="15.75" customHeight="1">
      <c r="K130" s="27"/>
    </row>
    <row r="131" ht="15.75" customHeight="1">
      <c r="K131" s="27"/>
    </row>
    <row r="132" ht="15.75" customHeight="1">
      <c r="K132" s="27"/>
    </row>
    <row r="133" ht="15.75" customHeight="1">
      <c r="K133" s="27"/>
    </row>
    <row r="134" ht="15.75" customHeight="1">
      <c r="K134" s="27"/>
    </row>
    <row r="135" ht="15.75" customHeight="1">
      <c r="K135" s="27"/>
    </row>
    <row r="136" ht="15.75" customHeight="1">
      <c r="K136" s="27"/>
    </row>
    <row r="137" ht="15.75" customHeight="1">
      <c r="K137" s="27"/>
    </row>
    <row r="138" ht="15.75" customHeight="1">
      <c r="K138" s="27"/>
    </row>
    <row r="139" ht="15.75" customHeight="1">
      <c r="K139" s="27"/>
    </row>
    <row r="140" ht="15.75" customHeight="1">
      <c r="K140" s="27"/>
    </row>
    <row r="141" ht="15.75" customHeight="1">
      <c r="K141" s="27"/>
    </row>
    <row r="142" ht="15.75" customHeight="1">
      <c r="K142" s="27"/>
    </row>
    <row r="143" ht="15.75" customHeight="1">
      <c r="K143" s="27"/>
    </row>
    <row r="144" ht="15.75" customHeight="1">
      <c r="K144" s="27"/>
    </row>
    <row r="145" ht="15.75" customHeight="1">
      <c r="K145" s="27"/>
    </row>
    <row r="146" ht="15.75" customHeight="1">
      <c r="K146" s="27"/>
    </row>
    <row r="147" ht="15.75" customHeight="1">
      <c r="K147" s="27"/>
    </row>
    <row r="148" ht="15.75" customHeight="1">
      <c r="K148" s="27"/>
    </row>
    <row r="149" ht="15.75" customHeight="1">
      <c r="K149" s="27"/>
    </row>
    <row r="150" ht="15.75" customHeight="1">
      <c r="K150" s="27"/>
    </row>
    <row r="151" ht="15.75" customHeight="1">
      <c r="K151" s="27"/>
    </row>
    <row r="152" ht="15.75" customHeight="1">
      <c r="K152" s="27"/>
    </row>
    <row r="153" ht="15.75" customHeight="1">
      <c r="K153" s="27"/>
    </row>
    <row r="154" ht="15.75" customHeight="1">
      <c r="K154" s="27"/>
    </row>
    <row r="155" ht="15.75" customHeight="1">
      <c r="K155" s="27"/>
    </row>
    <row r="156" ht="15.75" customHeight="1">
      <c r="K156" s="27"/>
    </row>
    <row r="157" ht="15.75" customHeight="1">
      <c r="K157" s="27"/>
    </row>
    <row r="158" ht="15.75" customHeight="1">
      <c r="K158" s="27"/>
    </row>
    <row r="159" ht="15.75" customHeight="1">
      <c r="K159" s="27"/>
    </row>
    <row r="160" ht="15.75" customHeight="1">
      <c r="K160" s="27"/>
    </row>
    <row r="161" ht="15.75" customHeight="1">
      <c r="K161" s="27"/>
    </row>
    <row r="162" ht="15.75" customHeight="1">
      <c r="K162" s="27"/>
    </row>
    <row r="163" ht="15.75" customHeight="1">
      <c r="K163" s="27"/>
    </row>
    <row r="164" ht="15.75" customHeight="1">
      <c r="K164" s="27"/>
    </row>
    <row r="165" ht="15.75" customHeight="1">
      <c r="K165" s="27"/>
    </row>
    <row r="166" ht="15.75" customHeight="1">
      <c r="K166" s="27"/>
    </row>
    <row r="167" ht="15.75" customHeight="1">
      <c r="K167" s="27"/>
    </row>
    <row r="168" ht="15.75" customHeight="1">
      <c r="K168" s="27"/>
    </row>
    <row r="169" ht="15.75" customHeight="1">
      <c r="K169" s="27"/>
    </row>
    <row r="170" ht="15.75" customHeight="1">
      <c r="K170" s="27"/>
    </row>
    <row r="171" ht="15.75" customHeight="1">
      <c r="K171" s="27"/>
    </row>
    <row r="172" ht="15.75" customHeight="1">
      <c r="K172" s="27"/>
    </row>
    <row r="173" ht="15.75" customHeight="1">
      <c r="K173" s="27"/>
    </row>
    <row r="174" ht="15.75" customHeight="1">
      <c r="K174" s="27"/>
    </row>
    <row r="175" ht="15.75" customHeight="1">
      <c r="K175" s="27"/>
    </row>
    <row r="176" ht="15.75" customHeight="1">
      <c r="K176" s="27"/>
    </row>
    <row r="177" ht="15.75" customHeight="1">
      <c r="K177" s="27"/>
    </row>
    <row r="178" ht="15.75" customHeight="1">
      <c r="K178" s="27"/>
    </row>
    <row r="179" ht="15.75" customHeight="1">
      <c r="K179" s="27"/>
    </row>
    <row r="180" ht="15.75" customHeight="1">
      <c r="K180" s="27"/>
    </row>
    <row r="181" ht="15.75" customHeight="1">
      <c r="K181" s="27"/>
    </row>
    <row r="182" ht="15.75" customHeight="1">
      <c r="K182" s="27"/>
    </row>
    <row r="183" ht="15.75" customHeight="1">
      <c r="K183" s="27"/>
    </row>
    <row r="184" ht="15.75" customHeight="1">
      <c r="K184" s="27"/>
    </row>
    <row r="185" ht="15.75" customHeight="1">
      <c r="K185" s="27"/>
    </row>
    <row r="186" ht="15.75" customHeight="1">
      <c r="K186" s="27"/>
    </row>
    <row r="187" ht="15.75" customHeight="1">
      <c r="K187" s="27"/>
    </row>
    <row r="188" ht="15.75" customHeight="1">
      <c r="K188" s="27"/>
    </row>
    <row r="189" ht="15.75" customHeight="1">
      <c r="K189" s="27"/>
    </row>
    <row r="190" ht="15.75" customHeight="1">
      <c r="K190" s="27"/>
    </row>
    <row r="191" ht="15.75" customHeight="1">
      <c r="K191" s="27"/>
    </row>
    <row r="192" ht="15.75" customHeight="1">
      <c r="K192" s="27"/>
    </row>
    <row r="193" ht="15.75" customHeight="1">
      <c r="K193" s="27"/>
    </row>
    <row r="194" ht="15.75" customHeight="1">
      <c r="K194" s="27"/>
    </row>
    <row r="195" ht="15.75" customHeight="1">
      <c r="K195" s="27"/>
    </row>
    <row r="196" ht="15.75" customHeight="1">
      <c r="K196" s="27"/>
    </row>
    <row r="197" ht="15.75" customHeight="1">
      <c r="K197" s="27"/>
    </row>
    <row r="198" ht="15.75" customHeight="1">
      <c r="K198" s="27"/>
    </row>
    <row r="199" ht="15.75" customHeight="1">
      <c r="K199" s="27"/>
    </row>
    <row r="200" ht="15.75" customHeight="1">
      <c r="K200" s="27"/>
    </row>
    <row r="201" ht="15.75" customHeight="1">
      <c r="K201" s="27"/>
    </row>
    <row r="202" ht="15.75" customHeight="1">
      <c r="K202" s="27"/>
    </row>
    <row r="203" ht="15.75" customHeight="1">
      <c r="K203" s="27"/>
    </row>
    <row r="204" ht="15.75" customHeight="1">
      <c r="K204" s="27"/>
    </row>
    <row r="205" ht="15.75" customHeight="1">
      <c r="K205" s="27"/>
    </row>
    <row r="206" ht="15.75" customHeight="1">
      <c r="K206" s="27"/>
    </row>
    <row r="207" ht="15.75" customHeight="1">
      <c r="K207" s="27"/>
    </row>
    <row r="208" ht="15.75" customHeight="1">
      <c r="K208" s="27"/>
    </row>
    <row r="209" ht="15.75" customHeight="1">
      <c r="K209" s="27"/>
    </row>
    <row r="210" ht="15.75" customHeight="1">
      <c r="K210" s="27"/>
    </row>
    <row r="211" ht="15.75" customHeight="1">
      <c r="K211" s="27"/>
    </row>
    <row r="212" ht="15.75" customHeight="1">
      <c r="K212" s="27"/>
    </row>
    <row r="213" ht="15.75" customHeight="1">
      <c r="K213" s="27"/>
    </row>
    <row r="214" ht="15.75" customHeight="1">
      <c r="K214" s="27"/>
    </row>
    <row r="215" ht="15.75" customHeight="1">
      <c r="K215" s="27"/>
    </row>
    <row r="216" ht="15.75" customHeight="1">
      <c r="K216" s="27"/>
    </row>
    <row r="217" ht="15.75" customHeight="1">
      <c r="K217" s="27"/>
    </row>
    <row r="218" ht="15.75" customHeight="1">
      <c r="K218" s="27"/>
    </row>
    <row r="219" ht="15.75" customHeight="1">
      <c r="K219" s="27"/>
    </row>
    <row r="220" ht="15.75" customHeight="1">
      <c r="K220" s="27"/>
    </row>
    <row r="221" ht="15.75" customHeight="1">
      <c r="K221" s="27"/>
    </row>
    <row r="222" ht="15.75" customHeight="1">
      <c r="K222" s="27"/>
    </row>
    <row r="223" ht="15.75" customHeight="1">
      <c r="K223" s="27"/>
    </row>
    <row r="224" ht="15.75" customHeight="1">
      <c r="K224" s="27"/>
    </row>
    <row r="225" ht="15.75" customHeight="1">
      <c r="K225" s="27"/>
    </row>
    <row r="226" ht="15.75" customHeight="1">
      <c r="K226" s="27"/>
    </row>
    <row r="227" ht="15.75" customHeight="1">
      <c r="K227" s="27"/>
    </row>
    <row r="228" ht="15.75" customHeight="1">
      <c r="K228" s="27"/>
    </row>
    <row r="229" ht="15.75" customHeight="1">
      <c r="K229" s="27"/>
    </row>
    <row r="230" ht="15.75" customHeight="1">
      <c r="K230" s="27"/>
    </row>
    <row r="231" ht="15.75" customHeight="1">
      <c r="K231" s="27"/>
    </row>
    <row r="232" ht="15.75" customHeight="1">
      <c r="K232" s="27"/>
    </row>
    <row r="233" ht="15.75" customHeight="1">
      <c r="K233" s="27"/>
    </row>
    <row r="234" ht="15.75" customHeight="1">
      <c r="K234" s="27"/>
    </row>
    <row r="235" ht="15.75" customHeight="1">
      <c r="K235" s="27"/>
    </row>
    <row r="236" ht="15.75" customHeight="1">
      <c r="K236" s="27"/>
    </row>
    <row r="237" ht="15.75" customHeight="1">
      <c r="K237" s="27"/>
    </row>
    <row r="238" ht="15.75" customHeight="1">
      <c r="K238" s="27"/>
    </row>
    <row r="239" ht="15.75" customHeight="1">
      <c r="K239" s="27"/>
    </row>
    <row r="240" ht="15.75" customHeight="1">
      <c r="K240" s="27"/>
    </row>
    <row r="241" ht="15.75" customHeight="1">
      <c r="K241" s="27"/>
    </row>
    <row r="242" ht="15.75" customHeight="1">
      <c r="K242" s="27"/>
    </row>
    <row r="243" ht="15.75" customHeight="1">
      <c r="K243" s="27"/>
    </row>
    <row r="244" ht="15.75" customHeight="1">
      <c r="K244" s="27"/>
    </row>
    <row r="245" ht="15.75" customHeight="1">
      <c r="K245" s="27"/>
    </row>
    <row r="246" ht="15.75" customHeight="1">
      <c r="K246" s="27"/>
    </row>
    <row r="247" ht="15.75" customHeight="1">
      <c r="K247" s="27"/>
    </row>
    <row r="248" ht="15.75" customHeight="1">
      <c r="K248" s="27"/>
    </row>
    <row r="249" ht="15.75" customHeight="1">
      <c r="K249" s="27"/>
    </row>
    <row r="250" ht="15.75" customHeight="1">
      <c r="K250" s="27"/>
    </row>
    <row r="251" ht="15.75" customHeight="1">
      <c r="K251" s="27"/>
    </row>
    <row r="252" ht="15.75" customHeight="1">
      <c r="K252" s="27"/>
    </row>
    <row r="253" ht="15.75" customHeight="1">
      <c r="K253" s="27"/>
    </row>
    <row r="254" ht="15.75" customHeight="1">
      <c r="K254" s="27"/>
    </row>
    <row r="255" ht="15.75" customHeight="1">
      <c r="K255" s="27"/>
    </row>
    <row r="256" ht="15.75" customHeight="1">
      <c r="K256" s="27"/>
    </row>
    <row r="257" ht="15.75" customHeight="1">
      <c r="K257" s="27"/>
    </row>
    <row r="258" ht="15.75" customHeight="1">
      <c r="K258" s="27"/>
    </row>
    <row r="259" ht="15.75" customHeight="1">
      <c r="K259" s="27"/>
    </row>
    <row r="260" ht="15.75" customHeight="1">
      <c r="K260" s="27"/>
    </row>
    <row r="261" ht="15.75" customHeight="1">
      <c r="K261" s="27"/>
    </row>
    <row r="262" ht="15.75" customHeight="1">
      <c r="K262" s="27"/>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0"/>
    <col customWidth="1" min="2" max="2" width="23.88"/>
    <col customWidth="1" min="3" max="3" width="32.13"/>
    <col customWidth="1" min="4" max="4" width="17.25"/>
    <col customWidth="1" min="5" max="6" width="12.63"/>
    <col customWidth="1" min="7" max="7" width="28.5"/>
  </cols>
  <sheetData>
    <row r="1" ht="15.75" customHeight="1">
      <c r="A1" s="4" t="s">
        <v>15</v>
      </c>
      <c r="B1" s="4" t="s">
        <v>21</v>
      </c>
      <c r="C1" s="4" t="s">
        <v>22</v>
      </c>
      <c r="D1" s="6" t="s">
        <v>23</v>
      </c>
      <c r="E1" s="4" t="s">
        <v>25</v>
      </c>
      <c r="F1" s="4" t="s">
        <v>27</v>
      </c>
      <c r="G1" s="4" t="s">
        <v>29</v>
      </c>
    </row>
    <row r="2" ht="15.75" customHeight="1">
      <c r="A2" s="10" t="s">
        <v>31</v>
      </c>
      <c r="B2" s="12">
        <v>16184.0</v>
      </c>
      <c r="C2" s="12">
        <f>SUMIF(Removals!$D:$D,VALUE(SUBSTITUTE($A2,"PP","")),Removals!$O:$O)</f>
        <v>15041.64723</v>
      </c>
      <c r="D2" s="18">
        <f t="shared" ref="D2:D9" si="1">B2-C2</f>
        <v>1142.35277</v>
      </c>
      <c r="E2" s="20">
        <v>0.842</v>
      </c>
      <c r="F2" s="12">
        <f t="shared" ref="F2:F9" si="2">B2*E2</f>
        <v>13626.928</v>
      </c>
      <c r="G2" s="12">
        <f t="shared" ref="G2:G9" si="3">IF(D2&gt;0,D2*E2,0)</f>
        <v>961.8610323</v>
      </c>
    </row>
    <row r="3" ht="15.75" customHeight="1">
      <c r="A3" s="10" t="s">
        <v>66</v>
      </c>
      <c r="B3" s="12">
        <v>12516.3</v>
      </c>
      <c r="C3" s="12">
        <f>SUMIF(Removals!$D:$D,VALUE(SUBSTITUTE($A3,"PP","")),Removals!$O:$O)</f>
        <v>6864.6</v>
      </c>
      <c r="D3" s="18">
        <f t="shared" si="1"/>
        <v>5651.7</v>
      </c>
      <c r="E3" s="20">
        <v>1.1178</v>
      </c>
      <c r="F3" s="12">
        <f t="shared" si="2"/>
        <v>13990.72014</v>
      </c>
      <c r="G3" s="12">
        <f t="shared" si="3"/>
        <v>6317.47026</v>
      </c>
    </row>
    <row r="4" ht="15.75" customHeight="1">
      <c r="A4" s="10" t="s">
        <v>72</v>
      </c>
      <c r="B4" s="12">
        <v>7984.0</v>
      </c>
      <c r="C4" s="12">
        <f>SUMIF(Removals!$D:$D,VALUE(SUBSTITUTE($A4,"PP","")),Removals!$O:$O)</f>
        <v>7984</v>
      </c>
      <c r="D4" s="18">
        <f t="shared" si="1"/>
        <v>0</v>
      </c>
      <c r="E4" s="20">
        <v>1.0351</v>
      </c>
      <c r="F4" s="12">
        <f t="shared" si="2"/>
        <v>8264.2384</v>
      </c>
      <c r="G4" s="12">
        <f t="shared" si="3"/>
        <v>0</v>
      </c>
    </row>
    <row r="5" ht="15.75" customHeight="1">
      <c r="A5" s="10" t="s">
        <v>77</v>
      </c>
      <c r="B5" s="12">
        <v>16144.6</v>
      </c>
      <c r="C5" s="12">
        <f>SUMIF(Removals!$D:$D,VALUE(SUBSTITUTE($A5,"PP","")),Removals!$O:$O)</f>
        <v>9789.211</v>
      </c>
      <c r="D5" s="18">
        <f t="shared" si="1"/>
        <v>6355.389</v>
      </c>
      <c r="E5" s="20">
        <v>1.1003</v>
      </c>
      <c r="F5" s="12">
        <f t="shared" si="2"/>
        <v>17763.90338</v>
      </c>
      <c r="G5" s="12">
        <f t="shared" si="3"/>
        <v>6992.834517</v>
      </c>
    </row>
    <row r="6" ht="15.75" customHeight="1">
      <c r="A6" s="10" t="s">
        <v>89</v>
      </c>
      <c r="B6" s="12">
        <v>11426.0</v>
      </c>
      <c r="C6" s="12">
        <f>SUMIF(Removals!$D:$D,VALUE(SUBSTITUTE($A6,"PP","")),Removals!$O:$O)</f>
        <v>11426.00233</v>
      </c>
      <c r="D6" s="18">
        <f t="shared" si="1"/>
        <v>-0.002330000001</v>
      </c>
      <c r="E6" s="20">
        <v>1.4579</v>
      </c>
      <c r="F6" s="12">
        <f t="shared" si="2"/>
        <v>16657.9654</v>
      </c>
      <c r="G6" s="12">
        <f t="shared" si="3"/>
        <v>0</v>
      </c>
    </row>
    <row r="7" ht="15.75" customHeight="1">
      <c r="A7" s="10" t="s">
        <v>95</v>
      </c>
      <c r="B7" s="12">
        <v>10357.0</v>
      </c>
      <c r="C7" s="12">
        <f>SUMIF(Removals!$D:$D,VALUE(SUBSTITUTE($A7,"PP","")),Removals!$O:$O)</f>
        <v>10357.0022</v>
      </c>
      <c r="D7" s="18">
        <f t="shared" si="1"/>
        <v>-0.002199999999</v>
      </c>
      <c r="E7" s="20">
        <v>1.2936</v>
      </c>
      <c r="F7" s="12">
        <f t="shared" si="2"/>
        <v>13397.8152</v>
      </c>
      <c r="G7" s="12">
        <f t="shared" si="3"/>
        <v>0</v>
      </c>
    </row>
    <row r="8" ht="15.75" customHeight="1">
      <c r="A8" s="10" t="s">
        <v>101</v>
      </c>
      <c r="B8" s="12">
        <v>10309.0</v>
      </c>
      <c r="C8" s="12">
        <f>SUMIF(Removals!$D:$D,VALUE(SUBSTITUTE($A8,"PP","")),Removals!$O:$O)</f>
        <v>10309.002</v>
      </c>
      <c r="D8" s="18">
        <f t="shared" si="1"/>
        <v>-0.002</v>
      </c>
      <c r="E8" s="20">
        <v>1.2918</v>
      </c>
      <c r="F8" s="12">
        <f t="shared" si="2"/>
        <v>13317.1662</v>
      </c>
      <c r="G8" s="12">
        <f t="shared" si="3"/>
        <v>0</v>
      </c>
    </row>
    <row r="9" ht="15.75" customHeight="1">
      <c r="A9" s="10" t="s">
        <v>106</v>
      </c>
      <c r="B9" s="12">
        <v>3868.0</v>
      </c>
      <c r="C9" s="12">
        <f>SUMIF(Removals!$D:$D,VALUE(SUBSTITUTE($A9,"PP","")),Removals!$O:$O)</f>
        <v>3868</v>
      </c>
      <c r="D9" s="18">
        <f t="shared" si="1"/>
        <v>0</v>
      </c>
      <c r="E9" s="20">
        <v>1.4278</v>
      </c>
      <c r="F9" s="12">
        <f t="shared" si="2"/>
        <v>5522.7304</v>
      </c>
      <c r="G9" s="12">
        <f t="shared" si="3"/>
        <v>0</v>
      </c>
    </row>
    <row r="10" ht="15.75" customHeight="1">
      <c r="A10" s="4" t="s">
        <v>111</v>
      </c>
      <c r="B10" s="21">
        <f t="shared" ref="B10:D10" si="4">SUM(B2:B9)</f>
        <v>88788.9</v>
      </c>
      <c r="C10" s="21">
        <f t="shared" si="4"/>
        <v>75639.46476</v>
      </c>
      <c r="D10" s="21">
        <f t="shared" si="4"/>
        <v>13149.43524</v>
      </c>
      <c r="E10" s="4"/>
      <c r="F10" s="21">
        <f t="shared" ref="F10:G10" si="5">SUM(F2:F9)</f>
        <v>102541.4671</v>
      </c>
      <c r="G10" s="21">
        <f t="shared" si="5"/>
        <v>14272.16581</v>
      </c>
    </row>
    <row r="11" ht="15.75" customHeight="1">
      <c r="A11" s="4" t="s">
        <v>120</v>
      </c>
      <c r="B11" s="4"/>
      <c r="C11" s="4"/>
      <c r="D11" s="4"/>
      <c r="E11" s="4"/>
      <c r="F11" s="4"/>
      <c r="G11" s="4"/>
    </row>
    <row r="12" ht="15.75" customHeight="1">
      <c r="A12" s="4"/>
      <c r="B12" s="4"/>
      <c r="C12" s="4"/>
      <c r="D12" s="4"/>
      <c r="E12" s="4"/>
      <c r="F12" s="4"/>
      <c r="G12" s="4"/>
    </row>
    <row r="13" ht="15.75" customHeight="1">
      <c r="A13" s="4"/>
      <c r="B13" s="10" t="s">
        <v>125</v>
      </c>
      <c r="C13" s="4"/>
      <c r="D13" s="4"/>
      <c r="E13" s="4"/>
      <c r="F13" s="22" t="s">
        <v>128</v>
      </c>
      <c r="G13" s="23">
        <f>SUM(G2:G9)</f>
        <v>14272.16581</v>
      </c>
    </row>
    <row r="14" ht="15.75" customHeight="1"/>
    <row r="15" ht="15.75" customHeight="1"/>
    <row r="16" ht="15.75" customHeight="1"/>
    <row r="17" ht="15.75" customHeight="1"/>
    <row r="18" ht="15.75" customHeight="1">
      <c r="A18" s="3" t="s">
        <v>134</v>
      </c>
      <c r="B18" s="3" t="s">
        <v>135</v>
      </c>
      <c r="C18" s="3" t="s">
        <v>136</v>
      </c>
      <c r="D18" s="3" t="s">
        <v>137</v>
      </c>
    </row>
    <row r="19" ht="15.75" customHeight="1">
      <c r="A19" s="5" t="s">
        <v>60</v>
      </c>
      <c r="B19" s="24">
        <v>6135.0</v>
      </c>
      <c r="C19" s="24">
        <f>D19-B19</f>
        <v>8137.165809</v>
      </c>
      <c r="D19" s="24">
        <f>G13</f>
        <v>14272.16581</v>
      </c>
    </row>
    <row r="20" ht="15.75" customHeight="1">
      <c r="A20" s="5" t="s">
        <v>34</v>
      </c>
      <c r="B20" s="24">
        <v>5000.0</v>
      </c>
      <c r="C20" s="24">
        <f t="shared" ref="C20:C21" si="6">C19-B20</f>
        <v>3137.165809</v>
      </c>
      <c r="D20" s="24"/>
    </row>
    <row r="21" ht="15.75" customHeight="1">
      <c r="A21" s="5" t="s">
        <v>107</v>
      </c>
      <c r="B21" s="24">
        <f>D19-B19-B20</f>
        <v>3137.165809</v>
      </c>
      <c r="C21" s="24">
        <f t="shared" si="6"/>
        <v>0</v>
      </c>
      <c r="D21" s="24"/>
    </row>
    <row r="22" ht="15.75" customHeight="1">
      <c r="B22" s="24"/>
      <c r="C22" s="24"/>
      <c r="D22" s="24"/>
    </row>
    <row r="23" ht="15.75" customHeight="1">
      <c r="B23" s="24"/>
      <c r="C23" s="24"/>
      <c r="D23" s="24"/>
    </row>
    <row r="24" ht="15.75" customHeight="1"/>
    <row r="25" ht="15.75" customHeight="1"/>
    <row r="26" ht="15.75" customHeight="1"/>
    <row r="27" ht="15.75" customHeight="1"/>
    <row r="28" ht="15.75" customHeight="1"/>
    <row r="29" ht="15.75" customHeight="1">
      <c r="F29" s="5" t="s">
        <v>154</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88"/>
    <col customWidth="1" min="2" max="2" width="14.25"/>
    <col customWidth="1" min="3" max="3" width="19.13"/>
    <col customWidth="1" min="4" max="6" width="12.63"/>
  </cols>
  <sheetData>
    <row r="1" ht="15.75" customHeight="1">
      <c r="A1" s="3" t="s">
        <v>17</v>
      </c>
      <c r="B1" s="3" t="s">
        <v>18</v>
      </c>
      <c r="C1" s="3" t="s">
        <v>19</v>
      </c>
    </row>
    <row r="2" ht="15.75" customHeight="1">
      <c r="A2" s="5" t="s">
        <v>20</v>
      </c>
      <c r="B2" s="5">
        <v>123.0</v>
      </c>
      <c r="C2" s="8" t="s">
        <v>24</v>
      </c>
    </row>
    <row r="3" ht="15.75" customHeight="1">
      <c r="A3" s="5" t="s">
        <v>28</v>
      </c>
      <c r="B3" s="5">
        <v>251.0</v>
      </c>
      <c r="C3" s="8" t="s">
        <v>30</v>
      </c>
    </row>
    <row r="4" ht="15.75" customHeight="1">
      <c r="A4" s="5" t="s">
        <v>32</v>
      </c>
      <c r="B4" s="5">
        <v>252.0</v>
      </c>
      <c r="C4" s="8" t="s">
        <v>33</v>
      </c>
    </row>
    <row r="5" ht="15.75" customHeight="1">
      <c r="A5" s="5" t="s">
        <v>36</v>
      </c>
      <c r="B5" s="5">
        <v>253.0</v>
      </c>
      <c r="C5" s="8" t="s">
        <v>37</v>
      </c>
    </row>
    <row r="6" ht="15.75" customHeight="1">
      <c r="A6" s="5" t="s">
        <v>38</v>
      </c>
      <c r="B6" s="5">
        <v>254.0</v>
      </c>
      <c r="C6" s="8" t="s">
        <v>40</v>
      </c>
    </row>
    <row r="7" ht="15.75" customHeight="1">
      <c r="A7" s="5" t="s">
        <v>43</v>
      </c>
      <c r="B7" s="5">
        <v>255.0</v>
      </c>
      <c r="C7" s="8" t="s">
        <v>44</v>
      </c>
    </row>
    <row r="8" ht="15.75" customHeight="1">
      <c r="A8" s="5" t="s">
        <v>45</v>
      </c>
      <c r="B8" s="5">
        <v>256.0</v>
      </c>
      <c r="C8" s="8" t="s">
        <v>46</v>
      </c>
    </row>
    <row r="9" ht="15.75" customHeight="1">
      <c r="A9" s="5" t="s">
        <v>47</v>
      </c>
      <c r="B9" s="5">
        <v>257.0</v>
      </c>
      <c r="C9" s="8" t="s">
        <v>48</v>
      </c>
    </row>
    <row r="10" ht="15.75" customHeight="1">
      <c r="A10" s="5" t="s">
        <v>49</v>
      </c>
      <c r="B10" s="5">
        <v>258.0</v>
      </c>
      <c r="C10" s="8" t="s">
        <v>50</v>
      </c>
    </row>
    <row r="11" ht="15.75" customHeight="1">
      <c r="A11" s="5" t="s">
        <v>51</v>
      </c>
      <c r="B11" s="5">
        <v>259.0</v>
      </c>
      <c r="C11" s="8" t="s">
        <v>52</v>
      </c>
    </row>
    <row r="12" ht="15.75" customHeight="1">
      <c r="A12" s="5" t="s">
        <v>53</v>
      </c>
      <c r="B12" s="5">
        <v>2510.0</v>
      </c>
      <c r="C12" s="8" t="s">
        <v>54</v>
      </c>
    </row>
    <row r="13" ht="15.75" customHeight="1">
      <c r="A13" s="5" t="s">
        <v>55</v>
      </c>
      <c r="B13" s="5">
        <v>2511.0</v>
      </c>
      <c r="C13" s="8" t="s">
        <v>56</v>
      </c>
    </row>
    <row r="14" ht="15.75" customHeight="1">
      <c r="A14" s="5" t="s">
        <v>57</v>
      </c>
      <c r="B14" s="5">
        <v>2512.0</v>
      </c>
      <c r="C14" s="8" t="s">
        <v>58</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