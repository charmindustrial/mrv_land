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Kerry" sheetId="5" r:id="rId9"/>
    <sheet state="visible" name="QOWV" sheetId="6" r:id="rId10"/>
    <sheet state="visible" name="WODO Shipments &amp; EE Allocation" sheetId="7" r:id="rId11"/>
    <sheet state="visible" name="QOWV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32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46">
      <text>
        <t xml:space="preserve">Standard empty weight (KL192 = mean+1SD = 29,510 lb) substituted per Trailer Standard Empty Weight methodology (rig mismatch between full/empty ticket). See VVB Guidance.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Deferred June-W2 QOWV (batch INJ-06-2026-W2): production + testing done in June; C content (9.20%, SGS SR26-03726, sample 6-2026-W2-QOWV) received after the June RP closed, so this batch is reported in the July RP via this W1 ops-notes QOWV tab. Distinct from the July-W2 QOWV batch (INJ-20260709, C% 8.4%).</t>
      </text>
    </comment>
  </commentList>
</comments>
</file>

<file path=xl/sharedStrings.xml><?xml version="1.0" encoding="utf-8"?>
<sst xmlns="http://schemas.openxmlformats.org/spreadsheetml/2006/main" count="478" uniqueCount="222">
  <si>
    <t>BATCH SUMMARY</t>
  </si>
  <si>
    <t>Batch ID</t>
  </si>
  <si>
    <t>INJ-07-2026-W1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</si>
  <si>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</si>
  <si>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</si>
  <si>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</si>
  <si>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</si>
  <si>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</si>
  <si>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</si>
  <si>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</si>
  <si>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</si>
  <si>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</si>
  <si>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</si>
  <si>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</si>
  <si>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</si>
  <si>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</si>
  <si>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</si>
  <si>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</si>
  <si>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</si>
  <si>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</si>
  <si>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</si>
  <si>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</si>
  <si>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</si>
  <si>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</si>
  <si>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</si>
  <si>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C %</t>
  </si>
  <si>
    <t>Lab COA Link</t>
  </si>
  <si>
    <t>C Content Uncertainty</t>
  </si>
  <si>
    <t>Testing Uncertainty</t>
  </si>
  <si>
    <t>AECN</t>
  </si>
  <si>
    <t>7-2026-W1 AECN</t>
  </si>
  <si>
    <t>WODO</t>
  </si>
  <si>
    <t>7-2026-W1 WODO</t>
  </si>
  <si>
    <t>07/26/W1-QOWV</t>
  </si>
  <si>
    <t>07-26-W1-QOWV.pdf</t>
  </si>
  <si>
    <t>BATCH HEADER — AECN Rail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</si>
  <si>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</si>
  <si>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</si>
  <si>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</si>
  <si>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</si>
  <si>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</si>
  <si>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</si>
  <si>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</si>
  <si>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</si>
  <si>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</si>
  <si>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</si>
  <si>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</si>
  <si>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</si>
  <si>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</si>
  <si>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</si>
  <si>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</si>
  <si>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</si>
  <si>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</si>
  <si>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</si>
  <si>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</si>
  <si>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</si>
  <si>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</si>
  <si>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Round Trip (Opel→Basco)</t>
  </si>
  <si>
    <t>GRPX5188</t>
  </si>
  <si>
    <t>2386-R, 2387-R, 2388-R</t>
  </si>
  <si>
    <t>GPRX5098</t>
  </si>
  <si>
    <t>2380-R, 2381-R, 2382-R</t>
  </si>
  <si>
    <t>GPRX5236</t>
  </si>
  <si>
    <t>2377-R, 2378-R, 2379-R</t>
  </si>
  <si>
    <t>GPRX5107</t>
  </si>
  <si>
    <t>BATCH HEADER — Charm WODO (IBC Totes)</t>
  </si>
  <si>
    <t>2383-R, 2384-R, 2385-R</t>
  </si>
  <si>
    <t>SECTION 2 - ORIGINS LEDGER  (loading BOLs at SOPOR)</t>
  </si>
  <si>
    <t>SECTION 1 - IBC LEDGER  (one row per IBC tote; tote tag mass is authoritative)</t>
  </si>
  <si>
    <t>Date</t>
  </si>
  <si>
    <t>BOL #</t>
  </si>
  <si>
    <t>BOL Mass (MT)</t>
  </si>
  <si>
    <t>BOL Mass (kg)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</si>
  <si>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</si>
  <si>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</si>
  <si>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</si>
  <si>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</si>
  <si>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</si>
  <si>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</si>
  <si>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</si>
  <si>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</si>
  <si>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</si>
  <si>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</si>
  <si>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</si>
  <si>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</si>
  <si>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</si>
  <si>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4634 (LOT00004634), Jan 2026</t>
  </si>
  <si>
    <t>MFO Lot 4636 (LOT00004636), Jan 2026</t>
  </si>
  <si>
    <t>MFO Lot 4642 (LOT00004642), Jan 2026</t>
  </si>
  <si>
    <t>MFO Lot 4654 (LOT00004654), Jan 2026</t>
  </si>
  <si>
    <t>MFO Lot 4660 (LOT00004660), Jan 2026</t>
  </si>
  <si>
    <t>MFO Lot 4662 (LOT00004662), Jan 2026</t>
  </si>
  <si>
    <t>Opel→Basco (mi, full ×2)</t>
  </si>
  <si>
    <t>MFO Lot 4691 (LOT00004691), Feb 2026</t>
  </si>
  <si>
    <t>MFO Lot 4782 (LOT00004782), Feb 2026</t>
  </si>
  <si>
    <t>MFO Lot 4809 (LOT00004809), Mar 2026</t>
  </si>
  <si>
    <t>MFO Lot 301001 (LOT00301001), Mar 2026</t>
  </si>
  <si>
    <t>SECTION 3 - SCALE TICKETS + OFFLOAD WEIGHTS</t>
  </si>
  <si>
    <t>MFO Lot 301016 (LOT00301016), Apr 2026</t>
  </si>
  <si>
    <t>MFO Lot 301055 (LOT00301055), Apr 2026</t>
  </si>
  <si>
    <t>MFO Lot 301149 (LOT00301149), Apr 2026</t>
  </si>
  <si>
    <t>Full Scale Ticket (lb)</t>
  </si>
  <si>
    <t>Empty Scale Ticket (lb)</t>
  </si>
  <si>
    <t>Net Scaled Mass (kg)</t>
  </si>
  <si>
    <t>MFO Lot 301130 (LOT00301130), May 2026</t>
  </si>
  <si>
    <t>pH</t>
  </si>
  <si>
    <t>Uncertainty Adjustment (kg)</t>
  </si>
  <si>
    <t>AECN→SOPOR (mi, x3 - full BOL)</t>
  </si>
  <si>
    <t>Rail (mi - full BOL)</t>
  </si>
  <si>
    <t>Opel→Basco (mi, x2 - downstream, per offload)</t>
  </si>
  <si>
    <t>MFO Lot 301131 (LOT00301131), May 2026</t>
  </si>
  <si>
    <t>Rail_GRPX5188_6.15.2026_offload_1</t>
  </si>
  <si>
    <t>MFO Lot 301174 (LOT00301174), May 2026</t>
  </si>
  <si>
    <t>MFO Lot 301187 (LOT00301187), May 2026</t>
  </si>
  <si>
    <t>SECTION 2 - ROLLUP</t>
  </si>
  <si>
    <t>Transport Mass</t>
  </si>
  <si>
    <t>Sigma Net Oil Produced (kg)</t>
  </si>
  <si>
    <t>MOBI - Sigma Net Oil Injected (kg)</t>
  </si>
  <si>
    <t>BATCH HEADER — AECN Truck (Direct from Fort Lupton)</t>
  </si>
  <si>
    <t>Rail_GRPX5188_6.15.2026_offload_2</t>
  </si>
  <si>
    <t>Rail_GRPX5188_6.15.2026_offload_3</t>
  </si>
  <si>
    <t>BATCH HEADER — Kerry (Calciner Waste Oil, IBC Totes)</t>
  </si>
  <si>
    <t>Rail_GRPX5188_6.15.2026_offload_4</t>
  </si>
  <si>
    <t>Σ Net Injected (kg)</t>
  </si>
  <si>
    <t>C Content (MOBI-wtd)</t>
  </si>
  <si>
    <t>Origins list (Tote tags)</t>
  </si>
  <si>
    <t>Rail_GPRX5098_6.10.2026_offload_1</t>
  </si>
  <si>
    <t>BATCH HEADER — QOWV (Aqueous Bio-Oil, IBC Totes)</t>
  </si>
  <si>
    <t>Batch ID (INJ-YYYY-WXX)</t>
  </si>
  <si>
    <t>INJ-06-2026-W2</t>
  </si>
  <si>
    <t>Rail_GPRX5098_6.10.2026_offload_2</t>
  </si>
  <si>
    <t>MFO Lot 2374 (LOT00002374), PP#7</t>
  </si>
  <si>
    <t>MFO Lot 2404 (LOT00002404), PP#7</t>
  </si>
  <si>
    <t>Rail_GPRX5098_6.10.2026_offload_3</t>
  </si>
  <si>
    <t>MFO Lot 2444 (LOT00002444), PP#7</t>
  </si>
  <si>
    <t>MFO Lot 2460 (LOT00002460), PP#7</t>
  </si>
  <si>
    <t>MFO Lot 2464 (LOT00002464), PP#7</t>
  </si>
  <si>
    <t>MFO Lot 2514 (LOT00002514), PP#7</t>
  </si>
  <si>
    <t>MFO Lot 2534 (LOT00002534), PP#7</t>
  </si>
  <si>
    <t>MFO Lot 2576 (LOT00002576), PP#7</t>
  </si>
  <si>
    <t>MFO Lot 2578 (LOT00002578), PP#7</t>
  </si>
  <si>
    <t>Rail_GPRX5098_6.10.2026_offload_4</t>
  </si>
  <si>
    <t>MFO Lot 2586 (LOT00002586), PP#7</t>
  </si>
  <si>
    <t>MFO Lot 2588 (LOT00002588), PP#7</t>
  </si>
  <si>
    <t>MFO Lot 2638 (LOT00002638), PP#7</t>
  </si>
  <si>
    <t>MFO Lot 2686 (LOT00002686), PP#7</t>
  </si>
  <si>
    <t>MFO Lot 2790 (LOT00002790), PP#7</t>
  </si>
  <si>
    <t>MFO Lot 3042 (LOT00003042), PP#8</t>
  </si>
  <si>
    <t>Rail_GPRX5236_5.22.2026_offload_1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</si>
  <si>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</si>
  <si>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</si>
  <si>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</si>
  <si>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</si>
  <si>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</si>
  <si>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</si>
  <si>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Rail_GPRX5236_5.22.2026_offload_2</t>
  </si>
  <si>
    <t>MFO Lot 4084 (LOT00004084), October 2025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</si>
  <si>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</si>
  <si>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</si>
  <si>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</si>
  <si>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</si>
  <si>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</si>
  <si>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Rail_GPRX5236_5.22.2026_offload_3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</si>
  <si>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</si>
  <si>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</si>
  <si>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</si>
  <si>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</si>
  <si>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</si>
  <si>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</si>
  <si>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</si>
  <si>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Rail_GPRX5236_5.22.2026_offload_4</t>
  </si>
  <si>
    <t>Rail_GPRX5107_6.13.2026_offload_1</t>
  </si>
  <si>
    <t>Rail_GPRX5107_6.13.2026_offload_2</t>
  </si>
  <si>
    <t>Rail_GPRX5107_6.13.2026_offload_3</t>
  </si>
  <si>
    <t>Rail_GPRX5107_6.13.2026_offload_4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</si>
  <si>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</si>
  <si>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</si>
  <si>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</si>
  <si>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</si>
  <si>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</si>
  <si>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</si>
  <si>
    <t>INJ-07-2026-W1 — WODO Shipments &amp; EE Allocation</t>
  </si>
  <si>
    <t>Batch</t>
  </si>
  <si>
    <t>Fraction</t>
  </si>
  <si>
    <t>Inj. Week</t>
  </si>
  <si>
    <t># Totes</t>
  </si>
  <si>
    <t>Shipping Orders (relevant totes)</t>
  </si>
  <si>
    <t>2026-06-27 to 2026-07-04</t>
  </si>
  <si>
    <t>COLA19 (17)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</si>
  <si>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</si>
  <si>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</si>
  <si>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</si>
  <si>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</si>
  <si>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</si>
  <si>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</si>
  <si>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</si>
  <si>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</si>
  <si>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</si>
  <si>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COLA19</t>
  </si>
  <si>
    <t>BATCH MILEAGE ALLOCATION</t>
  </si>
  <si>
    <t>Per-Truck Allocation</t>
  </si>
  <si>
    <t>COLA19 (17/17)</t>
  </si>
  <si>
    <t>--- Shipping Order COLA19 ---</t>
  </si>
  <si>
    <t>Metal Tag</t>
  </si>
  <si>
    <t>Shipping Order</t>
  </si>
  <si>
    <t>INJ-06-2026-W2 — QOWV Shipments &amp; EE Mileage Allocation</t>
  </si>
  <si>
    <t>Ship Date(s)</t>
  </si>
  <si>
    <t>2026-06-06 to 2026-06-13</t>
  </si>
  <si>
    <t>2025-12-09 (18), 2025-12-10 (18)</t>
  </si>
  <si>
    <t>Charm CO -&gt; Basco LA distance (one-way miles):</t>
  </si>
  <si>
    <t>Truck (shipment)</t>
  </si>
  <si>
    <t>Shipment 12-09</t>
  </si>
  <si>
    <t>Shipment 12-10</t>
  </si>
  <si>
    <t>Per-Truck Allocation (relevant/total)</t>
  </si>
  <si>
    <t>12-09 (18/36), 12-10 (18/35)</t>
  </si>
  <si>
    <t>--- Shipment 2025-12-09 --- (18 of 36 totes on this truck are W2-relevant)</t>
  </si>
  <si>
    <t>Date Loaded</t>
  </si>
  <si>
    <t>PP#7</t>
  </si>
  <si>
    <t>PP#8</t>
  </si>
  <si>
    <t>--- Shipment 2025-12-10 --- (18 of 35 totes on this truck are W2-relevant)</t>
  </si>
  <si>
    <t>MFO Lot 4186 (LOT00004186), October 2025</t>
  </si>
  <si>
    <t>MFO Lot 4196 (LOT00004196), October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</si>
</sst>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0.0000%"/>
    <numFmt numFmtId="166" formatCode="m/d/yyyy"/>
    <numFmt numFmtId="167" formatCode="0.000000"/>
    <numFmt numFmtId="168" formatCode="#,##0.00000"/>
    <numFmt numFmtId="169" formatCode="#,##0.000000"/>
    <numFmt numFmtId="170" formatCode="0.0000"/>
    <numFmt numFmtId="171" formatCode="0.0000000000"/>
    <numFmt numFmtId="172" formatCode="mmm yyyy"/>
    <numFmt numFmtId="173" formatCode="mmmm yyyy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4" numFmtId="0" xfId="0" applyFon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0" fontId="2" numFmtId="166" xfId="0" applyFont="1" applyNumberFormat="1"/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4" xfId="0" applyAlignment="1" applyFont="1" applyNumberFormat="1">
      <alignment horizontal="center" readingOrder="0"/>
    </xf>
    <xf borderId="0" fillId="4" fontId="3" numFmtId="4" xfId="0" applyAlignment="1" applyFont="1" applyNumberFormat="1">
      <alignment readingOrder="0"/>
    </xf>
    <xf borderId="0" fillId="4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4" fontId="2" numFmtId="4" xfId="0" applyAlignment="1" applyFont="1" applyNumberFormat="1">
      <alignment readingOrder="0"/>
    </xf>
    <xf borderId="0" fillId="3" fontId="2" numFmtId="4" xfId="0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Font="1" applyNumberFormat="1"/>
    <xf borderId="0" fillId="0" fontId="2" numFmtId="10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5" fontId="2" numFmtId="10" xfId="0" applyAlignment="1" applyFont="1" applyNumberFormat="1">
      <alignment readingOrder="0"/>
    </xf>
    <xf borderId="0" fillId="4" fontId="2" numFmtId="166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4" fontId="2" numFmtId="4" xfId="0" applyFont="1" applyNumberFormat="1"/>
    <xf borderId="0" fillId="0" fontId="2" numFmtId="2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2" fontId="1" numFmtId="166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166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4" fontId="8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0" fillId="4" fontId="3" numFmtId="0" xfId="0" applyFont="1"/>
    <xf borderId="1" fillId="4" fontId="8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 vertical="bottom"/>
    </xf>
    <xf borderId="1" fillId="0" fontId="10" numFmtId="1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vertical="bottom"/>
    </xf>
    <xf borderId="1" fillId="3" fontId="10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1" fillId="3" fontId="11" numFmtId="4" xfId="0" applyAlignment="1" applyBorder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3" numFmtId="171" xfId="0" applyAlignment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0" fillId="0" fontId="2" numFmtId="172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3" numFmtId="164" xfId="0" applyAlignment="1" applyFont="1" applyNumberFormat="1">
      <alignment readingOrder="0"/>
    </xf>
    <xf borderId="0" fillId="0" fontId="3" numFmtId="2" xfId="0" applyFont="1" applyNumberFormat="1"/>
    <xf borderId="1" fillId="0" fontId="10" numFmtId="1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168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4PjkmQNY-Jjiox52S-sudIME0PaByd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46200.0</v>
      </c>
    </row>
    <row r="4">
      <c r="A4" s="3" t="s">
        <v>4</v>
      </c>
      <c r="B4" s="4">
        <v>46207.0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6"/>
      <c r="L7" s="6"/>
      <c r="M7" s="6"/>
      <c r="N7" s="6"/>
    </row>
    <row r="8">
      <c r="A8" s="3" t="s">
        <v>16</v>
      </c>
      <c r="B8" s="7">
        <f>'AECN Rail'!B52</f>
        <v>313028.3751</v>
      </c>
      <c r="C8" s="7">
        <f>'AECN Rail'!C52</f>
        <v>103.48208</v>
      </c>
      <c r="D8" s="7">
        <f>'AECN Rail'!D52</f>
        <v>312924.893</v>
      </c>
      <c r="E8" s="7">
        <f>'AECN Rail'!E52</f>
        <v>4036.73112</v>
      </c>
      <c r="F8" s="7">
        <f>'AECN Rail'!F52</f>
        <v>602.3319157</v>
      </c>
      <c r="G8" s="7">
        <f>'AECN Rail'!G52</f>
        <v>308285.83</v>
      </c>
      <c r="H8" s="7">
        <f>SUM('AECN Rail'!L32:L47)</f>
        <v>1287.514724</v>
      </c>
      <c r="I8" s="7">
        <f>SUM('AECN Rail'!M32:M47)</f>
        <v>8779.053888</v>
      </c>
      <c r="J8" s="7">
        <f>SUM('AECN Rail'!N32:N47)</f>
        <v>1372.8</v>
      </c>
    </row>
    <row r="9">
      <c r="A9" s="3" t="s">
        <v>17</v>
      </c>
      <c r="B9" s="7" t="str">
        <f>'AECN Truck'!B28</f>
        <v/>
      </c>
      <c r="C9" s="7" t="str">
        <f>'AECN Truck'!F28</f>
        <v/>
      </c>
      <c r="D9" s="7" t="str">
        <f>'AECN Truck'!C28</f>
        <v/>
      </c>
      <c r="E9" s="7" t="str">
        <f>'AECN Truck'!D28</f>
        <v/>
      </c>
      <c r="F9" s="7" t="str">
        <f>'AECN Truck'!E28</f>
        <v/>
      </c>
      <c r="G9" s="7" t="str">
        <f>'AECN Truck'!G28</f>
        <v/>
      </c>
    </row>
    <row r="10">
      <c r="A10" s="3" t="s">
        <v>18</v>
      </c>
      <c r="B10" s="7">
        <f>WODO!A33</f>
        <v>18926</v>
      </c>
      <c r="C10" s="8">
        <v>0.0</v>
      </c>
      <c r="D10" s="8">
        <f>WODO!B33</f>
        <v>17946.8</v>
      </c>
      <c r="E10" s="7">
        <f>WODO!C33</f>
        <v>979.2</v>
      </c>
      <c r="F10" s="8">
        <v>0.0</v>
      </c>
      <c r="G10" s="7">
        <f>WODO!D33</f>
        <v>17885</v>
      </c>
    </row>
    <row r="11">
      <c r="A11" s="3" t="s">
        <v>19</v>
      </c>
      <c r="B11" s="7">
        <f>Kerry!A33</f>
        <v>0</v>
      </c>
      <c r="C11" s="8">
        <v>0.0</v>
      </c>
      <c r="D11" s="8">
        <f>Kerry!A33</f>
        <v>0</v>
      </c>
      <c r="E11" s="7">
        <f>Kerry!B33</f>
        <v>0</v>
      </c>
      <c r="F11" s="8">
        <v>0.0</v>
      </c>
      <c r="G11" s="9">
        <f>Kerry!C33</f>
        <v>0</v>
      </c>
    </row>
    <row r="12">
      <c r="A12" s="3" t="s">
        <v>20</v>
      </c>
      <c r="B12" s="8">
        <f>QOWV!B53</f>
        <v>37833</v>
      </c>
      <c r="C12" s="8">
        <v>0.0</v>
      </c>
      <c r="D12" s="8">
        <f>QOWV!D53</f>
        <v>35759.4</v>
      </c>
      <c r="E12" s="8">
        <v>0.0</v>
      </c>
      <c r="F12" s="8">
        <v>0.0</v>
      </c>
      <c r="G12" s="10">
        <f>QOWV!F53</f>
        <v>31437</v>
      </c>
      <c r="I12" s="5"/>
      <c r="J12" s="6"/>
      <c r="K12" s="6"/>
      <c r="L12" s="6"/>
      <c r="M12" s="6"/>
      <c r="N12" s="6"/>
    </row>
    <row r="13">
      <c r="A13" s="3" t="s">
        <v>21</v>
      </c>
      <c r="B13" s="7">
        <f t="shared" ref="B13:G13" si="1">SUM(B8:B12)</f>
        <v>369787.3751</v>
      </c>
      <c r="C13" s="7">
        <f t="shared" si="1"/>
        <v>103.48208</v>
      </c>
      <c r="D13" s="7">
        <f t="shared" si="1"/>
        <v>366631.093</v>
      </c>
      <c r="E13" s="7">
        <f t="shared" si="1"/>
        <v>5015.93112</v>
      </c>
      <c r="F13" s="7">
        <f t="shared" si="1"/>
        <v>602.3319157</v>
      </c>
      <c r="G13" s="7">
        <f t="shared" si="1"/>
        <v>357607.83</v>
      </c>
      <c r="H13" s="7"/>
      <c r="I13" s="7"/>
      <c r="J13" s="7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</row>
    <row r="16">
      <c r="A16" s="3" t="s">
        <v>23</v>
      </c>
      <c r="B16" s="8" t="s">
        <v>12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</row>
    <row r="17">
      <c r="A17" s="3" t="s">
        <v>29</v>
      </c>
      <c r="B17" s="7">
        <f>G8+G9</f>
        <v>308285.83</v>
      </c>
      <c r="C17" s="3" t="s">
        <v>30</v>
      </c>
      <c r="D17" s="11">
        <v>0.405</v>
      </c>
      <c r="E17" s="12" t="str">
        <f>HYPERLINK("https://drive.google.com/file/d/1viuXyvEjs-qR0fJHdIA1U4Gvrz7btAcb/view","COA SR26-04220.001")</f>
        <v>COA SR26-04220.001</v>
      </c>
      <c r="F17" s="13">
        <f t="shared" ref="F17:F18" si="2">D17*G17</f>
        <v>0.00162</v>
      </c>
      <c r="G17" s="11">
        <v>0.004</v>
      </c>
    </row>
    <row r="18">
      <c r="A18" s="3" t="s">
        <v>31</v>
      </c>
      <c r="B18" s="7">
        <f t="shared" ref="B18:B20" si="3">G10</f>
        <v>17885</v>
      </c>
      <c r="C18" s="3" t="s">
        <v>32</v>
      </c>
      <c r="D18" s="11">
        <v>0.516</v>
      </c>
      <c r="E18" s="12" t="str">
        <f>HYPERLINK("https://drive.google.com/file/d/1TQ634HZcwFBWundVrdjV281Mr0wOPIyc/view","COA SR26-04242.001")</f>
        <v>COA SR26-04242.001</v>
      </c>
      <c r="F18" s="14">
        <f t="shared" si="2"/>
        <v>0.002064</v>
      </c>
      <c r="G18" s="11">
        <v>0.004</v>
      </c>
    </row>
    <row r="19">
      <c r="A19" s="3" t="s">
        <v>19</v>
      </c>
      <c r="B19" s="7">
        <f t="shared" si="3"/>
        <v>0</v>
      </c>
      <c r="D19" s="15"/>
      <c r="G19" s="15"/>
    </row>
    <row r="20">
      <c r="A20" s="3" t="s">
        <v>20</v>
      </c>
      <c r="B20" s="7">
        <f t="shared" si="3"/>
        <v>31437</v>
      </c>
      <c r="C20" s="3" t="s">
        <v>33</v>
      </c>
      <c r="D20" s="11">
        <v>0.092</v>
      </c>
      <c r="E20" s="16" t="s">
        <v>34</v>
      </c>
      <c r="F20" s="13">
        <f>D20*G20</f>
        <v>0.000368</v>
      </c>
      <c r="G20" s="11">
        <v>0.004</v>
      </c>
      <c r="H20" s="6"/>
      <c r="I20" s="6"/>
      <c r="J20" s="6"/>
      <c r="K20" s="6"/>
      <c r="L20" s="6"/>
    </row>
    <row r="21">
      <c r="A21" s="3" t="s">
        <v>21</v>
      </c>
      <c r="B21" s="7">
        <f>SUM(B17:B20)</f>
        <v>357607.83</v>
      </c>
      <c r="D21" s="1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6"/>
      <c r="E23" s="6"/>
      <c r="F23" s="5"/>
      <c r="G23" s="5"/>
      <c r="H23" s="6"/>
      <c r="I23" s="6"/>
      <c r="J23" s="6"/>
      <c r="K23" s="6"/>
      <c r="L23" s="6"/>
      <c r="M23" s="6"/>
      <c r="N23" s="6"/>
    </row>
  </sheetData>
  <hyperlinks>
    <hyperlink r:id="rId1" ref="E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2</v>
      </c>
      <c r="N2" s="5" t="s">
        <v>36</v>
      </c>
    </row>
    <row r="3">
      <c r="B3" s="4">
        <v>46200.0</v>
      </c>
      <c r="N3" s="5" t="s">
        <v>37</v>
      </c>
      <c r="O3" s="17">
        <v>2.20462</v>
      </c>
    </row>
    <row r="4">
      <c r="B4" s="4">
        <v>46207.0</v>
      </c>
      <c r="N4" s="5" t="s">
        <v>38</v>
      </c>
      <c r="O4" s="17">
        <v>0.453592</v>
      </c>
    </row>
    <row r="5">
      <c r="N5" s="5" t="s">
        <v>39</v>
      </c>
      <c r="O5" s="17">
        <v>0.0129</v>
      </c>
    </row>
    <row r="6">
      <c r="N6" s="5" t="s">
        <v>40</v>
      </c>
      <c r="O6" s="3" t="s">
        <v>41</v>
      </c>
    </row>
    <row r="7">
      <c r="N7" s="3" t="s">
        <v>42</v>
      </c>
      <c r="O7" s="18">
        <f>HYPERLINK("https://docs.google.com/spreadsheets/d/16shKoa1KP34kQJyQvzclBejW9L5-ubNSqPsMOVB7zDY/edit?usp=sharing", 0.00195)</f>
        <v>0.00195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44</v>
      </c>
      <c r="O8" s="19">
        <v>3.0</v>
      </c>
      <c r="P8" s="2"/>
      <c r="Q8" s="2"/>
      <c r="R8" s="2"/>
    </row>
    <row r="9">
      <c r="A9" s="5" t="s">
        <v>45</v>
      </c>
      <c r="B9" s="5" t="s">
        <v>46</v>
      </c>
      <c r="C9" s="5" t="s">
        <v>47</v>
      </c>
      <c r="D9" s="20" t="s">
        <v>48</v>
      </c>
      <c r="E9" s="20" t="s">
        <v>49</v>
      </c>
      <c r="F9" s="5" t="s">
        <v>50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55</v>
      </c>
      <c r="L9" s="5" t="s">
        <v>56</v>
      </c>
      <c r="M9" s="5"/>
      <c r="N9" s="5" t="s">
        <v>57</v>
      </c>
      <c r="O9" s="21">
        <v>2.0</v>
      </c>
      <c r="P9" s="6"/>
      <c r="Q9" s="6"/>
      <c r="R9" s="6"/>
    </row>
    <row r="10">
      <c r="A10" s="3" t="s">
        <v>58</v>
      </c>
      <c r="B10" s="22">
        <v>46188.0</v>
      </c>
      <c r="C10" s="3" t="s">
        <v>59</v>
      </c>
      <c r="D10" s="23">
        <f t="shared" ref="D10:D13" si="1">SUMIF($C$17:$C$28,$A10,$D$17:$D$28)</f>
        <v>78.03</v>
      </c>
      <c r="E10" s="23">
        <f t="shared" ref="E10:E13" si="2">SUMIF($C$17:$C$28,$A10,$E$17:$E$28)</f>
        <v>78030</v>
      </c>
      <c r="F10" s="7">
        <f t="shared" ref="F10:F13" si="3">SUMIF($C$32:$C$47,A10,$F$32:$F$47)+H10</f>
        <v>77981.53664</v>
      </c>
      <c r="G10" s="7">
        <f t="shared" ref="G10:G13" si="4">IF(AND(E10&lt;&gt;"",F10&lt;&gt;"",F10&gt;=0.95*E10),E10-F10,"")</f>
        <v>48.46336</v>
      </c>
      <c r="H10" s="17">
        <v>0.0</v>
      </c>
      <c r="I10" s="24">
        <f t="shared" ref="I10:I13" si="5">E10-H10</f>
        <v>78030</v>
      </c>
      <c r="J10" s="25">
        <v>107.5</v>
      </c>
      <c r="K10" s="25">
        <v>2199.0</v>
      </c>
      <c r="L10" s="17">
        <v>42.9</v>
      </c>
    </row>
    <row r="11">
      <c r="A11" s="3" t="s">
        <v>60</v>
      </c>
      <c r="B11" s="22">
        <v>46182.0</v>
      </c>
      <c r="C11" s="3" t="s">
        <v>61</v>
      </c>
      <c r="D11" s="23">
        <f t="shared" si="1"/>
        <v>78.25</v>
      </c>
      <c r="E11" s="23">
        <f t="shared" si="2"/>
        <v>78250</v>
      </c>
      <c r="F11" s="7">
        <f t="shared" si="3"/>
        <v>78353.48208</v>
      </c>
      <c r="G11" s="7">
        <f t="shared" si="4"/>
        <v>-103.48208</v>
      </c>
      <c r="H11" s="25">
        <v>0.0</v>
      </c>
      <c r="I11" s="24">
        <f t="shared" si="5"/>
        <v>78250</v>
      </c>
      <c r="J11" s="25">
        <v>107.5</v>
      </c>
      <c r="K11" s="25">
        <v>2199.0</v>
      </c>
      <c r="L11" s="17">
        <v>42.9</v>
      </c>
    </row>
    <row r="12">
      <c r="A12" s="3" t="s">
        <v>62</v>
      </c>
      <c r="B12" s="22">
        <v>46155.0</v>
      </c>
      <c r="C12" s="3" t="s">
        <v>63</v>
      </c>
      <c r="D12" s="26">
        <f t="shared" si="1"/>
        <v>78.54</v>
      </c>
      <c r="E12" s="26">
        <f t="shared" si="2"/>
        <v>78540</v>
      </c>
      <c r="F12" s="9">
        <f t="shared" si="3"/>
        <v>78063.1832</v>
      </c>
      <c r="G12" s="9">
        <f t="shared" si="4"/>
        <v>476.8168</v>
      </c>
      <c r="H12" s="17">
        <v>0.0</v>
      </c>
      <c r="I12" s="9">
        <f t="shared" si="5"/>
        <v>78540</v>
      </c>
      <c r="J12" s="17">
        <v>107.5</v>
      </c>
      <c r="K12" s="17">
        <v>2199.0</v>
      </c>
      <c r="L12" s="17">
        <v>42.9</v>
      </c>
    </row>
    <row r="13">
      <c r="A13" s="3" t="s">
        <v>64</v>
      </c>
      <c r="B13" s="22">
        <v>46184.0</v>
      </c>
      <c r="C13" s="3" t="s">
        <v>66</v>
      </c>
      <c r="D13" s="26">
        <f t="shared" si="1"/>
        <v>78.71</v>
      </c>
      <c r="E13" s="26">
        <f t="shared" si="2"/>
        <v>78710</v>
      </c>
      <c r="F13" s="9">
        <f t="shared" si="3"/>
        <v>78630.1732</v>
      </c>
      <c r="G13" s="9">
        <f t="shared" si="4"/>
        <v>79.8268</v>
      </c>
      <c r="H13" s="17">
        <v>0.0</v>
      </c>
      <c r="I13" s="9">
        <f t="shared" si="5"/>
        <v>78710</v>
      </c>
      <c r="J13" s="17">
        <v>107.5</v>
      </c>
      <c r="K13" s="17">
        <v>2199.0</v>
      </c>
      <c r="L13" s="17">
        <v>42.9</v>
      </c>
    </row>
    <row r="14">
      <c r="A14" s="27"/>
      <c r="B14" s="27"/>
    </row>
    <row r="15">
      <c r="A15" s="1" t="s">
        <v>67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69</v>
      </c>
      <c r="B16" s="5" t="s">
        <v>70</v>
      </c>
      <c r="C16" s="5" t="s">
        <v>45</v>
      </c>
      <c r="D16" s="20" t="s">
        <v>71</v>
      </c>
      <c r="E16" s="20" t="s">
        <v>72</v>
      </c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22">
        <v>46188.0</v>
      </c>
      <c r="B17" s="12" t="str">
        <f>HYPERLINK("https://drive.google.com/file/d/1_iu32iFx1mMculBhUZ4MH7mPB_VRnLeR/view","2386-R")</f>
        <v>2386-R</v>
      </c>
      <c r="C17" s="3" t="s">
        <v>58</v>
      </c>
      <c r="D17" s="23">
        <v>25.9</v>
      </c>
      <c r="E17" s="23">
        <v>25900.0</v>
      </c>
    </row>
    <row r="18">
      <c r="A18" s="22">
        <v>46188.0</v>
      </c>
      <c r="B18" s="12" t="str">
        <f>HYPERLINK("https://drive.google.com/file/d/1q1iuhYR1YckLXroWLvnY-J7SLQdbHDhk/view","2387-R")</f>
        <v>2387-R</v>
      </c>
      <c r="C18" s="3" t="s">
        <v>58</v>
      </c>
      <c r="D18" s="23">
        <v>25.95</v>
      </c>
      <c r="E18" s="23">
        <v>25950.0</v>
      </c>
    </row>
    <row r="19">
      <c r="A19" s="22">
        <v>46188.0</v>
      </c>
      <c r="B19" s="12" t="str">
        <f>HYPERLINK("https://drive.google.com/file/d/1oHjjumPOHGtrVe1TXFmSQZqZrzL9yVsj/view","2388-R")</f>
        <v>2388-R</v>
      </c>
      <c r="C19" s="3" t="s">
        <v>58</v>
      </c>
      <c r="D19" s="23">
        <v>26.18</v>
      </c>
      <c r="E19" s="23">
        <v>26180.0</v>
      </c>
    </row>
    <row r="20">
      <c r="A20" s="22">
        <v>46182.0</v>
      </c>
      <c r="B20" s="12" t="str">
        <f>HYPERLINK("https://drive.google.com/file/d/1TAT7U9cwWtYriZn__bmfO14fICjo4gO1/view","2380-R")</f>
        <v>2380-R</v>
      </c>
      <c r="C20" s="3" t="s">
        <v>60</v>
      </c>
      <c r="D20" s="23">
        <v>26.16</v>
      </c>
      <c r="E20" s="23">
        <v>26160.0</v>
      </c>
    </row>
    <row r="21">
      <c r="A21" s="22">
        <v>46182.0</v>
      </c>
      <c r="B21" s="12" t="str">
        <f>HYPERLINK("https://drive.google.com/file/d/1kfD85BpfUOSeU1mtGDNSGGhVaCVTLrrO/view","2381-R")</f>
        <v>2381-R</v>
      </c>
      <c r="C21" s="3" t="s">
        <v>60</v>
      </c>
      <c r="D21" s="23">
        <v>25.91</v>
      </c>
      <c r="E21" s="23">
        <v>25910.0</v>
      </c>
    </row>
    <row r="22">
      <c r="A22" s="22">
        <v>46182.0</v>
      </c>
      <c r="B22" s="12" t="str">
        <f>HYPERLINK("https://drive.google.com/file/d/1nOvwWLLJ6Gm-ydUxHG0KOEoxN9EG42XK/view","2382-R")</f>
        <v>2382-R</v>
      </c>
      <c r="C22" s="3" t="s">
        <v>60</v>
      </c>
      <c r="D22" s="23">
        <v>26.18</v>
      </c>
      <c r="E22" s="23">
        <v>26180.0</v>
      </c>
    </row>
    <row r="23">
      <c r="A23" s="22">
        <v>46155.0</v>
      </c>
      <c r="B23" s="12" t="str">
        <f>HYPERLINK("https://drive.google.com/file/d/1e8SlHlb2Fjv2N-xB0KxmazlX3dT84prX/view","2377-R")</f>
        <v>2377-R</v>
      </c>
      <c r="C23" s="3" t="s">
        <v>62</v>
      </c>
      <c r="D23" s="23">
        <v>26.19</v>
      </c>
      <c r="E23" s="23">
        <v>26190.0</v>
      </c>
    </row>
    <row r="24">
      <c r="A24" s="22">
        <v>46155.0</v>
      </c>
      <c r="B24" s="12" t="str">
        <f>HYPERLINK("https://drive.google.com/file/d/1KoSJIptvcvTmLIeSkSgowmldz7HV0h3y/view","2378-R")</f>
        <v>2378-R</v>
      </c>
      <c r="C24" s="3" t="s">
        <v>62</v>
      </c>
      <c r="D24" s="23">
        <v>26.08</v>
      </c>
      <c r="E24" s="23">
        <v>26080.0</v>
      </c>
    </row>
    <row r="25">
      <c r="A25" s="22">
        <v>46155.0</v>
      </c>
      <c r="B25" s="12" t="str">
        <f>HYPERLINK("https://drive.google.com/file/d/1qSSMLaWo26SsLfvzVNtH-qJLH5l9Xk9V/view","2379-R")</f>
        <v>2379-R</v>
      </c>
      <c r="C25" s="3" t="s">
        <v>62</v>
      </c>
      <c r="D25" s="23">
        <v>26.27</v>
      </c>
      <c r="E25" s="23">
        <v>26270.0</v>
      </c>
    </row>
    <row r="26">
      <c r="A26" s="22">
        <v>46184.0</v>
      </c>
      <c r="B26" s="12" t="str">
        <f>HYPERLINK("https://drive.google.com/file/d/1uJfwAnsO1a3niJ7iYfC7bIJylwE8j_7O/view","2383-R")</f>
        <v>2383-R</v>
      </c>
      <c r="C26" s="3" t="s">
        <v>64</v>
      </c>
      <c r="D26" s="23">
        <v>26.52</v>
      </c>
      <c r="E26" s="23">
        <v>26520.0</v>
      </c>
      <c r="O26" s="2"/>
      <c r="P26" s="2"/>
      <c r="Q26" s="2"/>
      <c r="R26" s="2"/>
    </row>
    <row r="27">
      <c r="A27" s="22">
        <v>46184.0</v>
      </c>
      <c r="B27" s="12" t="str">
        <f>HYPERLINK("https://drive.google.com/file/d/1NvpkFmdMrx7bm-DrF0U2M0l_MDUTn66Z/view","2384-R")</f>
        <v>2384-R</v>
      </c>
      <c r="C27" s="3" t="s">
        <v>64</v>
      </c>
      <c r="D27" s="23">
        <v>25.97</v>
      </c>
      <c r="E27" s="23">
        <v>25970.0</v>
      </c>
      <c r="N27" s="9" t="s">
        <v>92</v>
      </c>
      <c r="O27" s="5"/>
      <c r="P27" s="6"/>
      <c r="Q27" s="6"/>
      <c r="R27" s="6"/>
    </row>
    <row r="28">
      <c r="A28" s="22">
        <v>46184.0</v>
      </c>
      <c r="B28" s="12" t="str">
        <f>HYPERLINK("https://drive.google.com/file/d/1XaENmZK39RONif-XdGXYD9Kx5qeN4p1J/view","2385-R")</f>
        <v>2385-R</v>
      </c>
      <c r="C28" s="3" t="s">
        <v>64</v>
      </c>
      <c r="D28" s="23">
        <v>26.22</v>
      </c>
      <c r="E28" s="23">
        <v>26220.0</v>
      </c>
      <c r="N28" s="9" t="str">
        <f t="shared" ref="N28:N30" si="6">IF(F28="","",IFERROR(VLOOKUP(C28,$A$10:$L$14,12,FALSE),0)*$O$9)</f>
        <v/>
      </c>
      <c r="O28" s="38"/>
    </row>
    <row r="29">
      <c r="A29" s="22"/>
      <c r="D29" s="8"/>
      <c r="E29" s="8"/>
      <c r="F29" s="8"/>
      <c r="G29" s="39"/>
      <c r="H29" s="7"/>
      <c r="I29" s="7"/>
      <c r="J29" s="8"/>
      <c r="K29" s="7"/>
      <c r="L29" s="7"/>
      <c r="M29" s="7"/>
      <c r="N29" s="7" t="str">
        <f t="shared" si="6"/>
        <v/>
      </c>
      <c r="O29" s="38"/>
    </row>
    <row r="30">
      <c r="A30" s="40" t="s">
        <v>97</v>
      </c>
      <c r="B30" s="41"/>
      <c r="C30" s="42"/>
      <c r="D30" s="43"/>
      <c r="E30" s="44"/>
      <c r="F30" s="43"/>
      <c r="G30" s="45"/>
      <c r="H30" s="46"/>
      <c r="I30" s="46"/>
      <c r="J30" s="43"/>
      <c r="K30" s="46"/>
      <c r="L30" s="46"/>
      <c r="M30" s="46"/>
      <c r="N30" s="46" t="str">
        <f t="shared" si="6"/>
        <v/>
      </c>
      <c r="O30" s="47"/>
      <c r="P30" s="42"/>
      <c r="Q30" s="42"/>
      <c r="R30" s="42"/>
    </row>
    <row r="31">
      <c r="A31" s="48"/>
      <c r="B31" s="49"/>
      <c r="C31" s="49"/>
      <c r="D31" s="50" t="s">
        <v>101</v>
      </c>
      <c r="E31" s="50" t="s">
        <v>102</v>
      </c>
      <c r="F31" s="51" t="s">
        <v>103</v>
      </c>
      <c r="G31" s="52" t="s">
        <v>105</v>
      </c>
      <c r="H31" s="51" t="s">
        <v>10</v>
      </c>
      <c r="I31" s="51" t="s">
        <v>11</v>
      </c>
      <c r="J31" s="51" t="s">
        <v>106</v>
      </c>
      <c r="K31" s="51" t="s">
        <v>12</v>
      </c>
      <c r="L31" s="50" t="s">
        <v>107</v>
      </c>
      <c r="M31" s="50" t="s">
        <v>108</v>
      </c>
      <c r="N31" s="50" t="s">
        <v>109</v>
      </c>
      <c r="O31" s="38"/>
    </row>
    <row r="32">
      <c r="A32" s="22">
        <v>46207.0</v>
      </c>
      <c r="B32" s="3" t="s">
        <v>111</v>
      </c>
      <c r="C32" s="3" t="s">
        <v>58</v>
      </c>
      <c r="D32" s="53">
        <f>HYPERLINK("https://drive.google.com/file/d/1-HW52IxnT_xZxWOtorW32Tm6UbiDCGn2/view", 76560)</f>
        <v>76560</v>
      </c>
      <c r="E32" s="8">
        <v>29510.0</v>
      </c>
      <c r="F32" s="23">
        <f t="shared" ref="F32:F47" si="7">IF(D32="","",(D32-E32)*$O$4)</f>
        <v>21341.5036</v>
      </c>
      <c r="G32" s="39">
        <v>3.7</v>
      </c>
      <c r="H32" s="23">
        <f t="shared" ref="H32:H47" si="8">IF(F32="","",(F32-J32)*$O$5)</f>
        <v>275.3053964</v>
      </c>
      <c r="I32" s="23">
        <f t="shared" ref="I32:I47" si="9">IF(F32="","",(F32-J32)*(1-$O$5)*$O$7)</f>
        <v>41.0790865</v>
      </c>
      <c r="J32" s="23">
        <f t="array" ref="J32">IF(F32="","",IF(ROW()=MAX(IF($C$32:$C$47=C32,ROW($C$32:$C$47),0)),MAX(0,IFERROR(VLOOKUP(C32,$A$10:$L$13,6,FALSE)-VLOOKUP(C32,$A$10:$L$13,5,FALSE),0)),0))</f>
        <v>0</v>
      </c>
      <c r="K32" s="23">
        <f t="shared" ref="K32:K47" si="10">IF(F32="","",F32-H32-I32-J32)</f>
        <v>21025.11912</v>
      </c>
      <c r="L32" s="7">
        <f t="shared" ref="L32:L47" si="11">IF(F32="","",(F32-J32)/VLOOKUP(C32,$A$10:$L$13,5,FALSE)*VLOOKUP(C32,$A$10:$L$13,10,FALSE)*$O$8)</f>
        <v>88.20498412</v>
      </c>
      <c r="M32" s="7">
        <f t="shared" ref="M32:M47" si="12">IF(F32="","",(F32-J32)/VLOOKUP(C32,$A$10:$L$13,5,FALSE)*VLOOKUP(C32,$A$10:$L$13,11,FALSE))</f>
        <v>601.434915</v>
      </c>
      <c r="N32" s="7">
        <f t="shared" ref="N32:N47" si="13">IF(F32="","",IFERROR(VLOOKUP(C32,$A$10:$L$13,12,FALSE),0)*$O$9)</f>
        <v>85.8</v>
      </c>
      <c r="O32" s="38"/>
    </row>
    <row r="33">
      <c r="A33" s="22">
        <v>46207.0</v>
      </c>
      <c r="B33" s="3" t="s">
        <v>119</v>
      </c>
      <c r="C33" s="3" t="s">
        <v>58</v>
      </c>
      <c r="D33" s="53">
        <f>HYPERLINK("https://drive.google.com/file/d/1BrM9PKOPco-VQGXwOLCIstKcIQkAHGoO/view", 75160)</f>
        <v>75160</v>
      </c>
      <c r="E33" s="53">
        <f>HYPERLINK("https://drive.google.com/file/d/1tqYLBsR0COmeIePMQ8rHud4eWFDdetOc/view", 28540)</f>
        <v>28540</v>
      </c>
      <c r="F33" s="23">
        <f t="shared" si="7"/>
        <v>21146.45904</v>
      </c>
      <c r="G33" s="39">
        <v>3.7</v>
      </c>
      <c r="H33" s="23">
        <f t="shared" si="8"/>
        <v>272.7893216</v>
      </c>
      <c r="I33" s="23">
        <f t="shared" si="9"/>
        <v>40.70365595</v>
      </c>
      <c r="J33" s="23">
        <f t="array" ref="J33">IF(F33="","",IF(ROW()=MAX(IF($C$32:$C$47=C33,ROW($C$32:$C$47),0)),MAX(0,IFERROR(VLOOKUP(C33,$A$10:$L$13,6,FALSE)-VLOOKUP(C33,$A$10:$L$13,5,FALSE),0)),0))</f>
        <v>0</v>
      </c>
      <c r="K33" s="23">
        <f t="shared" si="10"/>
        <v>20832.96606</v>
      </c>
      <c r="L33" s="7">
        <f t="shared" si="11"/>
        <v>87.39885993</v>
      </c>
      <c r="M33" s="7">
        <f t="shared" si="12"/>
        <v>595.9382728</v>
      </c>
      <c r="N33" s="7">
        <f t="shared" si="13"/>
        <v>85.8</v>
      </c>
      <c r="O33" s="38"/>
    </row>
    <row r="34">
      <c r="A34" s="22">
        <v>46207.0</v>
      </c>
      <c r="B34" s="3" t="s">
        <v>120</v>
      </c>
      <c r="C34" s="3" t="s">
        <v>58</v>
      </c>
      <c r="D34" s="53">
        <f>HYPERLINK("https://drive.google.com/file/d/1a3Iym4IgeMqUypjWigs0QPGOkBgEA1-q/view", 70460)</f>
        <v>70460</v>
      </c>
      <c r="E34" s="8">
        <v>29510.0</v>
      </c>
      <c r="F34" s="23">
        <f t="shared" si="7"/>
        <v>18574.5924</v>
      </c>
      <c r="G34" s="39">
        <v>3.7</v>
      </c>
      <c r="H34" s="23">
        <f t="shared" si="8"/>
        <v>239.612242</v>
      </c>
      <c r="I34" s="23">
        <f t="shared" si="9"/>
        <v>35.75321131</v>
      </c>
      <c r="J34" s="23">
        <f t="array" ref="J34">IF(F34="","",IF(ROW()=MAX(IF($C$32:$C$47=C34,ROW($C$32:$C$47),0)),MAX(0,IFERROR(VLOOKUP(C34,$A$10:$L$13,6,FALSE)-VLOOKUP(C34,$A$10:$L$13,5,FALSE),0)),0))</f>
        <v>0</v>
      </c>
      <c r="K34" s="23">
        <f t="shared" si="10"/>
        <v>18299.22695</v>
      </c>
      <c r="L34" s="7">
        <f t="shared" si="11"/>
        <v>76.76926886</v>
      </c>
      <c r="M34" s="7">
        <f t="shared" si="12"/>
        <v>523.4592937</v>
      </c>
      <c r="N34" s="7">
        <f t="shared" si="13"/>
        <v>85.8</v>
      </c>
      <c r="O34" s="38"/>
    </row>
    <row r="35">
      <c r="A35" s="22">
        <v>46207.0</v>
      </c>
      <c r="B35" s="3" t="s">
        <v>122</v>
      </c>
      <c r="C35" s="3" t="s">
        <v>58</v>
      </c>
      <c r="D35" s="53">
        <f>HYPERLINK("https://drive.google.com/file/d/1vhqYpsp01i2fnxhktEzlXqKrg1VmmBkF/view", 66500)</f>
        <v>66500</v>
      </c>
      <c r="E35" s="53">
        <f>HYPERLINK("https://drive.google.com/file/d/1NhLzg-rkPfql6fu2J02ZgA_u6SG-dlcm/view", 29200)</f>
        <v>29200</v>
      </c>
      <c r="F35" s="23">
        <f t="shared" si="7"/>
        <v>16918.9816</v>
      </c>
      <c r="G35" s="39">
        <v>3.7</v>
      </c>
      <c r="H35" s="23">
        <f t="shared" si="8"/>
        <v>218.2548626</v>
      </c>
      <c r="I35" s="23">
        <f t="shared" si="9"/>
        <v>32.56641714</v>
      </c>
      <c r="J35" s="23">
        <f t="array" ref="J35">IF(F35="","",IF(ROW()=MAX(IF($C$32:$C$47=C35,ROW($C$32:$C$47),0)),MAX(0,IFERROR(VLOOKUP(C35,$A$10:$L$13,6,FALSE)-VLOOKUP(C35,$A$10:$L$13,5,FALSE),0)),0))</f>
        <v>0</v>
      </c>
      <c r="K35" s="23">
        <f t="shared" si="10"/>
        <v>16668.16032</v>
      </c>
      <c r="L35" s="7">
        <f t="shared" si="11"/>
        <v>69.92658677</v>
      </c>
      <c r="M35" s="7">
        <f t="shared" si="12"/>
        <v>476.8017498</v>
      </c>
      <c r="N35" s="7">
        <f t="shared" si="13"/>
        <v>85.8</v>
      </c>
    </row>
    <row r="36">
      <c r="A36" s="22">
        <v>46207.0</v>
      </c>
      <c r="B36" s="3" t="s">
        <v>126</v>
      </c>
      <c r="C36" s="3" t="s">
        <v>60</v>
      </c>
      <c r="D36" s="53">
        <f>HYPERLINK("https://drive.google.com/file/d/1_ANYuo0ysZcM1qlb4NR5HzLBrf2wRVZc/view", 79840)</f>
        <v>79840</v>
      </c>
      <c r="E36" s="53">
        <f>HYPERLINK("https://drive.google.com/file/d/1uCnran7RmhPUTPd-VZx-Rm777zRnxLt_/view", 29280)</f>
        <v>29280</v>
      </c>
      <c r="F36" s="23">
        <f t="shared" si="7"/>
        <v>22933.61152</v>
      </c>
      <c r="G36" s="39">
        <v>3.7</v>
      </c>
      <c r="H36" s="23">
        <f t="shared" si="8"/>
        <v>295.8435886</v>
      </c>
      <c r="I36" s="23">
        <f t="shared" si="9"/>
        <v>44.14364747</v>
      </c>
      <c r="J36" s="23">
        <f t="array" ref="J36">IF(F36="","",IF(ROW()=MAX(IF($C$32:$C$47=C36,ROW($C$32:$C$47),0)),MAX(0,IFERROR(VLOOKUP(C36,$A$10:$L$13,6,FALSE)-VLOOKUP(C36,$A$10:$L$13,5,FALSE),0)),0))</f>
        <v>0</v>
      </c>
      <c r="K36" s="23">
        <f t="shared" si="10"/>
        <v>22593.62428</v>
      </c>
      <c r="L36" s="7">
        <f t="shared" si="11"/>
        <v>94.51871841</v>
      </c>
      <c r="M36" s="7">
        <f t="shared" si="12"/>
        <v>644.4857729</v>
      </c>
      <c r="N36" s="7">
        <f t="shared" si="13"/>
        <v>85.8</v>
      </c>
    </row>
    <row r="37">
      <c r="A37" s="22">
        <v>46207.0</v>
      </c>
      <c r="B37" s="3" t="s">
        <v>130</v>
      </c>
      <c r="C37" s="3" t="s">
        <v>60</v>
      </c>
      <c r="D37" s="53">
        <f>HYPERLINK("https://drive.google.com/file/d/1YDpVKxFd3RQnWaRY40JR3U3j6u4Ji0xB/view", 78640)</f>
        <v>78640</v>
      </c>
      <c r="E37" s="53">
        <f>HYPERLINK("https://drive.google.com/file/d/15BxkKsmRzXNfQN6g631VQYX_HF0XTnpL/view", 28920)</f>
        <v>28920</v>
      </c>
      <c r="F37" s="23">
        <f t="shared" si="7"/>
        <v>22552.59424</v>
      </c>
      <c r="G37" s="39">
        <v>3.7</v>
      </c>
      <c r="H37" s="23">
        <f t="shared" si="8"/>
        <v>290.9284657</v>
      </c>
      <c r="I37" s="23">
        <f t="shared" si="9"/>
        <v>43.41024826</v>
      </c>
      <c r="J37" s="23">
        <f t="array" ref="J37">IF(F37="","",IF(ROW()=MAX(IF($C$32:$C$47=C37,ROW($C$32:$C$47),0)),MAX(0,IFERROR(VLOOKUP(C37,$A$10:$L$13,6,FALSE)-VLOOKUP(C37,$A$10:$L$13,5,FALSE),0)),0))</f>
        <v>0</v>
      </c>
      <c r="K37" s="23">
        <f t="shared" si="10"/>
        <v>22218.25553</v>
      </c>
      <c r="L37" s="7">
        <f t="shared" si="11"/>
        <v>92.9483916</v>
      </c>
      <c r="M37" s="7">
        <f t="shared" si="12"/>
        <v>633.7783353</v>
      </c>
      <c r="N37" s="7">
        <f t="shared" si="13"/>
        <v>85.8</v>
      </c>
    </row>
    <row r="38">
      <c r="A38" s="22">
        <v>46207.0</v>
      </c>
      <c r="B38" s="3" t="s">
        <v>133</v>
      </c>
      <c r="C38" s="3" t="s">
        <v>60</v>
      </c>
      <c r="D38" s="53">
        <f>HYPERLINK("https://drive.google.com/file/d/10qZDKVkzmycBc6c8UIRBlzBLfH0SIHZN/view", 72040)</f>
        <v>72040</v>
      </c>
      <c r="E38" s="53">
        <f>HYPERLINK("https://drive.google.com/file/d/1BACGKknSvrPmcL_2VcRg3CbVU-uTyTqv/view", 29080)</f>
        <v>29080</v>
      </c>
      <c r="F38" s="23">
        <f t="shared" si="7"/>
        <v>19486.31232</v>
      </c>
      <c r="G38" s="39">
        <v>3.7</v>
      </c>
      <c r="H38" s="23">
        <f t="shared" si="8"/>
        <v>251.3734289</v>
      </c>
      <c r="I38" s="23">
        <f t="shared" si="9"/>
        <v>37.50813084</v>
      </c>
      <c r="J38" s="23">
        <f t="array" ref="J38">IF(F38="","",IF(ROW()=MAX(IF($C$32:$C$47=C38,ROW($C$32:$C$47),0)),MAX(0,IFERROR(VLOOKUP(C38,$A$10:$L$13,6,FALSE)-VLOOKUP(C38,$A$10:$L$13,5,FALSE),0)),0))</f>
        <v>0</v>
      </c>
      <c r="K38" s="23">
        <f t="shared" si="10"/>
        <v>19197.43076</v>
      </c>
      <c r="L38" s="7">
        <f t="shared" si="11"/>
        <v>80.31099966</v>
      </c>
      <c r="M38" s="7">
        <f t="shared" si="12"/>
        <v>547.6089558</v>
      </c>
      <c r="N38" s="7">
        <f t="shared" si="13"/>
        <v>85.8</v>
      </c>
    </row>
    <row r="39">
      <c r="A39" s="22">
        <v>46207.0</v>
      </c>
      <c r="B39" s="3" t="s">
        <v>141</v>
      </c>
      <c r="C39" s="3" t="s">
        <v>60</v>
      </c>
      <c r="D39" s="53">
        <f>HYPERLINK("https://drive.google.com/file/d/1gtVMyWN9eLcV8LMjUAK3TbEx6T80Atd5/view", 58220)</f>
        <v>58220</v>
      </c>
      <c r="E39" s="53">
        <f>HYPERLINK("https://drive.google.com/file/d/1URY_X58vrKD0xevWAy8gKwk6rMBZ0b23/view", 28720)</f>
        <v>28720</v>
      </c>
      <c r="F39" s="23">
        <f t="shared" si="7"/>
        <v>13380.964</v>
      </c>
      <c r="G39" s="39">
        <v>3.7</v>
      </c>
      <c r="H39" s="23">
        <f t="shared" si="8"/>
        <v>171.2795168</v>
      </c>
      <c r="I39" s="23">
        <f t="shared" si="9"/>
        <v>25.55709469</v>
      </c>
      <c r="J39" s="23">
        <f t="array" ref="J39">IF(F39="","",IF(ROW()=MAX(IF($C$32:$C$47=C39,ROW($C$32:$C$47),0)),MAX(0,IFERROR(VLOOKUP(C39,$A$10:$L$13,6,FALSE)-VLOOKUP(C39,$A$10:$L$13,5,FALSE),0)),0))</f>
        <v>103.48208</v>
      </c>
      <c r="K39" s="23">
        <f t="shared" si="10"/>
        <v>13080.64531</v>
      </c>
      <c r="L39" s="7">
        <f t="shared" si="11"/>
        <v>54.72189034</v>
      </c>
      <c r="M39" s="7">
        <f t="shared" si="12"/>
        <v>373.126936</v>
      </c>
      <c r="N39" s="7">
        <f t="shared" si="13"/>
        <v>85.8</v>
      </c>
    </row>
    <row r="40">
      <c r="A40" s="22">
        <v>46207.0</v>
      </c>
      <c r="B40" s="3" t="s">
        <v>148</v>
      </c>
      <c r="C40" s="3" t="s">
        <v>62</v>
      </c>
      <c r="D40" s="8">
        <v>74300.0</v>
      </c>
      <c r="E40" s="53">
        <f>HYPERLINK("https://drive.google.com/file/d/1itRdMHPV5-IiOfFuRKR4qEZnfjVgMrIY/view", 29040)</f>
        <v>29040</v>
      </c>
      <c r="F40" s="23">
        <f t="shared" si="7"/>
        <v>20529.57392</v>
      </c>
      <c r="G40" s="39">
        <v>3.7</v>
      </c>
      <c r="H40" s="23">
        <f t="shared" si="8"/>
        <v>264.8315036</v>
      </c>
      <c r="I40" s="23">
        <f t="shared" si="9"/>
        <v>39.51624771</v>
      </c>
      <c r="J40" s="23">
        <f t="array" ref="J40">IF(F40="","",IF(ROW()=MAX(IF($C$32:$C$47=C40,ROW($C$32:$C$47),0)),MAX(0,IFERROR(VLOOKUP(C40,$A$10:$L$13,6,FALSE)-VLOOKUP(C40,$A$10:$L$13,5,FALSE),0)),0))</f>
        <v>0</v>
      </c>
      <c r="K40" s="23">
        <f t="shared" si="10"/>
        <v>20225.22617</v>
      </c>
      <c r="L40" s="7">
        <f t="shared" si="11"/>
        <v>84.29828863</v>
      </c>
      <c r="M40" s="7">
        <f t="shared" si="12"/>
        <v>574.796703</v>
      </c>
      <c r="N40" s="7">
        <f t="shared" si="13"/>
        <v>85.8</v>
      </c>
    </row>
    <row r="41">
      <c r="A41" s="22">
        <v>46207.0</v>
      </c>
      <c r="B41" s="3" t="s">
        <v>155</v>
      </c>
      <c r="C41" s="3" t="s">
        <v>62</v>
      </c>
      <c r="D41" s="53">
        <f>HYPERLINK("https://drive.google.com/file/d/1OtRTwTH78CTHCt6A-PEkZzs1Jn12Z5WQ/view", 72900)</f>
        <v>72900</v>
      </c>
      <c r="E41" s="53">
        <f>HYPERLINK("https://drive.google.com/file/d/1g1z8zI66m5KFviRNnTHXfYB3QcuTws04/view", 28940)</f>
        <v>28940</v>
      </c>
      <c r="F41" s="23">
        <f t="shared" si="7"/>
        <v>19939.90432</v>
      </c>
      <c r="G41" s="39">
        <v>3.7</v>
      </c>
      <c r="H41" s="23">
        <f t="shared" si="8"/>
        <v>257.2247657</v>
      </c>
      <c r="I41" s="23">
        <f t="shared" si="9"/>
        <v>38.38122513</v>
      </c>
      <c r="J41" s="23">
        <f t="array" ref="J41">IF(F41="","",IF(ROW()=MAX(IF($C$32:$C$47=C41,ROW($C$32:$C$47),0)),MAX(0,IFERROR(VLOOKUP(C41,$A$10:$L$13,6,FALSE)-VLOOKUP(C41,$A$10:$L$13,5,FALSE),0)),0))</f>
        <v>0</v>
      </c>
      <c r="K41" s="23">
        <f t="shared" si="10"/>
        <v>19644.29833</v>
      </c>
      <c r="L41" s="7">
        <f t="shared" si="11"/>
        <v>81.87699444</v>
      </c>
      <c r="M41" s="7">
        <f t="shared" si="12"/>
        <v>558.2868551</v>
      </c>
      <c r="N41" s="7">
        <f t="shared" si="13"/>
        <v>85.8</v>
      </c>
    </row>
    <row r="42">
      <c r="A42" s="22">
        <v>46207.0</v>
      </c>
      <c r="B42" s="3" t="s">
        <v>162</v>
      </c>
      <c r="C42" s="3" t="s">
        <v>62</v>
      </c>
      <c r="D42" s="53">
        <f>HYPERLINK("https://drive.google.com/file/d/1K1UWruJyraqCWrWw6_SCBGfxTtcG-JvQ/view", 74820)</f>
        <v>74820</v>
      </c>
      <c r="E42" s="53">
        <f>HYPERLINK("https://drive.google.com/file/d/1i0BDoblk25Dkwn1sTrUY0HJJFdXFUX6R/view", 29380)</f>
        <v>29380</v>
      </c>
      <c r="F42" s="23">
        <f t="shared" si="7"/>
        <v>20611.22048</v>
      </c>
      <c r="G42" s="39">
        <v>3.7</v>
      </c>
      <c r="H42" s="23">
        <f t="shared" si="8"/>
        <v>265.8847442</v>
      </c>
      <c r="I42" s="23">
        <f t="shared" si="9"/>
        <v>39.67340468</v>
      </c>
      <c r="J42" s="23">
        <f t="array" ref="J42">IF(F42="","",IF(ROW()=MAX(IF($C$32:$C$47=C42,ROW($C$32:$C$47),0)),MAX(0,IFERROR(VLOOKUP(C42,$A$10:$L$13,6,FALSE)-VLOOKUP(C42,$A$10:$L$13,5,FALSE),0)),0))</f>
        <v>0</v>
      </c>
      <c r="K42" s="23">
        <f t="shared" si="10"/>
        <v>20305.66233</v>
      </c>
      <c r="L42" s="7">
        <f t="shared" si="11"/>
        <v>84.63354475</v>
      </c>
      <c r="M42" s="7">
        <f t="shared" si="12"/>
        <v>577.0826819</v>
      </c>
      <c r="N42" s="7">
        <f t="shared" si="13"/>
        <v>85.8</v>
      </c>
      <c r="O42" s="2"/>
      <c r="P42" s="2"/>
      <c r="Q42" s="2"/>
      <c r="R42" s="2"/>
    </row>
    <row r="43">
      <c r="A43" s="22">
        <v>46207.0</v>
      </c>
      <c r="B43" s="3" t="s">
        <v>170</v>
      </c>
      <c r="C43" s="3" t="s">
        <v>62</v>
      </c>
      <c r="D43" s="53">
        <f>HYPERLINK("https://drive.google.com/file/d/1xVs5oJxpGjd9XvXhchrk2XnPd5KADBic/view", 66340)</f>
        <v>66340</v>
      </c>
      <c r="E43" s="53">
        <f>HYPERLINK("https://drive.google.com/file/d/14XmIkjN93uATU0zjeKeQJeyFwLHUDa3o/view", 28900)</f>
        <v>28900</v>
      </c>
      <c r="F43" s="23">
        <f t="shared" si="7"/>
        <v>16982.48448</v>
      </c>
      <c r="G43" s="39">
        <v>3.7</v>
      </c>
      <c r="H43" s="23">
        <f t="shared" si="8"/>
        <v>219.0740498</v>
      </c>
      <c r="I43" s="23">
        <f t="shared" si="9"/>
        <v>32.68865034</v>
      </c>
      <c r="J43" s="23">
        <f t="array" ref="J43">IF(F43="","",IF(ROW()=MAX(IF($C$32:$C$47=C43,ROW($C$32:$C$47),0)),MAX(0,IFERROR(VLOOKUP(C43,$A$10:$L$13,6,FALSE)-VLOOKUP(C43,$A$10:$L$13,5,FALSE),0)),0))</f>
        <v>0</v>
      </c>
      <c r="K43" s="23">
        <f t="shared" si="10"/>
        <v>16730.72178</v>
      </c>
      <c r="L43" s="7">
        <f t="shared" si="11"/>
        <v>69.73327279</v>
      </c>
      <c r="M43" s="7">
        <f t="shared" si="12"/>
        <v>475.4836182</v>
      </c>
      <c r="N43" s="7">
        <f t="shared" si="13"/>
        <v>85.8</v>
      </c>
      <c r="O43" s="6"/>
      <c r="P43" s="6"/>
      <c r="Q43" s="6"/>
      <c r="R43" s="6"/>
    </row>
    <row r="44">
      <c r="A44" s="22">
        <v>46207.0</v>
      </c>
      <c r="B44" s="3" t="s">
        <v>171</v>
      </c>
      <c r="C44" s="3" t="s">
        <v>64</v>
      </c>
      <c r="D44" s="8">
        <v>72540.0</v>
      </c>
      <c r="E44" s="8">
        <v>28720.0</v>
      </c>
      <c r="F44" s="23">
        <f t="shared" si="7"/>
        <v>19876.40144</v>
      </c>
      <c r="G44" s="39">
        <v>3.7</v>
      </c>
      <c r="H44" s="23">
        <f t="shared" si="8"/>
        <v>256.4055786</v>
      </c>
      <c r="I44" s="23">
        <f t="shared" si="9"/>
        <v>38.25899193</v>
      </c>
      <c r="J44" s="23">
        <f t="array" ref="J44">IF(F44="","",IF(ROW()=MAX(IF($C$32:$C$47=C44,ROW($C$32:$C$47),0)),MAX(0,IFERROR(VLOOKUP(C44,$A$10:$L$13,6,FALSE)-VLOOKUP(C44,$A$10:$L$13,5,FALSE),0)),0))</f>
        <v>0</v>
      </c>
      <c r="K44" s="23">
        <f t="shared" si="10"/>
        <v>19581.73687</v>
      </c>
      <c r="L44" s="7">
        <f t="shared" si="11"/>
        <v>81.4399627</v>
      </c>
      <c r="M44" s="7">
        <f t="shared" si="12"/>
        <v>555.3069085</v>
      </c>
      <c r="N44" s="7">
        <f t="shared" si="13"/>
        <v>85.8</v>
      </c>
    </row>
    <row r="45">
      <c r="A45" s="22">
        <v>46207.0</v>
      </c>
      <c r="B45" s="3" t="s">
        <v>172</v>
      </c>
      <c r="C45" s="3" t="s">
        <v>64</v>
      </c>
      <c r="D45" s="53">
        <f>HYPERLINK("https://drive.google.com/file/d/1CvpaHpf6n58gYaL1SbDPMtEAapZrqSre/view", 70260)</f>
        <v>70260</v>
      </c>
      <c r="E45" s="53">
        <f>HYPERLINK("https://drive.google.com/file/d/14XCSh6UFUEYqy6VWj22czPUjRBTaB03M/view", 29520)</f>
        <v>29520</v>
      </c>
      <c r="F45" s="23">
        <f t="shared" si="7"/>
        <v>18479.33808</v>
      </c>
      <c r="G45" s="39">
        <v>3.7</v>
      </c>
      <c r="H45" s="23">
        <f t="shared" si="8"/>
        <v>238.3834612</v>
      </c>
      <c r="I45" s="23">
        <f t="shared" si="9"/>
        <v>35.56986151</v>
      </c>
      <c r="J45" s="23">
        <f t="array" ref="J45">IF(F45="","",IF(ROW()=MAX(IF($C$32:$C$47=C45,ROW($C$32:$C$47),0)),MAX(0,IFERROR(VLOOKUP(C45,$A$10:$L$13,6,FALSE)-VLOOKUP(C45,$A$10:$L$13,5,FALSE),0)),0))</f>
        <v>0</v>
      </c>
      <c r="K45" s="23">
        <f t="shared" si="10"/>
        <v>18205.38476</v>
      </c>
      <c r="L45" s="7">
        <f t="shared" si="11"/>
        <v>75.71574807</v>
      </c>
      <c r="M45" s="7">
        <f t="shared" si="12"/>
        <v>516.275752</v>
      </c>
      <c r="N45" s="7">
        <f t="shared" si="13"/>
        <v>85.8</v>
      </c>
    </row>
    <row r="46">
      <c r="A46" s="22">
        <v>46207.0</v>
      </c>
      <c r="B46" s="3" t="s">
        <v>173</v>
      </c>
      <c r="C46" s="3" t="s">
        <v>64</v>
      </c>
      <c r="D46" s="53">
        <f>HYPERLINK("https://drive.google.com/file/d/1SxVXORrNyzewdXISAOlrVY-_uldi_VYB/view", 74280)</f>
        <v>74280</v>
      </c>
      <c r="E46" s="8">
        <v>29510.0</v>
      </c>
      <c r="F46" s="23">
        <f t="shared" si="7"/>
        <v>20307.31384</v>
      </c>
      <c r="G46" s="39">
        <v>3.7</v>
      </c>
      <c r="H46" s="23">
        <f t="shared" si="8"/>
        <v>261.9643485</v>
      </c>
      <c r="I46" s="23">
        <f t="shared" si="9"/>
        <v>39.08843151</v>
      </c>
      <c r="J46" s="23">
        <f t="array" ref="J46">IF(F46="","",IF(ROW()=MAX(IF($C$32:$C$47=C46,ROW($C$32:$C$47),0)),MAX(0,IFERROR(VLOOKUP(C46,$A$10:$L$13,6,FALSE)-VLOOKUP(C46,$A$10:$L$13,5,FALSE),0)),0))</f>
        <v>0</v>
      </c>
      <c r="K46" s="23">
        <f t="shared" si="10"/>
        <v>20006.26106</v>
      </c>
      <c r="L46" s="7">
        <f t="shared" si="11"/>
        <v>83.20554839</v>
      </c>
      <c r="M46" s="7">
        <f t="shared" si="12"/>
        <v>567.3457392</v>
      </c>
      <c r="N46" s="7">
        <f t="shared" si="13"/>
        <v>85.8</v>
      </c>
    </row>
    <row r="47">
      <c r="A47" s="22">
        <v>46207.0</v>
      </c>
      <c r="B47" s="3" t="s">
        <v>174</v>
      </c>
      <c r="C47" s="3" t="s">
        <v>64</v>
      </c>
      <c r="D47" s="53">
        <f>HYPERLINK("https://drive.google.com/file/d/1TMvdgzKocm3AcZ87ANda-1WC91_wNk0i/view", 72680)</f>
        <v>72680</v>
      </c>
      <c r="E47" s="53">
        <f>HYPERLINK("https://drive.google.com/file/d/1bn4QysSxORk9DHiDSJoZ9b7u0ixcc7tI/view", 28660)</f>
        <v>28660</v>
      </c>
      <c r="F47" s="23">
        <f t="shared" si="7"/>
        <v>19967.11984</v>
      </c>
      <c r="G47" s="39">
        <v>3.7</v>
      </c>
      <c r="H47" s="23">
        <f t="shared" si="8"/>
        <v>257.5758459</v>
      </c>
      <c r="I47" s="23">
        <f t="shared" si="9"/>
        <v>38.43361079</v>
      </c>
      <c r="J47" s="23">
        <f t="array" ref="J47">IF(F47="","",IF(ROW()=MAX(IF($C$32:$C$47=C47,ROW($C$32:$C$47),0)),MAX(0,IFERROR(VLOOKUP(C47,$A$10:$L$13,6,FALSE)-VLOOKUP(C47,$A$10:$L$13,5,FALSE),0)),0))</f>
        <v>0</v>
      </c>
      <c r="K47" s="23">
        <f t="shared" si="10"/>
        <v>19671.11038</v>
      </c>
      <c r="L47" s="7">
        <f t="shared" si="11"/>
        <v>81.81166495</v>
      </c>
      <c r="M47" s="7">
        <f t="shared" si="12"/>
        <v>557.8413992</v>
      </c>
      <c r="N47" s="7">
        <f t="shared" si="13"/>
        <v>85.8</v>
      </c>
    </row>
    <row r="48">
      <c r="A48" s="3" t="s">
        <v>175</v>
      </c>
      <c r="D48" s="7"/>
      <c r="E48" s="7"/>
      <c r="F48" s="7"/>
      <c r="G48" s="55"/>
      <c r="L48" s="7">
        <f t="shared" ref="L48:N48" si="14">SUM(L32:L47)</f>
        <v>1287.514724</v>
      </c>
      <c r="M48" s="7">
        <f t="shared" si="14"/>
        <v>8779.053888</v>
      </c>
      <c r="N48" s="7">
        <f t="shared" si="14"/>
        <v>1372.8</v>
      </c>
    </row>
    <row r="49">
      <c r="A49" s="27"/>
    </row>
    <row r="50">
      <c r="A50" s="40" t="s">
        <v>176</v>
      </c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>
      <c r="A51" s="3" t="s">
        <v>177</v>
      </c>
      <c r="B51" s="3" t="s">
        <v>178</v>
      </c>
      <c r="C51" s="3" t="s">
        <v>179</v>
      </c>
      <c r="D51" s="3" t="s">
        <v>180</v>
      </c>
      <c r="E51" s="3" t="s">
        <v>10</v>
      </c>
      <c r="F51" s="3" t="s">
        <v>11</v>
      </c>
      <c r="G51" s="3" t="s">
        <v>12</v>
      </c>
      <c r="H51" s="3" t="s">
        <v>105</v>
      </c>
    </row>
    <row r="52">
      <c r="A52" s="7">
        <f>SUM(I10:I13)</f>
        <v>313530</v>
      </c>
      <c r="B52" s="7">
        <f>SUM(F32:F47)</f>
        <v>313028.3751</v>
      </c>
      <c r="C52" s="7">
        <f>SUM(J32:J47)</f>
        <v>103.48208</v>
      </c>
      <c r="D52" s="7">
        <f>B52-C52</f>
        <v>312924.893</v>
      </c>
      <c r="E52" s="7">
        <f t="shared" ref="E52:F52" si="15">SUM(H32:H47)</f>
        <v>4036.73112</v>
      </c>
      <c r="F52" s="7">
        <f t="shared" si="15"/>
        <v>602.3319157</v>
      </c>
      <c r="G52" s="7">
        <f>SUM(K32:K47)</f>
        <v>308285.83</v>
      </c>
      <c r="H52" s="9">
        <f>IFERROR(AVERAGE(G32:G47),"")</f>
        <v>3.7</v>
      </c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2</v>
      </c>
      <c r="K2" s="5" t="s">
        <v>36</v>
      </c>
    </row>
    <row r="3">
      <c r="B3" s="4">
        <v>46200.0</v>
      </c>
      <c r="K3" s="5" t="s">
        <v>37</v>
      </c>
      <c r="L3" s="17">
        <v>2.20462</v>
      </c>
    </row>
    <row r="4">
      <c r="B4" s="4">
        <v>46207.0</v>
      </c>
      <c r="K4" s="5" t="s">
        <v>38</v>
      </c>
      <c r="L4" s="17">
        <v>0.453592</v>
      </c>
    </row>
    <row r="5">
      <c r="K5" s="5" t="s">
        <v>39</v>
      </c>
      <c r="L5" s="17">
        <v>0.0129</v>
      </c>
    </row>
    <row r="6">
      <c r="K6" s="5" t="s">
        <v>40</v>
      </c>
      <c r="L6" s="3" t="s">
        <v>41</v>
      </c>
    </row>
    <row r="8">
      <c r="A8" s="1" t="s">
        <v>68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8"/>
      <c r="B9" s="29" t="s">
        <v>73</v>
      </c>
      <c r="D9" s="29" t="s">
        <v>74</v>
      </c>
      <c r="F9" s="29" t="s">
        <v>75</v>
      </c>
      <c r="G9" s="28"/>
      <c r="H9" s="28"/>
      <c r="I9" s="28"/>
      <c r="J9" s="28"/>
      <c r="K9" s="6"/>
      <c r="L9" s="6"/>
      <c r="M9" s="6"/>
    </row>
    <row r="10">
      <c r="A10" s="29" t="s">
        <v>76</v>
      </c>
      <c r="B10" s="29" t="s">
        <v>77</v>
      </c>
      <c r="C10" s="30" t="s">
        <v>78</v>
      </c>
      <c r="D10" s="30" t="s">
        <v>79</v>
      </c>
      <c r="E10" s="30" t="s">
        <v>80</v>
      </c>
      <c r="F10" s="30" t="s">
        <v>81</v>
      </c>
      <c r="G10" s="31" t="s">
        <v>82</v>
      </c>
      <c r="H10" s="31" t="s">
        <v>83</v>
      </c>
      <c r="I10" s="32" t="s">
        <v>84</v>
      </c>
      <c r="J10" s="28" t="s">
        <v>85</v>
      </c>
    </row>
    <row r="11">
      <c r="A11" s="33">
        <v>300063.0</v>
      </c>
      <c r="B11" s="8">
        <v>1085.0</v>
      </c>
      <c r="C11" s="8">
        <v>57.6</v>
      </c>
      <c r="D11" s="7">
        <f t="shared" ref="D11:D27" si="1">B11-C11</f>
        <v>1027.4</v>
      </c>
      <c r="E11" s="34">
        <v>63.0</v>
      </c>
      <c r="F11" s="35">
        <f t="shared" ref="F11:F27" si="2">IF(E11="","",B11-E11)</f>
        <v>1022</v>
      </c>
      <c r="G11" s="8" t="s">
        <v>86</v>
      </c>
      <c r="H11" s="36">
        <v>0.9319944877512889</v>
      </c>
      <c r="I11" s="7">
        <f t="shared" ref="I11:I27" si="3">H11*D11</f>
        <v>957.5311367</v>
      </c>
      <c r="J11" s="37">
        <f t="shared" ref="J11:J27" si="4">2.5*$L$4</f>
        <v>1.13398</v>
      </c>
    </row>
    <row r="12">
      <c r="A12" s="33">
        <v>300077.0</v>
      </c>
      <c r="B12" s="8">
        <v>1145.5</v>
      </c>
      <c r="C12" s="8">
        <v>57.6</v>
      </c>
      <c r="D12" s="7">
        <f t="shared" si="1"/>
        <v>1087.9</v>
      </c>
      <c r="E12" s="34">
        <v>59.5</v>
      </c>
      <c r="F12" s="35">
        <f t="shared" si="2"/>
        <v>1086</v>
      </c>
      <c r="G12" s="8" t="s">
        <v>87</v>
      </c>
      <c r="H12" s="36">
        <v>0.9319944877512889</v>
      </c>
      <c r="I12" s="7">
        <f t="shared" si="3"/>
        <v>1013.916803</v>
      </c>
      <c r="J12" s="37">
        <f t="shared" si="4"/>
        <v>1.13398</v>
      </c>
    </row>
    <row r="13">
      <c r="A13" s="33">
        <v>300065.0</v>
      </c>
      <c r="B13" s="8">
        <v>1075.0</v>
      </c>
      <c r="C13" s="8">
        <v>57.6</v>
      </c>
      <c r="D13" s="7">
        <f t="shared" si="1"/>
        <v>1017.4</v>
      </c>
      <c r="E13" s="34">
        <v>59.0</v>
      </c>
      <c r="F13" s="35">
        <f t="shared" si="2"/>
        <v>1016</v>
      </c>
      <c r="G13" s="8" t="s">
        <v>88</v>
      </c>
      <c r="H13" s="36">
        <v>0.9319944877512889</v>
      </c>
      <c r="I13" s="7">
        <f t="shared" si="3"/>
        <v>948.2111918</v>
      </c>
      <c r="J13" s="37">
        <f t="shared" si="4"/>
        <v>1.13398</v>
      </c>
    </row>
    <row r="14">
      <c r="A14" s="33">
        <v>300064.0</v>
      </c>
      <c r="B14" s="8">
        <v>1090.0</v>
      </c>
      <c r="C14" s="8">
        <v>57.6</v>
      </c>
      <c r="D14" s="7">
        <f t="shared" si="1"/>
        <v>1032.4</v>
      </c>
      <c r="E14" s="34">
        <v>58.0</v>
      </c>
      <c r="F14" s="35">
        <f t="shared" si="2"/>
        <v>1032</v>
      </c>
      <c r="G14" s="8" t="s">
        <v>89</v>
      </c>
      <c r="H14" s="36">
        <v>0.9319944877512889</v>
      </c>
      <c r="I14" s="7">
        <f t="shared" si="3"/>
        <v>962.1911092</v>
      </c>
      <c r="J14" s="37">
        <f t="shared" si="4"/>
        <v>1.13398</v>
      </c>
    </row>
    <row r="15">
      <c r="A15" s="33">
        <v>300099.0</v>
      </c>
      <c r="B15" s="8">
        <v>1144.5</v>
      </c>
      <c r="C15" s="8">
        <v>57.6</v>
      </c>
      <c r="D15" s="7">
        <f t="shared" si="1"/>
        <v>1086.9</v>
      </c>
      <c r="E15" s="34">
        <v>63.5</v>
      </c>
      <c r="F15" s="35">
        <f t="shared" si="2"/>
        <v>1081</v>
      </c>
      <c r="G15" s="8" t="s">
        <v>90</v>
      </c>
      <c r="H15" s="36">
        <v>0.9319944877512889</v>
      </c>
      <c r="I15" s="7">
        <f t="shared" si="3"/>
        <v>1012.984809</v>
      </c>
      <c r="J15" s="37">
        <f t="shared" si="4"/>
        <v>1.13398</v>
      </c>
    </row>
    <row r="16">
      <c r="A16" s="33">
        <v>300095.0</v>
      </c>
      <c r="B16" s="8">
        <v>1156.0</v>
      </c>
      <c r="C16" s="8">
        <v>57.6</v>
      </c>
      <c r="D16" s="7">
        <f t="shared" si="1"/>
        <v>1098.4</v>
      </c>
      <c r="E16" s="34">
        <v>58.0</v>
      </c>
      <c r="F16" s="35">
        <f t="shared" si="2"/>
        <v>1098</v>
      </c>
      <c r="G16" s="8" t="s">
        <v>91</v>
      </c>
      <c r="H16" s="36">
        <v>0.9319944877512889</v>
      </c>
      <c r="I16" s="7">
        <f t="shared" si="3"/>
        <v>1023.702745</v>
      </c>
      <c r="J16" s="37">
        <f t="shared" si="4"/>
        <v>1.13398</v>
      </c>
    </row>
    <row r="17">
      <c r="A17" s="33">
        <v>300054.0</v>
      </c>
      <c r="B17" s="8">
        <v>1157.5</v>
      </c>
      <c r="C17" s="8">
        <v>57.6</v>
      </c>
      <c r="D17" s="7">
        <f t="shared" si="1"/>
        <v>1099.9</v>
      </c>
      <c r="E17" s="34">
        <v>60.5</v>
      </c>
      <c r="F17" s="35">
        <f t="shared" si="2"/>
        <v>1097</v>
      </c>
      <c r="G17" s="8" t="s">
        <v>93</v>
      </c>
      <c r="H17" s="36">
        <v>0.84989612258998</v>
      </c>
      <c r="I17" s="7">
        <f t="shared" si="3"/>
        <v>934.8007452</v>
      </c>
      <c r="J17" s="37">
        <f t="shared" si="4"/>
        <v>1.13398</v>
      </c>
    </row>
    <row r="18">
      <c r="A18" s="33">
        <v>301020.0</v>
      </c>
      <c r="B18" s="8">
        <v>1017.5</v>
      </c>
      <c r="C18" s="8">
        <v>57.6</v>
      </c>
      <c r="D18" s="7">
        <f t="shared" si="1"/>
        <v>959.9</v>
      </c>
      <c r="E18" s="34">
        <v>60.5</v>
      </c>
      <c r="F18" s="35">
        <f t="shared" si="2"/>
        <v>957</v>
      </c>
      <c r="G18" s="8" t="s">
        <v>94</v>
      </c>
      <c r="H18" s="36">
        <v>0.84989612258998</v>
      </c>
      <c r="I18" s="7">
        <f t="shared" si="3"/>
        <v>815.8152881</v>
      </c>
      <c r="J18" s="37">
        <f t="shared" si="4"/>
        <v>1.13398</v>
      </c>
    </row>
    <row r="19">
      <c r="A19" s="33">
        <v>301012.0</v>
      </c>
      <c r="B19" s="8">
        <v>1131.0</v>
      </c>
      <c r="C19" s="8">
        <v>57.6</v>
      </c>
      <c r="D19" s="7">
        <f t="shared" si="1"/>
        <v>1073.4</v>
      </c>
      <c r="E19" s="34">
        <v>61.0</v>
      </c>
      <c r="F19" s="35">
        <f t="shared" si="2"/>
        <v>1070</v>
      </c>
      <c r="G19" s="8" t="s">
        <v>95</v>
      </c>
      <c r="H19" s="36">
        <v>0.7900645329689984</v>
      </c>
      <c r="I19" s="7">
        <f t="shared" si="3"/>
        <v>848.0552697</v>
      </c>
      <c r="J19" s="37">
        <f t="shared" si="4"/>
        <v>1.13398</v>
      </c>
    </row>
    <row r="20">
      <c r="A20" s="33">
        <v>301001.0</v>
      </c>
      <c r="B20" s="8">
        <v>1073.5</v>
      </c>
      <c r="C20" s="8">
        <v>57.6</v>
      </c>
      <c r="D20" s="7">
        <f t="shared" si="1"/>
        <v>1015.9</v>
      </c>
      <c r="E20" s="34">
        <v>66.5</v>
      </c>
      <c r="F20" s="35">
        <f t="shared" si="2"/>
        <v>1007</v>
      </c>
      <c r="G20" s="8" t="s">
        <v>96</v>
      </c>
      <c r="H20" s="36">
        <v>0.7900645329689984</v>
      </c>
      <c r="I20" s="7">
        <f t="shared" si="3"/>
        <v>802.626559</v>
      </c>
      <c r="J20" s="37">
        <f t="shared" si="4"/>
        <v>1.13398</v>
      </c>
    </row>
    <row r="21">
      <c r="A21" s="17">
        <v>301016.0</v>
      </c>
      <c r="B21" s="8">
        <v>1189.5</v>
      </c>
      <c r="C21" s="8">
        <v>57.6</v>
      </c>
      <c r="D21" s="7">
        <f t="shared" si="1"/>
        <v>1131.9</v>
      </c>
      <c r="E21" s="34">
        <v>59.5</v>
      </c>
      <c r="F21" s="35">
        <f t="shared" si="2"/>
        <v>1130</v>
      </c>
      <c r="G21" s="8" t="s">
        <v>98</v>
      </c>
      <c r="H21" s="36">
        <v>0.7845001513289855</v>
      </c>
      <c r="I21" s="7">
        <f t="shared" si="3"/>
        <v>887.9757213</v>
      </c>
      <c r="J21" s="37">
        <f t="shared" si="4"/>
        <v>1.13398</v>
      </c>
    </row>
    <row r="22">
      <c r="A22" s="17">
        <v>301055.0</v>
      </c>
      <c r="B22" s="8">
        <v>1120.5</v>
      </c>
      <c r="C22" s="8">
        <v>57.6</v>
      </c>
      <c r="D22" s="7">
        <f t="shared" si="1"/>
        <v>1062.9</v>
      </c>
      <c r="E22" s="34">
        <v>64.5</v>
      </c>
      <c r="F22" s="35">
        <f t="shared" si="2"/>
        <v>1056</v>
      </c>
      <c r="G22" s="8" t="s">
        <v>99</v>
      </c>
      <c r="H22" s="36">
        <v>0.7845001513289855</v>
      </c>
      <c r="I22" s="7">
        <f t="shared" si="3"/>
        <v>833.8452108</v>
      </c>
      <c r="J22" s="37">
        <f t="shared" si="4"/>
        <v>1.13398</v>
      </c>
    </row>
    <row r="23">
      <c r="A23" s="17">
        <v>301149.0</v>
      </c>
      <c r="B23" s="8">
        <v>1152.5</v>
      </c>
      <c r="C23" s="8">
        <v>57.6</v>
      </c>
      <c r="D23" s="7">
        <f t="shared" si="1"/>
        <v>1094.9</v>
      </c>
      <c r="E23" s="34">
        <v>61.5</v>
      </c>
      <c r="F23" s="35">
        <f t="shared" si="2"/>
        <v>1091</v>
      </c>
      <c r="G23" s="8" t="s">
        <v>100</v>
      </c>
      <c r="H23" s="36">
        <v>0.7845001513289855</v>
      </c>
      <c r="I23" s="7">
        <f t="shared" si="3"/>
        <v>858.9492157</v>
      </c>
      <c r="J23" s="37">
        <f t="shared" si="4"/>
        <v>1.13398</v>
      </c>
    </row>
    <row r="24">
      <c r="A24" s="17">
        <v>301130.0</v>
      </c>
      <c r="B24" s="8">
        <v>1063.0</v>
      </c>
      <c r="C24" s="8">
        <v>57.6</v>
      </c>
      <c r="D24" s="7">
        <f t="shared" si="1"/>
        <v>1005.4</v>
      </c>
      <c r="E24" s="34">
        <v>62.0</v>
      </c>
      <c r="F24" s="35">
        <f t="shared" si="2"/>
        <v>1001</v>
      </c>
      <c r="G24" s="8" t="s">
        <v>104</v>
      </c>
      <c r="H24" s="36">
        <v>0.6328458891234968</v>
      </c>
      <c r="I24" s="7">
        <f t="shared" si="3"/>
        <v>636.2632569</v>
      </c>
      <c r="J24" s="37">
        <f t="shared" si="4"/>
        <v>1.13398</v>
      </c>
    </row>
    <row r="25">
      <c r="A25" s="17">
        <v>301131.0</v>
      </c>
      <c r="B25" s="8">
        <v>1085.0</v>
      </c>
      <c r="C25" s="8">
        <v>57.6</v>
      </c>
      <c r="D25" s="7">
        <f t="shared" si="1"/>
        <v>1027.4</v>
      </c>
      <c r="E25" s="34">
        <v>59.0</v>
      </c>
      <c r="F25" s="35">
        <f t="shared" si="2"/>
        <v>1026</v>
      </c>
      <c r="G25" s="8" t="s">
        <v>110</v>
      </c>
      <c r="H25" s="36">
        <v>0.6328458891234968</v>
      </c>
      <c r="I25" s="7">
        <f t="shared" si="3"/>
        <v>650.1858665</v>
      </c>
      <c r="J25" s="37">
        <f t="shared" si="4"/>
        <v>1.13398</v>
      </c>
    </row>
    <row r="26">
      <c r="A26" s="17">
        <v>301174.0</v>
      </c>
      <c r="B26" s="8">
        <v>1121.0</v>
      </c>
      <c r="C26" s="8">
        <v>57.6</v>
      </c>
      <c r="D26" s="7">
        <f t="shared" si="1"/>
        <v>1063.4</v>
      </c>
      <c r="E26" s="34">
        <v>63.0</v>
      </c>
      <c r="F26" s="35">
        <f t="shared" si="2"/>
        <v>1058</v>
      </c>
      <c r="G26" s="8" t="s">
        <v>112</v>
      </c>
      <c r="H26" s="36">
        <v>0.6328458891234968</v>
      </c>
      <c r="I26" s="7">
        <f t="shared" si="3"/>
        <v>672.9683185</v>
      </c>
      <c r="J26" s="37">
        <f t="shared" si="4"/>
        <v>1.13398</v>
      </c>
    </row>
    <row r="27">
      <c r="A27" s="17">
        <v>301187.0</v>
      </c>
      <c r="B27" s="8">
        <v>1119.0</v>
      </c>
      <c r="C27" s="8">
        <v>57.6</v>
      </c>
      <c r="D27" s="7">
        <f t="shared" si="1"/>
        <v>1061.4</v>
      </c>
      <c r="E27" s="34">
        <v>62.0</v>
      </c>
      <c r="F27" s="35">
        <f t="shared" si="2"/>
        <v>1057</v>
      </c>
      <c r="G27" s="8" t="s">
        <v>113</v>
      </c>
      <c r="H27" s="36">
        <v>0.6328458891234968</v>
      </c>
      <c r="I27" s="7">
        <f t="shared" si="3"/>
        <v>671.7026267</v>
      </c>
      <c r="J27" s="37">
        <f t="shared" si="4"/>
        <v>1.13398</v>
      </c>
    </row>
    <row r="28">
      <c r="C28" s="7"/>
      <c r="D28" s="7"/>
      <c r="E28" s="54"/>
      <c r="F28" s="7"/>
      <c r="G28" s="7"/>
      <c r="H28" s="7"/>
      <c r="I28" s="55"/>
    </row>
    <row r="29">
      <c r="B29" s="7">
        <f>SUM(B11:B27)</f>
        <v>18926</v>
      </c>
      <c r="C29" s="7"/>
      <c r="D29" s="7">
        <f t="shared" ref="D29:F29" si="5">SUM(D11:D27)</f>
        <v>17946.8</v>
      </c>
      <c r="E29" s="54">
        <f t="shared" si="5"/>
        <v>1041</v>
      </c>
      <c r="F29" s="7">
        <f t="shared" si="5"/>
        <v>17885</v>
      </c>
      <c r="G29" s="7"/>
      <c r="H29" s="56">
        <f>IFERROR(I29/D29,"")</f>
        <v>0.8097112507</v>
      </c>
      <c r="I29" s="55">
        <f t="shared" ref="I29:J29" si="6">SUM(I11:I27)</f>
        <v>14531.72587</v>
      </c>
      <c r="J29" s="37">
        <f t="shared" si="6"/>
        <v>19.27766</v>
      </c>
    </row>
    <row r="30">
      <c r="C30" s="7"/>
      <c r="D30" s="7"/>
      <c r="E30" s="7"/>
      <c r="F30" s="7"/>
      <c r="G30" s="7"/>
      <c r="H30" s="55"/>
    </row>
    <row r="31">
      <c r="A31" s="1" t="s">
        <v>114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115</v>
      </c>
      <c r="B32" s="5" t="s">
        <v>116</v>
      </c>
      <c r="C32" s="5" t="s">
        <v>51</v>
      </c>
      <c r="D32" s="5" t="s">
        <v>117</v>
      </c>
      <c r="E32" s="5"/>
      <c r="F32" s="5"/>
      <c r="G32" s="5"/>
      <c r="H32" s="5"/>
      <c r="I32" s="6"/>
      <c r="J32" s="6"/>
      <c r="K32" s="6"/>
      <c r="L32" s="6"/>
      <c r="M32" s="6"/>
      <c r="N32" s="6"/>
      <c r="O32" s="6"/>
    </row>
    <row r="33">
      <c r="A33" s="7">
        <f>B29</f>
        <v>18926</v>
      </c>
      <c r="B33" s="7">
        <f>SUM(D11:D27)</f>
        <v>17946.8</v>
      </c>
      <c r="C33" s="7">
        <f>A33-B33</f>
        <v>979.2</v>
      </c>
      <c r="D33" s="7">
        <f>SUM(F11:F27)</f>
        <v>17885</v>
      </c>
      <c r="E33" s="7"/>
      <c r="F33" s="57"/>
      <c r="G33" s="55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3" t="s">
        <v>2</v>
      </c>
      <c r="K2" s="5"/>
    </row>
    <row r="3">
      <c r="B3" s="4">
        <v>46200.0</v>
      </c>
      <c r="K3" s="5"/>
    </row>
    <row r="4">
      <c r="B4" s="4">
        <v>46207.0</v>
      </c>
      <c r="K4" s="5"/>
    </row>
    <row r="5">
      <c r="K5" s="5"/>
    </row>
    <row r="6">
      <c r="K6" s="5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/>
      <c r="B9" s="5"/>
      <c r="C9" s="20"/>
      <c r="D9" s="20"/>
      <c r="E9" s="5"/>
      <c r="F9" s="5"/>
      <c r="G9" s="20"/>
      <c r="H9" s="5"/>
      <c r="I9" s="5"/>
      <c r="J9" s="5"/>
      <c r="K9" s="5"/>
      <c r="L9" s="5"/>
      <c r="M9" s="5"/>
      <c r="N9" s="6"/>
    </row>
    <row r="10">
      <c r="A10" s="22"/>
      <c r="B10" s="27"/>
      <c r="C10" s="23"/>
      <c r="D10" s="23"/>
      <c r="E10" s="7"/>
      <c r="F10" s="7"/>
      <c r="G10" s="23"/>
      <c r="H10" s="55"/>
    </row>
    <row r="11">
      <c r="A11" s="22"/>
      <c r="B11" s="27"/>
      <c r="C11" s="23"/>
      <c r="D11" s="23"/>
      <c r="E11" s="7"/>
      <c r="F11" s="7"/>
      <c r="G11" s="23"/>
      <c r="H11" s="55"/>
    </row>
    <row r="12">
      <c r="A12" s="22"/>
      <c r="B12" s="27"/>
      <c r="C12" s="23"/>
      <c r="D12" s="23"/>
      <c r="E12" s="7"/>
      <c r="F12" s="7"/>
      <c r="G12" s="23"/>
      <c r="H12" s="55"/>
    </row>
    <row r="13">
      <c r="A13" s="22"/>
      <c r="B13" s="27"/>
      <c r="C13" s="23"/>
      <c r="D13" s="23"/>
      <c r="E13" s="7"/>
      <c r="F13" s="7"/>
      <c r="G13" s="23"/>
      <c r="H13" s="55"/>
    </row>
    <row r="14">
      <c r="A14" s="22"/>
      <c r="B14" s="27"/>
      <c r="C14" s="23"/>
      <c r="D14" s="23"/>
      <c r="E14" s="7"/>
      <c r="F14" s="7"/>
      <c r="G14" s="23"/>
      <c r="H14" s="55"/>
    </row>
    <row r="15">
      <c r="A15" s="22"/>
      <c r="C15" s="23"/>
      <c r="D15" s="23"/>
      <c r="E15" s="7"/>
      <c r="F15" s="7"/>
      <c r="G15" s="23"/>
      <c r="H15" s="55"/>
    </row>
    <row r="16">
      <c r="A16" s="27"/>
      <c r="C16" s="35"/>
      <c r="D16" s="35"/>
      <c r="E16" s="7"/>
      <c r="F16" s="7"/>
      <c r="G16" s="35"/>
      <c r="H16" s="55"/>
    </row>
    <row r="17">
      <c r="A17" s="27"/>
      <c r="C17" s="35"/>
      <c r="D17" s="35"/>
      <c r="E17" s="7"/>
      <c r="F17" s="7"/>
      <c r="G17" s="35"/>
      <c r="H17" s="55"/>
    </row>
    <row r="18">
      <c r="A18" s="27"/>
      <c r="C18" s="35"/>
      <c r="D18" s="35"/>
      <c r="E18" s="7"/>
      <c r="F18" s="7"/>
      <c r="G18" s="35"/>
      <c r="H18" s="55"/>
    </row>
    <row r="19">
      <c r="A19" s="27"/>
      <c r="C19" s="35"/>
      <c r="D19" s="35"/>
      <c r="E19" s="7"/>
      <c r="F19" s="7"/>
      <c r="G19" s="35"/>
      <c r="H19" s="55"/>
    </row>
    <row r="20">
      <c r="A20" s="27"/>
      <c r="C20" s="35"/>
      <c r="D20" s="35"/>
      <c r="E20" s="7"/>
      <c r="F20" s="7"/>
      <c r="G20" s="35"/>
      <c r="H20" s="55"/>
    </row>
    <row r="21">
      <c r="A21" s="27"/>
      <c r="C21" s="35"/>
      <c r="D21" s="35"/>
      <c r="E21" s="7"/>
      <c r="F21" s="7"/>
      <c r="G21" s="35"/>
      <c r="H21" s="55"/>
    </row>
    <row r="22">
      <c r="A22" s="27"/>
      <c r="C22" s="35"/>
      <c r="D22" s="35"/>
      <c r="E22" s="7"/>
      <c r="F22" s="7"/>
      <c r="G22" s="35"/>
      <c r="H22" s="55"/>
    </row>
    <row r="23">
      <c r="A23" s="27"/>
      <c r="C23" s="35"/>
      <c r="D23" s="35"/>
      <c r="E23" s="7"/>
      <c r="F23" s="7"/>
      <c r="G23" s="35"/>
      <c r="H23" s="55"/>
    </row>
    <row r="24">
      <c r="A24" s="27"/>
      <c r="C24" s="35"/>
      <c r="D24" s="35"/>
      <c r="E24" s="7"/>
      <c r="F24" s="7"/>
      <c r="G24" s="35"/>
      <c r="H24" s="55"/>
    </row>
    <row r="25">
      <c r="A25" s="27"/>
      <c r="C25" s="7"/>
      <c r="D25" s="7"/>
      <c r="E25" s="7"/>
      <c r="F25" s="7"/>
      <c r="G25" s="7"/>
      <c r="H25" s="55"/>
    </row>
    <row r="26">
      <c r="A26" s="58"/>
      <c r="B26" s="2"/>
      <c r="C26" s="59"/>
      <c r="D26" s="59"/>
      <c r="E26" s="59"/>
      <c r="F26" s="59"/>
      <c r="G26" s="59"/>
      <c r="H26" s="60"/>
      <c r="I26" s="2"/>
      <c r="J26" s="2"/>
      <c r="K26" s="2"/>
      <c r="L26" s="2"/>
      <c r="M26" s="2"/>
      <c r="N26" s="2"/>
    </row>
    <row r="27">
      <c r="A27" s="61"/>
      <c r="B27" s="5"/>
      <c r="C27" s="62"/>
      <c r="D27" s="62"/>
      <c r="E27" s="62"/>
      <c r="F27" s="62"/>
      <c r="G27" s="62"/>
      <c r="H27" s="63"/>
      <c r="I27" s="5"/>
      <c r="J27" s="5"/>
      <c r="K27" s="5"/>
      <c r="L27" s="6"/>
      <c r="M27" s="6"/>
      <c r="N27" s="6"/>
    </row>
    <row r="28">
      <c r="A28" s="27"/>
      <c r="B28" s="7"/>
      <c r="C28" s="54"/>
      <c r="D28" s="7"/>
      <c r="E28" s="8"/>
      <c r="F28" s="39"/>
      <c r="G28" s="55"/>
      <c r="H28" s="55"/>
    </row>
    <row r="29">
      <c r="A29" s="27"/>
      <c r="C29" s="7"/>
      <c r="D29" s="7"/>
      <c r="E29" s="7"/>
      <c r="F29" s="7"/>
      <c r="G29" s="7"/>
      <c r="H29" s="55"/>
    </row>
    <row r="30">
      <c r="A30" s="27"/>
      <c r="C30" s="7"/>
      <c r="D30" s="7"/>
      <c r="E30" s="7"/>
      <c r="F30" s="7"/>
      <c r="G30" s="7"/>
      <c r="H30" s="55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2</v>
      </c>
      <c r="J2" s="5"/>
    </row>
    <row r="3">
      <c r="B3" s="4">
        <v>46200.0</v>
      </c>
      <c r="J3" s="5"/>
    </row>
    <row r="4">
      <c r="B4" s="4">
        <v>46207.0</v>
      </c>
      <c r="J4" s="5"/>
    </row>
    <row r="5">
      <c r="J5" s="5"/>
    </row>
    <row r="6">
      <c r="J6" s="5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/>
      <c r="B9" s="5"/>
      <c r="C9" s="20"/>
      <c r="D9" s="20"/>
      <c r="E9" s="5"/>
      <c r="F9" s="5"/>
      <c r="G9" s="20"/>
      <c r="H9" s="5"/>
      <c r="I9" s="5"/>
      <c r="J9" s="5"/>
      <c r="K9" s="5"/>
      <c r="L9" s="6"/>
      <c r="M9" s="6"/>
    </row>
    <row r="10">
      <c r="A10" s="64"/>
      <c r="C10" s="23"/>
      <c r="D10" s="23"/>
      <c r="E10" s="7"/>
      <c r="F10" s="7"/>
      <c r="G10" s="23"/>
    </row>
    <row r="11">
      <c r="A11" s="64"/>
      <c r="C11" s="23"/>
      <c r="D11" s="23"/>
      <c r="E11" s="7"/>
      <c r="F11" s="7"/>
      <c r="G11" s="23"/>
    </row>
    <row r="12">
      <c r="A12" s="64"/>
      <c r="C12" s="23"/>
      <c r="D12" s="23"/>
      <c r="E12" s="7"/>
      <c r="F12" s="7"/>
      <c r="G12" s="23"/>
    </row>
    <row r="13">
      <c r="A13" s="64"/>
      <c r="C13" s="23"/>
      <c r="D13" s="23"/>
      <c r="E13" s="7"/>
      <c r="F13" s="7"/>
      <c r="G13" s="23"/>
    </row>
    <row r="14">
      <c r="C14" s="35"/>
      <c r="D14" s="35"/>
      <c r="E14" s="7"/>
      <c r="F14" s="7"/>
      <c r="G14" s="35"/>
    </row>
    <row r="15">
      <c r="C15" s="35"/>
      <c r="D15" s="35"/>
      <c r="E15" s="7"/>
      <c r="F15" s="7"/>
      <c r="G15" s="35"/>
    </row>
    <row r="16">
      <c r="C16" s="35"/>
      <c r="D16" s="35"/>
      <c r="E16" s="7"/>
      <c r="F16" s="7"/>
      <c r="G16" s="35"/>
    </row>
    <row r="17">
      <c r="C17" s="35"/>
      <c r="D17" s="35"/>
      <c r="E17" s="7"/>
      <c r="F17" s="7"/>
      <c r="G17" s="35"/>
    </row>
    <row r="18">
      <c r="C18" s="35"/>
      <c r="D18" s="35"/>
      <c r="E18" s="7"/>
      <c r="F18" s="7"/>
      <c r="G18" s="35"/>
    </row>
    <row r="19">
      <c r="C19" s="35"/>
      <c r="D19" s="35"/>
      <c r="E19" s="7"/>
      <c r="F19" s="7"/>
      <c r="G19" s="35"/>
    </row>
    <row r="20">
      <c r="C20" s="35"/>
      <c r="D20" s="35"/>
      <c r="E20" s="7"/>
      <c r="F20" s="7"/>
      <c r="G20" s="35"/>
    </row>
    <row r="21">
      <c r="C21" s="35"/>
      <c r="D21" s="35"/>
      <c r="E21" s="7"/>
      <c r="F21" s="7"/>
      <c r="G21" s="35"/>
    </row>
    <row r="22">
      <c r="C22" s="35"/>
      <c r="D22" s="35"/>
      <c r="E22" s="7"/>
      <c r="F22" s="7"/>
      <c r="G22" s="35"/>
    </row>
    <row r="23">
      <c r="C23" s="35"/>
      <c r="D23" s="35"/>
      <c r="E23" s="7"/>
      <c r="F23" s="7"/>
      <c r="G23" s="35"/>
    </row>
    <row r="24">
      <c r="C24" s="35"/>
      <c r="D24" s="35"/>
      <c r="E24" s="7"/>
      <c r="F24" s="7"/>
      <c r="G24" s="35"/>
    </row>
    <row r="25">
      <c r="C25" s="7"/>
      <c r="D25" s="7"/>
      <c r="E25" s="7"/>
      <c r="F25" s="7"/>
      <c r="G25" s="7"/>
    </row>
    <row r="26">
      <c r="A26" s="1"/>
      <c r="B26" s="2"/>
      <c r="C26" s="59"/>
      <c r="D26" s="59"/>
      <c r="E26" s="59"/>
      <c r="F26" s="59"/>
      <c r="G26" s="59"/>
      <c r="H26" s="2"/>
      <c r="I26" s="2"/>
      <c r="J26" s="2"/>
      <c r="K26" s="2"/>
      <c r="L26" s="2"/>
      <c r="M26" s="2"/>
    </row>
    <row r="27">
      <c r="A27" s="5"/>
      <c r="B27" s="5"/>
      <c r="C27" s="62"/>
      <c r="D27" s="62"/>
      <c r="E27" s="62"/>
      <c r="F27" s="62"/>
      <c r="G27" s="62"/>
      <c r="H27" s="5"/>
      <c r="I27" s="6"/>
      <c r="J27" s="6"/>
      <c r="K27" s="6"/>
      <c r="L27" s="6"/>
      <c r="M27" s="6"/>
    </row>
    <row r="28">
      <c r="A28" s="7"/>
      <c r="B28" s="7"/>
      <c r="C28" s="54"/>
      <c r="D28" s="7"/>
      <c r="E28" s="8"/>
      <c r="F28" s="8"/>
      <c r="G28" s="7"/>
    </row>
    <row r="29">
      <c r="C29" s="7"/>
      <c r="D29" s="7"/>
      <c r="E29" s="7"/>
      <c r="F29" s="7"/>
      <c r="G29" s="7"/>
    </row>
    <row r="30">
      <c r="C30" s="7"/>
      <c r="D30" s="7"/>
      <c r="E30" s="7"/>
      <c r="F30" s="7"/>
      <c r="G30" s="7"/>
    </row>
    <row r="31">
      <c r="A31" s="3" t="s">
        <v>114</v>
      </c>
    </row>
    <row r="32">
      <c r="A32" s="3" t="s">
        <v>123</v>
      </c>
      <c r="B32" s="3" t="s">
        <v>10</v>
      </c>
      <c r="C32" s="3" t="s">
        <v>12</v>
      </c>
      <c r="D32" s="3" t="s">
        <v>105</v>
      </c>
      <c r="E32" s="3" t="s">
        <v>124</v>
      </c>
      <c r="F32" s="3"/>
      <c r="G32" s="3" t="s">
        <v>125</v>
      </c>
    </row>
    <row r="33">
      <c r="A33" s="9">
        <f>SUMIFS(F10:F29,B10:B29,"&lt;&gt;")</f>
        <v>0</v>
      </c>
      <c r="B33" s="9">
        <f>A33*$M$5</f>
        <v>0</v>
      </c>
      <c r="C33" s="9">
        <f>A33-B33</f>
        <v>0</v>
      </c>
      <c r="D33" s="9" t="str">
        <f>IFERROR(AVERAGE(G10:G29),"")</f>
        <v/>
      </c>
      <c r="E33" s="9" t="str">
        <f>IFERROR(__xludf.DUMMYFUNCTION("IFERROR(AVERAGE.WEIGHTED(I10:I29,F10:F29),"""")"),"")</f>
        <v/>
      </c>
      <c r="G33" s="9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128</v>
      </c>
      <c r="B2" s="3" t="s">
        <v>129</v>
      </c>
      <c r="K2" s="5" t="s">
        <v>36</v>
      </c>
    </row>
    <row r="3">
      <c r="A3" s="3" t="s">
        <v>3</v>
      </c>
      <c r="B3" s="64">
        <v>46179.0</v>
      </c>
      <c r="K3" s="5" t="s">
        <v>37</v>
      </c>
      <c r="L3" s="17">
        <v>2.20462</v>
      </c>
    </row>
    <row r="4">
      <c r="A4" s="3" t="s">
        <v>4</v>
      </c>
      <c r="B4" s="64">
        <v>46186.0</v>
      </c>
      <c r="K4" s="5" t="s">
        <v>38</v>
      </c>
      <c r="L4" s="17">
        <v>0.453592</v>
      </c>
    </row>
    <row r="5">
      <c r="K5" s="5" t="s">
        <v>39</v>
      </c>
      <c r="L5" s="17">
        <v>0.0129</v>
      </c>
    </row>
    <row r="6">
      <c r="K6" s="5" t="s">
        <v>40</v>
      </c>
      <c r="L6" s="3" t="s">
        <v>41</v>
      </c>
    </row>
    <row r="8">
      <c r="A8" s="1" t="s">
        <v>68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5"/>
      <c r="B9" s="66" t="s">
        <v>73</v>
      </c>
      <c r="D9" s="66" t="s">
        <v>74</v>
      </c>
      <c r="F9" s="29" t="s">
        <v>75</v>
      </c>
      <c r="G9" s="28"/>
      <c r="H9" s="28"/>
      <c r="I9" s="28"/>
      <c r="J9" s="67"/>
    </row>
    <row r="10">
      <c r="A10" s="68" t="s">
        <v>76</v>
      </c>
      <c r="B10" s="69" t="s">
        <v>77</v>
      </c>
      <c r="C10" s="69" t="s">
        <v>78</v>
      </c>
      <c r="D10" s="69" t="s">
        <v>79</v>
      </c>
      <c r="E10" s="69" t="s">
        <v>80</v>
      </c>
      <c r="F10" s="69" t="s">
        <v>81</v>
      </c>
      <c r="G10" s="28" t="s">
        <v>82</v>
      </c>
      <c r="H10" s="28" t="s">
        <v>83</v>
      </c>
      <c r="I10" s="28" t="s">
        <v>84</v>
      </c>
      <c r="J10" s="28" t="s">
        <v>85</v>
      </c>
    </row>
    <row r="11">
      <c r="A11" s="70">
        <v>118850.0</v>
      </c>
      <c r="B11" s="71">
        <v>977.0</v>
      </c>
      <c r="C11" s="72">
        <v>57.6</v>
      </c>
      <c r="D11" s="73">
        <f t="shared" ref="D11:D46" si="1">B11-C11</f>
        <v>919.4</v>
      </c>
      <c r="E11" s="74">
        <v>138.0</v>
      </c>
      <c r="F11" s="73">
        <f t="shared" ref="F11:F46" si="2">IF(E11="","",B11-E11)</f>
        <v>839</v>
      </c>
      <c r="G11" s="3" t="s">
        <v>131</v>
      </c>
      <c r="H11" s="75">
        <v>0.13736711280644612</v>
      </c>
      <c r="I11" s="7">
        <f t="shared" ref="I11:I46" si="3">H11*D11</f>
        <v>126.2953235</v>
      </c>
      <c r="J11" s="37">
        <f t="shared" ref="J11:J46" si="4">2.5*$L$4</f>
        <v>1.13398</v>
      </c>
    </row>
    <row r="12">
      <c r="A12" s="70">
        <v>118827.0</v>
      </c>
      <c r="B12" s="71">
        <v>941.0</v>
      </c>
      <c r="C12" s="72">
        <v>57.6</v>
      </c>
      <c r="D12" s="72">
        <f t="shared" si="1"/>
        <v>883.4</v>
      </c>
      <c r="E12" s="76">
        <v>137.0</v>
      </c>
      <c r="F12" s="73">
        <f t="shared" si="2"/>
        <v>804</v>
      </c>
      <c r="G12" s="3" t="s">
        <v>132</v>
      </c>
      <c r="H12" s="75">
        <v>0.13736711280644612</v>
      </c>
      <c r="I12" s="7">
        <f t="shared" si="3"/>
        <v>121.3501075</v>
      </c>
      <c r="J12" s="37">
        <f t="shared" si="4"/>
        <v>1.13398</v>
      </c>
    </row>
    <row r="13">
      <c r="A13" s="70">
        <v>118848.0</v>
      </c>
      <c r="B13" s="71">
        <v>1049.0</v>
      </c>
      <c r="C13" s="72">
        <v>57.6</v>
      </c>
      <c r="D13" s="73">
        <f t="shared" si="1"/>
        <v>991.4</v>
      </c>
      <c r="E13" s="76">
        <v>181.5</v>
      </c>
      <c r="F13" s="73">
        <f t="shared" si="2"/>
        <v>867.5</v>
      </c>
      <c r="G13" s="3" t="s">
        <v>134</v>
      </c>
      <c r="H13" s="75">
        <v>0.13736711280644612</v>
      </c>
      <c r="I13" s="7">
        <f t="shared" si="3"/>
        <v>136.1857556</v>
      </c>
      <c r="J13" s="37">
        <f t="shared" si="4"/>
        <v>1.13398</v>
      </c>
    </row>
    <row r="14">
      <c r="A14" s="70">
        <v>118802.0</v>
      </c>
      <c r="B14" s="71">
        <v>1009.0</v>
      </c>
      <c r="C14" s="72">
        <v>57.6</v>
      </c>
      <c r="D14" s="73">
        <f t="shared" si="1"/>
        <v>951.4</v>
      </c>
      <c r="E14" s="74">
        <v>174.0</v>
      </c>
      <c r="F14" s="73">
        <f t="shared" si="2"/>
        <v>835</v>
      </c>
      <c r="G14" s="3" t="s">
        <v>135</v>
      </c>
      <c r="H14" s="75">
        <v>0.13736711280644612</v>
      </c>
      <c r="I14" s="7">
        <f t="shared" si="3"/>
        <v>130.6910711</v>
      </c>
      <c r="J14" s="37">
        <f t="shared" si="4"/>
        <v>1.13398</v>
      </c>
    </row>
    <row r="15">
      <c r="A15" s="70">
        <v>118838.0</v>
      </c>
      <c r="B15" s="71">
        <v>966.0</v>
      </c>
      <c r="C15" s="72">
        <v>57.6</v>
      </c>
      <c r="D15" s="73">
        <f t="shared" si="1"/>
        <v>908.4</v>
      </c>
      <c r="E15" s="74">
        <v>173.0</v>
      </c>
      <c r="F15" s="73">
        <f t="shared" si="2"/>
        <v>793</v>
      </c>
      <c r="G15" s="3" t="s">
        <v>136</v>
      </c>
      <c r="H15" s="75">
        <v>0.13736711280644612</v>
      </c>
      <c r="I15" s="7">
        <f t="shared" si="3"/>
        <v>124.7842853</v>
      </c>
      <c r="J15" s="37">
        <f t="shared" si="4"/>
        <v>1.13398</v>
      </c>
    </row>
    <row r="16">
      <c r="A16" s="70">
        <v>118861.0</v>
      </c>
      <c r="B16" s="71">
        <v>1081.0</v>
      </c>
      <c r="C16" s="72">
        <v>57.6</v>
      </c>
      <c r="D16" s="73">
        <f t="shared" si="1"/>
        <v>1023.4</v>
      </c>
      <c r="E16" s="74">
        <v>161.0</v>
      </c>
      <c r="F16" s="73">
        <f t="shared" si="2"/>
        <v>920</v>
      </c>
      <c r="G16" s="3" t="s">
        <v>137</v>
      </c>
      <c r="H16" s="75">
        <v>0.13736711280644612</v>
      </c>
      <c r="I16" s="7">
        <f t="shared" si="3"/>
        <v>140.5815032</v>
      </c>
      <c r="J16" s="37">
        <f t="shared" si="4"/>
        <v>1.13398</v>
      </c>
    </row>
    <row r="17">
      <c r="A17" s="70">
        <v>118866.0</v>
      </c>
      <c r="B17" s="71">
        <v>994.0</v>
      </c>
      <c r="C17" s="72">
        <v>57.6</v>
      </c>
      <c r="D17" s="73">
        <f t="shared" si="1"/>
        <v>936.4</v>
      </c>
      <c r="E17" s="74">
        <v>153.0</v>
      </c>
      <c r="F17" s="73">
        <f t="shared" si="2"/>
        <v>841</v>
      </c>
      <c r="G17" s="3" t="s">
        <v>138</v>
      </c>
      <c r="H17" s="75">
        <v>0.13736711280644612</v>
      </c>
      <c r="I17" s="7">
        <f t="shared" si="3"/>
        <v>128.6305644</v>
      </c>
      <c r="J17" s="37">
        <f t="shared" si="4"/>
        <v>1.13398</v>
      </c>
    </row>
    <row r="18">
      <c r="A18" s="70">
        <v>118882.0</v>
      </c>
      <c r="B18" s="71">
        <v>983.0</v>
      </c>
      <c r="C18" s="72">
        <v>57.6</v>
      </c>
      <c r="D18" s="73">
        <f t="shared" si="1"/>
        <v>925.4</v>
      </c>
      <c r="E18" s="74">
        <v>148.0</v>
      </c>
      <c r="F18" s="73">
        <f t="shared" si="2"/>
        <v>835</v>
      </c>
      <c r="G18" s="3" t="s">
        <v>139</v>
      </c>
      <c r="H18" s="75">
        <v>0.13736711280644612</v>
      </c>
      <c r="I18" s="7">
        <f t="shared" si="3"/>
        <v>127.1195262</v>
      </c>
      <c r="J18" s="37">
        <f t="shared" si="4"/>
        <v>1.13398</v>
      </c>
    </row>
    <row r="19">
      <c r="A19" s="70">
        <v>118885.0</v>
      </c>
      <c r="B19" s="71">
        <v>1124.0</v>
      </c>
      <c r="C19" s="72">
        <v>57.6</v>
      </c>
      <c r="D19" s="73">
        <f t="shared" si="1"/>
        <v>1066.4</v>
      </c>
      <c r="E19" s="74">
        <v>152.0</v>
      </c>
      <c r="F19" s="73">
        <f t="shared" si="2"/>
        <v>972</v>
      </c>
      <c r="G19" s="3" t="s">
        <v>140</v>
      </c>
      <c r="H19" s="75">
        <v>0.13736711280644612</v>
      </c>
      <c r="I19" s="7">
        <f t="shared" si="3"/>
        <v>146.4882891</v>
      </c>
      <c r="J19" s="37">
        <f t="shared" si="4"/>
        <v>1.13398</v>
      </c>
    </row>
    <row r="20">
      <c r="A20" s="70">
        <v>118814.0</v>
      </c>
      <c r="B20" s="71">
        <v>1161.0</v>
      </c>
      <c r="C20" s="72">
        <v>57.6</v>
      </c>
      <c r="D20" s="73">
        <f t="shared" si="1"/>
        <v>1103.4</v>
      </c>
      <c r="E20" s="76">
        <v>149.0</v>
      </c>
      <c r="F20" s="73">
        <f t="shared" si="2"/>
        <v>1012</v>
      </c>
      <c r="G20" s="3" t="s">
        <v>142</v>
      </c>
      <c r="H20" s="75">
        <v>0.13736711280644612</v>
      </c>
      <c r="I20" s="7">
        <f t="shared" si="3"/>
        <v>151.5708723</v>
      </c>
      <c r="J20" s="37">
        <f t="shared" si="4"/>
        <v>1.13398</v>
      </c>
    </row>
    <row r="21">
      <c r="A21" s="70">
        <v>118883.0</v>
      </c>
      <c r="B21" s="71">
        <v>1049.0</v>
      </c>
      <c r="C21" s="72">
        <v>57.6</v>
      </c>
      <c r="D21" s="73">
        <f t="shared" si="1"/>
        <v>991.4</v>
      </c>
      <c r="E21" s="74">
        <v>218.0</v>
      </c>
      <c r="F21" s="73">
        <f t="shared" si="2"/>
        <v>831</v>
      </c>
      <c r="G21" s="3" t="s">
        <v>143</v>
      </c>
      <c r="H21" s="75">
        <v>0.13736711280644612</v>
      </c>
      <c r="I21" s="7">
        <f t="shared" si="3"/>
        <v>136.1857556</v>
      </c>
      <c r="J21" s="37">
        <f t="shared" si="4"/>
        <v>1.13398</v>
      </c>
    </row>
    <row r="22">
      <c r="A22" s="70">
        <v>118881.0</v>
      </c>
      <c r="B22" s="71">
        <v>1074.0</v>
      </c>
      <c r="C22" s="72">
        <v>57.6</v>
      </c>
      <c r="D22" s="73">
        <f t="shared" si="1"/>
        <v>1016.4</v>
      </c>
      <c r="E22" s="74">
        <v>181.0</v>
      </c>
      <c r="F22" s="73">
        <f t="shared" si="2"/>
        <v>893</v>
      </c>
      <c r="G22" s="3" t="s">
        <v>144</v>
      </c>
      <c r="H22" s="75">
        <v>0.13736711280644612</v>
      </c>
      <c r="I22" s="7">
        <f t="shared" si="3"/>
        <v>139.6199335</v>
      </c>
      <c r="J22" s="37">
        <f t="shared" si="4"/>
        <v>1.13398</v>
      </c>
    </row>
    <row r="23">
      <c r="A23" s="70">
        <v>120578.0</v>
      </c>
      <c r="B23" s="71">
        <v>1000.0</v>
      </c>
      <c r="C23" s="72">
        <v>57.6</v>
      </c>
      <c r="D23" s="73">
        <f t="shared" si="1"/>
        <v>942.4</v>
      </c>
      <c r="E23" s="74">
        <v>153.5</v>
      </c>
      <c r="F23" s="73">
        <f t="shared" si="2"/>
        <v>846.5</v>
      </c>
      <c r="G23" s="3" t="s">
        <v>145</v>
      </c>
      <c r="H23" s="75">
        <v>0.13736711280644612</v>
      </c>
      <c r="I23" s="7">
        <f t="shared" si="3"/>
        <v>129.4547671</v>
      </c>
      <c r="J23" s="37">
        <f t="shared" si="4"/>
        <v>1.13398</v>
      </c>
    </row>
    <row r="24">
      <c r="A24" s="70">
        <v>120589.0</v>
      </c>
      <c r="B24" s="71">
        <v>906.0</v>
      </c>
      <c r="C24" s="72">
        <v>57.6</v>
      </c>
      <c r="D24" s="73">
        <f t="shared" si="1"/>
        <v>848.4</v>
      </c>
      <c r="E24" s="74">
        <v>111.5</v>
      </c>
      <c r="F24" s="73">
        <f t="shared" si="2"/>
        <v>794.5</v>
      </c>
      <c r="G24" s="3" t="s">
        <v>146</v>
      </c>
      <c r="H24" s="75">
        <v>0.13736711280644612</v>
      </c>
      <c r="I24" s="7">
        <f t="shared" si="3"/>
        <v>116.5422585</v>
      </c>
      <c r="J24" s="37">
        <f t="shared" si="4"/>
        <v>1.13398</v>
      </c>
    </row>
    <row r="25">
      <c r="A25" s="70">
        <v>120524.0</v>
      </c>
      <c r="B25" s="71">
        <v>1040.0</v>
      </c>
      <c r="C25" s="72">
        <v>57.6</v>
      </c>
      <c r="D25" s="73">
        <f t="shared" si="1"/>
        <v>982.4</v>
      </c>
      <c r="E25" s="74">
        <v>142.5</v>
      </c>
      <c r="F25" s="73">
        <f t="shared" si="2"/>
        <v>897.5</v>
      </c>
      <c r="G25" s="3" t="s">
        <v>147</v>
      </c>
      <c r="H25" s="75">
        <v>0.1575553394801048</v>
      </c>
      <c r="I25" s="7">
        <f t="shared" si="3"/>
        <v>154.7823655</v>
      </c>
      <c r="J25" s="37">
        <f t="shared" si="4"/>
        <v>1.13398</v>
      </c>
    </row>
    <row r="26">
      <c r="A26" s="70">
        <v>120505.0</v>
      </c>
      <c r="B26" s="71">
        <v>1019.0</v>
      </c>
      <c r="C26" s="72">
        <v>57.6</v>
      </c>
      <c r="D26" s="73">
        <f t="shared" si="1"/>
        <v>961.4</v>
      </c>
      <c r="E26" s="74">
        <v>182.0</v>
      </c>
      <c r="F26" s="73">
        <f t="shared" si="2"/>
        <v>837</v>
      </c>
      <c r="G26" s="3" t="s">
        <v>149</v>
      </c>
      <c r="H26" s="75">
        <v>0.1575553394801048</v>
      </c>
      <c r="I26" s="7">
        <f t="shared" si="3"/>
        <v>151.4737034</v>
      </c>
      <c r="J26" s="37">
        <f t="shared" si="4"/>
        <v>1.13398</v>
      </c>
    </row>
    <row r="27">
      <c r="A27" s="70">
        <v>120516.0</v>
      </c>
      <c r="B27" s="71">
        <v>1010.0</v>
      </c>
      <c r="C27" s="72">
        <v>57.6</v>
      </c>
      <c r="D27" s="73">
        <f t="shared" si="1"/>
        <v>952.4</v>
      </c>
      <c r="E27" s="74">
        <v>168.5</v>
      </c>
      <c r="F27" s="73">
        <f t="shared" si="2"/>
        <v>841.5</v>
      </c>
      <c r="G27" s="3" t="s">
        <v>150</v>
      </c>
      <c r="H27" s="75">
        <v>0.1575553394801048</v>
      </c>
      <c r="I27" s="7">
        <f t="shared" si="3"/>
        <v>150.0557053</v>
      </c>
      <c r="J27" s="37">
        <f t="shared" si="4"/>
        <v>1.13398</v>
      </c>
    </row>
    <row r="28">
      <c r="A28" s="70">
        <v>228437.0</v>
      </c>
      <c r="B28" s="71">
        <v>1018.0</v>
      </c>
      <c r="C28" s="72">
        <v>57.6</v>
      </c>
      <c r="D28" s="73">
        <f t="shared" si="1"/>
        <v>960.4</v>
      </c>
      <c r="E28" s="74">
        <v>263.5</v>
      </c>
      <c r="F28" s="73">
        <f t="shared" si="2"/>
        <v>754.5</v>
      </c>
      <c r="G28" s="3" t="s">
        <v>151</v>
      </c>
      <c r="H28" s="75">
        <v>0.1110176228550779</v>
      </c>
      <c r="I28" s="7">
        <f t="shared" si="3"/>
        <v>106.621325</v>
      </c>
      <c r="J28" s="37">
        <f t="shared" si="4"/>
        <v>1.13398</v>
      </c>
    </row>
    <row r="29">
      <c r="A29" s="70">
        <v>228426.0</v>
      </c>
      <c r="B29" s="71">
        <v>999.0</v>
      </c>
      <c r="C29" s="72">
        <v>57.6</v>
      </c>
      <c r="D29" s="73">
        <f t="shared" si="1"/>
        <v>941.4</v>
      </c>
      <c r="E29" s="74">
        <v>188.5</v>
      </c>
      <c r="F29" s="73">
        <f t="shared" si="2"/>
        <v>810.5</v>
      </c>
      <c r="G29" s="3" t="s">
        <v>152</v>
      </c>
      <c r="H29" s="75">
        <v>0.1110176228550779</v>
      </c>
      <c r="I29" s="7">
        <f t="shared" si="3"/>
        <v>104.5119902</v>
      </c>
      <c r="J29" s="37">
        <f t="shared" si="4"/>
        <v>1.13398</v>
      </c>
    </row>
    <row r="30">
      <c r="A30" s="70">
        <v>228471.0</v>
      </c>
      <c r="B30" s="71">
        <v>977.0</v>
      </c>
      <c r="C30" s="72">
        <v>57.6</v>
      </c>
      <c r="D30" s="73">
        <f t="shared" si="1"/>
        <v>919.4</v>
      </c>
      <c r="E30" s="74">
        <v>178.0</v>
      </c>
      <c r="F30" s="73">
        <f t="shared" si="2"/>
        <v>799</v>
      </c>
      <c r="G30" s="3" t="s">
        <v>153</v>
      </c>
      <c r="H30" s="75">
        <v>0.1110176228550779</v>
      </c>
      <c r="I30" s="7">
        <f t="shared" si="3"/>
        <v>102.0696025</v>
      </c>
      <c r="J30" s="37">
        <f t="shared" si="4"/>
        <v>1.13398</v>
      </c>
    </row>
    <row r="31">
      <c r="A31" s="70">
        <v>228500.0</v>
      </c>
      <c r="B31" s="71">
        <v>1084.0</v>
      </c>
      <c r="C31" s="72">
        <v>57.6</v>
      </c>
      <c r="D31" s="73">
        <f t="shared" si="1"/>
        <v>1026.4</v>
      </c>
      <c r="E31" s="76">
        <v>176.0</v>
      </c>
      <c r="F31" s="73">
        <f t="shared" si="2"/>
        <v>908</v>
      </c>
      <c r="G31" s="3" t="s">
        <v>154</v>
      </c>
      <c r="H31" s="75">
        <v>0.1110176228550779</v>
      </c>
      <c r="I31" s="7">
        <f t="shared" si="3"/>
        <v>113.9484881</v>
      </c>
      <c r="J31" s="37">
        <f t="shared" si="4"/>
        <v>1.13398</v>
      </c>
    </row>
    <row r="32">
      <c r="A32" s="70">
        <v>228460.0</v>
      </c>
      <c r="B32" s="71">
        <v>1008.0</v>
      </c>
      <c r="C32" s="72">
        <v>57.6</v>
      </c>
      <c r="D32" s="71">
        <f t="shared" si="1"/>
        <v>950.4</v>
      </c>
      <c r="E32" s="76">
        <v>181.5</v>
      </c>
      <c r="F32" s="73">
        <f t="shared" si="2"/>
        <v>826.5</v>
      </c>
      <c r="G32" s="77" t="s">
        <v>156</v>
      </c>
      <c r="H32" s="78">
        <v>0.1110176228550779</v>
      </c>
      <c r="I32" s="7">
        <f t="shared" si="3"/>
        <v>105.5111488</v>
      </c>
      <c r="J32" s="37">
        <f t="shared" si="4"/>
        <v>1.13398</v>
      </c>
    </row>
    <row r="33">
      <c r="A33" s="79">
        <v>228407.0</v>
      </c>
      <c r="B33" s="71">
        <v>1293.0</v>
      </c>
      <c r="C33" s="72">
        <v>57.6</v>
      </c>
      <c r="D33" s="73">
        <f t="shared" si="1"/>
        <v>1235.4</v>
      </c>
      <c r="E33" s="74">
        <v>241.0</v>
      </c>
      <c r="F33" s="73">
        <f t="shared" si="2"/>
        <v>1052</v>
      </c>
      <c r="G33" s="3" t="s">
        <v>157</v>
      </c>
      <c r="H33" s="75">
        <v>0.1110176228550779</v>
      </c>
      <c r="I33" s="7">
        <f t="shared" si="3"/>
        <v>137.1511713</v>
      </c>
      <c r="J33" s="37">
        <f t="shared" si="4"/>
        <v>1.13398</v>
      </c>
    </row>
    <row r="34">
      <c r="A34" s="70">
        <v>228456.0</v>
      </c>
      <c r="B34" s="71">
        <v>1018.0</v>
      </c>
      <c r="C34" s="72">
        <v>57.6</v>
      </c>
      <c r="D34" s="73">
        <f t="shared" si="1"/>
        <v>960.4</v>
      </c>
      <c r="E34" s="74">
        <v>165.0</v>
      </c>
      <c r="F34" s="73">
        <f t="shared" si="2"/>
        <v>853</v>
      </c>
      <c r="G34" s="3" t="s">
        <v>158</v>
      </c>
      <c r="H34" s="75">
        <v>0.1110176228550779</v>
      </c>
      <c r="I34" s="7">
        <f t="shared" si="3"/>
        <v>106.621325</v>
      </c>
      <c r="J34" s="37">
        <f t="shared" si="4"/>
        <v>1.13398</v>
      </c>
    </row>
    <row r="35">
      <c r="A35" s="70">
        <v>228464.0</v>
      </c>
      <c r="B35" s="71">
        <v>1022.0</v>
      </c>
      <c r="C35" s="72">
        <v>57.6</v>
      </c>
      <c r="D35" s="73">
        <f t="shared" si="1"/>
        <v>964.4</v>
      </c>
      <c r="E35" s="74">
        <v>195.5</v>
      </c>
      <c r="F35" s="73">
        <f t="shared" si="2"/>
        <v>826.5</v>
      </c>
      <c r="G35" s="3" t="s">
        <v>159</v>
      </c>
      <c r="H35" s="75">
        <v>0.1110176228550779</v>
      </c>
      <c r="I35" s="7">
        <f t="shared" si="3"/>
        <v>107.0653955</v>
      </c>
      <c r="J35" s="37">
        <f t="shared" si="4"/>
        <v>1.13398</v>
      </c>
    </row>
    <row r="36">
      <c r="A36" s="70">
        <v>228449.0</v>
      </c>
      <c r="B36" s="71">
        <v>1142.0</v>
      </c>
      <c r="C36" s="72">
        <v>57.6</v>
      </c>
      <c r="D36" s="73">
        <f t="shared" si="1"/>
        <v>1084.4</v>
      </c>
      <c r="E36" s="74">
        <v>181.5</v>
      </c>
      <c r="F36" s="73">
        <f t="shared" si="2"/>
        <v>960.5</v>
      </c>
      <c r="G36" s="3" t="s">
        <v>160</v>
      </c>
      <c r="H36" s="75">
        <v>0.1110176228550779</v>
      </c>
      <c r="I36" s="7">
        <f t="shared" si="3"/>
        <v>120.3875102</v>
      </c>
      <c r="J36" s="37">
        <f t="shared" si="4"/>
        <v>1.13398</v>
      </c>
    </row>
    <row r="37">
      <c r="A37" s="70">
        <v>228472.0</v>
      </c>
      <c r="B37" s="71">
        <v>1165.0</v>
      </c>
      <c r="C37" s="72">
        <v>57.6</v>
      </c>
      <c r="D37" s="73">
        <f t="shared" si="1"/>
        <v>1107.4</v>
      </c>
      <c r="E37" s="74">
        <v>177.5</v>
      </c>
      <c r="F37" s="73">
        <f t="shared" si="2"/>
        <v>987.5</v>
      </c>
      <c r="G37" s="3" t="s">
        <v>161</v>
      </c>
      <c r="H37" s="75">
        <v>0.1110176228550779</v>
      </c>
      <c r="I37" s="7">
        <f t="shared" si="3"/>
        <v>122.9409155</v>
      </c>
      <c r="J37" s="37">
        <f t="shared" si="4"/>
        <v>1.13398</v>
      </c>
    </row>
    <row r="38">
      <c r="A38" s="70">
        <v>228463.0</v>
      </c>
      <c r="B38" s="71">
        <v>1057.0</v>
      </c>
      <c r="C38" s="72">
        <v>57.6</v>
      </c>
      <c r="D38" s="73">
        <f t="shared" si="1"/>
        <v>999.4</v>
      </c>
      <c r="E38" s="76">
        <v>187.5</v>
      </c>
      <c r="F38" s="73">
        <f t="shared" si="2"/>
        <v>869.5</v>
      </c>
      <c r="G38" s="3" t="s">
        <v>163</v>
      </c>
      <c r="H38" s="75">
        <v>0.1110176228550779</v>
      </c>
      <c r="I38" s="7">
        <f t="shared" si="3"/>
        <v>110.9510123</v>
      </c>
      <c r="J38" s="37">
        <f t="shared" si="4"/>
        <v>1.13398</v>
      </c>
    </row>
    <row r="39">
      <c r="A39" s="70">
        <v>228454.0</v>
      </c>
      <c r="B39" s="71">
        <v>1181.0</v>
      </c>
      <c r="C39" s="72">
        <v>57.6</v>
      </c>
      <c r="D39" s="73">
        <f t="shared" si="1"/>
        <v>1123.4</v>
      </c>
      <c r="E39" s="74">
        <v>162.5</v>
      </c>
      <c r="F39" s="73">
        <f t="shared" si="2"/>
        <v>1018.5</v>
      </c>
      <c r="G39" s="3" t="s">
        <v>164</v>
      </c>
      <c r="H39" s="75">
        <v>0.1110176228550779</v>
      </c>
      <c r="I39" s="7">
        <f t="shared" si="3"/>
        <v>124.7171975</v>
      </c>
      <c r="J39" s="37">
        <f t="shared" si="4"/>
        <v>1.13398</v>
      </c>
    </row>
    <row r="40">
      <c r="A40" s="70">
        <v>228492.0</v>
      </c>
      <c r="B40" s="71">
        <v>1065.0</v>
      </c>
      <c r="C40" s="72">
        <v>57.6</v>
      </c>
      <c r="D40" s="73">
        <f t="shared" si="1"/>
        <v>1007.4</v>
      </c>
      <c r="E40" s="74">
        <v>176.0</v>
      </c>
      <c r="F40" s="73">
        <f t="shared" si="2"/>
        <v>889</v>
      </c>
      <c r="G40" s="3" t="s">
        <v>165</v>
      </c>
      <c r="H40" s="75">
        <v>0.1110176228550779</v>
      </c>
      <c r="I40" s="7">
        <f t="shared" si="3"/>
        <v>111.8391533</v>
      </c>
      <c r="J40" s="37">
        <f t="shared" si="4"/>
        <v>1.13398</v>
      </c>
    </row>
    <row r="41">
      <c r="A41" s="70">
        <v>228491.0</v>
      </c>
      <c r="B41" s="71">
        <v>1097.0</v>
      </c>
      <c r="C41" s="72">
        <v>57.6</v>
      </c>
      <c r="D41" s="73">
        <f t="shared" si="1"/>
        <v>1039.4</v>
      </c>
      <c r="E41" s="74">
        <v>186.0</v>
      </c>
      <c r="F41" s="73">
        <f t="shared" si="2"/>
        <v>911</v>
      </c>
      <c r="G41" s="3" t="s">
        <v>166</v>
      </c>
      <c r="H41" s="75">
        <v>0.1110176228550779</v>
      </c>
      <c r="I41" s="7">
        <f t="shared" si="3"/>
        <v>115.3917172</v>
      </c>
      <c r="J41" s="37">
        <f t="shared" si="4"/>
        <v>1.13398</v>
      </c>
    </row>
    <row r="42">
      <c r="A42" s="70">
        <v>228420.0</v>
      </c>
      <c r="B42" s="71">
        <v>1100.0</v>
      </c>
      <c r="C42" s="72">
        <v>57.6</v>
      </c>
      <c r="D42" s="73">
        <f t="shared" si="1"/>
        <v>1042.4</v>
      </c>
      <c r="E42" s="76">
        <v>152.5</v>
      </c>
      <c r="F42" s="73">
        <f t="shared" si="2"/>
        <v>947.5</v>
      </c>
      <c r="G42" s="3" t="s">
        <v>167</v>
      </c>
      <c r="H42" s="75">
        <v>0.1110176228550779</v>
      </c>
      <c r="I42" s="7">
        <f t="shared" si="3"/>
        <v>115.7247701</v>
      </c>
      <c r="J42" s="37">
        <f t="shared" si="4"/>
        <v>1.13398</v>
      </c>
    </row>
    <row r="43">
      <c r="A43" s="70">
        <v>228434.0</v>
      </c>
      <c r="B43" s="71">
        <v>1075.0</v>
      </c>
      <c r="C43" s="72">
        <v>57.6</v>
      </c>
      <c r="D43" s="73">
        <f t="shared" si="1"/>
        <v>1017.4</v>
      </c>
      <c r="E43" s="74">
        <v>149.0</v>
      </c>
      <c r="F43" s="73">
        <f t="shared" si="2"/>
        <v>926</v>
      </c>
      <c r="G43" s="3" t="s">
        <v>168</v>
      </c>
      <c r="H43" s="75">
        <v>0.1110176228550779</v>
      </c>
      <c r="I43" s="7">
        <f t="shared" si="3"/>
        <v>112.9493295</v>
      </c>
      <c r="J43" s="37">
        <f t="shared" si="4"/>
        <v>1.13398</v>
      </c>
    </row>
    <row r="44">
      <c r="A44" s="70">
        <v>228448.0</v>
      </c>
      <c r="B44" s="71">
        <v>1104.0</v>
      </c>
      <c r="C44" s="72">
        <v>57.6</v>
      </c>
      <c r="D44" s="73">
        <f t="shared" si="1"/>
        <v>1046.4</v>
      </c>
      <c r="E44" s="74">
        <v>270.0</v>
      </c>
      <c r="F44" s="73">
        <f t="shared" si="2"/>
        <v>834</v>
      </c>
      <c r="G44" s="3" t="s">
        <v>169</v>
      </c>
      <c r="H44" s="75">
        <v>0.1110176228550779</v>
      </c>
      <c r="I44" s="7">
        <f t="shared" si="3"/>
        <v>116.1688406</v>
      </c>
      <c r="J44" s="37">
        <f t="shared" si="4"/>
        <v>1.13398</v>
      </c>
    </row>
    <row r="45">
      <c r="A45" s="70">
        <v>228475.0</v>
      </c>
      <c r="B45" s="71">
        <v>1076.0</v>
      </c>
      <c r="C45" s="72">
        <v>57.6</v>
      </c>
      <c r="D45" s="73">
        <f t="shared" si="1"/>
        <v>1018.4</v>
      </c>
      <c r="E45" s="74">
        <v>223.0</v>
      </c>
      <c r="F45" s="73">
        <f t="shared" si="2"/>
        <v>853</v>
      </c>
      <c r="G45" s="3" t="s">
        <v>220</v>
      </c>
      <c r="H45" s="75">
        <v>0.1110176228550779</v>
      </c>
      <c r="I45" s="7">
        <f t="shared" si="3"/>
        <v>113.0603471</v>
      </c>
      <c r="J45" s="37">
        <f t="shared" si="4"/>
        <v>1.13398</v>
      </c>
    </row>
    <row r="46">
      <c r="A46" s="70">
        <v>228402.0</v>
      </c>
      <c r="B46" s="71">
        <v>969.0</v>
      </c>
      <c r="C46" s="72">
        <v>57.6</v>
      </c>
      <c r="D46" s="73">
        <f t="shared" si="1"/>
        <v>911.4</v>
      </c>
      <c r="E46" s="74">
        <v>218.0</v>
      </c>
      <c r="F46" s="73">
        <f t="shared" si="2"/>
        <v>751</v>
      </c>
      <c r="G46" s="3" t="s">
        <v>221</v>
      </c>
      <c r="H46" s="75">
        <v>0.1110176228550779</v>
      </c>
      <c r="I46" s="7">
        <f t="shared" si="3"/>
        <v>101.1814615</v>
      </c>
      <c r="J46" s="37">
        <f t="shared" si="4"/>
        <v>1.13398</v>
      </c>
    </row>
    <row r="47">
      <c r="A47" s="93"/>
      <c r="B47" s="94"/>
      <c r="C47" s="72"/>
      <c r="D47" s="73"/>
      <c r="E47" s="73"/>
      <c r="F47" s="73"/>
    </row>
    <row r="48">
      <c r="A48" s="93"/>
      <c r="B48" s="94"/>
      <c r="C48" s="72"/>
      <c r="D48" s="73"/>
      <c r="E48" s="73"/>
      <c r="F48" s="73"/>
    </row>
    <row r="49">
      <c r="A49" s="93"/>
      <c r="B49" s="94"/>
      <c r="C49" s="72"/>
      <c r="D49" s="73"/>
      <c r="E49" s="73"/>
      <c r="F49" s="73"/>
    </row>
    <row r="50">
      <c r="A50" s="93"/>
      <c r="B50" s="94"/>
      <c r="C50" s="72"/>
      <c r="D50" s="73"/>
      <c r="E50" s="73"/>
      <c r="F50" s="73"/>
    </row>
    <row r="51">
      <c r="A51" s="93"/>
      <c r="B51" s="94"/>
      <c r="C51" s="72"/>
      <c r="D51" s="73"/>
      <c r="E51" s="73"/>
      <c r="F51" s="73"/>
    </row>
    <row r="52">
      <c r="B52" s="95"/>
      <c r="C52" s="10"/>
      <c r="D52" s="7"/>
      <c r="E52" s="7"/>
      <c r="F52" s="7"/>
      <c r="G52" s="7"/>
      <c r="H52" s="7"/>
      <c r="I52" s="55"/>
    </row>
    <row r="53">
      <c r="A53" s="3" t="s">
        <v>21</v>
      </c>
      <c r="B53" s="96">
        <f t="shared" ref="B53:F53" si="5">SUM(B11:B46)</f>
        <v>37833</v>
      </c>
      <c r="C53" s="96">
        <f t="shared" si="5"/>
        <v>2073.6</v>
      </c>
      <c r="D53" s="96">
        <f t="shared" si="5"/>
        <v>35759.4</v>
      </c>
      <c r="E53" s="96">
        <f t="shared" si="5"/>
        <v>6396</v>
      </c>
      <c r="F53" s="96">
        <f t="shared" si="5"/>
        <v>31437</v>
      </c>
      <c r="G53" s="85"/>
      <c r="H53" s="97">
        <f>IFERROR(SUMPRODUCT(D11:D46,H11:H46)/SUM(D11:D46),"")</f>
        <v>0.1247399142</v>
      </c>
      <c r="I53" s="92">
        <f t="shared" ref="I53:J53" si="6">SUM(I11:I46)</f>
        <v>4460.624488</v>
      </c>
      <c r="J53" s="98">
        <f t="shared" si="6"/>
        <v>40.82328</v>
      </c>
    </row>
    <row r="54">
      <c r="B54" s="95"/>
      <c r="D54" s="7"/>
      <c r="E54" s="7"/>
      <c r="F54" s="7"/>
      <c r="G54" s="7"/>
      <c r="H54" s="7"/>
      <c r="I54" s="55"/>
    </row>
    <row r="55">
      <c r="B55" s="95"/>
      <c r="D55" s="7"/>
      <c r="E55" s="7"/>
      <c r="F55" s="7"/>
      <c r="G55" s="7"/>
      <c r="H55" s="7"/>
      <c r="I55" s="99"/>
    </row>
    <row r="56">
      <c r="B56" s="95"/>
      <c r="D56" s="7"/>
      <c r="E56" s="7"/>
      <c r="F56" s="7"/>
      <c r="G56" s="7" t="str">
        <f t="shared" ref="G56:G73" si="7">IF(AND(D56&lt;&gt;"",F56&lt;&gt;""),(D56-F56)*$L$4,"")</f>
        <v/>
      </c>
      <c r="H56" s="7" t="str">
        <f t="shared" ref="H56:H73" si="8">IF(G56="","",G56*(1-$L$5))</f>
        <v/>
      </c>
      <c r="I56" s="55"/>
    </row>
    <row r="57">
      <c r="B57" s="95"/>
      <c r="D57" s="7"/>
      <c r="E57" s="7"/>
      <c r="F57" s="7"/>
      <c r="G57" s="7" t="str">
        <f t="shared" si="7"/>
        <v/>
      </c>
      <c r="H57" s="7" t="str">
        <f t="shared" si="8"/>
        <v/>
      </c>
      <c r="I57" s="55"/>
    </row>
    <row r="58">
      <c r="B58" s="95"/>
      <c r="D58" s="7"/>
      <c r="E58" s="7"/>
      <c r="F58" s="7"/>
      <c r="G58" s="7" t="str">
        <f t="shared" si="7"/>
        <v/>
      </c>
      <c r="H58" s="7" t="str">
        <f t="shared" si="8"/>
        <v/>
      </c>
      <c r="I58" s="55"/>
    </row>
    <row r="59">
      <c r="B59" s="95"/>
      <c r="D59" s="7"/>
      <c r="E59" s="7"/>
      <c r="F59" s="7"/>
      <c r="G59" s="7" t="str">
        <f t="shared" si="7"/>
        <v/>
      </c>
      <c r="H59" s="7" t="str">
        <f t="shared" si="8"/>
        <v/>
      </c>
      <c r="I59" s="55"/>
    </row>
    <row r="60">
      <c r="B60" s="95"/>
      <c r="D60" s="7"/>
      <c r="E60" s="7"/>
      <c r="F60" s="7"/>
      <c r="G60" s="7" t="str">
        <f t="shared" si="7"/>
        <v/>
      </c>
      <c r="H60" s="7" t="str">
        <f t="shared" si="8"/>
        <v/>
      </c>
      <c r="I60" s="55"/>
    </row>
    <row r="61">
      <c r="B61" s="95"/>
      <c r="D61" s="7"/>
      <c r="E61" s="7"/>
      <c r="F61" s="7"/>
      <c r="G61" s="7" t="str">
        <f t="shared" si="7"/>
        <v/>
      </c>
      <c r="H61" s="7" t="str">
        <f t="shared" si="8"/>
        <v/>
      </c>
      <c r="I61" s="55"/>
    </row>
    <row r="62">
      <c r="B62" s="95"/>
      <c r="D62" s="7"/>
      <c r="E62" s="7"/>
      <c r="F62" s="7"/>
      <c r="G62" s="7" t="str">
        <f t="shared" si="7"/>
        <v/>
      </c>
      <c r="H62" s="7" t="str">
        <f t="shared" si="8"/>
        <v/>
      </c>
      <c r="I62" s="55"/>
    </row>
    <row r="63">
      <c r="B63" s="95"/>
      <c r="D63" s="7"/>
      <c r="E63" s="7"/>
      <c r="F63" s="7"/>
      <c r="G63" s="7" t="str">
        <f t="shared" si="7"/>
        <v/>
      </c>
      <c r="H63" s="7" t="str">
        <f t="shared" si="8"/>
        <v/>
      </c>
      <c r="I63" s="55"/>
    </row>
    <row r="64">
      <c r="B64" s="95"/>
      <c r="D64" s="7"/>
      <c r="E64" s="7"/>
      <c r="F64" s="7"/>
      <c r="G64" s="7" t="str">
        <f t="shared" si="7"/>
        <v/>
      </c>
      <c r="H64" s="7" t="str">
        <f t="shared" si="8"/>
        <v/>
      </c>
      <c r="I64" s="55"/>
    </row>
    <row r="65">
      <c r="B65" s="95"/>
      <c r="D65" s="7"/>
      <c r="E65" s="7"/>
      <c r="F65" s="7"/>
      <c r="G65" s="7" t="str">
        <f t="shared" si="7"/>
        <v/>
      </c>
      <c r="H65" s="7" t="str">
        <f t="shared" si="8"/>
        <v/>
      </c>
      <c r="I65" s="55"/>
    </row>
    <row r="66">
      <c r="B66" s="95"/>
      <c r="D66" s="7"/>
      <c r="E66" s="7"/>
      <c r="F66" s="7"/>
      <c r="G66" s="7" t="str">
        <f t="shared" si="7"/>
        <v/>
      </c>
      <c r="H66" s="7" t="str">
        <f t="shared" si="8"/>
        <v/>
      </c>
      <c r="I66" s="55"/>
    </row>
    <row r="67">
      <c r="B67" s="95"/>
      <c r="D67" s="7"/>
      <c r="E67" s="7"/>
      <c r="F67" s="7"/>
      <c r="G67" s="7" t="str">
        <f t="shared" si="7"/>
        <v/>
      </c>
      <c r="H67" s="7" t="str">
        <f t="shared" si="8"/>
        <v/>
      </c>
      <c r="I67" s="55"/>
    </row>
    <row r="68">
      <c r="B68" s="95"/>
      <c r="D68" s="7"/>
      <c r="E68" s="7"/>
      <c r="F68" s="7"/>
      <c r="G68" s="7" t="str">
        <f t="shared" si="7"/>
        <v/>
      </c>
      <c r="H68" s="7" t="str">
        <f t="shared" si="8"/>
        <v/>
      </c>
      <c r="I68" s="55"/>
    </row>
    <row r="69">
      <c r="B69" s="95"/>
      <c r="D69" s="7"/>
      <c r="E69" s="7"/>
      <c r="F69" s="7"/>
      <c r="G69" s="7" t="str">
        <f t="shared" si="7"/>
        <v/>
      </c>
      <c r="H69" s="7" t="str">
        <f t="shared" si="8"/>
        <v/>
      </c>
      <c r="I69" s="55"/>
    </row>
    <row r="70">
      <c r="B70" s="95"/>
      <c r="D70" s="7"/>
      <c r="E70" s="7"/>
      <c r="F70" s="7"/>
      <c r="G70" s="7" t="str">
        <f t="shared" si="7"/>
        <v/>
      </c>
      <c r="H70" s="7" t="str">
        <f t="shared" si="8"/>
        <v/>
      </c>
      <c r="I70" s="55"/>
    </row>
    <row r="71">
      <c r="B71" s="95"/>
      <c r="D71" s="7"/>
      <c r="E71" s="7"/>
      <c r="F71" s="7"/>
      <c r="G71" s="7" t="str">
        <f t="shared" si="7"/>
        <v/>
      </c>
      <c r="H71" s="7" t="str">
        <f t="shared" si="8"/>
        <v/>
      </c>
      <c r="I71" s="55"/>
    </row>
    <row r="72">
      <c r="B72" s="95"/>
      <c r="D72" s="7"/>
      <c r="E72" s="7"/>
      <c r="F72" s="7"/>
      <c r="G72" s="7" t="str">
        <f t="shared" si="7"/>
        <v/>
      </c>
      <c r="H72" s="7" t="str">
        <f t="shared" si="8"/>
        <v/>
      </c>
      <c r="I72" s="55"/>
    </row>
    <row r="73">
      <c r="B73" s="95"/>
      <c r="D73" s="7"/>
      <c r="E73" s="7"/>
      <c r="F73" s="7"/>
      <c r="G73" s="7" t="str">
        <f t="shared" si="7"/>
        <v/>
      </c>
      <c r="H73" s="7" t="str">
        <f t="shared" si="8"/>
        <v/>
      </c>
      <c r="I73" s="55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181</v>
      </c>
      <c r="B1" s="6"/>
      <c r="C1" s="6"/>
      <c r="D1" s="6"/>
      <c r="E1" s="6"/>
    </row>
    <row r="4">
      <c r="A4" s="80" t="s">
        <v>0</v>
      </c>
      <c r="B4" s="81"/>
      <c r="C4" s="81"/>
      <c r="D4" s="81"/>
      <c r="E4" s="81"/>
    </row>
    <row r="5">
      <c r="A5" s="5" t="s">
        <v>182</v>
      </c>
      <c r="B5" s="5" t="s">
        <v>183</v>
      </c>
      <c r="C5" s="5" t="s">
        <v>184</v>
      </c>
      <c r="D5" s="5" t="s">
        <v>185</v>
      </c>
      <c r="E5" s="5" t="s">
        <v>186</v>
      </c>
    </row>
    <row r="6">
      <c r="A6" s="3" t="s">
        <v>2</v>
      </c>
      <c r="B6" s="3" t="s">
        <v>31</v>
      </c>
      <c r="C6" s="3" t="s">
        <v>187</v>
      </c>
      <c r="D6" s="17">
        <v>17.0</v>
      </c>
      <c r="E6" s="3" t="s">
        <v>188</v>
      </c>
    </row>
    <row r="8">
      <c r="A8" s="3" t="s">
        <v>189</v>
      </c>
      <c r="B8" s="17">
        <v>1201.0</v>
      </c>
    </row>
    <row r="10">
      <c r="A10" s="80" t="s">
        <v>190</v>
      </c>
      <c r="B10" s="81"/>
      <c r="C10" s="81"/>
      <c r="D10" s="81"/>
      <c r="E10" s="81"/>
      <c r="F10" s="81"/>
      <c r="G10" s="81"/>
    </row>
    <row r="11">
      <c r="A11" s="5" t="s">
        <v>191</v>
      </c>
      <c r="B11" s="5" t="s">
        <v>192</v>
      </c>
      <c r="C11" s="5" t="s">
        <v>193</v>
      </c>
      <c r="D11" s="5" t="s">
        <v>194</v>
      </c>
      <c r="E11" s="5" t="s">
        <v>195</v>
      </c>
      <c r="F11" s="5" t="s">
        <v>196</v>
      </c>
      <c r="G11" s="5" t="s">
        <v>197</v>
      </c>
    </row>
    <row r="12">
      <c r="A12" s="3" t="s">
        <v>198</v>
      </c>
      <c r="B12" s="82"/>
      <c r="C12" s="17">
        <v>17.0</v>
      </c>
      <c r="D12" s="17">
        <v>17.0</v>
      </c>
      <c r="E12" s="83">
        <f>D12/C12</f>
        <v>1</v>
      </c>
      <c r="F12" s="9">
        <f>$B$8</f>
        <v>1201</v>
      </c>
      <c r="G12" s="7">
        <f>E12*F12</f>
        <v>1201</v>
      </c>
    </row>
    <row r="13">
      <c r="A13" s="5" t="s">
        <v>21</v>
      </c>
      <c r="B13" s="6"/>
      <c r="C13" s="6">
        <f t="shared" ref="C13:D13" si="1">SUM(C12)</f>
        <v>17</v>
      </c>
      <c r="D13" s="6">
        <f t="shared" si="1"/>
        <v>17</v>
      </c>
      <c r="E13" s="84"/>
      <c r="F13" s="6"/>
      <c r="G13" s="85">
        <f>SUM(G12)</f>
        <v>1201</v>
      </c>
    </row>
    <row r="15">
      <c r="A15" s="80" t="s">
        <v>199</v>
      </c>
      <c r="B15" s="81"/>
      <c r="C15" s="81"/>
      <c r="D15" s="81"/>
    </row>
    <row r="16">
      <c r="A16" s="5" t="s">
        <v>182</v>
      </c>
      <c r="B16" s="5" t="s">
        <v>200</v>
      </c>
      <c r="C16" s="5" t="s">
        <v>197</v>
      </c>
      <c r="D16" s="5" t="s">
        <v>185</v>
      </c>
    </row>
    <row r="17">
      <c r="A17" s="3" t="s">
        <v>2</v>
      </c>
      <c r="B17" s="3" t="s">
        <v>201</v>
      </c>
      <c r="C17" s="7">
        <f>G13</f>
        <v>1201</v>
      </c>
      <c r="D17" s="86">
        <f>D13</f>
        <v>17</v>
      </c>
    </row>
    <row r="19">
      <c r="A19" s="5" t="s">
        <v>202</v>
      </c>
      <c r="B19" s="6"/>
      <c r="C19" s="6"/>
      <c r="D19" s="6"/>
      <c r="E19" s="6"/>
    </row>
    <row r="20">
      <c r="A20" s="5" t="s">
        <v>203</v>
      </c>
      <c r="B20" s="5" t="s">
        <v>183</v>
      </c>
      <c r="C20" s="5" t="s">
        <v>82</v>
      </c>
      <c r="D20" s="5" t="s">
        <v>204</v>
      </c>
      <c r="E20" s="5" t="s">
        <v>182</v>
      </c>
    </row>
    <row r="21">
      <c r="A21" s="3">
        <v>300063.0</v>
      </c>
      <c r="B21" s="3" t="s">
        <v>31</v>
      </c>
      <c r="C21" s="87">
        <v>46023.0</v>
      </c>
      <c r="D21" s="3" t="s">
        <v>198</v>
      </c>
      <c r="E21" s="3" t="s">
        <v>2</v>
      </c>
    </row>
    <row r="22">
      <c r="A22" s="3">
        <v>300077.0</v>
      </c>
      <c r="B22" s="3" t="s">
        <v>31</v>
      </c>
      <c r="C22" s="87">
        <v>46023.0</v>
      </c>
      <c r="D22" s="3" t="s">
        <v>198</v>
      </c>
      <c r="E22" s="3" t="s">
        <v>2</v>
      </c>
    </row>
    <row r="23">
      <c r="A23" s="3">
        <v>300065.0</v>
      </c>
      <c r="B23" s="3" t="s">
        <v>31</v>
      </c>
      <c r="C23" s="87">
        <v>46023.0</v>
      </c>
      <c r="D23" s="3" t="s">
        <v>198</v>
      </c>
      <c r="E23" s="3" t="s">
        <v>2</v>
      </c>
    </row>
    <row r="24">
      <c r="A24" s="3">
        <v>300064.0</v>
      </c>
      <c r="B24" s="3" t="s">
        <v>31</v>
      </c>
      <c r="C24" s="87">
        <v>46023.0</v>
      </c>
      <c r="D24" s="3" t="s">
        <v>198</v>
      </c>
      <c r="E24" s="3" t="s">
        <v>2</v>
      </c>
    </row>
    <row r="25">
      <c r="A25" s="3">
        <v>300099.0</v>
      </c>
      <c r="B25" s="3" t="s">
        <v>31</v>
      </c>
      <c r="C25" s="87">
        <v>46023.0</v>
      </c>
      <c r="D25" s="3" t="s">
        <v>198</v>
      </c>
      <c r="E25" s="3" t="s">
        <v>2</v>
      </c>
    </row>
    <row r="26">
      <c r="A26" s="3">
        <v>300095.0</v>
      </c>
      <c r="B26" s="3" t="s">
        <v>31</v>
      </c>
      <c r="C26" s="87">
        <v>46023.0</v>
      </c>
      <c r="D26" s="3" t="s">
        <v>198</v>
      </c>
      <c r="E26" s="3" t="s">
        <v>2</v>
      </c>
    </row>
    <row r="27">
      <c r="A27" s="3">
        <v>300054.0</v>
      </c>
      <c r="B27" s="3" t="s">
        <v>31</v>
      </c>
      <c r="C27" s="87">
        <v>46054.0</v>
      </c>
      <c r="D27" s="3" t="s">
        <v>198</v>
      </c>
      <c r="E27" s="3" t="s">
        <v>2</v>
      </c>
    </row>
    <row r="28">
      <c r="A28" s="3">
        <v>301020.0</v>
      </c>
      <c r="B28" s="3" t="s">
        <v>31</v>
      </c>
      <c r="C28" s="87">
        <v>46054.0</v>
      </c>
      <c r="D28" s="3" t="s">
        <v>198</v>
      </c>
      <c r="E28" s="3" t="s">
        <v>2</v>
      </c>
    </row>
    <row r="29">
      <c r="A29" s="3">
        <v>301012.0</v>
      </c>
      <c r="B29" s="3" t="s">
        <v>31</v>
      </c>
      <c r="C29" s="87">
        <v>46082.0</v>
      </c>
      <c r="D29" s="3" t="s">
        <v>198</v>
      </c>
      <c r="E29" s="3" t="s">
        <v>2</v>
      </c>
    </row>
    <row r="30">
      <c r="A30" s="3">
        <v>301001.0</v>
      </c>
      <c r="B30" s="3" t="s">
        <v>31</v>
      </c>
      <c r="C30" s="87">
        <v>46082.0</v>
      </c>
      <c r="D30" s="3" t="s">
        <v>198</v>
      </c>
      <c r="E30" s="3" t="s">
        <v>2</v>
      </c>
    </row>
    <row r="31">
      <c r="A31" s="3">
        <v>301016.0</v>
      </c>
      <c r="B31" s="3" t="s">
        <v>31</v>
      </c>
      <c r="C31" s="87">
        <v>46113.0</v>
      </c>
      <c r="D31" s="3" t="s">
        <v>198</v>
      </c>
      <c r="E31" s="3" t="s">
        <v>2</v>
      </c>
    </row>
    <row r="32">
      <c r="A32" s="3">
        <v>301055.0</v>
      </c>
      <c r="B32" s="3" t="s">
        <v>31</v>
      </c>
      <c r="C32" s="87">
        <v>46113.0</v>
      </c>
      <c r="D32" s="3" t="s">
        <v>198</v>
      </c>
      <c r="E32" s="3" t="s">
        <v>2</v>
      </c>
    </row>
    <row r="33">
      <c r="A33" s="3">
        <v>301149.0</v>
      </c>
      <c r="B33" s="3" t="s">
        <v>31</v>
      </c>
      <c r="C33" s="87">
        <v>46113.0</v>
      </c>
      <c r="D33" s="3" t="s">
        <v>198</v>
      </c>
      <c r="E33" s="3" t="s">
        <v>2</v>
      </c>
    </row>
    <row r="34">
      <c r="A34" s="3">
        <v>301130.0</v>
      </c>
      <c r="B34" s="3" t="s">
        <v>31</v>
      </c>
      <c r="C34" s="88">
        <v>46143.0</v>
      </c>
      <c r="D34" s="3" t="s">
        <v>198</v>
      </c>
      <c r="E34" s="3" t="s">
        <v>2</v>
      </c>
    </row>
    <row r="35">
      <c r="A35" s="3">
        <v>301131.0</v>
      </c>
      <c r="B35" s="3" t="s">
        <v>31</v>
      </c>
      <c r="C35" s="88">
        <v>46143.0</v>
      </c>
      <c r="D35" s="3" t="s">
        <v>198</v>
      </c>
      <c r="E35" s="3" t="s">
        <v>2</v>
      </c>
    </row>
    <row r="36">
      <c r="A36" s="3">
        <v>301174.0</v>
      </c>
      <c r="B36" s="3" t="s">
        <v>31</v>
      </c>
      <c r="C36" s="88">
        <v>46143.0</v>
      </c>
      <c r="D36" s="3" t="s">
        <v>198</v>
      </c>
      <c r="E36" s="3" t="s">
        <v>2</v>
      </c>
    </row>
    <row r="37">
      <c r="A37" s="3">
        <v>301187.0</v>
      </c>
      <c r="B37" s="3" t="s">
        <v>31</v>
      </c>
      <c r="C37" s="88">
        <v>46143.0</v>
      </c>
      <c r="D37" s="3" t="s">
        <v>198</v>
      </c>
      <c r="E37" s="3" t="s">
        <v>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9" t="s">
        <v>205</v>
      </c>
      <c r="B1" s="90"/>
      <c r="C1" s="90"/>
      <c r="D1" s="90"/>
      <c r="E1" s="90"/>
      <c r="F1" s="90"/>
      <c r="G1" s="90"/>
    </row>
    <row r="4">
      <c r="A4" s="5" t="s">
        <v>0</v>
      </c>
      <c r="B4" s="6"/>
      <c r="C4" s="6"/>
      <c r="D4" s="6"/>
      <c r="E4" s="6"/>
      <c r="F4" s="6"/>
      <c r="G4" s="6"/>
    </row>
    <row r="5">
      <c r="A5" s="5" t="s">
        <v>182</v>
      </c>
      <c r="B5" s="5" t="s">
        <v>183</v>
      </c>
      <c r="C5" s="5" t="s">
        <v>184</v>
      </c>
      <c r="D5" s="5" t="s">
        <v>185</v>
      </c>
      <c r="E5" s="5" t="s">
        <v>206</v>
      </c>
      <c r="F5" s="6"/>
      <c r="G5" s="6"/>
    </row>
    <row r="6">
      <c r="A6" s="3" t="s">
        <v>129</v>
      </c>
      <c r="B6" s="3" t="s">
        <v>20</v>
      </c>
      <c r="C6" s="3" t="s">
        <v>207</v>
      </c>
      <c r="D6" s="17">
        <v>36.0</v>
      </c>
      <c r="E6" s="3" t="s">
        <v>208</v>
      </c>
    </row>
    <row r="8">
      <c r="A8" s="5" t="s">
        <v>209</v>
      </c>
      <c r="B8" s="21">
        <v>1201.0</v>
      </c>
      <c r="C8" s="6"/>
      <c r="D8" s="6"/>
      <c r="E8" s="6"/>
      <c r="F8" s="6"/>
      <c r="G8" s="6"/>
    </row>
    <row r="10">
      <c r="A10" s="5" t="s">
        <v>190</v>
      </c>
      <c r="B10" s="6"/>
      <c r="C10" s="6"/>
      <c r="D10" s="6"/>
      <c r="E10" s="6"/>
      <c r="F10" s="6"/>
      <c r="G10" s="6"/>
    </row>
    <row r="11">
      <c r="A11" s="5" t="s">
        <v>210</v>
      </c>
      <c r="B11" s="5" t="s">
        <v>192</v>
      </c>
      <c r="C11" s="5" t="s">
        <v>193</v>
      </c>
      <c r="D11" s="5" t="s">
        <v>194</v>
      </c>
      <c r="E11" s="5" t="s">
        <v>195</v>
      </c>
      <c r="F11" s="5" t="s">
        <v>196</v>
      </c>
      <c r="G11" s="5" t="s">
        <v>197</v>
      </c>
    </row>
    <row r="12">
      <c r="A12" s="3" t="s">
        <v>211</v>
      </c>
      <c r="B12" s="82">
        <v>46000.0</v>
      </c>
      <c r="C12" s="17">
        <v>36.0</v>
      </c>
      <c r="D12" s="17">
        <v>18.0</v>
      </c>
      <c r="E12" s="83">
        <f t="shared" ref="E12:E13" si="1">D12/C12</f>
        <v>0.5</v>
      </c>
      <c r="F12" s="9">
        <f t="shared" ref="F12:F13" si="2">$B$8</f>
        <v>1201</v>
      </c>
      <c r="G12" s="7">
        <f t="shared" ref="G12:G13" si="3">E12*F12</f>
        <v>600.5</v>
      </c>
    </row>
    <row r="13">
      <c r="A13" s="3" t="s">
        <v>212</v>
      </c>
      <c r="B13" s="82">
        <v>46001.0</v>
      </c>
      <c r="C13" s="17">
        <v>35.0</v>
      </c>
      <c r="D13" s="17">
        <v>18.0</v>
      </c>
      <c r="E13" s="83">
        <f t="shared" si="1"/>
        <v>0.5142857143</v>
      </c>
      <c r="F13" s="9">
        <f t="shared" si="2"/>
        <v>1201</v>
      </c>
      <c r="G13" s="7">
        <f t="shared" si="3"/>
        <v>617.6571429</v>
      </c>
    </row>
    <row r="14">
      <c r="A14" s="5" t="s">
        <v>21</v>
      </c>
      <c r="B14" s="91"/>
      <c r="C14" s="6">
        <f t="shared" ref="C14:D14" si="4">SUM(C12:C13)</f>
        <v>71</v>
      </c>
      <c r="D14" s="6">
        <f t="shared" si="4"/>
        <v>36</v>
      </c>
      <c r="E14" s="84"/>
      <c r="F14" s="6"/>
      <c r="G14" s="85">
        <f>SUM(G12:G13)</f>
        <v>1218.157143</v>
      </c>
    </row>
    <row r="15">
      <c r="A15" s="5"/>
      <c r="B15" s="6"/>
      <c r="C15" s="6"/>
      <c r="D15" s="6"/>
      <c r="E15" s="6"/>
      <c r="F15" s="6"/>
      <c r="G15" s="92"/>
    </row>
    <row r="16">
      <c r="A16" s="5" t="s">
        <v>199</v>
      </c>
    </row>
    <row r="17">
      <c r="A17" s="5" t="s">
        <v>182</v>
      </c>
      <c r="B17" s="5" t="s">
        <v>213</v>
      </c>
      <c r="C17" s="5" t="s">
        <v>197</v>
      </c>
      <c r="D17" s="5" t="s">
        <v>185</v>
      </c>
      <c r="E17" s="6"/>
      <c r="F17" s="6"/>
      <c r="G17" s="6"/>
    </row>
    <row r="18">
      <c r="A18" s="5" t="s">
        <v>129</v>
      </c>
      <c r="B18" s="5" t="s">
        <v>214</v>
      </c>
      <c r="C18" s="62">
        <f>G14</f>
        <v>1218.157143</v>
      </c>
      <c r="D18" s="5">
        <f>D14</f>
        <v>36</v>
      </c>
      <c r="E18" s="6"/>
      <c r="F18" s="6"/>
      <c r="G18" s="6"/>
    </row>
    <row r="19">
      <c r="C19" s="55"/>
    </row>
    <row r="20">
      <c r="A20" s="3" t="s">
        <v>215</v>
      </c>
    </row>
    <row r="21">
      <c r="A21" s="5" t="s">
        <v>203</v>
      </c>
      <c r="B21" s="5" t="s">
        <v>183</v>
      </c>
      <c r="C21" s="5" t="s">
        <v>82</v>
      </c>
      <c r="D21" s="5" t="s">
        <v>216</v>
      </c>
      <c r="E21" s="5" t="s">
        <v>182</v>
      </c>
      <c r="F21" s="6"/>
      <c r="G21" s="6"/>
    </row>
    <row r="22">
      <c r="A22" s="3">
        <v>118814.0</v>
      </c>
      <c r="B22" s="3" t="s">
        <v>20</v>
      </c>
      <c r="C22" s="3" t="s">
        <v>217</v>
      </c>
      <c r="D22" s="82">
        <v>46000.0</v>
      </c>
      <c r="E22" s="3" t="s">
        <v>129</v>
      </c>
      <c r="F22" s="6"/>
    </row>
    <row r="23">
      <c r="A23" s="3">
        <v>120524.0</v>
      </c>
      <c r="B23" s="3" t="s">
        <v>20</v>
      </c>
      <c r="C23" s="3" t="s">
        <v>218</v>
      </c>
      <c r="D23" s="82">
        <v>46000.0</v>
      </c>
      <c r="E23" s="3" t="s">
        <v>129</v>
      </c>
    </row>
    <row r="24">
      <c r="A24" s="3">
        <v>120505.0</v>
      </c>
      <c r="B24" s="3" t="s">
        <v>20</v>
      </c>
      <c r="C24" s="3" t="s">
        <v>218</v>
      </c>
      <c r="D24" s="82">
        <v>46000.0</v>
      </c>
      <c r="E24" s="3" t="s">
        <v>129</v>
      </c>
    </row>
    <row r="25">
      <c r="A25" s="3">
        <v>120516.0</v>
      </c>
      <c r="B25" s="3" t="s">
        <v>20</v>
      </c>
      <c r="C25" s="3" t="s">
        <v>218</v>
      </c>
      <c r="D25" s="82">
        <v>46000.0</v>
      </c>
      <c r="E25" s="3" t="s">
        <v>129</v>
      </c>
    </row>
    <row r="26">
      <c r="A26" s="3">
        <v>228437.0</v>
      </c>
      <c r="B26" s="3" t="s">
        <v>20</v>
      </c>
      <c r="C26" s="88">
        <v>45931.0</v>
      </c>
      <c r="D26" s="82">
        <v>46000.0</v>
      </c>
      <c r="E26" s="3" t="s">
        <v>129</v>
      </c>
    </row>
    <row r="27">
      <c r="A27" s="3">
        <v>228426.0</v>
      </c>
      <c r="B27" s="3" t="s">
        <v>20</v>
      </c>
      <c r="C27" s="88">
        <v>45931.0</v>
      </c>
      <c r="D27" s="82">
        <v>46000.0</v>
      </c>
      <c r="E27" s="3" t="s">
        <v>129</v>
      </c>
    </row>
    <row r="28">
      <c r="A28" s="3">
        <v>228471.0</v>
      </c>
      <c r="B28" s="3" t="s">
        <v>20</v>
      </c>
      <c r="C28" s="88">
        <v>45931.0</v>
      </c>
      <c r="D28" s="82">
        <v>46000.0</v>
      </c>
      <c r="E28" s="3" t="s">
        <v>129</v>
      </c>
    </row>
    <row r="29">
      <c r="A29" s="3">
        <v>228449.0</v>
      </c>
      <c r="B29" s="3" t="s">
        <v>20</v>
      </c>
      <c r="C29" s="88">
        <v>45931.0</v>
      </c>
      <c r="D29" s="82">
        <v>46000.0</v>
      </c>
      <c r="E29" s="3" t="s">
        <v>129</v>
      </c>
    </row>
    <row r="30">
      <c r="A30" s="3">
        <v>228472.0</v>
      </c>
      <c r="B30" s="3" t="s">
        <v>20</v>
      </c>
      <c r="C30" s="88">
        <v>45931.0</v>
      </c>
      <c r="D30" s="82">
        <v>46000.0</v>
      </c>
      <c r="E30" s="3" t="s">
        <v>129</v>
      </c>
    </row>
    <row r="31">
      <c r="A31" s="3">
        <v>228463.0</v>
      </c>
      <c r="B31" s="3" t="s">
        <v>20</v>
      </c>
      <c r="C31" s="88">
        <v>45931.0</v>
      </c>
      <c r="D31" s="82">
        <v>46000.0</v>
      </c>
      <c r="E31" s="3" t="s">
        <v>129</v>
      </c>
    </row>
    <row r="32">
      <c r="A32" s="3">
        <v>228454.0</v>
      </c>
      <c r="B32" s="3" t="s">
        <v>20</v>
      </c>
      <c r="C32" s="88">
        <v>45931.0</v>
      </c>
      <c r="D32" s="82">
        <v>46000.0</v>
      </c>
      <c r="E32" s="3" t="s">
        <v>129</v>
      </c>
    </row>
    <row r="33">
      <c r="A33" s="3">
        <v>228492.0</v>
      </c>
      <c r="B33" s="3" t="s">
        <v>20</v>
      </c>
      <c r="C33" s="88">
        <v>45931.0</v>
      </c>
      <c r="D33" s="82">
        <v>46000.0</v>
      </c>
      <c r="E33" s="3" t="s">
        <v>129</v>
      </c>
      <c r="F33" s="6"/>
    </row>
    <row r="34">
      <c r="A34" s="3">
        <v>228491.0</v>
      </c>
      <c r="B34" s="3" t="s">
        <v>20</v>
      </c>
      <c r="C34" s="88">
        <v>45931.0</v>
      </c>
      <c r="D34" s="82">
        <v>46000.0</v>
      </c>
      <c r="E34" s="3" t="s">
        <v>129</v>
      </c>
    </row>
    <row r="35">
      <c r="A35" s="3">
        <v>228420.0</v>
      </c>
      <c r="B35" s="3" t="s">
        <v>20</v>
      </c>
      <c r="C35" s="88">
        <v>45931.0</v>
      </c>
      <c r="D35" s="82">
        <v>46000.0</v>
      </c>
      <c r="E35" s="3" t="s">
        <v>129</v>
      </c>
      <c r="F35" s="6"/>
    </row>
    <row r="36">
      <c r="A36" s="3">
        <v>228434.0</v>
      </c>
      <c r="B36" s="3" t="s">
        <v>20</v>
      </c>
      <c r="C36" s="88">
        <v>45931.0</v>
      </c>
      <c r="D36" s="82">
        <v>46000.0</v>
      </c>
      <c r="E36" s="3" t="s">
        <v>129</v>
      </c>
      <c r="F36" s="6"/>
    </row>
    <row r="37">
      <c r="A37" s="3">
        <v>228448.0</v>
      </c>
      <c r="B37" s="3" t="s">
        <v>20</v>
      </c>
      <c r="C37" s="88">
        <v>45931.0</v>
      </c>
      <c r="D37" s="82">
        <v>46000.0</v>
      </c>
      <c r="E37" s="3" t="s">
        <v>129</v>
      </c>
    </row>
    <row r="38">
      <c r="A38" s="3">
        <v>228475.0</v>
      </c>
      <c r="B38" s="3" t="s">
        <v>20</v>
      </c>
      <c r="C38" s="88">
        <v>45931.0</v>
      </c>
      <c r="D38" s="82">
        <v>46000.0</v>
      </c>
      <c r="E38" s="3" t="s">
        <v>129</v>
      </c>
    </row>
    <row r="39">
      <c r="A39" s="3">
        <v>228402.0</v>
      </c>
      <c r="B39" s="3" t="s">
        <v>20</v>
      </c>
      <c r="C39" s="88">
        <v>45931.0</v>
      </c>
      <c r="D39" s="82">
        <v>46000.0</v>
      </c>
      <c r="E39" s="3" t="s">
        <v>129</v>
      </c>
    </row>
    <row r="40">
      <c r="D40" s="82"/>
    </row>
    <row r="41">
      <c r="A41" s="3" t="s">
        <v>219</v>
      </c>
      <c r="D41" s="82"/>
    </row>
    <row r="42">
      <c r="A42" s="3" t="s">
        <v>203</v>
      </c>
      <c r="B42" s="3" t="s">
        <v>183</v>
      </c>
      <c r="C42" s="3" t="s">
        <v>82</v>
      </c>
      <c r="D42" s="3" t="s">
        <v>216</v>
      </c>
      <c r="E42" s="3" t="s">
        <v>182</v>
      </c>
    </row>
    <row r="43">
      <c r="A43" s="3">
        <v>118850.0</v>
      </c>
      <c r="B43" s="3" t="s">
        <v>20</v>
      </c>
      <c r="C43" s="3" t="s">
        <v>217</v>
      </c>
      <c r="D43" s="82">
        <v>46001.0</v>
      </c>
      <c r="E43" s="3" t="s">
        <v>129</v>
      </c>
    </row>
    <row r="44">
      <c r="A44" s="3">
        <v>118827.0</v>
      </c>
      <c r="B44" s="3" t="s">
        <v>20</v>
      </c>
      <c r="C44" s="3" t="s">
        <v>217</v>
      </c>
      <c r="D44" s="82">
        <v>46001.0</v>
      </c>
      <c r="E44" s="3" t="s">
        <v>129</v>
      </c>
    </row>
    <row r="45">
      <c r="A45" s="3">
        <v>118848.0</v>
      </c>
      <c r="B45" s="3" t="s">
        <v>20</v>
      </c>
      <c r="C45" s="3" t="s">
        <v>217</v>
      </c>
      <c r="D45" s="82">
        <v>46001.0</v>
      </c>
      <c r="E45" s="3" t="s">
        <v>129</v>
      </c>
    </row>
    <row r="46">
      <c r="A46" s="3">
        <v>118802.0</v>
      </c>
      <c r="B46" s="3" t="s">
        <v>20</v>
      </c>
      <c r="C46" s="3" t="s">
        <v>217</v>
      </c>
      <c r="D46" s="82">
        <v>46001.0</v>
      </c>
      <c r="E46" s="3" t="s">
        <v>129</v>
      </c>
    </row>
    <row r="47">
      <c r="A47" s="3">
        <v>118838.0</v>
      </c>
      <c r="B47" s="3" t="s">
        <v>20</v>
      </c>
      <c r="C47" s="3" t="s">
        <v>217</v>
      </c>
      <c r="D47" s="82">
        <v>46001.0</v>
      </c>
      <c r="E47" s="3" t="s">
        <v>129</v>
      </c>
    </row>
    <row r="48">
      <c r="A48" s="3">
        <v>118861.0</v>
      </c>
      <c r="B48" s="3" t="s">
        <v>20</v>
      </c>
      <c r="C48" s="3" t="s">
        <v>217</v>
      </c>
      <c r="D48" s="82">
        <v>46001.0</v>
      </c>
      <c r="E48" s="3" t="s">
        <v>129</v>
      </c>
    </row>
    <row r="49">
      <c r="A49" s="3">
        <v>118866.0</v>
      </c>
      <c r="B49" s="3" t="s">
        <v>20</v>
      </c>
      <c r="C49" s="3" t="s">
        <v>217</v>
      </c>
      <c r="D49" s="82">
        <v>46001.0</v>
      </c>
      <c r="E49" s="3" t="s">
        <v>129</v>
      </c>
    </row>
    <row r="50">
      <c r="A50" s="3">
        <v>118882.0</v>
      </c>
      <c r="B50" s="3" t="s">
        <v>20</v>
      </c>
      <c r="C50" s="3" t="s">
        <v>217</v>
      </c>
      <c r="D50" s="82">
        <v>46001.0</v>
      </c>
      <c r="E50" s="3" t="s">
        <v>129</v>
      </c>
    </row>
    <row r="51">
      <c r="A51" s="3">
        <v>118885.0</v>
      </c>
      <c r="B51" s="3" t="s">
        <v>20</v>
      </c>
      <c r="C51" s="3" t="s">
        <v>217</v>
      </c>
      <c r="D51" s="82">
        <v>46001.0</v>
      </c>
      <c r="E51" s="3" t="s">
        <v>129</v>
      </c>
    </row>
    <row r="52">
      <c r="A52" s="3">
        <v>118883.0</v>
      </c>
      <c r="B52" s="3" t="s">
        <v>20</v>
      </c>
      <c r="C52" s="3" t="s">
        <v>217</v>
      </c>
      <c r="D52" s="82">
        <v>46001.0</v>
      </c>
      <c r="E52" s="3" t="s">
        <v>129</v>
      </c>
    </row>
    <row r="53">
      <c r="A53" s="3">
        <v>118881.0</v>
      </c>
      <c r="B53" s="3" t="s">
        <v>20</v>
      </c>
      <c r="C53" s="3" t="s">
        <v>217</v>
      </c>
      <c r="D53" s="82">
        <v>46001.0</v>
      </c>
      <c r="E53" s="3" t="s">
        <v>129</v>
      </c>
    </row>
    <row r="54">
      <c r="A54" s="3">
        <v>120578.0</v>
      </c>
      <c r="B54" s="3" t="s">
        <v>20</v>
      </c>
      <c r="C54" s="3" t="s">
        <v>217</v>
      </c>
      <c r="D54" s="82">
        <v>46001.0</v>
      </c>
      <c r="E54" s="3" t="s">
        <v>129</v>
      </c>
      <c r="F54" s="6"/>
    </row>
    <row r="55">
      <c r="A55" s="3">
        <v>120589.0</v>
      </c>
      <c r="B55" s="3" t="s">
        <v>20</v>
      </c>
      <c r="C55" s="3" t="s">
        <v>217</v>
      </c>
      <c r="D55" s="82">
        <v>46001.0</v>
      </c>
      <c r="E55" s="3" t="s">
        <v>129</v>
      </c>
    </row>
    <row r="56">
      <c r="A56" s="3">
        <v>228500.0</v>
      </c>
      <c r="B56" s="3" t="s">
        <v>20</v>
      </c>
      <c r="C56" s="88">
        <v>45931.0</v>
      </c>
      <c r="D56" s="82">
        <v>46001.0</v>
      </c>
      <c r="E56" s="3" t="s">
        <v>129</v>
      </c>
      <c r="F56" s="6"/>
    </row>
    <row r="57">
      <c r="A57" s="3">
        <v>228460.0</v>
      </c>
      <c r="B57" s="3" t="s">
        <v>20</v>
      </c>
      <c r="C57" s="88">
        <v>45931.0</v>
      </c>
      <c r="D57" s="82">
        <v>46001.0</v>
      </c>
      <c r="E57" s="3" t="s">
        <v>129</v>
      </c>
      <c r="F57" s="6"/>
    </row>
    <row r="58">
      <c r="A58" s="3">
        <v>228407.0</v>
      </c>
      <c r="B58" s="3" t="s">
        <v>20</v>
      </c>
      <c r="C58" s="88">
        <v>45931.0</v>
      </c>
      <c r="D58" s="82">
        <v>46001.0</v>
      </c>
      <c r="E58" s="3" t="s">
        <v>129</v>
      </c>
    </row>
    <row r="59">
      <c r="A59" s="3">
        <v>228456.0</v>
      </c>
      <c r="B59" s="3" t="s">
        <v>20</v>
      </c>
      <c r="C59" s="88">
        <v>45931.0</v>
      </c>
      <c r="D59" s="82">
        <v>46001.0</v>
      </c>
      <c r="E59" s="3" t="s">
        <v>129</v>
      </c>
    </row>
    <row r="60">
      <c r="A60" s="3">
        <v>228464.0</v>
      </c>
      <c r="B60" s="3" t="s">
        <v>20</v>
      </c>
      <c r="C60" s="88">
        <v>45931.0</v>
      </c>
      <c r="D60" s="82">
        <v>46001.0</v>
      </c>
      <c r="E60" s="3" t="s">
        <v>129</v>
      </c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A72" s="6"/>
      <c r="B72" s="6"/>
      <c r="C72" s="5"/>
      <c r="D72" s="6"/>
      <c r="E72" s="6"/>
      <c r="F72" s="6"/>
    </row>
  </sheetData>
  <drawing r:id="rId1"/>
</worksheet>
</file>