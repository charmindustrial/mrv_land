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7 Summary" sheetId="1" r:id="rId4"/>
    <sheet state="visible" name="Emission Factors" sheetId="2" r:id="rId5"/>
    <sheet state="visible" name="DataTable" sheetId="3" r:id="rId6"/>
    <sheet state="visible" name="DataCollection" sheetId="4" r:id="rId7"/>
  </sheets>
  <definedNames/>
  <calcPr/>
</workbook>
</file>

<file path=xl/sharedStrings.xml><?xml version="1.0" encoding="utf-8"?>
<sst xmlns="http://schemas.openxmlformats.org/spreadsheetml/2006/main" count="240" uniqueCount="185">
  <si>
    <t>Process Emissions</t>
  </si>
  <si>
    <t>Embodied Emissions</t>
  </si>
  <si>
    <t>Output Type</t>
  </si>
  <si>
    <t>Mass of Output (kg)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</si>
  <si>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</si>
  <si>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</si>
  <si>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</si>
  <si>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</si>
  <si>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</si>
  <si>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</si>
  <si>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WODO</t>
  </si>
  <si>
    <t>Biomass Transport</t>
  </si>
  <si>
    <t>Pyrolyzer Up-Time</t>
  </si>
  <si>
    <t>Equipment Amortization</t>
  </si>
  <si>
    <t>Biochar</t>
  </si>
  <si>
    <t>Miles</t>
  </si>
  <si>
    <t>Total Operating Hours</t>
  </si>
  <si>
    <t>Total Biomass Consumed (kg)</t>
  </si>
  <si>
    <t>Aqueous</t>
  </si>
  <si>
    <t>Tonnes</t>
  </si>
  <si>
    <t>Production Operating Hours</t>
  </si>
  <si>
    <t>Total Biomass Consumed (MT)</t>
  </si>
  <si>
    <t>Tonne-Miles</t>
  </si>
  <si>
    <t>R+D Operating Hours</t>
  </si>
  <si>
    <t>Biomass Amortization Factor for PP (kg Co2e/MT biomass)</t>
  </si>
  <si>
    <t>Flatbed Truck Process Emissions Factor (MT CO2e/t-mi)</t>
  </si>
  <si>
    <t>% Production</t>
  </si>
  <si>
    <t>Total Amortized Embodied Emissions (kg)</t>
  </si>
  <si>
    <t>Non-Tanker Truck Embodied Emissions Factor (MT CO2e/mi)</t>
  </si>
  <si>
    <t>% R+D</t>
  </si>
  <si>
    <t>Total Amortized Embodied Emissions (MT)</t>
  </si>
  <si>
    <t>Log Handling Emissions Factor (MT CO2e/MT logs)</t>
  </si>
  <si>
    <t>Spare Parts and Consumables</t>
  </si>
  <si>
    <t>Delivery Process Emissions (MT CO2e)</t>
  </si>
  <si>
    <t>Total Procured Renewables</t>
  </si>
  <si>
    <t>EE Estimate per Pyrolyzer Operating Hour (kgCO2e)</t>
  </si>
  <si>
    <t>Delivery Embodied Emissions (MT CO2e)</t>
  </si>
  <si>
    <t>RD BCUs (MT CO2e)</t>
  </si>
  <si>
    <t>Spare Parts and Consumables Estimate for Period (kg)</t>
  </si>
  <si>
    <t>Delivery Log Handling Emissions (MT CO2e)</t>
  </si>
  <si>
    <t>RECs (kWh)</t>
  </si>
  <si>
    <t>Spare Parts and Consumables Estimate for Period (MT)</t>
  </si>
  <si>
    <t>Total Delivery Emissions (MT CO2e)</t>
  </si>
  <si>
    <t>Starting Linear Feet Measurement</t>
  </si>
  <si>
    <t>Production Period 7</t>
  </si>
  <si>
    <t>New Pile</t>
  </si>
  <si>
    <t>Ending Linear Feet Measurement</t>
  </si>
  <si>
    <t>Linear Feet Consumed</t>
  </si>
  <si>
    <t>Proportion of Total Linear Feet</t>
  </si>
  <si>
    <t>Log Handling Emissions</t>
  </si>
  <si>
    <t>Total Emissions Allocated (MT CO2e)</t>
  </si>
  <si>
    <t>BCUs Applied (MT CO2e)</t>
  </si>
  <si>
    <t>Total Emissions</t>
  </si>
  <si>
    <t>Remaining Emissions to Allocate -- Net of New Pile (MT CO2e)</t>
  </si>
  <si>
    <t>BCU's Applied</t>
  </si>
  <si>
    <t>Remaining Emissiosn to Allocate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</si>
  <si>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</si>
  <si>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</si>
  <si>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</si>
  <si>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</si>
  <si>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</si>
  <si>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</si>
  <si>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</si>
  <si>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Propane</t>
  </si>
  <si>
    <t>Total Propane Consumption for PP (L)</t>
  </si>
  <si>
    <t>Diesel</t>
  </si>
  <si>
    <t>Total Propane Consumption for PP (Gal)</t>
  </si>
  <si>
    <t>Gasoline</t>
  </si>
  <si>
    <t>Total Propane Consumption for PP (kg)</t>
  </si>
  <si>
    <t>Electricity</t>
  </si>
  <si>
    <t>Fuel Meter Uncertainty</t>
  </si>
  <si>
    <t>Tailgas</t>
  </si>
  <si>
    <t>Uncertainty Adjusted Total</t>
  </si>
  <si>
    <t>Water</t>
  </si>
  <si>
    <t>Propane Combustion Emission Factor (kg CO2e/kg)</t>
  </si>
  <si>
    <t>Consumables Delivery</t>
  </si>
  <si>
    <t>Total Propane Emissions (MT CO2e)</t>
  </si>
  <si>
    <t>Waste Disposal</t>
  </si>
  <si>
    <t>Capital Goods EE</t>
  </si>
  <si>
    <t>Diesel Combustion</t>
  </si>
  <si>
    <t>SP+C EE</t>
  </si>
  <si>
    <t>Total Diesel Consumption for PP (L)</t>
  </si>
  <si>
    <t>6942.44</t>
  </si>
  <si>
    <t>Total Diesel Consumption for PP (Gal)</t>
  </si>
  <si>
    <t>Total Diesel Fills in Office Generator for PP (Gal)</t>
  </si>
  <si>
    <t>250</t>
  </si>
  <si>
    <t>Total</t>
  </si>
  <si>
    <t>Total Production Diesel Consumption for PP (Gal)</t>
  </si>
  <si>
    <t>1584</t>
  </si>
  <si>
    <t>Total Production Diesel Consumption for PP (kg)</t>
  </si>
  <si>
    <t>Diesel Combustion Emission Factor (kg CO2e/kg)</t>
  </si>
  <si>
    <t>Total Diesel Emissions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</si>
  <si>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</si>
  <si>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</si>
  <si>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</si>
  <si>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</si>
  <si>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</si>
  <si>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</si>
  <si>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</si>
  <si>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</si>
  <si>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</si>
  <si>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</si>
  <si>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</si>
  <si>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</si>
  <si>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</si>
  <si>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 7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</si>
  <si>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</si>
  <si>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</si>
  <si>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</si>
  <si>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</si>
  <si>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</si>
  <si>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</si>
  <si>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</si>
  <si>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</si>
  <si>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</si>
  <si>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</si>
  <si>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</si>
  <si>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</si>
  <si>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</si>
  <si>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</si>
  <si>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</si>
  <si>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</si>
  <si>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</si>
  <si>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</si>
  <si>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</si>
  <si>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</si>
  <si>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</si>
  <si>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</si>
  <si>
    <t>Emission Factors</t>
  </si>
  <si>
    <t>Emissions Factor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</si>
  <si>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</si>
  <si>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</si>
  <si>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</si>
  <si>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</si>
  <si>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</si>
  <si>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</si>
  <si>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MT CO2e/t-mi</t>
  </si>
  <si>
    <t>N/A</t>
  </si>
  <si>
    <t>GLEC V3.0 2024</t>
  </si>
  <si>
    <t>Truck Transport Fuel Use (Well to Wheel) -- Tanker Truck</t>
  </si>
  <si>
    <t>Vehicle Embodied Emissions --Tanker Truck</t>
  </si>
  <si>
    <t>MT CO2e/mi</t>
  </si>
  <si>
    <t>USEPA/GREET 2024</t>
  </si>
  <si>
    <t>Vehicle Embodied Emissions --Non-Tanker Truck</t>
  </si>
  <si>
    <t>Embodied Emissions -- Liquid Caustic Soda (50% NaOH)</t>
  </si>
  <si>
    <t>MTCO2e/T LCS</t>
  </si>
  <si>
    <t>GREET 2024</t>
  </si>
  <si>
    <t>Electricity Use -- Kansas</t>
  </si>
  <si>
    <t>MTCO2e/kWh</t>
  </si>
  <si>
    <t>Green-E,USEPA, GREET 2024</t>
  </si>
  <si>
    <t>Electricity Use -- Kansas w/ Wind RECs</t>
  </si>
  <si>
    <t>Electricity Use -- Colorado</t>
  </si>
  <si>
    <t>Electricity Use -- Colorado w/ Solar RECs</t>
  </si>
  <si>
    <t>Vaulted Equipment Embodied Emissions</t>
  </si>
  <si>
    <t>MT CO2e/MT Injectate</t>
  </si>
  <si>
    <t>Vaulted PDD</t>
  </si>
  <si>
    <t>Self-Loading Truck Lumber Handling (No Transport)</t>
  </si>
  <si>
    <t>MT CO2e/MT logs</t>
  </si>
  <si>
    <t>Auburn University</t>
  </si>
  <si>
    <t>Diesel Fuel Combustion (Total WTW)</t>
  </si>
  <si>
    <t>MTCO2e/kg fuel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</si>
  <si>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</si>
  <si>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</si>
  <si>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</si>
  <si>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</si>
  <si>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</si>
  <si>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 xml:space="preserve"> </t>
  </si>
  <si>
    <t>Propane (kg)</t>
  </si>
  <si>
    <t>Diesel (kg)</t>
  </si>
  <si>
    <t>Gasoline (kg)</t>
  </si>
  <si>
    <t>Total BM Consumed</t>
  </si>
  <si>
    <t>WODO Yield</t>
  </si>
  <si>
    <t>WODO wt%C</t>
  </si>
  <si>
    <t>Biochar Yield</t>
  </si>
  <si>
    <t>Biochar wt%C</t>
  </si>
  <si>
    <t>Injection Emissions</t>
  </si>
  <si>
    <t>Aqueous Yield</t>
  </si>
  <si>
    <t>[MRV] Biomass Miles</t>
  </si>
  <si>
    <t>[MRV] Raw Biomass Tonnes</t>
  </si>
  <si>
    <t>[MRV] Linear Feet Consumed</t>
  </si>
  <si>
    <t>[MRV] Uncertainty Adjusted Propane Used</t>
  </si>
  <si>
    <t>[MRV] Uncertainty Adjusted Diesel Used</t>
  </si>
  <si>
    <t>[MRV] Uncertainty Adjusted Gasoline Used</t>
  </si>
  <si>
    <t>[MRV] Uncertainty Adjusted Electricity</t>
  </si>
  <si>
    <t>[MRV] Total Water 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</si>
</sst>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0"/>
    <numFmt numFmtId="165" formatCode="#,##0.0000"/>
    <numFmt numFmtId="166" formatCode="0.0000"/>
    <numFmt numFmtId="167" formatCode="#,##0.0000000000"/>
    <numFmt numFmtId="168" formatCode="#,##0.0"/>
    <numFmt numFmtId="169" formatCode="#,##0.00000000000000"/>
    <numFmt numFmtId="170" formatCode="0.000"/>
    <numFmt numFmtId="171" formatCode="0.000000000"/>
    <numFmt numFmtId="172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color theme="1"/>
      <name val="Arial"/>
    </font>
    <font>
      <b/>
      <color theme="1"/>
      <name val="Arial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Fill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3" numFmtId="164" xfId="0" applyFont="1" applyNumberFormat="1"/>
    <xf borderId="0" fillId="0" fontId="3" numFmtId="165" xfId="0" applyFont="1" applyNumberFormat="1"/>
    <xf borderId="0" fillId="0" fontId="3" numFmtId="4" xfId="0" applyFont="1" applyNumberFormat="1"/>
    <xf borderId="0" fillId="3" fontId="2" numFmtId="0" xfId="0" applyAlignment="1" applyFill="1" applyFont="1">
      <alignment readingOrder="0"/>
    </xf>
    <xf borderId="0" fillId="0" fontId="3" numFmtId="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6" numFmtId="4" xfId="0" applyAlignment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0" fillId="4" fontId="3" numFmtId="4" xfId="0" applyAlignment="1" applyFill="1" applyFont="1" applyNumberFormat="1">
      <alignment readingOrder="0"/>
    </xf>
    <xf borderId="0" fillId="0" fontId="4" numFmtId="0" xfId="0" applyFont="1"/>
    <xf borderId="0" fillId="0" fontId="6" numFmtId="2" xfId="0" applyAlignment="1" applyFont="1" applyNumberFormat="1">
      <alignment horizontal="right" readingOrder="0" vertical="bottom"/>
    </xf>
    <xf borderId="0" fillId="0" fontId="3" numFmtId="2" xfId="0" applyFont="1" applyNumberFormat="1"/>
    <xf borderId="0" fillId="0" fontId="5" numFmtId="3" xfId="0" applyAlignment="1" applyFont="1" applyNumberFormat="1">
      <alignment readingOrder="0"/>
    </xf>
    <xf borderId="0" fillId="0" fontId="3" numFmtId="3" xfId="0" applyFont="1" applyNumberFormat="1"/>
    <xf borderId="0" fillId="4" fontId="3" numFmtId="0" xfId="0" applyAlignment="1" applyFont="1">
      <alignment readingOrder="0"/>
    </xf>
    <xf borderId="0" fillId="4" fontId="3" numFmtId="2" xfId="0" applyAlignment="1" applyFont="1" applyNumberFormat="1">
      <alignment readingOrder="0"/>
    </xf>
    <xf borderId="0" fillId="0" fontId="3" numFmtId="10" xfId="0" applyFont="1" applyNumberFormat="1"/>
    <xf borderId="0" fillId="0" fontId="3" numFmtId="166" xfId="0" applyFont="1" applyNumberFormat="1"/>
    <xf borderId="0" fillId="0" fontId="6" numFmtId="167" xfId="0" applyAlignment="1" applyFont="1" applyNumberFormat="1">
      <alignment horizontal="right" readingOrder="0" vertical="bottom"/>
    </xf>
    <xf borderId="0" fillId="0" fontId="3" numFmtId="168" xfId="0" applyFont="1" applyNumberFormat="1"/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/>
    </xf>
    <xf borderId="0" fillId="0" fontId="6" numFmtId="169" xfId="0" applyAlignment="1" applyFont="1" applyNumberFormat="1">
      <alignment horizontal="right" readingOrder="0" vertical="bottom"/>
    </xf>
    <xf borderId="0" fillId="0" fontId="3" numFmtId="10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5" fontId="8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6" numFmtId="4" xfId="0" applyAlignment="1" applyFont="1" applyNumberFormat="1">
      <alignment vertical="bottom"/>
    </xf>
    <xf borderId="0" fillId="0" fontId="10" numFmtId="0" xfId="0" applyAlignment="1" applyFont="1">
      <alignment readingOrder="0"/>
    </xf>
    <xf borderId="0" fillId="0" fontId="3" numFmtId="168" xfId="0" applyAlignment="1" applyFont="1" applyNumberFormat="1">
      <alignment readingOrder="0"/>
    </xf>
    <xf borderId="0" fillId="0" fontId="11" numFmtId="4" xfId="0" applyAlignment="1" applyFont="1" applyNumberFormat="1">
      <alignment readingOrder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4" fontId="6" numFmtId="4" xfId="0" applyAlignment="1" applyFont="1" applyNumberFormat="1">
      <alignment horizontal="right" readingOrder="0" vertical="bottom"/>
    </xf>
    <xf borderId="0" fillId="0" fontId="3" numFmtId="0" xfId="0" applyFont="1"/>
    <xf borderId="0" fillId="0" fontId="6" numFmtId="0" xfId="0" applyAlignment="1" applyFont="1">
      <alignment horizontal="right" vertical="bottom"/>
    </xf>
    <xf borderId="0" fillId="0" fontId="3" numFmtId="2" xfId="0" applyAlignment="1" applyFont="1" applyNumberFormat="1">
      <alignment readingOrder="0"/>
    </xf>
    <xf borderId="0" fillId="6" fontId="12" numFmtId="0" xfId="0" applyAlignment="1" applyFill="1" applyFont="1">
      <alignment readingOrder="0"/>
    </xf>
    <xf borderId="0" fillId="6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6" fontId="3" numFmtId="170" xfId="0" applyFont="1" applyNumberFormat="1"/>
    <xf borderId="0" fillId="6" fontId="3" numFmtId="10" xfId="0" applyFont="1" applyNumberFormat="1"/>
    <xf borderId="0" fillId="0" fontId="3" numFmtId="164" xfId="0" applyAlignment="1" applyFont="1" applyNumberFormat="1">
      <alignment horizontal="center"/>
    </xf>
    <xf borderId="0" fillId="0" fontId="13" numFmtId="0" xfId="0" applyAlignment="1" applyFont="1">
      <alignment readingOrder="0"/>
    </xf>
    <xf borderId="0" fillId="0" fontId="4" numFmtId="4" xfId="0" applyFont="1" applyNumberFormat="1"/>
    <xf borderId="0" fillId="0" fontId="4" numFmtId="168" xfId="0" applyFont="1" applyNumberFormat="1"/>
    <xf borderId="0" fillId="6" fontId="3" numFmtId="2" xfId="0" applyFont="1" applyNumberFormat="1"/>
    <xf borderId="0" fillId="6" fontId="3" numFmtId="0" xfId="0" applyFont="1"/>
    <xf borderId="0" fillId="0" fontId="11" numFmtId="3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0" fontId="3" numFmtId="170" xfId="0" applyFont="1" applyNumberFormat="1"/>
    <xf borderId="0" fillId="0" fontId="6" numFmtId="49" xfId="0" applyAlignment="1" applyFont="1" applyNumberFormat="1">
      <alignment horizontal="right" readingOrder="0" vertical="bottom"/>
    </xf>
    <xf borderId="0" fillId="0" fontId="6" numFmtId="168" xfId="0" applyAlignment="1" applyFont="1" applyNumberFormat="1">
      <alignment readingOrder="0" vertical="bottom"/>
    </xf>
    <xf borderId="0" fillId="0" fontId="3" numFmtId="0" xfId="0" applyAlignment="1" applyFont="1">
      <alignment horizontal="center" readingOrder="0"/>
    </xf>
    <xf borderId="0" fillId="0" fontId="4" numFmtId="3" xfId="0" applyFont="1" applyNumberFormat="1"/>
    <xf borderId="0" fillId="0" fontId="6" numFmtId="10" xfId="0" applyAlignment="1" applyFont="1" applyNumberFormat="1">
      <alignment horizontal="right" readingOrder="0" vertical="bottom"/>
    </xf>
    <xf borderId="0" fillId="0" fontId="12" numFmtId="0" xfId="0" applyAlignment="1" applyFont="1">
      <alignment readingOrder="0"/>
    </xf>
    <xf borderId="0" fillId="0" fontId="14" numFmtId="10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0" fontId="6" numFmtId="1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3" numFmtId="166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5" fontId="3" numFmtId="166" xfId="0" applyAlignment="1" applyFont="1" applyNumberFormat="1">
      <alignment readingOrder="0"/>
    </xf>
    <xf borderId="0" fillId="5" fontId="3" numFmtId="172" xfId="0" applyAlignment="1" applyFont="1" applyNumberFormat="1">
      <alignment readingOrder="0"/>
    </xf>
    <xf borderId="0" fillId="5" fontId="3" numFmtId="164" xfId="0" applyAlignment="1" applyFont="1" applyNumberFormat="1">
      <alignment readingOrder="0"/>
    </xf>
    <xf borderId="0" fillId="5" fontId="3" numFmtId="0" xfId="0" applyFont="1"/>
    <xf borderId="0" fillId="5" fontId="3" numFmtId="4" xfId="0" applyFont="1" applyNumberFormat="1"/>
    <xf borderId="0" fillId="0" fontId="6" numFmtId="166" xfId="0" applyAlignment="1" applyFont="1" applyNumberFormat="1">
      <alignment horizontal="right" readingOrder="0" vertical="bottom"/>
    </xf>
    <xf borderId="0" fillId="0" fontId="6" numFmtId="165" xfId="0" applyAlignment="1" applyFont="1" applyNumberFormat="1">
      <alignment horizontal="right" readingOrder="0" vertical="bottom"/>
    </xf>
    <xf borderId="0" fillId="0" fontId="6" numFmtId="170" xfId="0" applyAlignment="1" applyFont="1" applyNumberFormat="1">
      <alignment horizontal="right" readingOrder="0" vertical="bottom"/>
    </xf>
    <xf borderId="0" fillId="0" fontId="3" numFmtId="170" xfId="0" applyAlignment="1" applyFont="1" applyNumberFormat="1">
      <alignment readingOrder="0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/>
    </xf>
    <xf borderId="0" fillId="8" fontId="3" numFmtId="0" xfId="0" applyFill="1" applyFont="1"/>
    <xf borderId="0" fillId="8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3" width="23.0"/>
    <col customWidth="1" min="14" max="14" width="19.38"/>
    <col customWidth="1" min="15" max="15" width="14.38"/>
    <col customWidth="1" min="17" max="17" width="21.0"/>
    <col customWidth="1" min="18" max="18" width="30.38"/>
    <col customWidth="1" min="19" max="19" width="41.88"/>
    <col customWidth="1" min="20" max="20" width="32.75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2"/>
      <c r="G1" s="3"/>
      <c r="H1" s="1" t="s">
        <v>1</v>
      </c>
      <c r="L1" s="3"/>
      <c r="M1" s="4" t="s">
        <v>2</v>
      </c>
      <c r="N1" s="4" t="s">
        <v>3</v>
      </c>
      <c r="O1" s="4" t="s">
        <v>4</v>
      </c>
      <c r="P1" s="4" t="s">
        <v>5</v>
      </c>
      <c r="Q1" s="4" t="s">
        <v>6</v>
      </c>
      <c r="R1" s="4" t="s">
        <v>7</v>
      </c>
      <c r="S1" s="4" t="s">
        <v>8</v>
      </c>
      <c r="T1" s="4" t="s">
        <v>9</v>
      </c>
      <c r="U1" s="4"/>
      <c r="V1" s="4"/>
      <c r="W1" s="4"/>
      <c r="X1" s="4"/>
      <c r="Y1" s="4"/>
      <c r="Z1" s="4"/>
      <c r="AA1" s="4"/>
      <c r="AB1" s="4"/>
    </row>
    <row r="2">
      <c r="A2" s="2"/>
      <c r="E2" s="2"/>
      <c r="G2" s="3"/>
      <c r="L2" s="3"/>
      <c r="M2" s="5" t="s">
        <v>10</v>
      </c>
      <c r="N2" s="6">
        <v>16899.0</v>
      </c>
      <c r="O2" s="7">
        <f t="shared" ref="O2:O4" si="1">N2/($N$2+$N$3+$N$4)</f>
        <v>0.1678102936</v>
      </c>
      <c r="P2" s="8">
        <v>0.5052</v>
      </c>
      <c r="Q2" s="6">
        <f t="shared" ref="Q2:Q4" si="2">P2*N2</f>
        <v>8537.3748</v>
      </c>
      <c r="R2" s="7">
        <f t="shared" ref="R2:R4" si="3">Q2/(SUM($Q$2+$Q$3+$Q$4))</f>
        <v>0.3522762052</v>
      </c>
      <c r="S2" s="9">
        <f t="shared" ref="S2:S4" si="4">R2*$I$40</f>
        <v>12.73349107</v>
      </c>
      <c r="T2" s="10">
        <f t="shared" ref="T2:T4" si="5">(S2*1000)/N2</f>
        <v>0.753505596</v>
      </c>
      <c r="U2" s="11"/>
      <c r="V2" s="11"/>
      <c r="W2" s="11"/>
      <c r="X2" s="11"/>
      <c r="Y2" s="11"/>
      <c r="Z2" s="11"/>
    </row>
    <row r="3">
      <c r="A3" s="12" t="s">
        <v>11</v>
      </c>
      <c r="E3" s="2" t="s">
        <v>12</v>
      </c>
      <c r="G3" s="3"/>
      <c r="H3" s="2" t="s">
        <v>13</v>
      </c>
      <c r="L3" s="3"/>
      <c r="M3" s="5" t="s">
        <v>14</v>
      </c>
      <c r="N3" s="6">
        <v>10309.0</v>
      </c>
      <c r="O3" s="7">
        <f t="shared" si="1"/>
        <v>0.1023703365</v>
      </c>
      <c r="P3" s="8">
        <v>0.8661</v>
      </c>
      <c r="Q3" s="13">
        <f t="shared" si="2"/>
        <v>8928.6249</v>
      </c>
      <c r="R3" s="7">
        <f t="shared" si="3"/>
        <v>0.3684202897</v>
      </c>
      <c r="S3" s="9">
        <f t="shared" si="4"/>
        <v>13.31704043</v>
      </c>
      <c r="T3" s="10">
        <f t="shared" si="5"/>
        <v>1.2917878</v>
      </c>
      <c r="U3" s="11"/>
      <c r="V3" s="11"/>
      <c r="W3" s="11"/>
      <c r="X3" s="11"/>
      <c r="Y3" s="11"/>
      <c r="Z3" s="11"/>
    </row>
    <row r="4">
      <c r="B4" s="14" t="s">
        <v>15</v>
      </c>
      <c r="C4" s="15">
        <v>7420.5</v>
      </c>
      <c r="D4" s="16"/>
      <c r="E4" s="5" t="s">
        <v>16</v>
      </c>
      <c r="F4" s="17">
        <v>3307.6</v>
      </c>
      <c r="G4" s="3"/>
      <c r="I4" s="5" t="s">
        <v>17</v>
      </c>
      <c r="J4" s="13">
        <f>C75</f>
        <v>116090</v>
      </c>
      <c r="L4" s="3"/>
      <c r="M4" s="5" t="s">
        <v>18</v>
      </c>
      <c r="N4" s="6">
        <v>73495.0</v>
      </c>
      <c r="O4" s="7">
        <f t="shared" si="1"/>
        <v>0.7298193698</v>
      </c>
      <c r="P4" s="8">
        <v>0.0921</v>
      </c>
      <c r="Q4" s="13">
        <f t="shared" si="2"/>
        <v>6768.8895</v>
      </c>
      <c r="R4" s="7">
        <f t="shared" si="3"/>
        <v>0.2793035051</v>
      </c>
      <c r="S4" s="9">
        <f t="shared" si="4"/>
        <v>10.09579596</v>
      </c>
      <c r="T4" s="10">
        <f t="shared" si="5"/>
        <v>0.1373671128</v>
      </c>
      <c r="U4" s="11"/>
      <c r="V4" s="11"/>
      <c r="W4" s="11"/>
      <c r="X4" s="11"/>
      <c r="Y4" s="11"/>
      <c r="Z4" s="18"/>
    </row>
    <row r="5">
      <c r="B5" s="14" t="s">
        <v>19</v>
      </c>
      <c r="C5" s="19">
        <v>1787.92</v>
      </c>
      <c r="D5" s="14"/>
      <c r="E5" s="5" t="s">
        <v>20</v>
      </c>
      <c r="F5" s="17">
        <f>F4-F6</f>
        <v>3307.6</v>
      </c>
      <c r="G5" s="3"/>
      <c r="I5" s="5" t="s">
        <v>21</v>
      </c>
      <c r="J5" s="20">
        <f>J4/1000</f>
        <v>116.09</v>
      </c>
      <c r="L5" s="3"/>
      <c r="N5" s="21"/>
      <c r="P5" s="8"/>
      <c r="Q5" s="22"/>
      <c r="R5" s="22"/>
      <c r="S5" s="9"/>
      <c r="T5" s="11"/>
      <c r="U5" s="11"/>
      <c r="V5" s="11"/>
      <c r="W5" s="11"/>
      <c r="X5" s="11"/>
      <c r="Y5" s="11"/>
      <c r="Z5" s="18"/>
    </row>
    <row r="6">
      <c r="B6" s="14" t="s">
        <v>22</v>
      </c>
      <c r="C6" s="15">
        <v>136775.76</v>
      </c>
      <c r="D6" s="14"/>
      <c r="E6" s="5" t="s">
        <v>23</v>
      </c>
      <c r="F6" s="23">
        <v>0.0</v>
      </c>
      <c r="G6" s="3"/>
      <c r="I6" s="5" t="s">
        <v>24</v>
      </c>
      <c r="J6" s="24">
        <v>60.8</v>
      </c>
      <c r="L6" s="3"/>
      <c r="R6" s="25"/>
      <c r="S6" s="20"/>
      <c r="T6" s="26"/>
      <c r="W6" s="11"/>
      <c r="X6" s="11"/>
      <c r="Y6" s="11"/>
      <c r="Z6" s="18"/>
    </row>
    <row r="7">
      <c r="B7" s="14" t="s">
        <v>25</v>
      </c>
      <c r="C7" s="27">
        <v>1.367939E-4</v>
      </c>
      <c r="D7" s="16"/>
      <c r="E7" s="5" t="s">
        <v>26</v>
      </c>
      <c r="F7" s="25">
        <f>F5/F4</f>
        <v>1</v>
      </c>
      <c r="G7" s="3"/>
      <c r="I7" s="5" t="s">
        <v>27</v>
      </c>
      <c r="J7" s="20">
        <f>J6*J5</f>
        <v>7058.272</v>
      </c>
      <c r="L7" s="3"/>
      <c r="Q7" s="22"/>
      <c r="R7" s="22"/>
      <c r="S7" s="28"/>
      <c r="T7" s="25"/>
      <c r="Z7" s="18"/>
    </row>
    <row r="8">
      <c r="B8" s="14" t="s">
        <v>28</v>
      </c>
      <c r="C8" s="29">
        <v>6.281443884E-5</v>
      </c>
      <c r="D8" s="16"/>
      <c r="E8" s="5" t="s">
        <v>29</v>
      </c>
      <c r="F8" s="25">
        <f>F6/F4</f>
        <v>0</v>
      </c>
      <c r="G8" s="3"/>
      <c r="I8" s="5" t="s">
        <v>30</v>
      </c>
      <c r="J8" s="20">
        <f>J7/1000</f>
        <v>7.058272</v>
      </c>
      <c r="L8" s="3"/>
      <c r="N8" s="4"/>
      <c r="T8" s="30"/>
      <c r="U8" s="30"/>
      <c r="V8" s="30"/>
      <c r="Z8" s="18"/>
    </row>
    <row r="9">
      <c r="B9" s="14" t="s">
        <v>31</v>
      </c>
      <c r="C9" s="31">
        <v>0.001518790827</v>
      </c>
      <c r="D9" s="16"/>
      <c r="G9" s="3"/>
      <c r="H9" s="2" t="s">
        <v>32</v>
      </c>
      <c r="L9" s="3"/>
      <c r="T9" s="32"/>
      <c r="U9" s="32"/>
      <c r="V9" s="33"/>
      <c r="Z9" s="18"/>
    </row>
    <row r="10">
      <c r="B10" s="14" t="s">
        <v>33</v>
      </c>
      <c r="C10" s="15">
        <v>18.71</v>
      </c>
      <c r="D10" s="16"/>
      <c r="E10" s="34" t="s">
        <v>34</v>
      </c>
      <c r="F10" s="20"/>
      <c r="G10" s="3"/>
      <c r="I10" s="5" t="s">
        <v>35</v>
      </c>
      <c r="J10" s="5">
        <v>0.83105</v>
      </c>
      <c r="L10" s="3"/>
      <c r="T10" s="32"/>
      <c r="U10" s="35"/>
      <c r="V10" s="35"/>
      <c r="Z10" s="18"/>
    </row>
    <row r="11">
      <c r="B11" s="14" t="s">
        <v>36</v>
      </c>
      <c r="C11" s="15">
        <v>0.47</v>
      </c>
      <c r="D11" s="16"/>
      <c r="E11" s="16" t="s">
        <v>37</v>
      </c>
      <c r="F11" s="11">
        <f>SUM(C22,C47,C89,C97,F23)</f>
        <v>24.29594315</v>
      </c>
      <c r="G11" s="3"/>
      <c r="I11" s="5" t="s">
        <v>38</v>
      </c>
      <c r="J11" s="20">
        <f>J10*(F5*(1.01))</f>
        <v>2776.26879</v>
      </c>
      <c r="L11" s="3"/>
      <c r="T11" s="32"/>
      <c r="U11" s="32"/>
      <c r="V11" s="33"/>
      <c r="Z11" s="18"/>
    </row>
    <row r="12">
      <c r="B12" s="14" t="s">
        <v>39</v>
      </c>
      <c r="C12" s="15">
        <v>2.72</v>
      </c>
      <c r="D12" s="16"/>
      <c r="E12" s="16" t="s">
        <v>40</v>
      </c>
      <c r="F12" s="20">
        <f>C70</f>
        <v>43444.30109</v>
      </c>
      <c r="G12" s="3"/>
      <c r="I12" s="5" t="s">
        <v>41</v>
      </c>
      <c r="J12" s="20">
        <f>J11/1000</f>
        <v>2.77626879</v>
      </c>
      <c r="L12" s="3"/>
      <c r="O12" s="36"/>
      <c r="T12" s="32"/>
      <c r="U12" s="32"/>
      <c r="V12" s="33"/>
      <c r="Z12" s="18"/>
    </row>
    <row r="13">
      <c r="B13" s="14" t="s">
        <v>42</v>
      </c>
      <c r="C13" s="15">
        <v>21.89</v>
      </c>
      <c r="D13" s="37"/>
      <c r="G13" s="3"/>
      <c r="L13" s="3"/>
      <c r="O13" s="38"/>
      <c r="T13" s="33"/>
      <c r="U13" s="32"/>
      <c r="V13" s="33"/>
    </row>
    <row r="14">
      <c r="B14" s="16"/>
      <c r="C14" s="39"/>
      <c r="D14" s="37"/>
      <c r="G14" s="3"/>
      <c r="L14" s="3"/>
      <c r="M14" s="40"/>
      <c r="T14" s="33"/>
      <c r="U14" s="33"/>
      <c r="V14" s="33"/>
    </row>
    <row r="15">
      <c r="B15" s="14" t="s">
        <v>43</v>
      </c>
      <c r="C15" s="15">
        <v>359.17</v>
      </c>
      <c r="D15" s="16"/>
      <c r="G15" s="3"/>
      <c r="L15" s="3"/>
      <c r="N15" s="4"/>
      <c r="O15" s="4"/>
      <c r="P15" s="4"/>
      <c r="Q15" s="4"/>
      <c r="S15" s="35"/>
      <c r="T15" s="25"/>
      <c r="U15" s="6"/>
      <c r="V15" s="41"/>
      <c r="W15" s="11"/>
      <c r="X15" s="11"/>
    </row>
    <row r="16">
      <c r="B16" s="16"/>
      <c r="C16" s="39"/>
      <c r="D16" s="16"/>
      <c r="G16" s="3"/>
      <c r="I16" s="16"/>
      <c r="L16" s="3"/>
      <c r="N16" s="7"/>
      <c r="O16" s="42"/>
      <c r="P16" s="42"/>
      <c r="Q16" s="13"/>
      <c r="S16" s="13"/>
      <c r="T16" s="25"/>
      <c r="U16" s="6"/>
      <c r="V16" s="41"/>
      <c r="W16" s="11"/>
      <c r="X16" s="11"/>
    </row>
    <row r="17">
      <c r="B17" s="43" t="s">
        <v>44</v>
      </c>
      <c r="C17" s="39"/>
      <c r="D17" s="16"/>
      <c r="E17" s="4" t="s">
        <v>45</v>
      </c>
      <c r="G17" s="3"/>
      <c r="I17" s="44"/>
      <c r="L17" s="3"/>
      <c r="N17" s="7"/>
      <c r="O17" s="42"/>
      <c r="P17" s="42"/>
      <c r="Q17" s="11"/>
      <c r="S17" s="13"/>
      <c r="T17" s="13"/>
      <c r="U17" s="28"/>
    </row>
    <row r="18">
      <c r="B18" s="14" t="s">
        <v>46</v>
      </c>
      <c r="C18" s="45">
        <v>0.0</v>
      </c>
      <c r="D18" s="16"/>
      <c r="E18" s="16" t="s">
        <v>0</v>
      </c>
      <c r="F18" s="29">
        <v>1.5</v>
      </c>
      <c r="G18" s="3"/>
      <c r="L18" s="3"/>
      <c r="O18" s="42"/>
      <c r="P18" s="42"/>
      <c r="R18" s="11"/>
      <c r="S18" s="42"/>
      <c r="T18" s="13"/>
      <c r="U18" s="28"/>
    </row>
    <row r="19">
      <c r="B19" s="14" t="s">
        <v>47</v>
      </c>
      <c r="C19" s="15">
        <v>40.5</v>
      </c>
      <c r="D19" s="16"/>
      <c r="E19" s="16" t="s">
        <v>1</v>
      </c>
      <c r="F19" s="29">
        <v>0.69</v>
      </c>
      <c r="G19" s="3"/>
      <c r="L19" s="3"/>
      <c r="O19" s="42"/>
      <c r="P19" s="42"/>
      <c r="R19" s="11"/>
      <c r="S19" s="42"/>
      <c r="T19" s="13"/>
      <c r="U19" s="28"/>
    </row>
    <row r="20">
      <c r="B20" s="14" t="s">
        <v>48</v>
      </c>
      <c r="C20" s="15">
        <v>0.11</v>
      </c>
      <c r="D20" s="16"/>
      <c r="E20" s="16" t="s">
        <v>49</v>
      </c>
      <c r="F20" s="29">
        <v>0.36</v>
      </c>
      <c r="G20" s="3"/>
      <c r="L20" s="3"/>
      <c r="O20" s="42"/>
      <c r="P20" s="42"/>
      <c r="R20" s="11"/>
      <c r="S20" s="42"/>
      <c r="T20" s="13"/>
      <c r="U20" s="28"/>
    </row>
    <row r="21">
      <c r="B21" s="14" t="s">
        <v>50</v>
      </c>
      <c r="C21" s="15">
        <v>2.47</v>
      </c>
      <c r="D21" s="16"/>
      <c r="G21" s="3"/>
      <c r="L21" s="3"/>
      <c r="O21" s="42"/>
      <c r="P21" s="42"/>
      <c r="R21" s="11"/>
      <c r="S21" s="42"/>
      <c r="T21" s="13"/>
      <c r="U21" s="28"/>
    </row>
    <row r="22">
      <c r="B22" s="14" t="s">
        <v>51</v>
      </c>
      <c r="C22" s="15">
        <f>(C10+C12)*C20</f>
        <v>2.3573</v>
      </c>
      <c r="D22" s="16"/>
      <c r="E22" s="16" t="s">
        <v>52</v>
      </c>
      <c r="F22" s="29">
        <f>SUM(F18:F20)</f>
        <v>2.55</v>
      </c>
      <c r="G22" s="3"/>
      <c r="L22" s="3"/>
      <c r="O22" s="42"/>
      <c r="P22" s="42"/>
      <c r="R22" s="11"/>
      <c r="S22" s="42"/>
      <c r="T22" s="13"/>
      <c r="U22" s="28"/>
    </row>
    <row r="23">
      <c r="B23" s="14" t="s">
        <v>53</v>
      </c>
      <c r="C23" s="15">
        <f>C21-C22+F24</f>
        <v>0.8027</v>
      </c>
      <c r="D23" s="16"/>
      <c r="E23" s="5" t="s">
        <v>54</v>
      </c>
      <c r="F23" s="46">
        <f>SUM(F18,F20)</f>
        <v>1.86</v>
      </c>
      <c r="G23" s="3"/>
      <c r="L23" s="3"/>
      <c r="O23" s="42"/>
      <c r="P23" s="42"/>
      <c r="R23" s="11"/>
      <c r="S23" s="42"/>
      <c r="T23" s="13"/>
      <c r="U23" s="28"/>
    </row>
    <row r="24">
      <c r="B24" s="14"/>
      <c r="C24" s="15"/>
      <c r="D24" s="16"/>
      <c r="E24" s="14" t="s">
        <v>55</v>
      </c>
      <c r="F24" s="47">
        <f>F22-F23</f>
        <v>0.69</v>
      </c>
      <c r="G24" s="3"/>
      <c r="L24" s="3"/>
      <c r="O24" s="42"/>
      <c r="P24" s="42"/>
      <c r="R24" s="11"/>
      <c r="S24" s="42"/>
      <c r="T24" s="13"/>
      <c r="U24" s="28"/>
    </row>
    <row r="25">
      <c r="A25" s="12" t="s">
        <v>56</v>
      </c>
      <c r="G25" s="3"/>
      <c r="H25" s="3"/>
      <c r="I25" s="3"/>
      <c r="J25" s="3"/>
      <c r="L25" s="3"/>
      <c r="N25" s="13"/>
      <c r="O25" s="42"/>
      <c r="P25" s="42"/>
      <c r="Q25" s="13"/>
      <c r="R25" s="11"/>
      <c r="S25" s="42"/>
      <c r="T25" s="13"/>
      <c r="U25" s="28"/>
    </row>
    <row r="26">
      <c r="B26" s="5" t="s">
        <v>57</v>
      </c>
      <c r="C26" s="48">
        <v>11021.6</v>
      </c>
      <c r="G26" s="3"/>
      <c r="H26" s="49" t="s">
        <v>58</v>
      </c>
      <c r="I26" s="50" t="s">
        <v>59</v>
      </c>
      <c r="J26" s="50" t="s">
        <v>60</v>
      </c>
      <c r="K26" s="51"/>
      <c r="L26" s="3"/>
      <c r="M26" s="4"/>
      <c r="N26" s="52"/>
      <c r="O26" s="13"/>
      <c r="P26" s="13"/>
      <c r="S26" s="13"/>
      <c r="T26" s="13"/>
      <c r="U26" s="28"/>
    </row>
    <row r="27">
      <c r="B27" s="5" t="s">
        <v>61</v>
      </c>
      <c r="C27" s="7">
        <v>0.23</v>
      </c>
      <c r="G27" s="3"/>
      <c r="H27" s="53" t="s">
        <v>11</v>
      </c>
      <c r="I27" s="54">
        <f>C23*F7</f>
        <v>0.8027</v>
      </c>
      <c r="J27" s="55">
        <f t="shared" ref="J27:J37" si="6">I27/$I$40</f>
        <v>0.02220695867</v>
      </c>
      <c r="K27" s="56"/>
      <c r="L27" s="3"/>
      <c r="M27" s="57"/>
      <c r="N27" s="13"/>
      <c r="O27" s="58"/>
      <c r="P27" s="58"/>
      <c r="R27" s="13"/>
      <c r="S27" s="52"/>
      <c r="T27" s="52"/>
      <c r="U27" s="59"/>
      <c r="V27" s="18"/>
    </row>
    <row r="28">
      <c r="B28" s="5" t="s">
        <v>62</v>
      </c>
      <c r="C28" s="5">
        <v>870.55</v>
      </c>
      <c r="G28" s="3"/>
      <c r="H28" s="53" t="s">
        <v>63</v>
      </c>
      <c r="I28" s="60">
        <f>C35*F7</f>
        <v>22.92464866</v>
      </c>
      <c r="J28" s="55">
        <f t="shared" si="6"/>
        <v>0.6342179213</v>
      </c>
      <c r="K28" s="56"/>
      <c r="L28" s="3"/>
      <c r="M28" s="57"/>
    </row>
    <row r="29">
      <c r="B29" s="5" t="s">
        <v>64</v>
      </c>
      <c r="C29" s="48">
        <v>12346.35</v>
      </c>
      <c r="G29" s="3"/>
      <c r="H29" s="53" t="s">
        <v>65</v>
      </c>
      <c r="I29" s="61">
        <f>C48*F7</f>
        <v>0</v>
      </c>
      <c r="J29" s="55">
        <f t="shared" si="6"/>
        <v>0</v>
      </c>
      <c r="K29" s="56"/>
      <c r="L29" s="3"/>
    </row>
    <row r="30">
      <c r="B30" s="5" t="s">
        <v>66</v>
      </c>
      <c r="C30" s="48">
        <v>3261.56</v>
      </c>
      <c r="G30" s="3"/>
      <c r="H30" s="53" t="s">
        <v>67</v>
      </c>
      <c r="I30" s="60">
        <f>C56*F7</f>
        <v>0.6104758429</v>
      </c>
      <c r="J30" s="55">
        <f t="shared" si="6"/>
        <v>0.01688901434</v>
      </c>
      <c r="K30" s="56"/>
      <c r="L30" s="3"/>
      <c r="M30" s="40"/>
      <c r="N30" s="11"/>
      <c r="Q30" s="22"/>
    </row>
    <row r="31">
      <c r="B31" s="5" t="s">
        <v>68</v>
      </c>
      <c r="C31" s="48">
        <v>6234.9</v>
      </c>
      <c r="G31" s="3"/>
      <c r="H31" s="53" t="s">
        <v>69</v>
      </c>
      <c r="I31" s="60">
        <f>C72*F7</f>
        <v>1.596552</v>
      </c>
      <c r="J31" s="55">
        <f t="shared" si="6"/>
        <v>0.04416913452</v>
      </c>
      <c r="K31" s="56"/>
      <c r="L31" s="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B32" s="5" t="s">
        <v>70</v>
      </c>
      <c r="C32" s="7">
        <v>0.0129</v>
      </c>
      <c r="G32" s="3"/>
      <c r="H32" s="53" t="s">
        <v>71</v>
      </c>
      <c r="I32" s="54">
        <f>C77*F7</f>
        <v>0.2242025479</v>
      </c>
      <c r="J32" s="55">
        <f t="shared" si="6"/>
        <v>0.006202636996</v>
      </c>
      <c r="K32" s="56"/>
      <c r="L32" s="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B33" s="5" t="s">
        <v>72</v>
      </c>
      <c r="C33" s="48">
        <f>C31*(1+C32)</f>
        <v>6315.33021</v>
      </c>
      <c r="G33" s="3"/>
      <c r="H33" s="53" t="s">
        <v>73</v>
      </c>
      <c r="I33" s="54">
        <f>C83*F7</f>
        <v>0.03381335721</v>
      </c>
      <c r="J33" s="55">
        <f t="shared" si="6"/>
        <v>0.0009354576133</v>
      </c>
      <c r="K33" s="56"/>
      <c r="L33" s="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B34" s="5" t="s">
        <v>74</v>
      </c>
      <c r="C34" s="5">
        <f>'Emission Factors'!E15*1000</f>
        <v>3.63</v>
      </c>
      <c r="G34" s="3"/>
      <c r="H34" s="53" t="s">
        <v>75</v>
      </c>
      <c r="I34" s="54">
        <f>C90*F7</f>
        <v>0.041</v>
      </c>
      <c r="J34" s="55">
        <f t="shared" si="6"/>
        <v>0.001134278442</v>
      </c>
      <c r="K34" s="56"/>
      <c r="L34" s="3"/>
      <c r="N34" s="62"/>
      <c r="Q34" s="22"/>
      <c r="R34" s="22"/>
      <c r="S34" s="28"/>
      <c r="T34" s="25"/>
      <c r="U34" s="22"/>
      <c r="V34" s="28"/>
      <c r="W34" s="22"/>
      <c r="X34" s="28"/>
      <c r="Y34" s="11"/>
    </row>
    <row r="35">
      <c r="B35" s="5" t="s">
        <v>76</v>
      </c>
      <c r="C35" s="20">
        <f>(C33*C34)/1000</f>
        <v>22.92464866</v>
      </c>
      <c r="G35" s="3"/>
      <c r="H35" s="53" t="s">
        <v>77</v>
      </c>
      <c r="I35" s="60">
        <f>C98*F7</f>
        <v>0.07839425488</v>
      </c>
      <c r="J35" s="55">
        <f t="shared" si="6"/>
        <v>0.002168802764</v>
      </c>
      <c r="K35" s="56"/>
      <c r="L35" s="3"/>
      <c r="N35" s="62"/>
      <c r="Q35" s="22"/>
      <c r="R35" s="22"/>
      <c r="S35" s="28"/>
      <c r="T35" s="25"/>
      <c r="U35" s="22"/>
      <c r="V35" s="28"/>
      <c r="W35" s="22"/>
      <c r="X35" s="28"/>
      <c r="Y35" s="11"/>
    </row>
    <row r="36">
      <c r="G36" s="3"/>
      <c r="H36" s="53" t="s">
        <v>78</v>
      </c>
      <c r="I36" s="60">
        <f>J8*F7</f>
        <v>7.058272</v>
      </c>
      <c r="J36" s="55">
        <f t="shared" si="6"/>
        <v>0.195269409</v>
      </c>
      <c r="K36" s="56"/>
      <c r="L36" s="3"/>
      <c r="N36" s="62"/>
      <c r="Q36" s="22"/>
      <c r="R36" s="22"/>
      <c r="S36" s="28"/>
      <c r="T36" s="25"/>
      <c r="U36" s="22"/>
      <c r="V36" s="28"/>
      <c r="W36" s="22"/>
      <c r="X36" s="28"/>
      <c r="Y36" s="11"/>
    </row>
    <row r="37">
      <c r="A37" s="63" t="s">
        <v>79</v>
      </c>
      <c r="D37" s="11"/>
      <c r="G37" s="3"/>
      <c r="H37" s="53" t="s">
        <v>80</v>
      </c>
      <c r="I37" s="60">
        <f>J12*F7</f>
        <v>2.77626879</v>
      </c>
      <c r="J37" s="55">
        <f t="shared" si="6"/>
        <v>0.0768063863</v>
      </c>
      <c r="K37" s="56"/>
      <c r="L37" s="3"/>
      <c r="M37" s="64"/>
      <c r="N37" s="62"/>
      <c r="Q37" s="22"/>
      <c r="R37" s="22"/>
      <c r="S37" s="28"/>
      <c r="T37" s="25"/>
      <c r="U37" s="22"/>
      <c r="V37" s="28"/>
      <c r="W37" s="22"/>
      <c r="X37" s="28"/>
      <c r="Y37" s="11"/>
    </row>
    <row r="38">
      <c r="B38" s="43" t="s">
        <v>81</v>
      </c>
      <c r="C38" s="65" t="s">
        <v>82</v>
      </c>
      <c r="G38" s="3"/>
      <c r="H38" s="53"/>
      <c r="I38" s="61"/>
      <c r="J38" s="55"/>
      <c r="K38" s="56"/>
      <c r="L38" s="3"/>
      <c r="N38" s="62"/>
      <c r="P38" s="7"/>
      <c r="Q38" s="22"/>
      <c r="R38" s="22"/>
      <c r="S38" s="28"/>
      <c r="T38" s="25"/>
      <c r="U38" s="22"/>
      <c r="V38" s="28"/>
      <c r="W38" s="22"/>
      <c r="X38" s="28"/>
      <c r="Y38" s="11"/>
    </row>
    <row r="39">
      <c r="B39" s="43" t="s">
        <v>83</v>
      </c>
      <c r="C39" s="66">
        <v>1834.0</v>
      </c>
      <c r="D39" s="67"/>
      <c r="G39" s="3"/>
      <c r="H39" s="61"/>
      <c r="I39" s="61"/>
      <c r="J39" s="55"/>
      <c r="K39" s="56"/>
      <c r="L39" s="3"/>
      <c r="N39" s="62"/>
      <c r="P39" s="7"/>
      <c r="Q39" s="22"/>
      <c r="R39" s="22"/>
      <c r="S39" s="28"/>
      <c r="T39" s="25"/>
      <c r="U39" s="22"/>
      <c r="V39" s="28"/>
      <c r="W39" s="22"/>
      <c r="X39" s="28"/>
      <c r="Y39" s="11"/>
    </row>
    <row r="40">
      <c r="B40" s="43" t="s">
        <v>84</v>
      </c>
      <c r="C40" s="65" t="s">
        <v>85</v>
      </c>
      <c r="D40" s="9"/>
      <c r="G40" s="3"/>
      <c r="H40" s="53" t="s">
        <v>86</v>
      </c>
      <c r="I40" s="54">
        <f>SUM(I27:I38)</f>
        <v>36.14632745</v>
      </c>
      <c r="J40" s="55"/>
      <c r="K40" s="56"/>
      <c r="L40" s="3"/>
      <c r="M40" s="4"/>
      <c r="N40" s="18"/>
      <c r="O40" s="18"/>
      <c r="P40" s="18"/>
      <c r="Q40" s="18"/>
      <c r="R40" s="18"/>
      <c r="S40" s="59"/>
      <c r="T40" s="18"/>
      <c r="U40" s="68"/>
      <c r="V40" s="18"/>
      <c r="W40" s="68"/>
      <c r="X40" s="18"/>
      <c r="Y40" s="18"/>
      <c r="Z40" s="18"/>
      <c r="AA40" s="18"/>
      <c r="AB40" s="18"/>
    </row>
    <row r="41">
      <c r="B41" s="43" t="s">
        <v>87</v>
      </c>
      <c r="C41" s="65" t="s">
        <v>88</v>
      </c>
      <c r="G41" s="3"/>
      <c r="L41" s="3"/>
      <c r="N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B42" s="43" t="s">
        <v>89</v>
      </c>
      <c r="C42" s="19">
        <v>5096.12</v>
      </c>
      <c r="G42" s="3"/>
      <c r="L42" s="3"/>
      <c r="N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B43" s="14" t="s">
        <v>70</v>
      </c>
      <c r="C43" s="69">
        <v>0.0129</v>
      </c>
      <c r="G43" s="3"/>
      <c r="K43" s="56"/>
      <c r="L43" s="3"/>
      <c r="N43" s="48"/>
      <c r="O43" s="42"/>
      <c r="R43" s="13"/>
    </row>
    <row r="44">
      <c r="B44" s="14" t="s">
        <v>72</v>
      </c>
      <c r="C44" s="19">
        <f>C42*(1+C43)</f>
        <v>5161.859948</v>
      </c>
      <c r="G44" s="3"/>
      <c r="H44" s="2"/>
      <c r="K44" s="56"/>
      <c r="L44" s="3"/>
      <c r="N44" s="48"/>
      <c r="O44" s="42"/>
      <c r="R44" s="13"/>
    </row>
    <row r="45">
      <c r="B45" s="5" t="s">
        <v>90</v>
      </c>
      <c r="C45" s="5">
        <f>'Emission Factors'!E14*1000</f>
        <v>3.87</v>
      </c>
      <c r="G45" s="3"/>
      <c r="H45" s="2"/>
      <c r="K45" s="56"/>
      <c r="L45" s="3"/>
      <c r="N45" s="48"/>
      <c r="O45" s="42"/>
      <c r="R45" s="13"/>
    </row>
    <row r="46">
      <c r="B46" s="5" t="s">
        <v>91</v>
      </c>
      <c r="C46" s="20">
        <f>(C45*C44)/1000</f>
        <v>19.976398</v>
      </c>
      <c r="D46" s="11"/>
      <c r="G46" s="3"/>
      <c r="L46" s="3"/>
      <c r="N46" s="13"/>
      <c r="O46" s="42"/>
    </row>
    <row r="47">
      <c r="B47" s="14" t="s">
        <v>51</v>
      </c>
      <c r="C47" s="20">
        <f>C46</f>
        <v>19.976398</v>
      </c>
      <c r="G47" s="3"/>
      <c r="L47" s="3"/>
      <c r="M47" s="4"/>
      <c r="N47" s="52"/>
    </row>
    <row r="48">
      <c r="B48" s="14" t="s">
        <v>92</v>
      </c>
      <c r="C48" s="20">
        <f>C46-C47</f>
        <v>0</v>
      </c>
      <c r="G48" s="3"/>
      <c r="L48" s="3"/>
      <c r="M48" s="4"/>
      <c r="N48" s="52"/>
    </row>
    <row r="49">
      <c r="G49" s="3"/>
      <c r="H49" s="70"/>
      <c r="I49" s="4"/>
      <c r="J49" s="4"/>
      <c r="L49" s="3"/>
    </row>
    <row r="50">
      <c r="A50" s="63" t="s">
        <v>93</v>
      </c>
      <c r="G50" s="3"/>
      <c r="H50" s="2"/>
      <c r="J50" s="71"/>
      <c r="L50" s="3"/>
    </row>
    <row r="51">
      <c r="B51" s="5" t="s">
        <v>94</v>
      </c>
      <c r="C51" s="48">
        <v>58.32</v>
      </c>
      <c r="G51" s="3"/>
      <c r="H51" s="2"/>
      <c r="J51" s="71"/>
      <c r="L51" s="3"/>
    </row>
    <row r="52">
      <c r="B52" s="5" t="s">
        <v>95</v>
      </c>
      <c r="C52" s="48">
        <v>161.15</v>
      </c>
      <c r="G52" s="3"/>
      <c r="H52" s="2"/>
      <c r="J52" s="71"/>
      <c r="L52" s="3"/>
    </row>
    <row r="53">
      <c r="B53" s="5" t="s">
        <v>70</v>
      </c>
      <c r="C53" s="7">
        <v>0.0129</v>
      </c>
      <c r="G53" s="3"/>
      <c r="H53" s="2"/>
      <c r="J53" s="71"/>
      <c r="L53" s="3"/>
    </row>
    <row r="54">
      <c r="B54" s="5" t="s">
        <v>72</v>
      </c>
      <c r="C54" s="48">
        <f>C52*(1+C53)</f>
        <v>163.228835</v>
      </c>
      <c r="G54" s="3"/>
      <c r="H54" s="2"/>
      <c r="J54" s="71"/>
      <c r="L54" s="3"/>
    </row>
    <row r="55">
      <c r="B55" s="5" t="s">
        <v>96</v>
      </c>
      <c r="C55" s="5">
        <f>'Emission Factors'!E16*1000</f>
        <v>3.74</v>
      </c>
      <c r="G55" s="3"/>
      <c r="H55" s="2"/>
      <c r="J55" s="71"/>
      <c r="L55" s="3"/>
    </row>
    <row r="56">
      <c r="B56" s="5" t="s">
        <v>97</v>
      </c>
      <c r="C56" s="20">
        <f>(C55*C54)/1000</f>
        <v>0.6104758429</v>
      </c>
      <c r="G56" s="3"/>
      <c r="H56" s="2"/>
      <c r="J56" s="71"/>
      <c r="L56" s="3"/>
    </row>
    <row r="57">
      <c r="D57" s="11"/>
      <c r="G57" s="3"/>
      <c r="H57" s="2"/>
      <c r="J57" s="71"/>
      <c r="L57" s="3"/>
    </row>
    <row r="58">
      <c r="A58" s="12" t="s">
        <v>98</v>
      </c>
      <c r="G58" s="3"/>
      <c r="H58" s="2"/>
      <c r="J58" s="71"/>
      <c r="L58" s="3"/>
    </row>
    <row r="59">
      <c r="B59" s="37" t="s">
        <v>99</v>
      </c>
      <c r="C59" s="72">
        <v>51332.49</v>
      </c>
      <c r="G59" s="3"/>
      <c r="H59" s="2"/>
      <c r="J59" s="71"/>
      <c r="L59" s="3"/>
    </row>
    <row r="60">
      <c r="B60" s="37" t="s">
        <v>100</v>
      </c>
      <c r="C60" s="73">
        <v>0.02</v>
      </c>
      <c r="G60" s="3"/>
      <c r="H60" s="2"/>
      <c r="J60" s="71"/>
      <c r="L60" s="3"/>
    </row>
    <row r="61">
      <c r="B61" s="37" t="s">
        <v>101</v>
      </c>
      <c r="C61" s="74">
        <f>C59*(1+C60)</f>
        <v>52359.1398</v>
      </c>
      <c r="G61" s="3"/>
      <c r="H61" s="2"/>
      <c r="J61" s="71"/>
      <c r="L61" s="3"/>
    </row>
    <row r="62">
      <c r="B62" s="37" t="s">
        <v>102</v>
      </c>
      <c r="C62" s="75">
        <v>9212.0</v>
      </c>
      <c r="G62" s="3"/>
      <c r="H62" s="2"/>
      <c r="J62" s="71"/>
      <c r="L62" s="3"/>
    </row>
    <row r="63">
      <c r="B63" s="37" t="s">
        <v>103</v>
      </c>
      <c r="C63" s="75">
        <v>31.0</v>
      </c>
      <c r="G63" s="3"/>
      <c r="J63" s="70"/>
      <c r="L63" s="3"/>
    </row>
    <row r="64">
      <c r="B64" s="37" t="s">
        <v>104</v>
      </c>
      <c r="C64" s="74">
        <f>C62/C63</f>
        <v>297.1612903</v>
      </c>
      <c r="G64" s="3"/>
      <c r="H64" s="2"/>
      <c r="J64" s="70"/>
      <c r="L64" s="3"/>
    </row>
    <row r="65">
      <c r="B65" s="14" t="s">
        <v>105</v>
      </c>
      <c r="C65" s="29">
        <v>30.0</v>
      </c>
      <c r="G65" s="3"/>
      <c r="L65" s="3"/>
    </row>
    <row r="66">
      <c r="B66" s="37" t="s">
        <v>106</v>
      </c>
      <c r="C66" s="74">
        <f>(C64*C65)</f>
        <v>8914.83871</v>
      </c>
      <c r="G66" s="3"/>
      <c r="L66" s="3"/>
    </row>
    <row r="67">
      <c r="B67" s="37" t="s">
        <v>107</v>
      </c>
      <c r="C67" s="74">
        <f>C61-C66</f>
        <v>43444.30109</v>
      </c>
      <c r="G67" s="3"/>
      <c r="L67" s="3"/>
    </row>
    <row r="68">
      <c r="B68" s="5" t="s">
        <v>108</v>
      </c>
      <c r="C68" s="76">
        <f>'Emission Factors'!E10*1000</f>
        <v>0.5249006883</v>
      </c>
      <c r="G68" s="3"/>
      <c r="I68" s="7"/>
      <c r="L68" s="3"/>
    </row>
    <row r="69">
      <c r="B69" s="5" t="s">
        <v>109</v>
      </c>
      <c r="C69" s="20">
        <f>(C68*C67)/1000</f>
        <v>22.80394355</v>
      </c>
      <c r="G69" s="3"/>
      <c r="L69" s="3"/>
    </row>
    <row r="70">
      <c r="B70" s="5" t="s">
        <v>110</v>
      </c>
      <c r="C70" s="20">
        <f>C67</f>
        <v>43444.30109</v>
      </c>
      <c r="G70" s="3"/>
      <c r="L70" s="3"/>
    </row>
    <row r="71">
      <c r="B71" s="5" t="s">
        <v>111</v>
      </c>
      <c r="C71" s="77">
        <f>'Emission Factors'!E11*1000</f>
        <v>0.03674940003</v>
      </c>
      <c r="G71" s="3"/>
      <c r="L71" s="3"/>
    </row>
    <row r="72">
      <c r="B72" s="5" t="s">
        <v>92</v>
      </c>
      <c r="C72" s="20">
        <f>(C71*C70)/1000</f>
        <v>1.596552</v>
      </c>
      <c r="G72" s="3"/>
      <c r="L72" s="3"/>
    </row>
    <row r="73">
      <c r="G73" s="3"/>
      <c r="L73" s="3"/>
    </row>
    <row r="74">
      <c r="A74" s="12" t="s">
        <v>112</v>
      </c>
      <c r="G74" s="3"/>
      <c r="L74" s="3"/>
    </row>
    <row r="75">
      <c r="B75" s="5" t="s">
        <v>113</v>
      </c>
      <c r="C75" s="13">
        <v>116090.0</v>
      </c>
      <c r="G75" s="3"/>
      <c r="L75" s="3"/>
    </row>
    <row r="76">
      <c r="B76" s="5" t="s">
        <v>114</v>
      </c>
      <c r="C76" s="5">
        <v>1.931282177E-6</v>
      </c>
      <c r="G76" s="3"/>
      <c r="L76" s="3"/>
    </row>
    <row r="77">
      <c r="B77" s="5" t="s">
        <v>115</v>
      </c>
      <c r="C77" s="78">
        <f>C76*C75</f>
        <v>0.2242025479</v>
      </c>
      <c r="G77" s="3"/>
      <c r="L77" s="3"/>
    </row>
    <row r="78">
      <c r="G78" s="3"/>
      <c r="L78" s="3"/>
    </row>
    <row r="79">
      <c r="A79" s="12" t="s">
        <v>116</v>
      </c>
      <c r="G79" s="3"/>
      <c r="L79" s="3"/>
    </row>
    <row r="80">
      <c r="B80" s="37" t="s">
        <v>117</v>
      </c>
      <c r="C80" s="48">
        <v>19418.57</v>
      </c>
      <c r="G80" s="3"/>
      <c r="L80" s="3"/>
    </row>
    <row r="81">
      <c r="B81" s="37" t="s">
        <v>118</v>
      </c>
      <c r="C81" s="48">
        <v>73596.38</v>
      </c>
      <c r="G81" s="3"/>
      <c r="L81" s="3"/>
    </row>
    <row r="82">
      <c r="B82" s="5" t="s">
        <v>119</v>
      </c>
      <c r="C82" s="79">
        <v>0.001741289766</v>
      </c>
      <c r="G82" s="3"/>
      <c r="L82" s="3"/>
    </row>
    <row r="83">
      <c r="B83" s="5" t="s">
        <v>120</v>
      </c>
      <c r="C83" s="80">
        <f>(C82*C80)/1000</f>
        <v>0.03381335721</v>
      </c>
      <c r="D83" s="81"/>
      <c r="G83" s="3"/>
      <c r="L83" s="3"/>
    </row>
    <row r="84">
      <c r="D84" s="82"/>
      <c r="G84" s="3"/>
      <c r="L84" s="3"/>
    </row>
    <row r="85">
      <c r="A85" s="12" t="s">
        <v>121</v>
      </c>
      <c r="C85" s="81"/>
      <c r="D85" s="81"/>
      <c r="G85" s="3"/>
      <c r="L85" s="3"/>
    </row>
    <row r="86">
      <c r="B86" s="14" t="s">
        <v>122</v>
      </c>
      <c r="C86" s="83">
        <v>0.057</v>
      </c>
      <c r="D86" s="81"/>
      <c r="G86" s="3"/>
      <c r="L86" s="3"/>
    </row>
    <row r="87">
      <c r="B87" s="14" t="s">
        <v>123</v>
      </c>
      <c r="C87" s="83">
        <v>0.041</v>
      </c>
      <c r="D87" s="81"/>
      <c r="G87" s="3"/>
      <c r="L87" s="3"/>
    </row>
    <row r="88">
      <c r="B88" s="14" t="s">
        <v>52</v>
      </c>
      <c r="C88" s="83">
        <v>0.098</v>
      </c>
      <c r="G88" s="3"/>
      <c r="L88" s="3"/>
    </row>
    <row r="89">
      <c r="B89" s="14" t="s">
        <v>51</v>
      </c>
      <c r="C89" s="84">
        <f>C86</f>
        <v>0.057</v>
      </c>
      <c r="G89" s="3"/>
      <c r="L89" s="3"/>
    </row>
    <row r="90">
      <c r="B90" s="14" t="s">
        <v>92</v>
      </c>
      <c r="C90" s="84">
        <f>C88-C86</f>
        <v>0.041</v>
      </c>
      <c r="G90" s="3"/>
      <c r="L90" s="3"/>
    </row>
    <row r="91">
      <c r="A91" s="63" t="s">
        <v>124</v>
      </c>
      <c r="G91" s="3"/>
      <c r="L91" s="3"/>
    </row>
    <row r="92">
      <c r="A92" s="2"/>
      <c r="B92" s="14" t="s">
        <v>125</v>
      </c>
      <c r="C92" s="85">
        <v>0.04524515415</v>
      </c>
      <c r="G92" s="3"/>
      <c r="L92" s="3"/>
    </row>
    <row r="93">
      <c r="B93" s="14" t="s">
        <v>126</v>
      </c>
      <c r="C93" s="85">
        <v>0.0123181057</v>
      </c>
      <c r="G93" s="3"/>
      <c r="L93" s="3"/>
    </row>
    <row r="94">
      <c r="B94" s="14" t="s">
        <v>127</v>
      </c>
      <c r="C94" s="85">
        <v>0.06607614918</v>
      </c>
      <c r="G94" s="3"/>
      <c r="L94" s="3"/>
    </row>
    <row r="95">
      <c r="B95" s="5"/>
      <c r="C95" s="64"/>
      <c r="G95" s="3"/>
      <c r="L95" s="3"/>
    </row>
    <row r="96">
      <c r="B96" s="5" t="s">
        <v>52</v>
      </c>
      <c r="C96" s="86">
        <f>SUM(C92,C93,C94)</f>
        <v>0.123639409</v>
      </c>
      <c r="G96" s="3"/>
      <c r="L96" s="3"/>
    </row>
    <row r="97">
      <c r="B97" s="14" t="s">
        <v>51</v>
      </c>
      <c r="C97" s="64">
        <f>C92</f>
        <v>0.04524515415</v>
      </c>
      <c r="G97" s="3"/>
      <c r="L97" s="3"/>
    </row>
    <row r="98">
      <c r="B98" s="14" t="s">
        <v>92</v>
      </c>
      <c r="C98" s="64">
        <f>C96-C97</f>
        <v>0.07839425488</v>
      </c>
      <c r="G98" s="3"/>
      <c r="L98" s="3"/>
    </row>
    <row r="99">
      <c r="G99" s="3"/>
      <c r="L99" s="3"/>
    </row>
    <row r="100">
      <c r="G100" s="3"/>
      <c r="L100" s="3"/>
    </row>
    <row r="101">
      <c r="G101" s="3"/>
      <c r="L101" s="3"/>
    </row>
    <row r="102">
      <c r="G102" s="3"/>
      <c r="L102" s="3"/>
    </row>
    <row r="103">
      <c r="G103" s="3"/>
      <c r="L103" s="3"/>
    </row>
    <row r="104">
      <c r="G104" s="3"/>
      <c r="L104" s="3"/>
    </row>
    <row r="105">
      <c r="G105" s="3"/>
      <c r="L105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87" t="s">
        <v>128</v>
      </c>
    </row>
    <row r="2">
      <c r="A2" s="44" t="s">
        <v>129</v>
      </c>
      <c r="B2" s="44" t="s">
        <v>130</v>
      </c>
      <c r="C2" s="44" t="s">
        <v>131</v>
      </c>
      <c r="D2" s="44" t="s">
        <v>132</v>
      </c>
      <c r="E2" s="44" t="s">
        <v>133</v>
      </c>
      <c r="F2" s="44" t="s">
        <v>134</v>
      </c>
    </row>
    <row r="3">
      <c r="A3" s="16" t="s">
        <v>135</v>
      </c>
      <c r="B3" s="16" t="s">
        <v>136</v>
      </c>
      <c r="C3" s="29">
        <v>1.35156E-4</v>
      </c>
      <c r="D3" s="16" t="s">
        <v>137</v>
      </c>
      <c r="E3" s="47">
        <f t="shared" ref="E3:E6" si="1">C3</f>
        <v>0.000135156</v>
      </c>
      <c r="F3" s="88" t="s">
        <v>138</v>
      </c>
    </row>
    <row r="4">
      <c r="A4" s="16" t="s">
        <v>139</v>
      </c>
      <c r="B4" s="16" t="s">
        <v>136</v>
      </c>
      <c r="C4" s="29">
        <v>1.1263E-4</v>
      </c>
      <c r="D4" s="16" t="s">
        <v>137</v>
      </c>
      <c r="E4" s="47">
        <f t="shared" si="1"/>
        <v>0.00011263</v>
      </c>
      <c r="F4" s="88" t="s">
        <v>138</v>
      </c>
    </row>
    <row r="5">
      <c r="A5" s="16" t="s">
        <v>140</v>
      </c>
      <c r="B5" s="16" t="s">
        <v>141</v>
      </c>
      <c r="C5" s="29">
        <v>7.879952768E-5</v>
      </c>
      <c r="D5" s="16" t="s">
        <v>137</v>
      </c>
      <c r="E5" s="47">
        <f t="shared" si="1"/>
        <v>0.00007879952768</v>
      </c>
      <c r="F5" s="5" t="s">
        <v>142</v>
      </c>
    </row>
    <row r="6">
      <c r="A6" s="16" t="s">
        <v>143</v>
      </c>
      <c r="B6" s="16" t="s">
        <v>141</v>
      </c>
      <c r="C6" s="29">
        <v>6.44927E-5</v>
      </c>
      <c r="D6" s="16" t="s">
        <v>137</v>
      </c>
      <c r="E6" s="47">
        <f t="shared" si="1"/>
        <v>0.0000644927</v>
      </c>
      <c r="F6" s="5" t="s">
        <v>142</v>
      </c>
    </row>
    <row r="7">
      <c r="A7" s="16" t="s">
        <v>144</v>
      </c>
      <c r="B7" s="16" t="s">
        <v>145</v>
      </c>
      <c r="C7" s="29">
        <v>0.89272</v>
      </c>
      <c r="D7" s="47">
        <v>0.001200260388</v>
      </c>
      <c r="E7" s="47">
        <f>D7+C7</f>
        <v>0.8939202604</v>
      </c>
      <c r="F7" s="5" t="s">
        <v>146</v>
      </c>
    </row>
    <row r="8">
      <c r="A8" s="16" t="s">
        <v>147</v>
      </c>
      <c r="B8" s="16" t="s">
        <v>148</v>
      </c>
      <c r="C8" s="29">
        <v>5.108934662E-4</v>
      </c>
      <c r="D8" s="16" t="s">
        <v>137</v>
      </c>
      <c r="E8" s="47">
        <f t="shared" ref="E8:E17" si="2">C8</f>
        <v>0.0005108934662</v>
      </c>
      <c r="F8" s="5" t="s">
        <v>149</v>
      </c>
    </row>
    <row r="9">
      <c r="A9" s="16" t="s">
        <v>150</v>
      </c>
      <c r="B9" s="16" t="s">
        <v>148</v>
      </c>
      <c r="C9" s="29">
        <f>0.01004415071/1000</f>
        <v>0.00001004415071</v>
      </c>
      <c r="D9" s="16" t="s">
        <v>137</v>
      </c>
      <c r="E9" s="47">
        <f t="shared" si="2"/>
        <v>0.00001004415071</v>
      </c>
      <c r="F9" s="5" t="s">
        <v>149</v>
      </c>
    </row>
    <row r="10">
      <c r="A10" s="16" t="s">
        <v>151</v>
      </c>
      <c r="B10" s="16" t="s">
        <v>148</v>
      </c>
      <c r="C10" s="29">
        <v>5.249006883E-4</v>
      </c>
      <c r="D10" s="16" t="s">
        <v>137</v>
      </c>
      <c r="E10" s="47">
        <f t="shared" si="2"/>
        <v>0.0005249006883</v>
      </c>
      <c r="F10" s="5" t="s">
        <v>149</v>
      </c>
    </row>
    <row r="11">
      <c r="A11" s="16" t="s">
        <v>152</v>
      </c>
      <c r="B11" s="16" t="s">
        <v>148</v>
      </c>
      <c r="C11" s="29">
        <f>0.03674940003/1000</f>
        <v>0.00003674940003</v>
      </c>
      <c r="D11" s="16" t="s">
        <v>137</v>
      </c>
      <c r="E11" s="47">
        <f t="shared" si="2"/>
        <v>0.00003674940003</v>
      </c>
      <c r="F11" s="5" t="s">
        <v>149</v>
      </c>
    </row>
    <row r="12">
      <c r="A12" s="16" t="s">
        <v>153</v>
      </c>
      <c r="B12" s="16" t="s">
        <v>154</v>
      </c>
      <c r="C12" s="29">
        <v>1.034335159E-4</v>
      </c>
      <c r="D12" s="16" t="s">
        <v>137</v>
      </c>
      <c r="E12" s="47">
        <f t="shared" si="2"/>
        <v>0.0001034335159</v>
      </c>
      <c r="F12" s="14" t="s">
        <v>155</v>
      </c>
    </row>
    <row r="13">
      <c r="A13" s="16" t="s">
        <v>156</v>
      </c>
      <c r="B13" s="16" t="s">
        <v>157</v>
      </c>
      <c r="C13" s="29">
        <v>0.001518790827</v>
      </c>
      <c r="D13" s="16" t="s">
        <v>137</v>
      </c>
      <c r="E13" s="47">
        <f t="shared" si="2"/>
        <v>0.001518790827</v>
      </c>
      <c r="F13" s="89" t="s">
        <v>158</v>
      </c>
    </row>
    <row r="14">
      <c r="A14" s="16" t="s">
        <v>159</v>
      </c>
      <c r="B14" s="16" t="s">
        <v>160</v>
      </c>
      <c r="C14" s="29">
        <v>0.00387</v>
      </c>
      <c r="D14" s="16" t="s">
        <v>137</v>
      </c>
      <c r="E14" s="47">
        <f t="shared" si="2"/>
        <v>0.00387</v>
      </c>
      <c r="F14" s="88" t="s">
        <v>138</v>
      </c>
    </row>
    <row r="15">
      <c r="A15" s="16" t="s">
        <v>161</v>
      </c>
      <c r="B15" s="16" t="s">
        <v>160</v>
      </c>
      <c r="C15" s="29">
        <v>0.00363</v>
      </c>
      <c r="D15" s="16" t="s">
        <v>137</v>
      </c>
      <c r="E15" s="47">
        <f t="shared" si="2"/>
        <v>0.00363</v>
      </c>
      <c r="F15" s="88" t="s">
        <v>138</v>
      </c>
    </row>
    <row r="16">
      <c r="A16" s="16" t="s">
        <v>162</v>
      </c>
      <c r="B16" s="16" t="s">
        <v>160</v>
      </c>
      <c r="C16" s="29">
        <v>0.00374</v>
      </c>
      <c r="D16" s="16" t="s">
        <v>137</v>
      </c>
      <c r="E16" s="47">
        <f t="shared" si="2"/>
        <v>0.00374</v>
      </c>
      <c r="F16" s="88" t="s">
        <v>138</v>
      </c>
    </row>
    <row r="17">
      <c r="A17" s="16" t="s">
        <v>163</v>
      </c>
      <c r="B17" s="16" t="s">
        <v>164</v>
      </c>
      <c r="C17" s="29">
        <v>1.741289766E-6</v>
      </c>
      <c r="D17" s="16" t="s">
        <v>137</v>
      </c>
      <c r="E17" s="47">
        <f t="shared" si="2"/>
        <v>0.000001741289766</v>
      </c>
      <c r="F17" s="90" t="s">
        <v>165</v>
      </c>
    </row>
    <row r="21">
      <c r="D21" s="5" t="s">
        <v>166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46" t="str">
        <f>'PP7 Summary'!E5</f>
        <v>Production Operating Hours</v>
      </c>
      <c r="C2" s="11">
        <f>'PP7 Summary'!F5</f>
        <v>3307.6</v>
      </c>
    </row>
    <row r="3">
      <c r="B3" s="46" t="str">
        <f>'PP7 Summary'!I5</f>
        <v>Total Biomass Consumed (MT)</v>
      </c>
      <c r="C3" s="20">
        <f>'PP7 Summary'!J5</f>
        <v>116.09</v>
      </c>
    </row>
    <row r="4">
      <c r="B4" s="46" t="str">
        <f>'PP7 Summary'!B19</f>
        <v>Linear Feet Consumed</v>
      </c>
      <c r="C4" s="11">
        <f>'PP7 Summary'!C19</f>
        <v>40.5</v>
      </c>
    </row>
    <row r="5">
      <c r="A5" s="5" t="s">
        <v>167</v>
      </c>
      <c r="B5" s="46" t="str">
        <f>'PP7 Summary'!B33</f>
        <v>Uncertainty Adjusted Total</v>
      </c>
      <c r="C5" s="20">
        <f>'PP7 Summary'!C33</f>
        <v>6315.33021</v>
      </c>
    </row>
    <row r="6">
      <c r="A6" s="5" t="s">
        <v>168</v>
      </c>
      <c r="B6" s="46" t="str">
        <f>'PP7 Summary'!B44</f>
        <v>Uncertainty Adjusted Total</v>
      </c>
      <c r="C6" s="20">
        <f>'PP7 Summary'!C44</f>
        <v>5161.859948</v>
      </c>
    </row>
    <row r="7">
      <c r="A7" s="5" t="s">
        <v>169</v>
      </c>
      <c r="B7" s="46" t="str">
        <f>'PP7 Summary'!B54</f>
        <v>Uncertainty Adjusted Total</v>
      </c>
    </row>
    <row r="10">
      <c r="B10" s="46" t="str">
        <f>'PP7 Summary'!H27</f>
        <v>Biomass Transport</v>
      </c>
      <c r="C10" s="64">
        <f>'PP7 Summary'!I27</f>
        <v>0.8027</v>
      </c>
    </row>
    <row r="11">
      <c r="B11" s="46" t="str">
        <f>'PP7 Summary'!H28</f>
        <v>Propane</v>
      </c>
      <c r="C11" s="20">
        <f>'PP7 Summary'!I28</f>
        <v>22.92464866</v>
      </c>
    </row>
    <row r="12">
      <c r="B12" s="46" t="str">
        <f>'PP7 Summary'!H29</f>
        <v>Diesel</v>
      </c>
      <c r="C12" s="46">
        <f>'PP7 Summary'!I29</f>
        <v>0</v>
      </c>
    </row>
    <row r="13">
      <c r="B13" s="46" t="str">
        <f>'PP7 Summary'!H30</f>
        <v>Gasoline</v>
      </c>
      <c r="C13" s="20">
        <f>'PP7 Summary'!I30</f>
        <v>0.6104758429</v>
      </c>
    </row>
    <row r="14">
      <c r="B14" s="46" t="str">
        <f>'PP7 Summary'!H31</f>
        <v>Electricity</v>
      </c>
      <c r="C14" s="20">
        <f>'PP7 Summary'!I31</f>
        <v>1.596552</v>
      </c>
    </row>
    <row r="15">
      <c r="B15" s="46" t="str">
        <f>'PP7 Summary'!H32</f>
        <v>Tailgas</v>
      </c>
      <c r="C15" s="64">
        <f>'PP7 Summary'!I32</f>
        <v>0.2242025479</v>
      </c>
    </row>
    <row r="16">
      <c r="B16" s="46" t="str">
        <f>'PP7 Summary'!H33</f>
        <v>Water</v>
      </c>
      <c r="C16" s="64">
        <f>'PP7 Summary'!I33</f>
        <v>0.03381335721</v>
      </c>
    </row>
    <row r="17">
      <c r="B17" s="46" t="str">
        <f>'PP7 Summary'!H34</f>
        <v>Consumables Delivery</v>
      </c>
      <c r="C17" s="64">
        <f>'PP7 Summary'!I34</f>
        <v>0.041</v>
      </c>
    </row>
    <row r="18">
      <c r="B18" s="46" t="str">
        <f>'PP7 Summary'!H35</f>
        <v>Waste Disposal</v>
      </c>
      <c r="C18" s="20">
        <f>'PP7 Summary'!I35</f>
        <v>0.07839425488</v>
      </c>
    </row>
    <row r="19">
      <c r="B19" s="46" t="str">
        <f>'PP7 Summary'!H36</f>
        <v>Capital Goods EE</v>
      </c>
      <c r="C19" s="20">
        <f>'PP7 Summary'!I36</f>
        <v>7.058272</v>
      </c>
    </row>
    <row r="20">
      <c r="B20" s="46" t="str">
        <f>'PP7 Summary'!H37</f>
        <v>SP+C EE</v>
      </c>
      <c r="C20" s="20">
        <f>'PP7 Summary'!I37</f>
        <v>2.77626879</v>
      </c>
    </row>
    <row r="21">
      <c r="B21" s="46" t="str">
        <f>'PP7 Summary'!H40</f>
        <v>Total</v>
      </c>
      <c r="C21" s="64">
        <f>'PP7 Summary'!I40</f>
        <v>36.14632745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5" t="s">
        <v>20</v>
      </c>
      <c r="B1" s="11">
        <f>'PP7 Summary'!F5</f>
        <v>3307.6</v>
      </c>
    </row>
    <row r="2">
      <c r="A2" s="5" t="s">
        <v>170</v>
      </c>
      <c r="B2" s="20">
        <f>'PP7 Summary'!J5</f>
        <v>116.09</v>
      </c>
    </row>
    <row r="3">
      <c r="A3" s="5" t="s">
        <v>171</v>
      </c>
      <c r="B3" s="22">
        <f>'PP7 Summary'!N2</f>
        <v>16899</v>
      </c>
    </row>
    <row r="4">
      <c r="A4" s="5" t="s">
        <v>172</v>
      </c>
      <c r="B4" s="25">
        <f>'PP7 Summary'!P2</f>
        <v>0.5052</v>
      </c>
    </row>
    <row r="5">
      <c r="A5" s="5" t="s">
        <v>173</v>
      </c>
      <c r="B5" s="22">
        <f>'PP7 Summary'!N3</f>
        <v>10309</v>
      </c>
    </row>
    <row r="6">
      <c r="A6" s="5" t="s">
        <v>174</v>
      </c>
      <c r="B6" s="25">
        <f>'PP7 Summary'!P3</f>
        <v>0.8661</v>
      </c>
    </row>
    <row r="7">
      <c r="A7" s="5" t="s">
        <v>11</v>
      </c>
      <c r="B7" s="64">
        <f>'PP7 Summary'!I27</f>
        <v>0.8027</v>
      </c>
    </row>
    <row r="8">
      <c r="A8" s="5" t="s">
        <v>63</v>
      </c>
      <c r="B8" s="20">
        <f>'PP7 Summary'!I28</f>
        <v>22.92464866</v>
      </c>
    </row>
    <row r="9">
      <c r="A9" s="5" t="s">
        <v>65</v>
      </c>
      <c r="B9" s="46">
        <f>'PP7 Summary'!I29</f>
        <v>0</v>
      </c>
    </row>
    <row r="10">
      <c r="A10" s="5" t="s">
        <v>67</v>
      </c>
      <c r="B10" s="20">
        <f>'PP7 Summary'!I30</f>
        <v>0.6104758429</v>
      </c>
    </row>
    <row r="11">
      <c r="A11" s="5" t="s">
        <v>69</v>
      </c>
      <c r="B11" s="20">
        <f>'PP7 Summary'!I31</f>
        <v>1.596552</v>
      </c>
    </row>
    <row r="12">
      <c r="A12" s="5" t="s">
        <v>71</v>
      </c>
      <c r="B12" s="64">
        <f>'PP7 Summary'!I32</f>
        <v>0.2242025479</v>
      </c>
    </row>
    <row r="13">
      <c r="A13" s="5" t="s">
        <v>73</v>
      </c>
      <c r="B13" s="64">
        <f>'PP7 Summary'!I33</f>
        <v>0.03381335721</v>
      </c>
    </row>
    <row r="14">
      <c r="A14" s="5" t="s">
        <v>75</v>
      </c>
      <c r="B14" s="64">
        <f>'PP7 Summary'!I34</f>
        <v>0.041</v>
      </c>
    </row>
    <row r="15">
      <c r="A15" s="5" t="s">
        <v>77</v>
      </c>
      <c r="B15" s="20">
        <f>'PP7 Summary'!I35</f>
        <v>0.07839425488</v>
      </c>
    </row>
    <row r="16">
      <c r="A16" s="5" t="s">
        <v>78</v>
      </c>
      <c r="B16" s="20">
        <f>'PP7 Summary'!I36</f>
        <v>7.058272</v>
      </c>
    </row>
    <row r="17">
      <c r="A17" s="5" t="s">
        <v>80</v>
      </c>
      <c r="B17" s="20">
        <f>'PP7 Summary'!I37</f>
        <v>2.77626879</v>
      </c>
    </row>
    <row r="18">
      <c r="A18" s="5" t="s">
        <v>175</v>
      </c>
      <c r="B18" s="91"/>
    </row>
    <row r="19">
      <c r="A19" s="5" t="s">
        <v>176</v>
      </c>
      <c r="B19" s="92">
        <v>75500.0</v>
      </c>
    </row>
    <row r="20">
      <c r="A20" s="5" t="s">
        <v>177</v>
      </c>
      <c r="B20" s="11">
        <f>'PP7 Summary'!C4</f>
        <v>7420.5</v>
      </c>
    </row>
    <row r="21">
      <c r="A21" s="5" t="s">
        <v>178</v>
      </c>
      <c r="B21" s="20">
        <f>'PP7 Summary'!C5</f>
        <v>1787.92</v>
      </c>
    </row>
    <row r="22">
      <c r="A22" s="5" t="s">
        <v>179</v>
      </c>
      <c r="B22" s="11">
        <f>'PP7 Summary'!C19</f>
        <v>40.5</v>
      </c>
    </row>
    <row r="23">
      <c r="A23" s="5" t="s">
        <v>180</v>
      </c>
      <c r="B23" s="20">
        <f>'PP7 Summary'!C33</f>
        <v>6315.33021</v>
      </c>
    </row>
    <row r="24">
      <c r="A24" s="5" t="s">
        <v>181</v>
      </c>
      <c r="B24" s="20">
        <f>'PP7 Summary'!C44</f>
        <v>5161.859948</v>
      </c>
    </row>
    <row r="25">
      <c r="A25" s="5" t="s">
        <v>182</v>
      </c>
      <c r="B25" s="20">
        <f>'PP7 Summary'!C54</f>
        <v>163.228835</v>
      </c>
    </row>
    <row r="26">
      <c r="A26" s="5" t="s">
        <v>183</v>
      </c>
      <c r="B26" s="20">
        <f>'PP7 Summary'!C67</f>
        <v>43444.30109</v>
      </c>
    </row>
    <row r="27">
      <c r="A27" s="5" t="s">
        <v>184</v>
      </c>
      <c r="B27" s="20">
        <f>'PP7 Summary'!C81</f>
        <v>73596.38</v>
      </c>
    </row>
  </sheetData>
  <drawing r:id="rId1"/>
</worksheet>
</file>