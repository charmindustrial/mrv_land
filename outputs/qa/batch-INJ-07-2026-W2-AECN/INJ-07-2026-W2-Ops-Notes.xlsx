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visible" name="WODO Shipments &amp; EE Allocation" sheetId="8" r:id="rId12"/>
  </sheets>
  <definedNames/>
  <calcPr/>
</workbook>
</file>

<file path=xl/sharedStrings.xml><?xml version="1.0" encoding="utf-8"?>
<sst xmlns="http://schemas.openxmlformats.org/spreadsheetml/2006/main" count="505" uniqueCount="213">
  <si>
    <t>BATCH SUMMARY</t>
  </si>
  <si>
    <t>BATCH HEADER — AECN Truck (Direct from Fort Lupton)</t>
  </si>
  <si>
    <t>BATCH HEADER — Charm WODO (IBC Totes)</t>
  </si>
  <si>
    <t>BATCH HEADER — AECN Rail</t>
  </si>
  <si>
    <t>Batch ID (INJ-YYYY-WXX)</t>
  </si>
  <si>
    <t>INJ-07-2026-W2</t>
  </si>
  <si>
    <t>Constants</t>
  </si>
  <si>
    <t>Batch ID</t>
  </si>
  <si>
    <t>Week Start (Sat)</t>
  </si>
  <si>
    <t>Lbs/Kg</t>
  </si>
  <si>
    <t>Week End (Sat)</t>
  </si>
  <si>
    <t>Kg/Lbs</t>
  </si>
  <si>
    <t>SECTION 1 - PER-TAB SUMMARY  (each row pulls from its mode tab)</t>
  </si>
  <si>
    <t>Sparging Mass Loss</t>
  </si>
  <si>
    <t>pH range (target)</t>
  </si>
  <si>
    <t>2.0 - 4.0</t>
  </si>
  <si>
    <t>Filtration Solids Content</t>
  </si>
  <si>
    <t>Source Tab</t>
  </si>
  <si>
    <t>Σ Deliveries / Cargo (kg)</t>
  </si>
  <si>
    <t>Σ Uncertainty Adj (kg)</t>
  </si>
  <si>
    <t>Mass Used (kg)</t>
  </si>
  <si>
    <t>SECTION 1 - IBC LEDGER  (one row per IBC tote; tote tag mass is authoritative)</t>
  </si>
  <si>
    <t>Sparging Loss (kg)</t>
  </si>
  <si>
    <t>Filtration Loss (kg)</t>
  </si>
  <si>
    <t>MOBI (kg)</t>
  </si>
  <si>
    <t>AECN→SOPOR EE (mi)</t>
  </si>
  <si>
    <t>Opel→Basco EE (mi)</t>
  </si>
  <si>
    <t>CO -&gt; LA (EE)</t>
  </si>
  <si>
    <t>AECN Rail</t>
  </si>
  <si>
    <t>Transport Emissions</t>
  </si>
  <si>
    <t>Pyrolysis Emissions Mass</t>
  </si>
  <si>
    <t>MOBI</t>
  </si>
  <si>
    <t>SECTION 1 - DELIVERIES LEDGER  (one row per direct truck; BOL &amp; scale ticket on same row)</t>
  </si>
  <si>
    <t>SECTION 1 - RAILCARS RECEIVED THIS WEEK  (entity-level)</t>
  </si>
  <si>
    <t>Date</t>
  </si>
  <si>
    <t>Tag</t>
  </si>
  <si>
    <t>BOL # / SO #</t>
  </si>
  <si>
    <t>BOL Mass (MT)</t>
  </si>
  <si>
    <t>Gross Mass (kg)</t>
  </si>
  <si>
    <t>Tote Mass (kg)</t>
  </si>
  <si>
    <t>BOL Mass (kg)</t>
  </si>
  <si>
    <t>Scale Full (lb)</t>
  </si>
  <si>
    <t>Scale Empty (lb)</t>
  </si>
  <si>
    <t>Cargo (kg)</t>
  </si>
  <si>
    <t>pH</t>
  </si>
  <si>
    <t>Net Oil Produced (kg)</t>
  </si>
  <si>
    <t>Notes</t>
  </si>
  <si>
    <t>Empty Tote Weight (kg)</t>
  </si>
  <si>
    <t>Net Oil Injected (kg)</t>
  </si>
  <si>
    <t>C Content</t>
  </si>
  <si>
    <t>Production Period</t>
  </si>
  <si>
    <t>BOL Trips (AECN→SOPOR)</t>
  </si>
  <si>
    <t>Carbon Intensity</t>
  </si>
  <si>
    <t>Railcar #</t>
  </si>
  <si>
    <t>Production  Emissions</t>
  </si>
  <si>
    <t>Arrival Date at Opelousas</t>
  </si>
  <si>
    <t>Scale Uncertainty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</si>
  <si>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</si>
  <si>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</si>
  <si>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</si>
  <si>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</si>
  <si>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</si>
  <si>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</si>
  <si>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</si>
  <si>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</si>
  <si>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AECN Truck</t>
  </si>
  <si>
    <t>Rail (mi)</t>
  </si>
  <si>
    <t>Opel→Basco (mi)</t>
  </si>
  <si>
    <t>Round Trip (Opel→Basco)</t>
  </si>
  <si>
    <t>SHPX215079</t>
  </si>
  <si>
    <t>2389-R, 2390-R, 2391-R</t>
  </si>
  <si>
    <t>Charm WODO</t>
  </si>
  <si>
    <t>MFO Lot 301041 (LOT00301041), March 2026</t>
  </si>
  <si>
    <t>Kerry</t>
  </si>
  <si>
    <t>TIMX201060</t>
  </si>
  <si>
    <t>MFO Lot 301089 (LOT00301089), April 2026</t>
  </si>
  <si>
    <t>QOWV</t>
  </si>
  <si>
    <t>2392-R, 2393-R, 2394-R</t>
  </si>
  <si>
    <t>MFO Lot 301128 (LOT00301128), April 2026</t>
  </si>
  <si>
    <t>TOTAL</t>
  </si>
  <si>
    <t>SECTION 2 - ORIGINS LEDGER  (loading BOLs at SOPOR)</t>
  </si>
  <si>
    <t>SECTION 2 - ROLLUP  (Mass Used = Σ BOL kg; scale tickets no longer required for direct trucks per 2026-05-26)</t>
  </si>
  <si>
    <t>Σ BOL (kg)</t>
  </si>
  <si>
    <t>SECTION 2 - PER-OIL-TYPE ROLLUP  (composite C% per oil type per week)</t>
  </si>
  <si>
    <t>Σ Cargo (kg)</t>
  </si>
  <si>
    <t>Uncertainty Adjustment (kg)</t>
  </si>
  <si>
    <t>C Content (MOBI-wtd)</t>
  </si>
  <si>
    <t>Origins list (BOLs)</t>
  </si>
  <si>
    <t>BOL #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</si>
  <si>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</si>
  <si>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</si>
  <si>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</si>
  <si>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</si>
  <si>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</si>
  <si>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</si>
  <si>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</si>
  <si>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</si>
  <si>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</si>
  <si>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</si>
  <si>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</si>
  <si>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AECN 7-2026-W2</t>
  </si>
  <si>
    <t>WODO</t>
  </si>
  <si>
    <t>7-2026-W2 WODO</t>
  </si>
  <si>
    <t>BATCH HEADER — QOWV (Aqueous Bio-Oil, IBC Totes)</t>
  </si>
  <si>
    <t>QOWV 7-2026-W2</t>
  </si>
  <si>
    <t>SECTION 3 - SCALE TICKETS + OFFLOAD WEIGHTS</t>
  </si>
  <si>
    <t>SECTION 2 - ROLLUP</t>
  </si>
  <si>
    <t xml:space="preserve"> </t>
  </si>
  <si>
    <t>Full Scale Ticket (lb)</t>
  </si>
  <si>
    <t>Empty Scale Ticket (lb)</t>
  </si>
  <si>
    <t>Net Scaled Mass (kg)</t>
  </si>
  <si>
    <t>Transport Mass</t>
  </si>
  <si>
    <t>Σ Net Oil Produced (kg)</t>
  </si>
  <si>
    <t>MOBI — Σ Net Oil Injected (kg)</t>
  </si>
  <si>
    <t>AECN→SOPOR (mi, x3 — full BOL)</t>
  </si>
  <si>
    <t>Rail (mi — full BOL)</t>
  </si>
  <si>
    <t>Opel→Basco (mi, x2 — downstream, per offload)</t>
  </si>
  <si>
    <t>Rail_SHPX215079_6.18.2026_offload_1</t>
  </si>
  <si>
    <t>MFO Lot 2808 (LOT00002808), July 2025</t>
  </si>
  <si>
    <t>MFO Lot 2908 (LOT00002908), July 2025</t>
  </si>
  <si>
    <t>BATCH HEADER — Kerry (Calciner Waste Oil, IBC Totes)</t>
  </si>
  <si>
    <t>MFO Lot 3312 (LOT00003312), August 2025</t>
  </si>
  <si>
    <t>MFO Lot 3314 (LOT00003314), August 2025</t>
  </si>
  <si>
    <t>SECTION 1 - IBC LEDGER  (one row per Kerry tote; tote tag mass is authoritative)</t>
  </si>
  <si>
    <t>MFO Lot 3316 (LOT00003316), August 2025</t>
  </si>
  <si>
    <t>Tote Tag #</t>
  </si>
  <si>
    <t>MFO Lot 3370 (LOT00003370), August 2025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</si>
  <si>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</si>
  <si>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</si>
  <si>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</si>
  <si>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</si>
  <si>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</si>
  <si>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INJ-07-2026-W2 — QOWV Shipments &amp; EE Allocation</t>
  </si>
  <si>
    <t>MFO Lot 3372 (LOT00003372), August 2025</t>
  </si>
  <si>
    <t>MFO Lot 3376 (LOT00003376), August 2025</t>
  </si>
  <si>
    <t>Batch</t>
  </si>
  <si>
    <t>Fraction</t>
  </si>
  <si>
    <t>Inj. Week</t>
  </si>
  <si>
    <t># Totes</t>
  </si>
  <si>
    <t>Shipping Orders (relevant totes)</t>
  </si>
  <si>
    <t>2026-07-04 to 2026-07-11</t>
  </si>
  <si>
    <t>MFO Lot 3378 (LOT00003378), August 2025</t>
  </si>
  <si>
    <t>COLA_8 (16), CO_AQUEOUS_12.3 (1), CO_AQUEOUS_12.3_02 (8), CO_AQUEOUS_12.01.25 (1), CO_AQUEOUS_12.1.25_T2 (1), COLA20 (9)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</si>
  <si>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</si>
  <si>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</si>
  <si>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</si>
  <si>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</si>
  <si>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</si>
  <si>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</si>
  <si>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</si>
  <si>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</si>
  <si>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</si>
  <si>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MFO Lot 3380 (LOT00003380), August 2025</t>
  </si>
  <si>
    <t>COLA_8</t>
  </si>
  <si>
    <t>MFO Lot 3382 (LOT00003382), August 2025</t>
  </si>
  <si>
    <t>MFO Lot 3384 (LOT00003384), August 2025</t>
  </si>
  <si>
    <t>CO_AQUEOUS_12.3</t>
  </si>
  <si>
    <t>MFO Lot 3386 (LOT00003386), August 2025</t>
  </si>
  <si>
    <t>CO_AQUEOUS_12.3_02</t>
  </si>
  <si>
    <t>Σ Net Injected (kg)</t>
  </si>
  <si>
    <t>Origins list (Tote tags)</t>
  </si>
  <si>
    <t>MFO Lot 3390 (LOT00003390), August 2025</t>
  </si>
  <si>
    <t>CO_AQUEOUS_12.01.25</t>
  </si>
  <si>
    <t>CO_AQUEOUS_12.1.25_T2</t>
  </si>
  <si>
    <t>MFO Lot 3392 (LOT00003392), August 2025</t>
  </si>
  <si>
    <t>COLA20</t>
  </si>
  <si>
    <t>MFO Lot 3394 (LOT00003394), August 2025</t>
  </si>
  <si>
    <t>MFO Lot 3396 (LOT00003396), August 2025</t>
  </si>
  <si>
    <t>BATCH MILEAGE ALLOCATION</t>
  </si>
  <si>
    <t>MFO Lot 3398 (LOT00003398), August 2025</t>
  </si>
  <si>
    <t>Per-Truck Allocation</t>
  </si>
  <si>
    <t>COLA_8 (16/18), CO_AQUEOUS_12.3 (1/17), CO_AQUEOUS_12.3_02 (8/8), CO_AQUEOUS_12.01.25 (1/20), CO_AQUEOUS_12.1.25_T2 (1/20), COLA20 (9/19)</t>
  </si>
  <si>
    <t>MFO Lot 3400 (LOT00003400), August 2025</t>
  </si>
  <si>
    <t>--- Shipping Order COLA_8 ---</t>
  </si>
  <si>
    <t>MFO Lot 3586 (LOT00003586), August 2025</t>
  </si>
  <si>
    <t>Metal Tag</t>
  </si>
  <si>
    <t>Shipping Order</t>
  </si>
  <si>
    <t>MFO Lot 3590 (LOT00003590), August 2025</t>
  </si>
  <si>
    <t>INJ-07-2026-W2 — WODO Shipments &amp; EE Allocation</t>
  </si>
  <si>
    <t>MFO Lot 3622 (LOT00003622), August 2025</t>
  </si>
  <si>
    <t>Rail_TIMX201060_6.22.2026_offload_1</t>
  </si>
  <si>
    <t>MFO Lot 3626 (LOT00003626), August 2025</t>
  </si>
  <si>
    <t>COLA18 (3)</t>
  </si>
  <si>
    <t>MFO Lot 3646 (LOT00003646), August 2025</t>
  </si>
  <si>
    <t>MFO Lot 3648 (LOT00003648), August 2025</t>
  </si>
  <si>
    <t>MFO Lot 3694 (LOT00003694), September 2025</t>
  </si>
  <si>
    <t>COLA18</t>
  </si>
  <si>
    <t>MFO Lot 3806 (LOT00003806), September 2025</t>
  </si>
  <si>
    <t>MFO Lot 4314 (LOT00004314), November 2025</t>
  </si>
  <si>
    <t>Rail_TIMX201060_6.22.2026_offload_2</t>
  </si>
  <si>
    <t>MFO Lot 4316 (LOT00004316), November 2025</t>
  </si>
  <si>
    <t>MFO Lot 4380 (LOT00004380), November 2025</t>
  </si>
  <si>
    <t>COLA18 (3/3)</t>
  </si>
  <si>
    <t>MFO Lot 4382 (LOT00004382), November 2025</t>
  </si>
  <si>
    <t>MFO Lot 4394 (LOT00004394), November 2025</t>
  </si>
  <si>
    <t>--- Shipping Order COLA18 ---</t>
  </si>
  <si>
    <t>MFO Lot 4396 (LOT00004396), November 2025</t>
  </si>
  <si>
    <t>--- Shipping Order CO_AQUEOUS_12.3 ---</t>
  </si>
  <si>
    <t>MFO Lot 4402 (LOT00004402), November 2025</t>
  </si>
  <si>
    <t>MFO Lot 4412 (LOT00004412), November 2025</t>
  </si>
  <si>
    <t>--- Shipping Order CO_AQUEOUS_12.3_02 ---</t>
  </si>
  <si>
    <t>MFO Lot 4450 (LOT00004450), December 2025</t>
  </si>
  <si>
    <t>Rail_TIMX201060_6.22.2026_offload_3</t>
  </si>
  <si>
    <t>--- Shipping Order CO_AQUEOUS_12.01.25 ---</t>
  </si>
  <si>
    <t>--- Shipping Order CO_AQUEOUS_12.1.25_T2 ---</t>
  </si>
  <si>
    <t>--- Shipping Order COLA20 ---</t>
  </si>
  <si>
    <t>Rail_TIMX201060_6.22.2026_offload_4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</si>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</sst>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000000"/>
    <numFmt numFmtId="166" formatCode="#,##0.00000"/>
    <numFmt numFmtId="167" formatCode="0.0000%"/>
    <numFmt numFmtId="168" formatCode="0.000000"/>
    <numFmt numFmtId="169" formatCode="yyyy-mm-dd"/>
    <numFmt numFmtId="170" formatCode="mmmm yyyy"/>
    <numFmt numFmtId="171" formatCode="#,##0.000000"/>
  </numFmts>
  <fonts count="1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3" fontId="3" numFmtId="0" xfId="0" applyAlignment="1" applyFont="1">
      <alignment horizontal="center"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3" fontId="3" numFmtId="0" xfId="0" applyFont="1"/>
    <xf borderId="0" fillId="0" fontId="5" numFmtId="0" xfId="0" applyAlignment="1" applyFont="1">
      <alignment readingOrder="0"/>
    </xf>
    <xf borderId="0" fillId="3" fontId="2" numFmtId="4" xfId="0" applyFont="1" applyNumberFormat="1"/>
    <xf borderId="0" fillId="4" fontId="3" numFmtId="0" xfId="0" applyAlignment="1" applyFill="1" applyFont="1">
      <alignment readingOrder="0"/>
    </xf>
    <xf borderId="0" fillId="3" fontId="3" numFmtId="4" xfId="0" applyAlignment="1" applyFont="1" applyNumberFormat="1">
      <alignment horizontal="center" readingOrder="0"/>
    </xf>
    <xf borderId="0" fillId="3" fontId="3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2" numFmtId="164" xfId="0" applyFont="1" applyNumberFormat="1"/>
    <xf borderId="0" fillId="3" fontId="3" numFmtId="2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2" numFmtId="2" xfId="0" applyFont="1" applyNumberFormat="1"/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4" fontId="2" numFmtId="4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0" fontId="2" numFmtId="4" xfId="0" applyFont="1" applyNumberFormat="1"/>
    <xf borderId="0" fillId="2" fontId="1" numFmtId="164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6" numFmtId="0" xfId="0" applyFont="1"/>
    <xf borderId="0" fillId="0" fontId="2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8" numFmtId="167" xfId="0" applyAlignment="1" applyFont="1" applyNumberFormat="1">
      <alignment readingOrder="0"/>
    </xf>
    <xf borderId="0" fillId="0" fontId="2" numFmtId="49" xfId="0" applyFont="1" applyNumberFormat="1"/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10" xfId="0" applyFont="1" applyNumberFormat="1"/>
    <xf borderId="0" fillId="4" fontId="9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67" xfId="0" applyFont="1" applyNumberFormat="1"/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0" fontId="2" numFmtId="168" xfId="0" applyFont="1" applyNumberFormat="1"/>
    <xf borderId="0" fillId="3" fontId="2" numFmtId="4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3" fontId="2" numFmtId="4" xfId="0" applyFont="1" applyNumberFormat="1"/>
    <xf borderId="0" fillId="0" fontId="2" numFmtId="10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3" fontId="10" numFmtId="0" xfId="0" applyAlignment="1" applyFont="1">
      <alignment horizontal="center" vertical="bottom"/>
    </xf>
    <xf borderId="0" fillId="5" fontId="2" numFmtId="0" xfId="0" applyAlignment="1" applyFont="1">
      <alignment readingOrder="0"/>
    </xf>
    <xf borderId="0" fillId="3" fontId="11" numFmtId="0" xfId="0" applyAlignment="1" applyFont="1">
      <alignment horizontal="center" readingOrder="0" vertical="bottom"/>
    </xf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1" fillId="3" fontId="10" numFmtId="0" xfId="0" applyAlignment="1" applyBorder="1" applyFont="1">
      <alignment horizontal="center" readingOrder="0" vertical="bottom"/>
    </xf>
    <xf borderId="0" fillId="5" fontId="2" numFmtId="10" xfId="0" applyAlignment="1" applyFont="1" applyNumberFormat="1">
      <alignment readingOrder="0"/>
    </xf>
    <xf borderId="0" fillId="5" fontId="2" numFmtId="0" xfId="0" applyFont="1"/>
    <xf borderId="1" fillId="3" fontId="11" numFmtId="0" xfId="0" applyAlignment="1" applyBorder="1" applyFont="1">
      <alignment horizontal="center" readingOrder="0" vertical="bottom"/>
    </xf>
    <xf borderId="1" fillId="5" fontId="12" numFmtId="1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1" fillId="4" fontId="12" numFmtId="4" xfId="0" applyAlignment="1" applyBorder="1" applyFont="1" applyNumberFormat="1">
      <alignment horizontal="right" readingOrder="0" vertical="bottom"/>
    </xf>
    <xf borderId="0" fillId="3" fontId="14" numFmtId="4" xfId="0" applyAlignment="1" applyFont="1" applyNumberFormat="1">
      <alignment readingOrder="0"/>
    </xf>
    <xf borderId="1" fillId="4" fontId="13" numFmtId="4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5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3" numFmtId="169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2" numFmtId="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3" fontId="2" numFmtId="10" xfId="0" applyAlignment="1" applyFont="1" applyNumberFormat="1">
      <alignment readingOrder="0"/>
    </xf>
    <xf borderId="0" fillId="0" fontId="16" numFmtId="165" xfId="0" applyAlignment="1" applyFont="1" applyNumberFormat="1">
      <alignment readingOrder="0"/>
    </xf>
    <xf borderId="1" fillId="5" fontId="13" numFmtId="0" xfId="0" applyAlignment="1" applyBorder="1" applyFont="1">
      <alignment horizontal="right" readingOrder="0" vertical="bottom"/>
    </xf>
    <xf borderId="1" fillId="0" fontId="12" numFmtId="1" xfId="0" applyAlignment="1" applyBorder="1" applyFont="1" applyNumberFormat="1">
      <alignment horizontal="right" readingOrder="0" vertical="bottom"/>
    </xf>
    <xf borderId="0" fillId="0" fontId="2" numFmtId="3" xfId="0" applyFont="1" applyNumberFormat="1"/>
    <xf borderId="1" fillId="0" fontId="12" numFmtId="1" xfId="0" applyAlignment="1" applyBorder="1" applyFont="1" applyNumberFormat="1">
      <alignment horizontal="right" vertical="bottom"/>
    </xf>
    <xf borderId="1" fillId="0" fontId="12" numFmtId="0" xfId="0" applyAlignment="1" applyBorder="1" applyFont="1">
      <alignment horizontal="right" vertical="bottom"/>
    </xf>
    <xf borderId="0" fillId="0" fontId="2" numFmtId="1" xfId="0" applyFont="1" applyNumberFormat="1"/>
    <xf borderId="0" fillId="4" fontId="2" numFmtId="4" xfId="0" applyFont="1" applyNumberFormat="1"/>
    <xf borderId="0" fillId="0" fontId="3" numFmtId="4" xfId="0" applyFont="1" applyNumberFormat="1"/>
    <xf borderId="0" fillId="0" fontId="3" numFmtId="170" xfId="0" applyAlignment="1" applyFont="1" applyNumberFormat="1">
      <alignment readingOrder="0"/>
    </xf>
    <xf borderId="0" fillId="0" fontId="3" numFmtId="171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3" fontId="2" numFmtId="0" xfId="0" applyFont="1"/>
    <xf borderId="0" fillId="3" fontId="2" numFmtId="4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4" fontId="2" numFmtId="0" xfId="0" applyFont="1"/>
    <xf borderId="0" fillId="3" fontId="2" numFmtId="2" xfId="0" applyFont="1" applyNumberFormat="1"/>
    <xf borderId="0" fillId="4" fontId="2" numFmtId="2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</row>
    <row r="3">
      <c r="A3" s="3" t="s">
        <v>8</v>
      </c>
      <c r="B3" s="5">
        <v>46207.0</v>
      </c>
    </row>
    <row r="4">
      <c r="A4" s="3" t="s">
        <v>10</v>
      </c>
      <c r="B4" s="5">
        <v>46214.0</v>
      </c>
    </row>
    <row r="6">
      <c r="A6" s="1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18</v>
      </c>
      <c r="C7" s="4" t="s">
        <v>19</v>
      </c>
      <c r="D7" s="7" t="s">
        <v>20</v>
      </c>
      <c r="E7" s="4" t="s">
        <v>22</v>
      </c>
      <c r="F7" s="7" t="s">
        <v>23</v>
      </c>
      <c r="G7" s="4" t="s">
        <v>24</v>
      </c>
      <c r="H7" s="4" t="s">
        <v>25</v>
      </c>
      <c r="I7" s="4"/>
      <c r="J7" s="4" t="s">
        <v>26</v>
      </c>
      <c r="K7" s="4" t="s">
        <v>27</v>
      </c>
      <c r="L7" s="8"/>
      <c r="M7" s="8"/>
      <c r="N7" s="8"/>
    </row>
    <row r="8">
      <c r="A8" s="3" t="s">
        <v>28</v>
      </c>
      <c r="B8" s="10">
        <f>'AECN Rail'!B52</f>
        <v>98093.80592</v>
      </c>
      <c r="C8" s="10">
        <f>'AECN Rail'!C52</f>
        <v>80.27808</v>
      </c>
      <c r="D8" s="14">
        <f>'AECN Rail'!D52</f>
        <v>98013.52784</v>
      </c>
      <c r="E8" s="10">
        <f>'AECN Rail'!E52</f>
        <v>1264.374509</v>
      </c>
      <c r="F8" s="14">
        <f>'AECN Rail'!F52</f>
        <v>188.660849</v>
      </c>
      <c r="G8" s="10">
        <f>'AECN Rail'!G52</f>
        <v>96560.49248</v>
      </c>
      <c r="H8" s="10">
        <f>SUM('AECN Rail'!L32:L47)</f>
        <v>402.8410281</v>
      </c>
      <c r="I8" s="10"/>
      <c r="J8" s="10">
        <f>SUM('AECN Rail'!N32:N47)</f>
        <v>429</v>
      </c>
    </row>
    <row r="9">
      <c r="A9" s="3" t="s">
        <v>65</v>
      </c>
      <c r="B9" s="10">
        <f>'AECN Truck'!B28</f>
        <v>0</v>
      </c>
      <c r="C9" s="10">
        <f>'AECN Truck'!F28</f>
        <v>0</v>
      </c>
      <c r="D9" s="14">
        <f>'AECN Truck'!C28</f>
        <v>0</v>
      </c>
      <c r="E9" s="10">
        <f>'AECN Truck'!D28</f>
        <v>0</v>
      </c>
      <c r="F9" s="14">
        <f>'AECN Truck'!E28</f>
        <v>0</v>
      </c>
      <c r="G9" s="10">
        <f>'AECN Truck'!G28</f>
        <v>0</v>
      </c>
    </row>
    <row r="10">
      <c r="A10" s="3" t="s">
        <v>71</v>
      </c>
      <c r="B10" s="10">
        <f>WODO!A33</f>
        <v>3246</v>
      </c>
      <c r="C10" s="25">
        <v>0.0</v>
      </c>
      <c r="D10" s="29">
        <f>WODO!B33</f>
        <v>3073.2</v>
      </c>
      <c r="E10" s="10">
        <f>WODO!C33</f>
        <v>5.2</v>
      </c>
      <c r="F10" s="29">
        <v>0.0</v>
      </c>
      <c r="G10" s="25">
        <f>WODO!D33</f>
        <v>3068</v>
      </c>
      <c r="K10" s="25">
        <f>'WODO Shipments &amp; EE Allocation'!G13</f>
        <v>1201</v>
      </c>
    </row>
    <row r="11">
      <c r="A11" s="3" t="s">
        <v>73</v>
      </c>
      <c r="B11" s="10">
        <f>Kerry!A33</f>
        <v>0</v>
      </c>
      <c r="C11" s="25">
        <v>0.0</v>
      </c>
      <c r="D11" s="29">
        <f>Kerry!A33</f>
        <v>0</v>
      </c>
      <c r="E11" s="10">
        <f>Kerry!B33</f>
        <v>0</v>
      </c>
      <c r="F11" s="29">
        <v>0.0</v>
      </c>
      <c r="G11" s="6">
        <f>Kerry!C33</f>
        <v>0</v>
      </c>
    </row>
    <row r="12">
      <c r="A12" s="3" t="s">
        <v>76</v>
      </c>
      <c r="B12" s="25">
        <f>QOWV!B53</f>
        <v>31529</v>
      </c>
      <c r="C12" s="25">
        <v>0.0</v>
      </c>
      <c r="D12" s="29">
        <f>QOWV!D53</f>
        <v>29455.4</v>
      </c>
      <c r="E12" s="25">
        <v>0.0</v>
      </c>
      <c r="F12" s="29">
        <v>0.0</v>
      </c>
      <c r="G12" s="35">
        <f>QOWV!F53</f>
        <v>25521</v>
      </c>
      <c r="I12" s="4"/>
      <c r="J12" s="8"/>
      <c r="K12" s="10">
        <f>'QOWV Shipments &amp; EE Allocation'!G18</f>
        <v>3028.197351</v>
      </c>
      <c r="L12" s="8"/>
      <c r="M12" s="8"/>
      <c r="N12" s="8"/>
    </row>
    <row r="13">
      <c r="A13" s="3" t="s">
        <v>79</v>
      </c>
      <c r="B13" s="10">
        <f t="shared" ref="B13:G13" si="1">SUM(B8:B12)</f>
        <v>132868.8059</v>
      </c>
      <c r="C13" s="10">
        <f t="shared" si="1"/>
        <v>80.27808</v>
      </c>
      <c r="D13" s="10">
        <f t="shared" si="1"/>
        <v>130542.1278</v>
      </c>
      <c r="E13" s="10">
        <f t="shared" si="1"/>
        <v>1269.574509</v>
      </c>
      <c r="F13" s="10">
        <f t="shared" si="1"/>
        <v>188.660849</v>
      </c>
      <c r="G13" s="10">
        <f t="shared" si="1"/>
        <v>125149.4925</v>
      </c>
      <c r="H13" s="10"/>
      <c r="I13" s="10"/>
      <c r="J13" s="10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83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4" t="s">
        <v>89</v>
      </c>
      <c r="B16" s="42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>
      <c r="A17" s="3" t="s">
        <v>99</v>
      </c>
      <c r="B17" s="10">
        <f>SUM('AECN Rail'!I10:I13)+'AECN Truck'!A28</f>
        <v>98013.52784</v>
      </c>
      <c r="C17" s="35">
        <f>'AECN Rail'!B52</f>
        <v>98093.80592</v>
      </c>
      <c r="D17" s="25">
        <f>SUM('AECN Rail'!I10:I13)+'AECN Truck'!A28</f>
        <v>98013.52784</v>
      </c>
      <c r="E17" s="25">
        <f>'AECN Rail'!G52+'AECN Truck'!G28</f>
        <v>96560.49248</v>
      </c>
      <c r="F17" s="3" t="s">
        <v>100</v>
      </c>
      <c r="G17" s="46">
        <v>0.416</v>
      </c>
      <c r="H17" s="47" t="str">
        <f>HYPERLINK("https://drive.google.com/file/d/1BCWgPB03ksOBbkCZFxaUgDYR7FuPJQ2t/view","COA SR26-04370.001")</f>
        <v>COA SR26-04370.001</v>
      </c>
      <c r="I17" s="48">
        <f t="shared" ref="I17:I18" si="2">G17*J17</f>
        <v>0.001664</v>
      </c>
      <c r="J17" s="46">
        <v>0.004</v>
      </c>
    </row>
    <row r="18">
      <c r="A18" s="3" t="s">
        <v>101</v>
      </c>
      <c r="B18" s="10">
        <f>WODO!A33</f>
        <v>3246</v>
      </c>
      <c r="C18" s="3"/>
      <c r="D18" s="25">
        <f>WODO!B33</f>
        <v>3073.2</v>
      </c>
      <c r="E18" s="25">
        <f>WODO!D33</f>
        <v>3068</v>
      </c>
      <c r="F18" s="3" t="s">
        <v>102</v>
      </c>
      <c r="G18" s="46">
        <v>0.489</v>
      </c>
      <c r="H18" s="49" t="str">
        <f>HYPERLINK("https://drive.google.com/file/d/1ksAacSokglR1yDkEgjM1Y2Q1l4xtdsA2/view","COA SR26-04432.001")</f>
        <v>COA SR26-04432.001</v>
      </c>
      <c r="I18" s="48">
        <f t="shared" si="2"/>
        <v>0.001956</v>
      </c>
      <c r="J18" s="46">
        <v>0.004</v>
      </c>
    </row>
    <row r="19">
      <c r="A19" s="3" t="s">
        <v>73</v>
      </c>
      <c r="B19" s="10">
        <f>Kerry!A33</f>
        <v>0</v>
      </c>
      <c r="D19" s="53">
        <f>Kerry!A33</f>
        <v>0</v>
      </c>
      <c r="E19" s="27">
        <f>Kerry!C33</f>
        <v>0</v>
      </c>
      <c r="F19" s="46"/>
      <c r="G19" s="46"/>
      <c r="H19" s="57"/>
      <c r="I19" s="57"/>
      <c r="J19" s="53"/>
    </row>
    <row r="20">
      <c r="A20" s="3" t="s">
        <v>76</v>
      </c>
      <c r="B20" s="10">
        <f>QOWV!B53</f>
        <v>31529</v>
      </c>
      <c r="C20" s="3"/>
      <c r="D20" s="35">
        <f>QOWV!D53</f>
        <v>29455.4</v>
      </c>
      <c r="E20" s="35">
        <f>QOWV!F53</f>
        <v>25521</v>
      </c>
      <c r="F20" s="3" t="s">
        <v>104</v>
      </c>
      <c r="G20" s="46">
        <v>0.084</v>
      </c>
      <c r="H20" s="49" t="str">
        <f>HYPERLINK("https://drive.google.com/file/d/12ApjLt22Wk0k4hsdKO99Ibq_MslVXDQX/view","COA SR26-04220.002")</f>
        <v>COA SR26-04220.002</v>
      </c>
      <c r="I20" s="48">
        <f>G20*J20</f>
        <v>0.000336</v>
      </c>
      <c r="J20" s="46">
        <v>0.004</v>
      </c>
      <c r="K20" s="8"/>
      <c r="L20" s="8"/>
    </row>
    <row r="21">
      <c r="A21" s="3" t="s">
        <v>79</v>
      </c>
      <c r="B21" s="10">
        <f t="shared" ref="B21:E21" si="3">SUM(B17:B20)</f>
        <v>132788.5278</v>
      </c>
      <c r="C21" s="37">
        <f t="shared" si="3"/>
        <v>98093.80592</v>
      </c>
      <c r="D21" s="37">
        <f t="shared" si="3"/>
        <v>130542.1278</v>
      </c>
      <c r="E21" s="10">
        <f t="shared" si="3"/>
        <v>125149.4925</v>
      </c>
      <c r="F21" s="4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107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8</v>
      </c>
      <c r="B3" s="5">
        <v>46207.0</v>
      </c>
      <c r="N3" s="4" t="s">
        <v>9</v>
      </c>
      <c r="O3" s="6">
        <v>2.20462</v>
      </c>
    </row>
    <row r="4">
      <c r="A4" s="3" t="s">
        <v>10</v>
      </c>
      <c r="B4" s="5">
        <v>46214.0</v>
      </c>
      <c r="N4" s="4" t="s">
        <v>11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3">
        <f>HYPERLINK("https://docs.google.com/spreadsheets/d/16shKoa1KP34kQJyQvzclBejW9L5-ubNSqPsMOVB7zDY/edit?usp=sharing", 0.00195)</f>
        <v>0.00195</v>
      </c>
    </row>
    <row r="8">
      <c r="A8" s="1" t="s">
        <v>33</v>
      </c>
      <c r="B8" s="2"/>
      <c r="C8" s="2"/>
      <c r="D8" s="2"/>
      <c r="E8" s="2"/>
      <c r="F8" s="2"/>
      <c r="G8" s="2"/>
      <c r="H8" s="2"/>
      <c r="I8" s="1" t="s">
        <v>30</v>
      </c>
      <c r="J8" s="2"/>
      <c r="K8" s="1"/>
      <c r="L8" s="2"/>
      <c r="M8" s="2"/>
      <c r="N8" s="1" t="s">
        <v>51</v>
      </c>
      <c r="O8" s="19">
        <v>3.0</v>
      </c>
      <c r="P8" s="2"/>
      <c r="Q8" s="2"/>
      <c r="R8" s="2"/>
    </row>
    <row r="9">
      <c r="A9" s="4" t="s">
        <v>53</v>
      </c>
      <c r="B9" s="4" t="s">
        <v>55</v>
      </c>
      <c r="C9" s="4" t="s">
        <v>57</v>
      </c>
      <c r="D9" s="15" t="s">
        <v>58</v>
      </c>
      <c r="E9" s="15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66</v>
      </c>
      <c r="L9" s="4" t="s">
        <v>67</v>
      </c>
      <c r="M9" s="4"/>
      <c r="N9" s="4" t="s">
        <v>68</v>
      </c>
      <c r="O9" s="26">
        <v>2.0</v>
      </c>
      <c r="P9" s="8"/>
      <c r="Q9" s="8"/>
      <c r="R9" s="8"/>
    </row>
    <row r="10">
      <c r="A10" s="3" t="s">
        <v>69</v>
      </c>
      <c r="B10" s="18">
        <v>46191.0</v>
      </c>
      <c r="C10" s="3" t="s">
        <v>70</v>
      </c>
      <c r="D10" s="22">
        <f t="shared" ref="D10:D11" si="1">SUMIF($C$17:$C$28,$A10,$D$17:$D$28)</f>
        <v>78.33</v>
      </c>
      <c r="E10" s="22">
        <f t="shared" ref="E10:E11" si="2">SUMIF($C$17:$C$28,$A10,$E$17:$E$28)</f>
        <v>78330</v>
      </c>
      <c r="F10" s="10">
        <f t="shared" ref="F10:F11" si="3">SUMIF($C$32:$C$47,A10,$F$32:$F$47)+H10</f>
        <v>19513.52784</v>
      </c>
      <c r="G10" s="10" t="str">
        <f t="shared" ref="G10:G11" si="4">IF(AND(E10&lt;&gt;"",F10&lt;&gt;"",F10&gt;=0.95*E10),E10-F10,"")</f>
        <v/>
      </c>
      <c r="H10" s="6">
        <v>0.0</v>
      </c>
      <c r="I10" s="33">
        <f>F10-H10</f>
        <v>19513.52784</v>
      </c>
      <c r="J10" s="34">
        <v>107.5</v>
      </c>
      <c r="K10" s="34">
        <v>2199.0</v>
      </c>
      <c r="L10" s="6">
        <v>42.9</v>
      </c>
    </row>
    <row r="11">
      <c r="A11" s="3" t="s">
        <v>74</v>
      </c>
      <c r="B11" s="18">
        <v>46195.0</v>
      </c>
      <c r="C11" s="3" t="s">
        <v>77</v>
      </c>
      <c r="D11" s="22">
        <f t="shared" si="1"/>
        <v>78.5</v>
      </c>
      <c r="E11" s="22">
        <f t="shared" si="2"/>
        <v>78500</v>
      </c>
      <c r="F11" s="10">
        <f t="shared" si="3"/>
        <v>78580.27808</v>
      </c>
      <c r="G11" s="10">
        <f t="shared" si="4"/>
        <v>-80.27808</v>
      </c>
      <c r="H11" s="34">
        <v>0.0</v>
      </c>
      <c r="I11" s="33">
        <f>E11-H11</f>
        <v>78500</v>
      </c>
      <c r="J11" s="34">
        <v>107.5</v>
      </c>
      <c r="K11" s="34">
        <v>2199.0</v>
      </c>
      <c r="L11" s="6">
        <v>42.9</v>
      </c>
    </row>
    <row r="12">
      <c r="A12" s="18"/>
      <c r="B12" s="18"/>
      <c r="D12" s="36"/>
      <c r="E12" s="36"/>
      <c r="F12" s="37"/>
      <c r="G12" s="37"/>
    </row>
    <row r="13">
      <c r="A13" s="18"/>
      <c r="B13" s="18"/>
      <c r="D13" s="36"/>
      <c r="E13" s="36"/>
      <c r="F13" s="37"/>
      <c r="G13" s="37"/>
    </row>
    <row r="14">
      <c r="A14" s="20"/>
      <c r="B14" s="20"/>
    </row>
    <row r="15">
      <c r="A15" s="38" t="s">
        <v>80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1" t="s">
        <v>34</v>
      </c>
      <c r="B16" s="4" t="s">
        <v>88</v>
      </c>
      <c r="C16" s="4" t="s">
        <v>53</v>
      </c>
      <c r="D16" s="15" t="s">
        <v>37</v>
      </c>
      <c r="E16" s="15" t="s">
        <v>40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18">
        <v>46189.0</v>
      </c>
      <c r="B17" s="44" t="str">
        <f>HYPERLINK("https://drive.google.com/file/d/1G88K5a1UAP-XlRs5kGEFWMltzYU-b21P/view","2389-R")</f>
        <v>2389-R</v>
      </c>
      <c r="C17" s="3" t="s">
        <v>69</v>
      </c>
      <c r="D17" s="22">
        <v>25.94</v>
      </c>
      <c r="E17" s="22">
        <v>25940.0</v>
      </c>
    </row>
    <row r="18">
      <c r="A18" s="18">
        <v>46190.0</v>
      </c>
      <c r="B18" s="44" t="str">
        <f>HYPERLINK("https://drive.google.com/file/d/1-DagHF0UmkojsAOoXpaxnTieN6UQ6Z5y/view","2390-R")</f>
        <v>2390-R</v>
      </c>
      <c r="C18" s="3" t="s">
        <v>69</v>
      </c>
      <c r="D18" s="22">
        <v>26.2</v>
      </c>
      <c r="E18" s="22">
        <v>26200.0</v>
      </c>
    </row>
    <row r="19">
      <c r="A19" s="18">
        <v>46190.0</v>
      </c>
      <c r="B19" s="44" t="str">
        <f>HYPERLINK("https://drive.google.com/file/d/1OM_JgSDEClK6h5ODDSM7ZXhF3XdYPDPX/view","2391-R")</f>
        <v>2391-R</v>
      </c>
      <c r="C19" s="3" t="s">
        <v>69</v>
      </c>
      <c r="D19" s="22">
        <v>26.19</v>
      </c>
      <c r="E19" s="22">
        <v>26190.0</v>
      </c>
    </row>
    <row r="20">
      <c r="A20" s="18">
        <v>46191.0</v>
      </c>
      <c r="B20" s="44" t="str">
        <f>HYPERLINK("https://drive.google.com/file/d/1V0mihqtR1ZKdKLeYPDmMdIqHlr-47Xc5/view","2392-R")</f>
        <v>2392-R</v>
      </c>
      <c r="C20" s="3" t="s">
        <v>74</v>
      </c>
      <c r="D20" s="22">
        <v>26.15</v>
      </c>
      <c r="E20" s="22">
        <v>26150.0</v>
      </c>
    </row>
    <row r="21">
      <c r="A21" s="18">
        <v>46191.0</v>
      </c>
      <c r="B21" s="44" t="str">
        <f>HYPERLINK("https://drive.google.com/file/d/1XvA-HjKhlgHF426oxFuN6uqr9tSIsCFP/view","2393-R")</f>
        <v>2393-R</v>
      </c>
      <c r="C21" s="3" t="s">
        <v>74</v>
      </c>
      <c r="D21" s="22">
        <v>26.19</v>
      </c>
      <c r="E21" s="22">
        <v>26190.0</v>
      </c>
    </row>
    <row r="22">
      <c r="A22" s="18">
        <v>46192.0</v>
      </c>
      <c r="B22" s="44" t="str">
        <f>HYPERLINK("https://drive.google.com/file/d/1eiT0igoOPagVkiy_HkE_342PXm2Ex8SU/view","2394-R")</f>
        <v>2394-R</v>
      </c>
      <c r="C22" s="3" t="s">
        <v>74</v>
      </c>
      <c r="D22" s="22">
        <v>26.16</v>
      </c>
      <c r="E22" s="22">
        <v>26160.0</v>
      </c>
    </row>
    <row r="23">
      <c r="A23" s="18"/>
      <c r="D23" s="22"/>
      <c r="E23" s="22"/>
    </row>
    <row r="24">
      <c r="A24" s="18"/>
      <c r="D24" s="22"/>
      <c r="E24" s="22"/>
    </row>
    <row r="25">
      <c r="A25" s="18"/>
      <c r="D25" s="22"/>
      <c r="E25" s="22"/>
    </row>
    <row r="26">
      <c r="A26" s="51"/>
      <c r="B26" s="52"/>
      <c r="C26" s="52"/>
      <c r="D26" s="54"/>
      <c r="E26" s="54"/>
      <c r="F26" s="55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</row>
    <row r="27">
      <c r="A27" s="18"/>
      <c r="D27" s="22"/>
      <c r="E27" s="22"/>
      <c r="F27" s="4"/>
      <c r="G27" s="4"/>
      <c r="H27" s="4"/>
      <c r="I27" s="4"/>
      <c r="J27" s="4"/>
      <c r="K27" s="4"/>
      <c r="L27" s="4"/>
      <c r="M27" s="4"/>
      <c r="N27" s="4"/>
      <c r="O27" s="4"/>
      <c r="P27" s="8"/>
      <c r="Q27" s="8"/>
      <c r="R27" s="8"/>
    </row>
    <row r="28">
      <c r="A28" s="58"/>
      <c r="B28" s="59"/>
      <c r="C28" s="59"/>
      <c r="D28" s="60"/>
      <c r="E28" s="60"/>
      <c r="F28" s="62"/>
      <c r="G28" s="63"/>
      <c r="H28" s="64"/>
      <c r="I28" s="64"/>
      <c r="J28" s="62"/>
      <c r="K28" s="62"/>
      <c r="L28" s="64"/>
      <c r="M28" s="64"/>
      <c r="N28" s="64"/>
      <c r="O28" s="65"/>
    </row>
    <row r="29">
      <c r="A29" s="58"/>
      <c r="B29" s="59"/>
      <c r="C29" s="59"/>
      <c r="D29" s="62"/>
      <c r="E29" s="62"/>
      <c r="F29" s="62"/>
      <c r="G29" s="63"/>
      <c r="H29" s="64"/>
      <c r="I29" s="64"/>
      <c r="J29" s="62"/>
      <c r="K29" s="64"/>
      <c r="L29" s="64"/>
      <c r="M29" s="64"/>
      <c r="N29" s="64"/>
      <c r="O29" s="65"/>
    </row>
    <row r="30">
      <c r="A30" s="66" t="s">
        <v>105</v>
      </c>
      <c r="B30" s="68"/>
      <c r="C30" s="68"/>
      <c r="D30" s="70"/>
      <c r="E30" s="71"/>
      <c r="F30" s="70"/>
      <c r="G30" s="72"/>
      <c r="H30" s="73"/>
      <c r="I30" s="73"/>
      <c r="J30" s="70"/>
      <c r="K30" s="73"/>
      <c r="L30" s="73"/>
      <c r="M30" s="73"/>
      <c r="N30" s="73"/>
      <c r="O30" s="75"/>
      <c r="P30" s="76"/>
      <c r="Q30" s="76"/>
      <c r="R30" s="76"/>
    </row>
    <row r="31">
      <c r="A31" s="58"/>
      <c r="B31" s="59"/>
      <c r="C31" s="59"/>
      <c r="D31" s="62" t="s">
        <v>108</v>
      </c>
      <c r="E31" s="62" t="s">
        <v>109</v>
      </c>
      <c r="F31" s="60" t="s">
        <v>110</v>
      </c>
      <c r="G31" s="63" t="s">
        <v>44</v>
      </c>
      <c r="H31" s="60" t="s">
        <v>22</v>
      </c>
      <c r="I31" s="60" t="s">
        <v>23</v>
      </c>
      <c r="J31" s="60" t="s">
        <v>85</v>
      </c>
      <c r="K31" s="60" t="s">
        <v>24</v>
      </c>
      <c r="L31" s="62" t="s">
        <v>114</v>
      </c>
      <c r="M31" s="62" t="s">
        <v>115</v>
      </c>
      <c r="N31" s="62" t="s">
        <v>116</v>
      </c>
    </row>
    <row r="32">
      <c r="A32" s="58">
        <v>46213.0</v>
      </c>
      <c r="B32" s="59" t="s">
        <v>117</v>
      </c>
      <c r="C32" s="59" t="s">
        <v>69</v>
      </c>
      <c r="D32" s="83">
        <f>HYPERLINK("https://drive.google.com/file/d/1i3jChdazrflMejXxEn41pp8e4A2d_lXX/view", 72240)</f>
        <v>72240</v>
      </c>
      <c r="E32" s="83">
        <f>HYPERLINK("https://drive.google.com/file/d/1QSGMa2BZYOlqRJ5Wq3I4im7tR9EyEcxg/view", 29220)</f>
        <v>29220</v>
      </c>
      <c r="F32" s="60">
        <f t="shared" ref="F32:F36" si="5">IF(D32="","",(D32-E32)*$O$4)</f>
        <v>19513.52784</v>
      </c>
      <c r="G32" s="63">
        <v>3.1</v>
      </c>
      <c r="H32" s="60">
        <f t="shared" ref="H32:H36" si="6">IF(F32="","",(F32-J32)*$O$5)</f>
        <v>251.7245091</v>
      </c>
      <c r="I32" s="60">
        <f t="shared" ref="I32:I36" si="7">IF(F32="","",(F32-J32)*(1-$O$5)*$O$7)</f>
        <v>37.5605165</v>
      </c>
      <c r="J32" s="60">
        <f t="array" ref="J32">IF(F32="","",IF(ROW()=MAX(IF($C$32:$C$47=C32,ROW($C$32:$C$47),0)),MAX(0,IFERROR(VLOOKUP(C32,$A$10:$L$11,6,FALSE)-VLOOKUP(C32,$A$10:$L$11,5,FALSE),0)),0))</f>
        <v>0</v>
      </c>
      <c r="K32" s="60">
        <f t="shared" ref="K32:K36" si="8">IF(F32="","",F32-H32-I32-J32)</f>
        <v>19224.24281</v>
      </c>
      <c r="L32" s="64">
        <f t="shared" ref="L32:L36" si="9">IF(F32="","",(F32-J32)/VLOOKUP(C32,$A$10:$L$11,5,FALSE)*VLOOKUP(C32,$A$10:$L$11,10,FALSE)*$O$8)</f>
        <v>80.34102807</v>
      </c>
      <c r="M32" s="64">
        <f t="shared" ref="M32:M36" si="10">IF(F32="","",(F32-J32)/VLOOKUP(C32,$A$10:$L$11,5,FALSE)*VLOOKUP(C32,$A$10:$L$11,11,FALSE))</f>
        <v>547.8137076</v>
      </c>
      <c r="N32" s="64">
        <f t="shared" ref="N32:N36" si="11">IF(F32="","",IFERROR(VLOOKUP(C32,$A$10:$L$11,12,FALSE),0)*$O$9)</f>
        <v>85.8</v>
      </c>
      <c r="O32" s="96"/>
    </row>
    <row r="33">
      <c r="A33" s="58">
        <v>46213.0</v>
      </c>
      <c r="B33" s="59" t="s">
        <v>180</v>
      </c>
      <c r="C33" s="59" t="s">
        <v>74</v>
      </c>
      <c r="D33" s="83">
        <f>HYPERLINK("https://drive.google.com/file/d/1sM1QqgCIw5z7T4F-S4tEMHTvEt06g4cs/view", 72920)</f>
        <v>72920</v>
      </c>
      <c r="E33" s="83">
        <f>HYPERLINK("https://drive.google.com/file/d/1o3COVad4l3dhPUmyYkr0wvctTL7kIx_5/view", 29020)</f>
        <v>29020</v>
      </c>
      <c r="F33" s="60">
        <f t="shared" si="5"/>
        <v>19912.6888</v>
      </c>
      <c r="G33" s="63">
        <v>3.1</v>
      </c>
      <c r="H33" s="60">
        <f t="shared" si="6"/>
        <v>256.8736855</v>
      </c>
      <c r="I33" s="60">
        <f t="shared" si="7"/>
        <v>38.32883947</v>
      </c>
      <c r="J33" s="60">
        <f t="array" ref="J33">IF(F33="","",IF(ROW()=MAX(IF($C$32:$C$47=C33,ROW($C$32:$C$47),0)),MAX(0,IFERROR(VLOOKUP(C33,$A$10:$L$11,6,FALSE)-VLOOKUP(C33,$A$10:$L$11,5,FALSE),0)),0))</f>
        <v>0</v>
      </c>
      <c r="K33" s="60">
        <f t="shared" si="8"/>
        <v>19617.48628</v>
      </c>
      <c r="L33" s="64">
        <f t="shared" si="9"/>
        <v>81.80690622</v>
      </c>
      <c r="M33" s="64">
        <f t="shared" si="10"/>
        <v>557.8089512</v>
      </c>
      <c r="N33" s="64">
        <f t="shared" si="11"/>
        <v>85.8</v>
      </c>
      <c r="O33" s="96"/>
    </row>
    <row r="34">
      <c r="A34" s="58">
        <v>46213.0</v>
      </c>
      <c r="B34" s="59" t="s">
        <v>189</v>
      </c>
      <c r="C34" s="59" t="s">
        <v>74</v>
      </c>
      <c r="D34" s="83">
        <f>HYPERLINK("https://drive.google.com/file/d/15lD8lVSzzTg3mS99cH_21ADBabpu3kKA/view", 72200)</f>
        <v>72200</v>
      </c>
      <c r="E34" s="83">
        <f>HYPERLINK("https://drive.google.com/file/d/1Iyu3DhJSVIFwLJ6rq_E-VG0602Mpm5mw/view", 28940)</f>
        <v>28940</v>
      </c>
      <c r="F34" s="60">
        <f t="shared" si="5"/>
        <v>19622.38992</v>
      </c>
      <c r="G34" s="63">
        <v>3.1</v>
      </c>
      <c r="H34" s="60">
        <f t="shared" si="6"/>
        <v>253.12883</v>
      </c>
      <c r="I34" s="60">
        <f t="shared" si="7"/>
        <v>37.77005913</v>
      </c>
      <c r="J34" s="60">
        <f t="array" ref="J34">IF(F34="","",IF(ROW()=MAX(IF($C$32:$C$47=C34,ROW($C$32:$C$47),0)),MAX(0,IFERROR(VLOOKUP(C34,$A$10:$L$11,6,FALSE)-VLOOKUP(C34,$A$10:$L$11,5,FALSE),0)),0))</f>
        <v>0</v>
      </c>
      <c r="K34" s="60">
        <f t="shared" si="8"/>
        <v>19331.49103</v>
      </c>
      <c r="L34" s="64">
        <f t="shared" si="9"/>
        <v>80.61427706</v>
      </c>
      <c r="M34" s="64">
        <f t="shared" si="10"/>
        <v>549.6768845</v>
      </c>
      <c r="N34" s="64">
        <f t="shared" si="11"/>
        <v>85.8</v>
      </c>
      <c r="O34" s="96"/>
    </row>
    <row r="35">
      <c r="A35" s="58">
        <v>46213.0</v>
      </c>
      <c r="B35" s="59" t="s">
        <v>202</v>
      </c>
      <c r="C35" s="59" t="s">
        <v>74</v>
      </c>
      <c r="D35" s="83">
        <f>HYPERLINK("https://drive.google.com/file/d/1gtX9Z0UKHcZ5y0GxViu5IRJv34Bz_QQ1/view", 73040)</f>
        <v>73040</v>
      </c>
      <c r="E35" s="83">
        <f>HYPERLINK("https://drive.google.com/file/d/1vTleM-_llT-gyoKWltsO2SFmU7OCr7yQ/view", 29320)</f>
        <v>29320</v>
      </c>
      <c r="F35" s="60">
        <f t="shared" si="5"/>
        <v>19831.04224</v>
      </c>
      <c r="G35" s="63">
        <v>3.1</v>
      </c>
      <c r="H35" s="104">
        <f t="shared" si="6"/>
        <v>255.8204449</v>
      </c>
      <c r="I35" s="104">
        <f t="shared" si="7"/>
        <v>38.1716825</v>
      </c>
      <c r="J35" s="104">
        <f t="array" ref="J35">IF(F35="","",IF(ROW()=MAX(IF($C$32:$C$47=C35,ROW($C$32:$C$47),0)),MAX(0,IFERROR(VLOOKUP(C35,$A$10:$L$11,6,FALSE)-VLOOKUP(C35,$A$10:$L$11,5,FALSE),0)),0))</f>
        <v>0</v>
      </c>
      <c r="K35" s="104">
        <f t="shared" si="8"/>
        <v>19537.05011</v>
      </c>
      <c r="L35" s="64">
        <f t="shared" si="9"/>
        <v>81.47147927</v>
      </c>
      <c r="M35" s="64">
        <f t="shared" si="10"/>
        <v>555.5218075</v>
      </c>
      <c r="N35" s="64">
        <f t="shared" si="11"/>
        <v>85.8</v>
      </c>
      <c r="O35" s="110"/>
    </row>
    <row r="36">
      <c r="A36" s="58">
        <v>46213.0</v>
      </c>
      <c r="B36" s="59" t="s">
        <v>206</v>
      </c>
      <c r="C36" s="59" t="s">
        <v>74</v>
      </c>
      <c r="D36" s="83">
        <f>HYPERLINK("https://drive.google.com/file/d/1jQP-e71r63_Qua-w9ycI4_AvwLpJwKxM/view", 71100)</f>
        <v>71100</v>
      </c>
      <c r="E36" s="83">
        <f>HYPERLINK("https://drive.google.com/file/d/1ZdesDIApcdRIGiASelt5tGMbX1n7MFVA/view", 28740)</f>
        <v>28740</v>
      </c>
      <c r="F36" s="60">
        <f t="shared" si="5"/>
        <v>19214.15712</v>
      </c>
      <c r="G36" s="63">
        <v>3.1</v>
      </c>
      <c r="H36" s="104">
        <f t="shared" si="6"/>
        <v>246.8270396</v>
      </c>
      <c r="I36" s="104">
        <f t="shared" si="7"/>
        <v>36.8297514</v>
      </c>
      <c r="J36" s="60">
        <f t="array" ref="J36">IF(F36="","",IF(ROW()=MAX(IF($C$32:$C$47=C36,ROW($C$32:$C$47),0)),MAX(0,IFERROR(VLOOKUP(C36,$A$10:$L$11,6,FALSE)-VLOOKUP(C36,$A$10:$L$11,5,FALSE),0)),0))</f>
        <v>80.27808</v>
      </c>
      <c r="K36" s="104">
        <f t="shared" si="8"/>
        <v>18850.22225</v>
      </c>
      <c r="L36" s="64">
        <f t="shared" si="9"/>
        <v>78.60733746</v>
      </c>
      <c r="M36" s="64">
        <f t="shared" si="10"/>
        <v>535.9923568</v>
      </c>
      <c r="N36" s="64">
        <f t="shared" si="11"/>
        <v>85.8</v>
      </c>
      <c r="O36" s="110"/>
    </row>
    <row r="37">
      <c r="A37" s="58"/>
      <c r="B37" s="59"/>
      <c r="C37" s="59"/>
      <c r="D37" s="64"/>
      <c r="E37" s="64"/>
      <c r="F37" s="60"/>
      <c r="G37" s="63"/>
      <c r="H37" s="104"/>
      <c r="I37" s="104"/>
      <c r="J37" s="60"/>
      <c r="K37" s="104"/>
      <c r="L37" s="64"/>
      <c r="M37" s="64"/>
      <c r="N37" s="64"/>
      <c r="O37" s="110"/>
    </row>
    <row r="38">
      <c r="A38" s="58"/>
      <c r="B38" s="59"/>
      <c r="C38" s="59"/>
      <c r="D38" s="64"/>
      <c r="E38" s="64"/>
      <c r="F38" s="60"/>
      <c r="G38" s="63"/>
      <c r="H38" s="104"/>
      <c r="I38" s="104"/>
      <c r="J38" s="60"/>
      <c r="K38" s="104"/>
      <c r="L38" s="64"/>
      <c r="M38" s="64"/>
      <c r="N38" s="64"/>
      <c r="O38" s="110"/>
    </row>
    <row r="39">
      <c r="A39" s="58"/>
      <c r="B39" s="59"/>
      <c r="C39" s="59"/>
      <c r="D39" s="64"/>
      <c r="E39" s="111"/>
      <c r="F39" s="104"/>
      <c r="G39" s="63"/>
      <c r="H39" s="104"/>
      <c r="I39" s="104"/>
      <c r="J39" s="104"/>
      <c r="K39" s="104"/>
      <c r="L39" s="64"/>
      <c r="M39" s="64"/>
      <c r="N39" s="64"/>
      <c r="O39" s="110"/>
    </row>
    <row r="40">
      <c r="A40" s="58"/>
      <c r="B40" s="59"/>
      <c r="C40" s="59"/>
      <c r="D40" s="64"/>
      <c r="E40" s="64"/>
      <c r="F40" s="104"/>
      <c r="G40" s="63"/>
      <c r="H40" s="104"/>
      <c r="I40" s="104"/>
      <c r="J40" s="60"/>
      <c r="K40" s="104"/>
      <c r="L40" s="64"/>
      <c r="M40" s="64"/>
      <c r="N40" s="64"/>
      <c r="O40" s="110"/>
    </row>
    <row r="41">
      <c r="A41" s="58"/>
      <c r="B41" s="59"/>
      <c r="C41" s="59"/>
      <c r="D41" s="64"/>
      <c r="E41" s="64"/>
      <c r="F41" s="104"/>
      <c r="G41" s="63"/>
      <c r="H41" s="112"/>
      <c r="I41" s="112"/>
      <c r="J41" s="113"/>
      <c r="K41" s="114"/>
      <c r="L41" s="115"/>
      <c r="M41" s="115"/>
      <c r="N41" s="110"/>
      <c r="O41" s="110"/>
    </row>
    <row r="42" ht="16.5" customHeight="1">
      <c r="A42" s="58"/>
      <c r="B42" s="59"/>
      <c r="C42" s="59"/>
      <c r="D42" s="62"/>
      <c r="E42" s="62"/>
      <c r="F42" s="104"/>
      <c r="G42" s="63"/>
      <c r="H42" s="112"/>
      <c r="I42" s="112"/>
      <c r="J42" s="113"/>
      <c r="K42" s="114"/>
      <c r="L42" s="115"/>
      <c r="M42" s="115"/>
      <c r="N42" s="110"/>
      <c r="O42" s="110"/>
      <c r="P42" s="2"/>
      <c r="Q42" s="2"/>
      <c r="R42" s="2"/>
    </row>
    <row r="43">
      <c r="A43" s="58"/>
      <c r="B43" s="59"/>
      <c r="C43" s="59"/>
      <c r="D43" s="62"/>
      <c r="E43" s="62"/>
      <c r="F43" s="60"/>
      <c r="G43" s="62"/>
      <c r="H43" s="116"/>
      <c r="I43" s="116"/>
      <c r="J43" s="117"/>
      <c r="K43" s="117"/>
      <c r="L43" s="118"/>
      <c r="M43" s="118"/>
      <c r="N43" s="110"/>
      <c r="O43" s="110"/>
      <c r="P43" s="8"/>
      <c r="Q43" s="8"/>
      <c r="R43" s="8"/>
    </row>
    <row r="44">
      <c r="A44" s="58"/>
      <c r="B44" s="62"/>
      <c r="C44" s="62"/>
      <c r="D44" s="64"/>
      <c r="E44" s="64"/>
      <c r="F44" s="104"/>
      <c r="G44" s="63"/>
      <c r="H44" s="112"/>
      <c r="I44" s="112"/>
      <c r="J44" s="117"/>
      <c r="K44" s="119"/>
      <c r="L44" s="115"/>
      <c r="M44" s="115"/>
      <c r="N44" s="110"/>
      <c r="O44" s="110"/>
    </row>
    <row r="45">
      <c r="A45" s="58"/>
      <c r="B45" s="59"/>
      <c r="C45" s="59"/>
      <c r="D45" s="64"/>
      <c r="E45" s="64"/>
      <c r="F45" s="104"/>
      <c r="G45" s="63"/>
      <c r="H45" s="112"/>
      <c r="I45" s="112"/>
      <c r="J45" s="113"/>
      <c r="K45" s="114"/>
      <c r="L45" s="115"/>
      <c r="M45" s="115"/>
      <c r="N45" s="110"/>
      <c r="O45" s="110"/>
    </row>
    <row r="46">
      <c r="A46" s="58"/>
      <c r="B46" s="59"/>
      <c r="C46" s="59"/>
      <c r="D46" s="64"/>
      <c r="E46" s="64"/>
      <c r="F46" s="104"/>
      <c r="G46" s="63"/>
      <c r="H46" s="112"/>
      <c r="I46" s="112"/>
      <c r="J46" s="113"/>
      <c r="K46" s="114"/>
      <c r="L46" s="115"/>
      <c r="M46" s="115"/>
      <c r="N46" s="110"/>
      <c r="O46" s="110"/>
    </row>
    <row r="47">
      <c r="A47" s="58"/>
      <c r="B47" s="59"/>
      <c r="C47" s="59"/>
      <c r="D47" s="62"/>
      <c r="E47" s="62"/>
      <c r="F47" s="60"/>
      <c r="G47" s="63"/>
      <c r="H47" s="112"/>
      <c r="I47" s="112"/>
      <c r="J47" s="120"/>
      <c r="K47" s="114"/>
      <c r="L47" s="115"/>
      <c r="M47" s="115"/>
      <c r="N47" s="110"/>
      <c r="O47" s="110"/>
    </row>
    <row r="48">
      <c r="A48" s="18" t="s">
        <v>207</v>
      </c>
      <c r="D48" s="10"/>
      <c r="E48" s="10"/>
      <c r="F48" s="10"/>
      <c r="G48" s="23"/>
      <c r="L48" s="10">
        <f t="shared" ref="L48:N48" si="12">SUM(L32:L47)</f>
        <v>402.8410281</v>
      </c>
      <c r="M48" s="10">
        <f t="shared" si="12"/>
        <v>2746.813708</v>
      </c>
      <c r="N48" s="10">
        <f t="shared" si="12"/>
        <v>429</v>
      </c>
    </row>
    <row r="49">
      <c r="A49" s="20"/>
    </row>
    <row r="50">
      <c r="A50" s="121" t="s">
        <v>208</v>
      </c>
      <c r="B50" s="122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>
      <c r="A51" s="4" t="s">
        <v>209</v>
      </c>
      <c r="B51" s="4" t="s">
        <v>210</v>
      </c>
      <c r="C51" s="4" t="s">
        <v>211</v>
      </c>
      <c r="D51" s="4" t="s">
        <v>212</v>
      </c>
      <c r="E51" s="4" t="s">
        <v>22</v>
      </c>
      <c r="F51" s="4" t="s">
        <v>23</v>
      </c>
      <c r="G51" s="4" t="s">
        <v>24</v>
      </c>
      <c r="H51" s="4" t="s">
        <v>44</v>
      </c>
      <c r="I51" s="4"/>
      <c r="N51" s="3" t="s">
        <v>87</v>
      </c>
    </row>
    <row r="52">
      <c r="A52" s="10">
        <f>SUM(I10:I13)</f>
        <v>98013.52784</v>
      </c>
      <c r="B52" s="37">
        <f>SUM(F32:F47)</f>
        <v>98093.80592</v>
      </c>
      <c r="C52" s="10">
        <f>SUM(J32:J47)</f>
        <v>80.27808</v>
      </c>
      <c r="D52" s="37">
        <f>B52-C52</f>
        <v>98013.52784</v>
      </c>
      <c r="E52" s="10">
        <f t="shared" ref="E52:F52" si="13">SUM(H32:H47)</f>
        <v>1264.374509</v>
      </c>
      <c r="F52" s="10">
        <f t="shared" si="13"/>
        <v>188.660849</v>
      </c>
      <c r="G52" s="10">
        <f>SUM(K32:K47)</f>
        <v>96560.49248</v>
      </c>
      <c r="H52" s="27">
        <f>IFERROR(AVERAGE(G32:G47),"")</f>
        <v>3.1</v>
      </c>
      <c r="N52" s="27" t="str">
        <f>IFERROR(__xludf.DUMMYFUNCTION("TRIM(TEXTJOIN("", "",TRUE,IFERROR(FILTER(B17:B28,B17:B28&lt;&gt;""""),"""")))"),"2389-R, 2390-R, 2391-R, 2392-R, 2393-R, 2394-R")</f>
        <v>2389-R, 2390-R, 2391-R, 2392-R, 2393-R, 2394-R</v>
      </c>
    </row>
    <row r="53">
      <c r="A53" s="20"/>
    </row>
    <row r="55">
      <c r="A55" s="20"/>
    </row>
    <row r="56">
      <c r="A56" s="20"/>
    </row>
    <row r="57">
      <c r="A57" s="20"/>
      <c r="E57" s="3" t="s">
        <v>107</v>
      </c>
    </row>
    <row r="58">
      <c r="A58" s="20"/>
    </row>
    <row r="59">
      <c r="A59" s="20"/>
    </row>
    <row r="60">
      <c r="A6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46207.0</v>
      </c>
      <c r="K3" s="4" t="s">
        <v>9</v>
      </c>
      <c r="L3" s="6">
        <v>2.20462</v>
      </c>
    </row>
    <row r="4">
      <c r="A4" s="3" t="s">
        <v>10</v>
      </c>
      <c r="B4" s="5">
        <v>46214.0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7"/>
      <c r="B9" s="9" t="s">
        <v>29</v>
      </c>
      <c r="D9" s="9" t="s">
        <v>30</v>
      </c>
      <c r="F9" s="9" t="s">
        <v>31</v>
      </c>
      <c r="G9" s="7"/>
      <c r="H9" s="7"/>
      <c r="I9" s="7"/>
      <c r="J9" s="12"/>
      <c r="K9" s="8"/>
      <c r="L9" s="8"/>
      <c r="M9" s="8"/>
    </row>
    <row r="10">
      <c r="A10" s="9" t="s">
        <v>35</v>
      </c>
      <c r="B10" s="9" t="s">
        <v>38</v>
      </c>
      <c r="C10" s="16" t="s">
        <v>39</v>
      </c>
      <c r="D10" s="16" t="s">
        <v>45</v>
      </c>
      <c r="E10" s="16" t="s">
        <v>47</v>
      </c>
      <c r="F10" s="16" t="s">
        <v>48</v>
      </c>
      <c r="G10" s="17" t="s">
        <v>50</v>
      </c>
      <c r="H10" s="21" t="s">
        <v>52</v>
      </c>
      <c r="I10" s="7" t="s">
        <v>54</v>
      </c>
      <c r="J10" s="7" t="s">
        <v>56</v>
      </c>
    </row>
    <row r="11">
      <c r="A11" s="24">
        <v>301041.0</v>
      </c>
      <c r="B11" s="25">
        <v>1092.0</v>
      </c>
      <c r="C11" s="25">
        <v>57.6</v>
      </c>
      <c r="D11" s="10">
        <f t="shared" ref="D11:D13" si="1">B11-C11</f>
        <v>1034.4</v>
      </c>
      <c r="E11" s="22">
        <v>58.0</v>
      </c>
      <c r="F11" s="10">
        <f t="shared" ref="F11:F13" si="2">IF(E11="","",B11-E11)</f>
        <v>1034</v>
      </c>
      <c r="G11" s="28" t="s">
        <v>72</v>
      </c>
      <c r="H11" s="30">
        <v>0.7901</v>
      </c>
      <c r="I11" s="10">
        <f t="shared" ref="I11:I13" si="3">H11*D11</f>
        <v>817.27944</v>
      </c>
      <c r="J11" s="31">
        <f t="shared" ref="J11:J13" si="4">2.5*$L$4</f>
        <v>1.13398</v>
      </c>
    </row>
    <row r="12">
      <c r="A12" s="24">
        <v>301089.0</v>
      </c>
      <c r="B12" s="25">
        <v>1078.0</v>
      </c>
      <c r="C12" s="25">
        <v>57.6</v>
      </c>
      <c r="D12" s="10">
        <f t="shared" si="1"/>
        <v>1020.4</v>
      </c>
      <c r="E12" s="22">
        <v>58.0</v>
      </c>
      <c r="F12" s="10">
        <f t="shared" si="2"/>
        <v>1020</v>
      </c>
      <c r="G12" s="28" t="s">
        <v>75</v>
      </c>
      <c r="H12" s="30">
        <v>0.7848</v>
      </c>
      <c r="I12" s="10">
        <f t="shared" si="3"/>
        <v>800.80992</v>
      </c>
      <c r="J12" s="31">
        <f t="shared" si="4"/>
        <v>1.13398</v>
      </c>
    </row>
    <row r="13">
      <c r="A13" s="24">
        <v>301128.0</v>
      </c>
      <c r="B13" s="25">
        <v>1076.0</v>
      </c>
      <c r="C13" s="25">
        <v>57.6</v>
      </c>
      <c r="D13" s="10">
        <f t="shared" si="1"/>
        <v>1018.4</v>
      </c>
      <c r="E13" s="22">
        <v>62.0</v>
      </c>
      <c r="F13" s="10">
        <f t="shared" si="2"/>
        <v>1014</v>
      </c>
      <c r="G13" s="28" t="s">
        <v>78</v>
      </c>
      <c r="H13" s="30">
        <v>0.7848</v>
      </c>
      <c r="I13" s="10">
        <f t="shared" si="3"/>
        <v>799.24032</v>
      </c>
      <c r="J13" s="31">
        <f t="shared" si="4"/>
        <v>1.13398</v>
      </c>
    </row>
    <row r="14">
      <c r="A14" s="24"/>
      <c r="B14" s="25"/>
      <c r="C14" s="25"/>
      <c r="D14" s="10"/>
      <c r="E14" s="22"/>
      <c r="F14" s="10"/>
      <c r="G14" s="28"/>
      <c r="H14" s="30"/>
      <c r="I14" s="10"/>
      <c r="J14" s="31"/>
    </row>
    <row r="15">
      <c r="A15" s="24"/>
      <c r="B15" s="25"/>
      <c r="C15" s="25"/>
      <c r="D15" s="10"/>
      <c r="E15" s="22"/>
      <c r="F15" s="10"/>
      <c r="G15" s="28"/>
      <c r="H15" s="30"/>
      <c r="I15" s="10"/>
      <c r="J15" s="31"/>
    </row>
    <row r="16">
      <c r="A16" s="24"/>
      <c r="B16" s="25"/>
      <c r="C16" s="25"/>
      <c r="D16" s="10"/>
      <c r="E16" s="22"/>
      <c r="F16" s="10"/>
      <c r="G16" s="28"/>
      <c r="H16" s="30"/>
      <c r="I16" s="10"/>
      <c r="J16" s="31"/>
    </row>
    <row r="17">
      <c r="A17" s="24"/>
      <c r="B17" s="25"/>
      <c r="C17" s="25"/>
      <c r="D17" s="10"/>
      <c r="E17" s="22"/>
      <c r="F17" s="10"/>
      <c r="G17" s="28"/>
      <c r="H17" s="30"/>
      <c r="I17" s="10"/>
      <c r="J17" s="31"/>
    </row>
    <row r="18">
      <c r="A18" s="24"/>
      <c r="B18" s="25"/>
      <c r="C18" s="25"/>
      <c r="D18" s="10"/>
      <c r="E18" s="22"/>
      <c r="F18" s="10"/>
      <c r="G18" s="28"/>
      <c r="H18" s="30"/>
      <c r="I18" s="10"/>
      <c r="J18" s="31"/>
    </row>
    <row r="19">
      <c r="A19" s="24"/>
      <c r="B19" s="25"/>
      <c r="C19" s="25"/>
      <c r="D19" s="10"/>
      <c r="E19" s="22"/>
      <c r="F19" s="10"/>
      <c r="G19" s="28"/>
      <c r="H19" s="30"/>
      <c r="I19" s="10"/>
      <c r="J19" s="31"/>
    </row>
    <row r="20">
      <c r="A20" s="24"/>
      <c r="B20" s="25"/>
      <c r="C20" s="25"/>
      <c r="D20" s="10"/>
      <c r="E20" s="22"/>
      <c r="F20" s="10"/>
      <c r="G20" s="28"/>
      <c r="H20" s="30"/>
      <c r="I20" s="10"/>
      <c r="J20" s="31"/>
    </row>
    <row r="21">
      <c r="A21" s="24"/>
      <c r="B21" s="25"/>
      <c r="C21" s="25"/>
      <c r="D21" s="10"/>
      <c r="E21" s="22"/>
      <c r="F21" s="10"/>
      <c r="G21" s="28"/>
      <c r="H21" s="30"/>
      <c r="I21" s="10"/>
      <c r="J21" s="31"/>
    </row>
    <row r="22">
      <c r="A22" s="24"/>
      <c r="B22" s="25"/>
      <c r="C22" s="25"/>
      <c r="D22" s="10"/>
      <c r="E22" s="22"/>
      <c r="F22" s="10"/>
      <c r="G22" s="28"/>
      <c r="H22" s="30"/>
      <c r="I22" s="10"/>
      <c r="J22" s="31"/>
    </row>
    <row r="23">
      <c r="A23" s="24"/>
      <c r="B23" s="25"/>
      <c r="C23" s="25"/>
      <c r="D23" s="10"/>
      <c r="E23" s="22"/>
      <c r="F23" s="10"/>
      <c r="G23" s="28"/>
      <c r="H23" s="30"/>
      <c r="I23" s="10"/>
      <c r="J23" s="31"/>
    </row>
    <row r="24">
      <c r="A24" s="24"/>
      <c r="B24" s="25"/>
      <c r="C24" s="25"/>
      <c r="D24" s="10"/>
      <c r="E24" s="22"/>
      <c r="F24" s="10"/>
      <c r="G24" s="28"/>
      <c r="H24" s="30"/>
      <c r="I24" s="10"/>
      <c r="J24" s="31"/>
    </row>
    <row r="25">
      <c r="C25" s="10"/>
      <c r="D25" s="10"/>
      <c r="E25" s="32"/>
      <c r="F25" s="10"/>
      <c r="G25" s="50"/>
      <c r="H25" s="23"/>
    </row>
    <row r="26">
      <c r="B26" s="10">
        <f>SUM(B11:B24)</f>
        <v>3246</v>
      </c>
      <c r="C26" s="10"/>
      <c r="D26" s="10">
        <f t="shared" ref="D26:F26" si="5">SUM(D9:D24)</f>
        <v>3073.2</v>
      </c>
      <c r="E26" s="32">
        <f t="shared" si="5"/>
        <v>178</v>
      </c>
      <c r="F26" s="10">
        <f t="shared" si="5"/>
        <v>3068</v>
      </c>
      <c r="G26" s="50"/>
      <c r="H26" s="61">
        <f>I26/D26</f>
        <v>0.7865839125</v>
      </c>
      <c r="I26" s="27">
        <f t="shared" ref="I26:J26" si="6">SUM(I9:I24)</f>
        <v>2417.32968</v>
      </c>
      <c r="J26" s="27">
        <f t="shared" si="6"/>
        <v>3.40194</v>
      </c>
    </row>
    <row r="27">
      <c r="C27" s="10"/>
      <c r="D27" s="10"/>
      <c r="E27" s="32"/>
      <c r="F27" s="10"/>
      <c r="G27" s="50"/>
      <c r="H27" s="23"/>
    </row>
    <row r="28">
      <c r="C28" s="10"/>
      <c r="D28" s="10"/>
      <c r="E28" s="32"/>
      <c r="F28" s="10"/>
      <c r="G28" s="50"/>
      <c r="H28" s="23"/>
    </row>
    <row r="29">
      <c r="C29" s="10"/>
      <c r="D29" s="10"/>
      <c r="E29" s="32"/>
      <c r="F29" s="10"/>
      <c r="G29" s="50"/>
      <c r="H29" s="23"/>
    </row>
    <row r="30">
      <c r="C30" s="10"/>
      <c r="D30" s="10"/>
      <c r="E30" s="10"/>
      <c r="F30" s="10"/>
      <c r="G30" s="50"/>
      <c r="H30" s="23"/>
    </row>
    <row r="31">
      <c r="A31" s="1" t="s">
        <v>106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111</v>
      </c>
      <c r="B32" s="4" t="s">
        <v>112</v>
      </c>
      <c r="C32" s="4" t="s">
        <v>61</v>
      </c>
      <c r="D32" s="4" t="s">
        <v>113</v>
      </c>
      <c r="E32" s="4"/>
      <c r="F32" s="4"/>
      <c r="G32" s="4"/>
      <c r="H32" s="4"/>
      <c r="I32" s="8"/>
      <c r="J32" s="8"/>
      <c r="K32" s="8"/>
      <c r="L32" s="8"/>
      <c r="M32" s="8"/>
      <c r="N32" s="8"/>
      <c r="O32" s="8"/>
    </row>
    <row r="33">
      <c r="A33" s="10">
        <f>B26</f>
        <v>3246</v>
      </c>
      <c r="B33" s="10">
        <f>SUM(D11:D24)</f>
        <v>3073.2</v>
      </c>
      <c r="C33" s="10">
        <f>B33-D33</f>
        <v>5.2</v>
      </c>
      <c r="D33" s="10">
        <f>SUM(F11:F24)</f>
        <v>3068</v>
      </c>
      <c r="E33" s="10"/>
      <c r="F33" s="23"/>
      <c r="G33" s="23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46207.0</v>
      </c>
      <c r="K3" s="4" t="s">
        <v>9</v>
      </c>
      <c r="L3" s="6">
        <v>2.20462</v>
      </c>
    </row>
    <row r="4">
      <c r="A4" s="3" t="s">
        <v>10</v>
      </c>
      <c r="B4" s="5">
        <v>46214.0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11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34</v>
      </c>
      <c r="B9" s="4" t="s">
        <v>36</v>
      </c>
      <c r="C9" s="15" t="s">
        <v>37</v>
      </c>
      <c r="D9" s="15" t="s">
        <v>40</v>
      </c>
      <c r="E9" s="4" t="s">
        <v>41</v>
      </c>
      <c r="F9" s="4" t="s">
        <v>42</v>
      </c>
      <c r="G9" s="15" t="s">
        <v>43</v>
      </c>
      <c r="H9" s="4" t="s">
        <v>44</v>
      </c>
      <c r="I9" s="4" t="s">
        <v>46</v>
      </c>
      <c r="J9" s="4" t="s">
        <v>22</v>
      </c>
      <c r="K9" s="4" t="s">
        <v>23</v>
      </c>
      <c r="L9" s="4" t="s">
        <v>24</v>
      </c>
      <c r="M9" s="4" t="s">
        <v>49</v>
      </c>
      <c r="N9" s="8"/>
    </row>
    <row r="10">
      <c r="A10" s="18"/>
      <c r="B10" s="20"/>
      <c r="C10" s="22"/>
      <c r="D10" s="22"/>
      <c r="E10" s="10"/>
      <c r="F10" s="10"/>
      <c r="G10" s="22"/>
      <c r="H10" s="23"/>
      <c r="J10" s="27" t="str">
        <f t="shared" ref="J10:J24" si="1">IF(D10="","",D10*$L$5)</f>
        <v/>
      </c>
      <c r="K10" s="27" t="str">
        <f t="shared" ref="K10:K24" si="2">IF(D10="","",(D10-J10)*$L$7)</f>
        <v/>
      </c>
      <c r="L10" s="27" t="str">
        <f t="shared" ref="L10:L24" si="3">IF(D10="","",D10-J10-K10)</f>
        <v/>
      </c>
    </row>
    <row r="11">
      <c r="A11" s="18"/>
      <c r="B11" s="20"/>
      <c r="C11" s="22"/>
      <c r="D11" s="22"/>
      <c r="E11" s="10"/>
      <c r="F11" s="10"/>
      <c r="G11" s="22"/>
      <c r="H11" s="23"/>
      <c r="J11" s="27" t="str">
        <f t="shared" si="1"/>
        <v/>
      </c>
      <c r="K11" s="27" t="str">
        <f t="shared" si="2"/>
        <v/>
      </c>
      <c r="L11" s="27" t="str">
        <f t="shared" si="3"/>
        <v/>
      </c>
    </row>
    <row r="12">
      <c r="A12" s="18"/>
      <c r="B12" s="20"/>
      <c r="C12" s="22"/>
      <c r="D12" s="22"/>
      <c r="E12" s="10"/>
      <c r="F12" s="10"/>
      <c r="G12" s="22"/>
      <c r="H12" s="23"/>
      <c r="J12" s="27" t="str">
        <f t="shared" si="1"/>
        <v/>
      </c>
      <c r="K12" s="27" t="str">
        <f t="shared" si="2"/>
        <v/>
      </c>
      <c r="L12" s="27" t="str">
        <f t="shared" si="3"/>
        <v/>
      </c>
    </row>
    <row r="13">
      <c r="A13" s="18"/>
      <c r="B13" s="20"/>
      <c r="C13" s="22"/>
      <c r="D13" s="22"/>
      <c r="E13" s="10"/>
      <c r="F13" s="10"/>
      <c r="G13" s="22"/>
      <c r="H13" s="23"/>
      <c r="J13" s="27" t="str">
        <f t="shared" si="1"/>
        <v/>
      </c>
      <c r="K13" s="27" t="str">
        <f t="shared" si="2"/>
        <v/>
      </c>
      <c r="L13" s="27" t="str">
        <f t="shared" si="3"/>
        <v/>
      </c>
    </row>
    <row r="14">
      <c r="A14" s="18"/>
      <c r="B14" s="20"/>
      <c r="C14" s="22"/>
      <c r="D14" s="22"/>
      <c r="E14" s="10"/>
      <c r="F14" s="10"/>
      <c r="G14" s="22"/>
      <c r="H14" s="23"/>
      <c r="J14" s="27" t="str">
        <f t="shared" si="1"/>
        <v/>
      </c>
      <c r="K14" s="27" t="str">
        <f t="shared" si="2"/>
        <v/>
      </c>
      <c r="L14" s="27" t="str">
        <f t="shared" si="3"/>
        <v/>
      </c>
    </row>
    <row r="15">
      <c r="A15" s="18"/>
      <c r="C15" s="22"/>
      <c r="D15" s="22"/>
      <c r="E15" s="10"/>
      <c r="F15" s="10"/>
      <c r="G15" s="22"/>
      <c r="H15" s="23"/>
      <c r="J15" s="27" t="str">
        <f t="shared" si="1"/>
        <v/>
      </c>
      <c r="K15" s="27" t="str">
        <f t="shared" si="2"/>
        <v/>
      </c>
      <c r="L15" s="27" t="str">
        <f t="shared" si="3"/>
        <v/>
      </c>
    </row>
    <row r="16">
      <c r="A16" s="20"/>
      <c r="C16" s="32"/>
      <c r="D16" s="32"/>
      <c r="E16" s="10"/>
      <c r="F16" s="10"/>
      <c r="G16" s="32"/>
      <c r="H16" s="23"/>
      <c r="J16" s="27" t="str">
        <f t="shared" si="1"/>
        <v/>
      </c>
      <c r="K16" s="27" t="str">
        <f t="shared" si="2"/>
        <v/>
      </c>
      <c r="L16" s="27" t="str">
        <f t="shared" si="3"/>
        <v/>
      </c>
    </row>
    <row r="17">
      <c r="A17" s="20"/>
      <c r="C17" s="32"/>
      <c r="D17" s="32"/>
      <c r="E17" s="10"/>
      <c r="F17" s="10"/>
      <c r="G17" s="32"/>
      <c r="H17" s="23"/>
      <c r="J17" s="27" t="str">
        <f t="shared" si="1"/>
        <v/>
      </c>
      <c r="K17" s="27" t="str">
        <f t="shared" si="2"/>
        <v/>
      </c>
      <c r="L17" s="27" t="str">
        <f t="shared" si="3"/>
        <v/>
      </c>
    </row>
    <row r="18">
      <c r="A18" s="20"/>
      <c r="C18" s="32"/>
      <c r="D18" s="32"/>
      <c r="E18" s="10"/>
      <c r="F18" s="10"/>
      <c r="G18" s="32"/>
      <c r="H18" s="23"/>
      <c r="J18" s="27" t="str">
        <f t="shared" si="1"/>
        <v/>
      </c>
      <c r="K18" s="27" t="str">
        <f t="shared" si="2"/>
        <v/>
      </c>
      <c r="L18" s="27" t="str">
        <f t="shared" si="3"/>
        <v/>
      </c>
    </row>
    <row r="19">
      <c r="A19" s="20"/>
      <c r="C19" s="32"/>
      <c r="D19" s="32"/>
      <c r="E19" s="10"/>
      <c r="F19" s="10"/>
      <c r="G19" s="32"/>
      <c r="H19" s="23"/>
      <c r="J19" s="27" t="str">
        <f t="shared" si="1"/>
        <v/>
      </c>
      <c r="K19" s="27" t="str">
        <f t="shared" si="2"/>
        <v/>
      </c>
      <c r="L19" s="27" t="str">
        <f t="shared" si="3"/>
        <v/>
      </c>
    </row>
    <row r="20">
      <c r="A20" s="20"/>
      <c r="C20" s="32"/>
      <c r="D20" s="32"/>
      <c r="E20" s="10"/>
      <c r="F20" s="10"/>
      <c r="G20" s="32"/>
      <c r="H20" s="23"/>
      <c r="J20" s="27" t="str">
        <f t="shared" si="1"/>
        <v/>
      </c>
      <c r="K20" s="27" t="str">
        <f t="shared" si="2"/>
        <v/>
      </c>
      <c r="L20" s="27" t="str">
        <f t="shared" si="3"/>
        <v/>
      </c>
    </row>
    <row r="21">
      <c r="A21" s="20"/>
      <c r="C21" s="32"/>
      <c r="D21" s="32"/>
      <c r="E21" s="10"/>
      <c r="F21" s="10"/>
      <c r="G21" s="32"/>
      <c r="H21" s="23"/>
      <c r="J21" s="27" t="str">
        <f t="shared" si="1"/>
        <v/>
      </c>
      <c r="K21" s="27" t="str">
        <f t="shared" si="2"/>
        <v/>
      </c>
      <c r="L21" s="27" t="str">
        <f t="shared" si="3"/>
        <v/>
      </c>
    </row>
    <row r="22">
      <c r="A22" s="20"/>
      <c r="C22" s="32"/>
      <c r="D22" s="32"/>
      <c r="E22" s="10"/>
      <c r="F22" s="10"/>
      <c r="G22" s="32"/>
      <c r="H22" s="23"/>
      <c r="J22" s="27" t="str">
        <f t="shared" si="1"/>
        <v/>
      </c>
      <c r="K22" s="27" t="str">
        <f t="shared" si="2"/>
        <v/>
      </c>
      <c r="L22" s="27" t="str">
        <f t="shared" si="3"/>
        <v/>
      </c>
    </row>
    <row r="23">
      <c r="A23" s="20"/>
      <c r="C23" s="32"/>
      <c r="D23" s="32"/>
      <c r="E23" s="10"/>
      <c r="F23" s="10"/>
      <c r="G23" s="32"/>
      <c r="H23" s="23"/>
      <c r="J23" s="27" t="str">
        <f t="shared" si="1"/>
        <v/>
      </c>
      <c r="K23" s="27" t="str">
        <f t="shared" si="2"/>
        <v/>
      </c>
      <c r="L23" s="27" t="str">
        <f t="shared" si="3"/>
        <v/>
      </c>
    </row>
    <row r="24">
      <c r="A24" s="20"/>
      <c r="C24" s="32"/>
      <c r="D24" s="32"/>
      <c r="E24" s="10"/>
      <c r="F24" s="10"/>
      <c r="G24" s="32"/>
      <c r="H24" s="23"/>
      <c r="J24" s="27" t="str">
        <f t="shared" si="1"/>
        <v/>
      </c>
      <c r="K24" s="27" t="str">
        <f t="shared" si="2"/>
        <v/>
      </c>
      <c r="L24" s="27" t="str">
        <f t="shared" si="3"/>
        <v/>
      </c>
    </row>
    <row r="25">
      <c r="A25" s="20"/>
      <c r="C25" s="10"/>
      <c r="D25" s="10"/>
      <c r="E25" s="10"/>
      <c r="F25" s="10"/>
      <c r="G25" s="10"/>
      <c r="H25" s="23"/>
    </row>
    <row r="26">
      <c r="A26" s="38" t="s">
        <v>81</v>
      </c>
      <c r="B26" s="2"/>
      <c r="C26" s="39"/>
      <c r="D26" s="39"/>
      <c r="E26" s="39"/>
      <c r="F26" s="39"/>
      <c r="G26" s="39"/>
      <c r="H26" s="40"/>
      <c r="I26" s="2"/>
      <c r="J26" s="2"/>
      <c r="K26" s="2"/>
      <c r="L26" s="2"/>
      <c r="M26" s="2"/>
      <c r="N26" s="2"/>
    </row>
    <row r="27">
      <c r="A27" s="41" t="s">
        <v>82</v>
      </c>
      <c r="B27" s="4" t="s">
        <v>84</v>
      </c>
      <c r="C27" s="42" t="s">
        <v>20</v>
      </c>
      <c r="D27" s="42" t="s">
        <v>22</v>
      </c>
      <c r="E27" s="42" t="s">
        <v>23</v>
      </c>
      <c r="F27" s="42" t="s">
        <v>85</v>
      </c>
      <c r="G27" s="42" t="s">
        <v>24</v>
      </c>
      <c r="H27" s="43" t="s">
        <v>44</v>
      </c>
      <c r="I27" s="4" t="s">
        <v>86</v>
      </c>
      <c r="J27" s="4"/>
      <c r="K27" s="4" t="s">
        <v>87</v>
      </c>
      <c r="L27" s="8"/>
      <c r="M27" s="8"/>
      <c r="N27" s="8"/>
    </row>
    <row r="28">
      <c r="A28" s="20">
        <f>SUMIFS(D10:D24,B10:B24,"&lt;&gt;")</f>
        <v>0</v>
      </c>
      <c r="B28" s="10">
        <f>SUMIFS(G10:G24,B10:B24,"&lt;&gt;")</f>
        <v>0</v>
      </c>
      <c r="C28" s="14">
        <f>A28</f>
        <v>0</v>
      </c>
      <c r="D28" s="10">
        <f>C28*$L$5</f>
        <v>0</v>
      </c>
      <c r="E28" s="25">
        <f>(C28-D28)*$L$7</f>
        <v>0</v>
      </c>
      <c r="F28" s="45">
        <v>0.0</v>
      </c>
      <c r="G28" s="23">
        <f>C28-D28-E28-F28</f>
        <v>0</v>
      </c>
      <c r="H28" s="23" t="str">
        <f>IFERROR(AVERAGE(H10:H24),"")</f>
        <v/>
      </c>
      <c r="I28" s="27" t="str">
        <f>IFERROR(SUMPRODUCT(L10:L24,M10:M24)/SUM(L10:L24),"")</f>
        <v/>
      </c>
      <c r="K28" s="27" t="str">
        <f>IFERROR(__xludf.DUMMYFUNCTION("TRIM(TEXTJOIN("", "",TRUE,IFERROR(FILTER(B10:B24,B10:B24&lt;&gt;""""),"""")))"),"")</f>
        <v/>
      </c>
    </row>
    <row r="29">
      <c r="A29" s="20"/>
      <c r="C29" s="10"/>
      <c r="D29" s="10"/>
      <c r="E29" s="10"/>
      <c r="F29" s="10"/>
      <c r="G29" s="10"/>
      <c r="H29" s="23"/>
    </row>
    <row r="30">
      <c r="A30" s="20"/>
      <c r="C30" s="10"/>
      <c r="D30" s="10"/>
      <c r="E30" s="10"/>
      <c r="F30" s="10"/>
      <c r="G30" s="10"/>
      <c r="H30" s="23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46207.0</v>
      </c>
      <c r="K3" s="4" t="s">
        <v>9</v>
      </c>
      <c r="L3" s="6">
        <v>2.20462</v>
      </c>
    </row>
    <row r="4">
      <c r="A4" s="3" t="s">
        <v>10</v>
      </c>
      <c r="B4" s="5">
        <v>46214.0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7"/>
      <c r="B9" s="69" t="s">
        <v>29</v>
      </c>
      <c r="D9" s="69" t="s">
        <v>30</v>
      </c>
      <c r="F9" s="9" t="s">
        <v>31</v>
      </c>
      <c r="G9" s="7"/>
      <c r="H9" s="7"/>
      <c r="I9" s="7"/>
      <c r="J9" s="12"/>
    </row>
    <row r="10">
      <c r="A10" s="74" t="s">
        <v>35</v>
      </c>
      <c r="B10" s="77" t="s">
        <v>38</v>
      </c>
      <c r="C10" s="77" t="s">
        <v>39</v>
      </c>
      <c r="D10" s="77" t="s">
        <v>45</v>
      </c>
      <c r="E10" s="77" t="s">
        <v>47</v>
      </c>
      <c r="F10" s="77" t="s">
        <v>48</v>
      </c>
      <c r="G10" s="7" t="s">
        <v>50</v>
      </c>
      <c r="H10" s="7" t="s">
        <v>52</v>
      </c>
      <c r="I10" s="7" t="s">
        <v>54</v>
      </c>
      <c r="J10" s="7" t="s">
        <v>56</v>
      </c>
    </row>
    <row r="11">
      <c r="A11" s="78">
        <v>120555.0</v>
      </c>
      <c r="B11" s="79">
        <v>772.0</v>
      </c>
      <c r="C11" s="80">
        <v>57.6</v>
      </c>
      <c r="D11" s="81">
        <f t="shared" ref="D11:D46" si="1">B11-C11</f>
        <v>714.4</v>
      </c>
      <c r="E11" s="82">
        <v>149.0</v>
      </c>
      <c r="F11" s="81">
        <f t="shared" ref="F11:F46" si="2">IF(E11="","",B11-E11)</f>
        <v>623</v>
      </c>
      <c r="G11" s="3" t="s">
        <v>118</v>
      </c>
      <c r="H11" s="30">
        <v>0.1374</v>
      </c>
      <c r="I11" s="10">
        <f t="shared" ref="I11:I46" si="3">H11*D11</f>
        <v>98.15856</v>
      </c>
      <c r="J11" s="31">
        <f t="shared" ref="J11:J46" si="4">2.5*$L$4</f>
        <v>1.13398</v>
      </c>
    </row>
    <row r="12">
      <c r="A12" s="78">
        <v>120504.0</v>
      </c>
      <c r="B12" s="79">
        <v>666.0</v>
      </c>
      <c r="C12" s="80">
        <v>57.6</v>
      </c>
      <c r="D12" s="80">
        <f t="shared" si="1"/>
        <v>608.4</v>
      </c>
      <c r="E12" s="84">
        <v>380.0</v>
      </c>
      <c r="F12" s="81">
        <f t="shared" si="2"/>
        <v>286</v>
      </c>
      <c r="G12" s="3" t="s">
        <v>119</v>
      </c>
      <c r="H12" s="30">
        <v>0.1374</v>
      </c>
      <c r="I12" s="10">
        <f t="shared" si="3"/>
        <v>83.59416</v>
      </c>
      <c r="J12" s="31">
        <f t="shared" si="4"/>
        <v>1.13398</v>
      </c>
    </row>
    <row r="13">
      <c r="A13" s="78">
        <v>15194.0</v>
      </c>
      <c r="B13" s="79">
        <v>854.5</v>
      </c>
      <c r="C13" s="80">
        <v>57.6</v>
      </c>
      <c r="D13" s="81">
        <f t="shared" si="1"/>
        <v>796.9</v>
      </c>
      <c r="E13" s="84">
        <v>193.5</v>
      </c>
      <c r="F13" s="81">
        <f t="shared" si="2"/>
        <v>661</v>
      </c>
      <c r="G13" s="3" t="s">
        <v>121</v>
      </c>
      <c r="H13" s="30">
        <v>0.1106</v>
      </c>
      <c r="I13" s="10">
        <f t="shared" si="3"/>
        <v>88.13714</v>
      </c>
      <c r="J13" s="31">
        <f t="shared" si="4"/>
        <v>1.13398</v>
      </c>
    </row>
    <row r="14">
      <c r="A14" s="78">
        <v>15160.0</v>
      </c>
      <c r="B14" s="79">
        <v>890.5</v>
      </c>
      <c r="C14" s="80">
        <v>57.6</v>
      </c>
      <c r="D14" s="81">
        <f t="shared" si="1"/>
        <v>832.9</v>
      </c>
      <c r="E14" s="82">
        <v>128.5</v>
      </c>
      <c r="F14" s="81">
        <f t="shared" si="2"/>
        <v>762</v>
      </c>
      <c r="G14" s="3" t="s">
        <v>122</v>
      </c>
      <c r="H14" s="30">
        <v>0.1106</v>
      </c>
      <c r="I14" s="10">
        <f t="shared" si="3"/>
        <v>92.11874</v>
      </c>
      <c r="J14" s="31">
        <f t="shared" si="4"/>
        <v>1.13398</v>
      </c>
    </row>
    <row r="15">
      <c r="A15" s="78">
        <v>15189.0</v>
      </c>
      <c r="B15" s="79">
        <v>790.0</v>
      </c>
      <c r="C15" s="80">
        <v>57.6</v>
      </c>
      <c r="D15" s="81">
        <f t="shared" si="1"/>
        <v>732.4</v>
      </c>
      <c r="E15" s="82">
        <v>198.0</v>
      </c>
      <c r="F15" s="81">
        <f t="shared" si="2"/>
        <v>592</v>
      </c>
      <c r="G15" s="3" t="s">
        <v>124</v>
      </c>
      <c r="H15" s="30">
        <v>0.1106</v>
      </c>
      <c r="I15" s="10">
        <f t="shared" si="3"/>
        <v>81.00344</v>
      </c>
      <c r="J15" s="31">
        <f t="shared" si="4"/>
        <v>1.13398</v>
      </c>
    </row>
    <row r="16">
      <c r="A16" s="78">
        <v>15193.0</v>
      </c>
      <c r="B16" s="79">
        <v>876.0</v>
      </c>
      <c r="C16" s="80">
        <v>57.6</v>
      </c>
      <c r="D16" s="81">
        <f t="shared" si="1"/>
        <v>818.4</v>
      </c>
      <c r="E16" s="82">
        <v>170.0</v>
      </c>
      <c r="F16" s="81">
        <f t="shared" si="2"/>
        <v>706</v>
      </c>
      <c r="G16" s="3" t="s">
        <v>126</v>
      </c>
      <c r="H16" s="30">
        <v>0.1106</v>
      </c>
      <c r="I16" s="10">
        <f t="shared" si="3"/>
        <v>90.51504</v>
      </c>
      <c r="J16" s="31">
        <f t="shared" si="4"/>
        <v>1.13398</v>
      </c>
    </row>
    <row r="17">
      <c r="A17" s="78">
        <v>15192.0</v>
      </c>
      <c r="B17" s="79">
        <v>920.5</v>
      </c>
      <c r="C17" s="80">
        <v>57.6</v>
      </c>
      <c r="D17" s="81">
        <f t="shared" si="1"/>
        <v>862.9</v>
      </c>
      <c r="E17" s="82">
        <v>154.5</v>
      </c>
      <c r="F17" s="81">
        <f t="shared" si="2"/>
        <v>766</v>
      </c>
      <c r="G17" s="3" t="s">
        <v>133</v>
      </c>
      <c r="H17" s="30">
        <v>0.1106</v>
      </c>
      <c r="I17" s="10">
        <f t="shared" si="3"/>
        <v>95.43674</v>
      </c>
      <c r="J17" s="31">
        <f t="shared" si="4"/>
        <v>1.13398</v>
      </c>
    </row>
    <row r="18">
      <c r="A18" s="78">
        <v>15171.0</v>
      </c>
      <c r="B18" s="79">
        <v>923.0</v>
      </c>
      <c r="C18" s="80">
        <v>57.6</v>
      </c>
      <c r="D18" s="81">
        <f t="shared" si="1"/>
        <v>865.4</v>
      </c>
      <c r="E18" s="82">
        <v>146.0</v>
      </c>
      <c r="F18" s="81">
        <f t="shared" si="2"/>
        <v>777</v>
      </c>
      <c r="G18" s="3" t="s">
        <v>134</v>
      </c>
      <c r="H18" s="30">
        <v>0.1106</v>
      </c>
      <c r="I18" s="10">
        <f t="shared" si="3"/>
        <v>95.71324</v>
      </c>
      <c r="J18" s="31">
        <f t="shared" si="4"/>
        <v>1.13398</v>
      </c>
    </row>
    <row r="19">
      <c r="A19" s="78">
        <v>15168.0</v>
      </c>
      <c r="B19" s="79">
        <v>806.5</v>
      </c>
      <c r="C19" s="80">
        <v>57.6</v>
      </c>
      <c r="D19" s="81">
        <f t="shared" si="1"/>
        <v>748.9</v>
      </c>
      <c r="E19" s="82">
        <v>200.5</v>
      </c>
      <c r="F19" s="81">
        <f t="shared" si="2"/>
        <v>606</v>
      </c>
      <c r="G19" s="3" t="s">
        <v>141</v>
      </c>
      <c r="H19" s="30">
        <v>0.1106</v>
      </c>
      <c r="I19" s="10">
        <f t="shared" si="3"/>
        <v>82.82834</v>
      </c>
      <c r="J19" s="31">
        <f t="shared" si="4"/>
        <v>1.13398</v>
      </c>
    </row>
    <row r="20">
      <c r="A20" s="78">
        <v>245120.0</v>
      </c>
      <c r="B20" s="79">
        <v>864.5</v>
      </c>
      <c r="C20" s="80">
        <v>57.6</v>
      </c>
      <c r="D20" s="81">
        <f t="shared" si="1"/>
        <v>806.9</v>
      </c>
      <c r="E20" s="84">
        <v>166.5</v>
      </c>
      <c r="F20" s="81">
        <f t="shared" si="2"/>
        <v>698</v>
      </c>
      <c r="G20" s="3" t="s">
        <v>152</v>
      </c>
      <c r="H20" s="30">
        <v>0.1106</v>
      </c>
      <c r="I20" s="10">
        <f t="shared" si="3"/>
        <v>89.24314</v>
      </c>
      <c r="J20" s="31">
        <f t="shared" si="4"/>
        <v>1.13398</v>
      </c>
    </row>
    <row r="21">
      <c r="A21" s="78">
        <v>245115.0</v>
      </c>
      <c r="B21" s="79">
        <v>940.0</v>
      </c>
      <c r="C21" s="80">
        <v>57.6</v>
      </c>
      <c r="D21" s="81">
        <f t="shared" si="1"/>
        <v>882.4</v>
      </c>
      <c r="E21" s="82">
        <v>146.0</v>
      </c>
      <c r="F21" s="81">
        <f t="shared" si="2"/>
        <v>794</v>
      </c>
      <c r="G21" s="3" t="s">
        <v>154</v>
      </c>
      <c r="H21" s="30">
        <v>0.1106</v>
      </c>
      <c r="I21" s="10">
        <f t="shared" si="3"/>
        <v>97.59344</v>
      </c>
      <c r="J21" s="31">
        <f t="shared" si="4"/>
        <v>1.13398</v>
      </c>
    </row>
    <row r="22">
      <c r="A22" s="78">
        <v>245117.0</v>
      </c>
      <c r="B22" s="79">
        <v>943.0</v>
      </c>
      <c r="C22" s="80">
        <v>57.6</v>
      </c>
      <c r="D22" s="81">
        <f t="shared" si="1"/>
        <v>885.4</v>
      </c>
      <c r="E22" s="82">
        <v>179.0</v>
      </c>
      <c r="F22" s="81">
        <f t="shared" si="2"/>
        <v>764</v>
      </c>
      <c r="G22" s="3" t="s">
        <v>155</v>
      </c>
      <c r="H22" s="30">
        <v>0.1106</v>
      </c>
      <c r="I22" s="10">
        <f t="shared" si="3"/>
        <v>97.92524</v>
      </c>
      <c r="J22" s="31">
        <f t="shared" si="4"/>
        <v>1.13398</v>
      </c>
    </row>
    <row r="23">
      <c r="A23" s="78">
        <v>245119.0</v>
      </c>
      <c r="B23" s="79">
        <v>836.5</v>
      </c>
      <c r="C23" s="80">
        <v>57.6</v>
      </c>
      <c r="D23" s="81">
        <f t="shared" si="1"/>
        <v>778.9</v>
      </c>
      <c r="E23" s="82">
        <v>170.5</v>
      </c>
      <c r="F23" s="81">
        <f t="shared" si="2"/>
        <v>666</v>
      </c>
      <c r="G23" s="3" t="s">
        <v>157</v>
      </c>
      <c r="H23" s="30">
        <v>0.1106</v>
      </c>
      <c r="I23" s="10">
        <f t="shared" si="3"/>
        <v>86.14634</v>
      </c>
      <c r="J23" s="31">
        <f t="shared" si="4"/>
        <v>1.13398</v>
      </c>
    </row>
    <row r="24">
      <c r="A24" s="78">
        <v>245116.0</v>
      </c>
      <c r="B24" s="79">
        <v>951.0</v>
      </c>
      <c r="C24" s="80">
        <v>57.6</v>
      </c>
      <c r="D24" s="81">
        <f t="shared" si="1"/>
        <v>893.4</v>
      </c>
      <c r="E24" s="82">
        <v>132.0</v>
      </c>
      <c r="F24" s="81">
        <f t="shared" si="2"/>
        <v>819</v>
      </c>
      <c r="G24" s="3" t="s">
        <v>161</v>
      </c>
      <c r="H24" s="30">
        <v>0.1106</v>
      </c>
      <c r="I24" s="10">
        <f t="shared" si="3"/>
        <v>98.81004</v>
      </c>
      <c r="J24" s="31">
        <f t="shared" si="4"/>
        <v>1.13398</v>
      </c>
    </row>
    <row r="25">
      <c r="A25" s="78">
        <v>245193.0</v>
      </c>
      <c r="B25" s="79">
        <v>917.5</v>
      </c>
      <c r="C25" s="80">
        <v>57.6</v>
      </c>
      <c r="D25" s="81">
        <f t="shared" si="1"/>
        <v>859.9</v>
      </c>
      <c r="E25" s="82">
        <v>159.5</v>
      </c>
      <c r="F25" s="81">
        <f t="shared" si="2"/>
        <v>758</v>
      </c>
      <c r="G25" s="3" t="s">
        <v>164</v>
      </c>
      <c r="H25" s="30">
        <v>0.1106</v>
      </c>
      <c r="I25" s="10">
        <f t="shared" si="3"/>
        <v>95.10494</v>
      </c>
      <c r="J25" s="31">
        <f t="shared" si="4"/>
        <v>1.13398</v>
      </c>
    </row>
    <row r="26">
      <c r="A26" s="78">
        <v>245194.0</v>
      </c>
      <c r="B26" s="79">
        <v>914.0</v>
      </c>
      <c r="C26" s="80">
        <v>57.6</v>
      </c>
      <c r="D26" s="81">
        <f t="shared" si="1"/>
        <v>856.4</v>
      </c>
      <c r="E26" s="82">
        <v>207.0</v>
      </c>
      <c r="F26" s="81">
        <f t="shared" si="2"/>
        <v>707</v>
      </c>
      <c r="G26" s="3" t="s">
        <v>166</v>
      </c>
      <c r="H26" s="30">
        <v>0.1106</v>
      </c>
      <c r="I26" s="10">
        <f t="shared" si="3"/>
        <v>94.71784</v>
      </c>
      <c r="J26" s="31">
        <f t="shared" si="4"/>
        <v>1.13398</v>
      </c>
    </row>
    <row r="27">
      <c r="A27" s="78">
        <v>245166.0</v>
      </c>
      <c r="B27" s="79">
        <v>887.0</v>
      </c>
      <c r="C27" s="80">
        <v>57.6</v>
      </c>
      <c r="D27" s="81">
        <f t="shared" si="1"/>
        <v>829.4</v>
      </c>
      <c r="E27" s="82">
        <v>159.0</v>
      </c>
      <c r="F27" s="81">
        <f t="shared" si="2"/>
        <v>728</v>
      </c>
      <c r="G27" s="3" t="s">
        <v>167</v>
      </c>
      <c r="H27" s="30">
        <v>0.1106</v>
      </c>
      <c r="I27" s="10">
        <f t="shared" si="3"/>
        <v>91.73164</v>
      </c>
      <c r="J27" s="31">
        <f t="shared" si="4"/>
        <v>1.13398</v>
      </c>
    </row>
    <row r="28">
      <c r="A28" s="78">
        <v>245156.0</v>
      </c>
      <c r="B28" s="79">
        <v>893.5</v>
      </c>
      <c r="C28" s="80">
        <v>57.6</v>
      </c>
      <c r="D28" s="81">
        <f t="shared" si="1"/>
        <v>835.9</v>
      </c>
      <c r="E28" s="82">
        <v>87.5</v>
      </c>
      <c r="F28" s="81">
        <f t="shared" si="2"/>
        <v>806</v>
      </c>
      <c r="G28" s="3" t="s">
        <v>169</v>
      </c>
      <c r="H28" s="30">
        <v>0.1106</v>
      </c>
      <c r="I28" s="10">
        <f t="shared" si="3"/>
        <v>92.45054</v>
      </c>
      <c r="J28" s="31">
        <f t="shared" si="4"/>
        <v>1.13398</v>
      </c>
    </row>
    <row r="29">
      <c r="A29" s="78">
        <v>245153.0</v>
      </c>
      <c r="B29" s="79">
        <v>707.0</v>
      </c>
      <c r="C29" s="80">
        <v>57.6</v>
      </c>
      <c r="D29" s="81">
        <f t="shared" si="1"/>
        <v>649.4</v>
      </c>
      <c r="E29" s="82">
        <v>139.0</v>
      </c>
      <c r="F29" s="81">
        <f t="shared" si="2"/>
        <v>568</v>
      </c>
      <c r="G29" s="3" t="s">
        <v>172</v>
      </c>
      <c r="H29" s="30">
        <v>0.1106</v>
      </c>
      <c r="I29" s="10">
        <f t="shared" si="3"/>
        <v>71.82364</v>
      </c>
      <c r="J29" s="31">
        <f t="shared" si="4"/>
        <v>1.13398</v>
      </c>
    </row>
    <row r="30">
      <c r="A30" s="78">
        <v>245169.0</v>
      </c>
      <c r="B30" s="79">
        <v>833.0</v>
      </c>
      <c r="C30" s="80">
        <v>57.6</v>
      </c>
      <c r="D30" s="81">
        <f t="shared" si="1"/>
        <v>775.4</v>
      </c>
      <c r="E30" s="82">
        <v>174.0</v>
      </c>
      <c r="F30" s="81">
        <f t="shared" si="2"/>
        <v>659</v>
      </c>
      <c r="G30" s="3" t="s">
        <v>174</v>
      </c>
      <c r="H30" s="30">
        <v>0.1106</v>
      </c>
      <c r="I30" s="10">
        <f t="shared" si="3"/>
        <v>85.75924</v>
      </c>
      <c r="J30" s="31">
        <f t="shared" si="4"/>
        <v>1.13398</v>
      </c>
    </row>
    <row r="31">
      <c r="A31" s="78">
        <v>245149.0</v>
      </c>
      <c r="B31" s="79">
        <v>873.5</v>
      </c>
      <c r="C31" s="80">
        <v>57.6</v>
      </c>
      <c r="D31" s="81">
        <f t="shared" si="1"/>
        <v>815.9</v>
      </c>
      <c r="E31" s="84">
        <v>172.5</v>
      </c>
      <c r="F31" s="81">
        <f t="shared" si="2"/>
        <v>701</v>
      </c>
      <c r="G31" s="3" t="s">
        <v>177</v>
      </c>
      <c r="H31" s="30">
        <v>0.1106</v>
      </c>
      <c r="I31" s="10">
        <f t="shared" si="3"/>
        <v>90.23854</v>
      </c>
      <c r="J31" s="31">
        <f t="shared" si="4"/>
        <v>1.13398</v>
      </c>
    </row>
    <row r="32">
      <c r="A32" s="78">
        <v>245175.0</v>
      </c>
      <c r="B32" s="79">
        <v>892.5</v>
      </c>
      <c r="C32" s="80">
        <v>57.6</v>
      </c>
      <c r="D32" s="79">
        <f t="shared" si="1"/>
        <v>834.9</v>
      </c>
      <c r="E32" s="84">
        <v>204.5</v>
      </c>
      <c r="F32" s="81">
        <f t="shared" si="2"/>
        <v>688</v>
      </c>
      <c r="G32" s="52" t="s">
        <v>179</v>
      </c>
      <c r="H32" s="97">
        <v>0.1106</v>
      </c>
      <c r="I32" s="10">
        <f t="shared" si="3"/>
        <v>92.33994</v>
      </c>
      <c r="J32" s="31">
        <f t="shared" si="4"/>
        <v>1.13398</v>
      </c>
    </row>
    <row r="33">
      <c r="A33" s="98">
        <v>245188.0</v>
      </c>
      <c r="B33" s="79">
        <v>887.5</v>
      </c>
      <c r="C33" s="80">
        <v>57.6</v>
      </c>
      <c r="D33" s="81">
        <f t="shared" si="1"/>
        <v>829.9</v>
      </c>
      <c r="E33" s="82">
        <v>116.5</v>
      </c>
      <c r="F33" s="81">
        <f t="shared" si="2"/>
        <v>771</v>
      </c>
      <c r="G33" s="3" t="s">
        <v>181</v>
      </c>
      <c r="H33" s="30">
        <v>0.1106</v>
      </c>
      <c r="I33" s="10">
        <f t="shared" si="3"/>
        <v>91.78694</v>
      </c>
      <c r="J33" s="31">
        <f t="shared" si="4"/>
        <v>1.13398</v>
      </c>
    </row>
    <row r="34">
      <c r="A34" s="78">
        <v>245184.0</v>
      </c>
      <c r="B34" s="79">
        <v>838.0</v>
      </c>
      <c r="C34" s="80">
        <v>57.6</v>
      </c>
      <c r="D34" s="81">
        <f t="shared" si="1"/>
        <v>780.4</v>
      </c>
      <c r="E34" s="82">
        <v>175.0</v>
      </c>
      <c r="F34" s="81">
        <f t="shared" si="2"/>
        <v>663</v>
      </c>
      <c r="G34" s="3" t="s">
        <v>183</v>
      </c>
      <c r="H34" s="30">
        <v>0.1106</v>
      </c>
      <c r="I34" s="10">
        <f t="shared" si="3"/>
        <v>86.31224</v>
      </c>
      <c r="J34" s="31">
        <f t="shared" si="4"/>
        <v>1.13398</v>
      </c>
    </row>
    <row r="35">
      <c r="A35" s="78">
        <v>245177.0</v>
      </c>
      <c r="B35" s="79">
        <v>891.0</v>
      </c>
      <c r="C35" s="80">
        <v>57.6</v>
      </c>
      <c r="D35" s="81">
        <f t="shared" si="1"/>
        <v>833.4</v>
      </c>
      <c r="E35" s="82">
        <v>93.0</v>
      </c>
      <c r="F35" s="81">
        <f t="shared" si="2"/>
        <v>798</v>
      </c>
      <c r="G35" s="3" t="s">
        <v>184</v>
      </c>
      <c r="H35" s="30">
        <v>0.1106</v>
      </c>
      <c r="I35" s="10">
        <f t="shared" si="3"/>
        <v>92.17404</v>
      </c>
      <c r="J35" s="31">
        <f t="shared" si="4"/>
        <v>1.13398</v>
      </c>
    </row>
    <row r="36">
      <c r="A36" s="78">
        <v>245147.0</v>
      </c>
      <c r="B36" s="79">
        <v>906.0</v>
      </c>
      <c r="C36" s="80">
        <v>57.6</v>
      </c>
      <c r="D36" s="81">
        <f t="shared" si="1"/>
        <v>848.4</v>
      </c>
      <c r="E36" s="82">
        <v>174.0</v>
      </c>
      <c r="F36" s="81">
        <f t="shared" si="2"/>
        <v>732</v>
      </c>
      <c r="G36" s="3" t="s">
        <v>185</v>
      </c>
      <c r="H36" s="30">
        <v>0.1287</v>
      </c>
      <c r="I36" s="10">
        <f t="shared" si="3"/>
        <v>109.18908</v>
      </c>
      <c r="J36" s="31">
        <f t="shared" si="4"/>
        <v>1.13398</v>
      </c>
    </row>
    <row r="37">
      <c r="A37" s="78">
        <v>245106.0</v>
      </c>
      <c r="B37" s="79">
        <v>881.0</v>
      </c>
      <c r="C37" s="80">
        <v>57.6</v>
      </c>
      <c r="D37" s="81">
        <f t="shared" si="1"/>
        <v>823.4</v>
      </c>
      <c r="E37" s="82">
        <v>148.0</v>
      </c>
      <c r="F37" s="81">
        <f t="shared" si="2"/>
        <v>733</v>
      </c>
      <c r="G37" s="3" t="s">
        <v>187</v>
      </c>
      <c r="H37" s="30">
        <v>0.1287</v>
      </c>
      <c r="I37" s="10">
        <f t="shared" si="3"/>
        <v>105.97158</v>
      </c>
      <c r="J37" s="31">
        <f t="shared" si="4"/>
        <v>1.13398</v>
      </c>
    </row>
    <row r="38">
      <c r="A38" s="78">
        <v>228440.0</v>
      </c>
      <c r="B38" s="79">
        <v>981.0</v>
      </c>
      <c r="C38" s="80">
        <v>57.6</v>
      </c>
      <c r="D38" s="81">
        <f t="shared" si="1"/>
        <v>923.4</v>
      </c>
      <c r="E38" s="84">
        <v>157.0</v>
      </c>
      <c r="F38" s="81">
        <f t="shared" si="2"/>
        <v>824</v>
      </c>
      <c r="G38" s="3" t="s">
        <v>188</v>
      </c>
      <c r="H38" s="30">
        <v>0.1392</v>
      </c>
      <c r="I38" s="10">
        <f t="shared" si="3"/>
        <v>128.53728</v>
      </c>
      <c r="J38" s="31">
        <f t="shared" si="4"/>
        <v>1.13398</v>
      </c>
    </row>
    <row r="39">
      <c r="A39" s="99">
        <v>228450.0</v>
      </c>
      <c r="B39" s="79">
        <v>897.5</v>
      </c>
      <c r="C39" s="80">
        <v>57.6</v>
      </c>
      <c r="D39" s="81">
        <f t="shared" si="1"/>
        <v>839.9</v>
      </c>
      <c r="E39" s="82">
        <v>183.5</v>
      </c>
      <c r="F39" s="81">
        <f t="shared" si="2"/>
        <v>714</v>
      </c>
      <c r="G39" s="3" t="s">
        <v>190</v>
      </c>
      <c r="H39" s="30">
        <v>0.1392</v>
      </c>
      <c r="I39" s="10">
        <f t="shared" si="3"/>
        <v>116.91408</v>
      </c>
      <c r="J39" s="31">
        <f t="shared" si="4"/>
        <v>1.13398</v>
      </c>
    </row>
    <row r="40">
      <c r="A40" s="99">
        <v>228047.0</v>
      </c>
      <c r="B40" s="79">
        <v>847.5</v>
      </c>
      <c r="C40" s="80">
        <v>57.6</v>
      </c>
      <c r="D40" s="81">
        <f t="shared" si="1"/>
        <v>789.9</v>
      </c>
      <c r="E40" s="82">
        <v>176.5</v>
      </c>
      <c r="F40" s="81">
        <f t="shared" si="2"/>
        <v>671</v>
      </c>
      <c r="G40" s="3" t="s">
        <v>191</v>
      </c>
      <c r="H40" s="30">
        <v>0.1392</v>
      </c>
      <c r="I40" s="10">
        <f t="shared" si="3"/>
        <v>109.95408</v>
      </c>
      <c r="J40" s="31">
        <f t="shared" si="4"/>
        <v>1.13398</v>
      </c>
    </row>
    <row r="41">
      <c r="A41" s="99">
        <v>228059.0</v>
      </c>
      <c r="B41" s="79">
        <v>836.5</v>
      </c>
      <c r="C41" s="80">
        <v>57.6</v>
      </c>
      <c r="D41" s="81">
        <f t="shared" si="1"/>
        <v>778.9</v>
      </c>
      <c r="E41" s="82">
        <v>175.5</v>
      </c>
      <c r="F41" s="81">
        <f t="shared" si="2"/>
        <v>661</v>
      </c>
      <c r="G41" s="3" t="s">
        <v>193</v>
      </c>
      <c r="H41" s="30">
        <v>0.1392</v>
      </c>
      <c r="I41" s="10">
        <f t="shared" si="3"/>
        <v>108.42288</v>
      </c>
      <c r="J41" s="31">
        <f t="shared" si="4"/>
        <v>1.13398</v>
      </c>
    </row>
    <row r="42">
      <c r="A42" s="99">
        <v>228063.0</v>
      </c>
      <c r="B42" s="79">
        <v>849.5</v>
      </c>
      <c r="C42" s="80">
        <v>57.6</v>
      </c>
      <c r="D42" s="81">
        <f t="shared" si="1"/>
        <v>791.9</v>
      </c>
      <c r="E42" s="84">
        <v>176.5</v>
      </c>
      <c r="F42" s="81">
        <f t="shared" si="2"/>
        <v>673</v>
      </c>
      <c r="G42" s="3" t="s">
        <v>194</v>
      </c>
      <c r="H42" s="30">
        <v>0.1392</v>
      </c>
      <c r="I42" s="10">
        <f t="shared" si="3"/>
        <v>110.23248</v>
      </c>
      <c r="J42" s="31">
        <f t="shared" si="4"/>
        <v>1.13398</v>
      </c>
    </row>
    <row r="43">
      <c r="A43" s="99">
        <v>228092.0</v>
      </c>
      <c r="B43" s="79">
        <v>822.0</v>
      </c>
      <c r="C43" s="80">
        <v>57.6</v>
      </c>
      <c r="D43" s="81">
        <f t="shared" si="1"/>
        <v>764.4</v>
      </c>
      <c r="E43" s="82">
        <v>178.0</v>
      </c>
      <c r="F43" s="81">
        <f t="shared" si="2"/>
        <v>644</v>
      </c>
      <c r="G43" s="3" t="s">
        <v>196</v>
      </c>
      <c r="H43" s="30">
        <v>0.1392</v>
      </c>
      <c r="I43" s="10">
        <f t="shared" si="3"/>
        <v>106.40448</v>
      </c>
      <c r="J43" s="31">
        <f t="shared" si="4"/>
        <v>1.13398</v>
      </c>
    </row>
    <row r="44">
      <c r="A44" s="99">
        <v>228036.0</v>
      </c>
      <c r="B44" s="79">
        <v>905.5</v>
      </c>
      <c r="C44" s="80">
        <v>57.6</v>
      </c>
      <c r="D44" s="81">
        <f t="shared" si="1"/>
        <v>847.9</v>
      </c>
      <c r="E44" s="82">
        <v>157.5</v>
      </c>
      <c r="F44" s="81">
        <f t="shared" si="2"/>
        <v>748</v>
      </c>
      <c r="G44" s="3" t="s">
        <v>198</v>
      </c>
      <c r="H44" s="30">
        <v>0.1392</v>
      </c>
      <c r="I44" s="10">
        <f t="shared" si="3"/>
        <v>118.02768</v>
      </c>
      <c r="J44" s="31">
        <f t="shared" si="4"/>
        <v>1.13398</v>
      </c>
    </row>
    <row r="45">
      <c r="A45" s="99">
        <v>228084.0</v>
      </c>
      <c r="B45" s="79">
        <v>1009.0</v>
      </c>
      <c r="C45" s="80">
        <v>57.6</v>
      </c>
      <c r="D45" s="81">
        <f t="shared" si="1"/>
        <v>951.4</v>
      </c>
      <c r="E45" s="82">
        <v>151.0</v>
      </c>
      <c r="F45" s="81">
        <f t="shared" si="2"/>
        <v>858</v>
      </c>
      <c r="G45" s="3" t="s">
        <v>199</v>
      </c>
      <c r="H45" s="30">
        <v>0.1392</v>
      </c>
      <c r="I45" s="10">
        <f t="shared" si="3"/>
        <v>132.43488</v>
      </c>
      <c r="J45" s="31">
        <f t="shared" si="4"/>
        <v>1.13398</v>
      </c>
    </row>
    <row r="46">
      <c r="A46" s="99">
        <v>228082.0</v>
      </c>
      <c r="B46" s="79">
        <v>1025.0</v>
      </c>
      <c r="C46" s="80">
        <v>57.6</v>
      </c>
      <c r="D46" s="81">
        <f t="shared" si="1"/>
        <v>967.4</v>
      </c>
      <c r="E46" s="82">
        <v>129.0</v>
      </c>
      <c r="F46" s="81">
        <f t="shared" si="2"/>
        <v>896</v>
      </c>
      <c r="G46" s="3" t="s">
        <v>201</v>
      </c>
      <c r="H46" s="30">
        <v>0.1631</v>
      </c>
      <c r="I46" s="10">
        <f t="shared" si="3"/>
        <v>157.78294</v>
      </c>
      <c r="J46" s="31">
        <f t="shared" si="4"/>
        <v>1.13398</v>
      </c>
    </row>
    <row r="47">
      <c r="A47" s="101"/>
      <c r="B47" s="102"/>
      <c r="C47" s="80"/>
      <c r="D47" s="81"/>
      <c r="E47" s="81"/>
      <c r="F47" s="81"/>
    </row>
    <row r="48">
      <c r="A48" s="101"/>
      <c r="B48" s="102"/>
      <c r="C48" s="80"/>
      <c r="D48" s="81"/>
      <c r="E48" s="81"/>
      <c r="F48" s="81"/>
    </row>
    <row r="49">
      <c r="A49" s="101"/>
      <c r="B49" s="102"/>
      <c r="C49" s="80"/>
      <c r="D49" s="81"/>
      <c r="E49" s="81"/>
      <c r="F49" s="81"/>
    </row>
    <row r="50">
      <c r="A50" s="101"/>
      <c r="B50" s="102"/>
      <c r="C50" s="80"/>
      <c r="D50" s="81"/>
      <c r="E50" s="81"/>
      <c r="F50" s="81"/>
    </row>
    <row r="51">
      <c r="A51" s="101"/>
      <c r="B51" s="102"/>
      <c r="C51" s="80"/>
      <c r="D51" s="81"/>
      <c r="E51" s="81"/>
      <c r="F51" s="81"/>
    </row>
    <row r="52">
      <c r="B52" s="103"/>
      <c r="C52" s="37"/>
      <c r="D52" s="10"/>
      <c r="E52" s="10"/>
      <c r="F52" s="10"/>
      <c r="G52" s="10"/>
      <c r="H52" s="10"/>
      <c r="I52" s="23"/>
    </row>
    <row r="53">
      <c r="A53" s="3" t="s">
        <v>79</v>
      </c>
      <c r="B53" s="105">
        <f t="shared" ref="B53:F53" si="5">SUM(B11:B46)</f>
        <v>31529</v>
      </c>
      <c r="C53" s="105">
        <f t="shared" si="5"/>
        <v>2073.6</v>
      </c>
      <c r="D53" s="105">
        <f t="shared" si="5"/>
        <v>29455.4</v>
      </c>
      <c r="E53" s="105">
        <f t="shared" si="5"/>
        <v>6008</v>
      </c>
      <c r="F53" s="105">
        <f t="shared" si="5"/>
        <v>25521</v>
      </c>
      <c r="G53" s="107"/>
      <c r="H53" s="107">
        <f>IFERROR(SUMPRODUCT(D11:D46,H11:H46)/SUM(D11:D46),"")</f>
        <v>0.121048588</v>
      </c>
      <c r="I53" s="108">
        <f t="shared" ref="I53:J53" si="6">SUM(I11:I46)</f>
        <v>3565.53458</v>
      </c>
      <c r="J53" s="109">
        <f t="shared" si="6"/>
        <v>40.82328</v>
      </c>
    </row>
    <row r="54">
      <c r="B54" s="103"/>
      <c r="D54" s="10"/>
      <c r="E54" s="10"/>
      <c r="F54" s="10"/>
      <c r="G54" s="10"/>
      <c r="H54" s="10"/>
      <c r="I54" s="23"/>
    </row>
    <row r="55">
      <c r="B55" s="103"/>
      <c r="D55" s="10"/>
      <c r="E55" s="10"/>
      <c r="F55" s="10"/>
      <c r="G55" s="10"/>
      <c r="H55" s="10"/>
      <c r="I55" s="61"/>
    </row>
    <row r="56">
      <c r="B56" s="103"/>
      <c r="D56" s="10"/>
      <c r="E56" s="10"/>
      <c r="F56" s="10"/>
      <c r="G56" s="10" t="str">
        <f t="shared" ref="G56:G73" si="7">IF(AND(D56&lt;&gt;"",F56&lt;&gt;""),(D56-F56)*$L$4,"")</f>
        <v/>
      </c>
      <c r="H56" s="10" t="str">
        <f t="shared" ref="H56:H73" si="8">IF(G56="","",G56*(1-$L$5))</f>
        <v/>
      </c>
      <c r="I56" s="23"/>
    </row>
    <row r="57">
      <c r="B57" s="103"/>
      <c r="D57" s="10"/>
      <c r="E57" s="10"/>
      <c r="F57" s="10"/>
      <c r="G57" s="10" t="str">
        <f t="shared" si="7"/>
        <v/>
      </c>
      <c r="H57" s="10" t="str">
        <f t="shared" si="8"/>
        <v/>
      </c>
      <c r="I57" s="23"/>
    </row>
    <row r="58">
      <c r="B58" s="103"/>
      <c r="D58" s="10"/>
      <c r="E58" s="10"/>
      <c r="F58" s="10"/>
      <c r="G58" s="10" t="str">
        <f t="shared" si="7"/>
        <v/>
      </c>
      <c r="H58" s="10" t="str">
        <f t="shared" si="8"/>
        <v/>
      </c>
      <c r="I58" s="23"/>
    </row>
    <row r="59">
      <c r="B59" s="103"/>
      <c r="D59" s="10"/>
      <c r="E59" s="10"/>
      <c r="F59" s="10"/>
      <c r="G59" s="10" t="str">
        <f t="shared" si="7"/>
        <v/>
      </c>
      <c r="H59" s="10" t="str">
        <f t="shared" si="8"/>
        <v/>
      </c>
      <c r="I59" s="23"/>
    </row>
    <row r="60">
      <c r="B60" s="103"/>
      <c r="D60" s="10"/>
      <c r="E60" s="10"/>
      <c r="F60" s="10"/>
      <c r="G60" s="10" t="str">
        <f t="shared" si="7"/>
        <v/>
      </c>
      <c r="H60" s="10" t="str">
        <f t="shared" si="8"/>
        <v/>
      </c>
      <c r="I60" s="23"/>
    </row>
    <row r="61">
      <c r="B61" s="103"/>
      <c r="D61" s="10"/>
      <c r="E61" s="10"/>
      <c r="F61" s="10"/>
      <c r="G61" s="10" t="str">
        <f t="shared" si="7"/>
        <v/>
      </c>
      <c r="H61" s="10" t="str">
        <f t="shared" si="8"/>
        <v/>
      </c>
      <c r="I61" s="23"/>
    </row>
    <row r="62">
      <c r="B62" s="103"/>
      <c r="D62" s="10"/>
      <c r="E62" s="10"/>
      <c r="F62" s="10"/>
      <c r="G62" s="10" t="str">
        <f t="shared" si="7"/>
        <v/>
      </c>
      <c r="H62" s="10" t="str">
        <f t="shared" si="8"/>
        <v/>
      </c>
      <c r="I62" s="23"/>
    </row>
    <row r="63">
      <c r="B63" s="103"/>
      <c r="D63" s="10"/>
      <c r="E63" s="10"/>
      <c r="F63" s="10"/>
      <c r="G63" s="10" t="str">
        <f t="shared" si="7"/>
        <v/>
      </c>
      <c r="H63" s="10" t="str">
        <f t="shared" si="8"/>
        <v/>
      </c>
      <c r="I63" s="23"/>
    </row>
    <row r="64">
      <c r="B64" s="103"/>
      <c r="D64" s="10"/>
      <c r="E64" s="10"/>
      <c r="F64" s="10"/>
      <c r="G64" s="10" t="str">
        <f t="shared" si="7"/>
        <v/>
      </c>
      <c r="H64" s="10" t="str">
        <f t="shared" si="8"/>
        <v/>
      </c>
      <c r="I64" s="23"/>
    </row>
    <row r="65">
      <c r="B65" s="103"/>
      <c r="D65" s="10"/>
      <c r="E65" s="10"/>
      <c r="F65" s="10"/>
      <c r="G65" s="10" t="str">
        <f t="shared" si="7"/>
        <v/>
      </c>
      <c r="H65" s="10" t="str">
        <f t="shared" si="8"/>
        <v/>
      </c>
      <c r="I65" s="23"/>
    </row>
    <row r="66">
      <c r="B66" s="103"/>
      <c r="D66" s="10"/>
      <c r="E66" s="10"/>
      <c r="F66" s="10"/>
      <c r="G66" s="10" t="str">
        <f t="shared" si="7"/>
        <v/>
      </c>
      <c r="H66" s="10" t="str">
        <f t="shared" si="8"/>
        <v/>
      </c>
      <c r="I66" s="23"/>
    </row>
    <row r="67">
      <c r="B67" s="103"/>
      <c r="D67" s="10"/>
      <c r="E67" s="10"/>
      <c r="F67" s="10"/>
      <c r="G67" s="10" t="str">
        <f t="shared" si="7"/>
        <v/>
      </c>
      <c r="H67" s="10" t="str">
        <f t="shared" si="8"/>
        <v/>
      </c>
      <c r="I67" s="23"/>
    </row>
    <row r="68">
      <c r="B68" s="103"/>
      <c r="D68" s="10"/>
      <c r="E68" s="10"/>
      <c r="F68" s="10"/>
      <c r="G68" s="10" t="str">
        <f t="shared" si="7"/>
        <v/>
      </c>
      <c r="H68" s="10" t="str">
        <f t="shared" si="8"/>
        <v/>
      </c>
      <c r="I68" s="23"/>
    </row>
    <row r="69">
      <c r="B69" s="103"/>
      <c r="D69" s="10"/>
      <c r="E69" s="10"/>
      <c r="F69" s="10"/>
      <c r="G69" s="10" t="str">
        <f t="shared" si="7"/>
        <v/>
      </c>
      <c r="H69" s="10" t="str">
        <f t="shared" si="8"/>
        <v/>
      </c>
      <c r="I69" s="23"/>
    </row>
    <row r="70">
      <c r="B70" s="103"/>
      <c r="D70" s="10"/>
      <c r="E70" s="10"/>
      <c r="F70" s="10"/>
      <c r="G70" s="10" t="str">
        <f t="shared" si="7"/>
        <v/>
      </c>
      <c r="H70" s="10" t="str">
        <f t="shared" si="8"/>
        <v/>
      </c>
      <c r="I70" s="23"/>
    </row>
    <row r="71">
      <c r="B71" s="103"/>
      <c r="D71" s="10"/>
      <c r="E71" s="10"/>
      <c r="F71" s="10"/>
      <c r="G71" s="10" t="str">
        <f t="shared" si="7"/>
        <v/>
      </c>
      <c r="H71" s="10" t="str">
        <f t="shared" si="8"/>
        <v/>
      </c>
      <c r="I71" s="23"/>
    </row>
    <row r="72">
      <c r="B72" s="103"/>
      <c r="D72" s="10"/>
      <c r="E72" s="10"/>
      <c r="F72" s="10"/>
      <c r="G72" s="10" t="str">
        <f t="shared" si="7"/>
        <v/>
      </c>
      <c r="H72" s="10" t="str">
        <f t="shared" si="8"/>
        <v/>
      </c>
      <c r="I72" s="23"/>
    </row>
    <row r="73">
      <c r="B73" s="103"/>
      <c r="D73" s="10"/>
      <c r="E73" s="10"/>
      <c r="F73" s="10"/>
      <c r="G73" s="10" t="str">
        <f t="shared" si="7"/>
        <v/>
      </c>
      <c r="H73" s="10" t="str">
        <f t="shared" si="8"/>
        <v/>
      </c>
      <c r="I73" s="23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6</v>
      </c>
    </row>
    <row r="3">
      <c r="A3" s="3" t="s">
        <v>8</v>
      </c>
      <c r="B3" s="5">
        <v>46207.0</v>
      </c>
      <c r="J3" s="4"/>
      <c r="L3" s="3" t="s">
        <v>9</v>
      </c>
      <c r="M3" s="6">
        <v>2.20462</v>
      </c>
    </row>
    <row r="4">
      <c r="A4" s="3" t="s">
        <v>10</v>
      </c>
      <c r="B4" s="5">
        <v>46214.0</v>
      </c>
      <c r="J4" s="4"/>
      <c r="L4" s="3" t="s">
        <v>11</v>
      </c>
      <c r="M4" s="6">
        <v>0.453592</v>
      </c>
    </row>
    <row r="5">
      <c r="J5" s="4"/>
      <c r="L5" s="3" t="s">
        <v>13</v>
      </c>
      <c r="M5" s="6">
        <v>0.0129</v>
      </c>
    </row>
    <row r="6">
      <c r="J6" s="4"/>
      <c r="L6" s="3" t="s">
        <v>14</v>
      </c>
      <c r="M6" s="3" t="s">
        <v>15</v>
      </c>
    </row>
    <row r="7">
      <c r="L7" s="3" t="s">
        <v>98</v>
      </c>
      <c r="M7" s="6">
        <v>0.004</v>
      </c>
    </row>
    <row r="8">
      <c r="A8" s="1" t="s">
        <v>123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34</v>
      </c>
      <c r="B9" s="4" t="s">
        <v>125</v>
      </c>
      <c r="C9" s="15" t="s">
        <v>127</v>
      </c>
      <c r="D9" s="15" t="s">
        <v>128</v>
      </c>
      <c r="E9" s="4" t="s">
        <v>129</v>
      </c>
      <c r="F9" s="4" t="s">
        <v>130</v>
      </c>
      <c r="G9" s="15" t="s">
        <v>44</v>
      </c>
      <c r="H9" s="4" t="s">
        <v>46</v>
      </c>
      <c r="I9" s="4" t="s">
        <v>49</v>
      </c>
      <c r="J9" s="4" t="s">
        <v>97</v>
      </c>
      <c r="K9" s="4" t="s">
        <v>131</v>
      </c>
      <c r="L9" s="8"/>
      <c r="M9" s="8"/>
    </row>
    <row r="10">
      <c r="A10" s="5"/>
      <c r="C10" s="22"/>
      <c r="D10" s="22"/>
      <c r="E10" s="10"/>
      <c r="F10" s="10"/>
      <c r="G10" s="22"/>
    </row>
    <row r="11">
      <c r="A11" s="5"/>
      <c r="C11" s="22"/>
      <c r="D11" s="22"/>
      <c r="E11" s="10"/>
      <c r="F11" s="10"/>
      <c r="G11" s="22"/>
    </row>
    <row r="12">
      <c r="A12" s="5"/>
      <c r="C12" s="22"/>
      <c r="D12" s="22"/>
      <c r="E12" s="10"/>
      <c r="F12" s="10"/>
      <c r="G12" s="22"/>
    </row>
    <row r="13">
      <c r="A13" s="5"/>
      <c r="C13" s="22"/>
      <c r="D13" s="22"/>
      <c r="E13" s="10"/>
      <c r="F13" s="10"/>
      <c r="G13" s="22"/>
    </row>
    <row r="14">
      <c r="C14" s="32"/>
      <c r="D14" s="32"/>
      <c r="E14" s="10"/>
      <c r="F14" s="10"/>
      <c r="G14" s="32"/>
    </row>
    <row r="15">
      <c r="C15" s="32"/>
      <c r="D15" s="32"/>
      <c r="E15" s="10"/>
      <c r="F15" s="10"/>
      <c r="G15" s="32"/>
    </row>
    <row r="16">
      <c r="C16" s="32"/>
      <c r="D16" s="32"/>
      <c r="E16" s="10"/>
      <c r="F16" s="10"/>
      <c r="G16" s="32"/>
    </row>
    <row r="17">
      <c r="C17" s="32"/>
      <c r="D17" s="32"/>
      <c r="E17" s="10"/>
      <c r="F17" s="10"/>
      <c r="G17" s="32"/>
    </row>
    <row r="18">
      <c r="C18" s="32"/>
      <c r="D18" s="32"/>
      <c r="E18" s="10"/>
      <c r="F18" s="10"/>
      <c r="G18" s="32"/>
    </row>
    <row r="19">
      <c r="C19" s="32"/>
      <c r="D19" s="32"/>
      <c r="E19" s="10"/>
      <c r="F19" s="10"/>
      <c r="G19" s="32"/>
    </row>
    <row r="20">
      <c r="C20" s="32"/>
      <c r="D20" s="32"/>
      <c r="E20" s="10"/>
      <c r="F20" s="10"/>
      <c r="G20" s="32"/>
    </row>
    <row r="21">
      <c r="C21" s="32"/>
      <c r="D21" s="32"/>
      <c r="E21" s="10"/>
      <c r="F21" s="10"/>
      <c r="G21" s="32"/>
    </row>
    <row r="22">
      <c r="C22" s="32"/>
      <c r="D22" s="32"/>
      <c r="E22" s="10"/>
      <c r="F22" s="10"/>
      <c r="G22" s="32"/>
    </row>
    <row r="23">
      <c r="C23" s="32"/>
      <c r="D23" s="32"/>
      <c r="E23" s="10"/>
      <c r="F23" s="10"/>
      <c r="G23" s="32"/>
    </row>
    <row r="24">
      <c r="C24" s="32"/>
      <c r="D24" s="32"/>
      <c r="E24" s="10"/>
      <c r="F24" s="10"/>
      <c r="G24" s="32"/>
    </row>
    <row r="25">
      <c r="C25" s="10"/>
      <c r="D25" s="10"/>
      <c r="E25" s="10"/>
      <c r="F25" s="10"/>
      <c r="G25" s="10"/>
    </row>
    <row r="26">
      <c r="A26" s="1"/>
      <c r="B26" s="2"/>
      <c r="C26" s="39"/>
      <c r="D26" s="39"/>
      <c r="E26" s="39"/>
      <c r="F26" s="39"/>
      <c r="G26" s="39"/>
      <c r="H26" s="2"/>
      <c r="I26" s="2"/>
      <c r="J26" s="2"/>
      <c r="K26" s="2"/>
      <c r="L26" s="2"/>
      <c r="M26" s="2"/>
    </row>
    <row r="27">
      <c r="A27" s="4"/>
      <c r="B27" s="4"/>
      <c r="C27" s="42"/>
      <c r="D27" s="42"/>
      <c r="E27" s="42"/>
      <c r="F27" s="42"/>
      <c r="G27" s="42"/>
      <c r="H27" s="4"/>
      <c r="I27" s="8"/>
      <c r="J27" s="8"/>
      <c r="K27" s="8"/>
      <c r="L27" s="8"/>
      <c r="M27" s="8"/>
    </row>
    <row r="28">
      <c r="A28" s="10"/>
      <c r="B28" s="10"/>
      <c r="C28" s="14"/>
      <c r="D28" s="10"/>
      <c r="E28" s="25"/>
      <c r="F28" s="25"/>
      <c r="G28" s="10"/>
    </row>
    <row r="29">
      <c r="C29" s="10"/>
      <c r="D29" s="10"/>
      <c r="E29" s="10"/>
      <c r="F29" s="10"/>
      <c r="G29" s="10"/>
    </row>
    <row r="30">
      <c r="C30" s="10"/>
      <c r="D30" s="10"/>
      <c r="E30" s="10"/>
      <c r="F30" s="10"/>
      <c r="G30" s="10"/>
    </row>
    <row r="31">
      <c r="A31" s="3" t="s">
        <v>106</v>
      </c>
    </row>
    <row r="32">
      <c r="A32" s="3" t="s">
        <v>159</v>
      </c>
      <c r="B32" s="3" t="s">
        <v>22</v>
      </c>
      <c r="C32" s="3" t="s">
        <v>24</v>
      </c>
      <c r="D32" s="3" t="s">
        <v>44</v>
      </c>
      <c r="E32" s="3" t="s">
        <v>86</v>
      </c>
      <c r="F32" s="3"/>
      <c r="G32" s="3" t="s">
        <v>160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5" t="s">
        <v>132</v>
      </c>
      <c r="B1" s="86"/>
      <c r="C1" s="86"/>
      <c r="D1" s="86"/>
      <c r="E1" s="86"/>
      <c r="F1" s="86"/>
      <c r="G1" s="86"/>
    </row>
    <row r="4">
      <c r="A4" s="87" t="s">
        <v>0</v>
      </c>
      <c r="B4" s="88"/>
      <c r="C4" s="88"/>
      <c r="D4" s="88"/>
      <c r="E4" s="88"/>
      <c r="F4" s="8"/>
      <c r="G4" s="8"/>
    </row>
    <row r="5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8"/>
      <c r="G5" s="8"/>
    </row>
    <row r="6">
      <c r="A6" s="3" t="s">
        <v>5</v>
      </c>
      <c r="B6" s="3" t="s">
        <v>76</v>
      </c>
      <c r="C6" s="3" t="s">
        <v>140</v>
      </c>
      <c r="D6" s="6">
        <v>36.0</v>
      </c>
      <c r="E6" s="3" t="s">
        <v>142</v>
      </c>
    </row>
    <row r="8">
      <c r="A8" s="4" t="s">
        <v>143</v>
      </c>
      <c r="B8" s="26">
        <v>1201.0</v>
      </c>
      <c r="C8" s="8"/>
      <c r="D8" s="8"/>
      <c r="E8" s="8"/>
      <c r="F8" s="8"/>
      <c r="G8" s="8"/>
    </row>
    <row r="10">
      <c r="A10" s="87" t="s">
        <v>144</v>
      </c>
      <c r="B10" s="88"/>
      <c r="C10" s="88"/>
      <c r="D10" s="88"/>
      <c r="E10" s="88"/>
      <c r="F10" s="88"/>
      <c r="G10" s="88"/>
    </row>
    <row r="11">
      <c r="A11" s="4" t="s">
        <v>145</v>
      </c>
      <c r="B11" s="4" t="s">
        <v>146</v>
      </c>
      <c r="C11" s="4" t="s">
        <v>147</v>
      </c>
      <c r="D11" s="4" t="s">
        <v>148</v>
      </c>
      <c r="E11" s="4" t="s">
        <v>149</v>
      </c>
      <c r="F11" s="4" t="s">
        <v>150</v>
      </c>
      <c r="G11" s="4" t="s">
        <v>151</v>
      </c>
    </row>
    <row r="12">
      <c r="A12" s="3" t="s">
        <v>153</v>
      </c>
      <c r="B12" s="89"/>
      <c r="C12" s="6">
        <v>18.0</v>
      </c>
      <c r="D12" s="6">
        <v>16.0</v>
      </c>
      <c r="E12" s="90">
        <f t="shared" ref="E12:E17" si="1">D12/C12</f>
        <v>0.8888888889</v>
      </c>
      <c r="F12" s="27">
        <f t="shared" ref="F12:F17" si="2">$B$8</f>
        <v>1201</v>
      </c>
      <c r="G12" s="10">
        <f t="shared" ref="G12:G17" si="3">E12*F12</f>
        <v>1067.555556</v>
      </c>
    </row>
    <row r="13">
      <c r="A13" s="3" t="s">
        <v>156</v>
      </c>
      <c r="B13" s="89"/>
      <c r="C13" s="6">
        <v>17.0</v>
      </c>
      <c r="D13" s="6">
        <v>1.0</v>
      </c>
      <c r="E13" s="90">
        <f t="shared" si="1"/>
        <v>0.05882352941</v>
      </c>
      <c r="F13" s="27">
        <f t="shared" si="2"/>
        <v>1201</v>
      </c>
      <c r="G13" s="10">
        <f t="shared" si="3"/>
        <v>70.64705882</v>
      </c>
    </row>
    <row r="14">
      <c r="A14" s="4" t="s">
        <v>158</v>
      </c>
      <c r="B14" s="91"/>
      <c r="C14" s="26">
        <v>8.0</v>
      </c>
      <c r="D14" s="26">
        <v>8.0</v>
      </c>
      <c r="E14" s="92">
        <f t="shared" si="1"/>
        <v>1</v>
      </c>
      <c r="F14" s="8">
        <f t="shared" si="2"/>
        <v>1201</v>
      </c>
      <c r="G14" s="93">
        <f t="shared" si="3"/>
        <v>1201</v>
      </c>
    </row>
    <row r="15">
      <c r="A15" s="4" t="s">
        <v>162</v>
      </c>
      <c r="B15" s="8"/>
      <c r="C15" s="26">
        <v>20.0</v>
      </c>
      <c r="D15" s="26">
        <v>1.0</v>
      </c>
      <c r="E15" s="92">
        <f t="shared" si="1"/>
        <v>0.05</v>
      </c>
      <c r="F15" s="8">
        <f t="shared" si="2"/>
        <v>1201</v>
      </c>
      <c r="G15" s="93">
        <f t="shared" si="3"/>
        <v>60.05</v>
      </c>
    </row>
    <row r="16">
      <c r="A16" s="4" t="s">
        <v>163</v>
      </c>
      <c r="C16" s="6">
        <v>20.0</v>
      </c>
      <c r="D16" s="6">
        <v>1.0</v>
      </c>
      <c r="E16" s="90">
        <f t="shared" si="1"/>
        <v>0.05</v>
      </c>
      <c r="F16" s="27">
        <f t="shared" si="2"/>
        <v>1201</v>
      </c>
      <c r="G16" s="10">
        <f t="shared" si="3"/>
        <v>60.05</v>
      </c>
    </row>
    <row r="17">
      <c r="A17" s="4" t="s">
        <v>165</v>
      </c>
      <c r="B17" s="4"/>
      <c r="C17" s="4">
        <v>19.0</v>
      </c>
      <c r="D17" s="4">
        <v>9.0</v>
      </c>
      <c r="E17" s="92">
        <f t="shared" si="1"/>
        <v>0.4736842105</v>
      </c>
      <c r="F17" s="8">
        <f t="shared" si="2"/>
        <v>1201</v>
      </c>
      <c r="G17" s="93">
        <f t="shared" si="3"/>
        <v>568.8947368</v>
      </c>
    </row>
    <row r="18">
      <c r="A18" s="4" t="s">
        <v>79</v>
      </c>
      <c r="B18" s="4"/>
      <c r="C18" s="42">
        <f t="shared" ref="C18:D18" si="4">SUM(C12:C17)</f>
        <v>102</v>
      </c>
      <c r="D18" s="4">
        <f t="shared" si="4"/>
        <v>36</v>
      </c>
      <c r="E18" s="8"/>
      <c r="F18" s="8"/>
      <c r="G18" s="93">
        <f>SUM(G12:G17)</f>
        <v>3028.197351</v>
      </c>
    </row>
    <row r="19">
      <c r="C19" s="23"/>
    </row>
    <row r="20">
      <c r="A20" s="87" t="s">
        <v>168</v>
      </c>
      <c r="B20" s="88"/>
      <c r="C20" s="88"/>
      <c r="D20" s="88"/>
    </row>
    <row r="21">
      <c r="A21" s="4" t="s">
        <v>135</v>
      </c>
      <c r="B21" s="4" t="s">
        <v>170</v>
      </c>
      <c r="C21" s="4" t="s">
        <v>151</v>
      </c>
      <c r="D21" s="4" t="s">
        <v>138</v>
      </c>
      <c r="E21" s="4"/>
      <c r="F21" s="8"/>
      <c r="G21" s="8"/>
    </row>
    <row r="22">
      <c r="A22" s="3" t="s">
        <v>5</v>
      </c>
      <c r="B22" s="3" t="s">
        <v>171</v>
      </c>
      <c r="C22" s="10">
        <f>G18</f>
        <v>3028.197351</v>
      </c>
      <c r="D22" s="94">
        <f>D18</f>
        <v>36</v>
      </c>
      <c r="F22" s="8"/>
    </row>
    <row r="23">
      <c r="D23" s="89"/>
    </row>
    <row r="24">
      <c r="A24" s="4" t="s">
        <v>173</v>
      </c>
      <c r="B24" s="8"/>
      <c r="C24" s="8"/>
      <c r="D24" s="91"/>
      <c r="E24" s="8"/>
    </row>
    <row r="25">
      <c r="A25" s="4" t="s">
        <v>175</v>
      </c>
      <c r="B25" s="4" t="s">
        <v>136</v>
      </c>
      <c r="C25" s="4" t="s">
        <v>50</v>
      </c>
      <c r="D25" s="4" t="s">
        <v>176</v>
      </c>
      <c r="E25" s="4" t="s">
        <v>135</v>
      </c>
    </row>
    <row r="26">
      <c r="A26" s="3">
        <v>120555.0</v>
      </c>
      <c r="B26" s="3" t="s">
        <v>76</v>
      </c>
      <c r="C26" s="95">
        <v>45839.0</v>
      </c>
      <c r="D26" s="3" t="s">
        <v>153</v>
      </c>
      <c r="E26" s="3" t="s">
        <v>5</v>
      </c>
    </row>
    <row r="27">
      <c r="A27" s="3">
        <v>15160.0</v>
      </c>
      <c r="B27" s="3" t="s">
        <v>76</v>
      </c>
      <c r="C27" s="95">
        <v>45870.0</v>
      </c>
      <c r="D27" s="3" t="s">
        <v>153</v>
      </c>
      <c r="E27" s="3" t="s">
        <v>5</v>
      </c>
    </row>
    <row r="28">
      <c r="A28" s="3">
        <v>15193.0</v>
      </c>
      <c r="B28" s="3" t="s">
        <v>76</v>
      </c>
      <c r="C28" s="95">
        <v>45870.0</v>
      </c>
      <c r="D28" s="3" t="s">
        <v>153</v>
      </c>
      <c r="E28" s="3" t="s">
        <v>5</v>
      </c>
    </row>
    <row r="29">
      <c r="A29" s="3">
        <v>15171.0</v>
      </c>
      <c r="B29" s="3" t="s">
        <v>76</v>
      </c>
      <c r="C29" s="95">
        <v>45870.0</v>
      </c>
      <c r="D29" s="3" t="s">
        <v>153</v>
      </c>
      <c r="E29" s="3" t="s">
        <v>5</v>
      </c>
    </row>
    <row r="30">
      <c r="A30" s="3">
        <v>15168.0</v>
      </c>
      <c r="B30" s="3" t="s">
        <v>76</v>
      </c>
      <c r="C30" s="95">
        <v>45870.0</v>
      </c>
      <c r="D30" s="3" t="s">
        <v>153</v>
      </c>
      <c r="E30" s="3" t="s">
        <v>5</v>
      </c>
    </row>
    <row r="31">
      <c r="A31" s="3">
        <v>245120.0</v>
      </c>
      <c r="B31" s="3" t="s">
        <v>76</v>
      </c>
      <c r="C31" s="95">
        <v>45870.0</v>
      </c>
      <c r="D31" s="3" t="s">
        <v>153</v>
      </c>
      <c r="E31" s="3" t="s">
        <v>5</v>
      </c>
    </row>
    <row r="32">
      <c r="A32" s="3">
        <v>245115.0</v>
      </c>
      <c r="B32" s="3" t="s">
        <v>76</v>
      </c>
      <c r="C32" s="95">
        <v>45870.0</v>
      </c>
      <c r="D32" s="3" t="s">
        <v>153</v>
      </c>
      <c r="E32" s="3" t="s">
        <v>5</v>
      </c>
    </row>
    <row r="33">
      <c r="A33" s="3">
        <v>245117.0</v>
      </c>
      <c r="B33" s="3" t="s">
        <v>76</v>
      </c>
      <c r="C33" s="95">
        <v>45870.0</v>
      </c>
      <c r="D33" s="3" t="s">
        <v>153</v>
      </c>
      <c r="E33" s="3" t="s">
        <v>5</v>
      </c>
      <c r="F33" s="8"/>
    </row>
    <row r="34">
      <c r="A34" s="3">
        <v>245119.0</v>
      </c>
      <c r="B34" s="3" t="s">
        <v>76</v>
      </c>
      <c r="C34" s="95">
        <v>45870.0</v>
      </c>
      <c r="D34" s="3" t="s">
        <v>153</v>
      </c>
      <c r="E34" s="3" t="s">
        <v>5</v>
      </c>
    </row>
    <row r="35">
      <c r="A35" s="3">
        <v>245116.0</v>
      </c>
      <c r="B35" s="3" t="s">
        <v>76</v>
      </c>
      <c r="C35" s="95">
        <v>45870.0</v>
      </c>
      <c r="D35" s="3" t="s">
        <v>153</v>
      </c>
      <c r="E35" s="3" t="s">
        <v>5</v>
      </c>
      <c r="F35" s="8"/>
    </row>
    <row r="36">
      <c r="A36" s="3">
        <v>245193.0</v>
      </c>
      <c r="B36" s="3" t="s">
        <v>76</v>
      </c>
      <c r="C36" s="95">
        <v>45870.0</v>
      </c>
      <c r="D36" s="3" t="s">
        <v>153</v>
      </c>
      <c r="E36" s="3" t="s">
        <v>5</v>
      </c>
      <c r="F36" s="8"/>
    </row>
    <row r="37">
      <c r="A37" s="3">
        <v>245194.0</v>
      </c>
      <c r="B37" s="3" t="s">
        <v>76</v>
      </c>
      <c r="C37" s="95">
        <v>45870.0</v>
      </c>
      <c r="D37" s="3" t="s">
        <v>153</v>
      </c>
      <c r="E37" s="3" t="s">
        <v>5</v>
      </c>
    </row>
    <row r="38">
      <c r="A38" s="3">
        <v>245166.0</v>
      </c>
      <c r="B38" s="3" t="s">
        <v>76</v>
      </c>
      <c r="C38" s="95">
        <v>45870.0</v>
      </c>
      <c r="D38" s="3" t="s">
        <v>153</v>
      </c>
      <c r="E38" s="3" t="s">
        <v>5</v>
      </c>
    </row>
    <row r="39">
      <c r="A39" s="3">
        <v>245156.0</v>
      </c>
      <c r="B39" s="3" t="s">
        <v>76</v>
      </c>
      <c r="C39" s="95">
        <v>45870.0</v>
      </c>
      <c r="D39" s="3" t="s">
        <v>153</v>
      </c>
      <c r="E39" s="3" t="s">
        <v>5</v>
      </c>
    </row>
    <row r="40">
      <c r="A40" s="3">
        <v>245153.0</v>
      </c>
      <c r="B40" s="3" t="s">
        <v>76</v>
      </c>
      <c r="C40" s="95">
        <v>45870.0</v>
      </c>
      <c r="D40" s="3" t="s">
        <v>153</v>
      </c>
      <c r="E40" s="3" t="s">
        <v>5</v>
      </c>
    </row>
    <row r="41">
      <c r="A41" s="3">
        <v>245169.0</v>
      </c>
      <c r="B41" s="3" t="s">
        <v>76</v>
      </c>
      <c r="C41" s="95">
        <v>45870.0</v>
      </c>
      <c r="D41" s="3" t="s">
        <v>153</v>
      </c>
      <c r="E41" s="3" t="s">
        <v>5</v>
      </c>
    </row>
    <row r="42">
      <c r="A42" s="4" t="s">
        <v>197</v>
      </c>
      <c r="B42" s="8"/>
      <c r="C42" s="8"/>
      <c r="D42" s="8"/>
      <c r="E42" s="8"/>
    </row>
    <row r="43">
      <c r="A43" s="4" t="s">
        <v>175</v>
      </c>
      <c r="B43" s="4" t="s">
        <v>136</v>
      </c>
      <c r="C43" s="4" t="s">
        <v>50</v>
      </c>
      <c r="D43" s="4" t="s">
        <v>176</v>
      </c>
      <c r="E43" s="4" t="s">
        <v>135</v>
      </c>
    </row>
    <row r="44">
      <c r="A44" s="3">
        <v>120504.0</v>
      </c>
      <c r="B44" s="3" t="s">
        <v>76</v>
      </c>
      <c r="C44" s="95">
        <v>45839.0</v>
      </c>
      <c r="D44" s="3" t="s">
        <v>156</v>
      </c>
      <c r="E44" s="3" t="s">
        <v>5</v>
      </c>
    </row>
    <row r="45">
      <c r="A45" s="4" t="s">
        <v>200</v>
      </c>
      <c r="B45" s="8"/>
      <c r="C45" s="8"/>
      <c r="D45" s="91"/>
      <c r="E45" s="8"/>
    </row>
    <row r="46">
      <c r="A46" s="4" t="s">
        <v>175</v>
      </c>
      <c r="B46" s="4" t="s">
        <v>136</v>
      </c>
      <c r="C46" s="4" t="s">
        <v>50</v>
      </c>
      <c r="D46" s="4" t="s">
        <v>176</v>
      </c>
      <c r="E46" s="4" t="s">
        <v>135</v>
      </c>
    </row>
    <row r="47">
      <c r="A47" s="3">
        <v>15194.0</v>
      </c>
      <c r="B47" s="3" t="s">
        <v>76</v>
      </c>
      <c r="C47" s="95">
        <v>45870.0</v>
      </c>
      <c r="D47" s="3" t="s">
        <v>158</v>
      </c>
      <c r="E47" s="3" t="s">
        <v>5</v>
      </c>
    </row>
    <row r="48">
      <c r="A48" s="3">
        <v>15189.0</v>
      </c>
      <c r="B48" s="3" t="s">
        <v>76</v>
      </c>
      <c r="C48" s="95">
        <v>45870.0</v>
      </c>
      <c r="D48" s="3" t="s">
        <v>158</v>
      </c>
      <c r="E48" s="3" t="s">
        <v>5</v>
      </c>
    </row>
    <row r="49">
      <c r="A49" s="3">
        <v>15192.0</v>
      </c>
      <c r="B49" s="3" t="s">
        <v>76</v>
      </c>
      <c r="C49" s="95">
        <v>45870.0</v>
      </c>
      <c r="D49" s="3" t="s">
        <v>158</v>
      </c>
      <c r="E49" s="3" t="s">
        <v>5</v>
      </c>
    </row>
    <row r="50">
      <c r="A50" s="3">
        <v>245149.0</v>
      </c>
      <c r="B50" s="3" t="s">
        <v>76</v>
      </c>
      <c r="C50" s="95">
        <v>45870.0</v>
      </c>
      <c r="D50" s="3" t="s">
        <v>158</v>
      </c>
      <c r="E50" s="3" t="s">
        <v>5</v>
      </c>
    </row>
    <row r="51">
      <c r="A51" s="3">
        <v>245175.0</v>
      </c>
      <c r="B51" s="3" t="s">
        <v>76</v>
      </c>
      <c r="C51" s="95">
        <v>45870.0</v>
      </c>
      <c r="D51" s="3" t="s">
        <v>158</v>
      </c>
      <c r="E51" s="3" t="s">
        <v>5</v>
      </c>
    </row>
    <row r="52">
      <c r="A52" s="3">
        <v>245188.0</v>
      </c>
      <c r="B52" s="3" t="s">
        <v>76</v>
      </c>
      <c r="C52" s="95">
        <v>45870.0</v>
      </c>
      <c r="D52" s="3" t="s">
        <v>158</v>
      </c>
      <c r="E52" s="3" t="s">
        <v>5</v>
      </c>
    </row>
    <row r="53">
      <c r="A53" s="3">
        <v>245184.0</v>
      </c>
      <c r="B53" s="3" t="s">
        <v>76</v>
      </c>
      <c r="C53" s="95">
        <v>45870.0</v>
      </c>
      <c r="D53" s="3" t="s">
        <v>158</v>
      </c>
      <c r="E53" s="3" t="s">
        <v>5</v>
      </c>
    </row>
    <row r="54">
      <c r="A54" s="3">
        <v>245177.0</v>
      </c>
      <c r="B54" s="3" t="s">
        <v>76</v>
      </c>
      <c r="C54" s="95">
        <v>45870.0</v>
      </c>
      <c r="D54" s="3" t="s">
        <v>158</v>
      </c>
      <c r="E54" s="3" t="s">
        <v>5</v>
      </c>
      <c r="F54" s="8"/>
    </row>
    <row r="55">
      <c r="A55" s="4" t="s">
        <v>203</v>
      </c>
      <c r="B55" s="8"/>
      <c r="C55" s="8"/>
      <c r="D55" s="91"/>
      <c r="E55" s="8"/>
    </row>
    <row r="56">
      <c r="A56" s="4" t="s">
        <v>175</v>
      </c>
      <c r="B56" s="4" t="s">
        <v>136</v>
      </c>
      <c r="C56" s="4" t="s">
        <v>50</v>
      </c>
      <c r="D56" s="4" t="s">
        <v>176</v>
      </c>
      <c r="E56" s="4" t="s">
        <v>135</v>
      </c>
      <c r="F56" s="8"/>
    </row>
    <row r="57">
      <c r="A57" s="3">
        <v>245147.0</v>
      </c>
      <c r="B57" s="3" t="s">
        <v>76</v>
      </c>
      <c r="C57" s="95">
        <v>45901.0</v>
      </c>
      <c r="D57" s="3" t="s">
        <v>162</v>
      </c>
      <c r="E57" s="3" t="s">
        <v>5</v>
      </c>
      <c r="F57" s="8"/>
    </row>
    <row r="58">
      <c r="A58" s="4" t="s">
        <v>204</v>
      </c>
      <c r="B58" s="8"/>
      <c r="C58" s="106"/>
      <c r="D58" s="91"/>
      <c r="E58" s="8"/>
    </row>
    <row r="59">
      <c r="A59" s="4" t="s">
        <v>175</v>
      </c>
      <c r="B59" s="4" t="s">
        <v>136</v>
      </c>
      <c r="C59" s="4" t="s">
        <v>50</v>
      </c>
      <c r="D59" s="4" t="s">
        <v>176</v>
      </c>
      <c r="E59" s="4" t="s">
        <v>135</v>
      </c>
    </row>
    <row r="60">
      <c r="A60" s="3">
        <v>245106.0</v>
      </c>
      <c r="B60" s="3" t="s">
        <v>76</v>
      </c>
      <c r="C60" s="95">
        <v>45901.0</v>
      </c>
      <c r="D60" s="3" t="s">
        <v>163</v>
      </c>
      <c r="E60" s="3" t="s">
        <v>5</v>
      </c>
    </row>
    <row r="61">
      <c r="A61" s="4" t="s">
        <v>205</v>
      </c>
      <c r="B61" s="8"/>
      <c r="C61" s="8"/>
      <c r="D61" s="91"/>
      <c r="E61" s="8"/>
    </row>
    <row r="62">
      <c r="A62" s="4" t="s">
        <v>175</v>
      </c>
      <c r="B62" s="4" t="s">
        <v>136</v>
      </c>
      <c r="C62" s="4" t="s">
        <v>50</v>
      </c>
      <c r="D62" s="4" t="s">
        <v>176</v>
      </c>
      <c r="E62" s="4" t="s">
        <v>135</v>
      </c>
    </row>
    <row r="63">
      <c r="A63" s="3">
        <v>228440.0</v>
      </c>
      <c r="B63" s="3" t="s">
        <v>76</v>
      </c>
      <c r="C63" s="95">
        <v>45962.0</v>
      </c>
      <c r="D63" s="3" t="s">
        <v>165</v>
      </c>
      <c r="E63" s="3" t="s">
        <v>5</v>
      </c>
    </row>
    <row r="64">
      <c r="A64" s="3">
        <v>228450.0</v>
      </c>
      <c r="B64" s="3" t="s">
        <v>76</v>
      </c>
      <c r="C64" s="95">
        <v>45962.0</v>
      </c>
      <c r="D64" s="3" t="s">
        <v>165</v>
      </c>
      <c r="E64" s="3" t="s">
        <v>5</v>
      </c>
    </row>
    <row r="65">
      <c r="A65" s="3">
        <v>228047.0</v>
      </c>
      <c r="B65" s="3" t="s">
        <v>76</v>
      </c>
      <c r="C65" s="95">
        <v>45962.0</v>
      </c>
      <c r="D65" s="3" t="s">
        <v>165</v>
      </c>
      <c r="E65" s="3" t="s">
        <v>5</v>
      </c>
    </row>
    <row r="66">
      <c r="A66" s="3">
        <v>228059.0</v>
      </c>
      <c r="B66" s="3" t="s">
        <v>76</v>
      </c>
      <c r="C66" s="95">
        <v>45962.0</v>
      </c>
      <c r="D66" s="3" t="s">
        <v>165</v>
      </c>
      <c r="E66" s="3" t="s">
        <v>5</v>
      </c>
    </row>
    <row r="67">
      <c r="A67" s="3">
        <v>228063.0</v>
      </c>
      <c r="B67" s="3" t="s">
        <v>76</v>
      </c>
      <c r="C67" s="95">
        <v>45962.0</v>
      </c>
      <c r="D67" s="3" t="s">
        <v>165</v>
      </c>
      <c r="E67" s="3" t="s">
        <v>5</v>
      </c>
    </row>
    <row r="68">
      <c r="A68" s="3">
        <v>228092.0</v>
      </c>
      <c r="B68" s="3" t="s">
        <v>76</v>
      </c>
      <c r="C68" s="95">
        <v>45962.0</v>
      </c>
      <c r="D68" s="3" t="s">
        <v>165</v>
      </c>
      <c r="E68" s="3" t="s">
        <v>5</v>
      </c>
    </row>
    <row r="69">
      <c r="A69" s="3">
        <v>228036.0</v>
      </c>
      <c r="B69" s="3" t="s">
        <v>76</v>
      </c>
      <c r="C69" s="95">
        <v>45962.0</v>
      </c>
      <c r="D69" s="3" t="s">
        <v>165</v>
      </c>
      <c r="E69" s="3" t="s">
        <v>5</v>
      </c>
    </row>
    <row r="70">
      <c r="A70" s="3">
        <v>228084.0</v>
      </c>
      <c r="B70" s="3" t="s">
        <v>76</v>
      </c>
      <c r="C70" s="95">
        <v>45962.0</v>
      </c>
      <c r="D70" s="3" t="s">
        <v>165</v>
      </c>
      <c r="E70" s="3" t="s">
        <v>5</v>
      </c>
    </row>
    <row r="71">
      <c r="A71" s="3">
        <v>228082.0</v>
      </c>
      <c r="B71" s="3" t="s">
        <v>76</v>
      </c>
      <c r="C71" s="95">
        <v>45992.0</v>
      </c>
      <c r="D71" s="3" t="s">
        <v>165</v>
      </c>
      <c r="E71" s="3" t="s">
        <v>5</v>
      </c>
    </row>
    <row r="72">
      <c r="A72" s="8"/>
      <c r="B72" s="8"/>
      <c r="C72" s="4"/>
      <c r="D72" s="8"/>
      <c r="E72" s="8"/>
      <c r="F7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178</v>
      </c>
      <c r="B1" s="8"/>
      <c r="C1" s="8"/>
      <c r="D1" s="8"/>
      <c r="E1" s="8"/>
    </row>
    <row r="4">
      <c r="A4" s="87" t="s">
        <v>0</v>
      </c>
      <c r="B4" s="88"/>
      <c r="C4" s="88"/>
      <c r="D4" s="88"/>
      <c r="E4" s="88"/>
    </row>
    <row r="5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</row>
    <row r="6">
      <c r="A6" s="3" t="s">
        <v>5</v>
      </c>
      <c r="B6" s="3" t="s">
        <v>101</v>
      </c>
      <c r="C6" s="3" t="s">
        <v>140</v>
      </c>
      <c r="D6" s="6">
        <v>3.0</v>
      </c>
      <c r="E6" s="3" t="s">
        <v>182</v>
      </c>
    </row>
    <row r="8">
      <c r="A8" s="3" t="s">
        <v>143</v>
      </c>
      <c r="B8" s="6">
        <v>1201.0</v>
      </c>
    </row>
    <row r="10">
      <c r="A10" s="87" t="s">
        <v>144</v>
      </c>
      <c r="B10" s="88"/>
      <c r="C10" s="88"/>
      <c r="D10" s="88"/>
      <c r="E10" s="88"/>
      <c r="F10" s="88"/>
      <c r="G10" s="88"/>
    </row>
    <row r="11">
      <c r="A11" s="4" t="s">
        <v>145</v>
      </c>
      <c r="B11" s="4" t="s">
        <v>146</v>
      </c>
      <c r="C11" s="4" t="s">
        <v>147</v>
      </c>
      <c r="D11" s="4" t="s">
        <v>148</v>
      </c>
      <c r="E11" s="4" t="s">
        <v>149</v>
      </c>
      <c r="F11" s="4" t="s">
        <v>150</v>
      </c>
      <c r="G11" s="4" t="s">
        <v>151</v>
      </c>
    </row>
    <row r="12">
      <c r="A12" s="3" t="s">
        <v>186</v>
      </c>
      <c r="B12" s="89"/>
      <c r="C12" s="6">
        <v>3.0</v>
      </c>
      <c r="D12" s="6">
        <v>3.0</v>
      </c>
      <c r="E12" s="90">
        <f>D12/C12</f>
        <v>1</v>
      </c>
      <c r="F12" s="27">
        <f>$B$8</f>
        <v>1201</v>
      </c>
      <c r="G12" s="10">
        <f>E12*F12</f>
        <v>1201</v>
      </c>
    </row>
    <row r="13">
      <c r="A13" s="4" t="s">
        <v>79</v>
      </c>
      <c r="B13" s="8"/>
      <c r="C13" s="8">
        <f t="shared" ref="C13:D13" si="1">SUM(C12)</f>
        <v>3</v>
      </c>
      <c r="D13" s="8">
        <f t="shared" si="1"/>
        <v>3</v>
      </c>
      <c r="E13" s="92"/>
      <c r="F13" s="8"/>
      <c r="G13" s="93">
        <f>SUM(G12)</f>
        <v>1201</v>
      </c>
    </row>
    <row r="15">
      <c r="A15" s="87" t="s">
        <v>168</v>
      </c>
      <c r="B15" s="88"/>
      <c r="C15" s="88"/>
      <c r="D15" s="88"/>
    </row>
    <row r="16">
      <c r="A16" s="4" t="s">
        <v>135</v>
      </c>
      <c r="B16" s="4" t="s">
        <v>170</v>
      </c>
      <c r="C16" s="4" t="s">
        <v>151</v>
      </c>
      <c r="D16" s="4" t="s">
        <v>138</v>
      </c>
    </row>
    <row r="17">
      <c r="A17" s="3" t="s">
        <v>5</v>
      </c>
      <c r="B17" s="3" t="s">
        <v>192</v>
      </c>
      <c r="C17" s="10">
        <f>G13</f>
        <v>1201</v>
      </c>
      <c r="D17" s="100">
        <f>D13</f>
        <v>3</v>
      </c>
    </row>
    <row r="19">
      <c r="A19" s="4" t="s">
        <v>195</v>
      </c>
      <c r="B19" s="8"/>
      <c r="C19" s="8"/>
      <c r="D19" s="8"/>
      <c r="E19" s="8"/>
    </row>
    <row r="20">
      <c r="A20" s="4" t="s">
        <v>175</v>
      </c>
      <c r="B20" s="4" t="s">
        <v>136</v>
      </c>
      <c r="C20" s="4" t="s">
        <v>50</v>
      </c>
      <c r="D20" s="4" t="s">
        <v>176</v>
      </c>
      <c r="E20" s="4" t="s">
        <v>135</v>
      </c>
    </row>
    <row r="21">
      <c r="A21" s="3">
        <v>301041.0</v>
      </c>
      <c r="B21" s="3" t="s">
        <v>101</v>
      </c>
      <c r="C21" s="95">
        <v>46082.0</v>
      </c>
      <c r="D21" s="3" t="s">
        <v>186</v>
      </c>
      <c r="E21" s="3" t="s">
        <v>5</v>
      </c>
    </row>
    <row r="22">
      <c r="A22" s="3">
        <v>301089.0</v>
      </c>
      <c r="B22" s="3" t="s">
        <v>101</v>
      </c>
      <c r="C22" s="95">
        <v>46113.0</v>
      </c>
      <c r="D22" s="3" t="s">
        <v>186</v>
      </c>
      <c r="E22" s="3" t="s">
        <v>5</v>
      </c>
    </row>
    <row r="23">
      <c r="A23" s="3">
        <v>301128.0</v>
      </c>
      <c r="B23" s="3" t="s">
        <v>101</v>
      </c>
      <c r="C23" s="95">
        <v>46113.0</v>
      </c>
      <c r="D23" s="3" t="s">
        <v>186</v>
      </c>
      <c r="E23" s="3" t="s">
        <v>5</v>
      </c>
    </row>
    <row r="24">
      <c r="C24" s="95"/>
      <c r="D24" s="89"/>
    </row>
    <row r="25">
      <c r="C25" s="95"/>
      <c r="D25" s="89"/>
    </row>
    <row r="26">
      <c r="C26" s="95"/>
      <c r="D26" s="89"/>
    </row>
    <row r="27">
      <c r="C27" s="95"/>
      <c r="D27" s="89"/>
    </row>
    <row r="28">
      <c r="C28" s="95"/>
      <c r="D28" s="89"/>
    </row>
    <row r="29">
      <c r="C29" s="95"/>
      <c r="D29" s="89"/>
    </row>
    <row r="30">
      <c r="C30" s="95"/>
      <c r="D30" s="89"/>
    </row>
    <row r="31">
      <c r="C31" s="95"/>
      <c r="D31" s="89"/>
    </row>
    <row r="32">
      <c r="C32" s="95"/>
      <c r="D32" s="89"/>
    </row>
    <row r="33">
      <c r="C33" s="95"/>
      <c r="D33" s="89"/>
    </row>
    <row r="34">
      <c r="C34" s="95"/>
      <c r="D34" s="89"/>
    </row>
  </sheetData>
  <drawing r:id="rId1"/>
</worksheet>
</file>