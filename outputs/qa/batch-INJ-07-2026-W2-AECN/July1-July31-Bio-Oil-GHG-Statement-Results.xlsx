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<sst xmlns="http://schemas.openxmlformats.org/spreadsheetml/2006/main" count="47" uniqueCount="42">
  <si>
    <t>Kg</t>
  </si>
  <si>
    <t>MT</t>
  </si>
  <si>
    <t>Removal Date</t>
  </si>
  <si>
    <t>Bio Oil Injected</t>
  </si>
  <si>
    <t>Gross CO2e Sequestered</t>
  </si>
  <si>
    <t>Process Emissions</t>
  </si>
  <si>
    <t>Site + Amortized Embodied Emissions</t>
  </si>
  <si>
    <t>Emissions Reductions</t>
  </si>
  <si>
    <t>Uncertainty Discount</t>
  </si>
  <si>
    <t>Net Removal</t>
  </si>
  <si>
    <t>C % (ops notes, MOBI-wtd)</t>
  </si>
  <si>
    <t>Gross Bio Oil Sequestered</t>
  </si>
  <si>
    <t>INJ-07-2026-W1 AECN</t>
  </si>
  <si>
    <t>rmv_1KYT7WF6Q1S03R7Q</t>
  </si>
  <si>
    <t>Conversions</t>
  </si>
  <si>
    <t>INJ-07-2026-W1 WODO</t>
  </si>
  <si>
    <t>rmv_1KYWMYBJ51S0HH3N</t>
  </si>
  <si>
    <t>Kg CO2e</t>
  </si>
  <si>
    <t>MT CO2e</t>
  </si>
  <si>
    <t>INJ-07-2026-W1 QOWV</t>
  </si>
  <si>
    <t>rmv_1KZBTSNE81S0DJT1</t>
  </si>
  <si>
    <t>INJ-07-2026-W2 AECN</t>
  </si>
  <si>
    <t>rmv_1KYWP4BF01S0R568</t>
  </si>
  <si>
    <t>C --&gt; CO2e</t>
  </si>
  <si>
    <t>INJ-07-2026-W2 WODO</t>
  </si>
  <si>
    <t>rmv_1KYWWAQ3J1S09AWW</t>
  </si>
  <si>
    <t>Kg per MT</t>
  </si>
  <si>
    <t>Project Emissions</t>
  </si>
  <si>
    <t>INJ-07-2026-W2 QOWV</t>
  </si>
  <si>
    <t>rmv_1KYWCXFBK1S0Y3NV</t>
  </si>
  <si>
    <t>INJ-07-2026-W3 AECN</t>
  </si>
  <si>
    <t>rmv_1KYV2NABZ1S0CZHJ</t>
  </si>
  <si>
    <t>Site+Amortized Embodied Emissions</t>
  </si>
  <si>
    <t>INJ-07-2026-W4 AECN</t>
  </si>
  <si>
    <t>rmv_1KZBJBN9C1S0M5R5</t>
  </si>
  <si>
    <t>Uncertainty Discounts</t>
  </si>
  <si>
    <t>INJ-07-2026-W4 Kerry</t>
  </si>
  <si>
    <t>rmv_1KYZ3JPB51S0VE5Q</t>
  </si>
  <si>
    <t>Total Emissions for Reporting Period (kg)</t>
  </si>
  <si>
    <t>Total Emissions for Reporting Period (MT)</t>
  </si>
  <si>
    <t>Net Removals for Reporting Period (kg)</t>
  </si>
  <si>
    <t>Net Removals for Reporting Period (MT)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</si>
</sst>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"/>
    <numFmt numFmtId="165" formatCode="#,##0.000"/>
    <numFmt numFmtId="166" formatCode="0.000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2" xfId="0" applyFont="1" applyNumberFormat="1"/>
    <xf borderId="0" fillId="0" fontId="1" numFmtId="0" xfId="0" applyAlignment="1" applyFont="1">
      <alignment readingOrder="0"/>
    </xf>
    <xf borderId="0" fillId="0" fontId="3" numFmtId="164" xfId="0" applyAlignment="1" applyFont="1" applyNumberFormat="1">
      <alignment horizontal="left" readingOrder="0"/>
    </xf>
    <xf borderId="0" fillId="0" fontId="3" numFmtId="4" xfId="0" applyAlignment="1" applyFont="1" applyNumberFormat="1">
      <alignment readingOrder="0"/>
    </xf>
    <xf borderId="0" fillId="0" fontId="3" numFmtId="165" xfId="0" applyFont="1" applyNumberFormat="1"/>
    <xf borderId="0" fillId="0" fontId="3" numFmtId="166" xfId="0" applyAlignment="1" applyFont="1" applyNumberFormat="1">
      <alignment readingOrder="0"/>
    </xf>
    <xf borderId="0" fillId="0" fontId="3" numFmtId="4" xfId="0" applyFont="1" applyNumberFormat="1"/>
    <xf borderId="0" fillId="0" fontId="3" numFmtId="10" xfId="0" applyAlignment="1" applyFont="1" applyNumberFormat="1">
      <alignment readingOrder="0"/>
    </xf>
    <xf borderId="0" fillId="0" fontId="3" numFmtId="166" xfId="0" applyFont="1" applyNumberForma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18.0"/>
    <col customWidth="1" min="3" max="4" width="8.71"/>
    <col customWidth="1" min="5" max="5" width="30.0"/>
    <col customWidth="1" min="6" max="6" width="8.71"/>
    <col customWidth="1" min="7" max="7" width="18.0"/>
    <col customWidth="1" min="8" max="26" width="8.71"/>
  </cols>
  <sheetData>
    <row r="1">
      <c r="B1" s="1" t="s">
        <v>0</v>
      </c>
      <c r="C1" s="1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S1" s="2" t="s">
        <v>10</v>
      </c>
    </row>
    <row r="2">
      <c r="A2" s="2" t="s">
        <v>11</v>
      </c>
      <c r="B2" s="3">
        <f>SUM(H2:H998)</f>
        <v>710723.4839</v>
      </c>
      <c r="C2" s="3">
        <f>B2/1000</f>
        <v>710.7234839</v>
      </c>
      <c r="E2" s="4" t="s">
        <v>12</v>
      </c>
      <c r="F2" s="4" t="s">
        <v>13</v>
      </c>
      <c r="G2" s="5">
        <v>46207.0</v>
      </c>
      <c r="H2" s="6">
        <v>308285.83</v>
      </c>
      <c r="I2" s="7">
        <f t="shared" ref="I2:I10" si="1">H2*S2*$Q$5/$Q$6</f>
        <v>457.8460761</v>
      </c>
      <c r="J2" s="8">
        <v>63.397</v>
      </c>
      <c r="K2" s="8">
        <v>0.0</v>
      </c>
      <c r="L2" s="8">
        <v>23.253</v>
      </c>
      <c r="M2" s="8">
        <v>2.526</v>
      </c>
      <c r="N2" s="9">
        <f t="shared" ref="N2:N10" si="2">I2-J2-K2+L2-M2</f>
        <v>415.1760761</v>
      </c>
      <c r="P2" s="1" t="s">
        <v>14</v>
      </c>
      <c r="S2" s="10">
        <v>0.405</v>
      </c>
    </row>
    <row r="3">
      <c r="E3" s="4" t="s">
        <v>15</v>
      </c>
      <c r="F3" s="4" t="s">
        <v>16</v>
      </c>
      <c r="G3" s="5">
        <v>46207.0</v>
      </c>
      <c r="H3" s="6">
        <v>17885.0</v>
      </c>
      <c r="I3" s="7">
        <f t="shared" si="1"/>
        <v>33.84149622</v>
      </c>
      <c r="J3" s="8">
        <v>17.91</v>
      </c>
      <c r="K3" s="8">
        <v>0.0</v>
      </c>
      <c r="L3" s="8">
        <v>3.146</v>
      </c>
      <c r="M3" s="8">
        <v>0.141</v>
      </c>
      <c r="N3" s="9">
        <f t="shared" si="2"/>
        <v>18.93649622</v>
      </c>
      <c r="S3" s="10">
        <v>0.516</v>
      </c>
    </row>
    <row r="4">
      <c r="B4" s="1" t="s">
        <v>17</v>
      </c>
      <c r="C4" s="1" t="s">
        <v>18</v>
      </c>
      <c r="E4" s="4" t="s">
        <v>19</v>
      </c>
      <c r="F4" s="4" t="s">
        <v>20</v>
      </c>
      <c r="G4" s="5">
        <v>46207.0</v>
      </c>
      <c r="H4" s="6">
        <v>31437.0</v>
      </c>
      <c r="I4" s="7">
        <f t="shared" si="1"/>
        <v>10.60571207</v>
      </c>
      <c r="J4" s="8">
        <v>9.943</v>
      </c>
      <c r="K4" s="8">
        <v>0.0</v>
      </c>
      <c r="L4" s="8">
        <v>4.909</v>
      </c>
      <c r="M4" s="8">
        <v>0.045</v>
      </c>
      <c r="N4" s="9">
        <f t="shared" si="2"/>
        <v>5.526712068</v>
      </c>
      <c r="S4" s="10">
        <v>0.092</v>
      </c>
    </row>
    <row r="5">
      <c r="A5" s="2" t="s">
        <v>4</v>
      </c>
      <c r="B5" s="3">
        <f>C5*1000</f>
        <v>1002803.347</v>
      </c>
      <c r="C5" s="3">
        <f>SUM(I2:I998)</f>
        <v>1002.803347</v>
      </c>
      <c r="E5" s="4" t="s">
        <v>21</v>
      </c>
      <c r="F5" s="4" t="s">
        <v>22</v>
      </c>
      <c r="G5" s="5">
        <v>46214.0</v>
      </c>
      <c r="H5" s="6">
        <v>96560.49</v>
      </c>
      <c r="I5" s="7">
        <f t="shared" si="1"/>
        <v>147.3003238</v>
      </c>
      <c r="J5" s="8">
        <v>19.82</v>
      </c>
      <c r="K5" s="8">
        <v>0.0</v>
      </c>
      <c r="L5" s="8">
        <v>10.193</v>
      </c>
      <c r="M5" s="8">
        <v>0.811</v>
      </c>
      <c r="N5" s="9">
        <f t="shared" si="2"/>
        <v>136.8623238</v>
      </c>
      <c r="P5" s="1" t="s">
        <v>23</v>
      </c>
      <c r="Q5" s="11">
        <v>3.667</v>
      </c>
      <c r="S5" s="10">
        <v>0.41600000000000004</v>
      </c>
    </row>
    <row r="6">
      <c r="E6" s="4" t="s">
        <v>24</v>
      </c>
      <c r="F6" s="4" t="s">
        <v>25</v>
      </c>
      <c r="G6" s="5">
        <v>46214.0</v>
      </c>
      <c r="H6" s="6">
        <v>3068.0</v>
      </c>
      <c r="I6" s="7">
        <f t="shared" si="1"/>
        <v>5.501424084</v>
      </c>
      <c r="J6" s="8">
        <v>3.189</v>
      </c>
      <c r="K6" s="8">
        <v>0.0</v>
      </c>
      <c r="L6" s="8">
        <v>0.54</v>
      </c>
      <c r="M6" s="8">
        <v>0.023</v>
      </c>
      <c r="N6" s="9">
        <f t="shared" si="2"/>
        <v>2.829424084</v>
      </c>
      <c r="P6" s="1" t="s">
        <v>26</v>
      </c>
      <c r="Q6" s="1">
        <v>1000.0</v>
      </c>
      <c r="S6" s="10">
        <v>0.489</v>
      </c>
    </row>
    <row r="7">
      <c r="A7" s="2" t="s">
        <v>27</v>
      </c>
      <c r="B7" s="1" t="s">
        <v>17</v>
      </c>
      <c r="C7" s="1" t="s">
        <v>18</v>
      </c>
      <c r="E7" s="4" t="s">
        <v>28</v>
      </c>
      <c r="F7" s="4" t="s">
        <v>29</v>
      </c>
      <c r="G7" s="5">
        <v>46214.0</v>
      </c>
      <c r="H7" s="6">
        <v>25521.0</v>
      </c>
      <c r="I7" s="7">
        <f t="shared" si="1"/>
        <v>7.861182588</v>
      </c>
      <c r="J7" s="8">
        <v>8.613</v>
      </c>
      <c r="K7" s="8">
        <v>0.0</v>
      </c>
      <c r="L7" s="8">
        <v>4.328</v>
      </c>
      <c r="M7" s="8">
        <v>0.035</v>
      </c>
      <c r="N7" s="9">
        <f t="shared" si="2"/>
        <v>3.541182588</v>
      </c>
      <c r="S7" s="10">
        <v>0.084</v>
      </c>
    </row>
    <row r="8">
      <c r="A8" s="2" t="s">
        <v>5</v>
      </c>
      <c r="B8" s="3">
        <f t="shared" ref="B8:B11" si="3">C8*1000</f>
        <v>169026</v>
      </c>
      <c r="C8" s="3">
        <f>SUM(J2:J998)</f>
        <v>169.026</v>
      </c>
      <c r="E8" s="4" t="s">
        <v>30</v>
      </c>
      <c r="F8" s="4" t="s">
        <v>31</v>
      </c>
      <c r="G8" s="12">
        <v>46221.0</v>
      </c>
      <c r="H8" s="13">
        <v>77156.15445</v>
      </c>
      <c r="I8" s="1">
        <f t="shared" si="1"/>
        <v>113.7385106</v>
      </c>
      <c r="J8" s="13">
        <v>15.838</v>
      </c>
      <c r="K8" s="13">
        <v>0.0</v>
      </c>
      <c r="L8" s="13">
        <v>5.808</v>
      </c>
      <c r="M8" s="13">
        <v>0.627</v>
      </c>
      <c r="N8" s="1">
        <f t="shared" si="2"/>
        <v>103.0815106</v>
      </c>
      <c r="S8" s="13">
        <v>0.402</v>
      </c>
    </row>
    <row r="9">
      <c r="A9" s="2" t="s">
        <v>32</v>
      </c>
      <c r="B9" s="3">
        <f t="shared" si="3"/>
        <v>25319</v>
      </c>
      <c r="C9" s="3">
        <f>SUM(K2:K998)</f>
        <v>25.319</v>
      </c>
      <c r="E9" s="4" t="s">
        <v>33</v>
      </c>
      <c r="F9" s="4" t="s">
        <v>34</v>
      </c>
      <c r="G9" s="12">
        <v>46228.0</v>
      </c>
      <c r="H9" s="13">
        <v>134084.34946</v>
      </c>
      <c r="I9" s="1">
        <f t="shared" si="1"/>
        <v>193.7247999</v>
      </c>
      <c r="J9" s="13">
        <v>27.581</v>
      </c>
      <c r="K9" s="13">
        <v>25.319</v>
      </c>
      <c r="L9" s="13">
        <v>20.197</v>
      </c>
      <c r="M9" s="13">
        <v>1.072</v>
      </c>
      <c r="N9" s="1">
        <f t="shared" si="2"/>
        <v>159.9497999</v>
      </c>
      <c r="S9" s="13">
        <v>0.39399999999999996</v>
      </c>
    </row>
    <row r="10">
      <c r="A10" s="2" t="s">
        <v>35</v>
      </c>
      <c r="B10" s="3">
        <f t="shared" si="3"/>
        <v>5471</v>
      </c>
      <c r="C10" s="3">
        <f>SUM(M2:M998)</f>
        <v>5.471</v>
      </c>
      <c r="E10" s="4" t="s">
        <v>36</v>
      </c>
      <c r="F10" s="4" t="s">
        <v>37</v>
      </c>
      <c r="G10" s="12">
        <v>46228.0</v>
      </c>
      <c r="H10" s="13">
        <v>16725.66</v>
      </c>
      <c r="I10" s="1">
        <f t="shared" si="1"/>
        <v>32.38382148</v>
      </c>
      <c r="J10" s="13">
        <v>2.735</v>
      </c>
      <c r="K10" s="13">
        <v>0.0</v>
      </c>
      <c r="L10" s="13">
        <v>2.525</v>
      </c>
      <c r="M10" s="13">
        <v>0.191</v>
      </c>
      <c r="N10" s="1">
        <f t="shared" si="2"/>
        <v>31.98282148</v>
      </c>
      <c r="S10" s="13">
        <v>0.528</v>
      </c>
    </row>
    <row r="11">
      <c r="A11" s="2" t="s">
        <v>7</v>
      </c>
      <c r="B11" s="3">
        <f t="shared" si="3"/>
        <v>74899</v>
      </c>
      <c r="C11" s="3">
        <f>SUM(L2:L998)</f>
        <v>74.899</v>
      </c>
    </row>
    <row r="13">
      <c r="A13" s="2" t="s">
        <v>38</v>
      </c>
      <c r="B13" s="3">
        <f>B14*1000</f>
        <v>199816</v>
      </c>
    </row>
    <row r="14">
      <c r="A14" s="2" t="s">
        <v>39</v>
      </c>
      <c r="B14" s="3">
        <f>SUM(C8:C10)</f>
        <v>199.816</v>
      </c>
    </row>
    <row r="16">
      <c r="A16" s="2" t="s">
        <v>40</v>
      </c>
      <c r="B16" s="3">
        <f>B17*1000</f>
        <v>877886.3469</v>
      </c>
    </row>
    <row r="17">
      <c r="A17" s="2" t="s">
        <v>41</v>
      </c>
      <c r="B17" s="3">
        <f>C5-B14+C11</f>
        <v>877.8863469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