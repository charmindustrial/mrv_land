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WODO" sheetId="3" r:id="rId7"/>
    <sheet state="hidden" name="AECN Truck" sheetId="4" r:id="rId8"/>
    <sheet state="hidden" name="QOWV" sheetId="5" r:id="rId9"/>
    <sheet state="hidden" name="Kerry" sheetId="6" r:id="rId10"/>
    <sheet state="hidden" name="QOWV Shipments &amp; EE Allocation" sheetId="7" r:id="rId11"/>
    <sheet state="hidden" name="WODO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Prior-RP claimed 19,513.53 kg — INJ-20260709_bio_oil offload_1, injected in W2 per COBB</t>
      </text>
    </comment>
  </commentList>
</comments>
</file>

<file path=xl/sharedStrings.xml><?xml version="1.0" encoding="utf-8"?>
<sst xmlns="http://schemas.openxmlformats.org/spreadsheetml/2006/main" count="277" uniqueCount="150">
  <si>
    <t>BATCH SUMMARY</t>
  </si>
  <si>
    <t>Batch ID</t>
  </si>
  <si>
    <t>INJ-07-2026-W3</t>
  </si>
  <si>
    <t>Week Start (Sat)</t>
  </si>
  <si>
    <t>Week End (Sat)</t>
  </si>
  <si>
    <t>SECTION 1 - PER-TAB SUMMARY  (each row pulls from its mode tab)</t>
  </si>
  <si>
    <t>Source Tab</t>
  </si>
  <si>
    <t>Σ Deliveries / Cargo (kg)</t>
  </si>
  <si>
    <t>Σ Uncertainty Adj (kg)</t>
  </si>
  <si>
    <t>Mass Used (kg)</t>
  </si>
  <si>
    <t>Sparging Loss (kg)</t>
  </si>
  <si>
    <t>Filtration Loss (kg)</t>
  </si>
  <si>
    <t>MOBI (kg)</t>
  </si>
  <si>
    <t>AECN→SOPOR EE (mi)</t>
  </si>
  <si>
    <t>Opel→Basco EE (mi)</t>
  </si>
  <si>
    <t>CO -&gt; LA (EE)</t>
  </si>
  <si>
    <t>AECN Rail</t>
  </si>
  <si>
    <t>AECN Truck</t>
  </si>
  <si>
    <t>Charm WODO</t>
  </si>
  <si>
    <t>Kerry</t>
  </si>
  <si>
    <t>QOWV</t>
  </si>
  <si>
    <t>TOTAL</t>
  </si>
  <si>
    <t>SECTION 2 - PER-OIL-TYPE ROLLUP  (composite C% per oil type per week)</t>
  </si>
  <si>
    <t>Oil Type</t>
  </si>
  <si>
    <t>Transport Mass - upstream (kg)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</si>
  <si>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</si>
  <si>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</si>
  <si>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</si>
  <si>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</si>
  <si>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</si>
  <si>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</si>
  <si>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</si>
  <si>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Testing Uncertainty</t>
  </si>
  <si>
    <t>AECN</t>
  </si>
  <si>
    <t>07-2026-W3 AECN</t>
  </si>
  <si>
    <t>BATCH HEADER — AECN Rail</t>
  </si>
  <si>
    <t>WODO</t>
  </si>
  <si>
    <t>BATCH HEADER — AECN Truck (Direct from Fort Lupton)</t>
  </si>
  <si>
    <t>BATCH HEADER — Charm WODO (IBC Totes)</t>
  </si>
  <si>
    <t>Batch ID (INJ-YYYY-WXX)</t>
  </si>
  <si>
    <t>INJ-07-2026-W2</t>
  </si>
  <si>
    <t>Constants</t>
  </si>
  <si>
    <t>Lbs/Kg</t>
  </si>
  <si>
    <t>Kg/Lbs</t>
  </si>
  <si>
    <t>Sparging Mass Loss</t>
  </si>
  <si>
    <t>pH range (target)</t>
  </si>
  <si>
    <t>2.0 - 4.0</t>
  </si>
  <si>
    <t>Filtration Solids Content</t>
  </si>
  <si>
    <t>SECTION 1 - IBC LEDGER  (one row per IBC tote; tote tag mass is authoritative)</t>
  </si>
  <si>
    <t>Transport Emissions</t>
  </si>
  <si>
    <t>SECTION 1 - DELIVERIES LEDGER  (one row per direct truck; BOL &amp; scale ticket on same row)</t>
  </si>
  <si>
    <t>SECTION 1 - RAILCARS RECEIVED THIS WEEK  (entity-level)</t>
  </si>
  <si>
    <t>Pyrolysis Emissions Mass</t>
  </si>
  <si>
    <t>MOBI</t>
  </si>
  <si>
    <t xml:space="preserve"> </t>
  </si>
  <si>
    <t>BOL Trips (AECN→SOPOR)</t>
  </si>
  <si>
    <t>Tag</t>
  </si>
  <si>
    <t>Date</t>
  </si>
  <si>
    <t>Gross Mass (kg)</t>
  </si>
  <si>
    <t>BOL # / SO #</t>
  </si>
  <si>
    <t>BOL Mass (MT)</t>
  </si>
  <si>
    <t>Tote Mass (kg)</t>
  </si>
  <si>
    <t>BOL Mass (kg)</t>
  </si>
  <si>
    <t>Railcar #</t>
  </si>
  <si>
    <t>Scale Full (lb)</t>
  </si>
  <si>
    <t>Scale Empty (lb)</t>
  </si>
  <si>
    <t>Arrival Date at Opelousas</t>
  </si>
  <si>
    <t>Net Oil Produced (kg)</t>
  </si>
  <si>
    <t>Cargo (kg)</t>
  </si>
  <si>
    <t>pH</t>
  </si>
  <si>
    <t>Loading BOLs (comma-sep)</t>
  </si>
  <si>
    <t>Empty Tote Weight (kg)</t>
  </si>
  <si>
    <t>Notes</t>
  </si>
  <si>
    <t>Total Loaded (MT)</t>
  </si>
  <si>
    <t>Net Oil Injected (kg)</t>
  </si>
  <si>
    <t>Total Loaded (kg)</t>
  </si>
  <si>
    <t>Production Period</t>
  </si>
  <si>
    <t>Total Offloaded (kg, auto)</t>
  </si>
  <si>
    <t>C Content</t>
  </si>
  <si>
    <t>Loss (kg)</t>
  </si>
  <si>
    <t>Previously Claimed (kg)</t>
  </si>
  <si>
    <t>Carbon Intensity</t>
  </si>
  <si>
    <t>Claimed This Week (kg)</t>
  </si>
  <si>
    <t>AECN→SOPOR (mi)</t>
  </si>
  <si>
    <t>Rail (mi)</t>
  </si>
  <si>
    <t>Production  Emissions</t>
  </si>
  <si>
    <t>Opel→Basco (mi)</t>
  </si>
  <si>
    <t>Scale Uncertainty</t>
  </si>
  <si>
    <t>Round Trip (Opel→Basco)</t>
  </si>
  <si>
    <t>GPRX5102</t>
  </si>
  <si>
    <t>2395-R, 2396-R, 2397-R</t>
  </si>
  <si>
    <t>BATCH HEADER — QOWV (Aqueous Bio-Oil, IBC Totes)</t>
  </si>
  <si>
    <t>SHPX215079</t>
  </si>
  <si>
    <t>2389-R, 2390-R, 2391-R</t>
  </si>
  <si>
    <t>SECTION 2 - ROLLUP  (Mass Used = Σ BOL kg; scale tickets no longer required for direct trucks per 2026-05-26)</t>
  </si>
  <si>
    <t>Σ BOL (kg)</t>
  </si>
  <si>
    <t>SECTION 2 - ORIGINS LEDGER  (loading BOLs at SOPOR)</t>
  </si>
  <si>
    <t>Σ Cargo (kg)</t>
  </si>
  <si>
    <t>Uncertainty Adjustment (kg)</t>
  </si>
  <si>
    <t>C Content (MOBI-wtd)</t>
  </si>
  <si>
    <t>Origins list (BOLs)</t>
  </si>
  <si>
    <t>BOL #</t>
  </si>
  <si>
    <t>SECTION 2 - ROLLUP</t>
  </si>
  <si>
    <t>Transport Mass</t>
  </si>
  <si>
    <t>Σ Net Oil Produced (kg)</t>
  </si>
  <si>
    <t>MOBI — Σ Net Oil Injected (kg)</t>
  </si>
  <si>
    <t>SECTION 3 - SCALE TICKETS + OFFLOAD WEIGHTS</t>
  </si>
  <si>
    <t>BATCH HEADER — Kerry (Calciner Waste Oil, IBC Totes)</t>
  </si>
  <si>
    <t>Full Scale Ticket (lb)</t>
  </si>
  <si>
    <t>Empty Scale Ticket (lb)</t>
  </si>
  <si>
    <t>Net Scaled Mass (kg)</t>
  </si>
  <si>
    <t>AECN→SOPOR (mi, x3 — full BOL)</t>
  </si>
  <si>
    <t>Rail (mi — full BOL)</t>
  </si>
  <si>
    <t>Opel→Basco (mi, x2 — downstream, per offload)</t>
  </si>
  <si>
    <t>Rail_GPRX5102_6.23.2026_offload_1</t>
  </si>
  <si>
    <t>SECTION 1 - IBC LEDGER  (one row per Kerry tote; tote tag mass is authoritative)</t>
  </si>
  <si>
    <t>Tote Tag #</t>
  </si>
  <si>
    <t>Gross Mass (kg) — transport</t>
  </si>
  <si>
    <t>Tote Empty (kg)</t>
  </si>
  <si>
    <t>Net Oil (kg) — production</t>
  </si>
  <si>
    <t>Net Injected (kg) — MOBI</t>
  </si>
  <si>
    <t>INJ-07-2026-W2 — QOWV Shipments &amp; EE Allocation</t>
  </si>
  <si>
    <t>Mass Uncertainty (Scaling)</t>
  </si>
  <si>
    <t>Batch</t>
  </si>
  <si>
    <t>Fraction</t>
  </si>
  <si>
    <t>Inj. Week</t>
  </si>
  <si>
    <t># Totes</t>
  </si>
  <si>
    <t>Shipping Orders (relevant totes)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</si>
  <si>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</si>
  <si>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</si>
  <si>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</si>
  <si>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</si>
  <si>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</si>
  <si>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</si>
  <si>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</si>
  <si>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</si>
  <si>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</si>
  <si>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BATCH MILEAGE ALLOCATION</t>
  </si>
  <si>
    <t>Σ Net Injected (kg)</t>
  </si>
  <si>
    <t>Origins list (Tote tags)</t>
  </si>
  <si>
    <t>Rail_SHPX215079_6.18.2026_offload_2</t>
  </si>
  <si>
    <t>INJ-07-2026-W2 — WODO Shipments &amp; EE Allocation</t>
  </si>
  <si>
    <t>Rail_SHPX215079_6.18.2026_offload_3</t>
  </si>
  <si>
    <t>Rail_SHPX215079_6.18.2026_offload_4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</si>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</sst>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0.0000%"/>
    <numFmt numFmtId="166" formatCode="0.0000000000"/>
    <numFmt numFmtId="167" formatCode="#,##0.00000"/>
    <numFmt numFmtId="168" formatCode="0.000000"/>
    <numFmt numFmtId="169" formatCode="yyyy-mm-dd"/>
    <numFmt numFmtId="170" formatCode="mmmm yyyy"/>
    <numFmt numFmtId="171" formatCode="#,##0.000000"/>
  </numFmts>
  <fonts count="1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4" xfId="0" applyFont="1" applyNumberFormat="1"/>
    <xf borderId="0" fillId="3" fontId="2" numFmtId="4" xfId="0" applyFont="1" applyNumberFormat="1"/>
    <xf borderId="0" fillId="0" fontId="2" numFmtId="4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0" xfId="0" applyFont="1" applyNumberFormat="1"/>
    <xf borderId="0" fillId="0" fontId="2" numFmtId="0" xfId="0" applyFont="1"/>
    <xf borderId="0" fillId="0" fontId="3" numFmtId="165" xfId="0" applyFont="1" applyNumberFormat="1"/>
    <xf borderId="0" fillId="0" fontId="2" numFmtId="4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3" fontId="3" numFmtId="0" xfId="0" applyFont="1"/>
    <xf borderId="0" fillId="2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3" fontId="3" numFmtId="4" xfId="0" applyAlignment="1" applyFont="1" applyNumberFormat="1">
      <alignment horizontal="center" readingOrder="0"/>
    </xf>
    <xf borderId="0" fillId="3" fontId="3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3" fontId="3" numFmtId="2" xfId="0" applyAlignment="1" applyFont="1" applyNumberFormat="1">
      <alignment readingOrder="0"/>
    </xf>
    <xf borderId="0" fillId="0" fontId="2" numFmtId="164" xfId="0" applyFont="1" applyNumberFormat="1"/>
    <xf borderId="0" fillId="4" fontId="2" numFmtId="4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2" numFmtId="2" xfId="0" applyFont="1" applyNumberFormat="1"/>
    <xf borderId="0" fillId="0" fontId="2" numFmtId="49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Font="1" applyNumberFormat="1"/>
    <xf borderId="0" fillId="4" fontId="2" numFmtId="4" xfId="0" applyFont="1" applyNumberFormat="1"/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7" numFmtId="0" xfId="0" applyAlignment="1" applyFont="1">
      <alignment horizontal="center" vertical="bottom"/>
    </xf>
    <xf borderId="0" fillId="3" fontId="8" numFmtId="0" xfId="0" applyAlignment="1" applyFont="1">
      <alignment horizontal="center" readingOrder="0" vertical="bottom"/>
    </xf>
    <xf borderId="1" fillId="3" fontId="7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readingOrder="0" vertical="bottom"/>
    </xf>
    <xf borderId="0" fillId="2" fontId="1" numFmtId="164" xfId="0" applyAlignment="1" applyFont="1" applyNumberFormat="1">
      <alignment readingOrder="0"/>
    </xf>
    <xf borderId="1" fillId="5" fontId="9" numFmtId="1" xfId="0" applyAlignment="1" applyBorder="1" applyFill="1" applyFont="1" applyNumberFormat="1">
      <alignment horizontal="right" readingOrder="0" vertical="bottom"/>
    </xf>
    <xf borderId="0" fillId="4" fontId="2" numFmtId="0" xfId="0" applyAlignment="1" applyFont="1">
      <alignment readingOrder="0"/>
    </xf>
    <xf borderId="0" fillId="2" fontId="1" numFmtId="4" xfId="0" applyFont="1" applyNumberFormat="1"/>
    <xf borderId="1" fillId="0" fontId="9" numFmtId="4" xfId="0" applyAlignment="1" applyBorder="1" applyFont="1" applyNumberFormat="1">
      <alignment horizontal="right" readingOrder="0" vertical="bottom"/>
    </xf>
    <xf borderId="1" fillId="0" fontId="10" numFmtId="4" xfId="0" applyAlignment="1" applyBorder="1" applyFont="1" applyNumberFormat="1">
      <alignment horizontal="right" readingOrder="0" vertical="bottom"/>
    </xf>
    <xf borderId="0" fillId="2" fontId="1" numFmtId="2" xfId="0" applyFont="1" applyNumberFormat="1"/>
    <xf borderId="1" fillId="0" fontId="9" numFmtId="4" xfId="0" applyAlignment="1" applyBorder="1" applyFont="1" applyNumberFormat="1">
      <alignment horizontal="right" vertical="bottom"/>
    </xf>
    <xf borderId="1" fillId="4" fontId="9" numFmtId="4" xfId="0" applyAlignment="1" applyBorder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1" fillId="4" fontId="10" numFmtId="4" xfId="0" applyAlignment="1" applyBorder="1" applyFont="1" applyNumberFormat="1">
      <alignment horizontal="right" readingOrder="0" vertical="bottom"/>
    </xf>
    <xf borderId="0" fillId="0" fontId="3" numFmtId="2" xfId="0" applyAlignment="1" applyFont="1" applyNumberFormat="1">
      <alignment readingOrder="0"/>
    </xf>
    <xf borderId="0" fillId="0" fontId="2" numFmtId="49" xfId="0" applyFont="1" applyNumberFormat="1"/>
    <xf borderId="0" fillId="0" fontId="11" numFmtId="0" xfId="0" applyFont="1"/>
    <xf borderId="0" fillId="0" fontId="2" numFmtId="2" xfId="0" applyAlignment="1" applyFont="1" applyNumberFormat="1">
      <alignment readingOrder="0"/>
    </xf>
    <xf borderId="0" fillId="0" fontId="2" numFmtId="168" xfId="0" applyFont="1" applyNumberFormat="1"/>
    <xf borderId="0" fillId="0" fontId="12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4" fontId="12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2" numFmtId="16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4" fontId="2" numFmtId="4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3" fontId="2" numFmtId="2" xfId="0" applyAlignment="1" applyFont="1" applyNumberFormat="1">
      <alignment readingOrder="0"/>
    </xf>
    <xf borderId="0" fillId="3" fontId="2" numFmtId="4" xfId="0" applyFont="1" applyNumberFormat="1"/>
    <xf borderId="0" fillId="0" fontId="2" numFmtId="10" xfId="0" applyAlignment="1" applyFont="1" applyNumberFormat="1">
      <alignment readingOrder="0"/>
    </xf>
    <xf borderId="0" fillId="5" fontId="2" numFmtId="164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5" fontId="2" numFmtId="4" xfId="0" applyAlignment="1" applyFont="1" applyNumberFormat="1">
      <alignment readingOrder="0"/>
    </xf>
    <xf borderId="0" fillId="5" fontId="2" numFmtId="4" xfId="0" applyAlignment="1" applyFont="1" applyNumberFormat="1">
      <alignment readingOrder="0"/>
    </xf>
    <xf borderId="0" fillId="5" fontId="2" numFmtId="2" xfId="0" applyAlignment="1" applyFont="1" applyNumberFormat="1">
      <alignment readingOrder="0"/>
    </xf>
    <xf borderId="0" fillId="0" fontId="13" numFmtId="166" xfId="0" applyAlignment="1" applyFont="1" applyNumberFormat="1">
      <alignment readingOrder="0"/>
    </xf>
    <xf borderId="0" fillId="5" fontId="2" numFmtId="4" xfId="0" applyFont="1" applyNumberFormat="1"/>
    <xf borderId="1" fillId="5" fontId="10" numFmtId="0" xfId="0" applyAlignment="1" applyBorder="1" applyFont="1">
      <alignment horizontal="right" readingOrder="0" vertical="bottom"/>
    </xf>
    <xf borderId="0" fillId="5" fontId="2" numFmtId="10" xfId="0" applyAlignment="1" applyFont="1" applyNumberFormat="1">
      <alignment readingOrder="0"/>
    </xf>
    <xf borderId="0" fillId="5" fontId="2" numFmtId="0" xfId="0" applyFont="1"/>
    <xf borderId="0" fillId="3" fontId="14" numFmtId="4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5" numFmtId="0" xfId="0" applyFont="1"/>
    <xf borderId="0" fillId="2" fontId="3" numFmtId="0" xfId="0" applyAlignment="1" applyFont="1">
      <alignment readingOrder="0"/>
    </xf>
    <xf borderId="0" fillId="2" fontId="3" numFmtId="0" xfId="0" applyFont="1"/>
    <xf borderId="1" fillId="0" fontId="9" numFmtId="1" xfId="0" applyAlignment="1" applyBorder="1" applyFont="1" applyNumberFormat="1">
      <alignment horizontal="right" readingOrder="0" vertical="bottom"/>
    </xf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0" fontId="3" numFmtId="169" xfId="0" applyAlignment="1" applyFont="1" applyNumberFormat="1">
      <alignment readingOrder="0"/>
    </xf>
    <xf borderId="0" fillId="0" fontId="3" numFmtId="10" xfId="0" applyFont="1" applyNumberFormat="1"/>
    <xf borderId="0" fillId="0" fontId="3" numFmtId="4" xfId="0" applyFont="1" applyNumberFormat="1"/>
    <xf borderId="0" fillId="0" fontId="2" numFmtId="3" xfId="0" applyAlignment="1" applyFont="1" applyNumberFormat="1">
      <alignment readingOrder="0"/>
    </xf>
    <xf borderId="1" fillId="0" fontId="9" numFmtId="1" xfId="0" applyAlignment="1" applyBorder="1" applyFont="1" applyNumberFormat="1">
      <alignment horizontal="right" vertical="bottom"/>
    </xf>
    <xf borderId="0" fillId="0" fontId="2" numFmtId="170" xfId="0" applyAlignment="1" applyFont="1" applyNumberFormat="1">
      <alignment readingOrder="0"/>
    </xf>
    <xf borderId="1" fillId="0" fontId="9" numFmtId="0" xfId="0" applyAlignment="1" applyBorder="1" applyFon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3" fontId="2" numFmtId="10" xfId="0" applyAlignment="1" applyFont="1" applyNumberFormat="1">
      <alignment readingOrder="0"/>
    </xf>
    <xf borderId="0" fillId="0" fontId="3" numFmtId="171" xfId="0" applyFont="1" applyNumberFormat="1"/>
    <xf borderId="0" fillId="0" fontId="3" numFmtId="2" xfId="0" applyFont="1" applyNumberFormat="1"/>
    <xf borderId="0" fillId="0" fontId="3" numFmtId="167" xfId="0" applyFont="1" applyNumberFormat="1"/>
    <xf borderId="0" fillId="0" fontId="3" numFmtId="170" xfId="0" applyAlignment="1" applyFont="1" applyNumberFormat="1">
      <alignment readingOrder="0"/>
    </xf>
    <xf borderId="0" fillId="0" fontId="2" numFmtId="3" xfId="0" applyFont="1" applyNumberFormat="1"/>
    <xf borderId="0" fillId="4" fontId="2" numFmtId="4" xfId="0" applyFont="1" applyNumberFormat="1"/>
    <xf borderId="0" fillId="3" fontId="2" numFmtId="0" xfId="0" applyFont="1"/>
    <xf borderId="0" fillId="3" fontId="2" numFmtId="4" xfId="0" applyAlignment="1" applyFont="1" applyNumberFormat="1">
      <alignment readingOrder="0"/>
    </xf>
    <xf borderId="0" fillId="4" fontId="2" numFmtId="2" xfId="0" applyFont="1" applyNumberFormat="1"/>
    <xf borderId="0" fillId="4" fontId="2" numFmtId="0" xfId="0" applyAlignment="1" applyFont="1">
      <alignment readingOrder="0"/>
    </xf>
    <xf borderId="0" fillId="4" fontId="2" numFmtId="0" xfId="0" applyFont="1"/>
    <xf borderId="0" fillId="3" fontId="2" numFmtId="2" xfId="0" applyFont="1" applyNumberFormat="1"/>
    <xf borderId="0" fillId="4" fontId="2" numFmtId="2" xfId="0" applyAlignment="1" applyFont="1" applyNumberFormat="1">
      <alignment readingOrder="0"/>
    </xf>
    <xf borderId="0" fillId="4" fontId="2" numFmtId="2" xfId="0" applyAlignment="1" applyFont="1" applyNumberFormat="1">
      <alignment readingOrder="0"/>
    </xf>
    <xf borderId="0" fillId="3" fontId="2" numFmtId="2" xfId="0" applyAlignment="1" applyFont="1" applyNumberFormat="1">
      <alignment readingOrder="0"/>
    </xf>
    <xf borderId="0" fillId="4" fontId="2" numFmtId="2" xfId="0" applyFont="1" applyNumberFormat="1"/>
    <xf borderId="0" fillId="4" fontId="2" numFmtId="0" xfId="0" applyAlignment="1" applyFont="1">
      <alignment readingOrder="0"/>
    </xf>
    <xf borderId="0" fillId="5" fontId="3" numFmtId="164" xfId="0" applyAlignment="1" applyFont="1" applyNumberFormat="1">
      <alignment readingOrder="0"/>
    </xf>
    <xf borderId="0" fillId="5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3" t="s">
        <v>2</v>
      </c>
    </row>
    <row r="3">
      <c r="A3" s="3" t="s">
        <v>3</v>
      </c>
      <c r="B3" s="4">
        <v>46214.0</v>
      </c>
    </row>
    <row r="4">
      <c r="A4" s="3" t="s">
        <v>4</v>
      </c>
      <c r="B4" s="4">
        <v>46221.0</v>
      </c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6</v>
      </c>
      <c r="B7" s="5" t="s">
        <v>7</v>
      </c>
      <c r="C7" s="5" t="s">
        <v>8</v>
      </c>
      <c r="D7" s="6" t="s">
        <v>9</v>
      </c>
      <c r="E7" s="5" t="s">
        <v>10</v>
      </c>
      <c r="F7" s="6" t="s">
        <v>11</v>
      </c>
      <c r="G7" s="5" t="s">
        <v>12</v>
      </c>
      <c r="H7" s="5" t="s">
        <v>13</v>
      </c>
      <c r="I7" s="5"/>
      <c r="J7" s="5" t="s">
        <v>14</v>
      </c>
      <c r="K7" s="5" t="s">
        <v>15</v>
      </c>
      <c r="L7" s="7"/>
      <c r="M7" s="7"/>
      <c r="N7" s="7"/>
    </row>
    <row r="8">
      <c r="A8" s="3" t="s">
        <v>16</v>
      </c>
      <c r="B8" s="8">
        <f>'AECN Rail'!B52</f>
        <v>78317.19472</v>
      </c>
      <c r="C8" s="8">
        <f>'AECN Rail'!C52</f>
        <v>0</v>
      </c>
      <c r="D8" s="9">
        <f>'AECN Rail'!D52</f>
        <v>78317.19472</v>
      </c>
      <c r="E8" s="8">
        <f>'AECN Rail'!E52</f>
        <v>1010.291812</v>
      </c>
      <c r="F8" s="9">
        <f>'AECN Rail'!F52</f>
        <v>150.7484607</v>
      </c>
      <c r="G8" s="8">
        <f>'AECN Rail'!G52</f>
        <v>77156.15445</v>
      </c>
      <c r="H8" s="8">
        <f>SUM('AECN Rail'!L32:L47)</f>
        <v>323.1109631</v>
      </c>
      <c r="I8" s="8"/>
      <c r="J8" s="8">
        <f>SUM('AECN Rail'!N32:N47)</f>
        <v>343.2</v>
      </c>
    </row>
    <row r="9">
      <c r="A9" s="3" t="s">
        <v>17</v>
      </c>
      <c r="B9" s="8">
        <f>'AECN Truck'!B28</f>
        <v>0</v>
      </c>
      <c r="C9" s="8">
        <f>'AECN Truck'!F28</f>
        <v>0</v>
      </c>
      <c r="D9" s="9">
        <f>'AECN Truck'!C28</f>
        <v>0</v>
      </c>
      <c r="E9" s="8">
        <f>'AECN Truck'!D28</f>
        <v>0</v>
      </c>
      <c r="F9" s="9">
        <f>'AECN Truck'!E28</f>
        <v>0</v>
      </c>
      <c r="G9" s="8">
        <f>'AECN Truck'!G28</f>
        <v>0</v>
      </c>
    </row>
    <row r="10">
      <c r="A10" s="3" t="s">
        <v>18</v>
      </c>
      <c r="B10" s="8">
        <f>WODO!A33</f>
        <v>0</v>
      </c>
      <c r="C10" s="10">
        <v>0.0</v>
      </c>
      <c r="D10" s="11">
        <f>WODO!B33</f>
        <v>0</v>
      </c>
      <c r="E10" s="8">
        <f>WODO!C33</f>
        <v>0</v>
      </c>
      <c r="F10" s="11">
        <v>0.0</v>
      </c>
      <c r="G10" s="10">
        <f>WODO!D33</f>
        <v>0</v>
      </c>
      <c r="K10" s="10" t="str">
        <f>'WODO Shipments &amp; EE Allocation'!G13</f>
        <v/>
      </c>
    </row>
    <row r="11">
      <c r="A11" s="3" t="s">
        <v>19</v>
      </c>
      <c r="B11" s="8">
        <f>Kerry!A33</f>
        <v>0</v>
      </c>
      <c r="C11" s="10">
        <v>0.0</v>
      </c>
      <c r="D11" s="11">
        <f>Kerry!A33</f>
        <v>0</v>
      </c>
      <c r="E11" s="8">
        <f>Kerry!B33</f>
        <v>0</v>
      </c>
      <c r="F11" s="11">
        <v>0.0</v>
      </c>
      <c r="G11" s="12">
        <f>Kerry!C33</f>
        <v>0</v>
      </c>
    </row>
    <row r="12">
      <c r="A12" s="3" t="s">
        <v>20</v>
      </c>
      <c r="B12" s="10">
        <f>QOWV!B53</f>
        <v>0</v>
      </c>
      <c r="C12" s="10">
        <v>0.0</v>
      </c>
      <c r="D12" s="11">
        <f>QOWV!D53</f>
        <v>0</v>
      </c>
      <c r="E12" s="10">
        <v>0.0</v>
      </c>
      <c r="F12" s="11">
        <v>0.0</v>
      </c>
      <c r="G12" s="13">
        <f>QOWV!F53</f>
        <v>0</v>
      </c>
      <c r="I12" s="5"/>
      <c r="J12" s="7"/>
      <c r="K12" s="8" t="str">
        <f>'QOWV Shipments &amp; EE Allocation'!G18</f>
        <v/>
      </c>
      <c r="L12" s="7"/>
      <c r="M12" s="7"/>
      <c r="N12" s="7"/>
    </row>
    <row r="13">
      <c r="A13" s="3" t="s">
        <v>21</v>
      </c>
      <c r="B13" s="8">
        <f t="shared" ref="B13:G13" si="1">SUM(B8:B12)</f>
        <v>78317.19472</v>
      </c>
      <c r="C13" s="8">
        <f t="shared" si="1"/>
        <v>0</v>
      </c>
      <c r="D13" s="8">
        <f t="shared" si="1"/>
        <v>78317.19472</v>
      </c>
      <c r="E13" s="8">
        <f t="shared" si="1"/>
        <v>1010.291812</v>
      </c>
      <c r="F13" s="8">
        <f t="shared" si="1"/>
        <v>150.7484607</v>
      </c>
      <c r="G13" s="8">
        <f t="shared" si="1"/>
        <v>77156.15445</v>
      </c>
      <c r="H13" s="8"/>
      <c r="I13" s="8"/>
      <c r="J13" s="8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22</v>
      </c>
      <c r="B15" s="5"/>
      <c r="C15" s="5"/>
      <c r="D15" s="5"/>
      <c r="E15" s="5"/>
      <c r="F15" s="5"/>
      <c r="G15" s="5"/>
      <c r="H15" s="7"/>
      <c r="I15" s="7"/>
      <c r="J15" s="7"/>
      <c r="K15" s="7"/>
      <c r="L15" s="7"/>
      <c r="M15" s="7"/>
    </row>
    <row r="16">
      <c r="A16" s="5" t="s">
        <v>23</v>
      </c>
      <c r="B16" s="14" t="s">
        <v>24</v>
      </c>
      <c r="C16" s="5" t="s">
        <v>25</v>
      </c>
      <c r="D16" s="5" t="s">
        <v>26</v>
      </c>
      <c r="E16" s="5" t="s">
        <v>27</v>
      </c>
      <c r="F16" s="5" t="s">
        <v>28</v>
      </c>
      <c r="G16" s="3" t="s">
        <v>29</v>
      </c>
      <c r="H16" s="3" t="s">
        <v>30</v>
      </c>
      <c r="I16" s="3" t="s">
        <v>31</v>
      </c>
      <c r="J16" s="3" t="s">
        <v>32</v>
      </c>
    </row>
    <row r="17">
      <c r="A17" s="3" t="s">
        <v>33</v>
      </c>
      <c r="B17" s="8">
        <f>SUM('AECN Rail'!I10:I13)+'AECN Truck'!A28</f>
        <v>78317.19472</v>
      </c>
      <c r="C17" s="13">
        <f>'AECN Rail'!B52</f>
        <v>78317.19472</v>
      </c>
      <c r="D17" s="10">
        <f>SUM('AECN Rail'!I10:I13)+'AECN Truck'!A28</f>
        <v>78317.19472</v>
      </c>
      <c r="E17" s="10">
        <f>'AECN Rail'!G52+'AECN Truck'!G28</f>
        <v>77156.15445</v>
      </c>
      <c r="F17" s="3" t="s">
        <v>34</v>
      </c>
      <c r="G17" s="15">
        <v>0.402</v>
      </c>
      <c r="H17" s="16" t="str">
        <f>HYPERLINK("https://drive.google.com/file/d/1jdaoeaG6tISgg_o7iWOiUKqOj9vVFQY0/view","COA SR26-04478.001")</f>
        <v>COA SR26-04478.001</v>
      </c>
      <c r="I17" s="17">
        <f>G17*J17</f>
        <v>0.001608</v>
      </c>
      <c r="J17" s="15">
        <v>0.004</v>
      </c>
    </row>
    <row r="18">
      <c r="A18" s="3" t="s">
        <v>36</v>
      </c>
      <c r="B18" s="8">
        <f>WODO!A33</f>
        <v>0</v>
      </c>
      <c r="C18" s="3"/>
      <c r="D18" s="10">
        <f>WODO!B33</f>
        <v>0</v>
      </c>
      <c r="E18" s="10">
        <f>WODO!D33</f>
        <v>0</v>
      </c>
      <c r="G18" s="15"/>
      <c r="H18" s="17"/>
      <c r="I18" s="17"/>
      <c r="J18" s="15"/>
    </row>
    <row r="19">
      <c r="A19" s="3" t="s">
        <v>19</v>
      </c>
      <c r="B19" s="8">
        <f>Kerry!A33</f>
        <v>0</v>
      </c>
      <c r="D19" s="18">
        <f>Kerry!A33</f>
        <v>0</v>
      </c>
      <c r="E19" s="19">
        <f>Kerry!C33</f>
        <v>0</v>
      </c>
      <c r="F19" s="15"/>
      <c r="G19" s="15"/>
      <c r="H19" s="20"/>
      <c r="I19" s="20"/>
      <c r="J19" s="18"/>
    </row>
    <row r="20">
      <c r="A20" s="3" t="s">
        <v>20</v>
      </c>
      <c r="B20" s="8">
        <f>QOWV!B53</f>
        <v>0</v>
      </c>
      <c r="C20" s="3"/>
      <c r="D20" s="13">
        <f>QOWV!D53</f>
        <v>0</v>
      </c>
      <c r="E20" s="13">
        <f>QOWV!F53</f>
        <v>0</v>
      </c>
      <c r="G20" s="15"/>
      <c r="H20" s="17"/>
      <c r="I20" s="17"/>
      <c r="J20" s="15"/>
      <c r="K20" s="7"/>
      <c r="L20" s="7"/>
    </row>
    <row r="21">
      <c r="A21" s="3" t="s">
        <v>21</v>
      </c>
      <c r="B21" s="8">
        <f t="shared" ref="B21:E21" si="2">SUM(B17:B20)</f>
        <v>78317.19472</v>
      </c>
      <c r="C21" s="21">
        <f t="shared" si="2"/>
        <v>78317.19472</v>
      </c>
      <c r="D21" s="21">
        <f t="shared" si="2"/>
        <v>78317.19472</v>
      </c>
      <c r="E21" s="8">
        <f t="shared" si="2"/>
        <v>77156.15445</v>
      </c>
      <c r="F21" s="17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7"/>
      <c r="E23" s="7"/>
      <c r="F23" s="5"/>
      <c r="G23" s="5" t="s">
        <v>54</v>
      </c>
      <c r="H23" s="7"/>
      <c r="I23" s="7"/>
      <c r="J23" s="7"/>
      <c r="K23" s="7"/>
      <c r="L23" s="7"/>
      <c r="M23" s="7"/>
      <c r="N2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8.25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39</v>
      </c>
      <c r="B2" s="3" t="s">
        <v>2</v>
      </c>
      <c r="N2" s="5" t="s">
        <v>41</v>
      </c>
    </row>
    <row r="3">
      <c r="A3" s="3" t="s">
        <v>3</v>
      </c>
      <c r="B3" s="4">
        <v>46214.0</v>
      </c>
      <c r="N3" s="5" t="s">
        <v>42</v>
      </c>
      <c r="O3" s="12">
        <v>2.20462</v>
      </c>
    </row>
    <row r="4">
      <c r="A4" s="3" t="s">
        <v>4</v>
      </c>
      <c r="B4" s="4">
        <v>46221.0</v>
      </c>
      <c r="N4" s="5" t="s">
        <v>43</v>
      </c>
      <c r="O4" s="12">
        <v>0.453592</v>
      </c>
    </row>
    <row r="5">
      <c r="N5" s="5" t="s">
        <v>44</v>
      </c>
      <c r="O5" s="12">
        <v>0.0129</v>
      </c>
    </row>
    <row r="6">
      <c r="N6" s="5" t="s">
        <v>45</v>
      </c>
      <c r="O6" s="3" t="s">
        <v>46</v>
      </c>
    </row>
    <row r="7">
      <c r="N7" s="3" t="s">
        <v>47</v>
      </c>
      <c r="O7" s="23">
        <f>HYPERLINK("https://docs.google.com/spreadsheets/d/16shKoa1KP34kQJyQvzclBejW9L5-ubNSqPsMOVB7zDY/edit?usp=sharing", 0.00195)</f>
        <v>0.00195</v>
      </c>
    </row>
    <row r="8">
      <c r="A8" s="1" t="s">
        <v>51</v>
      </c>
      <c r="B8" s="2"/>
      <c r="C8" s="2"/>
      <c r="D8" s="2"/>
      <c r="E8" s="2"/>
      <c r="F8" s="2"/>
      <c r="G8" s="2"/>
      <c r="H8" s="2"/>
      <c r="I8" s="1" t="s">
        <v>52</v>
      </c>
      <c r="J8" s="2"/>
      <c r="K8" s="1"/>
      <c r="L8" s="2"/>
      <c r="M8" s="2"/>
      <c r="N8" s="1" t="s">
        <v>55</v>
      </c>
      <c r="O8" s="26">
        <v>3.0</v>
      </c>
      <c r="P8" s="2"/>
      <c r="Q8" s="2"/>
      <c r="R8" s="2"/>
    </row>
    <row r="9">
      <c r="A9" s="5" t="s">
        <v>63</v>
      </c>
      <c r="B9" s="5" t="s">
        <v>66</v>
      </c>
      <c r="C9" s="5" t="s">
        <v>70</v>
      </c>
      <c r="D9" s="27" t="s">
        <v>73</v>
      </c>
      <c r="E9" s="27" t="s">
        <v>75</v>
      </c>
      <c r="F9" s="5" t="s">
        <v>77</v>
      </c>
      <c r="G9" s="5" t="s">
        <v>79</v>
      </c>
      <c r="H9" s="5" t="s">
        <v>80</v>
      </c>
      <c r="I9" s="5" t="s">
        <v>82</v>
      </c>
      <c r="J9" s="5" t="s">
        <v>83</v>
      </c>
      <c r="K9" s="5" t="s">
        <v>84</v>
      </c>
      <c r="L9" s="5" t="s">
        <v>86</v>
      </c>
      <c r="M9" s="5"/>
      <c r="N9" s="5" t="s">
        <v>88</v>
      </c>
      <c r="O9" s="35">
        <v>2.0</v>
      </c>
      <c r="P9" s="7"/>
      <c r="Q9" s="7"/>
      <c r="R9" s="7"/>
    </row>
    <row r="10">
      <c r="A10" s="3" t="s">
        <v>89</v>
      </c>
      <c r="B10" s="30">
        <v>46196.0</v>
      </c>
      <c r="C10" s="3" t="s">
        <v>90</v>
      </c>
      <c r="D10" s="33">
        <f t="shared" ref="D10:D11" si="1">SUMIF($C$17:$C$28,$A10,$D$17:$D$28)</f>
        <v>77.69</v>
      </c>
      <c r="E10" s="33">
        <f t="shared" ref="E10:E11" si="2">SUMIF($C$17:$C$28,$A10,$E$17:$E$28)</f>
        <v>77690</v>
      </c>
      <c r="F10" s="8">
        <f t="shared" ref="F10:F11" si="3">SUMIF($C$32:$C$47,A10,$F$32:$F$47)+H10</f>
        <v>19567.95888</v>
      </c>
      <c r="G10" s="8" t="str">
        <f t="shared" ref="G10:G11" si="4">IF(AND(E10&lt;&gt;"",F10&lt;&gt;"",F10&gt;=0.95*E10),E10-F10,"")</f>
        <v/>
      </c>
      <c r="H10" s="12">
        <v>0.0</v>
      </c>
      <c r="I10" s="41">
        <f t="shared" ref="I10:I11" si="5">F10-H10</f>
        <v>19567.95888</v>
      </c>
      <c r="J10" s="42">
        <v>107.5</v>
      </c>
      <c r="K10" s="42">
        <v>2199.0</v>
      </c>
      <c r="L10" s="12">
        <v>42.9</v>
      </c>
    </row>
    <row r="11">
      <c r="A11" s="3" t="s">
        <v>92</v>
      </c>
      <c r="B11" s="30">
        <v>46191.0</v>
      </c>
      <c r="C11" s="3" t="s">
        <v>93</v>
      </c>
      <c r="D11" s="33">
        <f t="shared" si="1"/>
        <v>78.33</v>
      </c>
      <c r="E11" s="33">
        <f t="shared" si="2"/>
        <v>78330</v>
      </c>
      <c r="F11" s="8">
        <f t="shared" si="3"/>
        <v>78262.76368</v>
      </c>
      <c r="G11" s="8">
        <f t="shared" si="4"/>
        <v>67.23632</v>
      </c>
      <c r="H11" s="42">
        <v>19513.52784</v>
      </c>
      <c r="I11" s="41">
        <f t="shared" si="5"/>
        <v>58749.23584</v>
      </c>
      <c r="J11" s="42">
        <v>107.5</v>
      </c>
      <c r="K11" s="42">
        <v>2199.0</v>
      </c>
      <c r="L11" s="12">
        <v>42.9</v>
      </c>
    </row>
    <row r="12">
      <c r="A12" s="30"/>
      <c r="B12" s="30"/>
      <c r="D12" s="49"/>
      <c r="E12" s="49"/>
      <c r="F12" s="21"/>
      <c r="G12" s="21"/>
    </row>
    <row r="13">
      <c r="A13" s="30"/>
      <c r="B13" s="30"/>
      <c r="D13" s="49"/>
      <c r="E13" s="49"/>
      <c r="F13" s="21"/>
      <c r="G13" s="21"/>
    </row>
    <row r="14">
      <c r="A14" s="32"/>
      <c r="B14" s="32"/>
    </row>
    <row r="15">
      <c r="A15" s="47" t="s">
        <v>96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6" t="s">
        <v>57</v>
      </c>
      <c r="B16" s="5" t="s">
        <v>101</v>
      </c>
      <c r="C16" s="5" t="s">
        <v>63</v>
      </c>
      <c r="D16" s="27" t="s">
        <v>60</v>
      </c>
      <c r="E16" s="27" t="s">
        <v>62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30">
        <v>46195.0</v>
      </c>
      <c r="B17" s="60" t="str">
        <f>HYPERLINK("https://drive.google.com/file/d/1_Qh7mr6-TO73McbkF4BUh0c-avavz9D9/view","2395-R")</f>
        <v>2395-R</v>
      </c>
      <c r="C17" s="3" t="s">
        <v>89</v>
      </c>
      <c r="D17" s="33">
        <v>25.6</v>
      </c>
      <c r="E17" s="33">
        <f t="shared" ref="E17:E22" si="6">D17*1000</f>
        <v>25600</v>
      </c>
    </row>
    <row r="18">
      <c r="A18" s="30">
        <v>46195.0</v>
      </c>
      <c r="B18" s="60" t="str">
        <f>HYPERLINK("https://drive.google.com/file/d/1q4cOm2UFX2dXkfYDC0PCMo81A6RTch3f/view","2396-R")</f>
        <v>2396-R</v>
      </c>
      <c r="C18" s="3" t="s">
        <v>89</v>
      </c>
      <c r="D18" s="33">
        <v>26.05</v>
      </c>
      <c r="E18" s="33">
        <f t="shared" si="6"/>
        <v>26050</v>
      </c>
    </row>
    <row r="19">
      <c r="A19" s="30">
        <v>46196.0</v>
      </c>
      <c r="B19" s="60" t="str">
        <f>HYPERLINK("https://drive.google.com/file/d/193O8FGAAgoIm8f7kOzViO00onIEtp7VE/view","2397-R")</f>
        <v>2397-R</v>
      </c>
      <c r="C19" s="3" t="s">
        <v>89</v>
      </c>
      <c r="D19" s="33">
        <v>26.04</v>
      </c>
      <c r="E19" s="33">
        <f t="shared" si="6"/>
        <v>26040</v>
      </c>
    </row>
    <row r="20">
      <c r="A20" s="30">
        <v>46189.0</v>
      </c>
      <c r="B20" s="60" t="str">
        <f>HYPERLINK("https://drive.google.com/file/d/1G88K5a1UAP-XlRs5kGEFWMltzYU-b21P/view","2389-R")</f>
        <v>2389-R</v>
      </c>
      <c r="C20" s="3" t="s">
        <v>92</v>
      </c>
      <c r="D20" s="33">
        <v>25.94</v>
      </c>
      <c r="E20" s="33">
        <f t="shared" si="6"/>
        <v>25940</v>
      </c>
    </row>
    <row r="21">
      <c r="A21" s="30">
        <v>46190.0</v>
      </c>
      <c r="B21" s="60" t="str">
        <f>HYPERLINK("https://drive.google.com/file/d/1-DagHF0UmkojsAOoXpaxnTieN6UQ6Z5y/view","2390-R")</f>
        <v>2390-R</v>
      </c>
      <c r="C21" s="3" t="s">
        <v>92</v>
      </c>
      <c r="D21" s="33">
        <v>26.2</v>
      </c>
      <c r="E21" s="33">
        <f t="shared" si="6"/>
        <v>26200</v>
      </c>
    </row>
    <row r="22">
      <c r="A22" s="30">
        <v>46190.0</v>
      </c>
      <c r="B22" s="60" t="str">
        <f>HYPERLINK("https://drive.google.com/file/d/1OM_JgSDEClK6h5ODDSM7ZXhF3XdYPDPX/view","2391-R")</f>
        <v>2391-R</v>
      </c>
      <c r="C22" s="3" t="s">
        <v>92</v>
      </c>
      <c r="D22" s="33">
        <v>26.19</v>
      </c>
      <c r="E22" s="33">
        <f t="shared" si="6"/>
        <v>26190</v>
      </c>
    </row>
    <row r="23">
      <c r="A23" s="30"/>
      <c r="D23" s="33"/>
      <c r="E23" s="33"/>
    </row>
    <row r="24">
      <c r="A24" s="30"/>
      <c r="D24" s="33"/>
      <c r="E24" s="33"/>
    </row>
    <row r="25">
      <c r="A25" s="30"/>
      <c r="D25" s="33"/>
      <c r="E25" s="33"/>
    </row>
    <row r="26">
      <c r="A26" s="63"/>
      <c r="B26" s="64"/>
      <c r="C26" s="64"/>
      <c r="D26" s="65"/>
      <c r="E26" s="65"/>
      <c r="F26" s="66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</row>
    <row r="27">
      <c r="A27" s="30"/>
      <c r="D27" s="33"/>
      <c r="E27" s="33"/>
      <c r="F27" s="5"/>
      <c r="G27" s="5"/>
      <c r="H27" s="5"/>
      <c r="I27" s="5"/>
      <c r="J27" s="5"/>
      <c r="K27" s="5"/>
      <c r="L27" s="5"/>
      <c r="M27" s="5"/>
      <c r="N27" s="5"/>
      <c r="O27" s="5"/>
      <c r="P27" s="7"/>
      <c r="Q27" s="7"/>
      <c r="R27" s="7"/>
    </row>
    <row r="28">
      <c r="A28" s="68"/>
      <c r="B28" s="69"/>
      <c r="C28" s="69"/>
      <c r="D28" s="70"/>
      <c r="E28" s="70"/>
      <c r="F28" s="71"/>
      <c r="G28" s="72"/>
      <c r="H28" s="73"/>
      <c r="I28" s="73"/>
      <c r="J28" s="71"/>
      <c r="K28" s="71"/>
      <c r="L28" s="73"/>
      <c r="M28" s="73"/>
      <c r="N28" s="73"/>
      <c r="O28" s="74"/>
    </row>
    <row r="29">
      <c r="A29" s="68"/>
      <c r="B29" s="69"/>
      <c r="C29" s="69"/>
      <c r="D29" s="71"/>
      <c r="E29" s="71"/>
      <c r="F29" s="71"/>
      <c r="G29" s="72"/>
      <c r="H29" s="73"/>
      <c r="I29" s="73"/>
      <c r="J29" s="71"/>
      <c r="K29" s="73"/>
      <c r="L29" s="73"/>
      <c r="M29" s="73"/>
      <c r="N29" s="73"/>
      <c r="O29" s="74"/>
    </row>
    <row r="30">
      <c r="A30" s="75" t="s">
        <v>106</v>
      </c>
      <c r="B30" s="76"/>
      <c r="C30" s="76"/>
      <c r="D30" s="77"/>
      <c r="E30" s="78"/>
      <c r="F30" s="77"/>
      <c r="G30" s="79"/>
      <c r="H30" s="81"/>
      <c r="I30" s="81"/>
      <c r="J30" s="77"/>
      <c r="K30" s="81"/>
      <c r="L30" s="81"/>
      <c r="M30" s="81"/>
      <c r="N30" s="81"/>
      <c r="O30" s="83"/>
      <c r="P30" s="84"/>
      <c r="Q30" s="84"/>
      <c r="R30" s="84"/>
    </row>
    <row r="31">
      <c r="A31" s="68"/>
      <c r="B31" s="69"/>
      <c r="C31" s="69"/>
      <c r="D31" s="71" t="s">
        <v>108</v>
      </c>
      <c r="E31" s="71" t="s">
        <v>109</v>
      </c>
      <c r="F31" s="70" t="s">
        <v>110</v>
      </c>
      <c r="G31" s="72" t="s">
        <v>69</v>
      </c>
      <c r="H31" s="70" t="s">
        <v>10</v>
      </c>
      <c r="I31" s="70" t="s">
        <v>11</v>
      </c>
      <c r="J31" s="70" t="s">
        <v>98</v>
      </c>
      <c r="K31" s="70" t="s">
        <v>12</v>
      </c>
      <c r="L31" s="71" t="s">
        <v>111</v>
      </c>
      <c r="M31" s="71" t="s">
        <v>112</v>
      </c>
      <c r="N31" s="71" t="s">
        <v>113</v>
      </c>
    </row>
    <row r="32">
      <c r="A32" s="68">
        <v>46221.0</v>
      </c>
      <c r="B32" s="69" t="s">
        <v>114</v>
      </c>
      <c r="C32" s="69" t="s">
        <v>89</v>
      </c>
      <c r="D32" s="85">
        <f>HYPERLINK("https://drive.google.com/file/d/17fadwdBrgwWpcV8ippDJ_pCIo_jNqROO/view", 72320)</f>
        <v>72320</v>
      </c>
      <c r="E32" s="85">
        <f>HYPERLINK("https://drive.google.com/file/d/1qOYZhdt5crApTnKqHXwUXH5dV9fIqwqo/view", 29180)</f>
        <v>29180</v>
      </c>
      <c r="F32" s="70">
        <f t="shared" ref="F32:F35" si="7">IF(D32="","",(D32-E32)*$O$4)</f>
        <v>19567.95888</v>
      </c>
      <c r="G32" s="72">
        <v>3.2</v>
      </c>
      <c r="H32" s="70">
        <f t="shared" ref="H32:H35" si="8">IF(F32="","",(F32-J32)*$O$5)</f>
        <v>252.4266696</v>
      </c>
      <c r="I32" s="70">
        <f t="shared" ref="I32:I35" si="9">IF(F32="","",(F32-J32)*(1-$O$5)*$O$7)</f>
        <v>37.66528781</v>
      </c>
      <c r="J32" s="70">
        <f t="array" ref="J32">IF(F32="","",IF(ROW()=MAX(IF($C$32:$C$47=C32,ROW($C$32:$C$47),0)),MAX(0,IFERROR(VLOOKUP(C32,$A$10:$L$11,6,FALSE)-VLOOKUP(C32,$A$10:$L$11,5,FALSE),0)),0))</f>
        <v>0</v>
      </c>
      <c r="K32" s="70">
        <f t="shared" ref="K32:K35" si="10">IF(F32="","",F32-H32-I32-J32)</f>
        <v>19277.86692</v>
      </c>
      <c r="L32" s="73">
        <f t="shared" ref="L32:L35" si="11">IF(F32="","",(F32-J32)/VLOOKUP(C32,$A$10:$L$11,5,FALSE)*VLOOKUP(C32,$A$10:$L$11,10,FALSE)*$O$8)</f>
        <v>81.22881631</v>
      </c>
      <c r="M32" s="73">
        <f t="shared" ref="M32:M35" si="12">IF(F32="","",(F32-J32)/VLOOKUP(C32,$A$10:$L$11,5,FALSE)*VLOOKUP(C32,$A$10:$L$11,11,FALSE))</f>
        <v>553.8671847</v>
      </c>
      <c r="N32" s="73">
        <f t="shared" ref="N32:N35" si="13">IF(F32="","",IFERROR(VLOOKUP(C32,$A$10:$L$11,12,FALSE),0)*$O$9)</f>
        <v>85.8</v>
      </c>
      <c r="O32" s="102"/>
    </row>
    <row r="33">
      <c r="A33" s="68">
        <v>46221.0</v>
      </c>
      <c r="B33" s="69" t="s">
        <v>140</v>
      </c>
      <c r="C33" s="69" t="s">
        <v>92</v>
      </c>
      <c r="D33" s="71">
        <v>72540.0</v>
      </c>
      <c r="E33" s="71">
        <v>28600.0</v>
      </c>
      <c r="F33" s="70">
        <f t="shared" si="7"/>
        <v>19930.83248</v>
      </c>
      <c r="G33" s="72">
        <v>3.2</v>
      </c>
      <c r="H33" s="70">
        <f t="shared" si="8"/>
        <v>257.107739</v>
      </c>
      <c r="I33" s="70">
        <f t="shared" si="9"/>
        <v>38.36376324</v>
      </c>
      <c r="J33" s="70">
        <f t="array" ref="J33">IF(F33="","",IF(ROW()=MAX(IF($C$32:$C$47=C33,ROW($C$32:$C$47),0)),MAX(0,IFERROR(VLOOKUP(C33,$A$10:$L$11,6,FALSE)-VLOOKUP(C33,$A$10:$L$11,5,FALSE),0)),0))</f>
        <v>0</v>
      </c>
      <c r="K33" s="70">
        <f t="shared" si="10"/>
        <v>19635.36098</v>
      </c>
      <c r="L33" s="73">
        <f t="shared" si="11"/>
        <v>82.05915326</v>
      </c>
      <c r="M33" s="73">
        <f t="shared" si="12"/>
        <v>559.5289241</v>
      </c>
      <c r="N33" s="73">
        <f t="shared" si="13"/>
        <v>85.8</v>
      </c>
      <c r="O33" s="102"/>
    </row>
    <row r="34">
      <c r="A34" s="68">
        <v>46221.0</v>
      </c>
      <c r="B34" s="69" t="s">
        <v>142</v>
      </c>
      <c r="C34" s="69" t="s">
        <v>92</v>
      </c>
      <c r="D34" s="85">
        <f>HYPERLINK("https://drive.google.com/file/d/1obMz0n_UJhSX-sLqKqzzAjzSAugM32pv/view", 72680)</f>
        <v>72680</v>
      </c>
      <c r="E34" s="85">
        <f>HYPERLINK("https://drive.google.com/file/d/1RxRdYHM5wolLNFx7ov6AgLPeO7DIbMBD/view", 28820)</f>
        <v>28820</v>
      </c>
      <c r="F34" s="70">
        <f t="shared" si="7"/>
        <v>19894.54512</v>
      </c>
      <c r="G34" s="72">
        <v>3.2</v>
      </c>
      <c r="H34" s="70">
        <f t="shared" si="8"/>
        <v>256.639632</v>
      </c>
      <c r="I34" s="70">
        <f t="shared" si="9"/>
        <v>38.2939157</v>
      </c>
      <c r="J34" s="70">
        <f t="array" ref="J34">IF(F34="","",IF(ROW()=MAX(IF($C$32:$C$47=C34,ROW($C$32:$C$47),0)),MAX(0,IFERROR(VLOOKUP(C34,$A$10:$L$11,6,FALSE)-VLOOKUP(C34,$A$10:$L$11,5,FALSE),0)),0))</f>
        <v>0</v>
      </c>
      <c r="K34" s="70">
        <f t="shared" si="10"/>
        <v>19599.61157</v>
      </c>
      <c r="L34" s="73">
        <f t="shared" si="11"/>
        <v>81.90975107</v>
      </c>
      <c r="M34" s="73">
        <f t="shared" si="12"/>
        <v>558.5102096</v>
      </c>
      <c r="N34" s="73">
        <f t="shared" si="13"/>
        <v>85.8</v>
      </c>
      <c r="O34" s="102"/>
    </row>
    <row r="35">
      <c r="A35" s="68">
        <v>46221.0</v>
      </c>
      <c r="B35" s="69" t="s">
        <v>143</v>
      </c>
      <c r="C35" s="69" t="s">
        <v>92</v>
      </c>
      <c r="D35" s="85">
        <f>HYPERLINK("https://drive.google.com/file/d/1Rv_aCu7g5k1Mpy7QrBNnE1KtFKgb4ZGr/view", 70780)</f>
        <v>70780</v>
      </c>
      <c r="E35" s="85">
        <f>HYPERLINK("https://drive.google.com/file/d/1rYnkAUOuq1M8cNIMiNknficn9BFAK_yY/view", 29060)</f>
        <v>29060</v>
      </c>
      <c r="F35" s="70">
        <f t="shared" si="7"/>
        <v>18923.85824</v>
      </c>
      <c r="G35" s="72">
        <v>3.2</v>
      </c>
      <c r="H35" s="108">
        <f t="shared" si="8"/>
        <v>244.1177713</v>
      </c>
      <c r="I35" s="108">
        <f t="shared" si="9"/>
        <v>36.42549391</v>
      </c>
      <c r="J35" s="108">
        <f t="array" ref="J35">IF(F35="","",IF(ROW()=MAX(IF($C$32:$C$47=C35,ROW($C$32:$C$47),0)),MAX(0,IFERROR(VLOOKUP(C35,$A$10:$L$11,6,FALSE)-VLOOKUP(C35,$A$10:$L$11,5,FALSE),0)),0))</f>
        <v>0</v>
      </c>
      <c r="K35" s="108">
        <f t="shared" si="10"/>
        <v>18643.31497</v>
      </c>
      <c r="L35" s="73">
        <f t="shared" si="11"/>
        <v>77.91324247</v>
      </c>
      <c r="M35" s="73">
        <f t="shared" si="12"/>
        <v>531.2595975</v>
      </c>
      <c r="N35" s="73">
        <f t="shared" si="13"/>
        <v>85.8</v>
      </c>
      <c r="O35" s="109"/>
    </row>
    <row r="36">
      <c r="A36" s="68"/>
      <c r="B36" s="69" t="s">
        <v>54</v>
      </c>
      <c r="C36" s="69"/>
      <c r="D36" s="71"/>
      <c r="E36" s="71"/>
      <c r="F36" s="70"/>
      <c r="G36" s="72"/>
      <c r="H36" s="108"/>
      <c r="I36" s="108"/>
      <c r="J36" s="70"/>
      <c r="K36" s="108"/>
      <c r="L36" s="73"/>
      <c r="M36" s="73"/>
      <c r="N36" s="73"/>
      <c r="O36" s="109"/>
    </row>
    <row r="37">
      <c r="A37" s="68"/>
      <c r="B37" s="69"/>
      <c r="C37" s="69"/>
      <c r="D37" s="73"/>
      <c r="E37" s="73"/>
      <c r="F37" s="70"/>
      <c r="G37" s="72"/>
      <c r="H37" s="108"/>
      <c r="I37" s="108"/>
      <c r="J37" s="70"/>
      <c r="K37" s="108"/>
      <c r="L37" s="73"/>
      <c r="M37" s="73"/>
      <c r="N37" s="73"/>
      <c r="O37" s="109"/>
    </row>
    <row r="38">
      <c r="A38" s="68"/>
      <c r="B38" s="69"/>
      <c r="C38" s="69"/>
      <c r="D38" s="73"/>
      <c r="E38" s="73"/>
      <c r="F38" s="70"/>
      <c r="G38" s="72"/>
      <c r="H38" s="108"/>
      <c r="I38" s="108"/>
      <c r="J38" s="70"/>
      <c r="K38" s="108"/>
      <c r="L38" s="73"/>
      <c r="M38" s="73"/>
      <c r="N38" s="73"/>
      <c r="O38" s="109"/>
    </row>
    <row r="39">
      <c r="A39" s="68"/>
      <c r="B39" s="69"/>
      <c r="C39" s="69"/>
      <c r="D39" s="73"/>
      <c r="E39" s="110"/>
      <c r="F39" s="108"/>
      <c r="G39" s="72"/>
      <c r="H39" s="108"/>
      <c r="I39" s="108"/>
      <c r="J39" s="108"/>
      <c r="K39" s="108"/>
      <c r="L39" s="73"/>
      <c r="M39" s="73"/>
      <c r="N39" s="73"/>
      <c r="O39" s="109"/>
    </row>
    <row r="40">
      <c r="A40" s="68"/>
      <c r="B40" s="69"/>
      <c r="C40" s="69"/>
      <c r="D40" s="73"/>
      <c r="E40" s="73"/>
      <c r="F40" s="108"/>
      <c r="G40" s="72"/>
      <c r="H40" s="108"/>
      <c r="I40" s="108"/>
      <c r="J40" s="70"/>
      <c r="K40" s="108"/>
      <c r="L40" s="73"/>
      <c r="M40" s="73"/>
      <c r="N40" s="73"/>
      <c r="O40" s="109"/>
    </row>
    <row r="41">
      <c r="A41" s="68"/>
      <c r="B41" s="69"/>
      <c r="C41" s="69"/>
      <c r="D41" s="73"/>
      <c r="E41" s="73"/>
      <c r="F41" s="108"/>
      <c r="G41" s="72"/>
      <c r="H41" s="111"/>
      <c r="I41" s="111"/>
      <c r="J41" s="112"/>
      <c r="K41" s="113"/>
      <c r="L41" s="114"/>
      <c r="M41" s="114"/>
      <c r="N41" s="109"/>
      <c r="O41" s="109"/>
    </row>
    <row r="42" ht="16.5" customHeight="1">
      <c r="A42" s="68"/>
      <c r="B42" s="69"/>
      <c r="C42" s="69"/>
      <c r="D42" s="71"/>
      <c r="E42" s="71"/>
      <c r="F42" s="108"/>
      <c r="G42" s="72"/>
      <c r="H42" s="111"/>
      <c r="I42" s="111"/>
      <c r="J42" s="112"/>
      <c r="K42" s="113"/>
      <c r="L42" s="114"/>
      <c r="M42" s="114"/>
      <c r="N42" s="109"/>
      <c r="O42" s="109"/>
      <c r="P42" s="2"/>
      <c r="Q42" s="2"/>
      <c r="R42" s="2"/>
    </row>
    <row r="43">
      <c r="A43" s="68"/>
      <c r="B43" s="69"/>
      <c r="C43" s="69"/>
      <c r="D43" s="71"/>
      <c r="E43" s="71"/>
      <c r="F43" s="70"/>
      <c r="G43" s="71"/>
      <c r="H43" s="115"/>
      <c r="I43" s="115"/>
      <c r="J43" s="116"/>
      <c r="K43" s="116"/>
      <c r="L43" s="117"/>
      <c r="M43" s="117"/>
      <c r="N43" s="109"/>
      <c r="O43" s="109"/>
      <c r="P43" s="7"/>
      <c r="Q43" s="7"/>
      <c r="R43" s="7"/>
    </row>
    <row r="44">
      <c r="A44" s="68"/>
      <c r="B44" s="71"/>
      <c r="C44" s="71"/>
      <c r="D44" s="73"/>
      <c r="E44" s="73"/>
      <c r="F44" s="108"/>
      <c r="G44" s="72"/>
      <c r="H44" s="111"/>
      <c r="I44" s="111"/>
      <c r="J44" s="116"/>
      <c r="K44" s="118"/>
      <c r="L44" s="114"/>
      <c r="M44" s="114"/>
      <c r="N44" s="109"/>
      <c r="O44" s="109"/>
    </row>
    <row r="45">
      <c r="A45" s="68"/>
      <c r="B45" s="69"/>
      <c r="C45" s="69"/>
      <c r="D45" s="73"/>
      <c r="E45" s="73"/>
      <c r="F45" s="108"/>
      <c r="G45" s="72"/>
      <c r="H45" s="111"/>
      <c r="I45" s="111"/>
      <c r="J45" s="112"/>
      <c r="K45" s="113"/>
      <c r="L45" s="114"/>
      <c r="M45" s="114"/>
      <c r="N45" s="109"/>
      <c r="O45" s="109"/>
    </row>
    <row r="46">
      <c r="A46" s="68"/>
      <c r="B46" s="69"/>
      <c r="C46" s="69"/>
      <c r="D46" s="73"/>
      <c r="E46" s="73"/>
      <c r="F46" s="108"/>
      <c r="G46" s="72"/>
      <c r="H46" s="111"/>
      <c r="I46" s="111"/>
      <c r="J46" s="112"/>
      <c r="K46" s="113"/>
      <c r="L46" s="114"/>
      <c r="M46" s="114"/>
      <c r="N46" s="109"/>
      <c r="O46" s="109"/>
    </row>
    <row r="47">
      <c r="A47" s="68"/>
      <c r="B47" s="69"/>
      <c r="C47" s="69"/>
      <c r="D47" s="71"/>
      <c r="E47" s="71"/>
      <c r="F47" s="70"/>
      <c r="G47" s="72"/>
      <c r="H47" s="111"/>
      <c r="I47" s="111"/>
      <c r="J47" s="119"/>
      <c r="K47" s="113"/>
      <c r="L47" s="114"/>
      <c r="M47" s="114"/>
      <c r="N47" s="109"/>
      <c r="O47" s="109"/>
    </row>
    <row r="48">
      <c r="A48" s="30" t="s">
        <v>144</v>
      </c>
      <c r="D48" s="8"/>
      <c r="E48" s="8"/>
      <c r="F48" s="8"/>
      <c r="G48" s="36"/>
      <c r="L48" s="8">
        <f t="shared" ref="L48:N48" si="14">SUM(L32:L47)</f>
        <v>323.1109631</v>
      </c>
      <c r="M48" s="8">
        <f t="shared" si="14"/>
        <v>2203.165916</v>
      </c>
      <c r="N48" s="8">
        <f t="shared" si="14"/>
        <v>343.2</v>
      </c>
    </row>
    <row r="49">
      <c r="A49" s="32"/>
    </row>
    <row r="50">
      <c r="A50" s="120" t="s">
        <v>145</v>
      </c>
      <c r="B50" s="121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</row>
    <row r="51">
      <c r="A51" s="5" t="s">
        <v>146</v>
      </c>
      <c r="B51" s="5" t="s">
        <v>147</v>
      </c>
      <c r="C51" s="5" t="s">
        <v>148</v>
      </c>
      <c r="D51" s="5" t="s">
        <v>149</v>
      </c>
      <c r="E51" s="5" t="s">
        <v>10</v>
      </c>
      <c r="F51" s="5" t="s">
        <v>11</v>
      </c>
      <c r="G51" s="5" t="s">
        <v>12</v>
      </c>
      <c r="H51" s="5" t="s">
        <v>69</v>
      </c>
      <c r="I51" s="5"/>
      <c r="N51" s="3" t="s">
        <v>100</v>
      </c>
    </row>
    <row r="52">
      <c r="A52" s="8">
        <f>SUM(I10:I13)</f>
        <v>78317.19472</v>
      </c>
      <c r="B52" s="21">
        <f>SUM(F32:F47)</f>
        <v>78317.19472</v>
      </c>
      <c r="C52" s="8">
        <f>SUM(J32:J47)</f>
        <v>0</v>
      </c>
      <c r="D52" s="21">
        <f>B52-C52</f>
        <v>78317.19472</v>
      </c>
      <c r="E52" s="8">
        <f t="shared" ref="E52:F52" si="15">SUM(H32:H47)</f>
        <v>1010.291812</v>
      </c>
      <c r="F52" s="8">
        <f t="shared" si="15"/>
        <v>150.7484607</v>
      </c>
      <c r="G52" s="8">
        <f>SUM(K32:K47)</f>
        <v>77156.15445</v>
      </c>
      <c r="H52" s="19">
        <f>IFERROR(AVERAGE(G32:G47),"")</f>
        <v>3.2</v>
      </c>
      <c r="N52" s="19" t="str">
        <f>IFERROR(__xludf.DUMMYFUNCTION("TRIM(TEXTJOIN("", "",TRUE,IFERROR(FILTER(B17:B28,B17:B28&lt;&gt;""""),"""")))"),"2395-R, 2396-R, 2397-R, 2389-R, 2390-R, 2391-R")</f>
        <v>2395-R, 2396-R, 2397-R, 2389-R, 2390-R, 2391-R</v>
      </c>
    </row>
    <row r="53">
      <c r="A53" s="32"/>
    </row>
    <row r="55">
      <c r="A55" s="32"/>
    </row>
    <row r="56">
      <c r="A56" s="32"/>
    </row>
    <row r="57">
      <c r="A57" s="32"/>
      <c r="E57" s="3" t="s">
        <v>54</v>
      </c>
    </row>
    <row r="58">
      <c r="A58" s="32"/>
    </row>
    <row r="59">
      <c r="A59" s="32"/>
    </row>
    <row r="60">
      <c r="A60" s="3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39</v>
      </c>
      <c r="B2" s="3" t="s">
        <v>40</v>
      </c>
      <c r="K2" s="5" t="s">
        <v>41</v>
      </c>
    </row>
    <row r="3">
      <c r="A3" s="3" t="s">
        <v>3</v>
      </c>
      <c r="B3" s="4">
        <v>46207.0</v>
      </c>
      <c r="K3" s="5" t="s">
        <v>42</v>
      </c>
      <c r="L3" s="12">
        <v>2.20462</v>
      </c>
    </row>
    <row r="4">
      <c r="A4" s="3" t="s">
        <v>4</v>
      </c>
      <c r="B4" s="4">
        <v>46214.0</v>
      </c>
      <c r="K4" s="5" t="s">
        <v>43</v>
      </c>
      <c r="L4" s="12">
        <v>0.453592</v>
      </c>
    </row>
    <row r="5">
      <c r="K5" s="5" t="s">
        <v>44</v>
      </c>
      <c r="L5" s="12">
        <v>0.0129</v>
      </c>
    </row>
    <row r="6">
      <c r="K6" s="5" t="s">
        <v>45</v>
      </c>
      <c r="L6" s="3" t="s">
        <v>46</v>
      </c>
    </row>
    <row r="8">
      <c r="A8" s="1" t="s">
        <v>48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6"/>
      <c r="B9" s="24" t="s">
        <v>49</v>
      </c>
      <c r="D9" s="24" t="s">
        <v>52</v>
      </c>
      <c r="F9" s="24" t="s">
        <v>53</v>
      </c>
      <c r="G9" s="6"/>
      <c r="H9" s="6"/>
      <c r="I9" s="6"/>
      <c r="J9" s="25"/>
      <c r="K9" s="7"/>
      <c r="L9" s="7"/>
      <c r="M9" s="7"/>
    </row>
    <row r="10">
      <c r="A10" s="24" t="s">
        <v>56</v>
      </c>
      <c r="B10" s="24" t="s">
        <v>58</v>
      </c>
      <c r="C10" s="28" t="s">
        <v>61</v>
      </c>
      <c r="D10" s="28" t="s">
        <v>67</v>
      </c>
      <c r="E10" s="28" t="s">
        <v>71</v>
      </c>
      <c r="F10" s="28" t="s">
        <v>74</v>
      </c>
      <c r="G10" s="29" t="s">
        <v>76</v>
      </c>
      <c r="H10" s="31" t="s">
        <v>81</v>
      </c>
      <c r="I10" s="6" t="s">
        <v>85</v>
      </c>
      <c r="J10" s="6" t="s">
        <v>87</v>
      </c>
    </row>
    <row r="11">
      <c r="A11" s="34"/>
      <c r="B11" s="10"/>
      <c r="C11" s="10"/>
      <c r="D11" s="8"/>
      <c r="E11" s="33"/>
      <c r="F11" s="8"/>
      <c r="G11" s="37"/>
      <c r="H11" s="38"/>
      <c r="I11" s="8"/>
      <c r="J11" s="39"/>
    </row>
    <row r="12">
      <c r="A12" s="34"/>
      <c r="B12" s="10"/>
      <c r="C12" s="10"/>
      <c r="D12" s="8"/>
      <c r="E12" s="33"/>
      <c r="F12" s="8"/>
      <c r="G12" s="37"/>
      <c r="H12" s="38"/>
      <c r="I12" s="8"/>
      <c r="J12" s="39"/>
    </row>
    <row r="13">
      <c r="A13" s="34"/>
      <c r="B13" s="10"/>
      <c r="C13" s="10"/>
      <c r="D13" s="8"/>
      <c r="E13" s="33"/>
      <c r="F13" s="8"/>
      <c r="G13" s="37"/>
      <c r="H13" s="38"/>
      <c r="I13" s="8"/>
      <c r="J13" s="39"/>
    </row>
    <row r="14">
      <c r="A14" s="34"/>
      <c r="B14" s="10"/>
      <c r="C14" s="10"/>
      <c r="D14" s="8"/>
      <c r="E14" s="33"/>
      <c r="F14" s="8"/>
      <c r="G14" s="37"/>
      <c r="H14" s="38"/>
      <c r="I14" s="8"/>
      <c r="J14" s="39"/>
    </row>
    <row r="15">
      <c r="A15" s="34"/>
      <c r="B15" s="10"/>
      <c r="C15" s="10"/>
      <c r="D15" s="8"/>
      <c r="E15" s="33"/>
      <c r="F15" s="8"/>
      <c r="G15" s="37"/>
      <c r="H15" s="38"/>
      <c r="I15" s="8"/>
      <c r="J15" s="39"/>
    </row>
    <row r="16">
      <c r="A16" s="34"/>
      <c r="B16" s="10"/>
      <c r="C16" s="10"/>
      <c r="D16" s="8"/>
      <c r="E16" s="33"/>
      <c r="F16" s="8"/>
      <c r="G16" s="37"/>
      <c r="H16" s="38"/>
      <c r="I16" s="8"/>
      <c r="J16" s="39"/>
    </row>
    <row r="17">
      <c r="A17" s="34"/>
      <c r="B17" s="10"/>
      <c r="C17" s="10"/>
      <c r="D17" s="8"/>
      <c r="E17" s="33"/>
      <c r="F17" s="8"/>
      <c r="G17" s="37"/>
      <c r="H17" s="38"/>
      <c r="I17" s="8"/>
      <c r="J17" s="39"/>
    </row>
    <row r="18">
      <c r="A18" s="34"/>
      <c r="B18" s="10"/>
      <c r="C18" s="10"/>
      <c r="D18" s="8"/>
      <c r="E18" s="33"/>
      <c r="F18" s="8"/>
      <c r="G18" s="37"/>
      <c r="H18" s="38"/>
      <c r="I18" s="8"/>
      <c r="J18" s="39"/>
    </row>
    <row r="19">
      <c r="A19" s="34"/>
      <c r="B19" s="10"/>
      <c r="C19" s="10"/>
      <c r="D19" s="8"/>
      <c r="E19" s="33"/>
      <c r="F19" s="8"/>
      <c r="G19" s="37"/>
      <c r="H19" s="38"/>
      <c r="I19" s="8"/>
      <c r="J19" s="39"/>
    </row>
    <row r="20">
      <c r="A20" s="34"/>
      <c r="B20" s="10"/>
      <c r="C20" s="10"/>
      <c r="D20" s="8"/>
      <c r="E20" s="33"/>
      <c r="F20" s="8"/>
      <c r="G20" s="37"/>
      <c r="H20" s="38"/>
      <c r="I20" s="8"/>
      <c r="J20" s="39"/>
    </row>
    <row r="21">
      <c r="A21" s="34"/>
      <c r="B21" s="10"/>
      <c r="C21" s="10"/>
      <c r="D21" s="8"/>
      <c r="E21" s="33"/>
      <c r="F21" s="8"/>
      <c r="G21" s="37"/>
      <c r="H21" s="38"/>
      <c r="I21" s="8"/>
      <c r="J21" s="39"/>
    </row>
    <row r="22">
      <c r="A22" s="34"/>
      <c r="B22" s="10"/>
      <c r="C22" s="10"/>
      <c r="D22" s="8"/>
      <c r="E22" s="33"/>
      <c r="F22" s="8"/>
      <c r="G22" s="37"/>
      <c r="H22" s="38"/>
      <c r="I22" s="8"/>
      <c r="J22" s="39"/>
    </row>
    <row r="23">
      <c r="A23" s="34"/>
      <c r="B23" s="10"/>
      <c r="C23" s="10"/>
      <c r="D23" s="8"/>
      <c r="E23" s="33"/>
      <c r="F23" s="8"/>
      <c r="G23" s="37"/>
      <c r="H23" s="38"/>
      <c r="I23" s="8"/>
      <c r="J23" s="39"/>
    </row>
    <row r="24">
      <c r="A24" s="34"/>
      <c r="B24" s="10"/>
      <c r="C24" s="10"/>
      <c r="D24" s="8"/>
      <c r="E24" s="33"/>
      <c r="F24" s="8"/>
      <c r="G24" s="37"/>
      <c r="H24" s="38"/>
      <c r="I24" s="8"/>
      <c r="J24" s="39"/>
    </row>
    <row r="25">
      <c r="C25" s="8"/>
      <c r="D25" s="8"/>
      <c r="E25" s="40"/>
      <c r="F25" s="8"/>
      <c r="G25" s="59"/>
      <c r="H25" s="36"/>
    </row>
    <row r="26">
      <c r="B26" s="8">
        <f>SUM(B11:B24)</f>
        <v>0</v>
      </c>
      <c r="C26" s="8"/>
      <c r="D26" s="8">
        <f t="shared" ref="D26:F26" si="1">SUM(D9:D24)</f>
        <v>0</v>
      </c>
      <c r="E26" s="40">
        <f t="shared" si="1"/>
        <v>0</v>
      </c>
      <c r="F26" s="8">
        <f t="shared" si="1"/>
        <v>0</v>
      </c>
      <c r="G26" s="59"/>
      <c r="H26" s="62" t="str">
        <f>I26/D26</f>
        <v>#DIV/0!</v>
      </c>
      <c r="I26" s="19">
        <f t="shared" ref="I26:J26" si="2">SUM(I9:I24)</f>
        <v>0</v>
      </c>
      <c r="J26" s="19">
        <f t="shared" si="2"/>
        <v>0</v>
      </c>
    </row>
    <row r="27">
      <c r="C27" s="8"/>
      <c r="D27" s="8"/>
      <c r="E27" s="40"/>
      <c r="F27" s="8"/>
      <c r="G27" s="59"/>
      <c r="H27" s="36"/>
    </row>
    <row r="28">
      <c r="C28" s="8"/>
      <c r="D28" s="8"/>
      <c r="E28" s="40"/>
      <c r="F28" s="8"/>
      <c r="G28" s="59"/>
      <c r="H28" s="36"/>
    </row>
    <row r="29">
      <c r="C29" s="8"/>
      <c r="D29" s="8"/>
      <c r="E29" s="40"/>
      <c r="F29" s="8"/>
      <c r="G29" s="59"/>
      <c r="H29" s="36"/>
    </row>
    <row r="30">
      <c r="C30" s="8"/>
      <c r="D30" s="8"/>
      <c r="E30" s="8"/>
      <c r="F30" s="8"/>
      <c r="G30" s="59"/>
      <c r="H30" s="36"/>
    </row>
    <row r="31">
      <c r="A31" s="1" t="s">
        <v>102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5" t="s">
        <v>103</v>
      </c>
      <c r="B32" s="5" t="s">
        <v>104</v>
      </c>
      <c r="C32" s="5" t="s">
        <v>79</v>
      </c>
      <c r="D32" s="5" t="s">
        <v>105</v>
      </c>
      <c r="E32" s="5"/>
      <c r="F32" s="5"/>
      <c r="G32" s="5"/>
      <c r="H32" s="5"/>
      <c r="I32" s="7"/>
      <c r="J32" s="7"/>
      <c r="K32" s="7"/>
      <c r="L32" s="7"/>
      <c r="M32" s="7"/>
      <c r="N32" s="7"/>
      <c r="O32" s="7"/>
    </row>
    <row r="33">
      <c r="A33" s="8">
        <f>B26</f>
        <v>0</v>
      </c>
      <c r="B33" s="8">
        <f>SUM(D11:D24)</f>
        <v>0</v>
      </c>
      <c r="C33" s="8">
        <f>B33-D33</f>
        <v>0</v>
      </c>
      <c r="D33" s="8">
        <f>SUM(F11:F24)</f>
        <v>0</v>
      </c>
      <c r="E33" s="8"/>
      <c r="F33" s="36"/>
      <c r="G33" s="36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39</v>
      </c>
      <c r="B2" s="3" t="s">
        <v>40</v>
      </c>
      <c r="K2" s="5" t="s">
        <v>41</v>
      </c>
    </row>
    <row r="3">
      <c r="A3" s="3" t="s">
        <v>3</v>
      </c>
      <c r="B3" s="4">
        <v>46207.0</v>
      </c>
      <c r="K3" s="5" t="s">
        <v>42</v>
      </c>
      <c r="L3" s="12">
        <v>2.20462</v>
      </c>
    </row>
    <row r="4">
      <c r="A4" s="3" t="s">
        <v>4</v>
      </c>
      <c r="B4" s="4">
        <v>46214.0</v>
      </c>
      <c r="K4" s="5" t="s">
        <v>43</v>
      </c>
      <c r="L4" s="12">
        <v>0.453592</v>
      </c>
    </row>
    <row r="5">
      <c r="K5" s="5" t="s">
        <v>44</v>
      </c>
      <c r="L5" s="12">
        <v>0.0129</v>
      </c>
    </row>
    <row r="6">
      <c r="K6" s="5" t="s">
        <v>45</v>
      </c>
      <c r="L6" s="3" t="s">
        <v>46</v>
      </c>
    </row>
    <row r="7">
      <c r="K7" s="3" t="s">
        <v>47</v>
      </c>
      <c r="L7" s="22">
        <f>HYPERLINK("https://docs.google.com/spreadsheets/d/16shKoa1KP34kQJyQvzclBejW9L5-ubNSqPsMOVB7zDY/edit?usp=sharing", 0.00195)</f>
        <v>0.00195</v>
      </c>
    </row>
    <row r="8">
      <c r="A8" s="1" t="s">
        <v>50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57</v>
      </c>
      <c r="B9" s="5" t="s">
        <v>59</v>
      </c>
      <c r="C9" s="27" t="s">
        <v>60</v>
      </c>
      <c r="D9" s="27" t="s">
        <v>62</v>
      </c>
      <c r="E9" s="5" t="s">
        <v>64</v>
      </c>
      <c r="F9" s="5" t="s">
        <v>65</v>
      </c>
      <c r="G9" s="27" t="s">
        <v>68</v>
      </c>
      <c r="H9" s="5" t="s">
        <v>69</v>
      </c>
      <c r="I9" s="5" t="s">
        <v>72</v>
      </c>
      <c r="J9" s="5" t="s">
        <v>10</v>
      </c>
      <c r="K9" s="5" t="s">
        <v>11</v>
      </c>
      <c r="L9" s="5" t="s">
        <v>12</v>
      </c>
      <c r="M9" s="5" t="s">
        <v>78</v>
      </c>
      <c r="N9" s="7"/>
    </row>
    <row r="10">
      <c r="A10" s="30"/>
      <c r="B10" s="32"/>
      <c r="C10" s="33"/>
      <c r="D10" s="33"/>
      <c r="E10" s="8"/>
      <c r="F10" s="8"/>
      <c r="G10" s="33"/>
      <c r="H10" s="36"/>
    </row>
    <row r="11">
      <c r="A11" s="30"/>
      <c r="B11" s="32"/>
      <c r="C11" s="33"/>
      <c r="D11" s="33"/>
      <c r="E11" s="8"/>
      <c r="F11" s="8"/>
      <c r="G11" s="33"/>
      <c r="H11" s="36"/>
    </row>
    <row r="12">
      <c r="A12" s="30"/>
      <c r="B12" s="32"/>
      <c r="C12" s="33"/>
      <c r="D12" s="33"/>
      <c r="E12" s="8"/>
      <c r="F12" s="8"/>
      <c r="G12" s="33"/>
      <c r="H12" s="36"/>
    </row>
    <row r="13">
      <c r="A13" s="30"/>
      <c r="B13" s="32"/>
      <c r="C13" s="33"/>
      <c r="D13" s="33"/>
      <c r="E13" s="8"/>
      <c r="F13" s="8"/>
      <c r="G13" s="33"/>
      <c r="H13" s="36"/>
    </row>
    <row r="14">
      <c r="A14" s="30"/>
      <c r="B14" s="32"/>
      <c r="C14" s="33"/>
      <c r="D14" s="33"/>
      <c r="E14" s="8"/>
      <c r="F14" s="8"/>
      <c r="G14" s="33"/>
      <c r="H14" s="36"/>
    </row>
    <row r="15">
      <c r="A15" s="30"/>
      <c r="C15" s="33"/>
      <c r="D15" s="33"/>
      <c r="E15" s="8"/>
      <c r="F15" s="8"/>
      <c r="G15" s="33"/>
      <c r="H15" s="36"/>
    </row>
    <row r="16">
      <c r="A16" s="32"/>
      <c r="C16" s="40"/>
      <c r="D16" s="40"/>
      <c r="E16" s="8"/>
      <c r="F16" s="8"/>
      <c r="G16" s="40"/>
      <c r="H16" s="36"/>
    </row>
    <row r="17">
      <c r="A17" s="32"/>
      <c r="C17" s="40"/>
      <c r="D17" s="40"/>
      <c r="E17" s="8"/>
      <c r="F17" s="8"/>
      <c r="G17" s="40"/>
      <c r="H17" s="36"/>
    </row>
    <row r="18">
      <c r="A18" s="32"/>
      <c r="C18" s="40"/>
      <c r="D18" s="40"/>
      <c r="E18" s="8"/>
      <c r="F18" s="8"/>
      <c r="G18" s="40"/>
      <c r="H18" s="36"/>
    </row>
    <row r="19">
      <c r="A19" s="32"/>
      <c r="C19" s="40"/>
      <c r="D19" s="40"/>
      <c r="E19" s="8"/>
      <c r="F19" s="8"/>
      <c r="G19" s="40"/>
      <c r="H19" s="36"/>
    </row>
    <row r="20">
      <c r="A20" s="32"/>
      <c r="C20" s="40"/>
      <c r="D20" s="40"/>
      <c r="E20" s="8"/>
      <c r="F20" s="8"/>
      <c r="G20" s="40"/>
      <c r="H20" s="36"/>
    </row>
    <row r="21">
      <c r="A21" s="32"/>
      <c r="C21" s="40"/>
      <c r="D21" s="40"/>
      <c r="E21" s="8"/>
      <c r="F21" s="8"/>
      <c r="G21" s="40"/>
      <c r="H21" s="36"/>
    </row>
    <row r="22">
      <c r="A22" s="32"/>
      <c r="C22" s="40"/>
      <c r="D22" s="40"/>
      <c r="E22" s="8"/>
      <c r="F22" s="8"/>
      <c r="G22" s="40"/>
      <c r="H22" s="36"/>
    </row>
    <row r="23">
      <c r="A23" s="32"/>
      <c r="C23" s="40"/>
      <c r="D23" s="40"/>
      <c r="E23" s="8"/>
      <c r="F23" s="8"/>
      <c r="G23" s="40"/>
      <c r="H23" s="36"/>
    </row>
    <row r="24">
      <c r="A24" s="32"/>
      <c r="C24" s="40"/>
      <c r="D24" s="40"/>
      <c r="E24" s="8"/>
      <c r="F24" s="8"/>
      <c r="G24" s="40"/>
      <c r="H24" s="36"/>
    </row>
    <row r="25">
      <c r="A25" s="32"/>
      <c r="C25" s="8"/>
      <c r="D25" s="8"/>
      <c r="E25" s="8"/>
      <c r="F25" s="8"/>
      <c r="G25" s="8"/>
      <c r="H25" s="36"/>
    </row>
    <row r="26">
      <c r="A26" s="47" t="s">
        <v>94</v>
      </c>
      <c r="B26" s="2"/>
      <c r="C26" s="50"/>
      <c r="D26" s="50"/>
      <c r="E26" s="50"/>
      <c r="F26" s="50"/>
      <c r="G26" s="50"/>
      <c r="H26" s="53"/>
      <c r="I26" s="2"/>
      <c r="J26" s="2"/>
      <c r="K26" s="2"/>
      <c r="L26" s="2"/>
      <c r="M26" s="2"/>
      <c r="N26" s="2"/>
    </row>
    <row r="27">
      <c r="A27" s="56" t="s">
        <v>95</v>
      </c>
      <c r="B27" s="5" t="s">
        <v>97</v>
      </c>
      <c r="C27" s="14" t="s">
        <v>9</v>
      </c>
      <c r="D27" s="14" t="s">
        <v>10</v>
      </c>
      <c r="E27" s="14" t="s">
        <v>11</v>
      </c>
      <c r="F27" s="14" t="s">
        <v>98</v>
      </c>
      <c r="G27" s="14" t="s">
        <v>12</v>
      </c>
      <c r="H27" s="58" t="s">
        <v>69</v>
      </c>
      <c r="I27" s="5" t="s">
        <v>99</v>
      </c>
      <c r="J27" s="5"/>
      <c r="K27" s="5" t="s">
        <v>100</v>
      </c>
      <c r="L27" s="7"/>
      <c r="M27" s="7"/>
      <c r="N27" s="7"/>
    </row>
    <row r="28">
      <c r="A28" s="32">
        <f>SUMIFS(D10:D24,B10:B24,"&lt;&gt;")</f>
        <v>0</v>
      </c>
      <c r="B28" s="8">
        <f>SUMIFS(G10:G24,B10:B24,"&lt;&gt;")</f>
        <v>0</v>
      </c>
      <c r="C28" s="9">
        <f>A28</f>
        <v>0</v>
      </c>
      <c r="D28" s="8">
        <f>C28*$L$5</f>
        <v>0</v>
      </c>
      <c r="E28" s="10">
        <f>(C28-D28)*$L$7</f>
        <v>0</v>
      </c>
      <c r="F28" s="61">
        <v>0.0</v>
      </c>
      <c r="G28" s="36">
        <f>C28-D28-E28-F28</f>
        <v>0</v>
      </c>
      <c r="H28" s="36" t="str">
        <f>IFERROR(AVERAGE(H10:H24),"")</f>
        <v/>
      </c>
      <c r="I28" s="19" t="str">
        <f>IFERROR(SUMPRODUCT(L10:L24,M10:M24)/SUM(L10:L24),"")</f>
        <v/>
      </c>
      <c r="K28" s="19" t="str">
        <f>IFERROR(__xludf.DUMMYFUNCTION("TRIM(TEXTJOIN("", "",TRUE,IFERROR(FILTER(B10:B24,B10:B24&lt;&gt;""""),"""")))"),"")</f>
        <v/>
      </c>
    </row>
    <row r="29">
      <c r="A29" s="32"/>
      <c r="C29" s="8"/>
      <c r="D29" s="8"/>
      <c r="E29" s="8"/>
      <c r="F29" s="8"/>
      <c r="G29" s="8"/>
      <c r="H29" s="36"/>
    </row>
    <row r="30">
      <c r="A30" s="32"/>
      <c r="C30" s="8"/>
      <c r="D30" s="8"/>
      <c r="E30" s="8"/>
      <c r="F30" s="8"/>
      <c r="G30" s="8"/>
      <c r="H30" s="36"/>
    </row>
    <row r="31">
      <c r="A31" s="32"/>
    </row>
    <row r="32">
      <c r="A32" s="32"/>
    </row>
    <row r="33">
      <c r="A33" s="32"/>
    </row>
    <row r="34">
      <c r="A34" s="32"/>
    </row>
    <row r="35">
      <c r="A35" s="32"/>
    </row>
    <row r="36">
      <c r="A36" s="32"/>
    </row>
    <row r="37">
      <c r="A37" s="32"/>
    </row>
    <row r="38">
      <c r="A38" s="32"/>
    </row>
    <row r="39">
      <c r="A39" s="32"/>
    </row>
    <row r="40">
      <c r="A40" s="32"/>
    </row>
    <row r="41">
      <c r="A41" s="32"/>
    </row>
    <row r="42">
      <c r="A42" s="32"/>
    </row>
    <row r="43">
      <c r="A43" s="32"/>
    </row>
    <row r="44">
      <c r="A44" s="32"/>
    </row>
    <row r="45">
      <c r="A45" s="32"/>
    </row>
    <row r="46">
      <c r="A46" s="32"/>
    </row>
    <row r="47">
      <c r="A47" s="32"/>
    </row>
    <row r="48">
      <c r="A48" s="32"/>
    </row>
    <row r="49">
      <c r="A49" s="32"/>
    </row>
    <row r="50">
      <c r="A50" s="32"/>
    </row>
    <row r="51">
      <c r="A51" s="32"/>
    </row>
    <row r="52">
      <c r="A52" s="32"/>
    </row>
    <row r="53">
      <c r="A53" s="32"/>
    </row>
    <row r="54">
      <c r="A54" s="32"/>
    </row>
    <row r="55">
      <c r="A55" s="32"/>
    </row>
    <row r="56">
      <c r="A56" s="32"/>
    </row>
    <row r="57">
      <c r="A57" s="32"/>
    </row>
    <row r="58">
      <c r="A58" s="32"/>
    </row>
    <row r="59">
      <c r="A59" s="32"/>
    </row>
    <row r="60">
      <c r="A60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39</v>
      </c>
      <c r="B2" s="3" t="s">
        <v>40</v>
      </c>
      <c r="K2" s="5" t="s">
        <v>41</v>
      </c>
    </row>
    <row r="3">
      <c r="A3" s="3" t="s">
        <v>3</v>
      </c>
      <c r="B3" s="4">
        <v>46207.0</v>
      </c>
      <c r="K3" s="5" t="s">
        <v>42</v>
      </c>
      <c r="L3" s="12">
        <v>2.20462</v>
      </c>
    </row>
    <row r="4">
      <c r="A4" s="3" t="s">
        <v>4</v>
      </c>
      <c r="B4" s="4">
        <v>46214.0</v>
      </c>
      <c r="K4" s="5" t="s">
        <v>43</v>
      </c>
      <c r="L4" s="12">
        <v>0.453592</v>
      </c>
    </row>
    <row r="5">
      <c r="K5" s="5" t="s">
        <v>44</v>
      </c>
      <c r="L5" s="12">
        <v>0.0129</v>
      </c>
    </row>
    <row r="6">
      <c r="K6" s="5" t="s">
        <v>45</v>
      </c>
      <c r="L6" s="3" t="s">
        <v>46</v>
      </c>
    </row>
    <row r="8">
      <c r="A8" s="1" t="s">
        <v>48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3"/>
      <c r="B9" s="44" t="s">
        <v>49</v>
      </c>
      <c r="D9" s="44" t="s">
        <v>52</v>
      </c>
      <c r="F9" s="24" t="s">
        <v>53</v>
      </c>
      <c r="G9" s="6"/>
      <c r="H9" s="6"/>
      <c r="I9" s="6"/>
      <c r="J9" s="25"/>
    </row>
    <row r="10">
      <c r="A10" s="45" t="s">
        <v>56</v>
      </c>
      <c r="B10" s="46" t="s">
        <v>58</v>
      </c>
      <c r="C10" s="46" t="s">
        <v>61</v>
      </c>
      <c r="D10" s="46" t="s">
        <v>67</v>
      </c>
      <c r="E10" s="46" t="s">
        <v>71</v>
      </c>
      <c r="F10" s="46" t="s">
        <v>74</v>
      </c>
      <c r="G10" s="6" t="s">
        <v>76</v>
      </c>
      <c r="H10" s="6" t="s">
        <v>81</v>
      </c>
      <c r="I10" s="6" t="s">
        <v>85</v>
      </c>
      <c r="J10" s="6" t="s">
        <v>87</v>
      </c>
    </row>
    <row r="11">
      <c r="A11" s="48"/>
      <c r="B11" s="51"/>
      <c r="C11" s="52"/>
      <c r="D11" s="54"/>
      <c r="E11" s="55"/>
      <c r="F11" s="54"/>
      <c r="H11" s="38"/>
      <c r="I11" s="8"/>
      <c r="J11" s="39"/>
    </row>
    <row r="12">
      <c r="A12" s="48"/>
      <c r="B12" s="51"/>
      <c r="C12" s="52"/>
      <c r="D12" s="52"/>
      <c r="E12" s="57"/>
      <c r="F12" s="54"/>
      <c r="H12" s="38"/>
      <c r="I12" s="8"/>
      <c r="J12" s="39"/>
    </row>
    <row r="13">
      <c r="A13" s="48"/>
      <c r="B13" s="51"/>
      <c r="C13" s="52"/>
      <c r="D13" s="54"/>
      <c r="E13" s="57"/>
      <c r="F13" s="54"/>
      <c r="H13" s="38"/>
      <c r="I13" s="8"/>
      <c r="J13" s="39"/>
    </row>
    <row r="14">
      <c r="A14" s="48"/>
      <c r="B14" s="51"/>
      <c r="C14" s="52"/>
      <c r="D14" s="54"/>
      <c r="E14" s="55"/>
      <c r="F14" s="54"/>
      <c r="H14" s="38"/>
      <c r="I14" s="8"/>
      <c r="J14" s="39"/>
    </row>
    <row r="15">
      <c r="A15" s="48"/>
      <c r="B15" s="51"/>
      <c r="C15" s="52"/>
      <c r="D15" s="54"/>
      <c r="E15" s="55"/>
      <c r="F15" s="54"/>
      <c r="H15" s="38"/>
      <c r="I15" s="8"/>
      <c r="J15" s="39"/>
    </row>
    <row r="16">
      <c r="A16" s="48"/>
      <c r="B16" s="51"/>
      <c r="C16" s="52"/>
      <c r="D16" s="54"/>
      <c r="E16" s="55"/>
      <c r="F16" s="54"/>
      <c r="H16" s="38"/>
      <c r="I16" s="8"/>
      <c r="J16" s="39"/>
    </row>
    <row r="17">
      <c r="A17" s="48"/>
      <c r="B17" s="51"/>
      <c r="C17" s="52"/>
      <c r="D17" s="54"/>
      <c r="E17" s="55"/>
      <c r="F17" s="54"/>
      <c r="H17" s="38"/>
      <c r="I17" s="8"/>
      <c r="J17" s="39"/>
    </row>
    <row r="18">
      <c r="A18" s="48"/>
      <c r="B18" s="51"/>
      <c r="C18" s="52"/>
      <c r="D18" s="54"/>
      <c r="E18" s="55"/>
      <c r="F18" s="54"/>
      <c r="H18" s="38"/>
      <c r="I18" s="8"/>
      <c r="J18" s="39"/>
    </row>
    <row r="19">
      <c r="A19" s="48"/>
      <c r="B19" s="51"/>
      <c r="C19" s="52"/>
      <c r="D19" s="54"/>
      <c r="E19" s="55"/>
      <c r="F19" s="54"/>
      <c r="H19" s="38"/>
      <c r="I19" s="8"/>
      <c r="J19" s="39"/>
    </row>
    <row r="20">
      <c r="A20" s="48"/>
      <c r="B20" s="51"/>
      <c r="C20" s="52"/>
      <c r="D20" s="54"/>
      <c r="E20" s="57"/>
      <c r="F20" s="54"/>
      <c r="H20" s="38"/>
      <c r="I20" s="8"/>
      <c r="J20" s="39"/>
    </row>
    <row r="21">
      <c r="A21" s="48"/>
      <c r="B21" s="51"/>
      <c r="C21" s="52"/>
      <c r="D21" s="54"/>
      <c r="E21" s="55"/>
      <c r="F21" s="54"/>
      <c r="H21" s="38"/>
      <c r="I21" s="8"/>
      <c r="J21" s="39"/>
    </row>
    <row r="22">
      <c r="A22" s="48"/>
      <c r="B22" s="51"/>
      <c r="C22" s="52"/>
      <c r="D22" s="54"/>
      <c r="E22" s="55"/>
      <c r="F22" s="54"/>
      <c r="H22" s="38"/>
      <c r="I22" s="8"/>
      <c r="J22" s="39"/>
    </row>
    <row r="23">
      <c r="A23" s="48"/>
      <c r="B23" s="51"/>
      <c r="C23" s="52"/>
      <c r="D23" s="54"/>
      <c r="E23" s="55"/>
      <c r="F23" s="54"/>
      <c r="H23" s="38"/>
      <c r="I23" s="8"/>
      <c r="J23" s="39"/>
    </row>
    <row r="24">
      <c r="A24" s="48"/>
      <c r="B24" s="51"/>
      <c r="C24" s="52"/>
      <c r="D24" s="54"/>
      <c r="E24" s="55"/>
      <c r="F24" s="54"/>
      <c r="H24" s="38"/>
      <c r="I24" s="8"/>
      <c r="J24" s="39"/>
    </row>
    <row r="25">
      <c r="A25" s="48"/>
      <c r="B25" s="51"/>
      <c r="C25" s="52"/>
      <c r="D25" s="54"/>
      <c r="E25" s="55"/>
      <c r="F25" s="54"/>
      <c r="H25" s="38"/>
      <c r="I25" s="8"/>
      <c r="J25" s="39"/>
    </row>
    <row r="26">
      <c r="A26" s="48"/>
      <c r="B26" s="51"/>
      <c r="C26" s="52"/>
      <c r="D26" s="54"/>
      <c r="E26" s="55"/>
      <c r="F26" s="54"/>
      <c r="H26" s="38"/>
      <c r="I26" s="8"/>
      <c r="J26" s="39"/>
    </row>
    <row r="27">
      <c r="A27" s="48"/>
      <c r="B27" s="51"/>
      <c r="C27" s="52"/>
      <c r="D27" s="54"/>
      <c r="E27" s="55"/>
      <c r="F27" s="54"/>
      <c r="H27" s="38"/>
      <c r="I27" s="8"/>
      <c r="J27" s="39"/>
    </row>
    <row r="28">
      <c r="A28" s="48"/>
      <c r="B28" s="51"/>
      <c r="C28" s="52"/>
      <c r="D28" s="54"/>
      <c r="E28" s="55"/>
      <c r="F28" s="54"/>
      <c r="H28" s="38"/>
      <c r="I28" s="8"/>
      <c r="J28" s="39"/>
    </row>
    <row r="29">
      <c r="A29" s="48"/>
      <c r="B29" s="51"/>
      <c r="C29" s="52"/>
      <c r="D29" s="54"/>
      <c r="E29" s="55"/>
      <c r="F29" s="54"/>
      <c r="H29" s="38"/>
      <c r="I29" s="8"/>
      <c r="J29" s="39"/>
    </row>
    <row r="30">
      <c r="A30" s="48"/>
      <c r="B30" s="51"/>
      <c r="C30" s="52"/>
      <c r="D30" s="54"/>
      <c r="E30" s="55"/>
      <c r="F30" s="54"/>
      <c r="H30" s="38"/>
      <c r="I30" s="8"/>
      <c r="J30" s="39"/>
    </row>
    <row r="31">
      <c r="A31" s="48"/>
      <c r="B31" s="51"/>
      <c r="C31" s="52"/>
      <c r="D31" s="54"/>
      <c r="E31" s="57"/>
      <c r="F31" s="54"/>
      <c r="H31" s="38"/>
      <c r="I31" s="8"/>
      <c r="J31" s="39"/>
    </row>
    <row r="32">
      <c r="A32" s="48"/>
      <c r="B32" s="51"/>
      <c r="C32" s="52"/>
      <c r="D32" s="51"/>
      <c r="E32" s="57"/>
      <c r="F32" s="54"/>
      <c r="G32" s="64"/>
      <c r="H32" s="80"/>
      <c r="I32" s="8"/>
      <c r="J32" s="39"/>
    </row>
    <row r="33">
      <c r="A33" s="82"/>
      <c r="B33" s="51"/>
      <c r="C33" s="52"/>
      <c r="D33" s="54"/>
      <c r="E33" s="55"/>
      <c r="F33" s="54"/>
      <c r="H33" s="38"/>
      <c r="I33" s="8"/>
      <c r="J33" s="39"/>
    </row>
    <row r="34">
      <c r="A34" s="48"/>
      <c r="B34" s="51"/>
      <c r="C34" s="52"/>
      <c r="D34" s="54"/>
      <c r="E34" s="55"/>
      <c r="F34" s="54"/>
      <c r="H34" s="38"/>
      <c r="I34" s="8"/>
      <c r="J34" s="39"/>
    </row>
    <row r="35">
      <c r="A35" s="48"/>
      <c r="B35" s="51"/>
      <c r="C35" s="52"/>
      <c r="D35" s="54"/>
      <c r="E35" s="55"/>
      <c r="F35" s="54"/>
      <c r="H35" s="38"/>
      <c r="I35" s="8"/>
      <c r="J35" s="39"/>
    </row>
    <row r="36">
      <c r="A36" s="48"/>
      <c r="B36" s="51"/>
      <c r="C36" s="52"/>
      <c r="D36" s="54"/>
      <c r="E36" s="55"/>
      <c r="F36" s="54"/>
      <c r="H36" s="38"/>
      <c r="I36" s="8"/>
      <c r="J36" s="39"/>
    </row>
    <row r="37">
      <c r="A37" s="48"/>
      <c r="B37" s="51"/>
      <c r="C37" s="52"/>
      <c r="D37" s="54"/>
      <c r="E37" s="55"/>
      <c r="F37" s="54"/>
      <c r="H37" s="38"/>
      <c r="I37" s="8"/>
      <c r="J37" s="39"/>
    </row>
    <row r="38">
      <c r="A38" s="48"/>
      <c r="B38" s="51"/>
      <c r="C38" s="52"/>
      <c r="D38" s="54"/>
      <c r="E38" s="57"/>
      <c r="F38" s="54"/>
      <c r="H38" s="38"/>
      <c r="I38" s="8"/>
      <c r="J38" s="39"/>
    </row>
    <row r="39">
      <c r="A39" s="90"/>
      <c r="B39" s="51"/>
      <c r="C39" s="52"/>
      <c r="D39" s="54"/>
      <c r="E39" s="55"/>
      <c r="F39" s="54"/>
      <c r="H39" s="38"/>
      <c r="I39" s="8"/>
      <c r="J39" s="39"/>
    </row>
    <row r="40">
      <c r="A40" s="90"/>
      <c r="B40" s="51"/>
      <c r="C40" s="52"/>
      <c r="D40" s="54"/>
      <c r="E40" s="55"/>
      <c r="F40" s="54"/>
      <c r="H40" s="38"/>
      <c r="I40" s="8"/>
      <c r="J40" s="39"/>
    </row>
    <row r="41">
      <c r="A41" s="90"/>
      <c r="B41" s="51"/>
      <c r="C41" s="52"/>
      <c r="D41" s="54"/>
      <c r="E41" s="55"/>
      <c r="F41" s="54"/>
      <c r="H41" s="38"/>
      <c r="I41" s="8"/>
      <c r="J41" s="39"/>
    </row>
    <row r="42">
      <c r="A42" s="90"/>
      <c r="B42" s="51"/>
      <c r="C42" s="52"/>
      <c r="D42" s="54"/>
      <c r="E42" s="57"/>
      <c r="F42" s="54"/>
      <c r="H42" s="38"/>
      <c r="I42" s="8"/>
      <c r="J42" s="39"/>
    </row>
    <row r="43">
      <c r="A43" s="90"/>
      <c r="B43" s="51"/>
      <c r="C43" s="52"/>
      <c r="D43" s="54"/>
      <c r="E43" s="55"/>
      <c r="F43" s="54"/>
      <c r="H43" s="38"/>
      <c r="I43" s="8"/>
      <c r="J43" s="39"/>
    </row>
    <row r="44">
      <c r="A44" s="90"/>
      <c r="B44" s="51"/>
      <c r="C44" s="52"/>
      <c r="D44" s="54"/>
      <c r="E44" s="55"/>
      <c r="F44" s="54"/>
      <c r="H44" s="38"/>
      <c r="I44" s="8"/>
      <c r="J44" s="39"/>
    </row>
    <row r="45">
      <c r="A45" s="90"/>
      <c r="B45" s="51"/>
      <c r="C45" s="52"/>
      <c r="D45" s="54"/>
      <c r="E45" s="55"/>
      <c r="F45" s="54"/>
      <c r="H45" s="38"/>
      <c r="I45" s="8"/>
      <c r="J45" s="39"/>
    </row>
    <row r="46">
      <c r="A46" s="90"/>
      <c r="B46" s="51"/>
      <c r="C46" s="52"/>
      <c r="D46" s="54"/>
      <c r="E46" s="55"/>
      <c r="F46" s="54"/>
      <c r="H46" s="38"/>
      <c r="I46" s="8"/>
      <c r="J46" s="39"/>
    </row>
    <row r="47">
      <c r="A47" s="97"/>
      <c r="B47" s="99"/>
      <c r="C47" s="52"/>
      <c r="D47" s="54"/>
      <c r="E47" s="54"/>
      <c r="F47" s="54"/>
    </row>
    <row r="48">
      <c r="A48" s="97"/>
      <c r="B48" s="99"/>
      <c r="C48" s="52"/>
      <c r="D48" s="54"/>
      <c r="E48" s="54"/>
      <c r="F48" s="54"/>
    </row>
    <row r="49">
      <c r="A49" s="97"/>
      <c r="B49" s="99"/>
      <c r="C49" s="52"/>
      <c r="D49" s="54"/>
      <c r="E49" s="54"/>
      <c r="F49" s="54"/>
    </row>
    <row r="50">
      <c r="A50" s="97"/>
      <c r="B50" s="99"/>
      <c r="C50" s="52"/>
      <c r="D50" s="54"/>
      <c r="E50" s="54"/>
      <c r="F50" s="54"/>
    </row>
    <row r="51">
      <c r="A51" s="97"/>
      <c r="B51" s="99"/>
      <c r="C51" s="52"/>
      <c r="D51" s="54"/>
      <c r="E51" s="54"/>
      <c r="F51" s="54"/>
    </row>
    <row r="52">
      <c r="B52" s="100"/>
      <c r="C52" s="21"/>
      <c r="D52" s="8"/>
      <c r="E52" s="8"/>
      <c r="F52" s="8"/>
      <c r="G52" s="8"/>
      <c r="H52" s="8"/>
      <c r="I52" s="36"/>
    </row>
    <row r="53">
      <c r="A53" s="3" t="s">
        <v>21</v>
      </c>
      <c r="B53" s="101">
        <f t="shared" ref="B53:F53" si="1">SUM(B11:B46)</f>
        <v>0</v>
      </c>
      <c r="C53" s="101">
        <f t="shared" si="1"/>
        <v>0</v>
      </c>
      <c r="D53" s="101">
        <f t="shared" si="1"/>
        <v>0</v>
      </c>
      <c r="E53" s="101">
        <f t="shared" si="1"/>
        <v>0</v>
      </c>
      <c r="F53" s="101">
        <f t="shared" si="1"/>
        <v>0</v>
      </c>
      <c r="G53" s="95"/>
      <c r="H53" s="103" t="str">
        <f>IFERROR(SUMPRODUCT(D11:D46,H11:H46)/SUM(D11:D46),"")</f>
        <v/>
      </c>
      <c r="I53" s="104">
        <f t="shared" ref="I53:J53" si="2">SUM(I11:I46)</f>
        <v>0</v>
      </c>
      <c r="J53" s="105">
        <f t="shared" si="2"/>
        <v>0</v>
      </c>
    </row>
    <row r="54">
      <c r="B54" s="100"/>
      <c r="D54" s="8"/>
      <c r="E54" s="8"/>
      <c r="F54" s="8"/>
      <c r="G54" s="8"/>
      <c r="H54" s="8"/>
      <c r="I54" s="36"/>
    </row>
    <row r="55">
      <c r="B55" s="100"/>
      <c r="D55" s="8"/>
      <c r="E55" s="8"/>
      <c r="F55" s="8"/>
      <c r="G55" s="8"/>
      <c r="H55" s="8"/>
      <c r="I55" s="62"/>
    </row>
    <row r="56">
      <c r="B56" s="100"/>
      <c r="D56" s="8"/>
      <c r="E56" s="8"/>
      <c r="F56" s="8"/>
      <c r="G56" s="8" t="str">
        <f t="shared" ref="G56:G73" si="3">IF(AND(D56&lt;&gt;"",F56&lt;&gt;""),(D56-F56)*$L$4,"")</f>
        <v/>
      </c>
      <c r="H56" s="8" t="str">
        <f t="shared" ref="H56:H73" si="4">IF(G56="","",G56*(1-$L$5))</f>
        <v/>
      </c>
      <c r="I56" s="36"/>
    </row>
    <row r="57">
      <c r="B57" s="100"/>
      <c r="D57" s="8"/>
      <c r="E57" s="8"/>
      <c r="F57" s="8"/>
      <c r="G57" s="8" t="str">
        <f t="shared" si="3"/>
        <v/>
      </c>
      <c r="H57" s="8" t="str">
        <f t="shared" si="4"/>
        <v/>
      </c>
      <c r="I57" s="36"/>
    </row>
    <row r="58">
      <c r="B58" s="100"/>
      <c r="D58" s="8"/>
      <c r="E58" s="8"/>
      <c r="F58" s="8"/>
      <c r="G58" s="8" t="str">
        <f t="shared" si="3"/>
        <v/>
      </c>
      <c r="H58" s="8" t="str">
        <f t="shared" si="4"/>
        <v/>
      </c>
      <c r="I58" s="36"/>
    </row>
    <row r="59">
      <c r="B59" s="100"/>
      <c r="D59" s="8"/>
      <c r="E59" s="8"/>
      <c r="F59" s="8"/>
      <c r="G59" s="8" t="str">
        <f t="shared" si="3"/>
        <v/>
      </c>
      <c r="H59" s="8" t="str">
        <f t="shared" si="4"/>
        <v/>
      </c>
      <c r="I59" s="36"/>
    </row>
    <row r="60">
      <c r="B60" s="100"/>
      <c r="D60" s="8"/>
      <c r="E60" s="8"/>
      <c r="F60" s="8"/>
      <c r="G60" s="8" t="str">
        <f t="shared" si="3"/>
        <v/>
      </c>
      <c r="H60" s="8" t="str">
        <f t="shared" si="4"/>
        <v/>
      </c>
      <c r="I60" s="36"/>
    </row>
    <row r="61">
      <c r="B61" s="100"/>
      <c r="D61" s="8"/>
      <c r="E61" s="8"/>
      <c r="F61" s="8"/>
      <c r="G61" s="8" t="str">
        <f t="shared" si="3"/>
        <v/>
      </c>
      <c r="H61" s="8" t="str">
        <f t="shared" si="4"/>
        <v/>
      </c>
      <c r="I61" s="36"/>
    </row>
    <row r="62">
      <c r="B62" s="100"/>
      <c r="D62" s="8"/>
      <c r="E62" s="8"/>
      <c r="F62" s="8"/>
      <c r="G62" s="8" t="str">
        <f t="shared" si="3"/>
        <v/>
      </c>
      <c r="H62" s="8" t="str">
        <f t="shared" si="4"/>
        <v/>
      </c>
      <c r="I62" s="36"/>
    </row>
    <row r="63">
      <c r="B63" s="100"/>
      <c r="D63" s="8"/>
      <c r="E63" s="8"/>
      <c r="F63" s="8"/>
      <c r="G63" s="8" t="str">
        <f t="shared" si="3"/>
        <v/>
      </c>
      <c r="H63" s="8" t="str">
        <f t="shared" si="4"/>
        <v/>
      </c>
      <c r="I63" s="36"/>
    </row>
    <row r="64">
      <c r="B64" s="100"/>
      <c r="D64" s="8"/>
      <c r="E64" s="8"/>
      <c r="F64" s="8"/>
      <c r="G64" s="8" t="str">
        <f t="shared" si="3"/>
        <v/>
      </c>
      <c r="H64" s="8" t="str">
        <f t="shared" si="4"/>
        <v/>
      </c>
      <c r="I64" s="36"/>
    </row>
    <row r="65">
      <c r="B65" s="100"/>
      <c r="D65" s="8"/>
      <c r="E65" s="8"/>
      <c r="F65" s="8"/>
      <c r="G65" s="8" t="str">
        <f t="shared" si="3"/>
        <v/>
      </c>
      <c r="H65" s="8" t="str">
        <f t="shared" si="4"/>
        <v/>
      </c>
      <c r="I65" s="36"/>
    </row>
    <row r="66">
      <c r="B66" s="100"/>
      <c r="D66" s="8"/>
      <c r="E66" s="8"/>
      <c r="F66" s="8"/>
      <c r="G66" s="8" t="str">
        <f t="shared" si="3"/>
        <v/>
      </c>
      <c r="H66" s="8" t="str">
        <f t="shared" si="4"/>
        <v/>
      </c>
      <c r="I66" s="36"/>
    </row>
    <row r="67">
      <c r="B67" s="100"/>
      <c r="D67" s="8"/>
      <c r="E67" s="8"/>
      <c r="F67" s="8"/>
      <c r="G67" s="8" t="str">
        <f t="shared" si="3"/>
        <v/>
      </c>
      <c r="H67" s="8" t="str">
        <f t="shared" si="4"/>
        <v/>
      </c>
      <c r="I67" s="36"/>
    </row>
    <row r="68">
      <c r="B68" s="100"/>
      <c r="D68" s="8"/>
      <c r="E68" s="8"/>
      <c r="F68" s="8"/>
      <c r="G68" s="8" t="str">
        <f t="shared" si="3"/>
        <v/>
      </c>
      <c r="H68" s="8" t="str">
        <f t="shared" si="4"/>
        <v/>
      </c>
      <c r="I68" s="36"/>
    </row>
    <row r="69">
      <c r="B69" s="100"/>
      <c r="D69" s="8"/>
      <c r="E69" s="8"/>
      <c r="F69" s="8"/>
      <c r="G69" s="8" t="str">
        <f t="shared" si="3"/>
        <v/>
      </c>
      <c r="H69" s="8" t="str">
        <f t="shared" si="4"/>
        <v/>
      </c>
      <c r="I69" s="36"/>
    </row>
    <row r="70">
      <c r="B70" s="100"/>
      <c r="D70" s="8"/>
      <c r="E70" s="8"/>
      <c r="F70" s="8"/>
      <c r="G70" s="8" t="str">
        <f t="shared" si="3"/>
        <v/>
      </c>
      <c r="H70" s="8" t="str">
        <f t="shared" si="4"/>
        <v/>
      </c>
      <c r="I70" s="36"/>
    </row>
    <row r="71">
      <c r="B71" s="100"/>
      <c r="D71" s="8"/>
      <c r="E71" s="8"/>
      <c r="F71" s="8"/>
      <c r="G71" s="8" t="str">
        <f t="shared" si="3"/>
        <v/>
      </c>
      <c r="H71" s="8" t="str">
        <f t="shared" si="4"/>
        <v/>
      </c>
      <c r="I71" s="36"/>
    </row>
    <row r="72">
      <c r="B72" s="100"/>
      <c r="D72" s="8"/>
      <c r="E72" s="8"/>
      <c r="F72" s="8"/>
      <c r="G72" s="8" t="str">
        <f t="shared" si="3"/>
        <v/>
      </c>
      <c r="H72" s="8" t="str">
        <f t="shared" si="4"/>
        <v/>
      </c>
      <c r="I72" s="36"/>
    </row>
    <row r="73">
      <c r="B73" s="100"/>
      <c r="D73" s="8"/>
      <c r="E73" s="8"/>
      <c r="F73" s="8"/>
      <c r="G73" s="8" t="str">
        <f t="shared" si="3"/>
        <v/>
      </c>
      <c r="H73" s="8" t="str">
        <f t="shared" si="4"/>
        <v/>
      </c>
      <c r="I73" s="36"/>
    </row>
  </sheetData>
  <mergeCells count="2">
    <mergeCell ref="B9:C9"/>
    <mergeCell ref="D9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39</v>
      </c>
      <c r="B2" s="3" t="s">
        <v>40</v>
      </c>
      <c r="J2" s="5"/>
      <c r="L2" s="3" t="s">
        <v>41</v>
      </c>
    </row>
    <row r="3">
      <c r="A3" s="3" t="s">
        <v>3</v>
      </c>
      <c r="B3" s="4">
        <v>46207.0</v>
      </c>
      <c r="J3" s="5"/>
      <c r="L3" s="3" t="s">
        <v>42</v>
      </c>
      <c r="M3" s="12">
        <v>2.20462</v>
      </c>
    </row>
    <row r="4">
      <c r="A4" s="3" t="s">
        <v>4</v>
      </c>
      <c r="B4" s="4">
        <v>46214.0</v>
      </c>
      <c r="J4" s="5"/>
      <c r="L4" s="3" t="s">
        <v>43</v>
      </c>
      <c r="M4" s="12">
        <v>0.453592</v>
      </c>
    </row>
    <row r="5">
      <c r="J5" s="5"/>
      <c r="L5" s="3" t="s">
        <v>44</v>
      </c>
      <c r="M5" s="12">
        <v>0.0129</v>
      </c>
    </row>
    <row r="6">
      <c r="J6" s="5"/>
      <c r="L6" s="3" t="s">
        <v>45</v>
      </c>
      <c r="M6" s="3" t="s">
        <v>46</v>
      </c>
    </row>
    <row r="7">
      <c r="L7" s="3" t="s">
        <v>32</v>
      </c>
      <c r="M7" s="12">
        <v>0.004</v>
      </c>
    </row>
    <row r="8">
      <c r="A8" s="1" t="s">
        <v>115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57</v>
      </c>
      <c r="B9" s="5" t="s">
        <v>116</v>
      </c>
      <c r="C9" s="27" t="s">
        <v>117</v>
      </c>
      <c r="D9" s="27" t="s">
        <v>118</v>
      </c>
      <c r="E9" s="5" t="s">
        <v>119</v>
      </c>
      <c r="F9" s="5" t="s">
        <v>120</v>
      </c>
      <c r="G9" s="27" t="s">
        <v>69</v>
      </c>
      <c r="H9" s="5" t="s">
        <v>72</v>
      </c>
      <c r="I9" s="5" t="s">
        <v>78</v>
      </c>
      <c r="J9" s="5" t="s">
        <v>31</v>
      </c>
      <c r="K9" s="5" t="s">
        <v>122</v>
      </c>
      <c r="L9" s="7"/>
      <c r="M9" s="7"/>
    </row>
    <row r="10">
      <c r="A10" s="4"/>
      <c r="C10" s="33"/>
      <c r="D10" s="33"/>
      <c r="E10" s="8"/>
      <c r="F10" s="8"/>
      <c r="G10" s="33"/>
    </row>
    <row r="11">
      <c r="A11" s="4"/>
      <c r="C11" s="33"/>
      <c r="D11" s="33"/>
      <c r="E11" s="8"/>
      <c r="F11" s="8"/>
      <c r="G11" s="33"/>
    </row>
    <row r="12">
      <c r="A12" s="4"/>
      <c r="C12" s="33"/>
      <c r="D12" s="33"/>
      <c r="E12" s="8"/>
      <c r="F12" s="8"/>
      <c r="G12" s="33"/>
    </row>
    <row r="13">
      <c r="A13" s="4"/>
      <c r="C13" s="33"/>
      <c r="D13" s="33"/>
      <c r="E13" s="8"/>
      <c r="F13" s="8"/>
      <c r="G13" s="33"/>
    </row>
    <row r="14">
      <c r="C14" s="40"/>
      <c r="D14" s="40"/>
      <c r="E14" s="8"/>
      <c r="F14" s="8"/>
      <c r="G14" s="40"/>
    </row>
    <row r="15">
      <c r="C15" s="40"/>
      <c r="D15" s="40"/>
      <c r="E15" s="8"/>
      <c r="F15" s="8"/>
      <c r="G15" s="40"/>
    </row>
    <row r="16">
      <c r="C16" s="40"/>
      <c r="D16" s="40"/>
      <c r="E16" s="8"/>
      <c r="F16" s="8"/>
      <c r="G16" s="40"/>
    </row>
    <row r="17">
      <c r="C17" s="40"/>
      <c r="D17" s="40"/>
      <c r="E17" s="8"/>
      <c r="F17" s="8"/>
      <c r="G17" s="40"/>
    </row>
    <row r="18">
      <c r="C18" s="40"/>
      <c r="D18" s="40"/>
      <c r="E18" s="8"/>
      <c r="F18" s="8"/>
      <c r="G18" s="40"/>
    </row>
    <row r="19">
      <c r="C19" s="40"/>
      <c r="D19" s="40"/>
      <c r="E19" s="8"/>
      <c r="F19" s="8"/>
      <c r="G19" s="40"/>
    </row>
    <row r="20">
      <c r="C20" s="40"/>
      <c r="D20" s="40"/>
      <c r="E20" s="8"/>
      <c r="F20" s="8"/>
      <c r="G20" s="40"/>
    </row>
    <row r="21">
      <c r="C21" s="40"/>
      <c r="D21" s="40"/>
      <c r="E21" s="8"/>
      <c r="F21" s="8"/>
      <c r="G21" s="40"/>
    </row>
    <row r="22">
      <c r="C22" s="40"/>
      <c r="D22" s="40"/>
      <c r="E22" s="8"/>
      <c r="F22" s="8"/>
      <c r="G22" s="40"/>
    </row>
    <row r="23">
      <c r="C23" s="40"/>
      <c r="D23" s="40"/>
      <c r="E23" s="8"/>
      <c r="F23" s="8"/>
      <c r="G23" s="40"/>
    </row>
    <row r="24">
      <c r="C24" s="40"/>
      <c r="D24" s="40"/>
      <c r="E24" s="8"/>
      <c r="F24" s="8"/>
      <c r="G24" s="40"/>
    </row>
    <row r="25">
      <c r="C25" s="8"/>
      <c r="D25" s="8"/>
      <c r="E25" s="8"/>
      <c r="F25" s="8"/>
      <c r="G25" s="8"/>
    </row>
    <row r="26">
      <c r="A26" s="1"/>
      <c r="B26" s="2"/>
      <c r="C26" s="50"/>
      <c r="D26" s="50"/>
      <c r="E26" s="50"/>
      <c r="F26" s="50"/>
      <c r="G26" s="50"/>
      <c r="H26" s="2"/>
      <c r="I26" s="2"/>
      <c r="J26" s="2"/>
      <c r="K26" s="2"/>
      <c r="L26" s="2"/>
      <c r="M26" s="2"/>
    </row>
    <row r="27">
      <c r="A27" s="5"/>
      <c r="B27" s="5"/>
      <c r="C27" s="14"/>
      <c r="D27" s="14"/>
      <c r="E27" s="14"/>
      <c r="F27" s="14"/>
      <c r="G27" s="14"/>
      <c r="H27" s="5"/>
      <c r="I27" s="7"/>
      <c r="J27" s="7"/>
      <c r="K27" s="7"/>
      <c r="L27" s="7"/>
      <c r="M27" s="7"/>
    </row>
    <row r="28">
      <c r="A28" s="8"/>
      <c r="B28" s="8"/>
      <c r="C28" s="9"/>
      <c r="D28" s="8"/>
      <c r="E28" s="10"/>
      <c r="F28" s="10"/>
      <c r="G28" s="8"/>
    </row>
    <row r="29">
      <c r="C29" s="8"/>
      <c r="D29" s="8"/>
      <c r="E29" s="8"/>
      <c r="F29" s="8"/>
      <c r="G29" s="8"/>
    </row>
    <row r="30">
      <c r="C30" s="8"/>
      <c r="D30" s="8"/>
      <c r="E30" s="8"/>
      <c r="F30" s="8"/>
      <c r="G30" s="8"/>
    </row>
    <row r="31">
      <c r="A31" s="3" t="s">
        <v>102</v>
      </c>
    </row>
    <row r="32">
      <c r="A32" s="3" t="s">
        <v>138</v>
      </c>
      <c r="B32" s="3" t="s">
        <v>10</v>
      </c>
      <c r="C32" s="3" t="s">
        <v>12</v>
      </c>
      <c r="D32" s="3" t="s">
        <v>69</v>
      </c>
      <c r="E32" s="3" t="s">
        <v>99</v>
      </c>
      <c r="F32" s="3"/>
      <c r="G32" s="3" t="s">
        <v>139</v>
      </c>
    </row>
    <row r="33">
      <c r="A33" s="19">
        <f>SUMIFS(F10:F29,B10:B29,"&lt;&gt;")</f>
        <v>0</v>
      </c>
      <c r="B33" s="19">
        <f>A33*$M$5</f>
        <v>0</v>
      </c>
      <c r="C33" s="19">
        <f>A33-B33</f>
        <v>0</v>
      </c>
      <c r="D33" s="19" t="str">
        <f>IFERROR(AVERAGE(G10:G29),"")</f>
        <v/>
      </c>
      <c r="E33" s="19" t="str">
        <f>IFERROR(__xludf.DUMMYFUNCTION("IFERROR(AVERAGE.WEIGHTED(I10:I29,F10:F29),"""")"),"")</f>
        <v/>
      </c>
      <c r="G33" s="19" t="str">
        <f>IFERROR(__xludf.DUMMYFUNCTION("TRIM(TEXTJOIN("", "",TRUE,IFERROR(FILTER(B10:B29,B10:B29&lt;&gt;""""),"""")))"),"")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86" t="s">
        <v>121</v>
      </c>
      <c r="B1" s="87"/>
      <c r="C1" s="87"/>
      <c r="D1" s="87"/>
      <c r="E1" s="87"/>
      <c r="F1" s="87"/>
      <c r="G1" s="87"/>
    </row>
    <row r="4">
      <c r="A4" s="88" t="s">
        <v>0</v>
      </c>
      <c r="B4" s="89"/>
      <c r="C4" s="89"/>
      <c r="D4" s="89"/>
      <c r="E4" s="89"/>
      <c r="F4" s="7"/>
      <c r="G4" s="7"/>
    </row>
    <row r="5">
      <c r="A5" s="5" t="s">
        <v>123</v>
      </c>
      <c r="B5" s="5" t="s">
        <v>124</v>
      </c>
      <c r="C5" s="5" t="s">
        <v>125</v>
      </c>
      <c r="D5" s="5" t="s">
        <v>126</v>
      </c>
      <c r="E5" s="5" t="s">
        <v>127</v>
      </c>
      <c r="F5" s="7"/>
      <c r="G5" s="7"/>
    </row>
    <row r="6">
      <c r="A6" s="3" t="s">
        <v>40</v>
      </c>
    </row>
    <row r="8">
      <c r="A8" s="5" t="s">
        <v>128</v>
      </c>
      <c r="B8" s="35">
        <v>1201.0</v>
      </c>
      <c r="C8" s="7"/>
      <c r="D8" s="7"/>
      <c r="E8" s="7"/>
      <c r="F8" s="7"/>
      <c r="G8" s="7"/>
    </row>
    <row r="10">
      <c r="A10" s="88" t="s">
        <v>129</v>
      </c>
      <c r="B10" s="89"/>
      <c r="C10" s="89"/>
      <c r="D10" s="89"/>
      <c r="E10" s="89"/>
      <c r="F10" s="89"/>
      <c r="G10" s="89"/>
    </row>
    <row r="11">
      <c r="A11" s="5" t="s">
        <v>130</v>
      </c>
      <c r="B11" s="5" t="s">
        <v>131</v>
      </c>
      <c r="C11" s="5" t="s">
        <v>132</v>
      </c>
      <c r="D11" s="5" t="s">
        <v>133</v>
      </c>
      <c r="E11" s="5" t="s">
        <v>134</v>
      </c>
      <c r="F11" s="5" t="s">
        <v>135</v>
      </c>
      <c r="G11" s="5" t="s">
        <v>136</v>
      </c>
    </row>
    <row r="12">
      <c r="B12" s="91"/>
      <c r="E12" s="92"/>
      <c r="G12" s="8"/>
    </row>
    <row r="13">
      <c r="B13" s="91"/>
      <c r="E13" s="92"/>
      <c r="G13" s="8"/>
    </row>
    <row r="14">
      <c r="A14" s="5"/>
      <c r="B14" s="93"/>
      <c r="C14" s="35"/>
      <c r="D14" s="35"/>
      <c r="E14" s="94"/>
      <c r="F14" s="7"/>
      <c r="G14" s="95"/>
    </row>
    <row r="15">
      <c r="A15" s="5"/>
      <c r="B15" s="7"/>
      <c r="C15" s="35"/>
      <c r="D15" s="35"/>
      <c r="E15" s="94"/>
      <c r="F15" s="7"/>
      <c r="G15" s="95"/>
    </row>
    <row r="16">
      <c r="A16" s="5"/>
      <c r="E16" s="92"/>
      <c r="G16" s="8"/>
    </row>
    <row r="17">
      <c r="A17" s="5"/>
      <c r="B17" s="5"/>
      <c r="C17" s="5"/>
      <c r="D17" s="5"/>
      <c r="E17" s="94"/>
      <c r="F17" s="7"/>
      <c r="G17" s="95"/>
    </row>
    <row r="18">
      <c r="A18" s="5"/>
      <c r="B18" s="5"/>
      <c r="C18" s="14"/>
      <c r="D18" s="5"/>
      <c r="E18" s="7"/>
      <c r="F18" s="7"/>
      <c r="G18" s="95"/>
    </row>
    <row r="19">
      <c r="C19" s="36"/>
    </row>
    <row r="20">
      <c r="A20" s="88" t="s">
        <v>137</v>
      </c>
      <c r="B20" s="89"/>
      <c r="C20" s="89"/>
      <c r="D20" s="89"/>
    </row>
    <row r="21">
      <c r="A21" s="5"/>
      <c r="B21" s="5"/>
      <c r="C21" s="5"/>
      <c r="D21" s="5"/>
      <c r="E21" s="5"/>
      <c r="F21" s="7"/>
      <c r="G21" s="7"/>
    </row>
    <row r="22">
      <c r="D22" s="96"/>
      <c r="F22" s="7"/>
    </row>
    <row r="23">
      <c r="D23" s="91"/>
    </row>
    <row r="24">
      <c r="A24" s="5"/>
      <c r="B24" s="7"/>
      <c r="C24" s="7"/>
      <c r="D24" s="93"/>
      <c r="E24" s="7"/>
    </row>
    <row r="25">
      <c r="A25" s="5"/>
      <c r="B25" s="5"/>
      <c r="C25" s="5"/>
      <c r="D25" s="5"/>
      <c r="E25" s="5"/>
    </row>
    <row r="26">
      <c r="C26" s="98"/>
    </row>
    <row r="27">
      <c r="C27" s="98"/>
    </row>
    <row r="28">
      <c r="C28" s="98"/>
    </row>
    <row r="29">
      <c r="C29" s="98"/>
    </row>
    <row r="30">
      <c r="C30" s="98"/>
    </row>
    <row r="31">
      <c r="C31" s="98"/>
    </row>
    <row r="32">
      <c r="C32" s="98"/>
    </row>
    <row r="33">
      <c r="C33" s="98"/>
      <c r="F33" s="7"/>
    </row>
    <row r="34">
      <c r="C34" s="98"/>
    </row>
    <row r="35">
      <c r="C35" s="98"/>
      <c r="F35" s="7"/>
    </row>
    <row r="36">
      <c r="C36" s="98"/>
      <c r="F36" s="7"/>
    </row>
    <row r="37">
      <c r="C37" s="98"/>
    </row>
    <row r="38">
      <c r="C38" s="98"/>
    </row>
    <row r="39">
      <c r="C39" s="98"/>
    </row>
    <row r="40">
      <c r="C40" s="98"/>
    </row>
    <row r="41">
      <c r="C41" s="98"/>
    </row>
    <row r="42">
      <c r="A42" s="5"/>
      <c r="B42" s="7"/>
      <c r="C42" s="7"/>
      <c r="D42" s="7"/>
      <c r="E42" s="7"/>
    </row>
    <row r="43">
      <c r="A43" s="5"/>
      <c r="B43" s="5"/>
      <c r="C43" s="5"/>
      <c r="D43" s="5"/>
      <c r="E43" s="5"/>
    </row>
    <row r="44">
      <c r="C44" s="98"/>
    </row>
    <row r="45">
      <c r="A45" s="5"/>
      <c r="B45" s="7"/>
      <c r="C45" s="7"/>
      <c r="D45" s="93"/>
      <c r="E45" s="7"/>
    </row>
    <row r="46">
      <c r="A46" s="5"/>
      <c r="B46" s="5"/>
      <c r="C46" s="5"/>
      <c r="D46" s="5"/>
      <c r="E46" s="5"/>
    </row>
    <row r="47">
      <c r="C47" s="98"/>
    </row>
    <row r="48">
      <c r="C48" s="98"/>
    </row>
    <row r="49">
      <c r="C49" s="98"/>
    </row>
    <row r="50">
      <c r="C50" s="98"/>
    </row>
    <row r="51">
      <c r="C51" s="98"/>
    </row>
    <row r="52">
      <c r="C52" s="98"/>
    </row>
    <row r="53">
      <c r="C53" s="98"/>
    </row>
    <row r="54">
      <c r="C54" s="98"/>
      <c r="F54" s="7"/>
    </row>
    <row r="55">
      <c r="A55" s="5"/>
      <c r="B55" s="7"/>
      <c r="C55" s="7"/>
      <c r="D55" s="93"/>
      <c r="E55" s="7"/>
    </row>
    <row r="56">
      <c r="A56" s="5"/>
      <c r="B56" s="5"/>
      <c r="C56" s="5"/>
      <c r="D56" s="5"/>
      <c r="E56" s="5"/>
      <c r="F56" s="7"/>
    </row>
    <row r="57">
      <c r="C57" s="98"/>
      <c r="F57" s="7"/>
    </row>
    <row r="58">
      <c r="A58" s="5"/>
      <c r="B58" s="7"/>
      <c r="C58" s="106"/>
      <c r="D58" s="93"/>
      <c r="E58" s="7"/>
    </row>
    <row r="59">
      <c r="A59" s="5"/>
      <c r="B59" s="5"/>
      <c r="C59" s="5"/>
      <c r="D59" s="5"/>
      <c r="E59" s="5"/>
    </row>
    <row r="60">
      <c r="C60" s="98"/>
    </row>
    <row r="61">
      <c r="A61" s="5"/>
      <c r="B61" s="7"/>
      <c r="C61" s="7"/>
      <c r="D61" s="93"/>
      <c r="E61" s="7"/>
    </row>
    <row r="62">
      <c r="A62" s="5"/>
      <c r="B62" s="5"/>
      <c r="C62" s="5"/>
      <c r="D62" s="5"/>
      <c r="E62" s="5"/>
    </row>
    <row r="63">
      <c r="C63" s="98"/>
    </row>
    <row r="64">
      <c r="C64" s="98"/>
    </row>
    <row r="65">
      <c r="C65" s="98"/>
    </row>
    <row r="66">
      <c r="C66" s="98"/>
    </row>
    <row r="67">
      <c r="C67" s="98"/>
    </row>
    <row r="68">
      <c r="C68" s="98"/>
    </row>
    <row r="69">
      <c r="C69" s="98"/>
    </row>
    <row r="70">
      <c r="C70" s="98"/>
    </row>
    <row r="71">
      <c r="C71" s="98"/>
    </row>
    <row r="72">
      <c r="A72" s="7"/>
      <c r="B72" s="7"/>
      <c r="C72" s="5"/>
      <c r="D72" s="7"/>
      <c r="E72" s="7"/>
      <c r="F72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141</v>
      </c>
      <c r="B1" s="7"/>
      <c r="C1" s="7"/>
      <c r="D1" s="7"/>
      <c r="E1" s="7"/>
    </row>
    <row r="4">
      <c r="A4" s="88" t="s">
        <v>0</v>
      </c>
      <c r="B4" s="89"/>
      <c r="C4" s="89"/>
      <c r="D4" s="89"/>
      <c r="E4" s="89"/>
    </row>
    <row r="5">
      <c r="A5" s="5" t="s">
        <v>123</v>
      </c>
      <c r="B5" s="5" t="s">
        <v>124</v>
      </c>
      <c r="C5" s="5" t="s">
        <v>125</v>
      </c>
      <c r="D5" s="5" t="s">
        <v>126</v>
      </c>
      <c r="E5" s="5" t="s">
        <v>127</v>
      </c>
    </row>
    <row r="6">
      <c r="A6" s="3" t="s">
        <v>40</v>
      </c>
    </row>
    <row r="8">
      <c r="A8" s="3" t="s">
        <v>128</v>
      </c>
      <c r="B8" s="12">
        <v>1201.0</v>
      </c>
    </row>
    <row r="10">
      <c r="A10" s="88" t="s">
        <v>129</v>
      </c>
      <c r="B10" s="89"/>
      <c r="C10" s="89"/>
      <c r="D10" s="89"/>
      <c r="E10" s="89"/>
      <c r="F10" s="89"/>
      <c r="G10" s="89"/>
    </row>
    <row r="11">
      <c r="A11" s="5" t="s">
        <v>130</v>
      </c>
      <c r="B11" s="5" t="s">
        <v>131</v>
      </c>
      <c r="C11" s="5" t="s">
        <v>132</v>
      </c>
      <c r="D11" s="5" t="s">
        <v>133</v>
      </c>
      <c r="E11" s="5" t="s">
        <v>134</v>
      </c>
      <c r="F11" s="5" t="s">
        <v>135</v>
      </c>
      <c r="G11" s="5" t="s">
        <v>136</v>
      </c>
    </row>
    <row r="12">
      <c r="B12" s="91"/>
      <c r="E12" s="92"/>
      <c r="G12" s="8"/>
    </row>
    <row r="13">
      <c r="A13" s="5"/>
      <c r="B13" s="7"/>
      <c r="C13" s="7"/>
      <c r="D13" s="7"/>
      <c r="E13" s="94"/>
      <c r="F13" s="7"/>
      <c r="G13" s="95"/>
    </row>
    <row r="15">
      <c r="A15" s="88" t="s">
        <v>137</v>
      </c>
      <c r="B15" s="89"/>
      <c r="C15" s="89"/>
      <c r="D15" s="89"/>
    </row>
    <row r="16">
      <c r="A16" s="5"/>
      <c r="B16" s="5"/>
      <c r="C16" s="5"/>
      <c r="D16" s="5"/>
    </row>
    <row r="17">
      <c r="C17" s="8"/>
      <c r="D17" s="107"/>
    </row>
    <row r="19">
      <c r="A19" s="5"/>
      <c r="B19" s="7"/>
      <c r="C19" s="7"/>
      <c r="D19" s="7"/>
      <c r="E19" s="7"/>
    </row>
    <row r="20">
      <c r="A20" s="5"/>
      <c r="B20" s="5"/>
      <c r="C20" s="5"/>
      <c r="D20" s="5"/>
      <c r="E20" s="5"/>
    </row>
    <row r="21">
      <c r="C21" s="98"/>
    </row>
    <row r="22">
      <c r="C22" s="98"/>
    </row>
    <row r="23">
      <c r="C23" s="98"/>
    </row>
    <row r="24">
      <c r="C24" s="98"/>
      <c r="D24" s="91"/>
    </row>
    <row r="25">
      <c r="C25" s="98"/>
      <c r="D25" s="91"/>
    </row>
    <row r="26">
      <c r="C26" s="98"/>
      <c r="D26" s="91"/>
    </row>
    <row r="27">
      <c r="C27" s="98"/>
      <c r="D27" s="91"/>
    </row>
    <row r="28">
      <c r="C28" s="98"/>
      <c r="D28" s="91"/>
    </row>
    <row r="29">
      <c r="C29" s="98"/>
      <c r="D29" s="91"/>
    </row>
    <row r="30">
      <c r="C30" s="98"/>
      <c r="D30" s="91"/>
    </row>
    <row r="31">
      <c r="C31" s="98"/>
      <c r="D31" s="91"/>
    </row>
    <row r="32">
      <c r="C32" s="98"/>
      <c r="D32" s="91"/>
    </row>
    <row r="33">
      <c r="C33" s="98"/>
      <c r="D33" s="91"/>
    </row>
    <row r="34">
      <c r="C34" s="98"/>
      <c r="D34" s="91"/>
    </row>
  </sheetData>
  <drawing r:id="rId1"/>
</worksheet>
</file>