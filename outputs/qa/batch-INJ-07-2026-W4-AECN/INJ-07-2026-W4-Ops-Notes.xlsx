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hidden" name="AECN Truck" sheetId="4" r:id="rId8"/>
    <sheet state="hidden" name="QOWV" sheetId="5" r:id="rId9"/>
    <sheet state="visible" name="Kerry" sheetId="6" r:id="rId10"/>
    <sheet state="hidden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Prior-RP claimed 19,513.53 kg — INJ-20260709_bio_oil offload_1, injected in W2 per COBB</t>
      </text>
    </comment>
    <comment authorId="0" ref="H10">
      <text>
        <t xml:space="preserve">Prior claimed 19,567.96 kg -- INJ-20260712_bio_oil offload_1, W3</t>
      </text>
    </comment>
  </commentList>
</comments>
</file>

<file path=xl/sharedStrings.xml><?xml version="1.0" encoding="utf-8"?>
<sst xmlns="http://schemas.openxmlformats.org/spreadsheetml/2006/main" count="285" uniqueCount="156">
  <si>
    <t>BATCH HEADER — AECN Rail</t>
  </si>
  <si>
    <t>BATCH HEADER — AECN Truck (Direct from Fort Lupton)</t>
  </si>
  <si>
    <t>BATCH SUMMARY</t>
  </si>
  <si>
    <t>BATCH HEADER — Charm WODO (IBC Totes)</t>
  </si>
  <si>
    <t>Batch ID (INJ-YYYY-WXX)</t>
  </si>
  <si>
    <t>INJ-07-2026-W4</t>
  </si>
  <si>
    <t>Constants</t>
  </si>
  <si>
    <t>Week Start (Sat)</t>
  </si>
  <si>
    <t>Lbs/Kg</t>
  </si>
  <si>
    <t>Week End (Sat)</t>
  </si>
  <si>
    <t>Kg/Lbs</t>
  </si>
  <si>
    <t>Sparging Mass Loss</t>
  </si>
  <si>
    <t>pH range (target)</t>
  </si>
  <si>
    <t>2.0 - 4.0</t>
  </si>
  <si>
    <t>SECTION 1 - IBC LEDGER  (one row per IBC tote; tote tag mass is authoritative)</t>
  </si>
  <si>
    <t>Batch ID</t>
  </si>
  <si>
    <t>Filtration Solids Content</t>
  </si>
  <si>
    <t>Transport Emissions</t>
  </si>
  <si>
    <t>Pyrolysis Emissions Mass</t>
  </si>
  <si>
    <t>MOBI</t>
  </si>
  <si>
    <t>SECTION 1 - PER-TAB SUMMARY  (each row pulls from its mode tab)</t>
  </si>
  <si>
    <t>Tag</t>
  </si>
  <si>
    <t>Gross Mass (kg)</t>
  </si>
  <si>
    <t>Tote Mass (kg)</t>
  </si>
  <si>
    <t>SECTION 1 - DELIVERIES LEDGER  (one row per direct truck; BOL &amp; scale ticket on same row)</t>
  </si>
  <si>
    <t>SECTION 1 - RAILCARS RECEIVED THIS WEEK  (entity-level)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</si>
  <si>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</si>
  <si>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</si>
  <si>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</si>
  <si>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</si>
  <si>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</si>
  <si>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</si>
  <si>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</si>
  <si>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Date</t>
  </si>
  <si>
    <t>Source Tab</t>
  </si>
  <si>
    <t>BOL # / SO #</t>
  </si>
  <si>
    <t>BOL Trips (AECN→SOPOR)</t>
  </si>
  <si>
    <t>BOL Mass (MT)</t>
  </si>
  <si>
    <t>Σ Deliveries / Cargo (kg)</t>
  </si>
  <si>
    <t>Σ Uncertainty Adj (kg)</t>
  </si>
  <si>
    <t>Mass Used (kg)</t>
  </si>
  <si>
    <t>BOL Mass (kg)</t>
  </si>
  <si>
    <t>Sparging Loss (kg)</t>
  </si>
  <si>
    <t>Scale Full (lb)</t>
  </si>
  <si>
    <t>Filtration Loss (kg)</t>
  </si>
  <si>
    <t>Scale Empty (lb)</t>
  </si>
  <si>
    <t>Cargo (kg)</t>
  </si>
  <si>
    <t>Railcar #</t>
  </si>
  <si>
    <t>MOBI (kg)</t>
  </si>
  <si>
    <t>Arrival Date at Opelousas</t>
  </si>
  <si>
    <t>Loading BOLs (comma-sep)</t>
  </si>
  <si>
    <t>AECN→SOPOR EE (mi)</t>
  </si>
  <si>
    <t>pH</t>
  </si>
  <si>
    <t>Notes</t>
  </si>
  <si>
    <t>Opel→Basco EE (mi)</t>
  </si>
  <si>
    <t>CO -&gt; LA (EE)</t>
  </si>
  <si>
    <t>C Content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</si>
  <si>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</si>
  <si>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</si>
  <si>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</si>
  <si>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</si>
  <si>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</si>
  <si>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</si>
  <si>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</si>
  <si>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</si>
  <si>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AECN Rail</t>
  </si>
  <si>
    <t>Opel→Basco (mi)</t>
  </si>
  <si>
    <t>Round Trip (Opel→Basco)</t>
  </si>
  <si>
    <t>GPRX5102</t>
  </si>
  <si>
    <t>2395-R, 2396-R, 2397-R</t>
  </si>
  <si>
    <t>TILX200231</t>
  </si>
  <si>
    <t>2399-R, 2400-R, 2401-R</t>
  </si>
  <si>
    <t>SECTION 2 - ROLLUP  (Mass Used = Σ BOL kg; scale tickets no longer required for direct trucks per 2026-05-26)</t>
  </si>
  <si>
    <t>AECN Truck</t>
  </si>
  <si>
    <t>SECTION 2 - ROLLUP</t>
  </si>
  <si>
    <t>Σ BOL (kg)</t>
  </si>
  <si>
    <t>Σ Cargo (kg)</t>
  </si>
  <si>
    <t>Uncertainty Adjustment (kg)</t>
  </si>
  <si>
    <t>SECTION 2 - ORIGINS LEDGER  (loading BOLs at SOPOR)</t>
  </si>
  <si>
    <t>Transport Mass</t>
  </si>
  <si>
    <t>C Content (MOBI-wtd)</t>
  </si>
  <si>
    <t>Σ Net Oil Produced (kg)</t>
  </si>
  <si>
    <t>Origins list (BOLs)</t>
  </si>
  <si>
    <t>MOBI — Σ Net Oil Injected (kg)</t>
  </si>
  <si>
    <t>BOL #</t>
  </si>
  <si>
    <t>Charm WODO</t>
  </si>
  <si>
    <t>Kerry</t>
  </si>
  <si>
    <t>QOWV</t>
  </si>
  <si>
    <t>BATCH HEADER — QOWV (Aqueous Bio-Oil, IBC Totes)</t>
  </si>
  <si>
    <t>TOTAL</t>
  </si>
  <si>
    <t>SECTION 3 - SCALE TICKETS + OFFLOAD WEIGHTS</t>
  </si>
  <si>
    <t>SECTION 2 - PER-OIL-TYPE ROLLUP  (composite C% per oil type per week)</t>
  </si>
  <si>
    <t>Full Scale Ticket (lb)</t>
  </si>
  <si>
    <t>Empty Scale Ticket (lb)</t>
  </si>
  <si>
    <t>Net Scaled Mass (kg)</t>
  </si>
  <si>
    <t>AECN→SOPOR (mi, x3 — full BOL)</t>
  </si>
  <si>
    <t>Rail (mi — full BOL)</t>
  </si>
  <si>
    <t>Oil Type</t>
  </si>
  <si>
    <t>Opel→Basco (mi, x2 — downstream, per offload)</t>
  </si>
  <si>
    <t>Transport Mass - upstream (kg)</t>
  </si>
  <si>
    <t>BATCH HEADER — Kerry (Calciner Waste Oil, IBC Totes)</t>
  </si>
  <si>
    <t>Transport Mass - downstream Opel→Basco (kg)</t>
  </si>
  <si>
    <t>Rail_GPRX5102_6.23.2026_offload_2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</si>
  <si>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</si>
  <si>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</si>
  <si>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</si>
  <si>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</si>
  <si>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</si>
  <si>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</si>
  <si>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</si>
  <si>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</si>
  <si>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Filtration Solids Content (Kerry Calciner)</t>
  </si>
  <si>
    <t>SECTION 1 - IBC LEDGER  (one row per Kerry tote; tote tag mass is authoritative)</t>
  </si>
  <si>
    <t>07-2026-W4 AECN</t>
  </si>
  <si>
    <t>UID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</si>
  <si>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</si>
  <si>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</si>
  <si>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</si>
  <si>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</si>
  <si>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</si>
  <si>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(Scaling)</t>
  </si>
  <si>
    <t>TANKER Freiburger 07/26</t>
  </si>
  <si>
    <t>WODO</t>
  </si>
  <si>
    <t>07-2026-W4 Kerry</t>
  </si>
  <si>
    <t>Σ Net Oil — pre-filtration (kg)</t>
  </si>
  <si>
    <t>Origins list (Tote tags)</t>
  </si>
  <si>
    <t xml:space="preserve"> </t>
  </si>
  <si>
    <t>Rail_GPRX5102_6.23.2026_offload_3</t>
  </si>
  <si>
    <t>INJ-07-2026-W4 — QOWV Shipments &amp; EE Allocation</t>
  </si>
  <si>
    <t>INJ-07-2026-W4 — WODO Shipments &amp; EE Allocation</t>
  </si>
  <si>
    <t>Rail_GPRX5102_6.23.2026_offload_4</t>
  </si>
  <si>
    <t>Batch</t>
  </si>
  <si>
    <t>Fraction</t>
  </si>
  <si>
    <t>Inj. Week</t>
  </si>
  <si>
    <t># Totes</t>
  </si>
  <si>
    <t>Shipping Orders (relevant totes)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</si>
  <si>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</si>
  <si>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</si>
  <si>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</si>
  <si>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</si>
  <si>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</si>
  <si>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</si>
  <si>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</si>
  <si>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</si>
  <si>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</si>
  <si>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BATCH MILEAGE ALLOCATION</t>
  </si>
  <si>
    <t>Rail_TILX200231_6.25.2026_offload_1</t>
  </si>
  <si>
    <t>Rail_TILX200231_6.25.2026_offload_2</t>
  </si>
  <si>
    <t>Rail_TILX200231_6.25.2026_offload_3</t>
  </si>
  <si>
    <t>Rail_TILX200231_6.25.2026_offload_4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</si>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</sst>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000000"/>
    <numFmt numFmtId="166" formatCode="#,##0.00000"/>
    <numFmt numFmtId="167" formatCode="0.000000"/>
    <numFmt numFmtId="168" formatCode="0.000%"/>
    <numFmt numFmtId="169" formatCode="0.0000%"/>
    <numFmt numFmtId="170" formatCode="#,##0.000000"/>
    <numFmt numFmtId="171" formatCode="yyyy-mm-dd"/>
    <numFmt numFmtId="172" formatCode="mmmm yyyy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color rgb="FF1F1F1F"/>
      <name val="Arial"/>
      <scheme val="minor"/>
    </font>
    <font>
      <u/>
      <color rgb="FF0000FF"/>
    </font>
    <font>
      <sz val="11.0"/>
      <color theme="1"/>
      <name val="Arial"/>
      <scheme val="minor"/>
    </font>
    <font>
      <b/>
      <u/>
      <color rgb="FF0000FF"/>
    </font>
    <font>
      <b/>
      <sz val="12.0"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3" numFmtId="4" xfId="0" applyAlignment="1" applyFont="1" applyNumberFormat="1">
      <alignment horizontal="center" readingOrder="0"/>
    </xf>
    <xf borderId="0" fillId="3" fontId="3" numFmtId="4" xfId="0" applyAlignment="1" applyFont="1" applyNumberFormat="1">
      <alignment readingOrder="0"/>
    </xf>
    <xf borderId="0" fillId="3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4" fontId="3" numFmtId="0" xfId="0" applyAlignment="1" applyFill="1" applyFont="1">
      <alignment readingOrder="0"/>
    </xf>
    <xf borderId="0" fillId="4" fontId="2" numFmtId="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4" fontId="2" numFmtId="4" xfId="0" applyFont="1" applyNumberFormat="1"/>
    <xf borderId="0" fillId="3" fontId="2" numFmtId="4" xfId="0" applyFont="1" applyNumberFormat="1"/>
    <xf borderId="0" fillId="0" fontId="2" numFmtId="49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7" xfId="0" applyFont="1" applyNumberFormat="1"/>
    <xf borderId="0" fillId="0" fontId="2" numFmtId="0" xfId="0" applyFont="1"/>
    <xf borderId="0" fillId="2" fontId="1" numFmtId="164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4" fontId="2" numFmtId="0" xfId="0" applyAlignment="1" applyFont="1">
      <alignment readingOrder="0"/>
    </xf>
    <xf borderId="0" fillId="0" fontId="2" numFmtId="4" xfId="0" applyFont="1" applyNumberFormat="1"/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6" numFmtId="0" xfId="0" applyFont="1"/>
    <xf borderId="0" fillId="3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7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8" numFmtId="0" xfId="0" applyAlignment="1" applyFont="1">
      <alignment horizontal="center" vertical="bottom"/>
    </xf>
    <xf borderId="0" fillId="3" fontId="9" numFmtId="0" xfId="0" applyAlignment="1" applyFont="1">
      <alignment horizontal="center" readingOrder="0" vertical="bottom"/>
    </xf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1" fillId="3" fontId="8" numFmtId="0" xfId="0" applyAlignment="1" applyBorder="1" applyFont="1">
      <alignment horizontal="center" readingOrder="0" vertical="bottom"/>
    </xf>
    <xf borderId="0" fillId="3" fontId="2" numFmtId="2" xfId="0" applyAlignment="1" applyFont="1" applyNumberFormat="1">
      <alignment readingOrder="0"/>
    </xf>
    <xf borderId="0" fillId="3" fontId="2" numFmtId="4" xfId="0" applyFont="1" applyNumberFormat="1"/>
    <xf borderId="1" fillId="3" fontId="9" numFmtId="0" xfId="0" applyAlignment="1" applyBorder="1" applyFont="1">
      <alignment horizontal="center" readingOrder="0" vertical="bottom"/>
    </xf>
    <xf borderId="0" fillId="0" fontId="2" numFmtId="10" xfId="0" applyAlignment="1" applyFont="1" applyNumberFormat="1">
      <alignment readingOrder="0"/>
    </xf>
    <xf borderId="1" fillId="5" fontId="10" numFmtId="1" xfId="0" applyAlignment="1" applyBorder="1" applyFill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0" fillId="5" fontId="2" numFmtId="164" xfId="0" applyAlignment="1" applyFont="1" applyNumberFormat="1">
      <alignment readingOrder="0"/>
    </xf>
    <xf borderId="1" fillId="0" fontId="11" numFmtId="4" xfId="0" applyAlignment="1" applyBorder="1" applyFont="1" applyNumberFormat="1">
      <alignment horizontal="right" readingOrder="0" vertical="bottom"/>
    </xf>
    <xf borderId="0" fillId="5" fontId="2" numFmtId="0" xfId="0" applyAlignment="1" applyFont="1">
      <alignment readingOrder="0"/>
    </xf>
    <xf borderId="1" fillId="0" fontId="10" numFmtId="4" xfId="0" applyAlignment="1" applyBorder="1" applyFont="1" applyNumberFormat="1">
      <alignment horizontal="right" vertical="bottom"/>
    </xf>
    <xf borderId="0" fillId="5" fontId="2" numFmtId="4" xfId="0" applyAlignment="1" applyFont="1" applyNumberFormat="1">
      <alignment readingOrder="0"/>
    </xf>
    <xf borderId="1" fillId="4" fontId="10" numFmtId="4" xfId="0" applyAlignment="1" applyBorder="1" applyFont="1" applyNumberFormat="1">
      <alignment horizontal="right" readingOrder="0" vertical="bottom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5" fontId="2" numFmtId="10" xfId="0" applyAlignment="1" applyFont="1" applyNumberFormat="1">
      <alignment readingOrder="0"/>
    </xf>
    <xf borderId="1" fillId="4" fontId="11" numFmtId="4" xfId="0" applyAlignment="1" applyBorder="1" applyFont="1" applyNumberFormat="1">
      <alignment horizontal="right" readingOrder="0" vertical="bottom"/>
    </xf>
    <xf borderId="0" fillId="5" fontId="2" numFmtId="0" xfId="0" applyFont="1"/>
    <xf borderId="0" fillId="3" fontId="12" numFmtId="4" xfId="0" applyAlignment="1" applyFont="1" applyNumberFormat="1">
      <alignment readingOrder="0"/>
    </xf>
    <xf borderId="0" fillId="0" fontId="13" numFmtId="168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15" numFmtId="165" xfId="0" applyAlignment="1" applyFont="1" applyNumberFormat="1">
      <alignment readingOrder="0"/>
    </xf>
    <xf borderId="1" fillId="5" fontId="11" numFmtId="0" xfId="0" applyAlignment="1" applyBorder="1" applyFont="1">
      <alignment horizontal="right" readingOrder="0" vertical="bottom"/>
    </xf>
    <xf borderId="0" fillId="0" fontId="16" numFmtId="169" xfId="0" applyFont="1" applyNumberFormat="1"/>
    <xf borderId="0" fillId="0" fontId="3" numFmtId="169" xfId="0" applyFont="1" applyNumberFormat="1"/>
    <xf borderId="1" fillId="0" fontId="10" numFmtId="1" xfId="0" applyAlignment="1" applyBorder="1" applyFont="1" applyNumberFormat="1">
      <alignment horizontal="right" readingOrder="0" vertical="bottom"/>
    </xf>
    <xf borderId="0" fillId="3" fontId="2" numFmtId="10" xfId="0" applyAlignment="1" applyFont="1" applyNumberFormat="1">
      <alignment readingOrder="0"/>
    </xf>
    <xf borderId="1" fillId="0" fontId="10" numFmtId="1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70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0" fontId="17" numFmtId="0" xfId="0" applyAlignment="1" applyFont="1">
      <alignment readingOrder="0"/>
    </xf>
    <xf borderId="0" fillId="0" fontId="17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0" fontId="2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2" numFmtId="3" xfId="0" applyFont="1" applyNumberFormat="1"/>
    <xf borderId="0" fillId="0" fontId="3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4" fontId="2" numFmtId="4" xfId="0" applyFont="1" applyNumberFormat="1"/>
    <xf borderId="0" fillId="3" fontId="2" numFmtId="0" xfId="0" applyFont="1"/>
    <xf borderId="0" fillId="0" fontId="3" numFmtId="172" xfId="0" applyAlignment="1" applyFont="1" applyNumberFormat="1">
      <alignment readingOrder="0"/>
    </xf>
    <xf borderId="0" fillId="3" fontId="18" numFmtId="4" xfId="0" applyFont="1" applyNumberFormat="1"/>
    <xf borderId="0" fillId="3" fontId="2" numFmtId="4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4" fontId="2" numFmtId="0" xfId="0" applyFont="1"/>
    <xf borderId="0" fillId="3" fontId="2" numFmtId="2" xfId="0" applyFont="1" applyNumberFormat="1"/>
    <xf borderId="0" fillId="4" fontId="2" numFmtId="2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15</v>
      </c>
      <c r="B2" s="3" t="s">
        <v>5</v>
      </c>
    </row>
    <row r="3">
      <c r="A3" s="3" t="s">
        <v>7</v>
      </c>
      <c r="B3" s="5">
        <v>46221.0</v>
      </c>
    </row>
    <row r="4">
      <c r="A4" s="3" t="s">
        <v>9</v>
      </c>
      <c r="B4" s="5">
        <v>46228.0</v>
      </c>
    </row>
    <row r="6">
      <c r="A6" s="1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34</v>
      </c>
      <c r="B7" s="4" t="s">
        <v>38</v>
      </c>
      <c r="C7" s="4" t="s">
        <v>39</v>
      </c>
      <c r="D7" s="7" t="s">
        <v>40</v>
      </c>
      <c r="E7" s="4" t="s">
        <v>42</v>
      </c>
      <c r="F7" s="7" t="s">
        <v>44</v>
      </c>
      <c r="G7" s="4" t="s">
        <v>48</v>
      </c>
      <c r="H7" s="4" t="s">
        <v>51</v>
      </c>
      <c r="I7" s="4"/>
      <c r="J7" s="4" t="s">
        <v>54</v>
      </c>
      <c r="K7" s="4" t="s">
        <v>55</v>
      </c>
      <c r="L7" s="10"/>
      <c r="M7" s="10"/>
      <c r="N7" s="10"/>
    </row>
    <row r="8">
      <c r="A8" s="3" t="s">
        <v>65</v>
      </c>
      <c r="B8" s="18">
        <f>'AECN Rail'!B52</f>
        <v>136376.9707</v>
      </c>
      <c r="C8" s="18">
        <f>'AECN Rail'!C52</f>
        <v>274.9296</v>
      </c>
      <c r="D8" s="30">
        <f>'AECN Rail'!D52</f>
        <v>136102.0411</v>
      </c>
      <c r="E8" s="18">
        <f>'AECN Rail'!E52</f>
        <v>1755.71633</v>
      </c>
      <c r="F8" s="30">
        <f>'AECN Rail'!F52</f>
        <v>261.9753333</v>
      </c>
      <c r="G8" s="18">
        <f>'AECN Rail'!G52</f>
        <v>134084.3495</v>
      </c>
      <c r="H8" s="18">
        <f>SUM('AECN Rail'!L32:L47)</f>
        <v>563.7711837</v>
      </c>
      <c r="I8" s="18"/>
      <c r="J8" s="18">
        <f>SUM('AECN Rail'!N32:N47)</f>
        <v>600.6</v>
      </c>
    </row>
    <row r="9">
      <c r="A9" s="3" t="s">
        <v>73</v>
      </c>
      <c r="B9" s="18">
        <f>'AECN Truck'!B28</f>
        <v>0</v>
      </c>
      <c r="C9" s="18">
        <f>'AECN Truck'!F28</f>
        <v>0</v>
      </c>
      <c r="D9" s="30">
        <f>'AECN Truck'!C28</f>
        <v>0</v>
      </c>
      <c r="E9" s="18">
        <f>'AECN Truck'!D28</f>
        <v>0</v>
      </c>
      <c r="F9" s="30">
        <f>'AECN Truck'!E28</f>
        <v>0</v>
      </c>
      <c r="G9" s="18">
        <f>'AECN Truck'!G28</f>
        <v>0</v>
      </c>
    </row>
    <row r="10">
      <c r="A10" s="3" t="s">
        <v>85</v>
      </c>
      <c r="B10" s="18">
        <f>WODO!A33</f>
        <v>0</v>
      </c>
      <c r="C10" s="17">
        <v>0.0</v>
      </c>
      <c r="D10" s="45">
        <f>WODO!B33</f>
        <v>0</v>
      </c>
      <c r="E10" s="18">
        <f>WODO!C33</f>
        <v>0</v>
      </c>
      <c r="F10" s="45">
        <v>0.0</v>
      </c>
      <c r="G10" s="17">
        <f>WODO!D33</f>
        <v>0</v>
      </c>
      <c r="K10" s="17" t="str">
        <f>'WODO Shipments &amp; EE Allocation'!G13</f>
        <v/>
      </c>
    </row>
    <row r="11">
      <c r="A11" s="3" t="s">
        <v>86</v>
      </c>
      <c r="B11" s="18">
        <f>Kerry!A33</f>
        <v>16737.5448</v>
      </c>
      <c r="C11" s="17">
        <v>0.0</v>
      </c>
      <c r="D11" s="45">
        <f>Kerry!A33</f>
        <v>16737.5448</v>
      </c>
      <c r="E11" s="17">
        <v>0.0</v>
      </c>
      <c r="F11" s="45">
        <f>Kerry!B33</f>
        <v>11.88365681</v>
      </c>
      <c r="G11" s="6">
        <f>Kerry!E33</f>
        <v>16725.66114</v>
      </c>
    </row>
    <row r="12">
      <c r="A12" s="3" t="s">
        <v>87</v>
      </c>
      <c r="B12" s="17">
        <f>QOWV!B53</f>
        <v>0</v>
      </c>
      <c r="C12" s="17">
        <v>0.0</v>
      </c>
      <c r="D12" s="45">
        <f>QOWV!D53</f>
        <v>0</v>
      </c>
      <c r="E12" s="17">
        <v>0.0</v>
      </c>
      <c r="F12" s="45">
        <v>0.0</v>
      </c>
      <c r="G12" s="50">
        <f>QOWV!F53</f>
        <v>0</v>
      </c>
      <c r="I12" s="4"/>
      <c r="J12" s="10"/>
      <c r="K12" s="18" t="str">
        <f>'QOWV Shipments &amp; EE Allocation'!G18</f>
        <v/>
      </c>
      <c r="L12" s="10"/>
      <c r="M12" s="10"/>
      <c r="N12" s="10"/>
    </row>
    <row r="13">
      <c r="A13" s="3" t="s">
        <v>89</v>
      </c>
      <c r="B13" s="18">
        <f t="shared" ref="B13:G13" si="1">SUM(B8:B12)</f>
        <v>153114.5155</v>
      </c>
      <c r="C13" s="18">
        <f t="shared" si="1"/>
        <v>274.9296</v>
      </c>
      <c r="D13" s="18">
        <f t="shared" si="1"/>
        <v>152839.5859</v>
      </c>
      <c r="E13" s="18">
        <f t="shared" si="1"/>
        <v>1755.71633</v>
      </c>
      <c r="F13" s="18">
        <f t="shared" si="1"/>
        <v>273.8589901</v>
      </c>
      <c r="G13" s="18">
        <f t="shared" si="1"/>
        <v>150810.0106</v>
      </c>
      <c r="H13" s="18"/>
      <c r="I13" s="18"/>
      <c r="J13" s="18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91</v>
      </c>
      <c r="B15" s="4"/>
      <c r="C15" s="4"/>
      <c r="D15" s="4"/>
      <c r="E15" s="4"/>
      <c r="F15" s="4"/>
      <c r="G15" s="4"/>
      <c r="H15" s="10"/>
      <c r="I15" s="10"/>
      <c r="J15" s="10"/>
      <c r="K15" s="10"/>
      <c r="L15" s="10"/>
      <c r="M15" s="10"/>
    </row>
    <row r="16">
      <c r="A16" s="4" t="s">
        <v>97</v>
      </c>
      <c r="B16" s="42" t="s">
        <v>99</v>
      </c>
      <c r="C16" s="4" t="s">
        <v>101</v>
      </c>
      <c r="D16" s="4" t="s">
        <v>103</v>
      </c>
      <c r="E16" s="4" t="s">
        <v>104</v>
      </c>
      <c r="F16" s="4" t="s">
        <v>105</v>
      </c>
      <c r="G16" s="3" t="s">
        <v>106</v>
      </c>
      <c r="H16" s="3" t="s">
        <v>107</v>
      </c>
      <c r="I16" s="3" t="s">
        <v>108</v>
      </c>
      <c r="J16" s="3" t="s">
        <v>109</v>
      </c>
    </row>
    <row r="17">
      <c r="A17" s="3" t="s">
        <v>110</v>
      </c>
      <c r="B17" s="18">
        <f>SUM('AECN Rail'!I10:I13)+'AECN Truck'!A28</f>
        <v>136376.9707</v>
      </c>
      <c r="C17" s="50">
        <f>'AECN Rail'!B52</f>
        <v>136376.9707</v>
      </c>
      <c r="D17" s="17">
        <f>SUM('AECN Rail'!I10:I13)+'AECN Truck'!A28</f>
        <v>136376.9707</v>
      </c>
      <c r="E17" s="17">
        <f>'AECN Rail'!G52+'AECN Truck'!G28</f>
        <v>134084.3495</v>
      </c>
      <c r="F17" s="3" t="s">
        <v>113</v>
      </c>
      <c r="G17" s="80">
        <v>0.394</v>
      </c>
      <c r="H17" s="81" t="str">
        <f>HYPERLINK("https://drive.google.com/file/d/1Jc0vOeHQCsEDZKpGV83DT7iBI7BZlxIr/view","COA SR26-04592.001")</f>
        <v>COA SR26-04592.001</v>
      </c>
      <c r="I17" s="82">
        <f t="shared" ref="I17:I20" si="2">G17*J17</f>
        <v>0.001576</v>
      </c>
      <c r="J17" s="80">
        <v>0.004</v>
      </c>
    </row>
    <row r="18">
      <c r="A18" s="3" t="s">
        <v>122</v>
      </c>
      <c r="B18" s="18">
        <f>WODO!A33</f>
        <v>0</v>
      </c>
      <c r="C18" s="3"/>
      <c r="D18" s="17">
        <f>WODO!B33</f>
        <v>0</v>
      </c>
      <c r="E18" s="17">
        <f>WODO!D33</f>
        <v>0</v>
      </c>
      <c r="G18" s="80"/>
      <c r="H18" s="82"/>
      <c r="I18" s="82">
        <f t="shared" si="2"/>
        <v>0</v>
      </c>
      <c r="J18" s="80">
        <v>0.004</v>
      </c>
    </row>
    <row r="19">
      <c r="A19" s="3" t="s">
        <v>86</v>
      </c>
      <c r="B19" s="18">
        <f>Kerry!A33</f>
        <v>16737.5448</v>
      </c>
      <c r="D19" s="83">
        <f>Kerry!A33</f>
        <v>16737.5448</v>
      </c>
      <c r="E19" s="35">
        <f>Kerry!E33</f>
        <v>16725.66114</v>
      </c>
      <c r="F19" s="3" t="s">
        <v>123</v>
      </c>
      <c r="G19" s="80">
        <f>Kerry!G33</f>
        <v>0.528</v>
      </c>
      <c r="H19" s="86" t="str">
        <f>HYPERLINK("https://drive.google.com/file/d/1Jc0vOeHQCsEDZKpGV83DT7iBI7BZlxIr/view","COA SR26-04592.002")</f>
        <v>COA SR26-04592.002</v>
      </c>
      <c r="I19" s="87">
        <f t="shared" si="2"/>
        <v>0.002112</v>
      </c>
      <c r="J19" s="80">
        <v>0.004</v>
      </c>
    </row>
    <row r="20">
      <c r="A20" s="3" t="s">
        <v>87</v>
      </c>
      <c r="B20" s="18">
        <f>QOWV!B53</f>
        <v>0</v>
      </c>
      <c r="C20" s="3"/>
      <c r="D20" s="50">
        <f>QOWV!D53</f>
        <v>0</v>
      </c>
      <c r="E20" s="50">
        <f>QOWV!F53</f>
        <v>0</v>
      </c>
      <c r="G20" s="80"/>
      <c r="H20" s="82"/>
      <c r="I20" s="82">
        <f t="shared" si="2"/>
        <v>0</v>
      </c>
      <c r="J20" s="80">
        <v>0.004</v>
      </c>
      <c r="K20" s="10"/>
      <c r="L20" s="10"/>
    </row>
    <row r="21">
      <c r="A21" s="3" t="s">
        <v>89</v>
      </c>
      <c r="B21" s="18">
        <f t="shared" ref="B21:E21" si="3">SUM(B17:B20)</f>
        <v>153114.5155</v>
      </c>
      <c r="C21" s="40">
        <f t="shared" si="3"/>
        <v>136376.9707</v>
      </c>
      <c r="D21" s="40">
        <f t="shared" si="3"/>
        <v>153114.5155</v>
      </c>
      <c r="E21" s="18">
        <f t="shared" si="3"/>
        <v>150810.0106</v>
      </c>
      <c r="F21" s="8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0"/>
      <c r="E23" s="10"/>
      <c r="F23" s="4"/>
      <c r="G23" s="4" t="s">
        <v>126</v>
      </c>
      <c r="H23" s="10"/>
      <c r="I23" s="10"/>
      <c r="J23" s="10"/>
      <c r="K23" s="10"/>
      <c r="L23" s="10"/>
      <c r="M23" s="10"/>
      <c r="N2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7</v>
      </c>
      <c r="B3" s="5">
        <v>46221.0</v>
      </c>
      <c r="N3" s="4" t="s">
        <v>8</v>
      </c>
      <c r="O3" s="6">
        <v>2.20462</v>
      </c>
    </row>
    <row r="4">
      <c r="A4" s="3" t="s">
        <v>9</v>
      </c>
      <c r="B4" s="5">
        <v>46228.0</v>
      </c>
      <c r="N4" s="4" t="s">
        <v>10</v>
      </c>
      <c r="O4" s="6">
        <v>0.453592</v>
      </c>
    </row>
    <row r="5">
      <c r="N5" s="4" t="s">
        <v>11</v>
      </c>
      <c r="O5" s="6">
        <v>0.0129</v>
      </c>
    </row>
    <row r="6">
      <c r="N6" s="4" t="s">
        <v>12</v>
      </c>
      <c r="O6" s="3" t="s">
        <v>13</v>
      </c>
    </row>
    <row r="7">
      <c r="N7" s="3" t="s">
        <v>16</v>
      </c>
      <c r="O7" s="12">
        <f>HYPERLINK("https://docs.google.com/spreadsheets/d/16shKoa1KP34kQJyQvzclBejW9L5-ubNSqPsMOVB7zDY/edit?usp=sharing", 0.00195)</f>
        <v>0.00195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1" t="s">
        <v>18</v>
      </c>
      <c r="J8" s="2"/>
      <c r="K8" s="1"/>
      <c r="L8" s="2"/>
      <c r="M8" s="2"/>
      <c r="N8" s="1" t="s">
        <v>36</v>
      </c>
      <c r="O8" s="21">
        <v>3.0</v>
      </c>
      <c r="P8" s="2"/>
      <c r="Q8" s="2"/>
      <c r="R8" s="2"/>
    </row>
    <row r="9">
      <c r="A9" s="4" t="s">
        <v>47</v>
      </c>
      <c r="B9" s="4" t="s">
        <v>49</v>
      </c>
      <c r="C9" s="4" t="s">
        <v>50</v>
      </c>
      <c r="D9" s="19" t="s">
        <v>57</v>
      </c>
      <c r="E9" s="19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4" t="s">
        <v>66</v>
      </c>
      <c r="M9" s="4"/>
      <c r="N9" s="4" t="s">
        <v>67</v>
      </c>
      <c r="O9" s="28">
        <v>2.0</v>
      </c>
      <c r="P9" s="10"/>
      <c r="Q9" s="10"/>
      <c r="R9" s="10"/>
    </row>
    <row r="10">
      <c r="A10" s="3" t="s">
        <v>68</v>
      </c>
      <c r="B10" s="25">
        <v>46196.0</v>
      </c>
      <c r="C10" s="3" t="s">
        <v>69</v>
      </c>
      <c r="D10" s="20">
        <f t="shared" ref="D10:D11" si="1">SUMIF($C$17:$C$28,$A10,$D$17:$D$28)</f>
        <v>77.69</v>
      </c>
      <c r="E10" s="20">
        <f t="shared" ref="E10:E11" si="2">SUMIF($C$17:$C$28,$A10,$E$17:$E$28)</f>
        <v>77690</v>
      </c>
      <c r="F10" s="18">
        <f t="shared" ref="F10:F11" si="3">SUMIF($C$32:$C$47,A10,$F$32:$F$47)+H10</f>
        <v>77763.81248</v>
      </c>
      <c r="G10" s="18">
        <f t="shared" ref="G10:G11" si="4">IF(AND(E10&lt;&gt;"",F10&lt;&gt;"",F10&gt;=0.95*E10),E10-F10,"")</f>
        <v>-73.81248</v>
      </c>
      <c r="H10" s="6">
        <v>19567.95888</v>
      </c>
      <c r="I10" s="32">
        <f t="shared" ref="I10:I11" si="5">F10-H10</f>
        <v>58195.8536</v>
      </c>
      <c r="J10" s="33">
        <v>107.5</v>
      </c>
      <c r="K10" s="33">
        <v>2199.0</v>
      </c>
      <c r="L10" s="6">
        <v>42.9</v>
      </c>
    </row>
    <row r="11">
      <c r="A11" s="3" t="s">
        <v>70</v>
      </c>
      <c r="B11" s="25">
        <v>46198.0</v>
      </c>
      <c r="C11" s="3" t="s">
        <v>71</v>
      </c>
      <c r="D11" s="20">
        <f t="shared" si="1"/>
        <v>77.98</v>
      </c>
      <c r="E11" s="20">
        <f t="shared" si="2"/>
        <v>77980</v>
      </c>
      <c r="F11" s="18">
        <f t="shared" si="3"/>
        <v>78181.11712</v>
      </c>
      <c r="G11" s="18">
        <f t="shared" si="4"/>
        <v>-201.11712</v>
      </c>
      <c r="H11" s="33">
        <v>0.0</v>
      </c>
      <c r="I11" s="32">
        <f t="shared" si="5"/>
        <v>78181.11712</v>
      </c>
      <c r="J11" s="33">
        <v>107.5</v>
      </c>
      <c r="K11" s="33">
        <v>2199.0</v>
      </c>
      <c r="L11" s="6">
        <v>42.9</v>
      </c>
    </row>
    <row r="12">
      <c r="A12" s="25"/>
      <c r="B12" s="25"/>
      <c r="D12" s="39"/>
      <c r="E12" s="39"/>
      <c r="F12" s="40"/>
      <c r="G12" s="40"/>
    </row>
    <row r="13">
      <c r="A13" s="25"/>
      <c r="B13" s="25"/>
      <c r="D13" s="39"/>
      <c r="E13" s="39"/>
      <c r="F13" s="40"/>
      <c r="G13" s="40"/>
    </row>
    <row r="14">
      <c r="A14" s="26"/>
      <c r="B14" s="26"/>
    </row>
    <row r="15">
      <c r="A15" s="36" t="s">
        <v>78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1" t="s">
        <v>33</v>
      </c>
      <c r="B16" s="4" t="s">
        <v>84</v>
      </c>
      <c r="C16" s="4" t="s">
        <v>47</v>
      </c>
      <c r="D16" s="19" t="s">
        <v>37</v>
      </c>
      <c r="E16" s="19" t="s">
        <v>41</v>
      </c>
      <c r="F16" s="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>
      <c r="A17" s="25">
        <v>46195.0</v>
      </c>
      <c r="B17" s="44" t="str">
        <f>HYPERLINK("https://drive.google.com/file/d/1_Qh7mr6-TO73McbkF4BUh0c-avavz9D9/view","2395-R")</f>
        <v>2395-R</v>
      </c>
      <c r="C17" s="3" t="s">
        <v>68</v>
      </c>
      <c r="D17" s="20">
        <v>25.6</v>
      </c>
      <c r="E17" s="20">
        <f t="shared" ref="E17:E22" si="6">D17*1000</f>
        <v>25600</v>
      </c>
    </row>
    <row r="18">
      <c r="A18" s="25">
        <v>46195.0</v>
      </c>
      <c r="B18" s="44" t="str">
        <f>HYPERLINK("https://drive.google.com/file/d/1q4cOm2UFX2dXkfYDC0PCMo81A6RTch3f/view","2396-R")</f>
        <v>2396-R</v>
      </c>
      <c r="C18" s="3" t="s">
        <v>68</v>
      </c>
      <c r="D18" s="20">
        <v>26.05</v>
      </c>
      <c r="E18" s="20">
        <f t="shared" si="6"/>
        <v>26050</v>
      </c>
    </row>
    <row r="19">
      <c r="A19" s="25">
        <v>46196.0</v>
      </c>
      <c r="B19" s="44" t="str">
        <f>HYPERLINK("https://drive.google.com/file/d/193O8FGAAgoIm8f7kOzViO00onIEtp7VE/view","2397-R")</f>
        <v>2397-R</v>
      </c>
      <c r="C19" s="3" t="s">
        <v>68</v>
      </c>
      <c r="D19" s="20">
        <v>26.04</v>
      </c>
      <c r="E19" s="20">
        <f t="shared" si="6"/>
        <v>26040</v>
      </c>
    </row>
    <row r="20">
      <c r="A20" s="25">
        <v>46196.0</v>
      </c>
      <c r="B20" s="44" t="str">
        <f>HYPERLINK("https://drive.google.com/file/d/1Umr-pppbtXIoxIYKO_s-dsf98XlcCyKV/view","2399-R")</f>
        <v>2399-R</v>
      </c>
      <c r="C20" s="3" t="s">
        <v>70</v>
      </c>
      <c r="D20" s="20">
        <v>26.1</v>
      </c>
      <c r="E20" s="20">
        <f t="shared" si="6"/>
        <v>26100</v>
      </c>
    </row>
    <row r="21">
      <c r="A21" s="25">
        <v>46197.0</v>
      </c>
      <c r="B21" s="44" t="str">
        <f>HYPERLINK("https://drive.google.com/file/d/1hburaRKn1jooSMX7wOVBvaJOhHGFmJq3/view","2400-R")</f>
        <v>2400-R</v>
      </c>
      <c r="C21" s="3" t="s">
        <v>70</v>
      </c>
      <c r="D21" s="20">
        <v>26.05</v>
      </c>
      <c r="E21" s="20">
        <f t="shared" si="6"/>
        <v>26050</v>
      </c>
    </row>
    <row r="22">
      <c r="A22" s="25">
        <v>46197.0</v>
      </c>
      <c r="B22" s="44" t="str">
        <f>HYPERLINK("https://drive.google.com/file/d/1b9OXbTh39wRvQQD0mSW5T-bWQvjdBPAP/view","2401-R")</f>
        <v>2401-R</v>
      </c>
      <c r="C22" s="3" t="s">
        <v>70</v>
      </c>
      <c r="D22" s="20">
        <v>25.83</v>
      </c>
      <c r="E22" s="20">
        <f t="shared" si="6"/>
        <v>25830</v>
      </c>
    </row>
    <row r="23">
      <c r="A23" s="25"/>
      <c r="D23" s="20"/>
      <c r="E23" s="20"/>
    </row>
    <row r="24">
      <c r="A24" s="25"/>
      <c r="D24" s="20"/>
      <c r="E24" s="20"/>
    </row>
    <row r="25">
      <c r="A25" s="25"/>
      <c r="D25" s="20"/>
      <c r="E25" s="20"/>
    </row>
    <row r="26">
      <c r="A26" s="47"/>
      <c r="B26" s="48"/>
      <c r="C26" s="48"/>
      <c r="D26" s="49"/>
      <c r="E26" s="49"/>
      <c r="F26" s="51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>
      <c r="A27" s="25"/>
      <c r="D27" s="20"/>
      <c r="E27" s="20"/>
      <c r="F27" s="4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10"/>
    </row>
    <row r="28">
      <c r="A28" s="55"/>
      <c r="B28" s="56"/>
      <c r="C28" s="56"/>
      <c r="D28" s="57"/>
      <c r="E28" s="57"/>
      <c r="F28" s="58"/>
      <c r="G28" s="60"/>
      <c r="H28" s="61"/>
      <c r="I28" s="61"/>
      <c r="J28" s="58"/>
      <c r="K28" s="58"/>
      <c r="L28" s="61"/>
      <c r="M28" s="61"/>
      <c r="N28" s="61"/>
      <c r="O28" s="63"/>
    </row>
    <row r="29">
      <c r="A29" s="55"/>
      <c r="B29" s="56"/>
      <c r="C29" s="56"/>
      <c r="D29" s="58"/>
      <c r="E29" s="58"/>
      <c r="F29" s="58"/>
      <c r="G29" s="60"/>
      <c r="H29" s="61"/>
      <c r="I29" s="61"/>
      <c r="J29" s="58"/>
      <c r="K29" s="61"/>
      <c r="L29" s="61"/>
      <c r="M29" s="61"/>
      <c r="N29" s="61"/>
      <c r="O29" s="63"/>
    </row>
    <row r="30">
      <c r="A30" s="66" t="s">
        <v>90</v>
      </c>
      <c r="B30" s="68"/>
      <c r="C30" s="68"/>
      <c r="D30" s="70"/>
      <c r="E30" s="72"/>
      <c r="F30" s="70"/>
      <c r="G30" s="73"/>
      <c r="H30" s="74"/>
      <c r="I30" s="74"/>
      <c r="J30" s="70"/>
      <c r="K30" s="74"/>
      <c r="L30" s="74"/>
      <c r="M30" s="74"/>
      <c r="N30" s="74"/>
      <c r="O30" s="75"/>
      <c r="P30" s="77"/>
      <c r="Q30" s="77"/>
      <c r="R30" s="77"/>
    </row>
    <row r="31">
      <c r="A31" s="55"/>
      <c r="B31" s="56"/>
      <c r="C31" s="56"/>
      <c r="D31" s="58" t="s">
        <v>92</v>
      </c>
      <c r="E31" s="58" t="s">
        <v>93</v>
      </c>
      <c r="F31" s="57" t="s">
        <v>94</v>
      </c>
      <c r="G31" s="60" t="s">
        <v>52</v>
      </c>
      <c r="H31" s="57" t="s">
        <v>42</v>
      </c>
      <c r="I31" s="57" t="s">
        <v>44</v>
      </c>
      <c r="J31" s="57" t="s">
        <v>77</v>
      </c>
      <c r="K31" s="57" t="s">
        <v>48</v>
      </c>
      <c r="L31" s="58" t="s">
        <v>95</v>
      </c>
      <c r="M31" s="58" t="s">
        <v>96</v>
      </c>
      <c r="N31" s="58" t="s">
        <v>98</v>
      </c>
    </row>
    <row r="32">
      <c r="A32" s="55">
        <v>46228.0</v>
      </c>
      <c r="B32" s="56" t="s">
        <v>102</v>
      </c>
      <c r="C32" s="56" t="s">
        <v>68</v>
      </c>
      <c r="D32" s="78">
        <f>HYPERLINK("https://drive.google.com/file/d/1FS3r3Dejc7joiWsOOrb0tBEY83PfrB_1/view", 73500)</f>
        <v>73500</v>
      </c>
      <c r="E32" s="78">
        <f>HYPERLINK("https://drive.google.com/file/d/1e12yJo8ZyY3fPz-5wn70FPeX_dNMlqC1/view", 28680)</f>
        <v>28680</v>
      </c>
      <c r="F32" s="57">
        <f t="shared" ref="F32:F38" si="7">IF(D32="","",(D32-E32)*$O$4)</f>
        <v>20329.99344</v>
      </c>
      <c r="G32" s="60">
        <v>2.9</v>
      </c>
      <c r="H32" s="57">
        <f t="shared" ref="H32:H38" si="8">IF(F32="","",(F32-J32)*$O$5)</f>
        <v>262.2569154</v>
      </c>
      <c r="I32" s="57">
        <f t="shared" ref="I32:I38" si="9">IF(F32="","",(F32-J32)*(1-$O$5)*$O$7)</f>
        <v>39.13208622</v>
      </c>
      <c r="J32" s="57">
        <f t="array" ref="J32">IF(F32="","",IF(ROW()=MAX(IF($C$32:$C$47=C32,ROW($C$32:$C$47),0)),MAX(0,IFERROR(VLOOKUP(C32,$A$10:$L$11,6,FALSE)-VLOOKUP(C32,$A$10:$L$11,5,FALSE),0)),0))</f>
        <v>0</v>
      </c>
      <c r="K32" s="57">
        <f t="shared" ref="K32:K38" si="10">IF(F32="","",F32-H32-I32-J32)</f>
        <v>20028.60444</v>
      </c>
      <c r="L32" s="61">
        <f t="shared" ref="L32:L38" si="11">IF(F32="","",(F32-J32)/VLOOKUP(C32,$A$10:$L$11,5,FALSE)*VLOOKUP(C32,$A$10:$L$11,10,FALSE)*$O$8)</f>
        <v>84.39210818</v>
      </c>
      <c r="M32" s="61">
        <f t="shared" ref="M32:M38" si="12">IF(F32="","",(F32-J32)/VLOOKUP(C32,$A$10:$L$11,5,FALSE)*VLOOKUP(C32,$A$10:$L$11,11,FALSE))</f>
        <v>575.4364213</v>
      </c>
      <c r="N32" s="61">
        <f t="shared" ref="N32:N38" si="13">IF(F32="","",IFERROR(VLOOKUP(C32,$A$10:$L$11,12,FALSE),0)*$O$9)</f>
        <v>85.8</v>
      </c>
      <c r="O32" s="89"/>
    </row>
    <row r="33">
      <c r="A33" s="55">
        <v>46228.0</v>
      </c>
      <c r="B33" s="56" t="s">
        <v>127</v>
      </c>
      <c r="C33" s="56" t="s">
        <v>68</v>
      </c>
      <c r="D33" s="78">
        <f>HYPERLINK("https://drive.google.com/file/d/1j62hHEG1J_UDTlqzLimm2SXSivWzJEJ9/view", 74940)</f>
        <v>74940</v>
      </c>
      <c r="E33" s="78">
        <f>HYPERLINK("https://drive.google.com/file/d/1V_CTzYvMgNItBPneTgJe-7ebViuQuRN4/view", 29320)</f>
        <v>29320</v>
      </c>
      <c r="F33" s="57">
        <f t="shared" si="7"/>
        <v>20692.86704</v>
      </c>
      <c r="G33" s="60">
        <v>2.9</v>
      </c>
      <c r="H33" s="57">
        <f t="shared" si="8"/>
        <v>266.9379848</v>
      </c>
      <c r="I33" s="57">
        <f t="shared" si="9"/>
        <v>39.83056166</v>
      </c>
      <c r="J33" s="57">
        <f t="array" ref="J33">IF(F33="","",IF(ROW()=MAX(IF($C$32:$C$47=C33,ROW($C$32:$C$47),0)),MAX(0,IFERROR(VLOOKUP(C33,$A$10:$L$11,6,FALSE)-VLOOKUP(C33,$A$10:$L$11,5,FALSE),0)),0))</f>
        <v>0</v>
      </c>
      <c r="K33" s="57">
        <f t="shared" si="10"/>
        <v>20386.09849</v>
      </c>
      <c r="L33" s="61">
        <f t="shared" si="11"/>
        <v>85.89843764</v>
      </c>
      <c r="M33" s="61">
        <f t="shared" si="12"/>
        <v>585.7074864</v>
      </c>
      <c r="N33" s="61">
        <f t="shared" si="13"/>
        <v>85.8</v>
      </c>
      <c r="O33" s="89"/>
    </row>
    <row r="34">
      <c r="A34" s="55">
        <v>46228.0</v>
      </c>
      <c r="B34" s="56" t="s">
        <v>130</v>
      </c>
      <c r="C34" s="56" t="s">
        <v>68</v>
      </c>
      <c r="D34" s="78">
        <f>HYPERLINK("https://drive.google.com/file/d/12LQBnqSxJMqHgvUB-Ie1qZFBLAQpT7Us/view", 66620)</f>
        <v>66620</v>
      </c>
      <c r="E34" s="78">
        <f>HYPERLINK("https://drive.google.com/file/d/14I2Jr2AiiODrMG57Q5VnoupfxxZIRzUl/view", 28760)</f>
        <v>28760</v>
      </c>
      <c r="F34" s="57">
        <f t="shared" si="7"/>
        <v>17172.99312</v>
      </c>
      <c r="G34" s="60">
        <v>2.9</v>
      </c>
      <c r="H34" s="57">
        <f t="shared" si="8"/>
        <v>220.5794303</v>
      </c>
      <c r="I34" s="57">
        <f t="shared" si="9"/>
        <v>32.91327236</v>
      </c>
      <c r="J34" s="57">
        <f t="array" ref="J34">IF(F34="","",IF(ROW()=MAX(IF($C$32:$C$47=C34,ROW($C$32:$C$47),0)),MAX(0,IFERROR(VLOOKUP(C34,$A$10:$L$11,6,FALSE)-VLOOKUP(C34,$A$10:$L$11,5,FALSE),0)),0))</f>
        <v>73.81248</v>
      </c>
      <c r="K34" s="57">
        <f t="shared" si="10"/>
        <v>16845.68794</v>
      </c>
      <c r="L34" s="61">
        <f t="shared" si="11"/>
        <v>70.98063787</v>
      </c>
      <c r="M34" s="61">
        <f t="shared" si="12"/>
        <v>483.9889075</v>
      </c>
      <c r="N34" s="61">
        <f t="shared" si="13"/>
        <v>85.8</v>
      </c>
      <c r="O34" s="89"/>
    </row>
    <row r="35">
      <c r="A35" s="55">
        <v>46228.0</v>
      </c>
      <c r="B35" s="56" t="s">
        <v>146</v>
      </c>
      <c r="C35" s="56" t="s">
        <v>70</v>
      </c>
      <c r="D35" s="78">
        <f>HYPERLINK("https://drive.google.com/file/d/1U4H9jaHWJOs6iU_74unuuJgOlOn1EyVr/view", 72920)</f>
        <v>72920</v>
      </c>
      <c r="E35" s="78">
        <f>HYPERLINK("https://drive.google.com/file/d/1cMDXE4UIC88ufD_AgwZRaC_dIYbvBh6n/view", 28640)</f>
        <v>28640</v>
      </c>
      <c r="F35" s="57">
        <f t="shared" si="7"/>
        <v>20085.05376</v>
      </c>
      <c r="G35" s="60">
        <v>2.9</v>
      </c>
      <c r="H35" s="109">
        <f t="shared" si="8"/>
        <v>259.0971935</v>
      </c>
      <c r="I35" s="109">
        <f t="shared" si="9"/>
        <v>38.6606153</v>
      </c>
      <c r="J35" s="109">
        <f t="array" ref="J35">IF(F35="","",IF(ROW()=MAX(IF($C$32:$C$47=C35,ROW($C$32:$C$47),0)),MAX(0,IFERROR(VLOOKUP(C35,$A$10:$L$11,6,FALSE)-VLOOKUP(C35,$A$10:$L$11,5,FALSE),0)),0))</f>
        <v>0</v>
      </c>
      <c r="K35" s="109">
        <f t="shared" si="10"/>
        <v>19787.29595</v>
      </c>
      <c r="L35" s="61">
        <f t="shared" si="11"/>
        <v>83.06527106</v>
      </c>
      <c r="M35" s="61">
        <f t="shared" si="12"/>
        <v>566.3892436</v>
      </c>
      <c r="N35" s="61">
        <f t="shared" si="13"/>
        <v>85.8</v>
      </c>
      <c r="O35" s="110"/>
    </row>
    <row r="36">
      <c r="A36" s="55">
        <v>46228.0</v>
      </c>
      <c r="B36" s="56" t="s">
        <v>147</v>
      </c>
      <c r="C36" s="56" t="s">
        <v>70</v>
      </c>
      <c r="D36" s="78">
        <f>HYPERLINK("https://drive.google.com/file/d/1ciKQAge5xMshNXV866BOpqpuCVc8usrZ/view", 75380)</f>
        <v>75380</v>
      </c>
      <c r="E36" s="78">
        <f>HYPERLINK("https://drive.google.com/file/d/14PSqrwgxBDUpnHoVqM2Kbohgb01nXUqW/view", 29180)</f>
        <v>29180</v>
      </c>
      <c r="F36" s="57">
        <f t="shared" si="7"/>
        <v>20955.9504</v>
      </c>
      <c r="G36" s="60">
        <v>2.9</v>
      </c>
      <c r="H36" s="109">
        <f t="shared" si="8"/>
        <v>270.3317602</v>
      </c>
      <c r="I36" s="109">
        <f t="shared" si="9"/>
        <v>40.33695635</v>
      </c>
      <c r="J36" s="57">
        <f t="array" ref="J36">IF(F36="","",IF(ROW()=MAX(IF($C$32:$C$47=C36,ROW($C$32:$C$47),0)),MAX(0,IFERROR(VLOOKUP(C36,$A$10:$L$11,6,FALSE)-VLOOKUP(C36,$A$10:$L$11,5,FALSE),0)),0))</f>
        <v>0</v>
      </c>
      <c r="K36" s="109">
        <f t="shared" si="10"/>
        <v>20645.28168</v>
      </c>
      <c r="L36" s="61">
        <f t="shared" si="11"/>
        <v>86.66701724</v>
      </c>
      <c r="M36" s="61">
        <f t="shared" si="12"/>
        <v>590.9481268</v>
      </c>
      <c r="N36" s="61">
        <f t="shared" si="13"/>
        <v>85.8</v>
      </c>
      <c r="O36" s="110"/>
    </row>
    <row r="37">
      <c r="A37" s="55">
        <v>46228.0</v>
      </c>
      <c r="B37" s="56" t="s">
        <v>148</v>
      </c>
      <c r="C37" s="56" t="s">
        <v>70</v>
      </c>
      <c r="D37" s="112">
        <f>HYPERLINK("https://drive.google.com/file/d/1LW6g2jOcrYxVMmZfrab1tsrweOH7lVxe/view", 74720)</f>
        <v>74720</v>
      </c>
      <c r="E37" s="112">
        <f>HYPERLINK("https://drive.google.com/file/d/1L8NO7aAWFmWZ9CwwjSMNqbEk5rtVMa_7/view", 28640)</f>
        <v>28640</v>
      </c>
      <c r="F37" s="57">
        <f t="shared" si="7"/>
        <v>20901.51936</v>
      </c>
      <c r="G37" s="60">
        <v>2.9</v>
      </c>
      <c r="H37" s="109">
        <f t="shared" si="8"/>
        <v>269.6295997</v>
      </c>
      <c r="I37" s="109">
        <f t="shared" si="9"/>
        <v>40.23218503</v>
      </c>
      <c r="J37" s="57">
        <f t="array" ref="J37">IF(F37="","",IF(ROW()=MAX(IF($C$32:$C$47=C37,ROW($C$32:$C$47),0)),MAX(0,IFERROR(VLOOKUP(C37,$A$10:$L$11,6,FALSE)-VLOOKUP(C37,$A$10:$L$11,5,FALSE),0)),0))</f>
        <v>0</v>
      </c>
      <c r="K37" s="109">
        <f t="shared" si="10"/>
        <v>20591.65758</v>
      </c>
      <c r="L37" s="61">
        <f t="shared" si="11"/>
        <v>86.4419081</v>
      </c>
      <c r="M37" s="61">
        <f t="shared" si="12"/>
        <v>589.4131966</v>
      </c>
      <c r="N37" s="61">
        <f t="shared" si="13"/>
        <v>85.8</v>
      </c>
      <c r="O37" s="110"/>
    </row>
    <row r="38">
      <c r="A38" s="55">
        <v>46228.0</v>
      </c>
      <c r="B38" s="56" t="s">
        <v>149</v>
      </c>
      <c r="C38" s="56" t="s">
        <v>70</v>
      </c>
      <c r="D38" s="112">
        <f>HYPERLINK("https://drive.google.com/file/d/1oEWaL4HoUNNlQlNTlMjkSazaO7NuoDbK/view", 64700)</f>
        <v>64700</v>
      </c>
      <c r="E38" s="112">
        <f>HYPERLINK("https://drive.google.com/file/d/1pSmBA0CXVxS0Mp7N35RMS0atnF8hHQRP/view", 28900)</f>
        <v>28900</v>
      </c>
      <c r="F38" s="57">
        <f t="shared" si="7"/>
        <v>16238.5936</v>
      </c>
      <c r="G38" s="60">
        <v>2.9</v>
      </c>
      <c r="H38" s="109">
        <f t="shared" si="8"/>
        <v>206.8834466</v>
      </c>
      <c r="I38" s="109">
        <f t="shared" si="9"/>
        <v>30.86965642</v>
      </c>
      <c r="J38" s="57">
        <f t="array" ref="J38">IF(F38="","",IF(ROW()=MAX(IF($C$32:$C$47=C38,ROW($C$32:$C$47),0)),MAX(0,IFERROR(VLOOKUP(C38,$A$10:$L$11,6,FALSE)-VLOOKUP(C38,$A$10:$L$11,5,FALSE),0)),0))</f>
        <v>201.11712</v>
      </c>
      <c r="K38" s="109">
        <f t="shared" si="10"/>
        <v>15799.72338</v>
      </c>
      <c r="L38" s="61">
        <f t="shared" si="11"/>
        <v>66.3258036</v>
      </c>
      <c r="M38" s="61">
        <f t="shared" si="12"/>
        <v>452.2494329</v>
      </c>
      <c r="N38" s="61">
        <f t="shared" si="13"/>
        <v>85.8</v>
      </c>
      <c r="O38" s="110"/>
    </row>
    <row r="39">
      <c r="A39" s="55"/>
      <c r="B39" s="56"/>
      <c r="C39" s="56"/>
      <c r="D39" s="61"/>
      <c r="E39" s="113"/>
      <c r="F39" s="109"/>
      <c r="G39" s="60"/>
      <c r="H39" s="109"/>
      <c r="I39" s="109"/>
      <c r="J39" s="109"/>
      <c r="K39" s="109"/>
      <c r="L39" s="61"/>
      <c r="M39" s="61"/>
      <c r="N39" s="61"/>
      <c r="O39" s="110"/>
    </row>
    <row r="40">
      <c r="A40" s="55"/>
      <c r="B40" s="56"/>
      <c r="C40" s="56"/>
      <c r="D40" s="61"/>
      <c r="E40" s="61"/>
      <c r="F40" s="109"/>
      <c r="G40" s="60"/>
      <c r="H40" s="109"/>
      <c r="I40" s="109"/>
      <c r="J40" s="57"/>
      <c r="K40" s="109"/>
      <c r="L40" s="61"/>
      <c r="M40" s="61"/>
      <c r="N40" s="61"/>
      <c r="O40" s="110"/>
    </row>
    <row r="41">
      <c r="A41" s="55"/>
      <c r="B41" s="56"/>
      <c r="C41" s="56"/>
      <c r="D41" s="61"/>
      <c r="E41" s="61"/>
      <c r="F41" s="109"/>
      <c r="G41" s="60"/>
      <c r="H41" s="114"/>
      <c r="I41" s="114"/>
      <c r="J41" s="115"/>
      <c r="K41" s="116"/>
      <c r="L41" s="117"/>
      <c r="M41" s="117"/>
      <c r="N41" s="110"/>
      <c r="O41" s="110"/>
    </row>
    <row r="42" ht="16.5" customHeight="1">
      <c r="A42" s="55"/>
      <c r="B42" s="56"/>
      <c r="C42" s="56"/>
      <c r="D42" s="58"/>
      <c r="E42" s="58"/>
      <c r="F42" s="109"/>
      <c r="G42" s="60"/>
      <c r="H42" s="114"/>
      <c r="I42" s="114"/>
      <c r="J42" s="115"/>
      <c r="K42" s="116"/>
      <c r="L42" s="117"/>
      <c r="M42" s="117"/>
      <c r="N42" s="110"/>
      <c r="O42" s="110"/>
      <c r="P42" s="2"/>
      <c r="Q42" s="2"/>
      <c r="R42" s="2"/>
    </row>
    <row r="43">
      <c r="A43" s="55"/>
      <c r="B43" s="56"/>
      <c r="C43" s="56"/>
      <c r="D43" s="58"/>
      <c r="E43" s="58"/>
      <c r="F43" s="57"/>
      <c r="G43" s="58"/>
      <c r="H43" s="118"/>
      <c r="I43" s="118"/>
      <c r="J43" s="119"/>
      <c r="K43" s="119"/>
      <c r="L43" s="120"/>
      <c r="M43" s="120"/>
      <c r="N43" s="110"/>
      <c r="O43" s="110"/>
      <c r="P43" s="10"/>
      <c r="Q43" s="10"/>
      <c r="R43" s="10"/>
    </row>
    <row r="44">
      <c r="A44" s="55"/>
      <c r="B44" s="58"/>
      <c r="C44" s="58"/>
      <c r="D44" s="61"/>
      <c r="E44" s="61"/>
      <c r="F44" s="109"/>
      <c r="G44" s="60"/>
      <c r="H44" s="114"/>
      <c r="I44" s="114"/>
      <c r="J44" s="119"/>
      <c r="K44" s="121"/>
      <c r="L44" s="117"/>
      <c r="M44" s="117"/>
      <c r="N44" s="110"/>
      <c r="O44" s="110"/>
    </row>
    <row r="45">
      <c r="A45" s="55"/>
      <c r="B45" s="56"/>
      <c r="C45" s="56"/>
      <c r="D45" s="61"/>
      <c r="E45" s="61"/>
      <c r="F45" s="109"/>
      <c r="G45" s="60"/>
      <c r="H45" s="114"/>
      <c r="I45" s="114"/>
      <c r="J45" s="115"/>
      <c r="K45" s="116"/>
      <c r="L45" s="117"/>
      <c r="M45" s="117"/>
      <c r="N45" s="110"/>
      <c r="O45" s="110"/>
    </row>
    <row r="46">
      <c r="A46" s="55"/>
      <c r="B46" s="56"/>
      <c r="C46" s="56"/>
      <c r="D46" s="61"/>
      <c r="E46" s="61"/>
      <c r="F46" s="109"/>
      <c r="G46" s="60"/>
      <c r="H46" s="114"/>
      <c r="I46" s="114"/>
      <c r="J46" s="115"/>
      <c r="K46" s="116"/>
      <c r="L46" s="117"/>
      <c r="M46" s="117"/>
      <c r="N46" s="110"/>
      <c r="O46" s="110"/>
    </row>
    <row r="47">
      <c r="A47" s="55"/>
      <c r="B47" s="56"/>
      <c r="C47" s="56"/>
      <c r="D47" s="58"/>
      <c r="E47" s="58"/>
      <c r="F47" s="57"/>
      <c r="G47" s="60"/>
      <c r="H47" s="114"/>
      <c r="I47" s="114"/>
      <c r="J47" s="122"/>
      <c r="K47" s="116"/>
      <c r="L47" s="117"/>
      <c r="M47" s="117"/>
      <c r="N47" s="110"/>
      <c r="O47" s="110"/>
    </row>
    <row r="48">
      <c r="A48" s="25" t="s">
        <v>150</v>
      </c>
      <c r="D48" s="18"/>
      <c r="E48" s="18"/>
      <c r="F48" s="18"/>
      <c r="G48" s="27"/>
      <c r="L48" s="18">
        <f t="shared" ref="L48:N48" si="14">SUM(L32:L47)</f>
        <v>563.7711837</v>
      </c>
      <c r="M48" s="18">
        <f t="shared" si="14"/>
        <v>3844.132815</v>
      </c>
      <c r="N48" s="18">
        <f t="shared" si="14"/>
        <v>600.6</v>
      </c>
    </row>
    <row r="49">
      <c r="A49" s="26"/>
    </row>
    <row r="50">
      <c r="A50" s="123" t="s">
        <v>151</v>
      </c>
      <c r="B50" s="124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>
      <c r="A51" s="4" t="s">
        <v>152</v>
      </c>
      <c r="B51" s="4" t="s">
        <v>153</v>
      </c>
      <c r="C51" s="4" t="s">
        <v>154</v>
      </c>
      <c r="D51" s="4" t="s">
        <v>155</v>
      </c>
      <c r="E51" s="4" t="s">
        <v>42</v>
      </c>
      <c r="F51" s="4" t="s">
        <v>44</v>
      </c>
      <c r="G51" s="4" t="s">
        <v>48</v>
      </c>
      <c r="H51" s="4" t="s">
        <v>52</v>
      </c>
      <c r="I51" s="4"/>
      <c r="N51" s="3" t="s">
        <v>82</v>
      </c>
    </row>
    <row r="52">
      <c r="A52" s="18">
        <f>SUM(I10:I13)</f>
        <v>136376.9707</v>
      </c>
      <c r="B52" s="40">
        <f>SUM(F32:F47)</f>
        <v>136376.9707</v>
      </c>
      <c r="C52" s="18">
        <f>SUM(J32:J47)</f>
        <v>274.9296</v>
      </c>
      <c r="D52" s="40">
        <f>B52-C52</f>
        <v>136102.0411</v>
      </c>
      <c r="E52" s="18">
        <f t="shared" ref="E52:F52" si="15">SUM(H32:H47)</f>
        <v>1755.71633</v>
      </c>
      <c r="F52" s="18">
        <f t="shared" si="15"/>
        <v>261.9753333</v>
      </c>
      <c r="G52" s="18">
        <f>SUM(K32:K47)</f>
        <v>134084.3495</v>
      </c>
      <c r="H52" s="35">
        <f>IFERROR(AVERAGE(G32:G47),"")</f>
        <v>2.9</v>
      </c>
      <c r="N52" s="35" t="str">
        <f>IFERROR(__xludf.DUMMYFUNCTION("TRIM(TEXTJOIN("", "",TRUE,IFERROR(FILTER(B17:B28,B17:B28&lt;&gt;""""),"""")))"),"2395-R, 2396-R, 2397-R, 2399-R, 2400-R, 2401-R")</f>
        <v>2395-R, 2396-R, 2397-R, 2399-R, 2400-R, 2401-R</v>
      </c>
    </row>
    <row r="53">
      <c r="A53" s="26"/>
    </row>
    <row r="55">
      <c r="A55" s="26"/>
    </row>
    <row r="56">
      <c r="A56" s="26"/>
    </row>
    <row r="57">
      <c r="A57" s="26"/>
      <c r="E57" s="3" t="s">
        <v>126</v>
      </c>
    </row>
    <row r="58">
      <c r="A58" s="26"/>
    </row>
    <row r="59">
      <c r="A59" s="26"/>
    </row>
    <row r="60">
      <c r="A60" s="2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46221.0</v>
      </c>
      <c r="K3" s="4" t="s">
        <v>8</v>
      </c>
      <c r="L3" s="6">
        <v>2.20462</v>
      </c>
    </row>
    <row r="4">
      <c r="A4" s="3" t="s">
        <v>9</v>
      </c>
      <c r="B4" s="5">
        <v>46228.0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8">
      <c r="A8" s="1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7"/>
      <c r="B9" s="8" t="s">
        <v>17</v>
      </c>
      <c r="D9" s="8" t="s">
        <v>18</v>
      </c>
      <c r="F9" s="8" t="s">
        <v>19</v>
      </c>
      <c r="G9" s="7"/>
      <c r="H9" s="7"/>
      <c r="I9" s="7"/>
      <c r="J9" s="9"/>
      <c r="K9" s="10"/>
      <c r="L9" s="10"/>
      <c r="M9" s="10"/>
    </row>
    <row r="10">
      <c r="A10" s="8" t="s">
        <v>21</v>
      </c>
      <c r="B10" s="8" t="s">
        <v>22</v>
      </c>
      <c r="C10" s="13" t="s">
        <v>23</v>
      </c>
      <c r="D10" s="13" t="s">
        <v>26</v>
      </c>
      <c r="E10" s="13" t="s">
        <v>27</v>
      </c>
      <c r="F10" s="13" t="s">
        <v>28</v>
      </c>
      <c r="G10" s="14" t="s">
        <v>29</v>
      </c>
      <c r="H10" s="15" t="s">
        <v>30</v>
      </c>
      <c r="I10" s="7" t="s">
        <v>31</v>
      </c>
      <c r="J10" s="7" t="s">
        <v>32</v>
      </c>
    </row>
    <row r="11">
      <c r="A11" s="16"/>
      <c r="B11" s="17"/>
      <c r="C11" s="17"/>
      <c r="D11" s="18"/>
      <c r="E11" s="20"/>
      <c r="F11" s="18"/>
      <c r="G11" s="22"/>
      <c r="H11" s="23"/>
      <c r="I11" s="18"/>
      <c r="J11" s="24"/>
    </row>
    <row r="12">
      <c r="A12" s="16"/>
      <c r="B12" s="17"/>
      <c r="C12" s="17"/>
      <c r="D12" s="18"/>
      <c r="E12" s="20"/>
      <c r="F12" s="18"/>
      <c r="G12" s="22"/>
      <c r="H12" s="23"/>
      <c r="I12" s="18"/>
      <c r="J12" s="24"/>
    </row>
    <row r="13">
      <c r="A13" s="16"/>
      <c r="B13" s="17"/>
      <c r="C13" s="17"/>
      <c r="D13" s="18"/>
      <c r="E13" s="20"/>
      <c r="F13" s="18"/>
      <c r="G13" s="22"/>
      <c r="H13" s="23"/>
      <c r="I13" s="18"/>
      <c r="J13" s="24"/>
    </row>
    <row r="14">
      <c r="A14" s="16"/>
      <c r="B14" s="17"/>
      <c r="C14" s="17"/>
      <c r="D14" s="18"/>
      <c r="E14" s="20"/>
      <c r="F14" s="18"/>
      <c r="G14" s="22"/>
      <c r="H14" s="23"/>
      <c r="I14" s="18"/>
      <c r="J14" s="24"/>
    </row>
    <row r="15">
      <c r="A15" s="16"/>
      <c r="B15" s="17"/>
      <c r="C15" s="17"/>
      <c r="D15" s="18"/>
      <c r="E15" s="20"/>
      <c r="F15" s="18"/>
      <c r="G15" s="22"/>
      <c r="H15" s="23"/>
      <c r="I15" s="18"/>
      <c r="J15" s="24"/>
    </row>
    <row r="16">
      <c r="A16" s="16"/>
      <c r="B16" s="17"/>
      <c r="C16" s="17"/>
      <c r="D16" s="18"/>
      <c r="E16" s="20"/>
      <c r="F16" s="18"/>
      <c r="G16" s="22"/>
      <c r="H16" s="23"/>
      <c r="I16" s="18"/>
      <c r="J16" s="24"/>
    </row>
    <row r="17">
      <c r="A17" s="16"/>
      <c r="B17" s="17"/>
      <c r="C17" s="17"/>
      <c r="D17" s="18"/>
      <c r="E17" s="20"/>
      <c r="F17" s="18"/>
      <c r="G17" s="22"/>
      <c r="H17" s="23"/>
      <c r="I17" s="18"/>
      <c r="J17" s="24"/>
    </row>
    <row r="18">
      <c r="A18" s="16"/>
      <c r="B18" s="17"/>
      <c r="C18" s="17"/>
      <c r="D18" s="18"/>
      <c r="E18" s="20"/>
      <c r="F18" s="18"/>
      <c r="G18" s="22"/>
      <c r="H18" s="23"/>
      <c r="I18" s="18"/>
      <c r="J18" s="24"/>
    </row>
    <row r="19">
      <c r="A19" s="16"/>
      <c r="B19" s="17"/>
      <c r="C19" s="17"/>
      <c r="D19" s="18"/>
      <c r="E19" s="20"/>
      <c r="F19" s="18"/>
      <c r="G19" s="22"/>
      <c r="H19" s="23"/>
      <c r="I19" s="18"/>
      <c r="J19" s="24"/>
    </row>
    <row r="20">
      <c r="A20" s="16"/>
      <c r="B20" s="17"/>
      <c r="C20" s="17"/>
      <c r="D20" s="18"/>
      <c r="E20" s="20"/>
      <c r="F20" s="18"/>
      <c r="G20" s="22"/>
      <c r="H20" s="23"/>
      <c r="I20" s="18"/>
      <c r="J20" s="24"/>
    </row>
    <row r="21">
      <c r="A21" s="16"/>
      <c r="B21" s="17"/>
      <c r="C21" s="17"/>
      <c r="D21" s="18"/>
      <c r="E21" s="20"/>
      <c r="F21" s="18"/>
      <c r="G21" s="22"/>
      <c r="H21" s="23"/>
      <c r="I21" s="18"/>
      <c r="J21" s="24"/>
    </row>
    <row r="22">
      <c r="A22" s="16"/>
      <c r="B22" s="17"/>
      <c r="C22" s="17"/>
      <c r="D22" s="18"/>
      <c r="E22" s="20"/>
      <c r="F22" s="18"/>
      <c r="G22" s="22"/>
      <c r="H22" s="23"/>
      <c r="I22" s="18"/>
      <c r="J22" s="24"/>
    </row>
    <row r="23">
      <c r="A23" s="16"/>
      <c r="B23" s="17"/>
      <c r="C23" s="17"/>
      <c r="D23" s="18"/>
      <c r="E23" s="20"/>
      <c r="F23" s="18"/>
      <c r="G23" s="22"/>
      <c r="H23" s="23"/>
      <c r="I23" s="18"/>
      <c r="J23" s="24"/>
    </row>
    <row r="24">
      <c r="A24" s="16"/>
      <c r="B24" s="17"/>
      <c r="C24" s="17"/>
      <c r="D24" s="18"/>
      <c r="E24" s="20"/>
      <c r="F24" s="18"/>
      <c r="G24" s="22"/>
      <c r="H24" s="23"/>
      <c r="I24" s="18"/>
      <c r="J24" s="24"/>
    </row>
    <row r="25">
      <c r="C25" s="18"/>
      <c r="D25" s="18"/>
      <c r="E25" s="29"/>
      <c r="F25" s="18"/>
      <c r="G25" s="31"/>
      <c r="H25" s="27"/>
    </row>
    <row r="26">
      <c r="B26" s="18">
        <f>SUM(B11:B24)</f>
        <v>0</v>
      </c>
      <c r="C26" s="18"/>
      <c r="D26" s="18">
        <f t="shared" ref="D26:F26" si="1">SUM(D9:D24)</f>
        <v>0</v>
      </c>
      <c r="E26" s="29">
        <f t="shared" si="1"/>
        <v>0</v>
      </c>
      <c r="F26" s="18">
        <f t="shared" si="1"/>
        <v>0</v>
      </c>
      <c r="G26" s="31"/>
      <c r="H26" s="34" t="str">
        <f>I26/D26</f>
        <v>#DIV/0!</v>
      </c>
      <c r="I26" s="35">
        <f t="shared" ref="I26:J26" si="2">SUM(I9:I24)</f>
        <v>0</v>
      </c>
      <c r="J26" s="35">
        <f t="shared" si="2"/>
        <v>0</v>
      </c>
    </row>
    <row r="27">
      <c r="C27" s="18"/>
      <c r="D27" s="18"/>
      <c r="E27" s="29"/>
      <c r="F27" s="18"/>
      <c r="G27" s="31"/>
      <c r="H27" s="27"/>
    </row>
    <row r="28">
      <c r="C28" s="18"/>
      <c r="D28" s="18"/>
      <c r="E28" s="29"/>
      <c r="F28" s="18"/>
      <c r="G28" s="31"/>
      <c r="H28" s="27"/>
    </row>
    <row r="29">
      <c r="C29" s="18"/>
      <c r="D29" s="18"/>
      <c r="E29" s="29"/>
      <c r="F29" s="18"/>
      <c r="G29" s="31"/>
      <c r="H29" s="27"/>
    </row>
    <row r="30">
      <c r="C30" s="18"/>
      <c r="D30" s="18"/>
      <c r="E30" s="18"/>
      <c r="F30" s="18"/>
      <c r="G30" s="31"/>
      <c r="H30" s="27"/>
    </row>
    <row r="31">
      <c r="A31" s="1" t="s">
        <v>74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79</v>
      </c>
      <c r="B32" s="4" t="s">
        <v>81</v>
      </c>
      <c r="C32" s="4" t="s">
        <v>60</v>
      </c>
      <c r="D32" s="4" t="s">
        <v>83</v>
      </c>
      <c r="E32" s="4"/>
      <c r="F32" s="4"/>
      <c r="G32" s="4"/>
      <c r="H32" s="4"/>
      <c r="I32" s="10"/>
      <c r="J32" s="10"/>
      <c r="K32" s="10"/>
      <c r="L32" s="10"/>
      <c r="M32" s="10"/>
      <c r="N32" s="10"/>
      <c r="O32" s="10"/>
    </row>
    <row r="33">
      <c r="A33" s="18">
        <f>B26</f>
        <v>0</v>
      </c>
      <c r="B33" s="18">
        <f>SUM(D11:D24)</f>
        <v>0</v>
      </c>
      <c r="C33" s="18">
        <f>B33-D33</f>
        <v>0</v>
      </c>
      <c r="D33" s="18">
        <f>SUM(F11:F24)</f>
        <v>0</v>
      </c>
      <c r="E33" s="18"/>
      <c r="F33" s="27"/>
      <c r="G33" s="27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46221.0</v>
      </c>
      <c r="K3" s="4" t="s">
        <v>8</v>
      </c>
      <c r="L3" s="6">
        <v>2.20462</v>
      </c>
    </row>
    <row r="4">
      <c r="A4" s="3" t="s">
        <v>9</v>
      </c>
      <c r="B4" s="5">
        <v>46228.0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16</v>
      </c>
      <c r="L7" s="11">
        <f>HYPERLINK("https://docs.google.com/spreadsheets/d/16shKoa1KP34kQJyQvzclBejW9L5-ubNSqPsMOVB7zDY/edit?usp=sharing", 0.00195)</f>
        <v>0.00195</v>
      </c>
    </row>
    <row r="8">
      <c r="A8" s="1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33</v>
      </c>
      <c r="B9" s="4" t="s">
        <v>35</v>
      </c>
      <c r="C9" s="19" t="s">
        <v>37</v>
      </c>
      <c r="D9" s="19" t="s">
        <v>41</v>
      </c>
      <c r="E9" s="4" t="s">
        <v>43</v>
      </c>
      <c r="F9" s="4" t="s">
        <v>45</v>
      </c>
      <c r="G9" s="19" t="s">
        <v>46</v>
      </c>
      <c r="H9" s="4" t="s">
        <v>52</v>
      </c>
      <c r="I9" s="4" t="s">
        <v>53</v>
      </c>
      <c r="J9" s="4" t="s">
        <v>42</v>
      </c>
      <c r="K9" s="4" t="s">
        <v>44</v>
      </c>
      <c r="L9" s="4" t="s">
        <v>48</v>
      </c>
      <c r="M9" s="4" t="s">
        <v>56</v>
      </c>
      <c r="N9" s="10"/>
    </row>
    <row r="10">
      <c r="A10" s="25"/>
      <c r="B10" s="26"/>
      <c r="C10" s="20"/>
      <c r="D10" s="20"/>
      <c r="E10" s="18"/>
      <c r="F10" s="18"/>
      <c r="G10" s="20"/>
      <c r="H10" s="27"/>
    </row>
    <row r="11">
      <c r="A11" s="25"/>
      <c r="B11" s="26"/>
      <c r="C11" s="20"/>
      <c r="D11" s="20"/>
      <c r="E11" s="18"/>
      <c r="F11" s="18"/>
      <c r="G11" s="20"/>
      <c r="H11" s="27"/>
    </row>
    <row r="12">
      <c r="A12" s="25"/>
      <c r="B12" s="26"/>
      <c r="C12" s="20"/>
      <c r="D12" s="20"/>
      <c r="E12" s="18"/>
      <c r="F12" s="18"/>
      <c r="G12" s="20"/>
      <c r="H12" s="27"/>
    </row>
    <row r="13">
      <c r="A13" s="25"/>
      <c r="B13" s="26"/>
      <c r="C13" s="20"/>
      <c r="D13" s="20"/>
      <c r="E13" s="18"/>
      <c r="F13" s="18"/>
      <c r="G13" s="20"/>
      <c r="H13" s="27"/>
    </row>
    <row r="14">
      <c r="A14" s="25"/>
      <c r="B14" s="26"/>
      <c r="C14" s="20"/>
      <c r="D14" s="20"/>
      <c r="E14" s="18"/>
      <c r="F14" s="18"/>
      <c r="G14" s="20"/>
      <c r="H14" s="27"/>
    </row>
    <row r="15">
      <c r="A15" s="25"/>
      <c r="C15" s="20"/>
      <c r="D15" s="20"/>
      <c r="E15" s="18"/>
      <c r="F15" s="18"/>
      <c r="G15" s="20"/>
      <c r="H15" s="27"/>
    </row>
    <row r="16">
      <c r="A16" s="26"/>
      <c r="C16" s="29"/>
      <c r="D16" s="29"/>
      <c r="E16" s="18"/>
      <c r="F16" s="18"/>
      <c r="G16" s="29"/>
      <c r="H16" s="27"/>
    </row>
    <row r="17">
      <c r="A17" s="26"/>
      <c r="C17" s="29"/>
      <c r="D17" s="29"/>
      <c r="E17" s="18"/>
      <c r="F17" s="18"/>
      <c r="G17" s="29"/>
      <c r="H17" s="27"/>
    </row>
    <row r="18">
      <c r="A18" s="26"/>
      <c r="C18" s="29"/>
      <c r="D18" s="29"/>
      <c r="E18" s="18"/>
      <c r="F18" s="18"/>
      <c r="G18" s="29"/>
      <c r="H18" s="27"/>
    </row>
    <row r="19">
      <c r="A19" s="26"/>
      <c r="C19" s="29"/>
      <c r="D19" s="29"/>
      <c r="E19" s="18"/>
      <c r="F19" s="18"/>
      <c r="G19" s="29"/>
      <c r="H19" s="27"/>
    </row>
    <row r="20">
      <c r="A20" s="26"/>
      <c r="C20" s="29"/>
      <c r="D20" s="29"/>
      <c r="E20" s="18"/>
      <c r="F20" s="18"/>
      <c r="G20" s="29"/>
      <c r="H20" s="27"/>
    </row>
    <row r="21">
      <c r="A21" s="26"/>
      <c r="C21" s="29"/>
      <c r="D21" s="29"/>
      <c r="E21" s="18"/>
      <c r="F21" s="18"/>
      <c r="G21" s="29"/>
      <c r="H21" s="27"/>
    </row>
    <row r="22">
      <c r="A22" s="26"/>
      <c r="C22" s="29"/>
      <c r="D22" s="29"/>
      <c r="E22" s="18"/>
      <c r="F22" s="18"/>
      <c r="G22" s="29"/>
      <c r="H22" s="27"/>
    </row>
    <row r="23">
      <c r="A23" s="26"/>
      <c r="C23" s="29"/>
      <c r="D23" s="29"/>
      <c r="E23" s="18"/>
      <c r="F23" s="18"/>
      <c r="G23" s="29"/>
      <c r="H23" s="27"/>
    </row>
    <row r="24">
      <c r="A24" s="26"/>
      <c r="C24" s="29"/>
      <c r="D24" s="29"/>
      <c r="E24" s="18"/>
      <c r="F24" s="18"/>
      <c r="G24" s="29"/>
      <c r="H24" s="27"/>
    </row>
    <row r="25">
      <c r="A25" s="26"/>
      <c r="C25" s="18"/>
      <c r="D25" s="18"/>
      <c r="E25" s="18"/>
      <c r="F25" s="18"/>
      <c r="G25" s="18"/>
      <c r="H25" s="27"/>
    </row>
    <row r="26">
      <c r="A26" s="36" t="s">
        <v>72</v>
      </c>
      <c r="B26" s="2"/>
      <c r="C26" s="37"/>
      <c r="D26" s="37"/>
      <c r="E26" s="37"/>
      <c r="F26" s="37"/>
      <c r="G26" s="37"/>
      <c r="H26" s="38"/>
      <c r="I26" s="2"/>
      <c r="J26" s="2"/>
      <c r="K26" s="2"/>
      <c r="L26" s="2"/>
      <c r="M26" s="2"/>
      <c r="N26" s="2"/>
    </row>
    <row r="27">
      <c r="A27" s="41" t="s">
        <v>75</v>
      </c>
      <c r="B27" s="4" t="s">
        <v>76</v>
      </c>
      <c r="C27" s="42" t="s">
        <v>40</v>
      </c>
      <c r="D27" s="42" t="s">
        <v>42</v>
      </c>
      <c r="E27" s="42" t="s">
        <v>44</v>
      </c>
      <c r="F27" s="42" t="s">
        <v>77</v>
      </c>
      <c r="G27" s="42" t="s">
        <v>48</v>
      </c>
      <c r="H27" s="43" t="s">
        <v>52</v>
      </c>
      <c r="I27" s="4" t="s">
        <v>80</v>
      </c>
      <c r="J27" s="4"/>
      <c r="K27" s="4" t="s">
        <v>82</v>
      </c>
      <c r="L27" s="10"/>
      <c r="M27" s="10"/>
      <c r="N27" s="10"/>
    </row>
    <row r="28">
      <c r="A28" s="26">
        <f>SUMIFS(D10:D24,B10:B24,"&lt;&gt;")</f>
        <v>0</v>
      </c>
      <c r="B28" s="18">
        <f>SUMIFS(G10:G24,B10:B24,"&lt;&gt;")</f>
        <v>0</v>
      </c>
      <c r="C28" s="30">
        <f>A28</f>
        <v>0</v>
      </c>
      <c r="D28" s="18">
        <f>C28*$L$5</f>
        <v>0</v>
      </c>
      <c r="E28" s="17">
        <f>(C28-D28)*$L$7</f>
        <v>0</v>
      </c>
      <c r="F28" s="46">
        <v>0.0</v>
      </c>
      <c r="G28" s="27">
        <f>C28-D28-E28-F28</f>
        <v>0</v>
      </c>
      <c r="H28" s="27" t="str">
        <f>IFERROR(AVERAGE(H10:H24),"")</f>
        <v/>
      </c>
      <c r="I28" s="35" t="str">
        <f>IFERROR(SUMPRODUCT(L10:L24,M10:M24)/SUM(L10:L24),"")</f>
        <v/>
      </c>
      <c r="K28" s="35" t="str">
        <f>IFERROR(__xludf.DUMMYFUNCTION("TRIM(TEXTJOIN("", "",TRUE,IFERROR(FILTER(B10:B24,B10:B24&lt;&gt;""""),"""")))"),"")</f>
        <v/>
      </c>
    </row>
    <row r="29">
      <c r="A29" s="26"/>
      <c r="C29" s="18"/>
      <c r="D29" s="18"/>
      <c r="E29" s="18"/>
      <c r="F29" s="18"/>
      <c r="G29" s="18"/>
      <c r="H29" s="27"/>
    </row>
    <row r="30">
      <c r="A30" s="26"/>
      <c r="C30" s="18"/>
      <c r="D30" s="18"/>
      <c r="E30" s="18"/>
      <c r="F30" s="18"/>
      <c r="G30" s="18"/>
      <c r="H30" s="27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46221.0</v>
      </c>
      <c r="K3" s="4" t="s">
        <v>8</v>
      </c>
      <c r="L3" s="6">
        <v>2.20462</v>
      </c>
    </row>
    <row r="4">
      <c r="A4" s="3" t="s">
        <v>9</v>
      </c>
      <c r="B4" s="5">
        <v>46228.0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8">
      <c r="A8" s="1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3"/>
      <c r="B9" s="54" t="s">
        <v>17</v>
      </c>
      <c r="D9" s="54" t="s">
        <v>18</v>
      </c>
      <c r="F9" s="8" t="s">
        <v>19</v>
      </c>
      <c r="G9" s="7"/>
      <c r="H9" s="7"/>
      <c r="I9" s="7"/>
      <c r="J9" s="9"/>
    </row>
    <row r="10">
      <c r="A10" s="59" t="s">
        <v>21</v>
      </c>
      <c r="B10" s="62" t="s">
        <v>22</v>
      </c>
      <c r="C10" s="62" t="s">
        <v>23</v>
      </c>
      <c r="D10" s="62" t="s">
        <v>26</v>
      </c>
      <c r="E10" s="62" t="s">
        <v>27</v>
      </c>
      <c r="F10" s="62" t="s">
        <v>28</v>
      </c>
      <c r="G10" s="7" t="s">
        <v>29</v>
      </c>
      <c r="H10" s="7" t="s">
        <v>30</v>
      </c>
      <c r="I10" s="7" t="s">
        <v>31</v>
      </c>
      <c r="J10" s="7" t="s">
        <v>32</v>
      </c>
    </row>
    <row r="11">
      <c r="A11" s="64"/>
      <c r="B11" s="65"/>
      <c r="C11" s="67"/>
      <c r="D11" s="69"/>
      <c r="E11" s="71"/>
      <c r="F11" s="69"/>
      <c r="H11" s="23"/>
      <c r="I11" s="18"/>
      <c r="J11" s="24"/>
    </row>
    <row r="12">
      <c r="A12" s="64"/>
      <c r="B12" s="65"/>
      <c r="C12" s="67"/>
      <c r="D12" s="67"/>
      <c r="E12" s="76"/>
      <c r="F12" s="69"/>
      <c r="H12" s="23"/>
      <c r="I12" s="18"/>
      <c r="J12" s="24"/>
    </row>
    <row r="13">
      <c r="A13" s="64"/>
      <c r="B13" s="65"/>
      <c r="C13" s="67"/>
      <c r="D13" s="69"/>
      <c r="E13" s="76"/>
      <c r="F13" s="69"/>
      <c r="H13" s="23"/>
      <c r="I13" s="18"/>
      <c r="J13" s="24"/>
    </row>
    <row r="14">
      <c r="A14" s="64"/>
      <c r="B14" s="65"/>
      <c r="C14" s="67"/>
      <c r="D14" s="69"/>
      <c r="E14" s="71"/>
      <c r="F14" s="69"/>
      <c r="H14" s="23"/>
      <c r="I14" s="18"/>
      <c r="J14" s="24"/>
    </row>
    <row r="15">
      <c r="A15" s="64"/>
      <c r="B15" s="65"/>
      <c r="C15" s="67"/>
      <c r="D15" s="69"/>
      <c r="E15" s="71"/>
      <c r="F15" s="69"/>
      <c r="H15" s="23"/>
      <c r="I15" s="18"/>
      <c r="J15" s="24"/>
    </row>
    <row r="16">
      <c r="A16" s="64"/>
      <c r="B16" s="65"/>
      <c r="C16" s="67"/>
      <c r="D16" s="69"/>
      <c r="E16" s="71"/>
      <c r="F16" s="69"/>
      <c r="H16" s="23"/>
      <c r="I16" s="18"/>
      <c r="J16" s="24"/>
    </row>
    <row r="17">
      <c r="A17" s="64"/>
      <c r="B17" s="65"/>
      <c r="C17" s="67"/>
      <c r="D17" s="69"/>
      <c r="E17" s="71"/>
      <c r="F17" s="69"/>
      <c r="H17" s="23"/>
      <c r="I17" s="18"/>
      <c r="J17" s="24"/>
    </row>
    <row r="18">
      <c r="A18" s="64"/>
      <c r="B18" s="65"/>
      <c r="C18" s="67"/>
      <c r="D18" s="69"/>
      <c r="E18" s="71"/>
      <c r="F18" s="69"/>
      <c r="H18" s="23"/>
      <c r="I18" s="18"/>
      <c r="J18" s="24"/>
    </row>
    <row r="19">
      <c r="A19" s="64"/>
      <c r="B19" s="65"/>
      <c r="C19" s="67"/>
      <c r="D19" s="69"/>
      <c r="E19" s="71"/>
      <c r="F19" s="69"/>
      <c r="H19" s="23"/>
      <c r="I19" s="18"/>
      <c r="J19" s="24"/>
    </row>
    <row r="20">
      <c r="A20" s="64"/>
      <c r="B20" s="65"/>
      <c r="C20" s="67"/>
      <c r="D20" s="69"/>
      <c r="E20" s="76"/>
      <c r="F20" s="69"/>
      <c r="H20" s="23"/>
      <c r="I20" s="18"/>
      <c r="J20" s="24"/>
    </row>
    <row r="21">
      <c r="A21" s="64"/>
      <c r="B21" s="65"/>
      <c r="C21" s="67"/>
      <c r="D21" s="69"/>
      <c r="E21" s="71"/>
      <c r="F21" s="69"/>
      <c r="H21" s="23"/>
      <c r="I21" s="18"/>
      <c r="J21" s="24"/>
    </row>
    <row r="22">
      <c r="A22" s="64"/>
      <c r="B22" s="65"/>
      <c r="C22" s="67"/>
      <c r="D22" s="69"/>
      <c r="E22" s="71"/>
      <c r="F22" s="69"/>
      <c r="H22" s="23"/>
      <c r="I22" s="18"/>
      <c r="J22" s="24"/>
    </row>
    <row r="23">
      <c r="A23" s="64"/>
      <c r="B23" s="65"/>
      <c r="C23" s="67"/>
      <c r="D23" s="69"/>
      <c r="E23" s="71"/>
      <c r="F23" s="69"/>
      <c r="H23" s="23"/>
      <c r="I23" s="18"/>
      <c r="J23" s="24"/>
    </row>
    <row r="24">
      <c r="A24" s="64"/>
      <c r="B24" s="65"/>
      <c r="C24" s="67"/>
      <c r="D24" s="69"/>
      <c r="E24" s="71"/>
      <c r="F24" s="69"/>
      <c r="H24" s="23"/>
      <c r="I24" s="18"/>
      <c r="J24" s="24"/>
    </row>
    <row r="25">
      <c r="A25" s="64"/>
      <c r="B25" s="65"/>
      <c r="C25" s="67"/>
      <c r="D25" s="69"/>
      <c r="E25" s="71"/>
      <c r="F25" s="69"/>
      <c r="H25" s="23"/>
      <c r="I25" s="18"/>
      <c r="J25" s="24"/>
    </row>
    <row r="26">
      <c r="A26" s="64"/>
      <c r="B26" s="65"/>
      <c r="C26" s="67"/>
      <c r="D26" s="69"/>
      <c r="E26" s="71"/>
      <c r="F26" s="69"/>
      <c r="H26" s="23"/>
      <c r="I26" s="18"/>
      <c r="J26" s="24"/>
    </row>
    <row r="27">
      <c r="A27" s="64"/>
      <c r="B27" s="65"/>
      <c r="C27" s="67"/>
      <c r="D27" s="69"/>
      <c r="E27" s="71"/>
      <c r="F27" s="69"/>
      <c r="H27" s="23"/>
      <c r="I27" s="18"/>
      <c r="J27" s="24"/>
    </row>
    <row r="28">
      <c r="A28" s="64"/>
      <c r="B28" s="65"/>
      <c r="C28" s="67"/>
      <c r="D28" s="69"/>
      <c r="E28" s="71"/>
      <c r="F28" s="69"/>
      <c r="H28" s="23"/>
      <c r="I28" s="18"/>
      <c r="J28" s="24"/>
    </row>
    <row r="29">
      <c r="A29" s="64"/>
      <c r="B29" s="65"/>
      <c r="C29" s="67"/>
      <c r="D29" s="69"/>
      <c r="E29" s="71"/>
      <c r="F29" s="69"/>
      <c r="H29" s="23"/>
      <c r="I29" s="18"/>
      <c r="J29" s="24"/>
    </row>
    <row r="30">
      <c r="A30" s="64"/>
      <c r="B30" s="65"/>
      <c r="C30" s="67"/>
      <c r="D30" s="69"/>
      <c r="E30" s="71"/>
      <c r="F30" s="69"/>
      <c r="H30" s="23"/>
      <c r="I30" s="18"/>
      <c r="J30" s="24"/>
    </row>
    <row r="31">
      <c r="A31" s="64"/>
      <c r="B31" s="65"/>
      <c r="C31" s="67"/>
      <c r="D31" s="69"/>
      <c r="E31" s="76"/>
      <c r="F31" s="69"/>
      <c r="H31" s="23"/>
      <c r="I31" s="18"/>
      <c r="J31" s="24"/>
    </row>
    <row r="32">
      <c r="A32" s="64"/>
      <c r="B32" s="65"/>
      <c r="C32" s="67"/>
      <c r="D32" s="65"/>
      <c r="E32" s="76"/>
      <c r="F32" s="69"/>
      <c r="G32" s="48"/>
      <c r="H32" s="84"/>
      <c r="I32" s="18"/>
      <c r="J32" s="24"/>
    </row>
    <row r="33">
      <c r="A33" s="85"/>
      <c r="B33" s="65"/>
      <c r="C33" s="67"/>
      <c r="D33" s="69"/>
      <c r="E33" s="71"/>
      <c r="F33" s="69"/>
      <c r="H33" s="23"/>
      <c r="I33" s="18"/>
      <c r="J33" s="24"/>
    </row>
    <row r="34">
      <c r="A34" s="64"/>
      <c r="B34" s="65"/>
      <c r="C34" s="67"/>
      <c r="D34" s="69"/>
      <c r="E34" s="71"/>
      <c r="F34" s="69"/>
      <c r="H34" s="23"/>
      <c r="I34" s="18"/>
      <c r="J34" s="24"/>
    </row>
    <row r="35">
      <c r="A35" s="64"/>
      <c r="B35" s="65"/>
      <c r="C35" s="67"/>
      <c r="D35" s="69"/>
      <c r="E35" s="71"/>
      <c r="F35" s="69"/>
      <c r="H35" s="23"/>
      <c r="I35" s="18"/>
      <c r="J35" s="24"/>
    </row>
    <row r="36">
      <c r="A36" s="64"/>
      <c r="B36" s="65"/>
      <c r="C36" s="67"/>
      <c r="D36" s="69"/>
      <c r="E36" s="71"/>
      <c r="F36" s="69"/>
      <c r="H36" s="23"/>
      <c r="I36" s="18"/>
      <c r="J36" s="24"/>
    </row>
    <row r="37">
      <c r="A37" s="64"/>
      <c r="B37" s="65"/>
      <c r="C37" s="67"/>
      <c r="D37" s="69"/>
      <c r="E37" s="71"/>
      <c r="F37" s="69"/>
      <c r="H37" s="23"/>
      <c r="I37" s="18"/>
      <c r="J37" s="24"/>
    </row>
    <row r="38">
      <c r="A38" s="64"/>
      <c r="B38" s="65"/>
      <c r="C38" s="67"/>
      <c r="D38" s="69"/>
      <c r="E38" s="76"/>
      <c r="F38" s="69"/>
      <c r="H38" s="23"/>
      <c r="I38" s="18"/>
      <c r="J38" s="24"/>
    </row>
    <row r="39">
      <c r="A39" s="88"/>
      <c r="B39" s="65"/>
      <c r="C39" s="67"/>
      <c r="D39" s="69"/>
      <c r="E39" s="71"/>
      <c r="F39" s="69"/>
      <c r="H39" s="23"/>
      <c r="I39" s="18"/>
      <c r="J39" s="24"/>
    </row>
    <row r="40">
      <c r="A40" s="88"/>
      <c r="B40" s="65"/>
      <c r="C40" s="67"/>
      <c r="D40" s="69"/>
      <c r="E40" s="71"/>
      <c r="F40" s="69"/>
      <c r="H40" s="23"/>
      <c r="I40" s="18"/>
      <c r="J40" s="24"/>
    </row>
    <row r="41">
      <c r="A41" s="88"/>
      <c r="B41" s="65"/>
      <c r="C41" s="67"/>
      <c r="D41" s="69"/>
      <c r="E41" s="71"/>
      <c r="F41" s="69"/>
      <c r="H41" s="23"/>
      <c r="I41" s="18"/>
      <c r="J41" s="24"/>
    </row>
    <row r="42">
      <c r="A42" s="88"/>
      <c r="B42" s="65"/>
      <c r="C42" s="67"/>
      <c r="D42" s="69"/>
      <c r="E42" s="76"/>
      <c r="F42" s="69"/>
      <c r="H42" s="23"/>
      <c r="I42" s="18"/>
      <c r="J42" s="24"/>
    </row>
    <row r="43">
      <c r="A43" s="88"/>
      <c r="B43" s="65"/>
      <c r="C43" s="67"/>
      <c r="D43" s="69"/>
      <c r="E43" s="71"/>
      <c r="F43" s="69"/>
      <c r="H43" s="23"/>
      <c r="I43" s="18"/>
      <c r="J43" s="24"/>
    </row>
    <row r="44">
      <c r="A44" s="88"/>
      <c r="B44" s="65"/>
      <c r="C44" s="67"/>
      <c r="D44" s="69"/>
      <c r="E44" s="71"/>
      <c r="F44" s="69"/>
      <c r="H44" s="23"/>
      <c r="I44" s="18"/>
      <c r="J44" s="24"/>
    </row>
    <row r="45">
      <c r="A45" s="88"/>
      <c r="B45" s="65"/>
      <c r="C45" s="67"/>
      <c r="D45" s="69"/>
      <c r="E45" s="71"/>
      <c r="F45" s="69"/>
      <c r="H45" s="23"/>
      <c r="I45" s="18"/>
      <c r="J45" s="24"/>
    </row>
    <row r="46">
      <c r="A46" s="88"/>
      <c r="B46" s="65"/>
      <c r="C46" s="67"/>
      <c r="D46" s="69"/>
      <c r="E46" s="71"/>
      <c r="F46" s="69"/>
      <c r="H46" s="23"/>
      <c r="I46" s="18"/>
      <c r="J46" s="24"/>
    </row>
    <row r="47">
      <c r="A47" s="90"/>
      <c r="B47" s="91"/>
      <c r="C47" s="67"/>
      <c r="D47" s="69"/>
      <c r="E47" s="69"/>
      <c r="F47" s="69"/>
    </row>
    <row r="48">
      <c r="A48" s="90"/>
      <c r="B48" s="91"/>
      <c r="C48" s="67"/>
      <c r="D48" s="69"/>
      <c r="E48" s="69"/>
      <c r="F48" s="69"/>
    </row>
    <row r="49">
      <c r="A49" s="90"/>
      <c r="B49" s="91"/>
      <c r="C49" s="67"/>
      <c r="D49" s="69"/>
      <c r="E49" s="69"/>
      <c r="F49" s="69"/>
    </row>
    <row r="50">
      <c r="A50" s="90"/>
      <c r="B50" s="91"/>
      <c r="C50" s="67"/>
      <c r="D50" s="69"/>
      <c r="E50" s="69"/>
      <c r="F50" s="69"/>
    </row>
    <row r="51">
      <c r="A51" s="90"/>
      <c r="B51" s="91"/>
      <c r="C51" s="67"/>
      <c r="D51" s="69"/>
      <c r="E51" s="69"/>
      <c r="F51" s="69"/>
    </row>
    <row r="52">
      <c r="B52" s="92"/>
      <c r="C52" s="40"/>
      <c r="D52" s="18"/>
      <c r="E52" s="18"/>
      <c r="F52" s="18"/>
      <c r="G52" s="18"/>
      <c r="H52" s="18"/>
      <c r="I52" s="27"/>
    </row>
    <row r="53">
      <c r="A53" s="3" t="s">
        <v>89</v>
      </c>
      <c r="B53" s="93">
        <f t="shared" ref="B53:F53" si="1">SUM(B11:B46)</f>
        <v>0</v>
      </c>
      <c r="C53" s="93">
        <f t="shared" si="1"/>
        <v>0</v>
      </c>
      <c r="D53" s="93">
        <f t="shared" si="1"/>
        <v>0</v>
      </c>
      <c r="E53" s="93">
        <f t="shared" si="1"/>
        <v>0</v>
      </c>
      <c r="F53" s="93">
        <f t="shared" si="1"/>
        <v>0</v>
      </c>
      <c r="G53" s="94"/>
      <c r="H53" s="95" t="str">
        <f>IFERROR(SUMPRODUCT(D11:D46,H11:H46)/SUM(D11:D46),"")</f>
        <v/>
      </c>
      <c r="I53" s="96">
        <f t="shared" ref="I53:J53" si="2">SUM(I11:I46)</f>
        <v>0</v>
      </c>
      <c r="J53" s="97">
        <f t="shared" si="2"/>
        <v>0</v>
      </c>
    </row>
    <row r="54">
      <c r="B54" s="92"/>
      <c r="D54" s="18"/>
      <c r="E54" s="18"/>
      <c r="F54" s="18"/>
      <c r="G54" s="18"/>
      <c r="H54" s="18"/>
      <c r="I54" s="27"/>
    </row>
    <row r="55">
      <c r="B55" s="92"/>
      <c r="D55" s="18"/>
      <c r="E55" s="18"/>
      <c r="F55" s="18"/>
      <c r="G55" s="18"/>
      <c r="H55" s="18"/>
      <c r="I55" s="34"/>
    </row>
    <row r="56">
      <c r="B56" s="92"/>
      <c r="D56" s="18"/>
      <c r="E56" s="18"/>
      <c r="F56" s="18"/>
      <c r="G56" s="18" t="str">
        <f t="shared" ref="G56:G73" si="3">IF(AND(D56&lt;&gt;"",F56&lt;&gt;""),(D56-F56)*$L$4,"")</f>
        <v/>
      </c>
      <c r="H56" s="18" t="str">
        <f t="shared" ref="H56:H73" si="4">IF(G56="","",G56*(1-$L$5))</f>
        <v/>
      </c>
      <c r="I56" s="27"/>
    </row>
    <row r="57">
      <c r="B57" s="92"/>
      <c r="D57" s="18"/>
      <c r="E57" s="18"/>
      <c r="F57" s="18"/>
      <c r="G57" s="18" t="str">
        <f t="shared" si="3"/>
        <v/>
      </c>
      <c r="H57" s="18" t="str">
        <f t="shared" si="4"/>
        <v/>
      </c>
      <c r="I57" s="27"/>
    </row>
    <row r="58">
      <c r="B58" s="92"/>
      <c r="D58" s="18"/>
      <c r="E58" s="18"/>
      <c r="F58" s="18"/>
      <c r="G58" s="18" t="str">
        <f t="shared" si="3"/>
        <v/>
      </c>
      <c r="H58" s="18" t="str">
        <f t="shared" si="4"/>
        <v/>
      </c>
      <c r="I58" s="27"/>
    </row>
    <row r="59">
      <c r="B59" s="92"/>
      <c r="D59" s="18"/>
      <c r="E59" s="18"/>
      <c r="F59" s="18"/>
      <c r="G59" s="18" t="str">
        <f t="shared" si="3"/>
        <v/>
      </c>
      <c r="H59" s="18" t="str">
        <f t="shared" si="4"/>
        <v/>
      </c>
      <c r="I59" s="27"/>
    </row>
    <row r="60">
      <c r="B60" s="92"/>
      <c r="D60" s="18"/>
      <c r="E60" s="18"/>
      <c r="F60" s="18"/>
      <c r="G60" s="18" t="str">
        <f t="shared" si="3"/>
        <v/>
      </c>
      <c r="H60" s="18" t="str">
        <f t="shared" si="4"/>
        <v/>
      </c>
      <c r="I60" s="27"/>
    </row>
    <row r="61">
      <c r="B61" s="92"/>
      <c r="D61" s="18"/>
      <c r="E61" s="18"/>
      <c r="F61" s="18"/>
      <c r="G61" s="18" t="str">
        <f t="shared" si="3"/>
        <v/>
      </c>
      <c r="H61" s="18" t="str">
        <f t="shared" si="4"/>
        <v/>
      </c>
      <c r="I61" s="27"/>
    </row>
    <row r="62">
      <c r="B62" s="92"/>
      <c r="D62" s="18"/>
      <c r="E62" s="18"/>
      <c r="F62" s="18"/>
      <c r="G62" s="18" t="str">
        <f t="shared" si="3"/>
        <v/>
      </c>
      <c r="H62" s="18" t="str">
        <f t="shared" si="4"/>
        <v/>
      </c>
      <c r="I62" s="27"/>
    </row>
    <row r="63">
      <c r="B63" s="92"/>
      <c r="D63" s="18"/>
      <c r="E63" s="18"/>
      <c r="F63" s="18"/>
      <c r="G63" s="18" t="str">
        <f t="shared" si="3"/>
        <v/>
      </c>
      <c r="H63" s="18" t="str">
        <f t="shared" si="4"/>
        <v/>
      </c>
      <c r="I63" s="27"/>
    </row>
    <row r="64">
      <c r="B64" s="92"/>
      <c r="D64" s="18"/>
      <c r="E64" s="18"/>
      <c r="F64" s="18"/>
      <c r="G64" s="18" t="str">
        <f t="shared" si="3"/>
        <v/>
      </c>
      <c r="H64" s="18" t="str">
        <f t="shared" si="4"/>
        <v/>
      </c>
      <c r="I64" s="27"/>
    </row>
    <row r="65">
      <c r="B65" s="92"/>
      <c r="D65" s="18"/>
      <c r="E65" s="18"/>
      <c r="F65" s="18"/>
      <c r="G65" s="18" t="str">
        <f t="shared" si="3"/>
        <v/>
      </c>
      <c r="H65" s="18" t="str">
        <f t="shared" si="4"/>
        <v/>
      </c>
      <c r="I65" s="27"/>
    </row>
    <row r="66">
      <c r="B66" s="92"/>
      <c r="D66" s="18"/>
      <c r="E66" s="18"/>
      <c r="F66" s="18"/>
      <c r="G66" s="18" t="str">
        <f t="shared" si="3"/>
        <v/>
      </c>
      <c r="H66" s="18" t="str">
        <f t="shared" si="4"/>
        <v/>
      </c>
      <c r="I66" s="27"/>
    </row>
    <row r="67">
      <c r="B67" s="92"/>
      <c r="D67" s="18"/>
      <c r="E67" s="18"/>
      <c r="F67" s="18"/>
      <c r="G67" s="18" t="str">
        <f t="shared" si="3"/>
        <v/>
      </c>
      <c r="H67" s="18" t="str">
        <f t="shared" si="4"/>
        <v/>
      </c>
      <c r="I67" s="27"/>
    </row>
    <row r="68">
      <c r="B68" s="92"/>
      <c r="D68" s="18"/>
      <c r="E68" s="18"/>
      <c r="F68" s="18"/>
      <c r="G68" s="18" t="str">
        <f t="shared" si="3"/>
        <v/>
      </c>
      <c r="H68" s="18" t="str">
        <f t="shared" si="4"/>
        <v/>
      </c>
      <c r="I68" s="27"/>
    </row>
    <row r="69">
      <c r="B69" s="92"/>
      <c r="D69" s="18"/>
      <c r="E69" s="18"/>
      <c r="F69" s="18"/>
      <c r="G69" s="18" t="str">
        <f t="shared" si="3"/>
        <v/>
      </c>
      <c r="H69" s="18" t="str">
        <f t="shared" si="4"/>
        <v/>
      </c>
      <c r="I69" s="27"/>
    </row>
    <row r="70">
      <c r="B70" s="92"/>
      <c r="D70" s="18"/>
      <c r="E70" s="18"/>
      <c r="F70" s="18"/>
      <c r="G70" s="18" t="str">
        <f t="shared" si="3"/>
        <v/>
      </c>
      <c r="H70" s="18" t="str">
        <f t="shared" si="4"/>
        <v/>
      </c>
      <c r="I70" s="27"/>
    </row>
    <row r="71">
      <c r="B71" s="92"/>
      <c r="D71" s="18"/>
      <c r="E71" s="18"/>
      <c r="F71" s="18"/>
      <c r="G71" s="18" t="str">
        <f t="shared" si="3"/>
        <v/>
      </c>
      <c r="H71" s="18" t="str">
        <f t="shared" si="4"/>
        <v/>
      </c>
      <c r="I71" s="27"/>
    </row>
    <row r="72">
      <c r="B72" s="92"/>
      <c r="D72" s="18"/>
      <c r="E72" s="18"/>
      <c r="F72" s="18"/>
      <c r="G72" s="18" t="str">
        <f t="shared" si="3"/>
        <v/>
      </c>
      <c r="H72" s="18" t="str">
        <f t="shared" si="4"/>
        <v/>
      </c>
      <c r="I72" s="27"/>
    </row>
    <row r="73">
      <c r="B73" s="92"/>
      <c r="D73" s="18"/>
      <c r="E73" s="18"/>
      <c r="F73" s="18"/>
      <c r="G73" s="18" t="str">
        <f t="shared" si="3"/>
        <v/>
      </c>
      <c r="H73" s="18" t="str">
        <f t="shared" si="4"/>
        <v/>
      </c>
      <c r="I73" s="27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3" t="s">
        <v>5</v>
      </c>
      <c r="L2" s="4"/>
      <c r="N2" s="3" t="s">
        <v>6</v>
      </c>
    </row>
    <row r="3">
      <c r="A3" s="3" t="s">
        <v>7</v>
      </c>
      <c r="B3" s="5">
        <v>46221.0</v>
      </c>
      <c r="L3" s="4"/>
      <c r="N3" s="3" t="s">
        <v>8</v>
      </c>
      <c r="O3" s="6">
        <v>2.20462</v>
      </c>
      <c r="P3" s="6"/>
    </row>
    <row r="4">
      <c r="A4" s="3" t="s">
        <v>9</v>
      </c>
      <c r="B4" s="5">
        <v>46228.0</v>
      </c>
      <c r="L4" s="4"/>
      <c r="N4" s="3" t="s">
        <v>10</v>
      </c>
      <c r="O4" s="6">
        <v>0.453592</v>
      </c>
      <c r="P4" s="6"/>
    </row>
    <row r="5">
      <c r="L5" s="4"/>
      <c r="N5" s="3" t="s">
        <v>111</v>
      </c>
      <c r="O5" s="79">
        <v>7.1E-4</v>
      </c>
      <c r="P5" s="6"/>
    </row>
    <row r="6">
      <c r="L6" s="4"/>
      <c r="N6" s="3" t="s">
        <v>12</v>
      </c>
      <c r="O6" s="3" t="s">
        <v>13</v>
      </c>
      <c r="P6" s="3"/>
    </row>
    <row r="7">
      <c r="N7" s="3" t="s">
        <v>109</v>
      </c>
      <c r="O7" s="6">
        <v>0.004</v>
      </c>
      <c r="P7" s="6"/>
    </row>
    <row r="8">
      <c r="A8" s="1" t="s">
        <v>112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4" t="s">
        <v>33</v>
      </c>
      <c r="B9" s="4" t="s">
        <v>114</v>
      </c>
      <c r="C9" s="19" t="s">
        <v>115</v>
      </c>
      <c r="D9" s="19" t="s">
        <v>116</v>
      </c>
      <c r="E9" s="19" t="s">
        <v>117</v>
      </c>
      <c r="F9" s="4" t="s">
        <v>118</v>
      </c>
      <c r="G9" s="4" t="s">
        <v>119</v>
      </c>
      <c r="H9" s="19" t="s">
        <v>52</v>
      </c>
      <c r="I9" s="4" t="s">
        <v>53</v>
      </c>
      <c r="J9" s="4" t="s">
        <v>56</v>
      </c>
      <c r="K9" s="4" t="s">
        <v>108</v>
      </c>
      <c r="L9" s="4" t="s">
        <v>120</v>
      </c>
      <c r="M9" s="4"/>
      <c r="N9" s="4"/>
      <c r="O9" s="4"/>
    </row>
    <row r="10">
      <c r="A10" s="5">
        <v>46220.0</v>
      </c>
      <c r="B10" s="3" t="s">
        <v>121</v>
      </c>
      <c r="C10" s="20">
        <v>73300.0</v>
      </c>
      <c r="D10" s="20">
        <v>36400.0</v>
      </c>
      <c r="E10" s="20">
        <f>IF(C10="","",(C10-D10)*$O$4)</f>
        <v>16737.5448</v>
      </c>
      <c r="F10" s="18">
        <f>E10</f>
        <v>16737.5448</v>
      </c>
      <c r="G10" s="18">
        <f>IF(F10="","",F10*(1-$O$5))</f>
        <v>16725.66114</v>
      </c>
      <c r="H10" s="20"/>
      <c r="J10" s="6">
        <v>0.528</v>
      </c>
      <c r="K10" s="35">
        <f>J10*$O$7</f>
        <v>0.002112</v>
      </c>
    </row>
    <row r="11">
      <c r="A11" s="5"/>
      <c r="C11" s="20"/>
      <c r="D11" s="20"/>
      <c r="E11" s="20"/>
      <c r="F11" s="18"/>
      <c r="G11" s="18"/>
      <c r="H11" s="20"/>
    </row>
    <row r="12">
      <c r="A12" s="5"/>
      <c r="C12" s="20"/>
      <c r="D12" s="20"/>
      <c r="E12" s="20"/>
      <c r="F12" s="18"/>
      <c r="G12" s="18"/>
      <c r="H12" s="20"/>
    </row>
    <row r="13">
      <c r="A13" s="5"/>
      <c r="C13" s="20"/>
      <c r="D13" s="20"/>
      <c r="E13" s="20"/>
      <c r="F13" s="18"/>
      <c r="G13" s="18"/>
      <c r="H13" s="20"/>
    </row>
    <row r="14">
      <c r="C14" s="29"/>
      <c r="D14" s="29"/>
      <c r="E14" s="29"/>
      <c r="F14" s="18"/>
      <c r="G14" s="18"/>
      <c r="H14" s="29"/>
    </row>
    <row r="15">
      <c r="C15" s="29"/>
      <c r="D15" s="29"/>
      <c r="E15" s="29"/>
      <c r="F15" s="18"/>
      <c r="G15" s="18"/>
      <c r="H15" s="29"/>
    </row>
    <row r="16">
      <c r="C16" s="29"/>
      <c r="D16" s="29"/>
      <c r="E16" s="29"/>
      <c r="F16" s="18"/>
      <c r="G16" s="18"/>
      <c r="H16" s="29"/>
    </row>
    <row r="17">
      <c r="C17" s="29"/>
      <c r="D17" s="29"/>
      <c r="E17" s="29"/>
      <c r="F17" s="18"/>
      <c r="G17" s="18"/>
      <c r="H17" s="29"/>
    </row>
    <row r="18">
      <c r="C18" s="29"/>
      <c r="D18" s="29"/>
      <c r="E18" s="29"/>
      <c r="F18" s="18"/>
      <c r="G18" s="18"/>
      <c r="H18" s="29"/>
    </row>
    <row r="19">
      <c r="C19" s="29"/>
      <c r="D19" s="29"/>
      <c r="E19" s="29"/>
      <c r="F19" s="18"/>
      <c r="G19" s="18"/>
      <c r="H19" s="29"/>
    </row>
    <row r="20">
      <c r="C20" s="29"/>
      <c r="D20" s="29"/>
      <c r="E20" s="29"/>
      <c r="F20" s="18"/>
      <c r="G20" s="18"/>
      <c r="H20" s="29"/>
    </row>
    <row r="21">
      <c r="C21" s="29"/>
      <c r="D21" s="29"/>
      <c r="E21" s="29"/>
      <c r="F21" s="18"/>
      <c r="G21" s="18"/>
      <c r="H21" s="29"/>
    </row>
    <row r="22">
      <c r="C22" s="29"/>
      <c r="D22" s="29"/>
      <c r="E22" s="29"/>
      <c r="F22" s="18"/>
      <c r="G22" s="18"/>
      <c r="H22" s="29"/>
    </row>
    <row r="23">
      <c r="C23" s="29"/>
      <c r="D23" s="29"/>
      <c r="E23" s="29"/>
      <c r="F23" s="18"/>
      <c r="G23" s="18"/>
      <c r="H23" s="29"/>
    </row>
    <row r="24">
      <c r="C24" s="29"/>
      <c r="D24" s="29"/>
      <c r="E24" s="29"/>
      <c r="F24" s="18"/>
      <c r="G24" s="18"/>
      <c r="H24" s="29"/>
    </row>
    <row r="25">
      <c r="C25" s="18"/>
      <c r="D25" s="18"/>
      <c r="E25" s="18"/>
      <c r="F25" s="18"/>
      <c r="G25" s="18"/>
      <c r="H25" s="18"/>
    </row>
    <row r="26">
      <c r="A26" s="1"/>
      <c r="B26" s="2"/>
      <c r="C26" s="37"/>
      <c r="D26" s="37"/>
      <c r="E26" s="37"/>
      <c r="F26" s="37"/>
      <c r="G26" s="37"/>
      <c r="H26" s="37"/>
      <c r="I26" s="37"/>
      <c r="J26" s="2"/>
      <c r="K26" s="2"/>
      <c r="L26" s="2"/>
      <c r="M26" s="2"/>
      <c r="N26" s="2"/>
      <c r="O26" s="2"/>
      <c r="P26" s="2"/>
    </row>
    <row r="27">
      <c r="A27" s="4"/>
      <c r="B27" s="4"/>
      <c r="C27" s="42"/>
      <c r="D27" s="42"/>
      <c r="E27" s="42"/>
      <c r="F27" s="42"/>
      <c r="G27" s="42"/>
      <c r="H27" s="42"/>
      <c r="I27" s="42"/>
      <c r="J27" s="4"/>
      <c r="K27" s="10"/>
      <c r="L27" s="10"/>
      <c r="M27" s="10"/>
      <c r="N27" s="10"/>
      <c r="O27" s="10"/>
      <c r="P27" s="10"/>
    </row>
    <row r="28">
      <c r="A28" s="18"/>
      <c r="B28" s="18"/>
      <c r="C28" s="30"/>
      <c r="D28" s="30"/>
      <c r="E28" s="30"/>
      <c r="F28" s="18"/>
      <c r="G28" s="17"/>
      <c r="H28" s="17"/>
      <c r="I28" s="18"/>
    </row>
    <row r="29">
      <c r="C29" s="18"/>
      <c r="D29" s="18"/>
      <c r="E29" s="18"/>
      <c r="F29" s="18"/>
      <c r="G29" s="18"/>
      <c r="H29" s="18"/>
      <c r="I29" s="18"/>
    </row>
    <row r="30">
      <c r="C30" s="18"/>
      <c r="D30" s="18"/>
      <c r="E30" s="18"/>
      <c r="F30" s="18"/>
      <c r="G30" s="18"/>
      <c r="H30" s="18"/>
      <c r="I30" s="18"/>
    </row>
    <row r="31">
      <c r="A31" s="3" t="s">
        <v>74</v>
      </c>
    </row>
    <row r="32">
      <c r="A32" s="3" t="s">
        <v>124</v>
      </c>
      <c r="B32" s="3" t="s">
        <v>44</v>
      </c>
      <c r="C32" s="3"/>
      <c r="D32" s="3"/>
      <c r="E32" s="3" t="s">
        <v>48</v>
      </c>
      <c r="F32" s="3" t="s">
        <v>52</v>
      </c>
      <c r="G32" s="3" t="s">
        <v>80</v>
      </c>
      <c r="H32" s="3"/>
      <c r="I32" s="3" t="s">
        <v>125</v>
      </c>
    </row>
    <row r="33">
      <c r="A33" s="35">
        <f>SUMIFS(F10:F29,B10:B29,"&lt;&gt;")</f>
        <v>16737.5448</v>
      </c>
      <c r="B33" s="35">
        <f>A33*$O$5</f>
        <v>11.88365681</v>
      </c>
      <c r="E33" s="35">
        <f>A33-B33</f>
        <v>16725.66114</v>
      </c>
      <c r="F33" s="35" t="str">
        <f>IFERROR(AVERAGE(H10:H29),"")</f>
        <v/>
      </c>
      <c r="G33" s="35">
        <f>IFERROR(__xludf.DUMMYFUNCTION("IFERROR(AVERAGE.WEIGHTED(J10:J29,G10:G29),"""")"),0.528)</f>
        <v>0.528</v>
      </c>
      <c r="I33" s="35" t="str">
        <f>IFERROR(__xludf.DUMMYFUNCTION("TRIM(TEXTJOIN("", "",TRUE,IFERROR(FILTER(B10:B29,B10:B29&lt;&gt;""""),"""")))"),"TANKER Freiburger 07/26")</f>
        <v>TANKER Freiburger 07/26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98" t="s">
        <v>128</v>
      </c>
      <c r="B1" s="99"/>
      <c r="C1" s="99"/>
      <c r="D1" s="99"/>
      <c r="E1" s="99"/>
      <c r="F1" s="99"/>
      <c r="G1" s="99"/>
    </row>
    <row r="4">
      <c r="A4" s="100" t="s">
        <v>2</v>
      </c>
      <c r="B4" s="101"/>
      <c r="C4" s="101"/>
      <c r="D4" s="101"/>
      <c r="E4" s="101"/>
      <c r="F4" s="10"/>
      <c r="G4" s="10"/>
    </row>
    <row r="5">
      <c r="A5" s="4" t="s">
        <v>131</v>
      </c>
      <c r="B5" s="4" t="s">
        <v>132</v>
      </c>
      <c r="C5" s="4" t="s">
        <v>133</v>
      </c>
      <c r="D5" s="4" t="s">
        <v>134</v>
      </c>
      <c r="E5" s="4" t="s">
        <v>135</v>
      </c>
      <c r="F5" s="10"/>
      <c r="G5" s="10"/>
    </row>
    <row r="6">
      <c r="A6" s="3" t="s">
        <v>5</v>
      </c>
    </row>
    <row r="8">
      <c r="A8" s="4" t="s">
        <v>136</v>
      </c>
      <c r="B8" s="28">
        <v>1201.0</v>
      </c>
      <c r="C8" s="10"/>
      <c r="D8" s="10"/>
      <c r="E8" s="10"/>
      <c r="F8" s="10"/>
      <c r="G8" s="10"/>
    </row>
    <row r="10">
      <c r="A10" s="100" t="s">
        <v>137</v>
      </c>
      <c r="B10" s="101"/>
      <c r="C10" s="101"/>
      <c r="D10" s="101"/>
      <c r="E10" s="101"/>
      <c r="F10" s="101"/>
      <c r="G10" s="101"/>
    </row>
    <row r="11">
      <c r="A11" s="4" t="s">
        <v>138</v>
      </c>
      <c r="B11" s="4" t="s">
        <v>139</v>
      </c>
      <c r="C11" s="4" t="s">
        <v>140</v>
      </c>
      <c r="D11" s="4" t="s">
        <v>141</v>
      </c>
      <c r="E11" s="4" t="s">
        <v>142</v>
      </c>
      <c r="F11" s="4" t="s">
        <v>143</v>
      </c>
      <c r="G11" s="4" t="s">
        <v>144</v>
      </c>
    </row>
    <row r="12">
      <c r="B12" s="102"/>
      <c r="E12" s="103"/>
      <c r="G12" s="18"/>
    </row>
    <row r="13">
      <c r="B13" s="102"/>
      <c r="E13" s="103"/>
      <c r="G13" s="18"/>
    </row>
    <row r="14">
      <c r="A14" s="4"/>
      <c r="B14" s="106"/>
      <c r="C14" s="28"/>
      <c r="D14" s="28"/>
      <c r="E14" s="104"/>
      <c r="F14" s="10"/>
      <c r="G14" s="94"/>
    </row>
    <row r="15">
      <c r="A15" s="4"/>
      <c r="B15" s="10"/>
      <c r="C15" s="28"/>
      <c r="D15" s="28"/>
      <c r="E15" s="104"/>
      <c r="F15" s="10"/>
      <c r="G15" s="94"/>
    </row>
    <row r="16">
      <c r="A16" s="4"/>
      <c r="E16" s="103"/>
      <c r="G16" s="18"/>
    </row>
    <row r="17">
      <c r="A17" s="4"/>
      <c r="B17" s="4"/>
      <c r="C17" s="4"/>
      <c r="D17" s="4"/>
      <c r="E17" s="104"/>
      <c r="F17" s="10"/>
      <c r="G17" s="94"/>
    </row>
    <row r="18">
      <c r="A18" s="4"/>
      <c r="B18" s="4"/>
      <c r="C18" s="42"/>
      <c r="D18" s="4"/>
      <c r="E18" s="10"/>
      <c r="F18" s="10"/>
      <c r="G18" s="94"/>
    </row>
    <row r="19">
      <c r="C19" s="27"/>
    </row>
    <row r="20">
      <c r="A20" s="100" t="s">
        <v>145</v>
      </c>
      <c r="B20" s="101"/>
      <c r="C20" s="101"/>
      <c r="D20" s="101"/>
    </row>
    <row r="21">
      <c r="A21" s="4"/>
      <c r="B21" s="4"/>
      <c r="C21" s="4"/>
      <c r="D21" s="4"/>
      <c r="E21" s="4"/>
      <c r="F21" s="10"/>
      <c r="G21" s="10"/>
    </row>
    <row r="22">
      <c r="D22" s="108"/>
      <c r="F22" s="10"/>
    </row>
    <row r="23">
      <c r="D23" s="102"/>
    </row>
    <row r="24">
      <c r="A24" s="4"/>
      <c r="B24" s="10"/>
      <c r="C24" s="10"/>
      <c r="D24" s="106"/>
      <c r="E24" s="10"/>
    </row>
    <row r="25">
      <c r="A25" s="4"/>
      <c r="B25" s="4"/>
      <c r="C25" s="4"/>
      <c r="D25" s="4"/>
      <c r="E25" s="4"/>
    </row>
    <row r="26">
      <c r="C26" s="107"/>
    </row>
    <row r="27">
      <c r="C27" s="107"/>
    </row>
    <row r="28">
      <c r="C28" s="107"/>
    </row>
    <row r="29">
      <c r="C29" s="107"/>
    </row>
    <row r="30">
      <c r="C30" s="107"/>
    </row>
    <row r="31">
      <c r="C31" s="107"/>
    </row>
    <row r="32">
      <c r="C32" s="107"/>
    </row>
    <row r="33">
      <c r="C33" s="107"/>
      <c r="F33" s="10"/>
    </row>
    <row r="34">
      <c r="C34" s="107"/>
    </row>
    <row r="35">
      <c r="C35" s="107"/>
      <c r="F35" s="10"/>
    </row>
    <row r="36">
      <c r="C36" s="107"/>
      <c r="F36" s="10"/>
    </row>
    <row r="37">
      <c r="C37" s="107"/>
    </row>
    <row r="38">
      <c r="C38" s="107"/>
    </row>
    <row r="39">
      <c r="C39" s="107"/>
    </row>
    <row r="40">
      <c r="C40" s="107"/>
    </row>
    <row r="41">
      <c r="C41" s="107"/>
    </row>
    <row r="42">
      <c r="A42" s="4"/>
      <c r="B42" s="10"/>
      <c r="C42" s="10"/>
      <c r="D42" s="10"/>
      <c r="E42" s="10"/>
    </row>
    <row r="43">
      <c r="A43" s="4"/>
      <c r="B43" s="4"/>
      <c r="C43" s="4"/>
      <c r="D43" s="4"/>
      <c r="E43" s="4"/>
    </row>
    <row r="44">
      <c r="C44" s="107"/>
    </row>
    <row r="45">
      <c r="A45" s="4"/>
      <c r="B45" s="10"/>
      <c r="C45" s="10"/>
      <c r="D45" s="106"/>
      <c r="E45" s="10"/>
    </row>
    <row r="46">
      <c r="A46" s="4"/>
      <c r="B46" s="4"/>
      <c r="C46" s="4"/>
      <c r="D46" s="4"/>
      <c r="E46" s="4"/>
    </row>
    <row r="47">
      <c r="C47" s="107"/>
    </row>
    <row r="48">
      <c r="C48" s="107"/>
    </row>
    <row r="49">
      <c r="C49" s="107"/>
    </row>
    <row r="50">
      <c r="C50" s="107"/>
    </row>
    <row r="51">
      <c r="C51" s="107"/>
    </row>
    <row r="52">
      <c r="C52" s="107"/>
    </row>
    <row r="53">
      <c r="C53" s="107"/>
    </row>
    <row r="54">
      <c r="C54" s="107"/>
      <c r="F54" s="10"/>
    </row>
    <row r="55">
      <c r="A55" s="4"/>
      <c r="B55" s="10"/>
      <c r="C55" s="10"/>
      <c r="D55" s="106"/>
      <c r="E55" s="10"/>
    </row>
    <row r="56">
      <c r="A56" s="4"/>
      <c r="B56" s="4"/>
      <c r="C56" s="4"/>
      <c r="D56" s="4"/>
      <c r="E56" s="4"/>
      <c r="F56" s="10"/>
    </row>
    <row r="57">
      <c r="C57" s="107"/>
      <c r="F57" s="10"/>
    </row>
    <row r="58">
      <c r="A58" s="4"/>
      <c r="B58" s="10"/>
      <c r="C58" s="111"/>
      <c r="D58" s="106"/>
      <c r="E58" s="10"/>
    </row>
    <row r="59">
      <c r="A59" s="4"/>
      <c r="B59" s="4"/>
      <c r="C59" s="4"/>
      <c r="D59" s="4"/>
      <c r="E59" s="4"/>
    </row>
    <row r="60">
      <c r="C60" s="107"/>
    </row>
    <row r="61">
      <c r="A61" s="4"/>
      <c r="B61" s="10"/>
      <c r="C61" s="10"/>
      <c r="D61" s="106"/>
      <c r="E61" s="10"/>
    </row>
    <row r="62">
      <c r="A62" s="4"/>
      <c r="B62" s="4"/>
      <c r="C62" s="4"/>
      <c r="D62" s="4"/>
      <c r="E62" s="4"/>
    </row>
    <row r="63">
      <c r="C63" s="107"/>
    </row>
    <row r="64">
      <c r="C64" s="107"/>
    </row>
    <row r="65">
      <c r="C65" s="107"/>
    </row>
    <row r="66">
      <c r="C66" s="107"/>
    </row>
    <row r="67">
      <c r="C67" s="107"/>
    </row>
    <row r="68">
      <c r="C68" s="107"/>
    </row>
    <row r="69">
      <c r="C69" s="107"/>
    </row>
    <row r="70">
      <c r="C70" s="107"/>
    </row>
    <row r="71">
      <c r="C71" s="107"/>
    </row>
    <row r="72">
      <c r="A72" s="10"/>
      <c r="B72" s="10"/>
      <c r="C72" s="4"/>
      <c r="D72" s="10"/>
      <c r="E72" s="10"/>
      <c r="F72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129</v>
      </c>
      <c r="B1" s="10"/>
      <c r="C1" s="10"/>
      <c r="D1" s="10"/>
      <c r="E1" s="10"/>
    </row>
    <row r="4">
      <c r="A4" s="100" t="s">
        <v>2</v>
      </c>
      <c r="B4" s="101"/>
      <c r="C4" s="101"/>
      <c r="D4" s="101"/>
      <c r="E4" s="101"/>
    </row>
    <row r="5">
      <c r="A5" s="4" t="s">
        <v>131</v>
      </c>
      <c r="B5" s="4" t="s">
        <v>132</v>
      </c>
      <c r="C5" s="4" t="s">
        <v>133</v>
      </c>
      <c r="D5" s="4" t="s">
        <v>134</v>
      </c>
      <c r="E5" s="4" t="s">
        <v>135</v>
      </c>
    </row>
    <row r="6">
      <c r="A6" s="3" t="s">
        <v>5</v>
      </c>
    </row>
    <row r="8">
      <c r="A8" s="3" t="s">
        <v>136</v>
      </c>
      <c r="B8" s="6">
        <v>1201.0</v>
      </c>
    </row>
    <row r="10">
      <c r="A10" s="100" t="s">
        <v>137</v>
      </c>
      <c r="B10" s="101"/>
      <c r="C10" s="101"/>
      <c r="D10" s="101"/>
      <c r="E10" s="101"/>
      <c r="F10" s="101"/>
      <c r="G10" s="101"/>
    </row>
    <row r="11">
      <c r="A11" s="4" t="s">
        <v>138</v>
      </c>
      <c r="B11" s="4" t="s">
        <v>139</v>
      </c>
      <c r="C11" s="4" t="s">
        <v>140</v>
      </c>
      <c r="D11" s="4" t="s">
        <v>141</v>
      </c>
      <c r="E11" s="4" t="s">
        <v>142</v>
      </c>
      <c r="F11" s="4" t="s">
        <v>143</v>
      </c>
      <c r="G11" s="4" t="s">
        <v>144</v>
      </c>
    </row>
    <row r="12">
      <c r="B12" s="102"/>
      <c r="E12" s="103"/>
      <c r="G12" s="18"/>
    </row>
    <row r="13">
      <c r="A13" s="4"/>
      <c r="B13" s="10"/>
      <c r="C13" s="10"/>
      <c r="D13" s="10"/>
      <c r="E13" s="104"/>
      <c r="F13" s="10"/>
      <c r="G13" s="94"/>
    </row>
    <row r="15">
      <c r="A15" s="100" t="s">
        <v>145</v>
      </c>
      <c r="B15" s="101"/>
      <c r="C15" s="101"/>
      <c r="D15" s="101"/>
    </row>
    <row r="16">
      <c r="A16" s="4"/>
      <c r="B16" s="4"/>
      <c r="C16" s="4"/>
      <c r="D16" s="4"/>
    </row>
    <row r="17">
      <c r="C17" s="18"/>
      <c r="D17" s="105"/>
    </row>
    <row r="19">
      <c r="A19" s="4"/>
      <c r="B19" s="10"/>
      <c r="C19" s="10"/>
      <c r="D19" s="10"/>
      <c r="E19" s="10"/>
    </row>
    <row r="20">
      <c r="A20" s="4"/>
      <c r="B20" s="4"/>
      <c r="C20" s="4"/>
      <c r="D20" s="4"/>
      <c r="E20" s="4"/>
    </row>
    <row r="21">
      <c r="C21" s="107"/>
    </row>
    <row r="22">
      <c r="C22" s="107"/>
    </row>
    <row r="23">
      <c r="C23" s="107"/>
    </row>
    <row r="24">
      <c r="C24" s="107"/>
      <c r="D24" s="102"/>
    </row>
    <row r="25">
      <c r="C25" s="107"/>
      <c r="D25" s="102"/>
    </row>
    <row r="26">
      <c r="C26" s="107"/>
      <c r="D26" s="102"/>
    </row>
    <row r="27">
      <c r="C27" s="107"/>
      <c r="D27" s="102"/>
    </row>
    <row r="28">
      <c r="C28" s="107"/>
      <c r="D28" s="102"/>
    </row>
    <row r="29">
      <c r="C29" s="107"/>
      <c r="D29" s="102"/>
    </row>
    <row r="30">
      <c r="C30" s="107"/>
      <c r="D30" s="102"/>
    </row>
    <row r="31">
      <c r="C31" s="107"/>
      <c r="D31" s="102"/>
    </row>
    <row r="32">
      <c r="C32" s="107"/>
      <c r="D32" s="102"/>
    </row>
    <row r="33">
      <c r="C33" s="107"/>
      <c r="D33" s="102"/>
    </row>
    <row r="34">
      <c r="C34" s="107"/>
      <c r="D34" s="102"/>
    </row>
  </sheetData>
  <drawing r:id="rId1"/>
</worksheet>
</file>