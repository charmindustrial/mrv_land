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WODO" sheetId="3" r:id="rId7"/>
    <sheet state="hidden" name="AECN Truck" sheetId="4" r:id="rId8"/>
    <sheet state="visible" name="QOWV" sheetId="5" r:id="rId9"/>
    <sheet state="hidden" name="Kerry" sheetId="6" r:id="rId10"/>
    <sheet state="visible" name="QOWV Shipments &amp; EE Allocation" sheetId="7" r:id="rId11"/>
    <sheet state="hidden" name="WODO Shipments &amp; EE Allocation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6">
      <text>
        <t xml:space="preserve">CAT ticket 1312226210722 weighed 2026-07-29 11:16 (LABELED). Source: CAT master archive (Brad, shared 2026-08-19). Recovered 2026-08-24; supersedes prior HELD BLANK note - mass value unchanged.</t>
      </text>
    </comment>
    <comment authorId="0" ref="E36">
      <text>
        <t xml:space="preserve">CAT ticket 1312226210713 weighed 2026-07-29 09:09 (LABELED). Source: CAT master archive (Brad, shared 2026-08-19). Recovered 2026-08-24; supersedes prior HELD BLANK note - mass value unchanged.</t>
      </text>
    </comment>
    <comment authorId="0" ref="D34">
      <text>
        <t xml:space="preserve">CAT ticket 1124426205276 weighed 2026-07-24 10:24 (LABELED)</t>
      </text>
    </comment>
    <comment authorId="0" ref="E34">
      <text>
        <t xml:space="preserve">CAT ticket 1312226205643 weighed 2026-07-24 13:30 (LABELED)</t>
      </text>
    </comment>
    <comment authorId="0" ref="D32">
      <text>
        <t xml:space="preserve">CAT ticket 1312226204619 weighed 2026-07-23 16:08 (LABELED)</t>
      </text>
    </comment>
    <comment authorId="0" ref="E32">
      <text>
        <t xml:space="preserve">CAT ticket 1312226205625 weighed 2026-07-24 07:01 (LABELED)</t>
      </text>
    </comment>
    <comment authorId="0" ref="B24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B22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B20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B18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D41">
      <text>
        <t xml:space="preserve">CAT ticket 1124426211299 weighed 2026-07-30 12:15 (SOLVED)</t>
      </text>
    </comment>
    <comment authorId="0" ref="E41">
      <text>
        <t xml:space="preserve">CAT ticket 1312226212749 weighed 2026-07-31 07:20 (SOLVED)</t>
      </text>
    </comment>
    <comment authorId="0" ref="D39">
      <text>
        <t xml:space="preserve">CAT ticket 1312226210731 weighed 2026-07-29 16:28 (SOLVED)</t>
      </text>
    </comment>
    <comment authorId="0" ref="H10">
      <text>
        <t xml:space="preserve">Prior claimed 19,567.96 kg -- INJ-20260712_bio_oil offload_1, W3</t>
      </text>
    </comment>
    <comment authorId="0" ref="E39">
      <text>
        <t xml:space="preserve">Empty scale ticket unrecoverable. Substituted conservative Trailer Standard Empty Weight for trailer KL188 = 29,307 lb (mean + 1 standard deviation of that trailer's historical CAT Scale tare weights, Apr-Jul 2026 dataset, n=14). Methodology established 2026-07-20 and documented in the RP VVB Guidance. A heavier assumed empty yields a lower net, i.e. conservative (under-credit).
Why unrecoverable: the tare originally paired here (ticket 1312226211738, 28,720 lb, 2026-07-30 08:23) is labelled "200228" and belongs to TILX200228 offload_2; it was reassigned on 2026-08-18. No other KL188 tare falls between this offload's full weighing (2026-07-29 16:28) and the empties already consumed by offloads 2-4.</t>
      </text>
    </comment>
    <comment authorId="0" ref="D37">
      <text>
        <t xml:space="preserve">CAT ticket 1312226209697 weighed 2026-07-28 13:21 (AMBIGUOUS ON TICKET - commodity field reads "FREIGHT ALL KINDS"). Source: CAT master archive (Brad, shared 2026-08-19). Recovered 2026-08-24; supersedes prior HELD BLANK note - mass value unchanged.</t>
      </text>
    </comment>
    <comment authorId="0" ref="E37">
      <text>
        <t xml:space="preserve">CAT ticket 1312226211738 weighed 2026-07-30 08:23 (LABELED). Source: CAT master archive (Brad, shared 2026-08-19). Recovered 2026-08-24; supersedes prior HELD BLANK note - mass value unchanged.</t>
      </text>
    </comment>
    <comment authorId="0" ref="D35">
      <text>
        <t xml:space="preserve">CAT ticket 1124426205277 weighed 2026-07-24 10:27 (LABELED)</t>
      </text>
    </comment>
    <comment authorId="0" ref="E35">
      <text>
        <t xml:space="preserve">CAT ticket 1312226205644 weighed 2026-07-24 15:20 (LABELED)</t>
      </text>
    </comment>
    <comment authorId="0" ref="D33">
      <text>
        <t xml:space="preserve">CAT ticket 1124426204272 weighed 2026-07-23 15:18 (SOLVED)</t>
      </text>
    </comment>
    <comment authorId="0" ref="E33">
      <text>
        <t xml:space="preserve">CAT ticket 1312226205627 weighed 2026-07-24 07:36 (SOLVED)</t>
      </text>
    </comment>
    <comment authorId="0" ref="B25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B23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B21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B19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B17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D42">
      <text>
        <t xml:space="preserve">CAT ticket 1124426211300 weighed 2026-07-30 12:18 (LABELED)</t>
      </text>
    </comment>
    <comment authorId="0" ref="E42">
      <text>
        <t xml:space="preserve">CAT ticket 1312226211743 weighed 2026-07-30 16:10 (LABELED)</t>
      </text>
    </comment>
    <comment authorId="0" ref="D40">
      <text>
        <t xml:space="preserve">CAT ticket 1312226210732 weighed 2026-07-29 17:06 (LABELED)</t>
      </text>
    </comment>
    <comment authorId="0" ref="H11">
      <text>
        <t xml:space="preserve">Prior-RP claimed 19,513.53 kg — INJ-20260709_bio_oil offload_1, injected in W2 per COBB</t>
      </text>
    </comment>
    <comment authorId="0" ref="E40">
      <text>
        <t xml:space="preserve">CAT ticket 1312226211739 weighed 2026-07-30 08:24 (LABELED)</t>
      </text>
    </comment>
    <comment authorId="0" ref="D38">
      <text>
        <t xml:space="preserve">CAT ticket 1312226210723 weighed 2026-07-29 11:18 (SOLVED).
EVIDENCE CAVEAT: two 70,560 lb full tickets exist 43 min apart (KL188 11:18 and RL192 12:01 on 7/29) and a 70,580 lb KL188 ticket 2 min earlier looks like a reweigh. Net kg is identical under either full; the linked PDF is the same-trailer choice. Confirm before verifier handoff.</t>
      </text>
    </comment>
    <comment authorId="0" ref="E38">
      <text>
        <t xml:space="preserve">CAT ticket 1312226210726 weighed 2026-07-29 13:20 (SOLVED)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7">
      <text>
        <t xml:space="preserve">H2 2026 rolling 6-month Carbon Intensity (Garrett, 2026-08-18). Computed from Jan-Jun 2026 Production Period Summaries (V2_Charm_BioOil_Mass_Weighted_CI_Jan-Jun_2026.xlsx), held fixed for Jul-Dec 2026 reporting, then re-derived for the next 6-month window. Supersedes the per-PP Carbon Intensity lookup for this column -- every tote in this ledger uses this ONE value regardless of which PP it originated from. Does not affect the lab composite C%% used for gross removal.</t>
      </text>
    </comment>
  </commentList>
</comments>
</file>

<file path=xl/sharedStrings.xml><?xml version="1.0" encoding="utf-8"?>
<sst xmlns="http://schemas.openxmlformats.org/spreadsheetml/2006/main" count="387" uniqueCount="245">
  <si>
    <t>BATCH SUMMARY</t>
  </si>
  <si>
    <t>BATCH HEADER — Charm WODO (IBC Totes)</t>
  </si>
  <si>
    <t>Batch ID</t>
  </si>
  <si>
    <t>BATCH HEADER — AECN Rail</t>
  </si>
  <si>
    <t>INJ-08-2026-W1</t>
  </si>
  <si>
    <t>BATCH HEADER — AECN Truck (Direct from Fort Lupton)</t>
  </si>
  <si>
    <t>Week Start (Sat)</t>
  </si>
  <si>
    <t>Week End (Sat)</t>
  </si>
  <si>
    <t>SECTION 1 - PER-TAB SUMMARY  (each row pulls from its mode tab)</t>
  </si>
  <si>
    <t>Source Tab</t>
  </si>
  <si>
    <t>Σ Deliveries / Cargo (kg)</t>
  </si>
  <si>
    <t>Σ Uncertainty Adj (kg)</t>
  </si>
  <si>
    <t>Mass Used (kg)</t>
  </si>
  <si>
    <t>Batch ID (INJ-YYYY-WXX)</t>
  </si>
  <si>
    <t>Sparging Loss (kg)</t>
  </si>
  <si>
    <t>Constants</t>
  </si>
  <si>
    <t>Filtration Loss (kg)</t>
  </si>
  <si>
    <t>MOBI (kg)</t>
  </si>
  <si>
    <t>AECN→SOPOR EE (mi)</t>
  </si>
  <si>
    <t>Rail EE (mi)</t>
  </si>
  <si>
    <t>Opel→Basco EE (mi)</t>
  </si>
  <si>
    <t>Lbs/Kg</t>
  </si>
  <si>
    <t>AECN Rail</t>
  </si>
  <si>
    <t>Kg/Lbs</t>
  </si>
  <si>
    <t>Sparging Mass Loss</t>
  </si>
  <si>
    <t>pH range (target)</t>
  </si>
  <si>
    <t>2.0 - 4.0</t>
  </si>
  <si>
    <t>WODO 6-Mo CI (kg CO2e/kg), Jul-Dec 2026</t>
  </si>
  <si>
    <t>Filtration Solids Content</t>
  </si>
  <si>
    <t>SECTION 1 - IBC LEDGER  (one row per IBC tote; tote tag mass is authoritative)</t>
  </si>
  <si>
    <t>WODO Standard Loss (kg/tote), 2026 = Mean + 1 SD</t>
  </si>
  <si>
    <t>SECTION 1 - RAILCARS RECEIVED THIS WEEK  (entity-level)</t>
  </si>
  <si>
    <t>SECTION 1 - DELIVERIES LEDGER  (one row per direct truck; BOL &amp; scale ticket on same row)</t>
  </si>
  <si>
    <t>Transport Emissions</t>
  </si>
  <si>
    <t>Pyrolysis Emissions Mass &amp; Standard Loss</t>
  </si>
  <si>
    <t>MOBI</t>
  </si>
  <si>
    <t>Pyrolysis Emissions Mass</t>
  </si>
  <si>
    <t>Per-Production-Month CI (kg CO2e/kg) - PP Summary Output Type table, col T</t>
  </si>
  <si>
    <t>Date</t>
  </si>
  <si>
    <t>BOL # / SO #</t>
  </si>
  <si>
    <t>Tag</t>
  </si>
  <si>
    <t>BOL Mass (MT)</t>
  </si>
  <si>
    <t>Gross Mass (kg)</t>
  </si>
  <si>
    <t>BOL Trips (AECN→SOPOR)</t>
  </si>
  <si>
    <t>Tote Mass (kg)</t>
  </si>
  <si>
    <t>BOL Mass (kg)</t>
  </si>
  <si>
    <t>Scale Full (lb)</t>
  </si>
  <si>
    <t>Net Oil Produced (kg)</t>
  </si>
  <si>
    <t>Scale Empty (lb)</t>
  </si>
  <si>
    <t>Standard Loss (kg)</t>
  </si>
  <si>
    <t>Railcar #</t>
  </si>
  <si>
    <t>Cargo (kg)</t>
  </si>
  <si>
    <t>Net Oil Injected (kg)</t>
  </si>
  <si>
    <t>pH</t>
  </si>
  <si>
    <t>Arrival Date at Opelousas</t>
  </si>
  <si>
    <t>Production Period</t>
  </si>
  <si>
    <t>Notes</t>
  </si>
  <si>
    <t>AECN Truck</t>
  </si>
  <si>
    <t>Loading BOLs (comma-sep)</t>
  </si>
  <si>
    <t>Carbon Intensity</t>
  </si>
  <si>
    <t>Total Loaded (MT)</t>
  </si>
  <si>
    <t>Production  Emissions</t>
  </si>
  <si>
    <t>C Content</t>
  </si>
  <si>
    <t>Total Loaded (kg)</t>
  </si>
  <si>
    <t>Scale Uncertainty</t>
  </si>
  <si>
    <t>PP#8</t>
  </si>
  <si>
    <t>Total Offloaded (kg, auto)</t>
  </si>
  <si>
    <t>Loss (kg)</t>
  </si>
  <si>
    <t>Previously Claimed (kg)</t>
  </si>
  <si>
    <t>Claimed This Week (kg)</t>
  </si>
  <si>
    <t>AECN→SOPOR (mi)</t>
  </si>
  <si>
    <t>Rail (mi)</t>
  </si>
  <si>
    <t>Opel→Basco (mi)</t>
  </si>
  <si>
    <t>Full Railcar This Week?</t>
  </si>
  <si>
    <t>Round Trip (Opel→Basco)</t>
  </si>
  <si>
    <t>GPRX5106</t>
  </si>
  <si>
    <t>Charm WODO</t>
  </si>
  <si>
    <t>2409-R, 2410-R, 2411-R</t>
  </si>
  <si>
    <t>Kerry</t>
  </si>
  <si>
    <t>QOWV</t>
  </si>
  <si>
    <t>SECTION 2 - ROLLUP  (Mass Used = Σ BOL kg; scale tickets no longer required for direct trucks per 2026-05-26)</t>
  </si>
  <si>
    <t>TOTAL</t>
  </si>
  <si>
    <t>Σ BOL (kg)</t>
  </si>
  <si>
    <t>Σ Cargo (kg)</t>
  </si>
  <si>
    <t>Uncertainty Adjustment (kg)</t>
  </si>
  <si>
    <t>C Content (MOBI-wtd)</t>
  </si>
  <si>
    <t>Origins list (BOLs)</t>
  </si>
  <si>
    <t>TILX200228</t>
  </si>
  <si>
    <t>2412-R, 2413-R, 2414-R</t>
  </si>
  <si>
    <t>SECTION 2 - PER-OIL-TYPE ROLLUP  (composite C% per oil type per week)</t>
  </si>
  <si>
    <t>Oil Type</t>
  </si>
  <si>
    <t>Transport Mass - upstream (kg)</t>
  </si>
  <si>
    <t>Transport Mass - downstream Opel→Basco (kg)</t>
  </si>
  <si>
    <t>Pyrolysis Mass (kg)</t>
  </si>
  <si>
    <t>MOBI - sequestration (kg)</t>
  </si>
  <si>
    <t>Composite Sample ID</t>
  </si>
  <si>
    <t>C %</t>
  </si>
  <si>
    <t>Lab COA Link</t>
  </si>
  <si>
    <t>July 2026 and later (Jan-Jun 2026 rolling)</t>
  </si>
  <si>
    <t>C Content Uncertainty</t>
  </si>
  <si>
    <t>GPRX5240</t>
  </si>
  <si>
    <t>Testing Uncertainty</t>
  </si>
  <si>
    <t>AECN</t>
  </si>
  <si>
    <t>2415-R, 2416-R, 2417-R</t>
  </si>
  <si>
    <t>08-2026-W1 AECN</t>
  </si>
  <si>
    <t>SECTION 2 - ORIGINS LEDGER  (loading BOLs at SOPOR)</t>
  </si>
  <si>
    <t>WODO</t>
  </si>
  <si>
    <t>BOL #</t>
  </si>
  <si>
    <t>08-2026-W1 QOWV</t>
  </si>
  <si>
    <t>SECTION 2 - ROLLUP</t>
  </si>
  <si>
    <t>Transport Mass</t>
  </si>
  <si>
    <t>Σ Net Oil Produced (kg)</t>
  </si>
  <si>
    <t>MOBI — Σ Net Oil Injected (kg)</t>
  </si>
  <si>
    <t xml:space="preserve"> </t>
  </si>
  <si>
    <t>BATCH HEADER — QOWV (Aqueous Bio-Oil, IBC Totes)</t>
  </si>
  <si>
    <t>BATCH HEADER — Kerry (Calciner Waste Oil, IBC Totes)</t>
  </si>
  <si>
    <t>QOWV 6-Mo CI (kg CO2e/kg), Jul-Dec 2026</t>
  </si>
  <si>
    <t>Filtration Solids Content (Kerry Calciner)</t>
  </si>
  <si>
    <t>INJ-08-2026-W1 — QOWV Shipments &amp; EE Mileage Allocation</t>
  </si>
  <si>
    <t>SECTION 1 - IBC LEDGER  (one row per Kerry tote; tote tag mass is authoritative)</t>
  </si>
  <si>
    <t>UID</t>
  </si>
  <si>
    <t>Full Ticket (lb)</t>
  </si>
  <si>
    <t>Empty Ticket 2 (lb)</t>
  </si>
  <si>
    <t>Empty Tote Weight (kg)</t>
  </si>
  <si>
    <t>Gross Mass (kg) — transport</t>
  </si>
  <si>
    <t xml:space="preserve">Net Oil (kg) </t>
  </si>
  <si>
    <t>Net Injected (kg) — MOBI</t>
  </si>
  <si>
    <t>Batch</t>
  </si>
  <si>
    <t>Fraction</t>
  </si>
  <si>
    <t>Mass Uncertainty (Scaling)</t>
  </si>
  <si>
    <t>Inj. Week</t>
  </si>
  <si>
    <t># Totes</t>
  </si>
  <si>
    <t>Shipping Orders (relevant totes)</t>
  </si>
  <si>
    <t>2026-07-25 to 2026-08-01</t>
  </si>
  <si>
    <t>5 shipping order(s): COLA20, COLA21, COLA22, COLA24, COLA25 | all 65 totes allocated</t>
  </si>
  <si>
    <t>SECTION 3 - SCALE TICKETS + OFFLOAD WEIGHTS</t>
  </si>
  <si>
    <t>Charm CO -&gt; Basco LA distance (one-way mi)</t>
  </si>
  <si>
    <t>EE ALLOCATION TABLE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</si>
  <si>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</si>
  <si>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</si>
  <si>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</si>
  <si>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</si>
  <si>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</si>
  <si>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</si>
  <si>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</si>
  <si>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COLA20</t>
  </si>
  <si>
    <t>MFO Lot 4264 (LOT00004264), November 2025</t>
  </si>
  <si>
    <t>Offload Key</t>
  </si>
  <si>
    <t>Full Scale Ticket (lb)</t>
  </si>
  <si>
    <t>Empty Scale Ticket (lb)</t>
  </si>
  <si>
    <t>Net Scaled Mass (kg)</t>
  </si>
  <si>
    <t>AECN→SOPOR (mi, x3 — full BOL)</t>
  </si>
  <si>
    <t>Rail (mi) — FULL railcar: flat 2199 on first offload; PARTIAL: offload-mass-basis allocation</t>
  </si>
  <si>
    <t>Opel→Basco (mi, x2 — downstream, per offload)</t>
  </si>
  <si>
    <t>COLA21</t>
  </si>
  <si>
    <t>Rail_GPRX5106_7.03.2026_offload_1</t>
  </si>
  <si>
    <t>COLA22</t>
  </si>
  <si>
    <t>MFO Lot 4286 (LOT00004286), November 2025</t>
  </si>
  <si>
    <t>COLA24</t>
  </si>
  <si>
    <t>Σ Net Oil — pre-filtration (kg)</t>
  </si>
  <si>
    <t>COLA25</t>
  </si>
  <si>
    <t>Origins list (Tote tags)</t>
  </si>
  <si>
    <t>MFO Lot 4342 (LOT00004342), November 2025</t>
  </si>
  <si>
    <t>RESOLVED 2026-08-21: lot 4746 had no shipping_order_number because it was created twice in the BGN inventory. The physical tote shipped on COLA25, and is counted there above (Batch-Relevant Totes 11 -&gt; 12). All 65 totes are now allocated; transport EE is complete.</t>
  </si>
  <si>
    <t>MFO Lot 4346 (LOT00004346), November 2025</t>
  </si>
  <si>
    <t>MFO Lot 4352 (LOT00004352), November 2025</t>
  </si>
  <si>
    <t>MFO Lot 4376 (LOT00004376), November 2025</t>
  </si>
  <si>
    <t>INJ-08-2026-W1 — WODO Shipments &amp; EE Mileage Allocation</t>
  </si>
  <si>
    <t>MFO Lot 4378 (LOT00004378), November 2025</t>
  </si>
  <si>
    <t>PENDING - no truck manifest yet</t>
  </si>
  <si>
    <t>MFO Lot 4390 (LOT00004390), November 2025</t>
  </si>
  <si>
    <t>MFO Lot 4400 (LOT00004400), November 2025</t>
  </si>
  <si>
    <t>MFO Lot 4410 (LOT00004410), November 2025</t>
  </si>
  <si>
    <t>MFO Lot 4446 (LOT00004446), November 2025</t>
  </si>
  <si>
    <t>MFO Lot 4448 (LOT00004448), November 2025</t>
  </si>
  <si>
    <t>MFO Lot 4478 (LOT00004478), December 2025</t>
  </si>
  <si>
    <t>MFO Lot 4488 (LOT00004488), December 2025</t>
  </si>
  <si>
    <t>MFO Lot 4494 (LOT00004494), December 2025</t>
  </si>
  <si>
    <t>MFO Lot 4498 (LOT00004498), December 2025</t>
  </si>
  <si>
    <t>MFO Lot 4500 (LOT00004500), December 2025</t>
  </si>
  <si>
    <t>MFO Lot 4504 (LOT00004504), December 2025</t>
  </si>
  <si>
    <t>MFO Lot 4508 (LOT00004508), December 2025</t>
  </si>
  <si>
    <t>MFO Lot 4510 (LOT00004510), December 2025</t>
  </si>
  <si>
    <t>MFO Lot 4514 (LOT00004514), December 2025</t>
  </si>
  <si>
    <t>MFO Lot 4536 (LOT00004536), December 2025</t>
  </si>
  <si>
    <t>MFO Lot 4537 (LOT00004537), December 2025</t>
  </si>
  <si>
    <t>MFO Lot 4538 (LOT00004538), December 2025</t>
  </si>
  <si>
    <t>MFO Lot 4539 (LOT00004539), December 2025</t>
  </si>
  <si>
    <t>MFO Lot 4542 (LOT00004542), December 2025</t>
  </si>
  <si>
    <t>MFO Lot 4571 (LOT00004571), January 2026</t>
  </si>
  <si>
    <t>MFO Lot 4576 (LOT00004576), January 2026</t>
  </si>
  <si>
    <t>MFO Lot 4577 (LOT00004577), January 2026</t>
  </si>
  <si>
    <t>MFO Lot 4581 (LOT00004581), January 2026</t>
  </si>
  <si>
    <t>MFO Lot 4587 (LOT00004587), January 2026</t>
  </si>
  <si>
    <t>Rail_GPRX5106_7.03.2026_offload_2</t>
  </si>
  <si>
    <t>MFO Lot 4589 (LOT00004589), January 2026</t>
  </si>
  <si>
    <t>MFO Lot 4615 (LOT00004615), January 2026</t>
  </si>
  <si>
    <t>MFO Lot 4658 (LOT00004658), January 2026</t>
  </si>
  <si>
    <t>MFO Lot 4661 (LOT00004661), January 2026</t>
  </si>
  <si>
    <t>MFO Lot 4663 (LOT00004663), January 2026</t>
  </si>
  <si>
    <t>MFO Lot 4664 (LOT00004664), January 2026</t>
  </si>
  <si>
    <t>MFO Lot 4676 (LOT00004676), February 2026</t>
  </si>
  <si>
    <t>MFO Lot 4677 (LOT00004677), February 2026</t>
  </si>
  <si>
    <t>MFO Lot 4679 (LOT00004679), February 2026</t>
  </si>
  <si>
    <t>MFO Lot 4680 (LOT00004680), February 2026</t>
  </si>
  <si>
    <t>MFO Lot 4693 (LOT00004693), February 2026</t>
  </si>
  <si>
    <t>MFO Lot 4694 (LOT00004694), February 2026</t>
  </si>
  <si>
    <t>MFO Lot 4695 (LOT00004695), February 2026</t>
  </si>
  <si>
    <t>MFO Lot 4696 (LOT00004696), February 2026</t>
  </si>
  <si>
    <t>MFO Lot 4697 (LOT00004697), February 2026</t>
  </si>
  <si>
    <t>MFO Lot 4717 (LOT00004717), February 2026</t>
  </si>
  <si>
    <t>MFO Lot 4720 (LOT00004720), February 2026</t>
  </si>
  <si>
    <t>MFO Lot 4722 (LOT00004722), February 2026</t>
  </si>
  <si>
    <t>MFO Lot 4723 (LOT00004723), February 2026</t>
  </si>
  <si>
    <t>MFO Lot 4724 (LOT00004724), February 2026</t>
  </si>
  <si>
    <t>MFO Lot 4725 (LOT00004725), February 2026</t>
  </si>
  <si>
    <t>MFO Lot 4727 (LOT00004727), February 2026</t>
  </si>
  <si>
    <t>MFO Lot 4729 (LOT00004729), February 2026</t>
  </si>
  <si>
    <t>MFO Lot 4746 (LOT00004746), February 2026</t>
  </si>
  <si>
    <t>Rail_GPRX5106_7.03.2026_offload_3</t>
  </si>
  <si>
    <t>MFO Lot 4762 (LOT00004762), February 2026</t>
  </si>
  <si>
    <t>MFO Lot 4763 (LOT00004763), February 2026</t>
  </si>
  <si>
    <t>MFO Lot 4767 (LOT00004767), February 2026</t>
  </si>
  <si>
    <t>MFO Lot 4773 (LOT00004773), February 2026</t>
  </si>
  <si>
    <t>MFO Lot 4775 (LOT00004775), February 2026</t>
  </si>
  <si>
    <t>MFO Lot 4781 (LOT00004781), February 2026</t>
  </si>
  <si>
    <t>MFO Lot 4783 (LOT00004783), February 2026</t>
  </si>
  <si>
    <t>MFO Lot 4784 (LOT00004784), February 2026</t>
  </si>
  <si>
    <t>MFO Lot 4810 (LOT00004810), February 2026</t>
  </si>
  <si>
    <t>MFO Lot 4811 (LOT00004811), February 2026</t>
  </si>
  <si>
    <t>pH (wellhead weekly median - site-level, not QOWV-specific)</t>
  </si>
  <si>
    <t>Rail_GPRX5106_7.03.2026_offload_4</t>
  </si>
  <si>
    <t>Rail_TILX200228_7.6.2026_offload_1</t>
  </si>
  <si>
    <t>Rail_TILX200228_7.6.2026_offload_2</t>
  </si>
  <si>
    <t>Rail_TILX200228_7.6.2026_offload_3</t>
  </si>
  <si>
    <t>Rail_GPRX5240_7.6.2026_offload_1</t>
  </si>
  <si>
    <t>Rail_GPRX5240_7.6.2026_offload_2</t>
  </si>
  <si>
    <t>Rail_GPRX5240_7.6.2026_offload_3</t>
  </si>
  <si>
    <t>Rail_GPRX5240_7.6.2026_offload_4</t>
  </si>
  <si>
    <t>EE Totals (rows 32-47)</t>
  </si>
  <si>
    <t>SECTION 4 - ROLLUP  (Mass Used = Deliveries - Uncertainty Adj)</t>
  </si>
  <si>
    <t>Pyrolysis + Upstream Transport (BOL, kg)</t>
  </si>
  <si>
    <t>Deliveries raw / Downstream Transport (scale tickets, kg)</t>
  </si>
  <si>
    <t>Uncertainty Adj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</si>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</sst>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/d/yyyy"/>
    <numFmt numFmtId="165" formatCode="0.0000000000"/>
    <numFmt numFmtId="166" formatCode="#,##0.00000"/>
    <numFmt numFmtId="167" formatCode="mmmm yyyy"/>
    <numFmt numFmtId="168" formatCode="0.0000%"/>
    <numFmt numFmtId="169" formatCode="0.000000"/>
    <numFmt numFmtId="170" formatCode="0.000%"/>
    <numFmt numFmtId="171" formatCode="yyyy-mm-dd"/>
    <numFmt numFmtId="172" formatCode="0.0%"/>
    <numFmt numFmtId="173" formatCode="0.0000"/>
    <numFmt numFmtId="174" formatCode="#,##0.0"/>
  </numFmts>
  <fonts count="19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sz val="11.0"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b/>
      <color rgb="FF000000"/>
      <name val="-apple-system"/>
    </font>
    <font>
      <color rgb="FF1F1F1F"/>
      <name val="Arial"/>
      <scheme val="minor"/>
    </font>
    <font>
      <b/>
      <color rgb="FF000000"/>
      <name val="Arial"/>
    </font>
    <font>
      <b/>
      <sz val="12.0"/>
      <color theme="1"/>
      <name val="Arial"/>
      <scheme val="minor"/>
    </font>
    <font>
      <color rgb="FF000000"/>
      <name val="-apple-system"/>
    </font>
    <font>
      <color rgb="FF000000"/>
      <name val="Arial"/>
    </font>
    <font>
      <u/>
      <color rgb="FF0000FF"/>
    </font>
    <font>
      <sz val="11.0"/>
      <color theme="1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FFF"/>
        <bgColor rgb="FFFFFFFF"/>
      </patternFill>
    </fill>
    <fill>
      <patternFill patternType="solid">
        <fgColor rgb="FFD8EAF9"/>
        <bgColor rgb="FFD8EAF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4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  <border>
      <left style="thin">
        <color rgb="FF2A2B2C"/>
      </left>
      <right style="thin">
        <color rgb="FF2A2B2C"/>
      </right>
      <top style="thin">
        <color rgb="FF2A2B2C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4" xfId="0" applyFont="1" applyNumberFormat="1"/>
    <xf borderId="0" fillId="2" fontId="1" numFmtId="0" xfId="0" applyAlignment="1" applyFill="1" applyFont="1">
      <alignment readingOrder="0"/>
    </xf>
    <xf borderId="0" fillId="3" fontId="2" numFmtId="4" xfId="0" applyFill="1" applyFont="1" applyNumberFormat="1"/>
    <xf borderId="0" fillId="2" fontId="4" numFmtId="0" xfId="0" applyFill="1" applyFont="1"/>
    <xf borderId="0" fillId="0" fontId="5" numFmtId="0" xfId="0" applyAlignment="1" applyFont="1">
      <alignment readingOrder="0"/>
    </xf>
    <xf borderId="0" fillId="0" fontId="6" numFmtId="0" xfId="0" applyFont="1"/>
    <xf borderId="0" fillId="3" fontId="3" numFmtId="0" xfId="0" applyAlignment="1" applyFill="1" applyFont="1">
      <alignment horizontal="center" readingOrder="0"/>
    </xf>
    <xf borderId="0" fillId="3" fontId="3" numFmtId="0" xfId="0" applyFill="1" applyFont="1"/>
    <xf borderId="0" fillId="4" fontId="3" numFmtId="0" xfId="0" applyAlignment="1" applyFill="1" applyFont="1">
      <alignment readingOrder="0"/>
    </xf>
    <xf borderId="0" fillId="3" fontId="3" numFmtId="4" xfId="0" applyAlignment="1" applyFill="1" applyFont="1" applyNumberFormat="1">
      <alignment horizontal="center" readingOrder="0"/>
    </xf>
    <xf borderId="0" fillId="3" fontId="3" numFmtId="4" xfId="0" applyAlignment="1" applyFill="1" applyFont="1" applyNumberFormat="1">
      <alignment readingOrder="0"/>
    </xf>
    <xf borderId="0" fillId="3" fontId="3" numFmtId="2" xfId="0" applyAlignment="1" applyFill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4" fontId="2" numFmtId="4" xfId="0" applyAlignment="1" applyFill="1" applyFont="1" applyNumberFormat="1">
      <alignment readingOrder="0"/>
    </xf>
    <xf borderId="0" fillId="0" fontId="2" numFmtId="1" xfId="0" applyAlignment="1" applyFont="1" applyNumberFormat="1">
      <alignment horizontal="right" readingOrder="0"/>
    </xf>
    <xf borderId="0" fillId="0" fontId="2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2" xfId="0" applyFont="1" applyNumberFormat="1"/>
    <xf borderId="0" fillId="0" fontId="2" numFmtId="49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Font="1" applyNumberFormat="1"/>
    <xf borderId="0" fillId="0" fontId="2" numFmtId="167" xfId="0" applyAlignment="1" applyFont="1" applyNumberFormat="1">
      <alignment readingOrder="0"/>
    </xf>
    <xf borderId="0" fillId="3" fontId="2" numFmtId="4" xfId="0" applyAlignment="1" applyFill="1" applyFont="1" applyNumberFormat="1">
      <alignment readingOrder="0"/>
    </xf>
    <xf borderId="0" fillId="4" fontId="2" numFmtId="4" xfId="0" applyFill="1" applyFont="1" applyNumberFormat="1"/>
    <xf borderId="0" fillId="0" fontId="2" numFmtId="0" xfId="0" applyFont="1"/>
    <xf borderId="0" fillId="2" fontId="1" numFmtId="4" xfId="0" applyFill="1" applyFont="1" applyNumberFormat="1"/>
    <xf borderId="0" fillId="0" fontId="2" numFmtId="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1" numFmtId="2" xfId="0" applyFill="1" applyFont="1" applyNumberFormat="1"/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4" xfId="0" applyFont="1" applyNumberFormat="1"/>
    <xf borderId="0" fillId="0" fontId="2" numFmtId="10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49" xfId="0" applyFont="1" applyNumberFormat="1"/>
    <xf borderId="0" fillId="0" fontId="2" numFmtId="10" xfId="0" applyFont="1" applyNumberFormat="1"/>
    <xf borderId="0" fillId="0" fontId="3" numFmtId="168" xfId="0" applyFont="1" applyNumberFormat="1"/>
    <xf borderId="0" fillId="0" fontId="2" numFmtId="169" xfId="0" applyFont="1" applyNumberFormat="1"/>
    <xf borderId="0" fillId="0" fontId="7" numFmtId="0" xfId="0" applyAlignment="1" applyFont="1">
      <alignment readingOrder="0"/>
    </xf>
    <xf borderId="0" fillId="0" fontId="8" numFmtId="168" xfId="0" applyAlignment="1" applyFont="1" applyNumberFormat="1">
      <alignment readingOrder="0"/>
    </xf>
    <xf borderId="0" fillId="0" fontId="9" numFmtId="16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4" fontId="9" numFmtId="4" xfId="0" applyAlignment="1" applyFill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3" fontId="10" numFmtId="0" xfId="0" applyAlignment="1" applyFill="1" applyFont="1">
      <alignment horizontal="center" vertical="bottom"/>
    </xf>
    <xf borderId="0" fillId="0" fontId="11" numFmtId="170" xfId="0" applyAlignment="1" applyFont="1" applyNumberFormat="1">
      <alignment readingOrder="0"/>
    </xf>
    <xf borderId="0" fillId="3" fontId="12" numFmtId="0" xfId="0" applyAlignment="1" applyFill="1" applyFont="1">
      <alignment horizontal="center" readingOrder="0" vertical="bottom"/>
    </xf>
    <xf borderId="0" fillId="3" fontId="2" numFmtId="164" xfId="0" applyAlignment="1" applyFill="1" applyFont="1" applyNumberFormat="1">
      <alignment readingOrder="0"/>
    </xf>
    <xf borderId="0" fillId="0" fontId="13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13" numFmtId="0" xfId="0" applyFont="1"/>
    <xf borderId="0" fillId="4" fontId="2" numFmtId="4" xfId="0" applyAlignment="1" applyFill="1" applyFont="1" applyNumberFormat="1">
      <alignment readingOrder="0"/>
    </xf>
    <xf borderId="1" fillId="3" fontId="10" numFmtId="0" xfId="0" applyAlignment="1" applyBorder="1" applyFill="1" applyFont="1">
      <alignment horizontal="center" readingOrder="0" vertical="bottom"/>
    </xf>
    <xf borderId="0" fillId="3" fontId="2" numFmtId="4" xfId="0" applyAlignment="1" applyFill="1" applyFont="1" applyNumberFormat="1">
      <alignment readingOrder="0"/>
    </xf>
    <xf borderId="1" fillId="3" fontId="12" numFmtId="0" xfId="0" applyAlignment="1" applyBorder="1" applyFill="1" applyFont="1">
      <alignment horizontal="center" readingOrder="0" vertical="bottom"/>
    </xf>
    <xf borderId="0" fillId="3" fontId="2" numFmtId="2" xfId="0" applyAlignment="1" applyFill="1" applyFont="1" applyNumberFormat="1">
      <alignment readingOrder="0"/>
    </xf>
    <xf borderId="0" fillId="2" fontId="3" numFmtId="0" xfId="0" applyAlignment="1" applyFill="1" applyFont="1">
      <alignment readingOrder="0"/>
    </xf>
    <xf borderId="0" fillId="3" fontId="2" numFmtId="4" xfId="0" applyFill="1" applyFont="1" applyNumberFormat="1"/>
    <xf borderId="0" fillId="2" fontId="3" numFmtId="0" xfId="0" applyFill="1" applyFont="1"/>
    <xf borderId="0" fillId="0" fontId="2" numFmtId="10" xfId="0" applyAlignment="1" applyFont="1" applyNumberFormat="1">
      <alignment readingOrder="0"/>
    </xf>
    <xf borderId="1" fillId="0" fontId="14" numFmtId="1" xfId="0" applyAlignment="1" applyBorder="1" applyFont="1" applyNumberFormat="1">
      <alignment horizontal="right" readingOrder="0" vertical="bottom"/>
    </xf>
    <xf borderId="1" fillId="0" fontId="14" numFmtId="4" xfId="0" applyAlignment="1" applyBorder="1" applyFont="1" applyNumberFormat="1">
      <alignment horizontal="right" readingOrder="0" vertical="bottom"/>
    </xf>
    <xf borderId="0" fillId="5" fontId="2" numFmtId="0" xfId="0" applyAlignment="1" applyFill="1" applyFont="1">
      <alignment readingOrder="0"/>
    </xf>
    <xf borderId="1" fillId="0" fontId="15" numFmtId="4" xfId="0" applyAlignment="1" applyBorder="1" applyFont="1" applyNumberFormat="1">
      <alignment horizontal="right" readingOrder="0" vertical="bottom"/>
    </xf>
    <xf borderId="0" fillId="5" fontId="2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1" fillId="0" fontId="14" numFmtId="4" xfId="0" applyAlignment="1" applyBorder="1" applyFont="1" applyNumberFormat="1">
      <alignment horizontal="right" vertical="bottom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0" fontId="2" numFmtId="171" xfId="0" applyAlignment="1" applyFont="1" applyNumberFormat="1">
      <alignment readingOrder="0"/>
    </xf>
    <xf borderId="0" fillId="5" fontId="2" numFmtId="10" xfId="0" applyAlignment="1" applyFill="1" applyFont="1" applyNumberFormat="1">
      <alignment readingOrder="0"/>
    </xf>
    <xf borderId="0" fillId="5" fontId="2" numFmtId="0" xfId="0" applyFill="1" applyFont="1"/>
    <xf borderId="0" fillId="0" fontId="2" numFmtId="172" xfId="0" applyFont="1" applyNumberFormat="1"/>
    <xf borderId="0" fillId="0" fontId="2" numFmtId="173" xfId="0" applyAlignment="1" applyFont="1" applyNumberFormat="1">
      <alignment readingOrder="0"/>
    </xf>
    <xf borderId="0" fillId="0" fontId="2" numFmtId="174" xfId="0" applyFont="1" applyNumberFormat="1"/>
    <xf borderId="0" fillId="0" fontId="3" numFmtId="171" xfId="0" applyAlignment="1" applyFont="1" applyNumberFormat="1">
      <alignment readingOrder="0"/>
    </xf>
    <xf borderId="0" fillId="0" fontId="3" numFmtId="172" xfId="0" applyFont="1" applyNumberFormat="1"/>
    <xf borderId="0" fillId="3" fontId="16" numFmtId="4" xfId="0" applyAlignment="1" applyFill="1" applyFont="1" applyNumberFormat="1">
      <alignment readingOrder="0"/>
    </xf>
    <xf borderId="0" fillId="0" fontId="3" numFmtId="174" xfId="0" applyFont="1" applyNumberFormat="1"/>
    <xf borderId="0" fillId="0" fontId="2" numFmtId="3" xfId="0" applyAlignment="1" applyFont="1" applyNumberFormat="1">
      <alignment readingOrder="0"/>
    </xf>
    <xf borderId="0" fillId="0" fontId="2" numFmtId="171" xfId="0" applyAlignment="1" applyFont="1" applyNumberFormat="1">
      <alignment readingOrder="0"/>
    </xf>
    <xf borderId="0" fillId="0" fontId="3" numFmtId="171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0" fontId="2" numFmtId="10" xfId="0" applyFont="1" applyNumberFormat="1"/>
    <xf borderId="0" fillId="0" fontId="3" numFmtId="10" xfId="0" applyFont="1" applyNumberFormat="1"/>
    <xf borderId="0" fillId="0" fontId="3" numFmtId="4" xfId="0" applyFont="1" applyNumberFormat="1"/>
    <xf borderId="0" fillId="0" fontId="2" numFmtId="3" xfId="0" applyFont="1" applyNumberFormat="1"/>
    <xf borderId="0" fillId="0" fontId="17" numFmtId="173" xfId="0" applyAlignment="1" applyFont="1" applyNumberFormat="1">
      <alignment readingOrder="0"/>
    </xf>
    <xf borderId="1" fillId="0" fontId="15" numFmtId="0" xfId="0" applyAlignment="1" applyBorder="1" applyFont="1">
      <alignment horizontal="right" readingOrder="0" vertical="bottom"/>
    </xf>
    <xf borderId="0" fillId="3" fontId="2" numFmtId="10" xfId="0" applyAlignment="1" applyFill="1" applyFont="1" applyNumberFormat="1">
      <alignment readingOrder="0"/>
    </xf>
    <xf borderId="1" fillId="0" fontId="14" numFmtId="0" xfId="0" applyAlignment="1" applyBorder="1" applyFont="1">
      <alignment horizontal="right" readingOrder="0" vertical="bottom"/>
    </xf>
    <xf borderId="0" fillId="0" fontId="2" numFmtId="2" xfId="0" applyFont="1" applyNumberFormat="1"/>
    <xf borderId="2" fillId="0" fontId="14" numFmtId="1" xfId="0" applyAlignment="1" applyBorder="1" applyFont="1" applyNumberFormat="1">
      <alignment horizontal="right" readingOrder="0" vertical="bottom"/>
    </xf>
    <xf borderId="2" fillId="0" fontId="14" numFmtId="0" xfId="0" applyAlignment="1" applyBorder="1" applyFont="1">
      <alignment horizontal="right" readingOrder="0" vertical="bottom"/>
    </xf>
    <xf borderId="2" fillId="0" fontId="15" numFmtId="4" xfId="0" applyAlignment="1" applyBorder="1" applyFont="1" applyNumberFormat="1">
      <alignment horizontal="right" readingOrder="0" vertical="bottom"/>
    </xf>
    <xf borderId="2" fillId="0" fontId="14" numFmtId="4" xfId="0" applyAlignment="1" applyBorder="1" applyFont="1" applyNumberFormat="1">
      <alignment horizontal="right" vertical="bottom"/>
    </xf>
    <xf borderId="2" fillId="0" fontId="14" numFmtId="4" xfId="0" applyAlignment="1" applyBorder="1" applyFont="1" applyNumberFormat="1">
      <alignment horizontal="right" readingOrder="0" vertical="bottom"/>
    </xf>
    <xf borderId="3" fillId="0" fontId="2" numFmtId="0" xfId="0" applyAlignment="1" applyBorder="1" applyFont="1">
      <alignment readingOrder="0"/>
    </xf>
    <xf borderId="3" fillId="0" fontId="2" numFmtId="1" xfId="0" applyAlignment="1" applyBorder="1" applyFont="1" applyNumberFormat="1">
      <alignment readingOrder="0"/>
    </xf>
    <xf borderId="3" fillId="0" fontId="2" numFmtId="4" xfId="0" applyAlignment="1" applyBorder="1" applyFont="1" applyNumberFormat="1">
      <alignment readingOrder="0"/>
    </xf>
    <xf borderId="3" fillId="0" fontId="2" numFmtId="4" xfId="0" applyBorder="1" applyFont="1" applyNumberFormat="1"/>
    <xf borderId="3" fillId="0" fontId="2" numFmtId="4" xfId="0" applyAlignment="1" applyBorder="1" applyFont="1" applyNumberFormat="1">
      <alignment readingOrder="0"/>
    </xf>
    <xf borderId="3" fillId="0" fontId="2" numFmtId="4" xfId="0" applyBorder="1" applyFont="1" applyNumberFormat="1"/>
    <xf borderId="3" fillId="0" fontId="2" numFmtId="0" xfId="0" applyBorder="1" applyFont="1"/>
    <xf borderId="0" fillId="4" fontId="2" numFmtId="4" xfId="0" applyFill="1" applyFont="1" applyNumberFormat="1"/>
    <xf borderId="0" fillId="3" fontId="2" numFmtId="0" xfId="0" applyFill="1" applyFont="1"/>
    <xf borderId="0" fillId="3" fontId="18" numFmtId="4" xfId="0" applyFill="1" applyFont="1" applyNumberFormat="1"/>
    <xf borderId="0" fillId="6" fontId="2" numFmtId="4" xfId="0" applyAlignment="1" applyFill="1" applyFont="1" applyNumberFormat="1">
      <alignment readingOrder="0"/>
    </xf>
    <xf borderId="0" fillId="4" fontId="2" numFmtId="2" xfId="0" applyFill="1" applyFont="1" applyNumberFormat="1"/>
    <xf borderId="0" fillId="4" fontId="2" numFmtId="0" xfId="0" applyAlignment="1" applyFill="1" applyFont="1">
      <alignment readingOrder="0"/>
    </xf>
    <xf borderId="0" fillId="3" fontId="2" numFmtId="2" xfId="0" applyFill="1" applyFont="1" applyNumberFormat="1"/>
    <xf borderId="0" fillId="4" fontId="2" numFmtId="2" xfId="0" applyAlignment="1" applyFill="1" applyFont="1" applyNumberFormat="1">
      <alignment readingOrder="0"/>
    </xf>
    <xf borderId="0" fillId="4" fontId="2" numFmtId="2" xfId="0" applyAlignment="1" applyFill="1" applyFont="1" applyNumberFormat="1">
      <alignment readingOrder="0"/>
    </xf>
    <xf borderId="0" fillId="3" fontId="2" numFmtId="2" xfId="0" applyAlignment="1" applyFill="1" applyFont="1" applyNumberFormat="1">
      <alignment readingOrder="0"/>
    </xf>
    <xf borderId="0" fillId="4" fontId="2" numFmtId="2" xfId="0" applyFill="1" applyFont="1" applyNumberFormat="1"/>
    <xf borderId="0" fillId="4" fontId="2" numFmtId="0" xfId="0" applyFill="1" applyFont="1"/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2.75"/>
    <col customWidth="1" min="3" max="3" width="23.38"/>
    <col customWidth="1" min="4" max="4" width="21.25"/>
    <col customWidth="1" min="5" max="5" width="18.13"/>
    <col customWidth="1" min="6" max="6" width="16.0"/>
    <col customWidth="1" min="7" max="7" width="11.38"/>
    <col customWidth="1" min="8" max="8" width="19.63"/>
    <col customWidth="1" min="9" max="9" width="15.13"/>
    <col customWidth="1" min="10" max="10" width="17.63"/>
    <col customWidth="1" min="11" max="11" width="12.0"/>
    <col customWidth="1" min="12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2</v>
      </c>
      <c r="B2" s="3" t="s">
        <v>4</v>
      </c>
    </row>
    <row r="3">
      <c r="A3" s="3" t="s">
        <v>6</v>
      </c>
      <c r="B3" s="4">
        <v>46228.0</v>
      </c>
    </row>
    <row r="4">
      <c r="A4" s="3" t="s">
        <v>7</v>
      </c>
      <c r="B4" s="4">
        <v>46235.0</v>
      </c>
    </row>
    <row r="6">
      <c r="A6" s="1" t="s">
        <v>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9</v>
      </c>
      <c r="B7" s="5" t="s">
        <v>10</v>
      </c>
      <c r="C7" s="5" t="s">
        <v>11</v>
      </c>
      <c r="D7" s="6" t="s">
        <v>12</v>
      </c>
      <c r="E7" s="5" t="s">
        <v>14</v>
      </c>
      <c r="F7" s="6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/>
      <c r="L7" s="7"/>
      <c r="M7" s="7"/>
      <c r="N7" s="7"/>
    </row>
    <row r="8">
      <c r="A8" s="3" t="s">
        <v>22</v>
      </c>
      <c r="B8" s="9">
        <f>'AECN Rail'!B52</f>
        <v>213774.7345</v>
      </c>
      <c r="C8" s="9">
        <f>'AECN Rail'!C52</f>
        <v>0</v>
      </c>
      <c r="D8" s="11">
        <f>'AECN Rail'!D52</f>
        <v>213774.7345</v>
      </c>
      <c r="E8" s="9">
        <f>'AECN Rail'!E52</f>
        <v>2757.694074</v>
      </c>
      <c r="F8" s="11">
        <f>'AECN Rail'!F52</f>
        <v>411.4832287</v>
      </c>
      <c r="G8" s="9">
        <f>'AECN Rail'!G52</f>
        <v>210605.5572</v>
      </c>
      <c r="H8" s="9">
        <f>SUM('AECN Rail'!L32:L47)</f>
        <v>883.8140469</v>
      </c>
      <c r="I8" s="9">
        <f>SUM('AECN Rail'!M32:M47)</f>
        <v>6029.886624</v>
      </c>
      <c r="J8" s="9">
        <f>SUM('AECN Rail'!N32:N47)</f>
        <v>943.8</v>
      </c>
    </row>
    <row r="9">
      <c r="A9" s="3" t="s">
        <v>57</v>
      </c>
      <c r="B9" s="9">
        <f>'AECN Truck'!B28</f>
        <v>0</v>
      </c>
      <c r="C9" s="9">
        <f>'AECN Truck'!F28</f>
        <v>0</v>
      </c>
      <c r="D9" s="11">
        <f>'AECN Truck'!C28</f>
        <v>0</v>
      </c>
      <c r="E9" s="9">
        <f>'AECN Truck'!D28</f>
        <v>0</v>
      </c>
      <c r="F9" s="11">
        <f>'AECN Truck'!E28</f>
        <v>0</v>
      </c>
      <c r="G9" s="9">
        <f>'AECN Truck'!G28</f>
        <v>0</v>
      </c>
    </row>
    <row r="10">
      <c r="A10" s="3" t="s">
        <v>76</v>
      </c>
      <c r="B10" s="9">
        <f>WODO!A33</f>
        <v>0</v>
      </c>
      <c r="C10" s="25">
        <v>0.0</v>
      </c>
      <c r="D10" s="32">
        <f>WODO!B33</f>
        <v>0</v>
      </c>
      <c r="E10" s="9">
        <f>WODO!C33</f>
        <v>0</v>
      </c>
      <c r="F10" s="32">
        <v>0.0</v>
      </c>
      <c r="G10" s="9">
        <f>WODO!D33</f>
        <v>0</v>
      </c>
    </row>
    <row r="11">
      <c r="A11" s="3" t="s">
        <v>78</v>
      </c>
      <c r="B11" s="9">
        <f>Kerry!A33</f>
        <v>0</v>
      </c>
      <c r="C11" s="25">
        <v>0.0</v>
      </c>
      <c r="D11" s="32">
        <f>Kerry!A33</f>
        <v>0</v>
      </c>
      <c r="E11" s="25">
        <v>0.0</v>
      </c>
      <c r="F11" s="32">
        <f>Kerry!B33</f>
        <v>0</v>
      </c>
      <c r="G11" s="34">
        <f>Kerry!E33</f>
        <v>0</v>
      </c>
    </row>
    <row r="12">
      <c r="A12" s="3" t="s">
        <v>79</v>
      </c>
      <c r="B12" s="25">
        <f>QOWV!B77</f>
        <v>66221</v>
      </c>
      <c r="C12" s="25">
        <v>0.0</v>
      </c>
      <c r="D12" s="32">
        <f>QOWV!D77</f>
        <v>62477</v>
      </c>
      <c r="E12" s="25">
        <v>0.0</v>
      </c>
      <c r="F12" s="32">
        <v>0.0</v>
      </c>
      <c r="G12" s="9">
        <f>QOWV!F77</f>
        <v>57981.5</v>
      </c>
      <c r="I12" s="5"/>
      <c r="J12" s="7"/>
      <c r="L12" s="7"/>
      <c r="M12" s="7"/>
      <c r="N12" s="7"/>
    </row>
    <row r="13">
      <c r="A13" s="3" t="s">
        <v>81</v>
      </c>
      <c r="B13" s="9">
        <f t="shared" ref="B13:J13" si="1">SUM(B8:B12)</f>
        <v>279995.7345</v>
      </c>
      <c r="C13" s="9">
        <f t="shared" si="1"/>
        <v>0</v>
      </c>
      <c r="D13" s="9">
        <f t="shared" si="1"/>
        <v>276251.7345</v>
      </c>
      <c r="E13" s="9">
        <f t="shared" si="1"/>
        <v>2757.694074</v>
      </c>
      <c r="F13" s="9">
        <f t="shared" si="1"/>
        <v>411.4832287</v>
      </c>
      <c r="G13" s="9">
        <f t="shared" si="1"/>
        <v>268587.0572</v>
      </c>
      <c r="H13" s="9">
        <f t="shared" si="1"/>
        <v>883.8140469</v>
      </c>
      <c r="I13" s="9">
        <f t="shared" si="1"/>
        <v>6029.886624</v>
      </c>
      <c r="J13" s="9">
        <f t="shared" si="1"/>
        <v>943.8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5" t="s">
        <v>89</v>
      </c>
      <c r="B15" s="5"/>
      <c r="C15" s="5"/>
      <c r="D15" s="5"/>
      <c r="E15" s="5"/>
      <c r="F15" s="5"/>
      <c r="G15" s="5"/>
      <c r="H15" s="7"/>
      <c r="I15" s="7"/>
      <c r="J15" s="7"/>
      <c r="K15" s="7"/>
      <c r="L15" s="7"/>
      <c r="M15" s="7"/>
    </row>
    <row r="16">
      <c r="A16" s="5" t="s">
        <v>90</v>
      </c>
      <c r="B16" s="39" t="s">
        <v>91</v>
      </c>
      <c r="C16" s="5" t="s">
        <v>92</v>
      </c>
      <c r="D16" s="5" t="s">
        <v>93</v>
      </c>
      <c r="E16" s="5" t="s">
        <v>94</v>
      </c>
      <c r="F16" s="5" t="s">
        <v>95</v>
      </c>
      <c r="G16" s="3" t="s">
        <v>96</v>
      </c>
      <c r="H16" s="3" t="s">
        <v>97</v>
      </c>
      <c r="I16" s="3" t="s">
        <v>99</v>
      </c>
      <c r="J16" s="3" t="s">
        <v>101</v>
      </c>
    </row>
    <row r="17">
      <c r="A17" s="3" t="s">
        <v>102</v>
      </c>
      <c r="B17" s="9">
        <f>SUM('AECN Rail'!I10:I13)+'AECN Truck'!A28</f>
        <v>213774.7345</v>
      </c>
      <c r="C17" s="43">
        <f>'AECN Rail'!B52</f>
        <v>213774.7345</v>
      </c>
      <c r="D17" s="9">
        <f>SUM('AECN Rail'!I10:I13)+'AECN Truck'!A28</f>
        <v>213774.7345</v>
      </c>
      <c r="E17" s="9">
        <f>'AECN Rail'!G52+'AECN Truck'!G28</f>
        <v>210605.5572</v>
      </c>
      <c r="F17" s="3" t="s">
        <v>104</v>
      </c>
      <c r="G17" s="44">
        <v>0.416</v>
      </c>
      <c r="H17" s="14" t="str">
        <f>HYPERLINK("https://drive.google.com/file/d/1LC0KJQFEfc9Yg-oBh4JbzCQ7OsnokhJz/view?usp=drivesdk", "COA SR26-04724.001")</f>
        <v>COA SR26-04724.001</v>
      </c>
      <c r="I17" s="45">
        <f t="shared" ref="I17:I20" si="2">G17*J17</f>
        <v>0.001664</v>
      </c>
      <c r="J17" s="44">
        <v>0.004</v>
      </c>
    </row>
    <row r="18">
      <c r="A18" s="3" t="s">
        <v>106</v>
      </c>
      <c r="B18" s="9">
        <f>WODO!A33</f>
        <v>0</v>
      </c>
      <c r="D18" s="9">
        <f>WODO!B33</f>
        <v>0</v>
      </c>
      <c r="E18" s="9">
        <f>WODO!D33</f>
        <v>0</v>
      </c>
      <c r="G18" s="44"/>
      <c r="H18" s="45"/>
      <c r="I18" s="45">
        <f t="shared" si="2"/>
        <v>0</v>
      </c>
      <c r="J18" s="44">
        <v>0.004</v>
      </c>
    </row>
    <row r="19">
      <c r="A19" s="3" t="s">
        <v>78</v>
      </c>
      <c r="B19" s="9">
        <f>Kerry!A33</f>
        <v>0</v>
      </c>
      <c r="D19" s="47">
        <f>Kerry!A33</f>
        <v>0</v>
      </c>
      <c r="E19" s="34">
        <f>Kerry!E33</f>
        <v>0</v>
      </c>
      <c r="G19" s="44" t="str">
        <f>Kerry!G33</f>
        <v/>
      </c>
      <c r="H19" s="48"/>
      <c r="I19" s="48">
        <f t="shared" si="2"/>
        <v>0</v>
      </c>
      <c r="J19" s="44">
        <v>0.004</v>
      </c>
    </row>
    <row r="20">
      <c r="A20" s="3" t="s">
        <v>79</v>
      </c>
      <c r="B20" s="9">
        <f>QOWV!B77</f>
        <v>66221</v>
      </c>
      <c r="D20" s="9">
        <f>QOWV!D77</f>
        <v>62477</v>
      </c>
      <c r="E20" s="9">
        <f>QOWV!F77</f>
        <v>57981.5</v>
      </c>
      <c r="F20" s="3" t="s">
        <v>108</v>
      </c>
      <c r="G20" s="44">
        <v>0.089</v>
      </c>
      <c r="H20" s="51" t="str">
        <f>HYPERLINK("https://drive.google.com/file/d/1LC0KJQFEfc9Yg-oBh4JbzCQ7OsnokhJz/view?usp=drivesdk", "COA SR26-04724.002")</f>
        <v>COA SR26-04724.002</v>
      </c>
      <c r="I20" s="45">
        <f t="shared" si="2"/>
        <v>0.000356</v>
      </c>
      <c r="J20" s="44">
        <v>0.004</v>
      </c>
      <c r="K20" s="7"/>
      <c r="L20" s="7"/>
    </row>
    <row r="21">
      <c r="A21" s="3" t="s">
        <v>81</v>
      </c>
      <c r="B21" s="9">
        <f t="shared" ref="B21:E21" si="3">SUM(B17:B20)</f>
        <v>279995.7345</v>
      </c>
      <c r="C21" s="43">
        <f t="shared" si="3"/>
        <v>213774.7345</v>
      </c>
      <c r="D21" s="43">
        <f t="shared" si="3"/>
        <v>276251.7345</v>
      </c>
      <c r="E21" s="9">
        <f t="shared" si="3"/>
        <v>268587.0572</v>
      </c>
      <c r="F21" s="45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5"/>
      <c r="B23" s="5"/>
      <c r="C23" s="5"/>
      <c r="D23" s="7"/>
      <c r="E23" s="7"/>
      <c r="F23" s="5"/>
      <c r="G23" s="5" t="s">
        <v>113</v>
      </c>
      <c r="H23" s="7"/>
      <c r="I23" s="7"/>
      <c r="J23" s="7"/>
      <c r="K23" s="7"/>
      <c r="L23" s="7"/>
      <c r="M23" s="7"/>
      <c r="N2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46.13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8.25"/>
    <col customWidth="1" min="9" max="9" width="19.75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13</v>
      </c>
      <c r="B2" s="3" t="s">
        <v>4</v>
      </c>
      <c r="N2" s="5" t="s">
        <v>15</v>
      </c>
    </row>
    <row r="3">
      <c r="A3" s="3" t="s">
        <v>6</v>
      </c>
      <c r="B3" s="4">
        <v>46228.0</v>
      </c>
      <c r="N3" s="5" t="s">
        <v>21</v>
      </c>
      <c r="O3" s="8">
        <v>2.20462</v>
      </c>
    </row>
    <row r="4">
      <c r="A4" s="3" t="s">
        <v>7</v>
      </c>
      <c r="B4" s="4">
        <v>46235.0</v>
      </c>
      <c r="N4" s="5" t="s">
        <v>23</v>
      </c>
      <c r="O4" s="8">
        <v>0.453592</v>
      </c>
    </row>
    <row r="5">
      <c r="N5" s="5" t="s">
        <v>24</v>
      </c>
      <c r="O5" s="8">
        <v>0.0129</v>
      </c>
    </row>
    <row r="6">
      <c r="N6" s="5" t="s">
        <v>25</v>
      </c>
      <c r="O6" s="3" t="s">
        <v>26</v>
      </c>
    </row>
    <row r="7">
      <c r="N7" s="3" t="s">
        <v>28</v>
      </c>
      <c r="O7" s="13">
        <f>HYPERLINK("https://docs.google.com/spreadsheets/d/16shKoa1KP34kQJyQvzclBejW9L5-ubNSqPsMOVB7zDY/edit?usp=sharing", 0.00195)</f>
        <v>0.00195</v>
      </c>
    </row>
    <row r="8">
      <c r="A8" s="1" t="s">
        <v>31</v>
      </c>
      <c r="B8" s="2"/>
      <c r="C8" s="2"/>
      <c r="D8" s="2"/>
      <c r="E8" s="2"/>
      <c r="F8" s="2"/>
      <c r="G8" s="2"/>
      <c r="H8" s="2"/>
      <c r="I8" s="1" t="s">
        <v>36</v>
      </c>
      <c r="J8" s="2"/>
      <c r="K8" s="1"/>
      <c r="L8" s="2"/>
      <c r="M8" s="2"/>
      <c r="N8" s="1" t="s">
        <v>43</v>
      </c>
      <c r="O8" s="10">
        <v>3.0</v>
      </c>
      <c r="P8" s="2"/>
      <c r="Q8" s="2"/>
      <c r="R8" s="2"/>
    </row>
    <row r="9">
      <c r="A9" s="5" t="s">
        <v>50</v>
      </c>
      <c r="B9" s="5" t="s">
        <v>54</v>
      </c>
      <c r="C9" s="5" t="s">
        <v>58</v>
      </c>
      <c r="D9" s="17" t="s">
        <v>60</v>
      </c>
      <c r="E9" s="17" t="s">
        <v>63</v>
      </c>
      <c r="F9" s="5" t="s">
        <v>66</v>
      </c>
      <c r="G9" s="5" t="s">
        <v>67</v>
      </c>
      <c r="H9" s="5" t="s">
        <v>68</v>
      </c>
      <c r="I9" s="5" t="s">
        <v>69</v>
      </c>
      <c r="J9" s="5" t="s">
        <v>70</v>
      </c>
      <c r="K9" s="5" t="s">
        <v>71</v>
      </c>
      <c r="L9" s="5" t="s">
        <v>72</v>
      </c>
      <c r="M9" s="5" t="s">
        <v>73</v>
      </c>
      <c r="N9" s="5" t="s">
        <v>74</v>
      </c>
      <c r="O9" s="26">
        <v>2.0</v>
      </c>
      <c r="P9" s="7"/>
      <c r="Q9" s="7"/>
      <c r="R9" s="7"/>
    </row>
    <row r="10">
      <c r="A10" s="3" t="s">
        <v>75</v>
      </c>
      <c r="B10" s="21">
        <v>46228.0</v>
      </c>
      <c r="C10" s="3" t="s">
        <v>77</v>
      </c>
      <c r="D10" s="23">
        <f t="shared" ref="D10:D12" si="1">SUMIF($C$17:$C$28,$A10,$D$17:$D$28)</f>
        <v>77.9</v>
      </c>
      <c r="E10" s="23">
        <f t="shared" ref="E10:E12" si="2">SUMIF($C$17:$C$28,$A10,$E$17:$E$28)</f>
        <v>77900</v>
      </c>
      <c r="F10" s="9">
        <f t="shared" ref="F10:F12" si="3">SUMIF($C$32:$C$47,A10,$F$32:$F$47)+H10</f>
        <v>77863.60272</v>
      </c>
      <c r="G10" s="9">
        <f t="shared" ref="G10:G12" si="4">IF(AND(E10&lt;&gt;"",F10&lt;&gt;"",F10&gt;=0.95*E10),E10-F10,"")</f>
        <v>36.39728</v>
      </c>
      <c r="H10" s="8">
        <v>0.0</v>
      </c>
      <c r="I10" s="36">
        <f t="shared" ref="I10:I12" si="5">F10-H10</f>
        <v>77863.60272</v>
      </c>
      <c r="J10" s="37">
        <v>107.5</v>
      </c>
      <c r="K10" s="37">
        <v>2199.0</v>
      </c>
      <c r="L10" s="8">
        <v>42.9</v>
      </c>
      <c r="M10" s="34" t="str">
        <f t="shared" ref="M10:M13" si="6">IF(OR($E10="",$F10=""),"",IF(AND($H10=0,$F10&gt;=0.95*$E10),"FULL","PARTIAL"))</f>
        <v>FULL</v>
      </c>
    </row>
    <row r="11">
      <c r="A11" s="3" t="s">
        <v>87</v>
      </c>
      <c r="B11" s="21">
        <v>46231.0</v>
      </c>
      <c r="C11" s="3" t="s">
        <v>88</v>
      </c>
      <c r="D11" s="23">
        <f t="shared" si="1"/>
        <v>77.98</v>
      </c>
      <c r="E11" s="23">
        <f t="shared" si="2"/>
        <v>77980</v>
      </c>
      <c r="F11" s="9">
        <f t="shared" si="3"/>
        <v>57869.26736</v>
      </c>
      <c r="G11" s="9" t="str">
        <f t="shared" si="4"/>
        <v/>
      </c>
      <c r="H11" s="37">
        <v>0.0</v>
      </c>
      <c r="I11" s="36">
        <f t="shared" si="5"/>
        <v>57869.26736</v>
      </c>
      <c r="J11" s="37">
        <v>107.5</v>
      </c>
      <c r="K11" s="37">
        <v>2199.0</v>
      </c>
      <c r="L11" s="8">
        <v>42.9</v>
      </c>
      <c r="M11" s="34" t="str">
        <f t="shared" si="6"/>
        <v>PARTIAL</v>
      </c>
    </row>
    <row r="12">
      <c r="A12" s="3" t="s">
        <v>100</v>
      </c>
      <c r="B12" s="21">
        <v>46231.0</v>
      </c>
      <c r="C12" s="3" t="s">
        <v>103</v>
      </c>
      <c r="D12" s="41">
        <f t="shared" si="1"/>
        <v>78.13</v>
      </c>
      <c r="E12" s="41">
        <f t="shared" si="2"/>
        <v>78130</v>
      </c>
      <c r="F12" s="43">
        <f t="shared" si="3"/>
        <v>78041.86438</v>
      </c>
      <c r="G12" s="43">
        <f t="shared" si="4"/>
        <v>88.135624</v>
      </c>
      <c r="H12" s="8">
        <v>0.0</v>
      </c>
      <c r="I12" s="43">
        <f t="shared" si="5"/>
        <v>78041.86438</v>
      </c>
      <c r="J12" s="8">
        <v>107.5</v>
      </c>
      <c r="K12" s="8">
        <v>2199.0</v>
      </c>
      <c r="L12" s="8">
        <v>42.9</v>
      </c>
      <c r="M12" s="34" t="str">
        <f t="shared" si="6"/>
        <v>FULL</v>
      </c>
    </row>
    <row r="13">
      <c r="A13" s="21"/>
      <c r="B13" s="21"/>
      <c r="D13" s="41"/>
      <c r="E13" s="41"/>
      <c r="F13" s="43"/>
      <c r="G13" s="43"/>
      <c r="M13" s="34" t="str">
        <f t="shared" si="6"/>
        <v/>
      </c>
    </row>
    <row r="14">
      <c r="A14" s="22"/>
      <c r="B14" s="22"/>
    </row>
    <row r="15">
      <c r="A15" s="1" t="s">
        <v>105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5" t="s">
        <v>38</v>
      </c>
      <c r="B16" s="5" t="s">
        <v>107</v>
      </c>
      <c r="C16" s="5" t="s">
        <v>50</v>
      </c>
      <c r="D16" s="17" t="s">
        <v>41</v>
      </c>
      <c r="E16" s="17" t="s">
        <v>45</v>
      </c>
      <c r="F16" s="5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>
      <c r="A17" s="21">
        <v>46206.0</v>
      </c>
      <c r="B17" s="50" t="str">
        <f>HYPERLINK("https://drive.google.com/file/d/1K4nBys3Eza4qNkk_5PIhPB1L6obWol3i/view","2409-R")</f>
        <v>2409-R</v>
      </c>
      <c r="C17" s="3" t="s">
        <v>75</v>
      </c>
      <c r="D17" s="23">
        <v>25.98</v>
      </c>
      <c r="E17" s="23">
        <f t="shared" ref="E17:E25" si="7">D17*1000</f>
        <v>25980</v>
      </c>
    </row>
    <row r="18">
      <c r="A18" s="21">
        <v>46206.0</v>
      </c>
      <c r="B18" s="50" t="str">
        <f>HYPERLINK("https://drive.google.com/file/d/19O7JYoyq91VsCaK1S0X93WLzMIdyVtOJ/view","2410-R")</f>
        <v>2410-R</v>
      </c>
      <c r="C18" s="3" t="s">
        <v>75</v>
      </c>
      <c r="D18" s="23">
        <v>25.9</v>
      </c>
      <c r="E18" s="23">
        <f t="shared" si="7"/>
        <v>25900</v>
      </c>
    </row>
    <row r="19">
      <c r="A19" s="21">
        <v>46206.0</v>
      </c>
      <c r="B19" s="50" t="str">
        <f>HYPERLINK("https://drive.google.com/file/d/1uXmC9QTi72lZGV9L-Y0Ljb0VhDKttH_H/view","2411-R")</f>
        <v>2411-R</v>
      </c>
      <c r="C19" s="3" t="s">
        <v>75</v>
      </c>
      <c r="D19" s="23">
        <v>26.02</v>
      </c>
      <c r="E19" s="23">
        <f t="shared" si="7"/>
        <v>26020</v>
      </c>
    </row>
    <row r="20">
      <c r="A20" s="21">
        <v>46209.0</v>
      </c>
      <c r="B20" s="50" t="str">
        <f>HYPERLINK("https://drive.google.com/file/d/1T_cidCWZcJQad7tiAxoXefn7Lik3E_u0/view","2412-R")</f>
        <v>2412-R</v>
      </c>
      <c r="C20" s="3" t="s">
        <v>87</v>
      </c>
      <c r="D20" s="23">
        <v>26.06</v>
      </c>
      <c r="E20" s="23">
        <f t="shared" si="7"/>
        <v>26060</v>
      </c>
    </row>
    <row r="21">
      <c r="A21" s="21">
        <v>46209.0</v>
      </c>
      <c r="B21" s="50" t="str">
        <f>HYPERLINK("https://drive.google.com/file/d/1620pQcmazK921XBe6oRAo3VzhpstXzGO/view","2413-R")</f>
        <v>2413-R</v>
      </c>
      <c r="C21" s="3" t="s">
        <v>87</v>
      </c>
      <c r="D21" s="23">
        <v>25.81</v>
      </c>
      <c r="E21" s="23">
        <f t="shared" si="7"/>
        <v>25810</v>
      </c>
    </row>
    <row r="22">
      <c r="A22" s="21">
        <v>46209.0</v>
      </c>
      <c r="B22" s="50" t="str">
        <f>HYPERLINK("https://drive.google.com/file/d/18qPUmo4TetCABk-ZsruwkftJkdosdFPC/view","2414-R")</f>
        <v>2414-R</v>
      </c>
      <c r="C22" s="3" t="s">
        <v>87</v>
      </c>
      <c r="D22" s="23">
        <v>26.11</v>
      </c>
      <c r="E22" s="23">
        <f t="shared" si="7"/>
        <v>26110</v>
      </c>
    </row>
    <row r="23">
      <c r="A23" s="21">
        <v>46209.0</v>
      </c>
      <c r="B23" s="50" t="str">
        <f>HYPERLINK("https://drive.google.com/file/d/1deWVVKUMK-uXaLSkE73hPGVx3UzB9R6Z/view","2415-R")</f>
        <v>2415-R</v>
      </c>
      <c r="C23" s="3" t="s">
        <v>100</v>
      </c>
      <c r="D23" s="23">
        <v>26.07</v>
      </c>
      <c r="E23" s="23">
        <f t="shared" si="7"/>
        <v>26070</v>
      </c>
    </row>
    <row r="24">
      <c r="A24" s="21">
        <v>46209.0</v>
      </c>
      <c r="B24" s="50" t="str">
        <f>HYPERLINK("https://drive.google.com/file/d/1XGsg6k4mNnMU_shyAPgAyzRc9XEoRQlc/view","2416-R")</f>
        <v>2416-R</v>
      </c>
      <c r="C24" s="3" t="s">
        <v>100</v>
      </c>
      <c r="D24" s="23">
        <v>26.06</v>
      </c>
      <c r="E24" s="23">
        <f t="shared" si="7"/>
        <v>26060</v>
      </c>
    </row>
    <row r="25">
      <c r="A25" s="21">
        <v>46209.0</v>
      </c>
      <c r="B25" s="50" t="str">
        <f>HYPERLINK("https://drive.google.com/file/d/1Fky8t87mOw8-pkjpq8xcbs2LYpMp-GaS/view","2417-R")</f>
        <v>2417-R</v>
      </c>
      <c r="C25" s="3" t="s">
        <v>100</v>
      </c>
      <c r="D25" s="23">
        <v>26.0</v>
      </c>
      <c r="E25" s="23">
        <f t="shared" si="7"/>
        <v>26000</v>
      </c>
    </row>
    <row r="26">
      <c r="A26" s="52"/>
      <c r="B26" s="53"/>
      <c r="C26" s="53"/>
      <c r="D26" s="54"/>
      <c r="E26" s="54"/>
      <c r="F26" s="55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</row>
    <row r="27">
      <c r="A27" s="21"/>
      <c r="D27" s="23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7"/>
      <c r="Q27" s="7"/>
      <c r="R27" s="7"/>
    </row>
    <row r="28">
      <c r="A28" s="60"/>
      <c r="B28" s="62"/>
      <c r="C28" s="62"/>
      <c r="D28" s="64"/>
      <c r="E28" s="64"/>
      <c r="F28" s="66"/>
      <c r="G28" s="68"/>
      <c r="H28" s="70"/>
      <c r="I28" s="70"/>
      <c r="J28" s="66"/>
      <c r="K28" s="66"/>
      <c r="L28" s="70"/>
      <c r="M28" s="70"/>
      <c r="N28" s="70"/>
      <c r="O28" s="72"/>
    </row>
    <row r="29">
      <c r="A29" s="60"/>
      <c r="B29" s="62"/>
      <c r="C29" s="62"/>
      <c r="D29" s="66"/>
      <c r="E29" s="66"/>
      <c r="F29" s="66"/>
      <c r="G29" s="68"/>
      <c r="H29" s="70"/>
      <c r="I29" s="70"/>
      <c r="J29" s="66"/>
      <c r="K29" s="70"/>
      <c r="L29" s="70"/>
      <c r="M29" s="70"/>
      <c r="N29" s="70"/>
      <c r="O29" s="72"/>
    </row>
    <row r="30">
      <c r="A30" s="75" t="s">
        <v>135</v>
      </c>
      <c r="B30" s="75"/>
      <c r="C30" s="75"/>
      <c r="D30" s="77"/>
      <c r="E30" s="78"/>
      <c r="F30" s="77"/>
      <c r="G30" s="80"/>
      <c r="H30" s="81"/>
      <c r="I30" s="81"/>
      <c r="J30" s="77"/>
      <c r="K30" s="81"/>
      <c r="L30" s="81"/>
      <c r="M30" s="81"/>
      <c r="N30" s="81"/>
      <c r="O30" s="83"/>
      <c r="P30" s="84"/>
      <c r="Q30" s="84"/>
      <c r="R30" s="84"/>
    </row>
    <row r="31">
      <c r="A31" s="62" t="s">
        <v>38</v>
      </c>
      <c r="B31" s="62" t="s">
        <v>147</v>
      </c>
      <c r="C31" s="62" t="s">
        <v>50</v>
      </c>
      <c r="D31" s="66" t="s">
        <v>148</v>
      </c>
      <c r="E31" s="66" t="s">
        <v>149</v>
      </c>
      <c r="F31" s="64" t="s">
        <v>150</v>
      </c>
      <c r="G31" s="68" t="s">
        <v>53</v>
      </c>
      <c r="H31" s="64" t="s">
        <v>14</v>
      </c>
      <c r="I31" s="64" t="s">
        <v>16</v>
      </c>
      <c r="J31" s="64" t="s">
        <v>84</v>
      </c>
      <c r="K31" s="64" t="s">
        <v>17</v>
      </c>
      <c r="L31" s="66" t="s">
        <v>151</v>
      </c>
      <c r="M31" s="66" t="s">
        <v>152</v>
      </c>
      <c r="N31" s="66" t="s">
        <v>153</v>
      </c>
    </row>
    <row r="32">
      <c r="A32" s="60">
        <v>46235.0</v>
      </c>
      <c r="B32" s="62" t="s">
        <v>155</v>
      </c>
      <c r="C32" s="62" t="s">
        <v>75</v>
      </c>
      <c r="D32" s="90">
        <f>HYPERLINK("https://drive.google.com/file/d/1HUuke-WUTp_wkuPcpYX2RsopeTrp1wtz/view?usp=drivesdk", 72400)</f>
        <v>72400</v>
      </c>
      <c r="E32" s="90">
        <f>HYPERLINK("https://drive.google.com/file/d/1-i6wt1K5ZeWtk3ZRLWp48rmr0gzNYMI1/view?usp=drivesdk", 29220)</f>
        <v>29220</v>
      </c>
      <c r="F32" s="64">
        <f t="shared" ref="F32:F47" si="8">IF(OR(D32="",E32=""),"",(D32-E32)*$O$4)</f>
        <v>19586.10256</v>
      </c>
      <c r="G32" s="68">
        <v>2.88</v>
      </c>
      <c r="H32" s="64">
        <f t="shared" ref="H32:H42" si="9">IF(F32="","",(F32-J32)*$O$5)</f>
        <v>252.660723</v>
      </c>
      <c r="I32" s="64">
        <f t="shared" ref="I32:I42" si="10">IF(F32="","",(F32-J32)*(1-$O$5)*$O$7)</f>
        <v>37.70021158</v>
      </c>
      <c r="J32" s="64">
        <f t="array" ref="J32">IF(F32="","",IF(ROW()=MAX(IF($C$32:$C$47=C32,ROW($C$32:$C$47),0)),MAX(0,IFERROR(VLOOKUP(C32,$A$10:$L$13,6,FALSE)-VLOOKUP(C32,$A$10:$L$13,5,FALSE),0)),0))</f>
        <v>0</v>
      </c>
      <c r="K32" s="64">
        <f t="shared" ref="K32:K42" si="11">IF(F32="","",F32-H32-I32-J32)</f>
        <v>19295.74163</v>
      </c>
      <c r="L32" s="70">
        <f t="shared" ref="L32:L42" si="12">IF(F32="","",(F32-J32)/VLOOKUP(C32,$A$10:$L$13,5,FALSE)*VLOOKUP(C32,$A$10:$L$13,10,FALSE)*$O$8)</f>
        <v>81.08495604</v>
      </c>
      <c r="M32" s="70">
        <f t="array" ref="M32">IF(F32="","",IF(IFERROR(VLOOKUP(C32,$A$10:$M$13,13,FALSE),"")="FULL",IF(ROW()=MIN(IF($C$32:$C$47=C32,ROW($C$32:$C$47),10^9)),VLOOKUP(C32,$A$10:$M$13,11,FALSE),0),(F32-J32)/VLOOKUP(C32,$A$10:$M$13,5,FALSE)*VLOOKUP(C32,$A$10:$M$13,11,FALSE)))</f>
        <v>2199</v>
      </c>
      <c r="N32" s="70">
        <f t="shared" ref="N32:N42" si="13">IF(F32="","",IFERROR(VLOOKUP(C32,$A$10:$L$13,12,FALSE),0)*$O$9)</f>
        <v>85.8</v>
      </c>
      <c r="O32" s="102"/>
    </row>
    <row r="33">
      <c r="A33" s="60">
        <v>46235.0</v>
      </c>
      <c r="B33" s="62" t="s">
        <v>194</v>
      </c>
      <c r="C33" s="62" t="s">
        <v>75</v>
      </c>
      <c r="D33" s="90">
        <f>HYPERLINK("https://drive.google.com/file/d/1DN6ljxBs0Nw4DlCx12C9D252ZXcGzRDJ/view?usp=drivesdk", 71860)</f>
        <v>71860</v>
      </c>
      <c r="E33" s="90">
        <f>HYPERLINK("https://drive.google.com/file/d/155-BAqaio82EMDv7YHRuDkLKppPVTD6-/view?usp=drivesdk", 29020)</f>
        <v>29020</v>
      </c>
      <c r="F33" s="64">
        <f t="shared" si="8"/>
        <v>19431.88128</v>
      </c>
      <c r="G33" s="68">
        <v>2.88</v>
      </c>
      <c r="H33" s="64">
        <f t="shared" si="9"/>
        <v>250.6712685</v>
      </c>
      <c r="I33" s="64">
        <f t="shared" si="10"/>
        <v>37.40335952</v>
      </c>
      <c r="J33" s="64">
        <f t="array" ref="J33">IF(F33="","",IF(ROW()=MAX(IF($C$32:$C$47=C33,ROW($C$32:$C$47),0)),MAX(0,IFERROR(VLOOKUP(C33,$A$10:$L$13,6,FALSE)-VLOOKUP(C33,$A$10:$L$13,5,FALSE),0)),0))</f>
        <v>0</v>
      </c>
      <c r="K33" s="64">
        <f t="shared" si="11"/>
        <v>19143.80665</v>
      </c>
      <c r="L33" s="70">
        <f t="shared" si="12"/>
        <v>80.44649182</v>
      </c>
      <c r="M33" s="70">
        <f t="array" ref="M33">IF(F33="","",IF(IFERROR(VLOOKUP(C33,$A$10:$M$13,13,FALSE),"")="FULL",IF(ROW()=MIN(IF($C$32:$C$47=C33,ROW($C$32:$C$47),10^9)),VLOOKUP(C33,$A$10:$M$13,11,FALSE),0),(F33-J33)/VLOOKUP(C33,$A$10:$M$13,5,FALSE)*VLOOKUP(C33,$A$10:$M$13,11,FALSE)))</f>
        <v>0</v>
      </c>
      <c r="N33" s="70">
        <f t="shared" si="13"/>
        <v>85.8</v>
      </c>
      <c r="O33" s="102"/>
    </row>
    <row r="34">
      <c r="A34" s="60">
        <v>46235.0</v>
      </c>
      <c r="B34" s="62" t="s">
        <v>219</v>
      </c>
      <c r="C34" s="62" t="s">
        <v>75</v>
      </c>
      <c r="D34" s="90">
        <f>HYPERLINK("https://drive.google.com/file/d/1KHLfkGyYtMLtSwGzFGD1E1BW_DLqyGQW/view?usp=drivesdk", 74260)</f>
        <v>74260</v>
      </c>
      <c r="E34" s="90">
        <f>HYPERLINK("https://drive.google.com/file/d/1ghnhEGwLCD0moXbO0niMBGp3EOV6amin/view?usp=drivesdk", 29060)</f>
        <v>29060</v>
      </c>
      <c r="F34" s="64">
        <f t="shared" si="8"/>
        <v>20502.3584</v>
      </c>
      <c r="G34" s="68">
        <v>2.88</v>
      </c>
      <c r="H34" s="64">
        <f t="shared" si="9"/>
        <v>264.4804234</v>
      </c>
      <c r="I34" s="64">
        <f t="shared" si="10"/>
        <v>39.46386205</v>
      </c>
      <c r="J34" s="64">
        <f t="array" ref="J34">IF(F34="","",IF(ROW()=MAX(IF($C$32:$C$47=C34,ROW($C$32:$C$47),0)),MAX(0,IFERROR(VLOOKUP(C34,$A$10:$L$13,6,FALSE)-VLOOKUP(C34,$A$10:$L$13,5,FALSE),0)),0))</f>
        <v>0</v>
      </c>
      <c r="K34" s="64">
        <f t="shared" si="11"/>
        <v>20198.41411</v>
      </c>
      <c r="L34" s="70">
        <f t="shared" si="12"/>
        <v>84.87818465</v>
      </c>
      <c r="M34" s="70">
        <f t="array" ref="M34">IF(F34="","",IF(IFERROR(VLOOKUP(C34,$A$10:$M$13,13,FALSE),"")="FULL",IF(ROW()=MIN(IF($C$32:$C$47=C34,ROW($C$32:$C$47),10^9)),VLOOKUP(C34,$A$10:$M$13,11,FALSE),0),(F34-J34)/VLOOKUP(C34,$A$10:$M$13,5,FALSE)*VLOOKUP(C34,$A$10:$M$13,11,FALSE)))</f>
        <v>0</v>
      </c>
      <c r="N34" s="70">
        <f t="shared" si="13"/>
        <v>85.8</v>
      </c>
      <c r="O34" s="102"/>
    </row>
    <row r="35">
      <c r="A35" s="60">
        <v>46235.0</v>
      </c>
      <c r="B35" s="62" t="s">
        <v>231</v>
      </c>
      <c r="C35" s="62" t="s">
        <v>75</v>
      </c>
      <c r="D35" s="90">
        <f>HYPERLINK("https://drive.google.com/file/d/1X8u6LcnWAwqpF6-hXKTlq5X7LRrU1LL9/view?usp=drivesdk", 69180)</f>
        <v>69180</v>
      </c>
      <c r="E35" s="90">
        <f>HYPERLINK("https://drive.google.com/file/d/1oe6Ep7zgxjeFwdzyIdWbPYyULKVVrTiq/view?usp=drivesdk", 28740)</f>
        <v>28740</v>
      </c>
      <c r="F35" s="64">
        <f t="shared" si="8"/>
        <v>18343.26048</v>
      </c>
      <c r="G35" s="68">
        <v>2.88</v>
      </c>
      <c r="H35" s="117">
        <f t="shared" si="9"/>
        <v>236.6280602</v>
      </c>
      <c r="I35" s="117">
        <f t="shared" si="10"/>
        <v>35.30793322</v>
      </c>
      <c r="J35" s="117">
        <f t="array" ref="J35">IF(F35="","",IF(ROW()=MAX(IF($C$32:$C$47=C35,ROW($C$32:$C$47),0)),MAX(0,IFERROR(VLOOKUP(C35,$A$10:$L$13,6,FALSE)-VLOOKUP(C35,$A$10:$L$13,5,FALSE),0)),0))</f>
        <v>0</v>
      </c>
      <c r="K35" s="117">
        <f t="shared" si="11"/>
        <v>18071.32449</v>
      </c>
      <c r="L35" s="70">
        <f t="shared" si="12"/>
        <v>75.93968556</v>
      </c>
      <c r="M35" s="70">
        <f t="array" ref="M35">IF(F35="","",IF(IFERROR(VLOOKUP(C35,$A$10:$M$13,13,FALSE),"")="FULL",IF(ROW()=MIN(IF($C$32:$C$47=C35,ROW($C$32:$C$47),10^9)),VLOOKUP(C35,$A$10:$M$13,11,FALSE),0),(F35-J35)/VLOOKUP(C35,$A$10:$M$13,5,FALSE)*VLOOKUP(C35,$A$10:$M$13,11,FALSE)))</f>
        <v>0</v>
      </c>
      <c r="N35" s="70">
        <f t="shared" si="13"/>
        <v>85.8</v>
      </c>
      <c r="O35" s="118"/>
    </row>
    <row r="36">
      <c r="A36" s="60">
        <v>46235.0</v>
      </c>
      <c r="B36" s="62" t="s">
        <v>232</v>
      </c>
      <c r="C36" s="62" t="s">
        <v>87</v>
      </c>
      <c r="D36" s="90">
        <f>HYPERLINK("https://drive.google.com/file/d/1YxUz0-K8FqPtrnOSoGiriy5Nb0FjTjF4/view?usp=drivesdk", 70580)</f>
        <v>70580</v>
      </c>
      <c r="E36" s="90">
        <f>HYPERLINK("https://drive.google.com/file/d/1PdkfXxCnlqXOmJTRzXLjVt5wSMEtsUPW/view?usp=drivesdk", 28600)</f>
        <v>28600</v>
      </c>
      <c r="F36" s="64">
        <f t="shared" si="8"/>
        <v>19041.79216</v>
      </c>
      <c r="G36" s="68">
        <v>2.88</v>
      </c>
      <c r="H36" s="117">
        <f t="shared" si="9"/>
        <v>245.6391189</v>
      </c>
      <c r="I36" s="117">
        <f t="shared" si="10"/>
        <v>36.65249843</v>
      </c>
      <c r="J36" s="64">
        <f t="array" ref="J36">IF(F36="","",IF(ROW()=MAX(IF($C$32:$C$47=C36,ROW($C$32:$C$47),0)),MAX(0,IFERROR(VLOOKUP(C36,$A$10:$L$13,6,FALSE)-VLOOKUP(C36,$A$10:$L$13,5,FALSE),0)),0))</f>
        <v>0</v>
      </c>
      <c r="K36" s="117">
        <f t="shared" si="11"/>
        <v>18759.50054</v>
      </c>
      <c r="L36" s="70">
        <f t="shared" si="12"/>
        <v>78.7506793</v>
      </c>
      <c r="M36" s="70">
        <f t="array" ref="M36">IF(F36="","",IF(IFERROR(VLOOKUP(C36,$A$10:$M$13,13,FALSE),"")="FULL",IF(ROW()=MIN(IF($C$32:$C$47=C36,ROW($C$32:$C$47),10^9)),VLOOKUP(C36,$A$10:$M$13,11,FALSE),0),(F36-J36)/VLOOKUP(C36,$A$10:$M$13,5,FALSE)*VLOOKUP(C36,$A$10:$M$13,11,FALSE)))</f>
        <v>536.9697481</v>
      </c>
      <c r="N36" s="70">
        <f t="shared" si="13"/>
        <v>85.8</v>
      </c>
      <c r="O36" s="118"/>
    </row>
    <row r="37">
      <c r="A37" s="60">
        <v>46235.0</v>
      </c>
      <c r="B37" s="62" t="s">
        <v>233</v>
      </c>
      <c r="C37" s="62" t="s">
        <v>87</v>
      </c>
      <c r="D37" s="90">
        <f>HYPERLINK("https://drive.google.com/file/d/1VwpmiSJZ815bm6iSvsa_uodfjYTgNHGl/view?usp=drivesdk", 72640)</f>
        <v>72640</v>
      </c>
      <c r="E37" s="90">
        <f>HYPERLINK("https://drive.google.com/file/d/1qjoJyXkK6YJu_IvIw3EP6f9vzhuIxmo1/view?usp=drivesdk", 28720)</f>
        <v>28720</v>
      </c>
      <c r="F37" s="64">
        <f t="shared" si="8"/>
        <v>19921.76064</v>
      </c>
      <c r="G37" s="68">
        <v>2.88</v>
      </c>
      <c r="H37" s="117">
        <f t="shared" si="9"/>
        <v>256.9907123</v>
      </c>
      <c r="I37" s="117">
        <f t="shared" si="10"/>
        <v>38.34630136</v>
      </c>
      <c r="J37" s="64">
        <f t="array" ref="J37">IF(F37="","",IF(ROW()=MAX(IF($C$32:$C$47=C37,ROW($C$32:$C$47),0)),MAX(0,IFERROR(VLOOKUP(C37,$A$10:$L$13,6,FALSE)-VLOOKUP(C37,$A$10:$L$13,5,FALSE),0)),0))</f>
        <v>0</v>
      </c>
      <c r="K37" s="117">
        <f t="shared" si="11"/>
        <v>19626.42363</v>
      </c>
      <c r="L37" s="70">
        <f t="shared" si="12"/>
        <v>82.38994366</v>
      </c>
      <c r="M37" s="70">
        <f t="array" ref="M37">IF(F37="","",IF(IFERROR(VLOOKUP(C37,$A$10:$M$13,13,FALSE),"")="FULL",IF(ROW()=MIN(IF($C$32:$C$47=C37,ROW($C$32:$C$47),10^9)),VLOOKUP(C37,$A$10:$M$13,11,FALSE),0),(F37-J37)/VLOOKUP(C37,$A$10:$M$13,5,FALSE)*VLOOKUP(C37,$A$10:$M$13,11,FALSE)))</f>
        <v>561.784453</v>
      </c>
      <c r="N37" s="70">
        <f t="shared" si="13"/>
        <v>85.8</v>
      </c>
      <c r="O37" s="118"/>
    </row>
    <row r="38">
      <c r="A38" s="60">
        <v>46235.0</v>
      </c>
      <c r="B38" s="62" t="s">
        <v>234</v>
      </c>
      <c r="C38" s="62" t="s">
        <v>87</v>
      </c>
      <c r="D38" s="119">
        <f>HYPERLINK("https://drive.google.com/file/d/11PDuM10gWHQ38wb6IXanGvTFCo_09P_U/view?usp=drivesdk", 70560)</f>
        <v>70560</v>
      </c>
      <c r="E38" s="119">
        <f>HYPERLINK("https://drive.google.com/file/d/1GlgYmY0Yhl6KBlqG3XhMdt3Me9JlAh9M/view?usp=drivesdk", 28880)</f>
        <v>28880</v>
      </c>
      <c r="F38" s="64">
        <f t="shared" si="8"/>
        <v>18905.71456</v>
      </c>
      <c r="G38" s="68">
        <v>2.88</v>
      </c>
      <c r="H38" s="117">
        <f t="shared" si="9"/>
        <v>243.8837178</v>
      </c>
      <c r="I38" s="117">
        <f t="shared" si="10"/>
        <v>36.39057014</v>
      </c>
      <c r="J38" s="64">
        <f t="array" ref="J38">IF(F38="","",IF(ROW()=MAX(IF($C$32:$C$47=C38,ROW($C$32:$C$47),0)),MAX(0,IFERROR(VLOOKUP(C38,$A$10:$L$13,6,FALSE)-VLOOKUP(C38,$A$10:$L$13,5,FALSE),0)),0))</f>
        <v>0</v>
      </c>
      <c r="K38" s="117">
        <f t="shared" si="11"/>
        <v>18625.44027</v>
      </c>
      <c r="L38" s="70">
        <f t="shared" si="12"/>
        <v>78.18790646</v>
      </c>
      <c r="M38" s="70">
        <f t="array" ref="M38">IF(F38="","",IF(IFERROR(VLOOKUP(C38,$A$10:$M$13,13,FALSE),"")="FULL",IF(ROW()=MIN(IF($C$32:$C$47=C38,ROW($C$32:$C$47),10^9)),VLOOKUP(C38,$A$10:$M$13,11,FALSE),0),(F38-J38)/VLOOKUP(C38,$A$10:$M$13,5,FALSE)*VLOOKUP(C38,$A$10:$M$13,11,FALSE)))</f>
        <v>533.1324226</v>
      </c>
      <c r="N38" s="70">
        <f t="shared" si="13"/>
        <v>85.8</v>
      </c>
      <c r="O38" s="118"/>
    </row>
    <row r="39">
      <c r="A39" s="60">
        <v>46235.0</v>
      </c>
      <c r="B39" s="62" t="s">
        <v>235</v>
      </c>
      <c r="C39" s="62" t="s">
        <v>100</v>
      </c>
      <c r="D39" s="119">
        <f>HYPERLINK("https://drive.google.com/file/d/1WvyPw3DKgNxyUvxvBUKOFZq9JMDUHNNt/view?usp=drivesdk", 70760)</f>
        <v>70760</v>
      </c>
      <c r="E39" s="120">
        <v>29307.0</v>
      </c>
      <c r="F39" s="117">
        <f t="shared" si="8"/>
        <v>18802.74918</v>
      </c>
      <c r="G39" s="68">
        <v>2.88</v>
      </c>
      <c r="H39" s="117">
        <f t="shared" si="9"/>
        <v>242.5554644</v>
      </c>
      <c r="I39" s="117">
        <f t="shared" si="10"/>
        <v>36.19237774</v>
      </c>
      <c r="J39" s="117">
        <f t="array" ref="J39">IF(F39="","",IF(ROW()=MAX(IF($C$32:$C$47=C39,ROW($C$32:$C$47),0)),MAX(0,IFERROR(VLOOKUP(C39,$A$10:$L$13,6,FALSE)-VLOOKUP(C39,$A$10:$L$13,5,FALSE),0)),0))</f>
        <v>0</v>
      </c>
      <c r="K39" s="117">
        <f t="shared" si="11"/>
        <v>18524.00133</v>
      </c>
      <c r="L39" s="70">
        <f t="shared" si="12"/>
        <v>77.61278138</v>
      </c>
      <c r="M39" s="70">
        <f t="array" ref="M39">IF(F39="","",IF(IFERROR(VLOOKUP(C39,$A$10:$M$13,13,FALSE),"")="FULL",IF(ROW()=MIN(IF($C$32:$C$47=C39,ROW($C$32:$C$47),10^9)),VLOOKUP(C39,$A$10:$M$13,11,FALSE),0),(F39-J39)/VLOOKUP(C39,$A$10:$M$13,5,FALSE)*VLOOKUP(C39,$A$10:$M$13,11,FALSE)))</f>
        <v>2199</v>
      </c>
      <c r="N39" s="70">
        <f t="shared" si="13"/>
        <v>85.8</v>
      </c>
      <c r="O39" s="118"/>
    </row>
    <row r="40">
      <c r="A40" s="60">
        <v>46235.0</v>
      </c>
      <c r="B40" s="62" t="s">
        <v>236</v>
      </c>
      <c r="C40" s="62" t="s">
        <v>100</v>
      </c>
      <c r="D40" s="119">
        <f>HYPERLINK("https://drive.google.com/file/d/1-5x2Adnbiq8SMdAc3bSGOGPCXQhdkq4J/view?usp=drivesdk", 73560)</f>
        <v>73560</v>
      </c>
      <c r="E40" s="119">
        <f>HYPERLINK("https://drive.google.com/file/d/1BaZI-YpYmbrIYDOWRFGBjOn9RyhAgLUU/view?usp=drivesdk", 29200)</f>
        <v>29200</v>
      </c>
      <c r="F40" s="117">
        <f t="shared" si="8"/>
        <v>20121.34112</v>
      </c>
      <c r="G40" s="68">
        <v>2.88</v>
      </c>
      <c r="H40" s="117">
        <f t="shared" si="9"/>
        <v>259.5653004</v>
      </c>
      <c r="I40" s="117">
        <f t="shared" si="10"/>
        <v>38.73046285</v>
      </c>
      <c r="J40" s="64">
        <f t="array" ref="J40">IF(F40="","",IF(ROW()=MAX(IF($C$32:$C$47=C40,ROW($C$32:$C$47),0)),MAX(0,IFERROR(VLOOKUP(C40,$A$10:$L$13,6,FALSE)-VLOOKUP(C40,$A$10:$L$13,5,FALSE),0)),0))</f>
        <v>0</v>
      </c>
      <c r="K40" s="117">
        <f t="shared" si="11"/>
        <v>19823.04536</v>
      </c>
      <c r="L40" s="70">
        <f t="shared" si="12"/>
        <v>83.05558059</v>
      </c>
      <c r="M40" s="70">
        <f t="array" ref="M40">IF(F40="","",IF(IFERROR(VLOOKUP(C40,$A$10:$M$13,13,FALSE),"")="FULL",IF(ROW()=MIN(IF($C$32:$C$47=C40,ROW($C$32:$C$47),10^9)),VLOOKUP(C40,$A$10:$M$13,11,FALSE),0),(F40-J40)/VLOOKUP(C40,$A$10:$M$13,5,FALSE)*VLOOKUP(C40,$A$10:$M$13,11,FALSE)))</f>
        <v>0</v>
      </c>
      <c r="N40" s="70">
        <f t="shared" si="13"/>
        <v>85.8</v>
      </c>
      <c r="O40" s="118"/>
    </row>
    <row r="41">
      <c r="A41" s="60">
        <v>46235.0</v>
      </c>
      <c r="B41" s="62" t="s">
        <v>237</v>
      </c>
      <c r="C41" s="62" t="s">
        <v>100</v>
      </c>
      <c r="D41" s="119">
        <f>HYPERLINK("https://drive.google.com/file/d/1XxwY4YKZChNOiHGyh0Q1u1iA9fIonu75/view?usp=drivesdk", 63840)</f>
        <v>63840</v>
      </c>
      <c r="E41" s="119">
        <f>HYPERLINK("https://drive.google.com/file/d/1OG4WqvXljbw-lWQjQLyyDVbOomysI9Vi/view?usp=drivesdk", 28800)</f>
        <v>28800</v>
      </c>
      <c r="F41" s="117">
        <f t="shared" si="8"/>
        <v>15893.86368</v>
      </c>
      <c r="G41" s="68">
        <v>2.88</v>
      </c>
      <c r="H41" s="121">
        <f t="shared" si="9"/>
        <v>205.0308415</v>
      </c>
      <c r="I41" s="121">
        <f t="shared" si="10"/>
        <v>30.59322404</v>
      </c>
      <c r="J41" s="122">
        <f t="array" ref="J41">IF(F41="","",IF(ROW()=MAX(IF($C$32:$C$47=C41,ROW($C$32:$C$47),0)),MAX(0,IFERROR(VLOOKUP(C41,$A$10:$L$13,6,FALSE)-VLOOKUP(C41,$A$10:$L$13,5,FALSE),0)),0))</f>
        <v>0</v>
      </c>
      <c r="K41" s="117">
        <f t="shared" si="11"/>
        <v>15658.23961</v>
      </c>
      <c r="L41" s="123">
        <f t="shared" si="12"/>
        <v>65.60567051</v>
      </c>
      <c r="M41" s="123">
        <f t="array" ref="M41">IF(F41="","",IF(IFERROR(VLOOKUP(C41,$A$10:$M$13,13,FALSE),"")="FULL",IF(ROW()=MIN(IF($C$32:$C$47=C41,ROW($C$32:$C$47),10^9)),VLOOKUP(C41,$A$10:$M$13,11,FALSE),0),(F41-J41)/VLOOKUP(C41,$A$10:$M$13,5,FALSE)*VLOOKUP(C41,$A$10:$M$13,11,FALSE)))</f>
        <v>0</v>
      </c>
      <c r="N41" s="118">
        <f t="shared" si="13"/>
        <v>85.8</v>
      </c>
      <c r="O41" s="118"/>
    </row>
    <row r="42" ht="16.5" customHeight="1">
      <c r="A42" s="60">
        <v>46235.0</v>
      </c>
      <c r="B42" s="62" t="s">
        <v>238</v>
      </c>
      <c r="C42" s="62" t="s">
        <v>100</v>
      </c>
      <c r="D42" s="90">
        <f>HYPERLINK("https://drive.google.com/file/d/1uiIjzRvra5luRxXUe6YN1AmOH6bAfyra/view?usp=drivesdk", 80080)</f>
        <v>80080</v>
      </c>
      <c r="E42" s="90">
        <f>HYPERLINK("https://drive.google.com/file/d/17cClfImxW3BztbPDI-UUDIqEbPKUd-9C/view?usp=drivesdk", 28880)</f>
        <v>28880</v>
      </c>
      <c r="F42" s="117">
        <f t="shared" si="8"/>
        <v>23223.9104</v>
      </c>
      <c r="G42" s="68">
        <v>2.88</v>
      </c>
      <c r="H42" s="121">
        <f t="shared" si="9"/>
        <v>299.5884442</v>
      </c>
      <c r="I42" s="121">
        <f t="shared" si="10"/>
        <v>44.70242781</v>
      </c>
      <c r="J42" s="122">
        <f t="array" ref="J42">IF(F42="","",IF(ROW()=MAX(IF($C$32:$C$47=C42,ROW($C$32:$C$47),0)),MAX(0,IFERROR(VLOOKUP(C42,$A$10:$L$13,6,FALSE)-VLOOKUP(C42,$A$10:$L$13,5,FALSE),0)),0))</f>
        <v>0</v>
      </c>
      <c r="K42" s="117">
        <f t="shared" si="11"/>
        <v>22879.61953</v>
      </c>
      <c r="L42" s="123">
        <f t="shared" si="12"/>
        <v>95.86216695</v>
      </c>
      <c r="M42" s="123">
        <f t="array" ref="M42">IF(F42="","",IF(IFERROR(VLOOKUP(C42,$A$10:$M$13,13,FALSE),"")="FULL",IF(ROW()=MIN(IF($C$32:$C$47=C42,ROW($C$32:$C$47),10^9)),VLOOKUP(C42,$A$10:$M$13,11,FALSE),0),(F42-J42)/VLOOKUP(C42,$A$10:$M$13,5,FALSE)*VLOOKUP(C42,$A$10:$M$13,11,FALSE)))</f>
        <v>0</v>
      </c>
      <c r="N42" s="118">
        <f t="shared" si="13"/>
        <v>85.8</v>
      </c>
      <c r="O42" s="118"/>
      <c r="P42" s="2"/>
      <c r="Q42" s="2"/>
      <c r="R42" s="2"/>
    </row>
    <row r="43">
      <c r="A43" s="60"/>
      <c r="B43" s="62"/>
      <c r="C43" s="62"/>
      <c r="D43" s="66"/>
      <c r="E43" s="66"/>
      <c r="F43" s="64" t="str">
        <f t="shared" si="8"/>
        <v/>
      </c>
      <c r="G43" s="66"/>
      <c r="H43" s="124"/>
      <c r="I43" s="124"/>
      <c r="J43" s="125"/>
      <c r="K43" s="125"/>
      <c r="L43" s="126"/>
      <c r="M43" s="126" t="str">
        <f t="array" ref="M43">IF(F43="","",IF(IFERROR(VLOOKUP(C43,$A$10:$M$13,13,FALSE),"")="FULL",IF(ROW()=MIN(IF($C$32:$C$47=C43,ROW($C$32:$C$47),10^9)),VLOOKUP(C43,$A$10:$M$13,11,FALSE),0),(F43-J43)/VLOOKUP(C43,$A$10:$M$13,5,FALSE)*VLOOKUP(C43,$A$10:$M$13,11,FALSE)))</f>
        <v/>
      </c>
      <c r="N43" s="118"/>
      <c r="O43" s="118"/>
      <c r="P43" s="7"/>
      <c r="Q43" s="7"/>
      <c r="R43" s="7"/>
    </row>
    <row r="44">
      <c r="A44" s="60"/>
      <c r="B44" s="66"/>
      <c r="C44" s="66"/>
      <c r="D44" s="70"/>
      <c r="E44" s="70"/>
      <c r="F44" s="117" t="str">
        <f t="shared" si="8"/>
        <v/>
      </c>
      <c r="G44" s="68"/>
      <c r="H44" s="121"/>
      <c r="I44" s="121"/>
      <c r="J44" s="125"/>
      <c r="K44" s="127"/>
      <c r="L44" s="123"/>
      <c r="M44" s="123" t="str">
        <f t="array" ref="M44">IF(F44="","",IF(IFERROR(VLOOKUP(C44,$A$10:$M$13,13,FALSE),"")="FULL",IF(ROW()=MIN(IF($C$32:$C$47=C44,ROW($C$32:$C$47),10^9)),VLOOKUP(C44,$A$10:$M$13,11,FALSE),0),(F44-J44)/VLOOKUP(C44,$A$10:$M$13,5,FALSE)*VLOOKUP(C44,$A$10:$M$13,11,FALSE)))</f>
        <v/>
      </c>
      <c r="N44" s="118"/>
      <c r="O44" s="118"/>
    </row>
    <row r="45">
      <c r="A45" s="60"/>
      <c r="B45" s="62"/>
      <c r="C45" s="62"/>
      <c r="D45" s="70"/>
      <c r="E45" s="70"/>
      <c r="F45" s="117" t="str">
        <f t="shared" si="8"/>
        <v/>
      </c>
      <c r="G45" s="68"/>
      <c r="H45" s="121"/>
      <c r="I45" s="121"/>
      <c r="J45" s="122"/>
      <c r="K45" s="128"/>
      <c r="L45" s="123"/>
      <c r="M45" s="123" t="str">
        <f t="array" ref="M45">IF(F45="","",IF(IFERROR(VLOOKUP(C45,$A$10:$M$13,13,FALSE),"")="FULL",IF(ROW()=MIN(IF($C$32:$C$47=C45,ROW($C$32:$C$47),10^9)),VLOOKUP(C45,$A$10:$M$13,11,FALSE),0),(F45-J45)/VLOOKUP(C45,$A$10:$M$13,5,FALSE)*VLOOKUP(C45,$A$10:$M$13,11,FALSE)))</f>
        <v/>
      </c>
      <c r="N45" s="118"/>
      <c r="O45" s="118"/>
    </row>
    <row r="46">
      <c r="A46" s="60"/>
      <c r="B46" s="62"/>
      <c r="C46" s="62"/>
      <c r="D46" s="70"/>
      <c r="E46" s="70"/>
      <c r="F46" s="117" t="str">
        <f t="shared" si="8"/>
        <v/>
      </c>
      <c r="G46" s="68"/>
      <c r="H46" s="121"/>
      <c r="I46" s="121"/>
      <c r="J46" s="122"/>
      <c r="K46" s="128"/>
      <c r="L46" s="123"/>
      <c r="M46" s="123" t="str">
        <f t="array" ref="M46">IF(F46="","",IF(IFERROR(VLOOKUP(C46,$A$10:$M$13,13,FALSE),"")="FULL",IF(ROW()=MIN(IF($C$32:$C$47=C46,ROW($C$32:$C$47),10^9)),VLOOKUP(C46,$A$10:$M$13,11,FALSE),0),(F46-J46)/VLOOKUP(C46,$A$10:$M$13,5,FALSE)*VLOOKUP(C46,$A$10:$M$13,11,FALSE)))</f>
        <v/>
      </c>
      <c r="N46" s="118"/>
      <c r="O46" s="118"/>
    </row>
    <row r="47">
      <c r="A47" s="60"/>
      <c r="B47" s="62"/>
      <c r="C47" s="62"/>
      <c r="D47" s="66"/>
      <c r="E47" s="66"/>
      <c r="F47" s="64" t="str">
        <f t="shared" si="8"/>
        <v/>
      </c>
      <c r="G47" s="68"/>
      <c r="H47" s="121"/>
      <c r="I47" s="121"/>
      <c r="J47" s="129"/>
      <c r="K47" s="128"/>
      <c r="L47" s="123"/>
      <c r="M47" s="123" t="str">
        <f t="array" ref="M47">IF(F47="","",IF(IFERROR(VLOOKUP(C47,$A$10:$M$13,13,FALSE),"")="FULL",IF(ROW()=MIN(IF($C$32:$C$47=C47,ROW($C$32:$C$47),10^9)),VLOOKUP(C47,$A$10:$M$13,11,FALSE),0),(F47-J47)/VLOOKUP(C47,$A$10:$M$13,5,FALSE)*VLOOKUP(C47,$A$10:$M$13,11,FALSE)))</f>
        <v/>
      </c>
      <c r="N47" s="118"/>
      <c r="O47" s="118"/>
    </row>
    <row r="48">
      <c r="A48" s="3" t="s">
        <v>239</v>
      </c>
      <c r="D48" s="9"/>
      <c r="E48" s="9"/>
      <c r="F48" s="9"/>
      <c r="G48" s="27"/>
      <c r="L48" s="9">
        <f t="shared" ref="L48:N48" si="14">SUM(L32:L47)</f>
        <v>883.8140469</v>
      </c>
      <c r="M48" s="9">
        <f t="shared" si="14"/>
        <v>6029.886624</v>
      </c>
      <c r="N48" s="9">
        <f t="shared" si="14"/>
        <v>943.8</v>
      </c>
    </row>
    <row r="49">
      <c r="A49" s="22"/>
    </row>
    <row r="50">
      <c r="A50" s="130" t="s">
        <v>240</v>
      </c>
      <c r="B50" s="131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</row>
    <row r="51">
      <c r="A51" s="5" t="s">
        <v>241</v>
      </c>
      <c r="B51" s="5" t="s">
        <v>242</v>
      </c>
      <c r="C51" s="5" t="s">
        <v>243</v>
      </c>
      <c r="D51" s="5" t="s">
        <v>244</v>
      </c>
      <c r="E51" s="5" t="s">
        <v>14</v>
      </c>
      <c r="F51" s="5" t="s">
        <v>16</v>
      </c>
      <c r="G51" s="5" t="s">
        <v>17</v>
      </c>
      <c r="H51" s="5" t="s">
        <v>53</v>
      </c>
      <c r="I51" s="5"/>
      <c r="N51" s="3" t="s">
        <v>86</v>
      </c>
    </row>
    <row r="52">
      <c r="A52" s="9">
        <f>SUM(I10:I13)</f>
        <v>213774.7345</v>
      </c>
      <c r="B52" s="43">
        <f>SUM(F32:F47)</f>
        <v>213774.7345</v>
      </c>
      <c r="C52" s="9">
        <f>SUM(J32:J47)</f>
        <v>0</v>
      </c>
      <c r="D52" s="43">
        <f>B52-C52</f>
        <v>213774.7345</v>
      </c>
      <c r="E52" s="9">
        <f t="shared" ref="E52:F52" si="15">SUM(H32:H47)</f>
        <v>2757.694074</v>
      </c>
      <c r="F52" s="9">
        <f t="shared" si="15"/>
        <v>411.4832287</v>
      </c>
      <c r="G52" s="9">
        <f>SUM(K32:K47)</f>
        <v>210605.5572</v>
      </c>
      <c r="H52" s="34">
        <f>IFERROR(AVERAGE(G32:G47),"")</f>
        <v>2.88</v>
      </c>
      <c r="N52" s="34" t="str">
        <f>IFERROR(__xludf.DUMMYFUNCTION("TRIM(TEXTJOIN("", "",TRUE,IFERROR(FILTER(B17:B28,B17:B28&lt;&gt;""""),"""")))"),"2409-R, 2410-R, 2411-R, 2412-R, 2413-R, 2414-R, 2415-R, 2416-R, 2417-R")</f>
        <v>2409-R, 2410-R, 2411-R, 2412-R, 2413-R, 2414-R, 2415-R, 2416-R, 2417-R</v>
      </c>
    </row>
    <row r="53">
      <c r="A53" s="22"/>
    </row>
    <row r="55">
      <c r="A55" s="22"/>
    </row>
    <row r="56">
      <c r="A56" s="22"/>
    </row>
    <row r="57">
      <c r="A57" s="22"/>
      <c r="E57" s="3" t="s">
        <v>113</v>
      </c>
    </row>
    <row r="58">
      <c r="A58" s="22"/>
    </row>
    <row r="59">
      <c r="A59" s="22"/>
    </row>
    <row r="60">
      <c r="A60" s="22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5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13</v>
      </c>
      <c r="B2" s="3" t="s">
        <v>4</v>
      </c>
      <c r="K2" s="5" t="s">
        <v>15</v>
      </c>
    </row>
    <row r="3">
      <c r="A3" s="3" t="s">
        <v>6</v>
      </c>
      <c r="B3" s="4">
        <v>46228.0</v>
      </c>
      <c r="K3" s="5" t="s">
        <v>21</v>
      </c>
      <c r="L3" s="8">
        <v>2.20462</v>
      </c>
    </row>
    <row r="4">
      <c r="A4" s="3" t="s">
        <v>7</v>
      </c>
      <c r="B4" s="4">
        <v>46235.0</v>
      </c>
      <c r="K4" s="5" t="s">
        <v>23</v>
      </c>
      <c r="L4" s="8">
        <v>0.453592</v>
      </c>
    </row>
    <row r="5">
      <c r="K5" s="5" t="s">
        <v>24</v>
      </c>
      <c r="L5" s="8">
        <v>0.0129</v>
      </c>
    </row>
    <row r="6">
      <c r="K6" s="5" t="s">
        <v>25</v>
      </c>
      <c r="L6" s="3" t="s">
        <v>26</v>
      </c>
    </row>
    <row r="7">
      <c r="K7" s="3" t="s">
        <v>27</v>
      </c>
      <c r="L7" s="8">
        <v>0.795241</v>
      </c>
    </row>
    <row r="8">
      <c r="A8" s="1" t="s">
        <v>29</v>
      </c>
      <c r="B8" s="2"/>
      <c r="C8" s="2"/>
      <c r="D8" s="2"/>
      <c r="E8" s="2"/>
      <c r="F8" s="2"/>
      <c r="G8" s="2"/>
      <c r="H8" s="2"/>
      <c r="I8" s="2"/>
      <c r="J8" s="2"/>
      <c r="K8" s="1" t="s">
        <v>30</v>
      </c>
      <c r="L8" s="10">
        <v>7.84</v>
      </c>
      <c r="M8" s="12" t="str">
        <f>HYPERLINK("https://docs.google.com/spreadsheets/d/15fnYOYMmu-7a-p8Alst6mAOsV7X854y6HBDYwQRUm5s/edit","Tote Loss Dataset")</f>
        <v>Tote Loss Dataset</v>
      </c>
      <c r="N8" s="2"/>
      <c r="O8" s="2"/>
    </row>
    <row r="9">
      <c r="A9" s="6"/>
      <c r="B9" s="15" t="s">
        <v>33</v>
      </c>
      <c r="D9" s="15" t="s">
        <v>34</v>
      </c>
      <c r="F9" s="15" t="s">
        <v>35</v>
      </c>
      <c r="G9" s="6"/>
      <c r="H9" s="6"/>
      <c r="I9" s="6"/>
      <c r="J9" s="16"/>
      <c r="K9" s="5" t="s">
        <v>37</v>
      </c>
      <c r="L9" s="7"/>
      <c r="M9" s="7"/>
    </row>
    <row r="10">
      <c r="A10" s="15" t="s">
        <v>40</v>
      </c>
      <c r="B10" s="15" t="s">
        <v>42</v>
      </c>
      <c r="C10" s="18" t="s">
        <v>44</v>
      </c>
      <c r="D10" s="18" t="s">
        <v>47</v>
      </c>
      <c r="E10" s="18" t="s">
        <v>49</v>
      </c>
      <c r="F10" s="18" t="s">
        <v>52</v>
      </c>
      <c r="G10" s="19" t="s">
        <v>55</v>
      </c>
      <c r="H10" s="20" t="s">
        <v>59</v>
      </c>
      <c r="I10" s="6" t="s">
        <v>61</v>
      </c>
      <c r="J10" s="6" t="s">
        <v>64</v>
      </c>
      <c r="K10" s="3" t="s">
        <v>65</v>
      </c>
      <c r="L10" s="8">
        <v>0.7128290192302931</v>
      </c>
      <c r="M10" s="14" t="str">
        <f>HYPERLINK("https://docs.google.com/spreadsheets/d/1L167k_JS3mnisFy3VpS-OXgI8U0cK-4nC6A9sxl-ozk/edit","PP Summary")</f>
        <v>PP Summary</v>
      </c>
    </row>
    <row r="11">
      <c r="A11" s="24"/>
      <c r="B11" s="25"/>
      <c r="C11" s="25"/>
      <c r="D11" s="9"/>
      <c r="E11" s="23"/>
      <c r="F11" s="9"/>
      <c r="G11" s="28"/>
      <c r="H11" s="29"/>
      <c r="I11" s="9"/>
      <c r="J11" s="30"/>
      <c r="K11" s="31">
        <v>45962.0</v>
      </c>
      <c r="L11" s="8">
        <v>0.9748408534875329</v>
      </c>
      <c r="M11" s="14" t="str">
        <f>HYPERLINK("https://docs.google.com/spreadsheets/d/1W8jWu3sp39WnSuds1Ja0FWDG5UuWN9v5NUmF6yh_WbI/edit","PP Summary")</f>
        <v>PP Summary</v>
      </c>
    </row>
    <row r="12">
      <c r="A12" s="24"/>
      <c r="B12" s="25"/>
      <c r="C12" s="25"/>
      <c r="D12" s="9"/>
      <c r="E12" s="23"/>
      <c r="F12" s="9"/>
      <c r="G12" s="28"/>
      <c r="H12" s="29"/>
      <c r="I12" s="9"/>
      <c r="J12" s="30"/>
      <c r="K12" s="31">
        <v>45992.0</v>
      </c>
      <c r="L12" s="8">
        <v>0.9721828239230533</v>
      </c>
      <c r="M12" s="14" t="str">
        <f>HYPERLINK("https://docs.google.com/spreadsheets/d/1-L6m2wYknC3o-yIts9KK7FrYAb5lZIv4AwaizK8FbMc/edit","PP Summary")</f>
        <v>PP Summary</v>
      </c>
    </row>
    <row r="13">
      <c r="A13" s="24"/>
      <c r="B13" s="25"/>
      <c r="C13" s="25"/>
      <c r="D13" s="9"/>
      <c r="E13" s="23"/>
      <c r="F13" s="9"/>
      <c r="G13" s="28"/>
      <c r="H13" s="29"/>
      <c r="I13" s="9"/>
      <c r="J13" s="30"/>
      <c r="K13" s="31">
        <v>46023.0</v>
      </c>
      <c r="L13" s="8">
        <v>0.9319944877512889</v>
      </c>
      <c r="M13" s="14" t="str">
        <f>HYPERLINK("https://docs.google.com/spreadsheets/d/1bPZ7pNsR5rv-om-BypF4lK3nczjn4HJNO2dzimwnx7E/edit","PP Summary")</f>
        <v>PP Summary</v>
      </c>
    </row>
    <row r="14">
      <c r="A14" s="24"/>
      <c r="B14" s="25"/>
      <c r="C14" s="25"/>
      <c r="D14" s="9"/>
      <c r="E14" s="23"/>
      <c r="F14" s="9"/>
      <c r="G14" s="28"/>
      <c r="H14" s="29"/>
      <c r="I14" s="9"/>
      <c r="J14" s="30"/>
      <c r="K14" s="31">
        <v>46054.0</v>
      </c>
      <c r="L14" s="8">
        <v>0.84989612258998</v>
      </c>
      <c r="M14" s="14" t="str">
        <f>HYPERLINK("https://docs.google.com/spreadsheets/d/1vH7bborVnc-TCby3wEkpzi7GGMOI5jMJooEW0V-rOQ4/edit","PP Summary")</f>
        <v>PP Summary</v>
      </c>
    </row>
    <row r="15">
      <c r="A15" s="24"/>
      <c r="B15" s="25"/>
      <c r="C15" s="25"/>
      <c r="D15" s="9"/>
      <c r="E15" s="23"/>
      <c r="F15" s="9"/>
      <c r="G15" s="28"/>
      <c r="H15" s="29"/>
      <c r="I15" s="9"/>
      <c r="J15" s="30"/>
      <c r="K15" s="31">
        <v>46082.0</v>
      </c>
      <c r="L15" s="8">
        <v>0.7900645329689984</v>
      </c>
      <c r="M15" s="14" t="str">
        <f>HYPERLINK("https://docs.google.com/spreadsheets/d/1O7y30opa_u1_deqFm_w2qgVyxi_75X00xnzKuyVyh6o/edit","PP Summary")</f>
        <v>PP Summary</v>
      </c>
    </row>
    <row r="16">
      <c r="A16" s="24"/>
      <c r="B16" s="25"/>
      <c r="C16" s="25"/>
      <c r="D16" s="9"/>
      <c r="E16" s="23"/>
      <c r="F16" s="9"/>
      <c r="G16" s="28"/>
      <c r="H16" s="29"/>
      <c r="I16" s="9"/>
      <c r="J16" s="30"/>
      <c r="K16" s="31">
        <v>46113.0</v>
      </c>
      <c r="L16" s="8">
        <v>0.7848323401347014</v>
      </c>
      <c r="M16" s="14" t="str">
        <f>HYPERLINK("https://docs.google.com/spreadsheets/d/10Qwx7K6sUcOBrCebGUGVaVeLQnhzvcT8sHQ0Sy3VBBM/edit","PP Summary")</f>
        <v>PP Summary</v>
      </c>
    </row>
    <row r="17">
      <c r="A17" s="24"/>
      <c r="B17" s="25"/>
      <c r="C17" s="25"/>
      <c r="D17" s="9"/>
      <c r="E17" s="23"/>
      <c r="F17" s="9"/>
      <c r="G17" s="28"/>
      <c r="H17" s="29"/>
      <c r="I17" s="9"/>
      <c r="J17" s="30"/>
      <c r="K17" s="31">
        <v>46143.0</v>
      </c>
      <c r="L17" s="8">
        <v>0.6328458891234968</v>
      </c>
      <c r="M17" s="14" t="str">
        <f>HYPERLINK("https://docs.google.com/spreadsheets/d/1m66t1jsLGc4e6AWnCFMsFbkSceZ9IYC_-bfTsbP_OYc/edit","PP Summary")</f>
        <v>PP Summary</v>
      </c>
    </row>
    <row r="18">
      <c r="A18" s="24"/>
      <c r="B18" s="25"/>
      <c r="C18" s="25"/>
      <c r="D18" s="9"/>
      <c r="E18" s="23"/>
      <c r="F18" s="9"/>
      <c r="G18" s="28"/>
      <c r="H18" s="29"/>
      <c r="I18" s="9"/>
      <c r="J18" s="30"/>
      <c r="K18" s="31">
        <v>46174.0</v>
      </c>
      <c r="L18" s="8">
        <v>1.1105355635937064</v>
      </c>
      <c r="M18" s="14" t="str">
        <f>HYPERLINK("https://docs.google.com/spreadsheets/d/1MUQajDI2a_Cn9xWGPP7z4PhhphZnfl2_CSTnpB07Wgk/edit","PP Summary")</f>
        <v>PP Summary</v>
      </c>
    </row>
    <row r="19">
      <c r="A19" s="24"/>
      <c r="B19" s="25"/>
      <c r="C19" s="25"/>
      <c r="D19" s="9"/>
      <c r="E19" s="23"/>
      <c r="F19" s="9"/>
      <c r="G19" s="28"/>
      <c r="H19" s="29"/>
      <c r="I19" s="9"/>
      <c r="J19" s="30"/>
      <c r="K19" s="3" t="s">
        <v>98</v>
      </c>
      <c r="L19" s="34">
        <f>$L$7</f>
        <v>0.795241</v>
      </c>
    </row>
    <row r="20">
      <c r="A20" s="24"/>
      <c r="B20" s="25"/>
      <c r="C20" s="25"/>
      <c r="D20" s="9"/>
      <c r="E20" s="23"/>
      <c r="F20" s="9"/>
      <c r="G20" s="28"/>
      <c r="H20" s="29"/>
      <c r="I20" s="9"/>
      <c r="J20" s="30"/>
    </row>
    <row r="21">
      <c r="A21" s="24"/>
      <c r="B21" s="25"/>
      <c r="C21" s="25"/>
      <c r="D21" s="9"/>
      <c r="E21" s="23"/>
      <c r="F21" s="9"/>
      <c r="G21" s="28"/>
      <c r="H21" s="29"/>
      <c r="I21" s="9"/>
      <c r="J21" s="30"/>
    </row>
    <row r="22">
      <c r="A22" s="24"/>
      <c r="B22" s="25"/>
      <c r="C22" s="25"/>
      <c r="D22" s="9"/>
      <c r="E22" s="23"/>
      <c r="F22" s="9"/>
      <c r="G22" s="28"/>
      <c r="H22" s="29"/>
      <c r="I22" s="9"/>
      <c r="J22" s="30"/>
    </row>
    <row r="23">
      <c r="A23" s="24"/>
      <c r="B23" s="25"/>
      <c r="C23" s="25"/>
      <c r="D23" s="9"/>
      <c r="E23" s="23"/>
      <c r="F23" s="9"/>
      <c r="G23" s="28"/>
      <c r="H23" s="29"/>
      <c r="I23" s="9"/>
      <c r="J23" s="30"/>
    </row>
    <row r="24">
      <c r="A24" s="24"/>
      <c r="B24" s="25"/>
      <c r="C24" s="25"/>
      <c r="D24" s="9"/>
      <c r="E24" s="23"/>
      <c r="F24" s="9"/>
      <c r="G24" s="28"/>
      <c r="H24" s="29"/>
      <c r="I24" s="9"/>
      <c r="J24" s="30"/>
    </row>
    <row r="25">
      <c r="C25" s="9"/>
      <c r="D25" s="9"/>
      <c r="E25" s="33"/>
      <c r="F25" s="9"/>
      <c r="G25" s="46"/>
      <c r="H25" s="27"/>
    </row>
    <row r="26">
      <c r="B26" s="9">
        <f>SUM(B11:B24)</f>
        <v>0</v>
      </c>
      <c r="C26" s="9"/>
      <c r="D26" s="9">
        <f t="shared" ref="D26:F26" si="1">SUM(D11:D24)</f>
        <v>0</v>
      </c>
      <c r="E26" s="33">
        <f t="shared" si="1"/>
        <v>0</v>
      </c>
      <c r="F26" s="9">
        <f t="shared" si="1"/>
        <v>0</v>
      </c>
      <c r="G26" s="46"/>
      <c r="H26" s="49" t="str">
        <f>IFERROR(I26/D26,"")</f>
        <v/>
      </c>
      <c r="I26" s="9">
        <f t="shared" ref="I26:J26" si="2">SUM(I11:I24)</f>
        <v>0</v>
      </c>
      <c r="J26" s="30">
        <f t="shared" si="2"/>
        <v>0</v>
      </c>
    </row>
    <row r="27">
      <c r="C27" s="9"/>
      <c r="D27" s="9"/>
      <c r="E27" s="33"/>
      <c r="F27" s="9"/>
      <c r="G27" s="46"/>
      <c r="H27" s="27"/>
    </row>
    <row r="28">
      <c r="C28" s="9"/>
      <c r="D28" s="9"/>
      <c r="E28" s="33"/>
      <c r="F28" s="9"/>
      <c r="G28" s="46"/>
      <c r="H28" s="27"/>
    </row>
    <row r="29">
      <c r="C29" s="9"/>
      <c r="D29" s="9"/>
      <c r="E29" s="33"/>
      <c r="F29" s="9"/>
      <c r="G29" s="46"/>
      <c r="H29" s="27"/>
    </row>
    <row r="30">
      <c r="C30" s="9"/>
      <c r="D30" s="9"/>
      <c r="E30" s="9"/>
      <c r="F30" s="9"/>
      <c r="G30" s="46"/>
      <c r="H30" s="27"/>
    </row>
    <row r="31">
      <c r="A31" s="1" t="s">
        <v>109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5" t="s">
        <v>110</v>
      </c>
      <c r="B32" s="5" t="s">
        <v>111</v>
      </c>
      <c r="C32" s="5" t="s">
        <v>67</v>
      </c>
      <c r="D32" s="5" t="s">
        <v>112</v>
      </c>
      <c r="E32" s="5"/>
      <c r="F32" s="5"/>
      <c r="G32" s="5"/>
      <c r="H32" s="5"/>
      <c r="I32" s="7"/>
      <c r="J32" s="7"/>
      <c r="K32" s="7"/>
      <c r="L32" s="7"/>
      <c r="M32" s="7"/>
      <c r="N32" s="7"/>
      <c r="O32" s="7"/>
    </row>
    <row r="33">
      <c r="A33" s="9">
        <f>B26</f>
        <v>0</v>
      </c>
      <c r="B33" s="9">
        <f>SUM(D11:D24)</f>
        <v>0</v>
      </c>
      <c r="C33" s="9">
        <f>B33-D33</f>
        <v>0</v>
      </c>
      <c r="D33" s="9">
        <f>SUM(F11:F24)</f>
        <v>0</v>
      </c>
      <c r="E33" s="9"/>
      <c r="F33" s="27"/>
      <c r="G33" s="27"/>
    </row>
  </sheetData>
  <mergeCells count="2">
    <mergeCell ref="B9:C9"/>
    <mergeCell ref="D9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13</v>
      </c>
      <c r="B2" s="3" t="s">
        <v>4</v>
      </c>
      <c r="K2" s="5" t="s">
        <v>15</v>
      </c>
    </row>
    <row r="3">
      <c r="A3" s="3" t="s">
        <v>6</v>
      </c>
      <c r="B3" s="4">
        <v>46228.0</v>
      </c>
      <c r="K3" s="5" t="s">
        <v>21</v>
      </c>
      <c r="L3" s="8">
        <v>2.20462</v>
      </c>
    </row>
    <row r="4">
      <c r="A4" s="3" t="s">
        <v>7</v>
      </c>
      <c r="B4" s="4">
        <v>46235.0</v>
      </c>
      <c r="K4" s="5" t="s">
        <v>23</v>
      </c>
      <c r="L4" s="8">
        <v>0.453592</v>
      </c>
    </row>
    <row r="5">
      <c r="K5" s="5" t="s">
        <v>24</v>
      </c>
      <c r="L5" s="8">
        <v>0.0129</v>
      </c>
    </row>
    <row r="6">
      <c r="K6" s="5" t="s">
        <v>25</v>
      </c>
      <c r="L6" s="3" t="s">
        <v>26</v>
      </c>
    </row>
    <row r="7">
      <c r="K7" s="3" t="s">
        <v>28</v>
      </c>
      <c r="L7" s="14">
        <f>HYPERLINK("https://docs.google.com/spreadsheets/d/16shKoa1KP34kQJyQvzclBejW9L5-ubNSqPsMOVB7zDY/edit?usp=sharing", 0.00195)</f>
        <v>0.00195</v>
      </c>
    </row>
    <row r="8">
      <c r="A8" s="1" t="s">
        <v>32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38</v>
      </c>
      <c r="B9" s="5" t="s">
        <v>39</v>
      </c>
      <c r="C9" s="17" t="s">
        <v>41</v>
      </c>
      <c r="D9" s="17" t="s">
        <v>45</v>
      </c>
      <c r="E9" s="5" t="s">
        <v>46</v>
      </c>
      <c r="F9" s="5" t="s">
        <v>48</v>
      </c>
      <c r="G9" s="17" t="s">
        <v>51</v>
      </c>
      <c r="H9" s="5" t="s">
        <v>53</v>
      </c>
      <c r="I9" s="5" t="s">
        <v>56</v>
      </c>
      <c r="J9" s="5" t="s">
        <v>14</v>
      </c>
      <c r="K9" s="5" t="s">
        <v>16</v>
      </c>
      <c r="L9" s="5" t="s">
        <v>17</v>
      </c>
      <c r="M9" s="5" t="s">
        <v>62</v>
      </c>
      <c r="N9" s="7"/>
    </row>
    <row r="10">
      <c r="A10" s="21"/>
      <c r="B10" s="22"/>
      <c r="C10" s="23"/>
      <c r="D10" s="23"/>
      <c r="E10" s="9"/>
      <c r="F10" s="9"/>
      <c r="G10" s="23"/>
      <c r="H10" s="27"/>
    </row>
    <row r="11">
      <c r="A11" s="21"/>
      <c r="B11" s="22"/>
      <c r="C11" s="23"/>
      <c r="D11" s="23"/>
      <c r="E11" s="9"/>
      <c r="F11" s="9"/>
      <c r="G11" s="23"/>
      <c r="H11" s="27"/>
    </row>
    <row r="12">
      <c r="A12" s="21"/>
      <c r="B12" s="22"/>
      <c r="C12" s="23"/>
      <c r="D12" s="23"/>
      <c r="E12" s="9"/>
      <c r="F12" s="9"/>
      <c r="G12" s="23"/>
      <c r="H12" s="27"/>
    </row>
    <row r="13">
      <c r="A13" s="21"/>
      <c r="B13" s="22"/>
      <c r="C13" s="23"/>
      <c r="D13" s="23"/>
      <c r="E13" s="9"/>
      <c r="F13" s="9"/>
      <c r="G13" s="23"/>
      <c r="H13" s="27"/>
    </row>
    <row r="14">
      <c r="A14" s="21"/>
      <c r="B14" s="22"/>
      <c r="C14" s="23"/>
      <c r="D14" s="23"/>
      <c r="E14" s="9"/>
      <c r="F14" s="9"/>
      <c r="G14" s="23"/>
      <c r="H14" s="27"/>
    </row>
    <row r="15">
      <c r="A15" s="21"/>
      <c r="C15" s="23"/>
      <c r="D15" s="23"/>
      <c r="E15" s="9"/>
      <c r="F15" s="9"/>
      <c r="G15" s="23"/>
      <c r="H15" s="27"/>
    </row>
    <row r="16">
      <c r="A16" s="22"/>
      <c r="C16" s="33"/>
      <c r="D16" s="33"/>
      <c r="E16" s="9"/>
      <c r="F16" s="9"/>
      <c r="G16" s="33"/>
      <c r="H16" s="27"/>
    </row>
    <row r="17">
      <c r="A17" s="22"/>
      <c r="C17" s="33"/>
      <c r="D17" s="33"/>
      <c r="E17" s="9"/>
      <c r="F17" s="9"/>
      <c r="G17" s="33"/>
      <c r="H17" s="27"/>
    </row>
    <row r="18">
      <c r="A18" s="22"/>
      <c r="C18" s="33"/>
      <c r="D18" s="33"/>
      <c r="E18" s="9"/>
      <c r="F18" s="9"/>
      <c r="G18" s="33"/>
      <c r="H18" s="27"/>
    </row>
    <row r="19">
      <c r="A19" s="22"/>
      <c r="C19" s="33"/>
      <c r="D19" s="33"/>
      <c r="E19" s="9"/>
      <c r="F19" s="9"/>
      <c r="G19" s="33"/>
      <c r="H19" s="27"/>
    </row>
    <row r="20">
      <c r="A20" s="22"/>
      <c r="C20" s="33"/>
      <c r="D20" s="33"/>
      <c r="E20" s="9"/>
      <c r="F20" s="9"/>
      <c r="G20" s="33"/>
      <c r="H20" s="27"/>
    </row>
    <row r="21">
      <c r="A21" s="22"/>
      <c r="C21" s="33"/>
      <c r="D21" s="33"/>
      <c r="E21" s="9"/>
      <c r="F21" s="9"/>
      <c r="G21" s="33"/>
      <c r="H21" s="27"/>
    </row>
    <row r="22">
      <c r="A22" s="22"/>
      <c r="C22" s="33"/>
      <c r="D22" s="33"/>
      <c r="E22" s="9"/>
      <c r="F22" s="9"/>
      <c r="G22" s="33"/>
      <c r="H22" s="27"/>
    </row>
    <row r="23">
      <c r="A23" s="22"/>
      <c r="C23" s="33"/>
      <c r="D23" s="33"/>
      <c r="E23" s="9"/>
      <c r="F23" s="9"/>
      <c r="G23" s="33"/>
      <c r="H23" s="27"/>
    </row>
    <row r="24">
      <c r="A24" s="22"/>
      <c r="C24" s="33"/>
      <c r="D24" s="33"/>
      <c r="E24" s="9"/>
      <c r="F24" s="9"/>
      <c r="G24" s="33"/>
      <c r="H24" s="27"/>
    </row>
    <row r="25">
      <c r="A25" s="22"/>
      <c r="C25" s="9"/>
      <c r="D25" s="9"/>
      <c r="E25" s="9"/>
      <c r="F25" s="9"/>
      <c r="G25" s="9"/>
      <c r="H25" s="27"/>
    </row>
    <row r="26">
      <c r="A26" s="1" t="s">
        <v>80</v>
      </c>
      <c r="B26" s="2"/>
      <c r="C26" s="35"/>
      <c r="D26" s="35"/>
      <c r="E26" s="35"/>
      <c r="F26" s="35"/>
      <c r="G26" s="35"/>
      <c r="H26" s="38"/>
      <c r="I26" s="2"/>
      <c r="J26" s="2"/>
      <c r="K26" s="2"/>
      <c r="L26" s="2"/>
      <c r="M26" s="2"/>
      <c r="N26" s="2"/>
    </row>
    <row r="27">
      <c r="A27" s="5" t="s">
        <v>82</v>
      </c>
      <c r="B27" s="5" t="s">
        <v>83</v>
      </c>
      <c r="C27" s="39" t="s">
        <v>12</v>
      </c>
      <c r="D27" s="39" t="s">
        <v>14</v>
      </c>
      <c r="E27" s="39" t="s">
        <v>16</v>
      </c>
      <c r="F27" s="39" t="s">
        <v>84</v>
      </c>
      <c r="G27" s="39" t="s">
        <v>17</v>
      </c>
      <c r="H27" s="40" t="s">
        <v>53</v>
      </c>
      <c r="I27" s="5" t="s">
        <v>85</v>
      </c>
      <c r="J27" s="5"/>
      <c r="K27" s="5" t="s">
        <v>86</v>
      </c>
      <c r="L27" s="7"/>
      <c r="M27" s="7"/>
      <c r="N27" s="7"/>
    </row>
    <row r="28">
      <c r="A28" s="22">
        <f>SUMIFS(D10:D24,B10:B24,"&lt;&gt;")</f>
        <v>0</v>
      </c>
      <c r="B28" s="9">
        <f>SUMIFS(G10:G24,B10:B24,"&lt;&gt;")</f>
        <v>0</v>
      </c>
      <c r="C28" s="11">
        <f>A28</f>
        <v>0</v>
      </c>
      <c r="D28" s="9">
        <f>C28*$L$5</f>
        <v>0</v>
      </c>
      <c r="E28" s="25">
        <f>(C28-D28)*$L$7</f>
        <v>0</v>
      </c>
      <c r="F28" s="42">
        <v>0.0</v>
      </c>
      <c r="G28" s="27">
        <f>C28-D28-E28-F28</f>
        <v>0</v>
      </c>
      <c r="H28" s="27" t="str">
        <f>IFERROR(AVERAGE(H10:H24),"")</f>
        <v/>
      </c>
      <c r="I28" s="34" t="str">
        <f>IFERROR(SUMPRODUCT(L10:L24,M10:M24)/SUM(L10:L24),"")</f>
        <v/>
      </c>
      <c r="K28" s="34" t="str">
        <f>IFERROR(__xludf.DUMMYFUNCTION("TRIM(TEXTJOIN("", "",TRUE,IFERROR(FILTER(B10:B24,B10:B24&lt;&gt;""""),"""")))"),"")</f>
        <v/>
      </c>
    </row>
    <row r="29">
      <c r="A29" s="22"/>
      <c r="C29" s="9"/>
      <c r="D29" s="9"/>
      <c r="E29" s="9"/>
      <c r="F29" s="9"/>
      <c r="G29" s="9"/>
      <c r="H29" s="27"/>
    </row>
    <row r="30">
      <c r="A30" s="22"/>
      <c r="C30" s="9"/>
      <c r="D30" s="9"/>
      <c r="E30" s="9"/>
      <c r="F30" s="9"/>
      <c r="G30" s="9"/>
      <c r="H30" s="27"/>
    </row>
    <row r="31">
      <c r="A31" s="22"/>
    </row>
    <row r="32">
      <c r="A32" s="22"/>
    </row>
    <row r="33">
      <c r="A33" s="22"/>
    </row>
    <row r="34">
      <c r="A34" s="22"/>
    </row>
    <row r="35">
      <c r="A35" s="22"/>
    </row>
    <row r="36">
      <c r="A36" s="22"/>
    </row>
    <row r="37">
      <c r="A37" s="22"/>
    </row>
    <row r="38">
      <c r="A38" s="22"/>
    </row>
    <row r="39">
      <c r="A39" s="22"/>
    </row>
    <row r="40">
      <c r="A40" s="22"/>
    </row>
    <row r="41">
      <c r="A41" s="22"/>
    </row>
    <row r="42">
      <c r="A42" s="22"/>
    </row>
    <row r="43">
      <c r="A43" s="22"/>
    </row>
    <row r="44">
      <c r="A44" s="22"/>
    </row>
    <row r="45">
      <c r="A45" s="22"/>
    </row>
    <row r="46">
      <c r="A46" s="22"/>
    </row>
    <row r="47">
      <c r="A47" s="22"/>
    </row>
    <row r="48">
      <c r="A48" s="22"/>
    </row>
    <row r="49">
      <c r="A49" s="22"/>
    </row>
    <row r="50">
      <c r="A50" s="22"/>
    </row>
    <row r="51">
      <c r="A51" s="22"/>
    </row>
    <row r="52">
      <c r="A52" s="22"/>
    </row>
    <row r="53">
      <c r="A53" s="22"/>
    </row>
    <row r="54">
      <c r="A54" s="22"/>
    </row>
    <row r="55">
      <c r="A55" s="22"/>
    </row>
    <row r="56">
      <c r="A56" s="22"/>
    </row>
    <row r="57">
      <c r="A57" s="22"/>
    </row>
    <row r="58">
      <c r="A58" s="22"/>
    </row>
    <row r="59">
      <c r="A59" s="22"/>
    </row>
    <row r="60">
      <c r="A60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13</v>
      </c>
      <c r="B2" s="3" t="s">
        <v>4</v>
      </c>
      <c r="K2" s="5" t="s">
        <v>15</v>
      </c>
    </row>
    <row r="3">
      <c r="A3" s="3" t="s">
        <v>6</v>
      </c>
      <c r="B3" s="4">
        <v>46228.0</v>
      </c>
      <c r="K3" s="5" t="s">
        <v>21</v>
      </c>
      <c r="L3" s="8">
        <v>2.20462</v>
      </c>
    </row>
    <row r="4">
      <c r="A4" s="3" t="s">
        <v>7</v>
      </c>
      <c r="B4" s="4">
        <v>46235.0</v>
      </c>
      <c r="K4" s="5" t="s">
        <v>23</v>
      </c>
      <c r="L4" s="8">
        <v>0.453592</v>
      </c>
    </row>
    <row r="5">
      <c r="K5" s="5" t="s">
        <v>24</v>
      </c>
      <c r="L5" s="8">
        <v>0.0129</v>
      </c>
    </row>
    <row r="6">
      <c r="K6" s="5" t="s">
        <v>25</v>
      </c>
      <c r="L6" s="3" t="s">
        <v>26</v>
      </c>
    </row>
    <row r="7">
      <c r="K7" s="3" t="s">
        <v>116</v>
      </c>
      <c r="L7" s="8">
        <v>0.120947</v>
      </c>
    </row>
    <row r="8">
      <c r="A8" s="1" t="s">
        <v>29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7"/>
      <c r="B9" s="59" t="s">
        <v>33</v>
      </c>
      <c r="D9" s="59" t="s">
        <v>36</v>
      </c>
      <c r="F9" s="15" t="s">
        <v>35</v>
      </c>
      <c r="G9" s="6"/>
      <c r="H9" s="6"/>
      <c r="I9" s="6"/>
      <c r="J9" s="16"/>
      <c r="K9" s="3" t="s">
        <v>37</v>
      </c>
    </row>
    <row r="10">
      <c r="A10" s="65" t="s">
        <v>40</v>
      </c>
      <c r="B10" s="67" t="s">
        <v>42</v>
      </c>
      <c r="C10" s="67" t="s">
        <v>44</v>
      </c>
      <c r="D10" s="67" t="s">
        <v>47</v>
      </c>
      <c r="E10" s="67" t="s">
        <v>123</v>
      </c>
      <c r="F10" s="67" t="s">
        <v>52</v>
      </c>
      <c r="G10" s="6" t="s">
        <v>55</v>
      </c>
      <c r="H10" s="6" t="s">
        <v>59</v>
      </c>
      <c r="I10" s="6" t="s">
        <v>61</v>
      </c>
      <c r="J10" s="6" t="s">
        <v>64</v>
      </c>
      <c r="K10" s="3" t="s">
        <v>65</v>
      </c>
      <c r="L10" s="8">
        <v>0.1575553394801048</v>
      </c>
      <c r="M10" s="14" t="str">
        <f>HYPERLINK("https://docs.google.com/spreadsheets/d/1L167k_JS3mnisFy3VpS-OXgI8U0cK-4nC6A9sxl-ozk/edit","PP Summary")</f>
        <v>PP Summary</v>
      </c>
    </row>
    <row r="11">
      <c r="A11" s="73">
        <v>228499.0</v>
      </c>
      <c r="B11" s="74">
        <v>1066.0</v>
      </c>
      <c r="C11" s="76">
        <v>57.6</v>
      </c>
      <c r="D11" s="79">
        <f t="shared" ref="D11:D75" si="1">B11-C11</f>
        <v>1008.4</v>
      </c>
      <c r="E11" s="74">
        <v>76.0</v>
      </c>
      <c r="F11" s="79">
        <f t="shared" ref="F11:F75" si="2">IF(E11="","",B11-E11)</f>
        <v>990</v>
      </c>
      <c r="G11" s="3" t="s">
        <v>146</v>
      </c>
      <c r="H11" s="86">
        <f t="shared" ref="H11:H22" si="3">$L$11</f>
        <v>0.1392140548</v>
      </c>
      <c r="I11" s="9">
        <f t="shared" ref="I11:I75" si="4">H11*D11</f>
        <v>140.3834528</v>
      </c>
      <c r="J11" s="30">
        <f t="shared" ref="J11:J75" si="5">2.5*$L$4</f>
        <v>1.13398</v>
      </c>
      <c r="K11" s="31">
        <v>45962.0</v>
      </c>
      <c r="L11" s="8">
        <v>0.1392140547840092</v>
      </c>
      <c r="M11" s="14" t="str">
        <f>HYPERLINK("https://docs.google.com/spreadsheets/d/1W8jWu3sp39WnSuds1Ja0FWDG5UuWN9v5NUmF6yh_WbI/edit","PP Summary")</f>
        <v>PP Summary</v>
      </c>
    </row>
    <row r="12">
      <c r="A12" s="73">
        <v>228468.0</v>
      </c>
      <c r="B12" s="74">
        <v>977.0</v>
      </c>
      <c r="C12" s="76">
        <v>57.6</v>
      </c>
      <c r="D12" s="76">
        <f t="shared" si="1"/>
        <v>919.4</v>
      </c>
      <c r="E12" s="76">
        <v>68.0</v>
      </c>
      <c r="F12" s="79">
        <f t="shared" si="2"/>
        <v>909</v>
      </c>
      <c r="G12" s="3" t="s">
        <v>157</v>
      </c>
      <c r="H12" s="86">
        <f t="shared" si="3"/>
        <v>0.1392140548</v>
      </c>
      <c r="I12" s="9">
        <f t="shared" si="4"/>
        <v>127.993402</v>
      </c>
      <c r="J12" s="30">
        <f t="shared" si="5"/>
        <v>1.13398</v>
      </c>
      <c r="K12" s="31">
        <v>45992.0</v>
      </c>
      <c r="L12" s="8">
        <v>0.16306166436976688</v>
      </c>
      <c r="M12" s="14" t="str">
        <f>HYPERLINK("https://docs.google.com/spreadsheets/d/1-L6m2wYknC3o-yIts9KK7FrYAb5lZIv4AwaizK8FbMc/edit","PP Summary")</f>
        <v>PP Summary</v>
      </c>
    </row>
    <row r="13">
      <c r="A13" s="73">
        <v>228035.0</v>
      </c>
      <c r="B13" s="74">
        <v>1069.0</v>
      </c>
      <c r="C13" s="76">
        <v>57.6</v>
      </c>
      <c r="D13" s="79">
        <f t="shared" si="1"/>
        <v>1011.4</v>
      </c>
      <c r="E13" s="76">
        <v>68.0</v>
      </c>
      <c r="F13" s="79">
        <f t="shared" si="2"/>
        <v>1001</v>
      </c>
      <c r="G13" s="3" t="s">
        <v>162</v>
      </c>
      <c r="H13" s="86">
        <f t="shared" si="3"/>
        <v>0.1392140548</v>
      </c>
      <c r="I13" s="9">
        <f t="shared" si="4"/>
        <v>140.801095</v>
      </c>
      <c r="J13" s="30">
        <f t="shared" si="5"/>
        <v>1.13398</v>
      </c>
      <c r="K13" s="31">
        <v>46023.0</v>
      </c>
      <c r="L13" s="8">
        <v>0.15683401691482485</v>
      </c>
      <c r="M13" s="14" t="str">
        <f>HYPERLINK("https://docs.google.com/spreadsheets/d/1bPZ7pNsR5rv-om-BypF4lK3nczjn4HJNO2dzimwnx7E/edit","PP Summary")</f>
        <v>PP Summary</v>
      </c>
    </row>
    <row r="14">
      <c r="A14" s="73">
        <v>228078.0</v>
      </c>
      <c r="B14" s="74">
        <v>1112.0</v>
      </c>
      <c r="C14" s="76">
        <v>57.6</v>
      </c>
      <c r="D14" s="79">
        <f t="shared" si="1"/>
        <v>1054.4</v>
      </c>
      <c r="E14" s="74">
        <v>70.0</v>
      </c>
      <c r="F14" s="79">
        <f t="shared" si="2"/>
        <v>1042</v>
      </c>
      <c r="G14" s="3" t="s">
        <v>164</v>
      </c>
      <c r="H14" s="86">
        <f t="shared" si="3"/>
        <v>0.1392140548</v>
      </c>
      <c r="I14" s="9">
        <f t="shared" si="4"/>
        <v>146.7872994</v>
      </c>
      <c r="J14" s="30">
        <f t="shared" si="5"/>
        <v>1.13398</v>
      </c>
      <c r="K14" s="31">
        <v>46054.0</v>
      </c>
      <c r="L14" s="8">
        <v>0.13304979391442986</v>
      </c>
      <c r="M14" s="14" t="str">
        <f>HYPERLINK("https://docs.google.com/spreadsheets/d/1vH7bborVnc-TCby3wEkpzi7GGMOI5jMJooEW0V-rOQ4/edit","PP Summary")</f>
        <v>PP Summary</v>
      </c>
    </row>
    <row r="15">
      <c r="A15" s="73">
        <v>228055.0</v>
      </c>
      <c r="B15" s="74">
        <v>1145.0</v>
      </c>
      <c r="C15" s="76">
        <v>57.6</v>
      </c>
      <c r="D15" s="79">
        <f t="shared" si="1"/>
        <v>1087.4</v>
      </c>
      <c r="E15" s="74">
        <v>73.5</v>
      </c>
      <c r="F15" s="79">
        <f t="shared" si="2"/>
        <v>1071.5</v>
      </c>
      <c r="G15" s="3" t="s">
        <v>165</v>
      </c>
      <c r="H15" s="86">
        <f t="shared" si="3"/>
        <v>0.1392140548</v>
      </c>
      <c r="I15" s="9">
        <f t="shared" si="4"/>
        <v>151.3813632</v>
      </c>
      <c r="J15" s="30">
        <f t="shared" si="5"/>
        <v>1.13398</v>
      </c>
      <c r="K15" s="31">
        <v>46082.0</v>
      </c>
      <c r="L15" s="8">
        <v>0.11852515320294801</v>
      </c>
      <c r="M15" s="14" t="str">
        <f>HYPERLINK("https://docs.google.com/spreadsheets/d/1O7y30opa_u1_deqFm_w2qgVyxi_75X00xnzKuyVyh6o/edit","PP Summary")</f>
        <v>PP Summary</v>
      </c>
    </row>
    <row r="16">
      <c r="A16" s="73">
        <v>228091.0</v>
      </c>
      <c r="B16" s="74">
        <v>1027.0</v>
      </c>
      <c r="C16" s="76">
        <v>57.6</v>
      </c>
      <c r="D16" s="79">
        <f t="shared" si="1"/>
        <v>969.4</v>
      </c>
      <c r="E16" s="74">
        <v>68.0</v>
      </c>
      <c r="F16" s="79">
        <f t="shared" si="2"/>
        <v>959</v>
      </c>
      <c r="G16" s="3" t="s">
        <v>166</v>
      </c>
      <c r="H16" s="86">
        <f t="shared" si="3"/>
        <v>0.1392140548</v>
      </c>
      <c r="I16" s="9">
        <f t="shared" si="4"/>
        <v>134.9541047</v>
      </c>
      <c r="J16" s="30">
        <f t="shared" si="5"/>
        <v>1.13398</v>
      </c>
      <c r="K16" s="31">
        <v>46113.0</v>
      </c>
      <c r="L16" s="8">
        <v>0.131418453205342</v>
      </c>
      <c r="M16" s="14" t="str">
        <f>HYPERLINK("https://docs.google.com/spreadsheets/d/10Qwx7K6sUcOBrCebGUGVaVeLQnhzvcT8sHQ0Sy3VBBM/edit","PP Summary")</f>
        <v>PP Summary</v>
      </c>
    </row>
    <row r="17">
      <c r="A17" s="73">
        <v>228037.0</v>
      </c>
      <c r="B17" s="74">
        <v>962.0</v>
      </c>
      <c r="C17" s="76">
        <v>57.6</v>
      </c>
      <c r="D17" s="79">
        <f t="shared" si="1"/>
        <v>904.4</v>
      </c>
      <c r="E17" s="74">
        <v>70.0</v>
      </c>
      <c r="F17" s="79">
        <f t="shared" si="2"/>
        <v>892</v>
      </c>
      <c r="G17" s="3" t="s">
        <v>168</v>
      </c>
      <c r="H17" s="86">
        <f t="shared" si="3"/>
        <v>0.1392140548</v>
      </c>
      <c r="I17" s="9">
        <f t="shared" si="4"/>
        <v>125.9051911</v>
      </c>
      <c r="J17" s="30">
        <f t="shared" si="5"/>
        <v>1.13398</v>
      </c>
      <c r="K17" s="31">
        <v>46143.0</v>
      </c>
      <c r="L17" s="8">
        <v>0.1106615762401743</v>
      </c>
      <c r="M17" s="14" t="str">
        <f>HYPERLINK("https://docs.google.com/spreadsheets/d/1m66t1jsLGc4e6AWnCFMsFbkSceZ9IYC_-bfTsbP_OYc/edit","PP Summary")</f>
        <v>PP Summary</v>
      </c>
    </row>
    <row r="18">
      <c r="A18" s="73">
        <v>228060.0</v>
      </c>
      <c r="B18" s="74">
        <v>1066.0</v>
      </c>
      <c r="C18" s="76">
        <v>57.6</v>
      </c>
      <c r="D18" s="79">
        <f t="shared" si="1"/>
        <v>1008.4</v>
      </c>
      <c r="E18" s="74">
        <v>68.0</v>
      </c>
      <c r="F18" s="79">
        <f t="shared" si="2"/>
        <v>998</v>
      </c>
      <c r="G18" s="3" t="s">
        <v>170</v>
      </c>
      <c r="H18" s="86">
        <f t="shared" si="3"/>
        <v>0.1392140548</v>
      </c>
      <c r="I18" s="9">
        <f t="shared" si="4"/>
        <v>140.3834528</v>
      </c>
      <c r="J18" s="30">
        <f t="shared" si="5"/>
        <v>1.13398</v>
      </c>
      <c r="K18" s="31">
        <v>46174.0</v>
      </c>
      <c r="L18" s="8">
        <v>0.1236896673712938</v>
      </c>
      <c r="M18" s="14" t="str">
        <f>HYPERLINK("https://docs.google.com/spreadsheets/d/1MUQajDI2a_Cn9xWGPP7z4PhhphZnfl2_CSTnpB07Wgk/edit","PP Summary")</f>
        <v>PP Summary</v>
      </c>
    </row>
    <row r="19">
      <c r="A19" s="73">
        <v>228050.0</v>
      </c>
      <c r="B19" s="74">
        <v>1065.0</v>
      </c>
      <c r="C19" s="76">
        <v>57.6</v>
      </c>
      <c r="D19" s="79">
        <f t="shared" si="1"/>
        <v>1007.4</v>
      </c>
      <c r="E19" s="74">
        <v>137.5</v>
      </c>
      <c r="F19" s="79">
        <f t="shared" si="2"/>
        <v>927.5</v>
      </c>
      <c r="G19" s="3" t="s">
        <v>171</v>
      </c>
      <c r="H19" s="86">
        <f t="shared" si="3"/>
        <v>0.1392140548</v>
      </c>
      <c r="I19" s="9">
        <f t="shared" si="4"/>
        <v>140.2442388</v>
      </c>
      <c r="J19" s="30">
        <f t="shared" si="5"/>
        <v>1.13398</v>
      </c>
      <c r="K19" s="3" t="s">
        <v>98</v>
      </c>
      <c r="L19" s="34">
        <f>$L$7</f>
        <v>0.120947</v>
      </c>
    </row>
    <row r="20">
      <c r="A20" s="73">
        <v>228043.0</v>
      </c>
      <c r="B20" s="74">
        <v>1077.0</v>
      </c>
      <c r="C20" s="76">
        <v>57.6</v>
      </c>
      <c r="D20" s="79">
        <f t="shared" si="1"/>
        <v>1019.4</v>
      </c>
      <c r="E20" s="76">
        <v>71.0</v>
      </c>
      <c r="F20" s="79">
        <f t="shared" si="2"/>
        <v>1006</v>
      </c>
      <c r="G20" s="3" t="s">
        <v>172</v>
      </c>
      <c r="H20" s="86">
        <f t="shared" si="3"/>
        <v>0.1392140548</v>
      </c>
      <c r="I20" s="9">
        <f t="shared" si="4"/>
        <v>141.9148074</v>
      </c>
      <c r="J20" s="30">
        <f t="shared" si="5"/>
        <v>1.13398</v>
      </c>
    </row>
    <row r="21">
      <c r="A21" s="73">
        <v>228089.0</v>
      </c>
      <c r="B21" s="74">
        <v>988.0</v>
      </c>
      <c r="C21" s="76">
        <v>57.6</v>
      </c>
      <c r="D21" s="79">
        <f t="shared" si="1"/>
        <v>930.4</v>
      </c>
      <c r="E21" s="74">
        <v>68.0</v>
      </c>
      <c r="F21" s="79">
        <f t="shared" si="2"/>
        <v>920</v>
      </c>
      <c r="G21" s="3" t="s">
        <v>173</v>
      </c>
      <c r="H21" s="86">
        <f t="shared" si="3"/>
        <v>0.1392140548</v>
      </c>
      <c r="I21" s="9">
        <f t="shared" si="4"/>
        <v>129.5247566</v>
      </c>
      <c r="J21" s="30">
        <f t="shared" si="5"/>
        <v>1.13398</v>
      </c>
    </row>
    <row r="22">
      <c r="A22" s="73">
        <v>228080.0</v>
      </c>
      <c r="B22" s="74">
        <v>1084.0</v>
      </c>
      <c r="C22" s="76">
        <v>57.6</v>
      </c>
      <c r="D22" s="79">
        <f t="shared" si="1"/>
        <v>1026.4</v>
      </c>
      <c r="E22" s="74">
        <v>68.0</v>
      </c>
      <c r="F22" s="79">
        <f t="shared" si="2"/>
        <v>1016</v>
      </c>
      <c r="G22" s="3" t="s">
        <v>174</v>
      </c>
      <c r="H22" s="86">
        <f t="shared" si="3"/>
        <v>0.1392140548</v>
      </c>
      <c r="I22" s="9">
        <f t="shared" si="4"/>
        <v>142.8893058</v>
      </c>
      <c r="J22" s="30">
        <f t="shared" si="5"/>
        <v>1.13398</v>
      </c>
    </row>
    <row r="23">
      <c r="A23" s="73">
        <v>300069.0</v>
      </c>
      <c r="B23" s="74">
        <v>1009.0</v>
      </c>
      <c r="C23" s="76">
        <v>57.6</v>
      </c>
      <c r="D23" s="79">
        <f t="shared" si="1"/>
        <v>951.4</v>
      </c>
      <c r="E23" s="74">
        <v>100.0</v>
      </c>
      <c r="F23" s="79">
        <f t="shared" si="2"/>
        <v>909</v>
      </c>
      <c r="G23" s="3" t="s">
        <v>175</v>
      </c>
      <c r="H23" s="86">
        <f t="shared" ref="H23:H36" si="6">$L$12</f>
        <v>0.1630616644</v>
      </c>
      <c r="I23" s="9">
        <f t="shared" si="4"/>
        <v>155.1368675</v>
      </c>
      <c r="J23" s="30">
        <f t="shared" si="5"/>
        <v>1.13398</v>
      </c>
    </row>
    <row r="24">
      <c r="A24" s="73">
        <v>300017.0</v>
      </c>
      <c r="B24" s="74">
        <v>993.0</v>
      </c>
      <c r="C24" s="76">
        <v>57.6</v>
      </c>
      <c r="D24" s="79">
        <f t="shared" si="1"/>
        <v>935.4</v>
      </c>
      <c r="E24" s="74">
        <v>105.0</v>
      </c>
      <c r="F24" s="79">
        <f t="shared" si="2"/>
        <v>888</v>
      </c>
      <c r="G24" s="3" t="s">
        <v>176</v>
      </c>
      <c r="H24" s="86">
        <f t="shared" si="6"/>
        <v>0.1630616644</v>
      </c>
      <c r="I24" s="9">
        <f t="shared" si="4"/>
        <v>152.5278809</v>
      </c>
      <c r="J24" s="30">
        <f t="shared" si="5"/>
        <v>1.13398</v>
      </c>
    </row>
    <row r="25">
      <c r="A25" s="73">
        <v>300086.0</v>
      </c>
      <c r="B25" s="74">
        <v>1057.0</v>
      </c>
      <c r="C25" s="76">
        <v>57.6</v>
      </c>
      <c r="D25" s="79">
        <f t="shared" si="1"/>
        <v>999.4</v>
      </c>
      <c r="E25" s="74">
        <v>68.0</v>
      </c>
      <c r="F25" s="79">
        <f t="shared" si="2"/>
        <v>989</v>
      </c>
      <c r="G25" s="3" t="s">
        <v>177</v>
      </c>
      <c r="H25" s="86">
        <f t="shared" si="6"/>
        <v>0.1630616644</v>
      </c>
      <c r="I25" s="9">
        <f t="shared" si="4"/>
        <v>162.9638274</v>
      </c>
      <c r="J25" s="30">
        <f t="shared" si="5"/>
        <v>1.13398</v>
      </c>
    </row>
    <row r="26">
      <c r="A26" s="73">
        <v>300035.0</v>
      </c>
      <c r="B26" s="74">
        <v>936.0</v>
      </c>
      <c r="C26" s="76">
        <v>57.6</v>
      </c>
      <c r="D26" s="79">
        <f t="shared" si="1"/>
        <v>878.4</v>
      </c>
      <c r="E26" s="76">
        <v>68.0</v>
      </c>
      <c r="F26" s="79">
        <f t="shared" si="2"/>
        <v>868</v>
      </c>
      <c r="G26" s="3" t="s">
        <v>178</v>
      </c>
      <c r="H26" s="86">
        <f t="shared" si="6"/>
        <v>0.1630616644</v>
      </c>
      <c r="I26" s="9">
        <f t="shared" si="4"/>
        <v>143.233366</v>
      </c>
      <c r="J26" s="30">
        <f t="shared" si="5"/>
        <v>1.13398</v>
      </c>
    </row>
    <row r="27">
      <c r="A27" s="73">
        <v>300079.0</v>
      </c>
      <c r="B27" s="74">
        <v>996.0</v>
      </c>
      <c r="C27" s="76">
        <v>57.6</v>
      </c>
      <c r="D27" s="79">
        <f t="shared" si="1"/>
        <v>938.4</v>
      </c>
      <c r="E27" s="74">
        <v>81.5</v>
      </c>
      <c r="F27" s="79">
        <f t="shared" si="2"/>
        <v>914.5</v>
      </c>
      <c r="G27" s="3" t="s">
        <v>179</v>
      </c>
      <c r="H27" s="86">
        <f t="shared" si="6"/>
        <v>0.1630616644</v>
      </c>
      <c r="I27" s="9">
        <f t="shared" si="4"/>
        <v>153.0170658</v>
      </c>
      <c r="J27" s="30">
        <f t="shared" si="5"/>
        <v>1.13398</v>
      </c>
    </row>
    <row r="28">
      <c r="A28" s="73">
        <v>300034.0</v>
      </c>
      <c r="B28" s="74">
        <v>1020.0</v>
      </c>
      <c r="C28" s="76">
        <v>57.6</v>
      </c>
      <c r="D28" s="79">
        <f t="shared" si="1"/>
        <v>962.4</v>
      </c>
      <c r="E28" s="74">
        <v>68.0</v>
      </c>
      <c r="F28" s="79">
        <f t="shared" si="2"/>
        <v>952</v>
      </c>
      <c r="G28" s="3" t="s">
        <v>180</v>
      </c>
      <c r="H28" s="86">
        <f t="shared" si="6"/>
        <v>0.1630616644</v>
      </c>
      <c r="I28" s="9">
        <f t="shared" si="4"/>
        <v>156.9305458</v>
      </c>
      <c r="J28" s="30">
        <f t="shared" si="5"/>
        <v>1.13398</v>
      </c>
    </row>
    <row r="29">
      <c r="A29" s="73">
        <v>300003.0</v>
      </c>
      <c r="B29" s="74">
        <v>1004.0</v>
      </c>
      <c r="C29" s="76">
        <v>57.6</v>
      </c>
      <c r="D29" s="79">
        <f t="shared" si="1"/>
        <v>946.4</v>
      </c>
      <c r="E29" s="74">
        <v>77.0</v>
      </c>
      <c r="F29" s="79">
        <f t="shared" si="2"/>
        <v>927</v>
      </c>
      <c r="G29" s="3" t="s">
        <v>181</v>
      </c>
      <c r="H29" s="86">
        <f t="shared" si="6"/>
        <v>0.1630616644</v>
      </c>
      <c r="I29" s="9">
        <f t="shared" si="4"/>
        <v>154.3215592</v>
      </c>
      <c r="J29" s="30">
        <f t="shared" si="5"/>
        <v>1.13398</v>
      </c>
    </row>
    <row r="30">
      <c r="A30" s="73">
        <v>300091.0</v>
      </c>
      <c r="B30" s="74">
        <v>955.0</v>
      </c>
      <c r="C30" s="76">
        <v>57.6</v>
      </c>
      <c r="D30" s="79">
        <f t="shared" si="1"/>
        <v>897.4</v>
      </c>
      <c r="E30" s="74">
        <v>68.0</v>
      </c>
      <c r="F30" s="79">
        <f t="shared" si="2"/>
        <v>887</v>
      </c>
      <c r="G30" s="3" t="s">
        <v>182</v>
      </c>
      <c r="H30" s="86">
        <f t="shared" si="6"/>
        <v>0.1630616644</v>
      </c>
      <c r="I30" s="9">
        <f t="shared" si="4"/>
        <v>146.3315376</v>
      </c>
      <c r="J30" s="30">
        <f t="shared" si="5"/>
        <v>1.13398</v>
      </c>
    </row>
    <row r="31">
      <c r="A31" s="73">
        <v>300002.0</v>
      </c>
      <c r="B31" s="74">
        <v>1094.0</v>
      </c>
      <c r="C31" s="76">
        <v>57.6</v>
      </c>
      <c r="D31" s="79">
        <f t="shared" si="1"/>
        <v>1036.4</v>
      </c>
      <c r="E31" s="76">
        <v>72.0</v>
      </c>
      <c r="F31" s="79">
        <f t="shared" si="2"/>
        <v>1022</v>
      </c>
      <c r="G31" s="3" t="s">
        <v>183</v>
      </c>
      <c r="H31" s="86">
        <f t="shared" si="6"/>
        <v>0.1630616644</v>
      </c>
      <c r="I31" s="9">
        <f t="shared" si="4"/>
        <v>168.997109</v>
      </c>
      <c r="J31" s="30">
        <f t="shared" si="5"/>
        <v>1.13398</v>
      </c>
    </row>
    <row r="32">
      <c r="A32" s="73">
        <v>300056.0</v>
      </c>
      <c r="B32" s="74">
        <v>1070.0</v>
      </c>
      <c r="C32" s="76">
        <v>57.6</v>
      </c>
      <c r="D32" s="74">
        <f t="shared" si="1"/>
        <v>1012.4</v>
      </c>
      <c r="E32" s="76">
        <v>71.0</v>
      </c>
      <c r="F32" s="79">
        <f t="shared" si="2"/>
        <v>999</v>
      </c>
      <c r="G32" s="53" t="s">
        <v>184</v>
      </c>
      <c r="H32" s="100">
        <f t="shared" si="6"/>
        <v>0.1630616644</v>
      </c>
      <c r="I32" s="9">
        <f t="shared" si="4"/>
        <v>165.083629</v>
      </c>
      <c r="J32" s="30">
        <f t="shared" si="5"/>
        <v>1.13398</v>
      </c>
    </row>
    <row r="33">
      <c r="A33" s="101">
        <v>300053.0</v>
      </c>
      <c r="B33" s="74">
        <v>1028.0</v>
      </c>
      <c r="C33" s="76">
        <v>57.6</v>
      </c>
      <c r="D33" s="79">
        <f t="shared" si="1"/>
        <v>970.4</v>
      </c>
      <c r="E33" s="74">
        <v>140.0</v>
      </c>
      <c r="F33" s="79">
        <f t="shared" si="2"/>
        <v>888</v>
      </c>
      <c r="G33" s="3" t="s">
        <v>185</v>
      </c>
      <c r="H33" s="86">
        <f t="shared" si="6"/>
        <v>0.1630616644</v>
      </c>
      <c r="I33" s="9">
        <f t="shared" si="4"/>
        <v>158.2350391</v>
      </c>
      <c r="J33" s="30">
        <f t="shared" si="5"/>
        <v>1.13398</v>
      </c>
    </row>
    <row r="34">
      <c r="A34" s="73">
        <v>300049.0</v>
      </c>
      <c r="B34" s="74">
        <v>983.0</v>
      </c>
      <c r="C34" s="76">
        <v>57.6</v>
      </c>
      <c r="D34" s="79">
        <f t="shared" si="1"/>
        <v>925.4</v>
      </c>
      <c r="E34" s="74">
        <v>68.0</v>
      </c>
      <c r="F34" s="79">
        <f t="shared" si="2"/>
        <v>915</v>
      </c>
      <c r="G34" s="3" t="s">
        <v>186</v>
      </c>
      <c r="H34" s="86">
        <f t="shared" si="6"/>
        <v>0.1630616644</v>
      </c>
      <c r="I34" s="9">
        <f t="shared" si="4"/>
        <v>150.8972642</v>
      </c>
      <c r="J34" s="30">
        <f t="shared" si="5"/>
        <v>1.13398</v>
      </c>
    </row>
    <row r="35">
      <c r="A35" s="73">
        <v>300041.0</v>
      </c>
      <c r="B35" s="74">
        <v>1034.0</v>
      </c>
      <c r="C35" s="76">
        <v>57.6</v>
      </c>
      <c r="D35" s="79">
        <f t="shared" si="1"/>
        <v>976.4</v>
      </c>
      <c r="E35" s="74">
        <v>68.0</v>
      </c>
      <c r="F35" s="79">
        <f t="shared" si="2"/>
        <v>966</v>
      </c>
      <c r="G35" s="3" t="s">
        <v>187</v>
      </c>
      <c r="H35" s="86">
        <f t="shared" si="6"/>
        <v>0.1630616644</v>
      </c>
      <c r="I35" s="9">
        <f t="shared" si="4"/>
        <v>159.2134091</v>
      </c>
      <c r="J35" s="30">
        <f t="shared" si="5"/>
        <v>1.13398</v>
      </c>
    </row>
    <row r="36">
      <c r="A36" s="73">
        <v>300062.0</v>
      </c>
      <c r="B36" s="74">
        <v>1025.0</v>
      </c>
      <c r="C36" s="76">
        <v>57.6</v>
      </c>
      <c r="D36" s="79">
        <f t="shared" si="1"/>
        <v>967.4</v>
      </c>
      <c r="E36" s="74">
        <v>65.0</v>
      </c>
      <c r="F36" s="79">
        <f t="shared" si="2"/>
        <v>960</v>
      </c>
      <c r="G36" s="3" t="s">
        <v>188</v>
      </c>
      <c r="H36" s="86">
        <f t="shared" si="6"/>
        <v>0.1630616644</v>
      </c>
      <c r="I36" s="9">
        <f t="shared" si="4"/>
        <v>157.7458541</v>
      </c>
      <c r="J36" s="30">
        <f t="shared" si="5"/>
        <v>1.13398</v>
      </c>
    </row>
    <row r="37">
      <c r="A37" s="73">
        <v>300073.0</v>
      </c>
      <c r="B37" s="74">
        <v>1058.0</v>
      </c>
      <c r="C37" s="76">
        <v>57.6</v>
      </c>
      <c r="D37" s="79">
        <f t="shared" si="1"/>
        <v>1000.4</v>
      </c>
      <c r="E37" s="74">
        <v>68.0</v>
      </c>
      <c r="F37" s="79">
        <f t="shared" si="2"/>
        <v>990</v>
      </c>
      <c r="G37" s="3" t="s">
        <v>189</v>
      </c>
      <c r="H37" s="86">
        <f t="shared" ref="H37:H47" si="7">$L$13</f>
        <v>0.1568340169</v>
      </c>
      <c r="I37" s="9">
        <f t="shared" si="4"/>
        <v>156.8967505</v>
      </c>
      <c r="J37" s="30">
        <f t="shared" si="5"/>
        <v>1.13398</v>
      </c>
    </row>
    <row r="38">
      <c r="A38" s="73">
        <v>300096.0</v>
      </c>
      <c r="B38" s="74">
        <v>1014.0</v>
      </c>
      <c r="C38" s="76">
        <v>57.6</v>
      </c>
      <c r="D38" s="79">
        <f t="shared" si="1"/>
        <v>956.4</v>
      </c>
      <c r="E38" s="76">
        <v>68.0</v>
      </c>
      <c r="F38" s="79">
        <f t="shared" si="2"/>
        <v>946</v>
      </c>
      <c r="G38" s="3" t="s">
        <v>190</v>
      </c>
      <c r="H38" s="86">
        <f t="shared" si="7"/>
        <v>0.1568340169</v>
      </c>
      <c r="I38" s="9">
        <f t="shared" si="4"/>
        <v>149.9960538</v>
      </c>
      <c r="J38" s="30">
        <f t="shared" si="5"/>
        <v>1.13398</v>
      </c>
    </row>
    <row r="39">
      <c r="A39" s="73">
        <v>300052.0</v>
      </c>
      <c r="B39" s="74">
        <v>1016.0</v>
      </c>
      <c r="C39" s="76">
        <v>57.6</v>
      </c>
      <c r="D39" s="79">
        <f t="shared" si="1"/>
        <v>958.4</v>
      </c>
      <c r="E39" s="74">
        <v>58.0</v>
      </c>
      <c r="F39" s="79">
        <f t="shared" si="2"/>
        <v>958</v>
      </c>
      <c r="G39" s="3" t="s">
        <v>191</v>
      </c>
      <c r="H39" s="86">
        <f t="shared" si="7"/>
        <v>0.1568340169</v>
      </c>
      <c r="I39" s="9">
        <f t="shared" si="4"/>
        <v>150.3097218</v>
      </c>
      <c r="J39" s="30">
        <f t="shared" si="5"/>
        <v>1.13398</v>
      </c>
    </row>
    <row r="40">
      <c r="A40" s="73">
        <v>300006.0</v>
      </c>
      <c r="B40" s="74">
        <v>989.0</v>
      </c>
      <c r="C40" s="76">
        <v>57.6</v>
      </c>
      <c r="D40" s="79">
        <f t="shared" si="1"/>
        <v>931.4</v>
      </c>
      <c r="E40" s="74">
        <v>68.0</v>
      </c>
      <c r="F40" s="79">
        <f t="shared" si="2"/>
        <v>921</v>
      </c>
      <c r="G40" s="3" t="s">
        <v>192</v>
      </c>
      <c r="H40" s="86">
        <f t="shared" si="7"/>
        <v>0.1568340169</v>
      </c>
      <c r="I40" s="9">
        <f t="shared" si="4"/>
        <v>146.0752034</v>
      </c>
      <c r="J40" s="30">
        <f t="shared" si="5"/>
        <v>1.13398</v>
      </c>
    </row>
    <row r="41">
      <c r="A41" s="73">
        <v>300011.0</v>
      </c>
      <c r="B41" s="74">
        <v>986.0</v>
      </c>
      <c r="C41" s="76">
        <v>57.6</v>
      </c>
      <c r="D41" s="79">
        <f t="shared" si="1"/>
        <v>928.4</v>
      </c>
      <c r="E41" s="74">
        <v>68.0</v>
      </c>
      <c r="F41" s="79">
        <f t="shared" si="2"/>
        <v>918</v>
      </c>
      <c r="G41" s="3" t="s">
        <v>193</v>
      </c>
      <c r="H41" s="86">
        <f t="shared" si="7"/>
        <v>0.1568340169</v>
      </c>
      <c r="I41" s="9">
        <f t="shared" si="4"/>
        <v>145.6047013</v>
      </c>
      <c r="J41" s="30">
        <f t="shared" si="5"/>
        <v>1.13398</v>
      </c>
    </row>
    <row r="42">
      <c r="A42" s="73">
        <v>300094.0</v>
      </c>
      <c r="B42" s="74">
        <v>1044.0</v>
      </c>
      <c r="C42" s="76">
        <v>57.6</v>
      </c>
      <c r="D42" s="79">
        <f t="shared" si="1"/>
        <v>986.4</v>
      </c>
      <c r="E42" s="76">
        <v>68.0</v>
      </c>
      <c r="F42" s="79">
        <f t="shared" si="2"/>
        <v>976</v>
      </c>
      <c r="G42" s="3" t="s">
        <v>195</v>
      </c>
      <c r="H42" s="86">
        <f t="shared" si="7"/>
        <v>0.1568340169</v>
      </c>
      <c r="I42" s="9">
        <f t="shared" si="4"/>
        <v>154.7010743</v>
      </c>
      <c r="J42" s="30">
        <f t="shared" si="5"/>
        <v>1.13398</v>
      </c>
    </row>
    <row r="43">
      <c r="A43" s="73">
        <v>300019.0</v>
      </c>
      <c r="B43" s="74">
        <v>1040.0</v>
      </c>
      <c r="C43" s="76">
        <v>57.6</v>
      </c>
      <c r="D43" s="79">
        <f t="shared" si="1"/>
        <v>982.4</v>
      </c>
      <c r="E43" s="74">
        <v>68.0</v>
      </c>
      <c r="F43" s="79">
        <f t="shared" si="2"/>
        <v>972</v>
      </c>
      <c r="G43" s="3" t="s">
        <v>196</v>
      </c>
      <c r="H43" s="86">
        <f t="shared" si="7"/>
        <v>0.1568340169</v>
      </c>
      <c r="I43" s="9">
        <f t="shared" si="4"/>
        <v>154.0737382</v>
      </c>
      <c r="J43" s="30">
        <f t="shared" si="5"/>
        <v>1.13398</v>
      </c>
    </row>
    <row r="44">
      <c r="A44" s="73">
        <v>300032.0</v>
      </c>
      <c r="B44" s="74">
        <v>1092.0</v>
      </c>
      <c r="C44" s="76">
        <v>57.6</v>
      </c>
      <c r="D44" s="79">
        <f t="shared" si="1"/>
        <v>1034.4</v>
      </c>
      <c r="E44" s="74">
        <v>167.0</v>
      </c>
      <c r="F44" s="79">
        <f t="shared" si="2"/>
        <v>925</v>
      </c>
      <c r="G44" s="3" t="s">
        <v>197</v>
      </c>
      <c r="H44" s="86">
        <f t="shared" si="7"/>
        <v>0.1568340169</v>
      </c>
      <c r="I44" s="9">
        <f t="shared" si="4"/>
        <v>162.2291071</v>
      </c>
      <c r="J44" s="30">
        <f t="shared" si="5"/>
        <v>1.13398</v>
      </c>
    </row>
    <row r="45">
      <c r="A45" s="73">
        <v>300050.0</v>
      </c>
      <c r="B45" s="74">
        <v>902.0</v>
      </c>
      <c r="C45" s="76">
        <v>57.6</v>
      </c>
      <c r="D45" s="79">
        <f t="shared" si="1"/>
        <v>844.4</v>
      </c>
      <c r="E45" s="74">
        <v>159.0</v>
      </c>
      <c r="F45" s="79">
        <f t="shared" si="2"/>
        <v>743</v>
      </c>
      <c r="G45" s="3" t="s">
        <v>198</v>
      </c>
      <c r="H45" s="86">
        <f t="shared" si="7"/>
        <v>0.1568340169</v>
      </c>
      <c r="I45" s="9">
        <f t="shared" si="4"/>
        <v>132.4306439</v>
      </c>
      <c r="J45" s="30">
        <f t="shared" si="5"/>
        <v>1.13398</v>
      </c>
    </row>
    <row r="46">
      <c r="A46" s="73">
        <v>300092.0</v>
      </c>
      <c r="B46" s="74">
        <v>1064.0</v>
      </c>
      <c r="C46" s="76">
        <v>57.6</v>
      </c>
      <c r="D46" s="79">
        <f t="shared" si="1"/>
        <v>1006.4</v>
      </c>
      <c r="E46" s="74">
        <v>234.0</v>
      </c>
      <c r="F46" s="79">
        <f t="shared" si="2"/>
        <v>830</v>
      </c>
      <c r="G46" s="3" t="s">
        <v>199</v>
      </c>
      <c r="H46" s="86">
        <f t="shared" si="7"/>
        <v>0.1568340169</v>
      </c>
      <c r="I46" s="9">
        <f t="shared" si="4"/>
        <v>157.8377546</v>
      </c>
      <c r="J46" s="30">
        <f t="shared" si="5"/>
        <v>1.13398</v>
      </c>
    </row>
    <row r="47">
      <c r="A47" s="73">
        <v>300031.0</v>
      </c>
      <c r="B47" s="103">
        <v>1035.0</v>
      </c>
      <c r="C47" s="76">
        <v>57.6</v>
      </c>
      <c r="D47" s="79">
        <f t="shared" si="1"/>
        <v>977.4</v>
      </c>
      <c r="E47" s="74">
        <v>166.0</v>
      </c>
      <c r="F47" s="79">
        <f t="shared" si="2"/>
        <v>869</v>
      </c>
      <c r="G47" s="3" t="s">
        <v>200</v>
      </c>
      <c r="H47" s="86">
        <f t="shared" si="7"/>
        <v>0.1568340169</v>
      </c>
      <c r="I47" s="104">
        <f t="shared" si="4"/>
        <v>153.2895681</v>
      </c>
      <c r="J47" s="34">
        <f t="shared" si="5"/>
        <v>1.13398</v>
      </c>
    </row>
    <row r="48">
      <c r="A48" s="73">
        <v>300076.0</v>
      </c>
      <c r="B48" s="103">
        <v>984.0</v>
      </c>
      <c r="C48" s="76">
        <v>57.6</v>
      </c>
      <c r="D48" s="79">
        <f t="shared" si="1"/>
        <v>926.4</v>
      </c>
      <c r="E48" s="74">
        <v>159.0</v>
      </c>
      <c r="F48" s="79">
        <f t="shared" si="2"/>
        <v>825</v>
      </c>
      <c r="G48" s="3" t="s">
        <v>201</v>
      </c>
      <c r="H48" s="86">
        <f t="shared" ref="H48:H75" si="8">$L$14</f>
        <v>0.1330497939</v>
      </c>
      <c r="I48" s="104">
        <f t="shared" si="4"/>
        <v>123.2573291</v>
      </c>
      <c r="J48" s="34">
        <f t="shared" si="5"/>
        <v>1.13398</v>
      </c>
    </row>
    <row r="49">
      <c r="A49" s="73">
        <v>300025.0</v>
      </c>
      <c r="B49" s="103">
        <v>1045.0</v>
      </c>
      <c r="C49" s="76">
        <v>57.6</v>
      </c>
      <c r="D49" s="79">
        <f t="shared" si="1"/>
        <v>987.4</v>
      </c>
      <c r="E49" s="74">
        <v>173.0</v>
      </c>
      <c r="F49" s="79">
        <f t="shared" si="2"/>
        <v>872</v>
      </c>
      <c r="G49" s="3" t="s">
        <v>202</v>
      </c>
      <c r="H49" s="86">
        <f t="shared" si="8"/>
        <v>0.1330497939</v>
      </c>
      <c r="I49" s="104">
        <f t="shared" si="4"/>
        <v>131.3733665</v>
      </c>
      <c r="J49" s="34">
        <f t="shared" si="5"/>
        <v>1.13398</v>
      </c>
    </row>
    <row r="50">
      <c r="A50" s="73">
        <v>300070.0</v>
      </c>
      <c r="B50" s="103">
        <v>936.0</v>
      </c>
      <c r="C50" s="76">
        <v>57.6</v>
      </c>
      <c r="D50" s="79">
        <f t="shared" si="1"/>
        <v>878.4</v>
      </c>
      <c r="E50" s="74">
        <v>162.0</v>
      </c>
      <c r="F50" s="79">
        <f t="shared" si="2"/>
        <v>774</v>
      </c>
      <c r="G50" s="3" t="s">
        <v>203</v>
      </c>
      <c r="H50" s="86">
        <f t="shared" si="8"/>
        <v>0.1330497939</v>
      </c>
      <c r="I50" s="104">
        <f t="shared" si="4"/>
        <v>116.870939</v>
      </c>
      <c r="J50" s="34">
        <f t="shared" si="5"/>
        <v>1.13398</v>
      </c>
    </row>
    <row r="51">
      <c r="A51" s="105">
        <v>300082.0</v>
      </c>
      <c r="B51" s="106">
        <v>913.0</v>
      </c>
      <c r="C51" s="107">
        <v>57.6</v>
      </c>
      <c r="D51" s="108">
        <f t="shared" si="1"/>
        <v>855.4</v>
      </c>
      <c r="E51" s="109">
        <v>159.0</v>
      </c>
      <c r="F51" s="108">
        <f t="shared" si="2"/>
        <v>754</v>
      </c>
      <c r="G51" s="3" t="s">
        <v>204</v>
      </c>
      <c r="H51" s="86">
        <f t="shared" si="8"/>
        <v>0.1330497939</v>
      </c>
      <c r="I51" s="104">
        <f t="shared" si="4"/>
        <v>113.8107937</v>
      </c>
      <c r="J51" s="34">
        <f t="shared" si="5"/>
        <v>1.13398</v>
      </c>
    </row>
    <row r="52">
      <c r="A52" s="110">
        <v>300060.0</v>
      </c>
      <c r="B52" s="111">
        <v>1002.0</v>
      </c>
      <c r="C52" s="112">
        <v>57.6</v>
      </c>
      <c r="D52" s="113">
        <f t="shared" si="1"/>
        <v>944.4</v>
      </c>
      <c r="E52" s="114">
        <v>214.0</v>
      </c>
      <c r="F52" s="113">
        <f t="shared" si="2"/>
        <v>788</v>
      </c>
      <c r="G52" s="25" t="s">
        <v>205</v>
      </c>
      <c r="H52" s="86">
        <f t="shared" si="8"/>
        <v>0.1330497939</v>
      </c>
      <c r="I52" s="104">
        <f t="shared" si="4"/>
        <v>125.6522254</v>
      </c>
      <c r="J52" s="34">
        <f t="shared" si="5"/>
        <v>1.13398</v>
      </c>
    </row>
    <row r="53">
      <c r="A53" s="110">
        <v>300043.0</v>
      </c>
      <c r="B53" s="112">
        <v>1015.0</v>
      </c>
      <c r="C53" s="112">
        <v>57.6</v>
      </c>
      <c r="D53" s="115">
        <f t="shared" si="1"/>
        <v>957.4</v>
      </c>
      <c r="E53" s="112">
        <v>168.0</v>
      </c>
      <c r="F53" s="115">
        <f t="shared" si="2"/>
        <v>847</v>
      </c>
      <c r="G53" s="25" t="s">
        <v>206</v>
      </c>
      <c r="H53" s="86">
        <f t="shared" si="8"/>
        <v>0.1330497939</v>
      </c>
      <c r="I53" s="104">
        <f t="shared" si="4"/>
        <v>127.3818727</v>
      </c>
      <c r="J53" s="34">
        <f t="shared" si="5"/>
        <v>1.13398</v>
      </c>
    </row>
    <row r="54">
      <c r="A54" s="110">
        <v>300030.0</v>
      </c>
      <c r="B54" s="111">
        <v>988.0</v>
      </c>
      <c r="C54" s="110">
        <v>57.6</v>
      </c>
      <c r="D54" s="113">
        <f t="shared" si="1"/>
        <v>930.4</v>
      </c>
      <c r="E54" s="114">
        <v>261.0</v>
      </c>
      <c r="F54" s="113">
        <f t="shared" si="2"/>
        <v>727</v>
      </c>
      <c r="G54" s="25" t="s">
        <v>207</v>
      </c>
      <c r="H54" s="86">
        <f t="shared" si="8"/>
        <v>0.1330497939</v>
      </c>
      <c r="I54" s="104">
        <f t="shared" si="4"/>
        <v>123.7895283</v>
      </c>
      <c r="J54" s="34">
        <f t="shared" si="5"/>
        <v>1.13398</v>
      </c>
    </row>
    <row r="55">
      <c r="A55" s="110">
        <v>300042.0</v>
      </c>
      <c r="B55" s="111">
        <v>1003.0</v>
      </c>
      <c r="C55" s="110">
        <v>57.6</v>
      </c>
      <c r="D55" s="113">
        <f t="shared" si="1"/>
        <v>945.4</v>
      </c>
      <c r="E55" s="114">
        <v>180.0</v>
      </c>
      <c r="F55" s="113">
        <f t="shared" si="2"/>
        <v>823</v>
      </c>
      <c r="G55" s="25" t="s">
        <v>208</v>
      </c>
      <c r="H55" s="86">
        <f t="shared" si="8"/>
        <v>0.1330497939</v>
      </c>
      <c r="I55" s="104">
        <f t="shared" si="4"/>
        <v>125.7852752</v>
      </c>
      <c r="J55" s="34">
        <f t="shared" si="5"/>
        <v>1.13398</v>
      </c>
    </row>
    <row r="56">
      <c r="A56" s="110">
        <v>300046.0</v>
      </c>
      <c r="B56" s="111">
        <v>1039.0</v>
      </c>
      <c r="C56" s="110">
        <v>57.6</v>
      </c>
      <c r="D56" s="113">
        <f t="shared" si="1"/>
        <v>981.4</v>
      </c>
      <c r="E56" s="114">
        <v>147.0</v>
      </c>
      <c r="F56" s="113">
        <f t="shared" si="2"/>
        <v>892</v>
      </c>
      <c r="G56" s="25" t="s">
        <v>209</v>
      </c>
      <c r="H56" s="86">
        <f t="shared" si="8"/>
        <v>0.1330497939</v>
      </c>
      <c r="I56" s="27">
        <f t="shared" si="4"/>
        <v>130.5750677</v>
      </c>
      <c r="J56" s="34">
        <f t="shared" si="5"/>
        <v>1.13398</v>
      </c>
    </row>
    <row r="57">
      <c r="A57" s="110">
        <v>300057.0</v>
      </c>
      <c r="B57" s="111">
        <v>982.0</v>
      </c>
      <c r="C57" s="110">
        <v>57.6</v>
      </c>
      <c r="D57" s="113">
        <f t="shared" si="1"/>
        <v>924.4</v>
      </c>
      <c r="E57" s="114">
        <v>186.0</v>
      </c>
      <c r="F57" s="113">
        <f t="shared" si="2"/>
        <v>796</v>
      </c>
      <c r="G57" s="25" t="s">
        <v>210</v>
      </c>
      <c r="H57" s="86">
        <f t="shared" si="8"/>
        <v>0.1330497939</v>
      </c>
      <c r="I57" s="27">
        <f t="shared" si="4"/>
        <v>122.9912295</v>
      </c>
      <c r="J57" s="34">
        <f t="shared" si="5"/>
        <v>1.13398</v>
      </c>
    </row>
    <row r="58">
      <c r="A58" s="110">
        <v>300039.0</v>
      </c>
      <c r="B58" s="111">
        <v>1044.0</v>
      </c>
      <c r="C58" s="110">
        <v>57.6</v>
      </c>
      <c r="D58" s="113">
        <f t="shared" si="1"/>
        <v>986.4</v>
      </c>
      <c r="E58" s="114">
        <v>230.0</v>
      </c>
      <c r="F58" s="113">
        <f t="shared" si="2"/>
        <v>814</v>
      </c>
      <c r="G58" s="25" t="s">
        <v>211</v>
      </c>
      <c r="H58" s="86">
        <f t="shared" si="8"/>
        <v>0.1330497939</v>
      </c>
      <c r="I58" s="27">
        <f t="shared" si="4"/>
        <v>131.2403167</v>
      </c>
      <c r="J58" s="34">
        <f t="shared" si="5"/>
        <v>1.13398</v>
      </c>
    </row>
    <row r="59">
      <c r="A59" s="110">
        <v>300037.0</v>
      </c>
      <c r="B59" s="111">
        <v>1069.0</v>
      </c>
      <c r="C59" s="110">
        <v>57.6</v>
      </c>
      <c r="D59" s="113">
        <f t="shared" si="1"/>
        <v>1011.4</v>
      </c>
      <c r="E59" s="114">
        <v>158.0</v>
      </c>
      <c r="F59" s="113">
        <f t="shared" si="2"/>
        <v>911</v>
      </c>
      <c r="G59" s="25" t="s">
        <v>212</v>
      </c>
      <c r="H59" s="86">
        <f t="shared" si="8"/>
        <v>0.1330497939</v>
      </c>
      <c r="I59" s="27">
        <f t="shared" si="4"/>
        <v>134.5665616</v>
      </c>
      <c r="J59" s="34">
        <f t="shared" si="5"/>
        <v>1.13398</v>
      </c>
    </row>
    <row r="60">
      <c r="A60" s="110">
        <v>300059.0</v>
      </c>
      <c r="B60" s="111">
        <v>1054.0</v>
      </c>
      <c r="C60" s="110">
        <v>57.6</v>
      </c>
      <c r="D60" s="113">
        <f t="shared" si="1"/>
        <v>996.4</v>
      </c>
      <c r="E60" s="114">
        <v>179.0</v>
      </c>
      <c r="F60" s="113">
        <f t="shared" si="2"/>
        <v>875</v>
      </c>
      <c r="G60" s="25" t="s">
        <v>213</v>
      </c>
      <c r="H60" s="86">
        <f t="shared" si="8"/>
        <v>0.1330497939</v>
      </c>
      <c r="I60" s="27">
        <f t="shared" si="4"/>
        <v>132.5708147</v>
      </c>
      <c r="J60" s="34">
        <f t="shared" si="5"/>
        <v>1.13398</v>
      </c>
    </row>
    <row r="61">
      <c r="A61" s="110">
        <v>300089.0</v>
      </c>
      <c r="B61" s="111">
        <v>1004.0</v>
      </c>
      <c r="C61" s="110">
        <v>57.6</v>
      </c>
      <c r="D61" s="113">
        <f t="shared" si="1"/>
        <v>946.4</v>
      </c>
      <c r="E61" s="114">
        <v>142.0</v>
      </c>
      <c r="F61" s="113">
        <f t="shared" si="2"/>
        <v>862</v>
      </c>
      <c r="G61" s="25" t="s">
        <v>214</v>
      </c>
      <c r="H61" s="86">
        <f t="shared" si="8"/>
        <v>0.1330497939</v>
      </c>
      <c r="I61" s="27">
        <f t="shared" si="4"/>
        <v>125.918325</v>
      </c>
      <c r="J61" s="34">
        <f t="shared" si="5"/>
        <v>1.13398</v>
      </c>
    </row>
    <row r="62">
      <c r="A62" s="110">
        <v>300044.0</v>
      </c>
      <c r="B62" s="111">
        <v>981.0</v>
      </c>
      <c r="C62" s="110">
        <v>57.6</v>
      </c>
      <c r="D62" s="113">
        <f t="shared" si="1"/>
        <v>923.4</v>
      </c>
      <c r="E62" s="114">
        <v>137.0</v>
      </c>
      <c r="F62" s="113">
        <f t="shared" si="2"/>
        <v>844</v>
      </c>
      <c r="G62" s="25" t="s">
        <v>215</v>
      </c>
      <c r="H62" s="86">
        <f t="shared" si="8"/>
        <v>0.1330497939</v>
      </c>
      <c r="I62" s="27">
        <f t="shared" si="4"/>
        <v>122.8581797</v>
      </c>
      <c r="J62" s="34">
        <f t="shared" si="5"/>
        <v>1.13398</v>
      </c>
    </row>
    <row r="63">
      <c r="A63" s="110">
        <v>300081.0</v>
      </c>
      <c r="B63" s="111">
        <v>1010.0</v>
      </c>
      <c r="C63" s="110">
        <v>57.6</v>
      </c>
      <c r="D63" s="113">
        <f t="shared" si="1"/>
        <v>952.4</v>
      </c>
      <c r="E63" s="114">
        <v>151.5</v>
      </c>
      <c r="F63" s="113">
        <f t="shared" si="2"/>
        <v>858.5</v>
      </c>
      <c r="G63" s="25" t="s">
        <v>216</v>
      </c>
      <c r="H63" s="86">
        <f t="shared" si="8"/>
        <v>0.1330497939</v>
      </c>
      <c r="I63" s="27">
        <f t="shared" si="4"/>
        <v>126.7166237</v>
      </c>
      <c r="J63" s="34">
        <f t="shared" si="5"/>
        <v>1.13398</v>
      </c>
    </row>
    <row r="64">
      <c r="A64" s="110">
        <v>300029.0</v>
      </c>
      <c r="B64" s="111">
        <v>1040.0</v>
      </c>
      <c r="C64" s="110">
        <v>57.6</v>
      </c>
      <c r="D64" s="113">
        <f t="shared" si="1"/>
        <v>982.4</v>
      </c>
      <c r="E64" s="114">
        <v>163.0</v>
      </c>
      <c r="F64" s="113">
        <f t="shared" si="2"/>
        <v>877</v>
      </c>
      <c r="G64" s="25" t="s">
        <v>217</v>
      </c>
      <c r="H64" s="86">
        <f t="shared" si="8"/>
        <v>0.1330497939</v>
      </c>
      <c r="I64" s="27">
        <f t="shared" si="4"/>
        <v>130.7081175</v>
      </c>
      <c r="J64" s="34">
        <f t="shared" si="5"/>
        <v>1.13398</v>
      </c>
    </row>
    <row r="65">
      <c r="A65" s="110">
        <v>300020.0</v>
      </c>
      <c r="B65" s="111">
        <v>1012.0</v>
      </c>
      <c r="C65" s="110">
        <v>57.6</v>
      </c>
      <c r="D65" s="113">
        <f t="shared" si="1"/>
        <v>954.4</v>
      </c>
      <c r="E65" s="114">
        <v>202.0</v>
      </c>
      <c r="F65" s="113">
        <f t="shared" si="2"/>
        <v>810</v>
      </c>
      <c r="G65" s="25" t="s">
        <v>218</v>
      </c>
      <c r="H65" s="86">
        <f t="shared" si="8"/>
        <v>0.1330497939</v>
      </c>
      <c r="I65" s="27">
        <f t="shared" si="4"/>
        <v>126.9827233</v>
      </c>
      <c r="J65" s="34">
        <f t="shared" si="5"/>
        <v>1.13398</v>
      </c>
    </row>
    <row r="66">
      <c r="A66" s="110">
        <v>300083.0</v>
      </c>
      <c r="B66" s="111">
        <v>1020.0</v>
      </c>
      <c r="C66" s="110">
        <v>57.6</v>
      </c>
      <c r="D66" s="113">
        <f t="shared" si="1"/>
        <v>962.4</v>
      </c>
      <c r="E66" s="114">
        <v>168.0</v>
      </c>
      <c r="F66" s="113">
        <f t="shared" si="2"/>
        <v>852</v>
      </c>
      <c r="G66" s="25" t="s">
        <v>220</v>
      </c>
      <c r="H66" s="86">
        <f t="shared" si="8"/>
        <v>0.1330497939</v>
      </c>
      <c r="I66" s="27">
        <f t="shared" si="4"/>
        <v>128.0471217</v>
      </c>
      <c r="J66" s="34">
        <f t="shared" si="5"/>
        <v>1.13398</v>
      </c>
    </row>
    <row r="67">
      <c r="A67" s="110">
        <v>300026.0</v>
      </c>
      <c r="B67" s="111">
        <v>1111.0</v>
      </c>
      <c r="C67" s="110">
        <v>57.6</v>
      </c>
      <c r="D67" s="113">
        <f t="shared" si="1"/>
        <v>1053.4</v>
      </c>
      <c r="E67" s="114">
        <v>163.0</v>
      </c>
      <c r="F67" s="113">
        <f t="shared" si="2"/>
        <v>948</v>
      </c>
      <c r="G67" s="25" t="s">
        <v>221</v>
      </c>
      <c r="H67" s="86">
        <f t="shared" si="8"/>
        <v>0.1330497939</v>
      </c>
      <c r="I67" s="27">
        <f t="shared" si="4"/>
        <v>140.1546529</v>
      </c>
      <c r="J67" s="34">
        <f t="shared" si="5"/>
        <v>1.13398</v>
      </c>
    </row>
    <row r="68">
      <c r="A68" s="110">
        <v>301010.0</v>
      </c>
      <c r="B68" s="111">
        <v>972.0</v>
      </c>
      <c r="C68" s="110">
        <v>57.6</v>
      </c>
      <c r="D68" s="113">
        <f t="shared" si="1"/>
        <v>914.4</v>
      </c>
      <c r="E68" s="114">
        <v>159.0</v>
      </c>
      <c r="F68" s="113">
        <f t="shared" si="2"/>
        <v>813</v>
      </c>
      <c r="G68" s="25" t="s">
        <v>222</v>
      </c>
      <c r="H68" s="86">
        <f t="shared" si="8"/>
        <v>0.1330497939</v>
      </c>
      <c r="I68" s="27">
        <f t="shared" si="4"/>
        <v>121.6607316</v>
      </c>
      <c r="J68" s="34">
        <f t="shared" si="5"/>
        <v>1.13398</v>
      </c>
    </row>
    <row r="69">
      <c r="A69" s="110">
        <v>300078.0</v>
      </c>
      <c r="B69" s="111">
        <v>1032.0</v>
      </c>
      <c r="C69" s="110">
        <v>57.6</v>
      </c>
      <c r="D69" s="113">
        <f t="shared" si="1"/>
        <v>974.4</v>
      </c>
      <c r="E69" s="114">
        <v>211.0</v>
      </c>
      <c r="F69" s="113">
        <f t="shared" si="2"/>
        <v>821</v>
      </c>
      <c r="G69" s="25" t="s">
        <v>223</v>
      </c>
      <c r="H69" s="86">
        <f t="shared" si="8"/>
        <v>0.1330497939</v>
      </c>
      <c r="I69" s="27">
        <f t="shared" si="4"/>
        <v>129.6437192</v>
      </c>
      <c r="J69" s="34">
        <f t="shared" si="5"/>
        <v>1.13398</v>
      </c>
    </row>
    <row r="70">
      <c r="A70" s="110">
        <v>300038.0</v>
      </c>
      <c r="B70" s="111">
        <v>1049.0</v>
      </c>
      <c r="C70" s="110">
        <v>57.6</v>
      </c>
      <c r="D70" s="113">
        <f t="shared" si="1"/>
        <v>991.4</v>
      </c>
      <c r="E70" s="114">
        <v>232.0</v>
      </c>
      <c r="F70" s="113">
        <f t="shared" si="2"/>
        <v>817</v>
      </c>
      <c r="G70" s="25" t="s">
        <v>224</v>
      </c>
      <c r="H70" s="86">
        <f t="shared" si="8"/>
        <v>0.1330497939</v>
      </c>
      <c r="I70" s="27">
        <f t="shared" si="4"/>
        <v>131.9055657</v>
      </c>
      <c r="J70" s="34">
        <f t="shared" si="5"/>
        <v>1.13398</v>
      </c>
    </row>
    <row r="71">
      <c r="A71" s="110">
        <v>301036.0</v>
      </c>
      <c r="B71" s="111">
        <v>974.0</v>
      </c>
      <c r="C71" s="110">
        <v>57.6</v>
      </c>
      <c r="D71" s="113">
        <f t="shared" si="1"/>
        <v>916.4</v>
      </c>
      <c r="E71" s="114">
        <v>168.0</v>
      </c>
      <c r="F71" s="113">
        <f t="shared" si="2"/>
        <v>806</v>
      </c>
      <c r="G71" s="25" t="s">
        <v>225</v>
      </c>
      <c r="H71" s="86">
        <f t="shared" si="8"/>
        <v>0.1330497939</v>
      </c>
      <c r="I71" s="27">
        <f t="shared" si="4"/>
        <v>121.9268311</v>
      </c>
      <c r="J71" s="34">
        <f t="shared" si="5"/>
        <v>1.13398</v>
      </c>
    </row>
    <row r="72">
      <c r="A72" s="110">
        <v>301017.0</v>
      </c>
      <c r="B72" s="111">
        <v>923.0</v>
      </c>
      <c r="C72" s="110">
        <v>57.6</v>
      </c>
      <c r="D72" s="113">
        <f t="shared" si="1"/>
        <v>865.4</v>
      </c>
      <c r="E72" s="114">
        <v>160.0</v>
      </c>
      <c r="F72" s="113">
        <f t="shared" si="2"/>
        <v>763</v>
      </c>
      <c r="G72" s="25" t="s">
        <v>226</v>
      </c>
      <c r="H72" s="86">
        <f t="shared" si="8"/>
        <v>0.1330497939</v>
      </c>
      <c r="I72" s="27">
        <f t="shared" si="4"/>
        <v>115.1412917</v>
      </c>
      <c r="J72" s="34">
        <f t="shared" si="5"/>
        <v>1.13398</v>
      </c>
    </row>
    <row r="73">
      <c r="A73" s="110">
        <v>301064.0</v>
      </c>
      <c r="B73" s="111">
        <v>953.0</v>
      </c>
      <c r="C73" s="110">
        <v>57.6</v>
      </c>
      <c r="D73" s="113">
        <f t="shared" si="1"/>
        <v>895.4</v>
      </c>
      <c r="E73" s="114">
        <v>153.0</v>
      </c>
      <c r="F73" s="113">
        <f t="shared" si="2"/>
        <v>800</v>
      </c>
      <c r="G73" s="25" t="s">
        <v>227</v>
      </c>
      <c r="H73" s="86">
        <f t="shared" si="8"/>
        <v>0.1330497939</v>
      </c>
      <c r="I73" s="27">
        <f t="shared" si="4"/>
        <v>119.1327855</v>
      </c>
      <c r="J73" s="34">
        <f t="shared" si="5"/>
        <v>1.13398</v>
      </c>
    </row>
    <row r="74">
      <c r="A74" s="110">
        <v>301043.0</v>
      </c>
      <c r="B74" s="110">
        <v>941.0</v>
      </c>
      <c r="C74" s="110">
        <v>57.6</v>
      </c>
      <c r="D74" s="116">
        <f t="shared" si="1"/>
        <v>883.4</v>
      </c>
      <c r="E74" s="110">
        <v>163.5</v>
      </c>
      <c r="F74" s="116">
        <f t="shared" si="2"/>
        <v>777.5</v>
      </c>
      <c r="G74" s="3" t="s">
        <v>228</v>
      </c>
      <c r="H74" s="86">
        <f t="shared" si="8"/>
        <v>0.1330497939</v>
      </c>
      <c r="I74" s="34">
        <f t="shared" si="4"/>
        <v>117.5361879</v>
      </c>
      <c r="J74" s="34">
        <f t="shared" si="5"/>
        <v>1.13398</v>
      </c>
    </row>
    <row r="75">
      <c r="A75" s="110">
        <v>301025.0</v>
      </c>
      <c r="B75" s="110">
        <v>1043.0</v>
      </c>
      <c r="C75" s="110">
        <v>57.6</v>
      </c>
      <c r="D75" s="116">
        <f t="shared" si="1"/>
        <v>985.4</v>
      </c>
      <c r="E75" s="110">
        <v>273.0</v>
      </c>
      <c r="F75" s="116">
        <f t="shared" si="2"/>
        <v>770</v>
      </c>
      <c r="G75" s="3" t="s">
        <v>229</v>
      </c>
      <c r="H75" s="86">
        <f t="shared" si="8"/>
        <v>0.1330497939</v>
      </c>
      <c r="I75" s="34">
        <f t="shared" si="4"/>
        <v>131.1072669</v>
      </c>
      <c r="J75" s="34">
        <f t="shared" si="5"/>
        <v>1.13398</v>
      </c>
    </row>
    <row r="77">
      <c r="A77" s="3" t="s">
        <v>81</v>
      </c>
      <c r="B77" s="9">
        <f t="shared" ref="B77:F77" si="9">SUM(B11:B75)</f>
        <v>66221</v>
      </c>
      <c r="C77" s="9">
        <f t="shared" si="9"/>
        <v>3744</v>
      </c>
      <c r="D77" s="9">
        <f t="shared" si="9"/>
        <v>62477</v>
      </c>
      <c r="E77" s="9">
        <f t="shared" si="9"/>
        <v>8239.5</v>
      </c>
      <c r="F77" s="9">
        <f t="shared" si="9"/>
        <v>57981.5</v>
      </c>
      <c r="H77" s="34">
        <f>IFERROR(SUMPRODUCT(D11:D75,H11:H75)/SUMIF(H11:H75,"&lt;&gt;",D11:D75),"")</f>
        <v>0.1447020053</v>
      </c>
      <c r="I77" s="9">
        <f t="shared" ref="I77:J77" si="10">SUM(I11:I75)</f>
        <v>9040.547185</v>
      </c>
      <c r="J77" s="30">
        <f t="shared" si="10"/>
        <v>73.7087</v>
      </c>
    </row>
    <row r="79">
      <c r="A79" s="3" t="s">
        <v>230</v>
      </c>
      <c r="B79" s="8">
        <v>2.88</v>
      </c>
    </row>
  </sheetData>
  <mergeCells count="2">
    <mergeCell ref="B9:C9"/>
    <mergeCell ref="D9:E9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38"/>
    <col customWidth="1" min="3" max="5" width="23.88"/>
    <col customWidth="1" min="6" max="6" width="21.13"/>
    <col customWidth="1" min="7" max="7" width="20.88"/>
    <col customWidth="1" min="8" max="9" width="16.38"/>
    <col customWidth="1" min="10" max="10" width="35.13"/>
    <col customWidth="1" min="11" max="16" width="16.38"/>
  </cols>
  <sheetData>
    <row r="1">
      <c r="A1" s="1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13</v>
      </c>
      <c r="B2" s="3" t="s">
        <v>4</v>
      </c>
      <c r="L2" s="5"/>
      <c r="N2" s="3" t="s">
        <v>15</v>
      </c>
    </row>
    <row r="3">
      <c r="A3" s="3" t="s">
        <v>6</v>
      </c>
      <c r="B3" s="4">
        <v>46228.0</v>
      </c>
      <c r="L3" s="5"/>
      <c r="N3" s="3" t="s">
        <v>21</v>
      </c>
      <c r="O3" s="8">
        <v>2.20462</v>
      </c>
    </row>
    <row r="4">
      <c r="A4" s="3" t="s">
        <v>7</v>
      </c>
      <c r="B4" s="4">
        <v>46235.0</v>
      </c>
      <c r="L4" s="5"/>
      <c r="N4" s="3" t="s">
        <v>23</v>
      </c>
      <c r="O4" s="8">
        <v>0.453592</v>
      </c>
    </row>
    <row r="5">
      <c r="L5" s="5"/>
      <c r="N5" s="3" t="s">
        <v>117</v>
      </c>
      <c r="O5" s="58">
        <v>7.1E-4</v>
      </c>
    </row>
    <row r="6">
      <c r="L6" s="5"/>
      <c r="N6" s="3" t="s">
        <v>25</v>
      </c>
      <c r="O6" s="3" t="s">
        <v>26</v>
      </c>
    </row>
    <row r="7">
      <c r="N7" s="3" t="s">
        <v>101</v>
      </c>
      <c r="O7" s="8">
        <v>0.004</v>
      </c>
    </row>
    <row r="8">
      <c r="A8" s="1" t="s">
        <v>119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>
      <c r="A9" s="5" t="s">
        <v>38</v>
      </c>
      <c r="B9" s="5" t="s">
        <v>120</v>
      </c>
      <c r="C9" s="17" t="s">
        <v>121</v>
      </c>
      <c r="D9" s="17" t="s">
        <v>122</v>
      </c>
      <c r="E9" s="17" t="s">
        <v>124</v>
      </c>
      <c r="F9" s="5" t="s">
        <v>125</v>
      </c>
      <c r="G9" s="5" t="s">
        <v>126</v>
      </c>
      <c r="H9" s="17" t="s">
        <v>53</v>
      </c>
      <c r="I9" s="5" t="s">
        <v>56</v>
      </c>
      <c r="J9" s="5" t="s">
        <v>62</v>
      </c>
      <c r="K9" s="5" t="s">
        <v>99</v>
      </c>
      <c r="L9" s="5" t="s">
        <v>129</v>
      </c>
      <c r="M9" s="5"/>
      <c r="N9" s="5"/>
      <c r="O9" s="5"/>
    </row>
    <row r="10">
      <c r="A10" s="4"/>
      <c r="C10" s="23"/>
      <c r="D10" s="23"/>
      <c r="E10" s="23"/>
      <c r="F10" s="9"/>
      <c r="G10" s="9"/>
      <c r="H10" s="23"/>
    </row>
    <row r="11">
      <c r="A11" s="4"/>
      <c r="C11" s="23"/>
      <c r="D11" s="23"/>
      <c r="E11" s="23"/>
      <c r="F11" s="9"/>
      <c r="G11" s="9"/>
      <c r="H11" s="23"/>
    </row>
    <row r="12">
      <c r="A12" s="4"/>
      <c r="C12" s="23"/>
      <c r="D12" s="23"/>
      <c r="E12" s="23"/>
      <c r="F12" s="9"/>
      <c r="G12" s="9"/>
      <c r="H12" s="23"/>
    </row>
    <row r="13">
      <c r="A13" s="4"/>
      <c r="C13" s="23"/>
      <c r="D13" s="23"/>
      <c r="E13" s="23"/>
      <c r="F13" s="9"/>
      <c r="G13" s="9"/>
      <c r="H13" s="23"/>
    </row>
    <row r="14">
      <c r="C14" s="33"/>
      <c r="D14" s="33"/>
      <c r="E14" s="33"/>
      <c r="F14" s="9"/>
      <c r="G14" s="9"/>
      <c r="H14" s="33"/>
    </row>
    <row r="15">
      <c r="C15" s="33"/>
      <c r="D15" s="33"/>
      <c r="E15" s="33"/>
      <c r="F15" s="9"/>
      <c r="G15" s="9"/>
      <c r="H15" s="33"/>
    </row>
    <row r="16">
      <c r="C16" s="33"/>
      <c r="D16" s="33"/>
      <c r="E16" s="33"/>
      <c r="F16" s="9"/>
      <c r="G16" s="9"/>
      <c r="H16" s="33"/>
    </row>
    <row r="17">
      <c r="C17" s="33"/>
      <c r="D17" s="33"/>
      <c r="E17" s="33"/>
      <c r="F17" s="9"/>
      <c r="G17" s="9"/>
      <c r="H17" s="33"/>
    </row>
    <row r="18">
      <c r="C18" s="33"/>
      <c r="D18" s="33"/>
      <c r="E18" s="33"/>
      <c r="F18" s="9"/>
      <c r="G18" s="9"/>
      <c r="H18" s="33"/>
    </row>
    <row r="19">
      <c r="C19" s="33"/>
      <c r="D19" s="33"/>
      <c r="E19" s="33"/>
      <c r="F19" s="9"/>
      <c r="G19" s="9"/>
      <c r="H19" s="33"/>
    </row>
    <row r="20">
      <c r="C20" s="33"/>
      <c r="D20" s="33"/>
      <c r="E20" s="33"/>
      <c r="F20" s="9"/>
      <c r="G20" s="9"/>
      <c r="H20" s="33"/>
    </row>
    <row r="21">
      <c r="C21" s="33"/>
      <c r="D21" s="33"/>
      <c r="E21" s="33"/>
      <c r="F21" s="9"/>
      <c r="G21" s="9"/>
      <c r="H21" s="33"/>
    </row>
    <row r="22">
      <c r="C22" s="33"/>
      <c r="D22" s="33"/>
      <c r="E22" s="33"/>
      <c r="F22" s="9"/>
      <c r="G22" s="9"/>
      <c r="H22" s="33"/>
    </row>
    <row r="23">
      <c r="C23" s="33"/>
      <c r="D23" s="33"/>
      <c r="E23" s="33"/>
      <c r="F23" s="9"/>
      <c r="G23" s="9"/>
      <c r="H23" s="33"/>
    </row>
    <row r="24">
      <c r="C24" s="33"/>
      <c r="D24" s="33"/>
      <c r="E24" s="33"/>
      <c r="F24" s="9"/>
      <c r="G24" s="9"/>
      <c r="H24" s="33"/>
    </row>
    <row r="25">
      <c r="C25" s="9"/>
      <c r="D25" s="9"/>
      <c r="E25" s="9"/>
      <c r="F25" s="9"/>
      <c r="G25" s="9"/>
      <c r="H25" s="9"/>
    </row>
    <row r="26">
      <c r="A26" s="1"/>
      <c r="B26" s="2"/>
      <c r="C26" s="35"/>
      <c r="D26" s="35"/>
      <c r="E26" s="35"/>
      <c r="F26" s="35"/>
      <c r="G26" s="35"/>
      <c r="H26" s="35"/>
      <c r="I26" s="35"/>
      <c r="J26" s="2"/>
      <c r="K26" s="2"/>
      <c r="L26" s="2"/>
      <c r="M26" s="2"/>
      <c r="N26" s="2"/>
      <c r="O26" s="2"/>
      <c r="P26" s="2"/>
    </row>
    <row r="27">
      <c r="A27" s="5"/>
      <c r="B27" s="5"/>
      <c r="C27" s="39"/>
      <c r="D27" s="39"/>
      <c r="E27" s="39"/>
      <c r="F27" s="39"/>
      <c r="G27" s="39"/>
      <c r="H27" s="39"/>
      <c r="I27" s="39"/>
      <c r="J27" s="5"/>
      <c r="K27" s="7"/>
      <c r="L27" s="7"/>
      <c r="M27" s="7"/>
      <c r="N27" s="7"/>
      <c r="O27" s="7"/>
      <c r="P27" s="7"/>
    </row>
    <row r="28">
      <c r="A28" s="9"/>
      <c r="B28" s="9"/>
      <c r="C28" s="11"/>
      <c r="D28" s="11"/>
      <c r="E28" s="11"/>
      <c r="F28" s="9"/>
      <c r="G28" s="25"/>
      <c r="H28" s="25"/>
      <c r="I28" s="9"/>
    </row>
    <row r="29">
      <c r="C29" s="9"/>
      <c r="D29" s="9"/>
      <c r="E29" s="9"/>
      <c r="F29" s="9"/>
      <c r="G29" s="9"/>
      <c r="H29" s="9"/>
      <c r="I29" s="9"/>
    </row>
    <row r="30">
      <c r="C30" s="9"/>
      <c r="D30" s="9"/>
      <c r="E30" s="9"/>
      <c r="F30" s="9"/>
      <c r="G30" s="9"/>
      <c r="H30" s="9"/>
      <c r="I30" s="9"/>
    </row>
    <row r="31">
      <c r="A31" s="3" t="s">
        <v>109</v>
      </c>
    </row>
    <row r="32">
      <c r="A32" s="3" t="s">
        <v>159</v>
      </c>
      <c r="B32" s="3" t="s">
        <v>16</v>
      </c>
      <c r="E32" s="3" t="s">
        <v>17</v>
      </c>
      <c r="F32" s="3" t="s">
        <v>53</v>
      </c>
      <c r="G32" s="3" t="s">
        <v>85</v>
      </c>
      <c r="I32" s="3" t="s">
        <v>161</v>
      </c>
    </row>
    <row r="33">
      <c r="A33" s="34">
        <f>SUMIFS(F10:F29,B10:B29,"&lt;&gt;")</f>
        <v>0</v>
      </c>
      <c r="B33" s="34">
        <f>A33*$O$5</f>
        <v>0</v>
      </c>
      <c r="E33" s="34">
        <f>A33-B33</f>
        <v>0</v>
      </c>
      <c r="F33" s="34" t="str">
        <f>IFERROR(AVERAGE(H10:H29),"")</f>
        <v/>
      </c>
      <c r="G33" s="34" t="str">
        <f>IFERROR(__xludf.DUMMYFUNCTION("IFERROR(AVERAGE.WEIGHTED(J10:J29,G10:G29),"""")"),"")</f>
        <v/>
      </c>
      <c r="I33" s="34" t="str">
        <f>IFERROR(__xludf.DUMMYFUNCTION("TRIM(TEXTJOIN("", "",TRUE,IFERROR(FILTER(B10:B29,B10:B29&lt;&gt;""""),"""")))"),"")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18.88"/>
    <col customWidth="1" min="4" max="4" width="21.38"/>
  </cols>
  <sheetData>
    <row r="1">
      <c r="A1" s="61" t="s">
        <v>118</v>
      </c>
      <c r="B1" s="63"/>
      <c r="C1" s="63"/>
      <c r="D1" s="63"/>
      <c r="E1" s="63"/>
      <c r="F1" s="63"/>
      <c r="G1" s="63"/>
    </row>
    <row r="4">
      <c r="A4" s="69" t="s">
        <v>0</v>
      </c>
      <c r="B4" s="71"/>
      <c r="C4" s="71"/>
      <c r="D4" s="71"/>
      <c r="E4" s="71"/>
      <c r="F4" s="7"/>
      <c r="G4" s="7"/>
    </row>
    <row r="5">
      <c r="A5" s="5" t="s">
        <v>127</v>
      </c>
      <c r="B5" s="5" t="s">
        <v>128</v>
      </c>
      <c r="C5" s="5" t="s">
        <v>130</v>
      </c>
      <c r="D5" s="5" t="s">
        <v>131</v>
      </c>
      <c r="E5" s="5" t="s">
        <v>132</v>
      </c>
      <c r="F5" s="7"/>
      <c r="G5" s="7"/>
    </row>
    <row r="6">
      <c r="A6" s="3" t="s">
        <v>4</v>
      </c>
      <c r="B6" s="3" t="s">
        <v>79</v>
      </c>
      <c r="C6" s="3" t="s">
        <v>133</v>
      </c>
      <c r="D6" s="34">
        <f>COUNTA(QOWV!A11:A75)</f>
        <v>65</v>
      </c>
      <c r="E6" s="3" t="s">
        <v>134</v>
      </c>
    </row>
    <row r="8">
      <c r="A8" s="5" t="s">
        <v>136</v>
      </c>
      <c r="B8" s="26">
        <v>1201.0</v>
      </c>
      <c r="C8" s="7"/>
      <c r="D8" s="7"/>
      <c r="E8" s="7"/>
      <c r="F8" s="7"/>
      <c r="G8" s="7"/>
    </row>
    <row r="10">
      <c r="A10" s="69" t="s">
        <v>137</v>
      </c>
      <c r="B10" s="71"/>
      <c r="C10" s="71"/>
      <c r="D10" s="71"/>
      <c r="E10" s="71"/>
      <c r="F10" s="71"/>
      <c r="G10" s="71"/>
    </row>
    <row r="11">
      <c r="A11" s="5" t="s">
        <v>138</v>
      </c>
      <c r="B11" s="5" t="s">
        <v>139</v>
      </c>
      <c r="C11" s="5" t="s">
        <v>140</v>
      </c>
      <c r="D11" s="5" t="s">
        <v>141</v>
      </c>
      <c r="E11" s="5" t="s">
        <v>142</v>
      </c>
      <c r="F11" s="5" t="s">
        <v>143</v>
      </c>
      <c r="G11" s="5" t="s">
        <v>144</v>
      </c>
    </row>
    <row r="12">
      <c r="A12" s="3" t="s">
        <v>145</v>
      </c>
      <c r="B12" s="82">
        <v>46195.0</v>
      </c>
      <c r="C12" s="8">
        <v>38.0</v>
      </c>
      <c r="D12" s="8">
        <v>7.0</v>
      </c>
      <c r="E12" s="85">
        <f t="shared" ref="E12:E16" si="1">IFERROR(D12/C12,"")</f>
        <v>0.1842105263</v>
      </c>
      <c r="F12" s="34">
        <f t="shared" ref="F12:F16" si="2">$B$8</f>
        <v>1201</v>
      </c>
      <c r="G12" s="87">
        <f t="shared" ref="G12:G16" si="3">IFERROR(E12*F12,"")</f>
        <v>221.2368421</v>
      </c>
    </row>
    <row r="13">
      <c r="A13" s="3" t="s">
        <v>154</v>
      </c>
      <c r="B13" s="82">
        <v>46195.0</v>
      </c>
      <c r="C13" s="8">
        <v>40.0</v>
      </c>
      <c r="D13" s="8">
        <v>8.0</v>
      </c>
      <c r="E13" s="85">
        <f t="shared" si="1"/>
        <v>0.2</v>
      </c>
      <c r="F13" s="34">
        <f t="shared" si="2"/>
        <v>1201</v>
      </c>
      <c r="G13" s="87">
        <f t="shared" si="3"/>
        <v>240.2</v>
      </c>
    </row>
    <row r="14">
      <c r="A14" s="5" t="s">
        <v>156</v>
      </c>
      <c r="B14" s="88">
        <v>46202.0</v>
      </c>
      <c r="C14" s="26">
        <v>36.0</v>
      </c>
      <c r="D14" s="26">
        <v>18.0</v>
      </c>
      <c r="E14" s="89">
        <f t="shared" si="1"/>
        <v>0.5</v>
      </c>
      <c r="F14" s="7">
        <f t="shared" si="2"/>
        <v>1201</v>
      </c>
      <c r="G14" s="91">
        <f t="shared" si="3"/>
        <v>600.5</v>
      </c>
    </row>
    <row r="15">
      <c r="A15" s="5" t="s">
        <v>158</v>
      </c>
      <c r="B15" s="88">
        <v>46216.0</v>
      </c>
      <c r="C15" s="26">
        <v>40.0</v>
      </c>
      <c r="D15" s="26">
        <v>20.0</v>
      </c>
      <c r="E15" s="89">
        <f t="shared" si="1"/>
        <v>0.5</v>
      </c>
      <c r="F15" s="7">
        <f t="shared" si="2"/>
        <v>1201</v>
      </c>
      <c r="G15" s="91">
        <f t="shared" si="3"/>
        <v>600.5</v>
      </c>
    </row>
    <row r="16">
      <c r="A16" s="5" t="s">
        <v>160</v>
      </c>
      <c r="B16" s="82">
        <v>46219.0</v>
      </c>
      <c r="C16" s="8">
        <v>40.0</v>
      </c>
      <c r="D16" s="8">
        <v>12.0</v>
      </c>
      <c r="E16" s="85">
        <f t="shared" si="1"/>
        <v>0.3</v>
      </c>
      <c r="F16" s="34">
        <f t="shared" si="2"/>
        <v>1201</v>
      </c>
      <c r="G16" s="87">
        <f t="shared" si="3"/>
        <v>360.3</v>
      </c>
    </row>
    <row r="17">
      <c r="A17" s="5"/>
      <c r="B17" s="88"/>
      <c r="C17" s="5"/>
      <c r="D17" s="5"/>
      <c r="E17" s="89"/>
      <c r="F17" s="7"/>
      <c r="G17" s="91"/>
    </row>
    <row r="18">
      <c r="A18" s="5" t="s">
        <v>81</v>
      </c>
      <c r="B18" s="88"/>
      <c r="C18" s="39">
        <f t="shared" ref="C18:D18" si="4">SUM(C12:C16)</f>
        <v>194</v>
      </c>
      <c r="D18" s="5">
        <f t="shared" si="4"/>
        <v>65</v>
      </c>
      <c r="E18" s="89"/>
      <c r="F18" s="7"/>
      <c r="G18" s="91">
        <f>SUM(G12:G16)</f>
        <v>2022.736842</v>
      </c>
    </row>
    <row r="19">
      <c r="C19" s="27"/>
      <c r="G19" s="87"/>
    </row>
    <row r="20">
      <c r="A20" s="69" t="s">
        <v>163</v>
      </c>
      <c r="B20" s="71"/>
      <c r="C20" s="71"/>
      <c r="D20" s="71"/>
    </row>
    <row r="21">
      <c r="A21" s="5"/>
      <c r="B21" s="5"/>
      <c r="C21" s="5"/>
      <c r="D21" s="5"/>
      <c r="E21" s="5"/>
      <c r="F21" s="7"/>
      <c r="G21" s="7"/>
    </row>
    <row r="22">
      <c r="D22" s="92"/>
      <c r="F22" s="7"/>
    </row>
    <row r="23">
      <c r="D23" s="93"/>
    </row>
    <row r="24">
      <c r="A24" s="5"/>
      <c r="B24" s="7"/>
      <c r="C24" s="7"/>
      <c r="D24" s="94"/>
      <c r="E24" s="7"/>
    </row>
    <row r="25">
      <c r="A25" s="5"/>
      <c r="B25" s="5"/>
      <c r="C25" s="5"/>
      <c r="D25" s="5"/>
      <c r="E25" s="5"/>
    </row>
    <row r="26">
      <c r="C26" s="31"/>
    </row>
    <row r="27">
      <c r="C27" s="31"/>
    </row>
    <row r="28">
      <c r="C28" s="31"/>
    </row>
    <row r="29">
      <c r="C29" s="31"/>
    </row>
    <row r="30">
      <c r="C30" s="31"/>
    </row>
    <row r="31">
      <c r="C31" s="31"/>
    </row>
    <row r="32">
      <c r="C32" s="31"/>
    </row>
    <row r="33">
      <c r="C33" s="31"/>
      <c r="F33" s="7"/>
    </row>
    <row r="34">
      <c r="C34" s="31"/>
    </row>
    <row r="35">
      <c r="C35" s="31"/>
      <c r="F35" s="7"/>
    </row>
    <row r="36">
      <c r="C36" s="31"/>
      <c r="F36" s="7"/>
    </row>
    <row r="37">
      <c r="C37" s="31"/>
    </row>
    <row r="38">
      <c r="C38" s="31"/>
    </row>
    <row r="39">
      <c r="C39" s="31"/>
    </row>
    <row r="40">
      <c r="C40" s="31"/>
    </row>
    <row r="41">
      <c r="C41" s="31"/>
    </row>
    <row r="42">
      <c r="A42" s="5"/>
      <c r="B42" s="7"/>
      <c r="C42" s="7"/>
      <c r="D42" s="7"/>
      <c r="E42" s="7"/>
    </row>
    <row r="43">
      <c r="A43" s="5"/>
      <c r="B43" s="5"/>
      <c r="C43" s="5"/>
      <c r="D43" s="5"/>
      <c r="E43" s="5"/>
    </row>
    <row r="44">
      <c r="C44" s="31"/>
    </row>
    <row r="45">
      <c r="A45" s="5"/>
      <c r="B45" s="7"/>
      <c r="C45" s="7"/>
      <c r="D45" s="94"/>
      <c r="E45" s="7"/>
    </row>
    <row r="46">
      <c r="A46" s="5"/>
      <c r="B46" s="5"/>
      <c r="C46" s="5"/>
      <c r="D46" s="5"/>
      <c r="E46" s="5"/>
    </row>
    <row r="47">
      <c r="C47" s="31"/>
    </row>
    <row r="48">
      <c r="C48" s="31"/>
    </row>
    <row r="49">
      <c r="C49" s="31"/>
    </row>
    <row r="50">
      <c r="C50" s="31"/>
    </row>
    <row r="51">
      <c r="C51" s="31"/>
    </row>
    <row r="52">
      <c r="C52" s="31"/>
    </row>
    <row r="53">
      <c r="C53" s="31"/>
    </row>
    <row r="54">
      <c r="C54" s="31"/>
      <c r="F54" s="7"/>
    </row>
    <row r="55">
      <c r="A55" s="5"/>
      <c r="B55" s="7"/>
      <c r="C55" s="7"/>
      <c r="D55" s="94"/>
      <c r="E55" s="7"/>
    </row>
    <row r="56">
      <c r="A56" s="5"/>
      <c r="B56" s="5"/>
      <c r="C56" s="5"/>
      <c r="D56" s="5"/>
      <c r="E56" s="5"/>
      <c r="F56" s="7"/>
    </row>
    <row r="57">
      <c r="C57" s="31"/>
      <c r="F57" s="7"/>
    </row>
    <row r="58">
      <c r="A58" s="5"/>
      <c r="B58" s="7"/>
      <c r="C58" s="95"/>
      <c r="D58" s="94"/>
      <c r="E58" s="7"/>
    </row>
    <row r="59">
      <c r="A59" s="5"/>
      <c r="B59" s="5"/>
      <c r="C59" s="5"/>
      <c r="D59" s="5"/>
      <c r="E59" s="5"/>
    </row>
    <row r="60">
      <c r="C60" s="31"/>
    </row>
    <row r="61">
      <c r="A61" s="5"/>
      <c r="B61" s="7"/>
      <c r="C61" s="7"/>
      <c r="D61" s="94"/>
      <c r="E61" s="7"/>
    </row>
    <row r="62">
      <c r="A62" s="5"/>
      <c r="B62" s="5"/>
      <c r="C62" s="5"/>
      <c r="D62" s="5"/>
      <c r="E62" s="5"/>
    </row>
    <row r="63">
      <c r="C63" s="31"/>
    </row>
    <row r="64">
      <c r="C64" s="31"/>
    </row>
    <row r="65">
      <c r="C65" s="31"/>
    </row>
    <row r="66">
      <c r="C66" s="31"/>
    </row>
    <row r="67">
      <c r="C67" s="31"/>
    </row>
    <row r="68">
      <c r="C68" s="31"/>
    </row>
    <row r="69">
      <c r="C69" s="31"/>
    </row>
    <row r="70">
      <c r="C70" s="31"/>
    </row>
    <row r="71">
      <c r="C71" s="31"/>
    </row>
    <row r="72">
      <c r="A72" s="7"/>
      <c r="B72" s="7"/>
      <c r="C72" s="5"/>
      <c r="D72" s="7"/>
      <c r="E72" s="7"/>
      <c r="F72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5" t="s">
        <v>167</v>
      </c>
      <c r="B1" s="7"/>
      <c r="C1" s="7"/>
      <c r="D1" s="7"/>
      <c r="E1" s="7"/>
    </row>
    <row r="4">
      <c r="A4" s="69" t="s">
        <v>0</v>
      </c>
      <c r="B4" s="71"/>
      <c r="C4" s="71"/>
      <c r="D4" s="71"/>
      <c r="E4" s="71"/>
    </row>
    <row r="5">
      <c r="A5" s="5" t="s">
        <v>127</v>
      </c>
      <c r="B5" s="5" t="s">
        <v>128</v>
      </c>
      <c r="C5" s="5" t="s">
        <v>130</v>
      </c>
      <c r="D5" s="5" t="s">
        <v>131</v>
      </c>
      <c r="E5" s="5" t="s">
        <v>132</v>
      </c>
    </row>
    <row r="6">
      <c r="A6" s="3" t="s">
        <v>4</v>
      </c>
      <c r="B6" s="3" t="s">
        <v>106</v>
      </c>
      <c r="C6" s="3" t="s">
        <v>133</v>
      </c>
      <c r="D6" s="34">
        <f>COUNTA(WODO!A11:A24)</f>
        <v>0</v>
      </c>
      <c r="E6" s="3" t="s">
        <v>169</v>
      </c>
    </row>
    <row r="8">
      <c r="A8" s="3" t="s">
        <v>136</v>
      </c>
      <c r="B8" s="8">
        <v>1201.0</v>
      </c>
    </row>
    <row r="10">
      <c r="A10" s="69" t="s">
        <v>137</v>
      </c>
      <c r="B10" s="71"/>
      <c r="C10" s="71"/>
      <c r="D10" s="71"/>
      <c r="E10" s="71"/>
      <c r="F10" s="71"/>
      <c r="G10" s="71"/>
    </row>
    <row r="11">
      <c r="A11" s="5" t="s">
        <v>138</v>
      </c>
      <c r="B11" s="5" t="s">
        <v>139</v>
      </c>
      <c r="C11" s="5" t="s">
        <v>140</v>
      </c>
      <c r="D11" s="5" t="s">
        <v>141</v>
      </c>
      <c r="E11" s="5" t="s">
        <v>142</v>
      </c>
      <c r="F11" s="5" t="s">
        <v>143</v>
      </c>
      <c r="G11" s="5" t="s">
        <v>144</v>
      </c>
    </row>
    <row r="12">
      <c r="B12" s="93"/>
      <c r="E12" s="96"/>
      <c r="G12" s="9"/>
    </row>
    <row r="13">
      <c r="A13" s="5"/>
      <c r="B13" s="7"/>
      <c r="C13" s="7"/>
      <c r="D13" s="7"/>
      <c r="E13" s="97"/>
      <c r="F13" s="7"/>
      <c r="G13" s="98"/>
    </row>
    <row r="15">
      <c r="A15" s="69"/>
      <c r="B15" s="71"/>
      <c r="C15" s="71"/>
      <c r="D15" s="71"/>
    </row>
    <row r="16">
      <c r="A16" s="5"/>
      <c r="B16" s="5"/>
      <c r="C16" s="5"/>
      <c r="D16" s="5"/>
    </row>
    <row r="17">
      <c r="C17" s="9"/>
      <c r="D17" s="99"/>
    </row>
    <row r="19">
      <c r="A19" s="5"/>
      <c r="B19" s="7"/>
      <c r="C19" s="7"/>
      <c r="D19" s="7"/>
      <c r="E19" s="7"/>
    </row>
    <row r="20">
      <c r="A20" s="5"/>
      <c r="B20" s="5"/>
      <c r="C20" s="5"/>
      <c r="D20" s="5"/>
      <c r="E20" s="5"/>
    </row>
    <row r="21">
      <c r="C21" s="31"/>
    </row>
    <row r="22">
      <c r="C22" s="31"/>
    </row>
    <row r="23">
      <c r="C23" s="31"/>
    </row>
    <row r="24">
      <c r="C24" s="31"/>
      <c r="D24" s="93"/>
    </row>
    <row r="25">
      <c r="C25" s="31"/>
      <c r="D25" s="93"/>
    </row>
    <row r="26">
      <c r="C26" s="31"/>
      <c r="D26" s="93"/>
    </row>
    <row r="27">
      <c r="C27" s="31"/>
      <c r="D27" s="93"/>
    </row>
    <row r="28">
      <c r="C28" s="31"/>
      <c r="D28" s="93"/>
    </row>
    <row r="29">
      <c r="C29" s="31"/>
      <c r="D29" s="93"/>
    </row>
    <row r="30">
      <c r="C30" s="31"/>
      <c r="D30" s="93"/>
    </row>
    <row r="31">
      <c r="C31" s="31"/>
      <c r="D31" s="93"/>
    </row>
    <row r="32">
      <c r="C32" s="31"/>
      <c r="D32" s="93"/>
    </row>
    <row r="33">
      <c r="C33" s="31"/>
      <c r="D33" s="93"/>
    </row>
    <row r="34">
      <c r="C34" s="31"/>
      <c r="D34" s="93"/>
    </row>
  </sheetData>
  <drawing r:id="rId1"/>
</worksheet>
</file>