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<sst xmlns="http://schemas.openxmlformats.org/spreadsheetml/2006/main" count="32" uniqueCount="32">
  <si>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</si>
  <si>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</si>
  <si>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</si>
  <si>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</si>
  <si>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</si>
  <si>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</si>
  <si>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</si>
  <si>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</si>
  <si>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</si>
  <si>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</si>
  <si>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</si>
  <si>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</si>
  <si>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</si>
  <si>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BO Density (kg/L)</t>
  </si>
  <si>
    <t>Conversions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</si>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</sst>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3" xfId="0" applyAlignment="1" applyFill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7.13"/>
    <col customWidth="1" min="3" max="3" width="11.63"/>
    <col customWidth="1" min="4" max="4" width="20.75"/>
    <col customWidth="1" min="7" max="7" width="2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1</v>
      </c>
      <c r="B2" s="2"/>
      <c r="C2" s="2"/>
      <c r="D2" s="1" t="s">
        <v>2</v>
      </c>
      <c r="E2" s="2"/>
      <c r="F2" s="2"/>
      <c r="G2" s="1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4</v>
      </c>
      <c r="B3" s="3">
        <v>19110.5909047857</v>
      </c>
      <c r="C3" s="2"/>
      <c r="D3" s="1" t="s">
        <v>5</v>
      </c>
      <c r="E3" s="1" t="s">
        <v>6</v>
      </c>
      <c r="F3" s="2"/>
      <c r="G3" s="1" t="s">
        <v>7</v>
      </c>
      <c r="H3" s="1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9</v>
      </c>
      <c r="B4" s="3">
        <v>1.03348843411132E7</v>
      </c>
      <c r="C4" s="2"/>
      <c r="D4" s="4" t="s">
        <v>10</v>
      </c>
      <c r="E4" s="4">
        <v>0.34</v>
      </c>
      <c r="F4" s="2"/>
      <c r="G4" s="4">
        <f t="shared" ref="G4:G5" si="1">E4*$B$18</f>
        <v>4.851122588</v>
      </c>
      <c r="H4" s="4">
        <f t="shared" ref="H4:H5" si="2">G4*B21</f>
        <v>130.9803099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11</v>
      </c>
      <c r="B5" s="5">
        <v>17.4069692846486</v>
      </c>
      <c r="C5" s="2"/>
      <c r="D5" s="4" t="s">
        <v>12</v>
      </c>
      <c r="E5" s="4">
        <v>1.01</v>
      </c>
      <c r="F5" s="2"/>
      <c r="G5" s="4">
        <f t="shared" si="1"/>
        <v>14.41068769</v>
      </c>
      <c r="H5" s="4">
        <f t="shared" si="2"/>
        <v>3934.117738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13</v>
      </c>
      <c r="B6" s="4">
        <v>1.22</v>
      </c>
      <c r="C6" s="2"/>
      <c r="D6" s="4"/>
      <c r="E6" s="4"/>
      <c r="F6" s="2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14</v>
      </c>
      <c r="B8" s="2"/>
      <c r="C8" s="2"/>
      <c r="D8" s="2"/>
      <c r="E8" s="2"/>
      <c r="F8" s="2"/>
      <c r="G8" s="1" t="s"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16</v>
      </c>
      <c r="B9" s="4">
        <f>B5*B4</f>
        <v>179899014.3</v>
      </c>
      <c r="C9" s="2"/>
      <c r="D9" s="2"/>
      <c r="E9" s="2"/>
      <c r="F9" s="2"/>
      <c r="G9" s="1" t="s">
        <v>17</v>
      </c>
      <c r="H9" s="2"/>
      <c r="I9" s="4">
        <f>SUM(H4:H5)</f>
        <v>4065.098048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18</v>
      </c>
      <c r="B10" s="4">
        <f>B9/B3</f>
        <v>9413.576753</v>
      </c>
      <c r="C10" s="2"/>
      <c r="D10" s="2"/>
      <c r="E10" s="2"/>
      <c r="F10" s="2"/>
      <c r="G10" s="1" t="s">
        <v>19</v>
      </c>
      <c r="H10" s="2"/>
      <c r="I10" s="4">
        <f>I9/1000000</f>
        <v>0.004065098048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20</v>
      </c>
      <c r="B11" s="4">
        <f>B10/1000</f>
        <v>9.413576753</v>
      </c>
      <c r="C11" s="2"/>
      <c r="D11" s="2"/>
      <c r="E11" s="2"/>
      <c r="F11" s="2"/>
      <c r="G11" s="1" t="s">
        <v>21</v>
      </c>
      <c r="H11" s="2"/>
      <c r="I11" s="5">
        <v>0.133052027800741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22</v>
      </c>
      <c r="B12" s="4">
        <f>1000/B11</f>
        <v>106.2295476</v>
      </c>
      <c r="C12" s="2"/>
      <c r="D12" s="2"/>
      <c r="E12" s="2"/>
      <c r="F12" s="2"/>
      <c r="G12" s="1" t="s">
        <v>23</v>
      </c>
      <c r="H12" s="2"/>
      <c r="I12" s="4">
        <f>SUM(I10:I11)</f>
        <v>0.1371171258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24</v>
      </c>
      <c r="B14" s="4">
        <f>B3*1000</f>
        <v>19110590.9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25</v>
      </c>
      <c r="B15" s="4">
        <f>B14/B4</f>
        <v>1.849134473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26</v>
      </c>
      <c r="B16" s="4">
        <f>1000/B6</f>
        <v>819.6721311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27</v>
      </c>
      <c r="B17" s="4">
        <f>B15*B16</f>
        <v>1515.683994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28</v>
      </c>
      <c r="B18" s="4">
        <f>(B17/1000)*B11</f>
        <v>14.26800761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30</v>
      </c>
      <c r="B21" s="4">
        <v>27.0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31</v>
      </c>
      <c r="B22" s="4">
        <v>273.0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drawing r:id="rId1"/>
</worksheet>
</file>