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Charm WODO 2026" sheetId="2" r:id="rId6"/>
  </sheets>
  <definedNames/>
  <calcPr/>
</workbook>
</file>

<file path=xl/sharedStrings.xml><?xml version="1.0" encoding="utf-8"?>
<sst xmlns="http://schemas.openxmlformats.org/spreadsheetml/2006/main" count="30" uniqueCount="21">
  <si>
    <t>Tag Number</t>
  </si>
  <si>
    <t>Tote Full Weight (kg)</t>
  </si>
  <si>
    <t>Tote Empty Weight (kg)</t>
  </si>
  <si>
    <t>Net Weight of Oil in Tote</t>
  </si>
  <si>
    <t>Tote Tare Weight (kg)</t>
  </si>
  <si>
    <t>Loss (kg)</t>
  </si>
  <si>
    <t>Loss %</t>
  </si>
  <si>
    <t>Number of Totes</t>
  </si>
  <si>
    <t>Average Loss (kg)</t>
  </si>
  <si>
    <t>Loss Premium</t>
  </si>
  <si>
    <t>Std Dev (kg)</t>
  </si>
  <si>
    <t>Computed Loss</t>
  </si>
  <si>
    <t>&gt;&gt; STANDARD LOSS FACTOR (Mean + 1 SD)</t>
  </si>
  <si>
    <t>Average Loss + Premium (kg)</t>
  </si>
  <si>
    <t>kg / tote</t>
  </si>
  <si>
    <t>Average Loss (%)</t>
  </si>
  <si>
    <t>Actual Loss (kg)</t>
  </si>
  <si>
    <t>--</t>
  </si>
  <si>
    <t>— legacy: Loss Premium</t>
  </si>
  <si>
    <t>— legacy: Mean + Premium (kg)</t>
  </si>
  <si>
    <t>Tote tare assumed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</si>
</sst>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rgb="FFFFFFFF"/>
      <name val="Arial"/>
      <scheme val="minor"/>
    </font>
    <font>
      <i/>
      <color rgb="FF7F7F7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33A854"/>
        <bgColor rgb="FF33A854"/>
      </patternFill>
    </fill>
  </fills>
  <borders count="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2" fontId="1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0" fontId="2" numFmtId="2" xfId="0" applyFont="1" applyNumberFormat="1"/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1" numFmtId="0" xfId="0" applyFont="1"/>
    <xf borderId="1" fillId="3" fontId="5" numFmtId="0" xfId="0" applyAlignment="1" applyBorder="1" applyFill="1" applyFont="1">
      <alignment readingOrder="0" vertical="center"/>
    </xf>
    <xf borderId="2" fillId="3" fontId="5" numFmtId="2" xfId="0" applyAlignment="1" applyBorder="1" applyFill="1" applyFont="1" applyNumberFormat="1">
      <alignment readingOrder="0" vertical="center"/>
    </xf>
    <xf borderId="3" fillId="3" fontId="5" numFmtId="0" xfId="0" applyAlignment="1" applyBorder="1" applyFill="1" applyFont="1">
      <alignment readingOrder="0" vertical="center"/>
    </xf>
    <xf borderId="0" fillId="0" fontId="6" numFmtId="0" xfId="0" applyAlignment="1" applyFont="1">
      <alignment readingOrder="0"/>
    </xf>
    <xf borderId="0" fillId="0" fontId="6" numFmtId="9" xfId="0" applyAlignment="1" applyFont="1" applyNumberForma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3" max="3" width="19.0"/>
    <col customWidth="1" min="4" max="5" width="17.88"/>
    <col customWidth="1" min="9" max="9" width="26.63"/>
    <col customWidth="1" min="11" max="11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tr">
        <f>trim(1237)</f>
        <v>1237</v>
      </c>
      <c r="B2" s="4">
        <v>1035.0</v>
      </c>
      <c r="C2" s="4">
        <v>62.6</v>
      </c>
      <c r="D2" s="4">
        <f t="shared" ref="D2:D60" si="1">B2-E2</f>
        <v>977.4</v>
      </c>
      <c r="E2" s="4">
        <v>57.6</v>
      </c>
      <c r="F2" s="5">
        <f t="shared" ref="F2:F60" si="2">C2-E2</f>
        <v>5</v>
      </c>
      <c r="G2" s="6">
        <f t="shared" ref="G2:G60" si="3">F2/D2</f>
        <v>0.00511561285</v>
      </c>
      <c r="I2" s="4" t="s">
        <v>7</v>
      </c>
      <c r="J2" s="4">
        <v>59.0</v>
      </c>
    </row>
    <row r="3">
      <c r="A3" s="3" t="str">
        <f>trim(1259)</f>
        <v>1259</v>
      </c>
      <c r="B3" s="4">
        <v>1016.5</v>
      </c>
      <c r="C3" s="4">
        <v>57.61</v>
      </c>
      <c r="D3" s="4">
        <f t="shared" si="1"/>
        <v>958.9</v>
      </c>
      <c r="E3" s="4">
        <v>57.6</v>
      </c>
      <c r="F3" s="5">
        <f t="shared" si="2"/>
        <v>0.01</v>
      </c>
      <c r="G3" s="6">
        <f t="shared" si="3"/>
        <v>0.00001042861612</v>
      </c>
    </row>
    <row r="4">
      <c r="A4" s="9" t="str">
        <f>trim(197684)</f>
        <v>197684</v>
      </c>
      <c r="B4" s="4">
        <v>870.0</v>
      </c>
      <c r="C4" s="4">
        <v>61.69</v>
      </c>
      <c r="D4" s="4">
        <f t="shared" si="1"/>
        <v>812.4</v>
      </c>
      <c r="E4" s="4">
        <v>57.6</v>
      </c>
      <c r="F4" s="5">
        <f t="shared" si="2"/>
        <v>4.09</v>
      </c>
      <c r="G4" s="6">
        <f t="shared" si="3"/>
        <v>0.00503446578</v>
      </c>
    </row>
    <row r="5">
      <c r="A5" s="3" t="str">
        <f>trim(197293)</f>
        <v>197293</v>
      </c>
      <c r="B5" s="4">
        <v>1168.5</v>
      </c>
      <c r="C5" s="4">
        <v>58.06</v>
      </c>
      <c r="D5" s="4">
        <f t="shared" si="1"/>
        <v>1110.9</v>
      </c>
      <c r="E5" s="4">
        <v>57.6</v>
      </c>
      <c r="F5" s="5">
        <f t="shared" si="2"/>
        <v>0.46</v>
      </c>
      <c r="G5" s="6">
        <f t="shared" si="3"/>
        <v>0.0004140786749</v>
      </c>
    </row>
    <row r="6">
      <c r="A6" s="3" t="str">
        <f>trim(197201)</f>
        <v>197201</v>
      </c>
      <c r="B6" s="4">
        <v>978.5</v>
      </c>
      <c r="C6" s="4">
        <v>58.06</v>
      </c>
      <c r="D6" s="4">
        <f t="shared" si="1"/>
        <v>920.9</v>
      </c>
      <c r="E6" s="4">
        <v>57.6</v>
      </c>
      <c r="F6" s="5">
        <f t="shared" si="2"/>
        <v>0.46</v>
      </c>
      <c r="G6" s="6">
        <f t="shared" si="3"/>
        <v>0.0004995113476</v>
      </c>
      <c r="I6" s="8" t="s">
        <v>8</v>
      </c>
      <c r="J6" s="5">
        <f>AVERAGE(F2:F60)</f>
        <v>4.266779661</v>
      </c>
    </row>
    <row r="7">
      <c r="A7" s="9" t="str">
        <f>trim(197662)</f>
        <v>197662</v>
      </c>
      <c r="B7" s="4">
        <v>1060.5</v>
      </c>
      <c r="C7" s="4">
        <v>58.97</v>
      </c>
      <c r="D7" s="4">
        <f t="shared" si="1"/>
        <v>1002.9</v>
      </c>
      <c r="E7" s="4">
        <v>57.6</v>
      </c>
      <c r="F7" s="5">
        <f t="shared" si="2"/>
        <v>1.37</v>
      </c>
      <c r="G7" s="6">
        <f t="shared" si="3"/>
        <v>0.001366038488</v>
      </c>
      <c r="I7" s="8" t="s">
        <v>9</v>
      </c>
      <c r="J7" s="13">
        <v>0.25</v>
      </c>
    </row>
    <row r="8">
      <c r="A8" s="9" t="str">
        <f>trim(197637)</f>
        <v>197637</v>
      </c>
      <c r="B8" s="4">
        <v>1036.0</v>
      </c>
      <c r="C8" s="4">
        <v>58.97</v>
      </c>
      <c r="D8" s="4">
        <f t="shared" si="1"/>
        <v>978.4</v>
      </c>
      <c r="E8" s="4">
        <v>57.6</v>
      </c>
      <c r="F8" s="5">
        <f t="shared" si="2"/>
        <v>1.37</v>
      </c>
      <c r="G8" s="6">
        <f t="shared" si="3"/>
        <v>0.001400245298</v>
      </c>
    </row>
    <row r="9">
      <c r="A9" s="9" t="str">
        <f>trim(197682)</f>
        <v>197682</v>
      </c>
      <c r="B9" s="4">
        <v>1238.0</v>
      </c>
      <c r="C9" s="4">
        <v>59.87</v>
      </c>
      <c r="D9" s="4">
        <f t="shared" si="1"/>
        <v>1180.4</v>
      </c>
      <c r="E9" s="4">
        <v>57.6</v>
      </c>
      <c r="F9" s="5">
        <f t="shared" si="2"/>
        <v>2.27</v>
      </c>
      <c r="G9" s="6">
        <f t="shared" si="3"/>
        <v>0.001923076923</v>
      </c>
      <c r="I9" s="15"/>
      <c r="K9" s="8" t="s">
        <v>11</v>
      </c>
    </row>
    <row r="10">
      <c r="A10" s="9" t="str">
        <f>trim(197689)</f>
        <v>197689</v>
      </c>
      <c r="B10" s="4">
        <v>968.0</v>
      </c>
      <c r="C10" s="4">
        <v>59.87</v>
      </c>
      <c r="D10" s="4">
        <f t="shared" si="1"/>
        <v>910.4</v>
      </c>
      <c r="E10" s="4">
        <v>57.6</v>
      </c>
      <c r="F10" s="5">
        <f t="shared" si="2"/>
        <v>2.27</v>
      </c>
      <c r="G10" s="6">
        <f t="shared" si="3"/>
        <v>0.00249340949</v>
      </c>
      <c r="I10" s="8" t="s">
        <v>13</v>
      </c>
      <c r="J10" s="5">
        <f>J6*(1+J7)</f>
        <v>5.333474576</v>
      </c>
      <c r="K10" s="5">
        <f>J10*J2</f>
        <v>314.675</v>
      </c>
    </row>
    <row r="11">
      <c r="A11" s="9" t="str">
        <f>trim(197601)</f>
        <v>197601</v>
      </c>
      <c r="B11" s="4">
        <v>1147.5</v>
      </c>
      <c r="C11" s="4">
        <v>62.6</v>
      </c>
      <c r="D11" s="4">
        <f t="shared" si="1"/>
        <v>1089.9</v>
      </c>
      <c r="E11" s="4">
        <v>57.6</v>
      </c>
      <c r="F11" s="5">
        <f t="shared" si="2"/>
        <v>5</v>
      </c>
      <c r="G11" s="6">
        <f t="shared" si="3"/>
        <v>0.004587576842</v>
      </c>
      <c r="I11" s="8" t="s">
        <v>16</v>
      </c>
      <c r="J11" s="4" t="s">
        <v>17</v>
      </c>
      <c r="K11" s="5">
        <f>SUM(F2:F60)</f>
        <v>251.74</v>
      </c>
    </row>
    <row r="12">
      <c r="A12" s="9" t="str">
        <f>trim(197672)</f>
        <v>197672</v>
      </c>
      <c r="B12" s="4">
        <v>943.5</v>
      </c>
      <c r="C12" s="4">
        <v>60.78</v>
      </c>
      <c r="D12" s="4">
        <f t="shared" si="1"/>
        <v>885.9</v>
      </c>
      <c r="E12" s="4">
        <v>57.6</v>
      </c>
      <c r="F12" s="5">
        <f t="shared" si="2"/>
        <v>3.18</v>
      </c>
      <c r="G12" s="6">
        <f t="shared" si="3"/>
        <v>0.003589569929</v>
      </c>
    </row>
    <row r="13">
      <c r="A13" s="9" t="str">
        <f>trim(197667)</f>
        <v>197667</v>
      </c>
      <c r="B13" s="4">
        <v>1051.0</v>
      </c>
      <c r="C13" s="4">
        <v>75.3</v>
      </c>
      <c r="D13" s="4">
        <f t="shared" si="1"/>
        <v>980.7</v>
      </c>
      <c r="E13" s="4">
        <v>70.3</v>
      </c>
      <c r="F13" s="5">
        <f t="shared" si="2"/>
        <v>5</v>
      </c>
      <c r="G13" s="6">
        <f t="shared" si="3"/>
        <v>0.005098399103</v>
      </c>
    </row>
    <row r="14">
      <c r="A14" s="9" t="str">
        <f>trim(197650)</f>
        <v>197650</v>
      </c>
      <c r="B14" s="4">
        <v>1046.0</v>
      </c>
      <c r="C14" s="4">
        <v>75.3</v>
      </c>
      <c r="D14" s="4">
        <f t="shared" si="1"/>
        <v>975.7</v>
      </c>
      <c r="E14" s="4">
        <v>70.3</v>
      </c>
      <c r="F14" s="5">
        <f t="shared" si="2"/>
        <v>5</v>
      </c>
      <c r="G14" s="6">
        <f t="shared" si="3"/>
        <v>0.005124525981</v>
      </c>
    </row>
    <row r="15">
      <c r="A15" s="9" t="str">
        <f>trim(197629)</f>
        <v>197629</v>
      </c>
      <c r="B15" s="4">
        <v>1066.0</v>
      </c>
      <c r="C15" s="4">
        <v>58.97</v>
      </c>
      <c r="D15" s="4">
        <f t="shared" si="1"/>
        <v>1008.4</v>
      </c>
      <c r="E15" s="4">
        <v>57.6</v>
      </c>
      <c r="F15" s="5">
        <f t="shared" si="2"/>
        <v>1.37</v>
      </c>
      <c r="G15" s="6">
        <f t="shared" si="3"/>
        <v>0.001358587862</v>
      </c>
    </row>
    <row r="16">
      <c r="A16" s="9" t="str">
        <f>trim(197951)</f>
        <v>197951</v>
      </c>
      <c r="B16" s="4">
        <v>1101.0</v>
      </c>
      <c r="C16" s="4">
        <v>60.78</v>
      </c>
      <c r="D16" s="4">
        <f t="shared" si="1"/>
        <v>1043.4</v>
      </c>
      <c r="E16" s="4">
        <v>57.6</v>
      </c>
      <c r="F16" s="5">
        <f t="shared" si="2"/>
        <v>3.18</v>
      </c>
      <c r="G16" s="6">
        <f t="shared" si="3"/>
        <v>0.00304772858</v>
      </c>
    </row>
    <row r="17">
      <c r="A17" s="9" t="str">
        <f>trim(197692)</f>
        <v>197692</v>
      </c>
      <c r="B17" s="4">
        <v>1064.0</v>
      </c>
      <c r="C17" s="4">
        <v>62.6</v>
      </c>
      <c r="D17" s="4">
        <f t="shared" si="1"/>
        <v>1006.4</v>
      </c>
      <c r="E17" s="4">
        <v>57.6</v>
      </c>
      <c r="F17" s="5">
        <f t="shared" si="2"/>
        <v>5</v>
      </c>
      <c r="G17" s="6">
        <f t="shared" si="3"/>
        <v>0.004968203498</v>
      </c>
    </row>
    <row r="18">
      <c r="A18" s="9" t="str">
        <f>trim(197925)</f>
        <v>197925</v>
      </c>
      <c r="B18" s="4">
        <v>1055.0</v>
      </c>
      <c r="C18" s="4">
        <v>61.69</v>
      </c>
      <c r="D18" s="4">
        <f t="shared" si="1"/>
        <v>997.4</v>
      </c>
      <c r="E18" s="4">
        <v>57.6</v>
      </c>
      <c r="F18" s="5">
        <f t="shared" si="2"/>
        <v>4.09</v>
      </c>
      <c r="G18" s="6">
        <f t="shared" si="3"/>
        <v>0.00410066172</v>
      </c>
    </row>
    <row r="19">
      <c r="A19" s="9" t="str">
        <f>trim(197913)</f>
        <v>197913</v>
      </c>
      <c r="B19" s="4">
        <v>1058.0</v>
      </c>
      <c r="C19" s="4">
        <v>59.87</v>
      </c>
      <c r="D19" s="4">
        <f t="shared" si="1"/>
        <v>1000.4</v>
      </c>
      <c r="E19" s="4">
        <v>57.6</v>
      </c>
      <c r="F19" s="5">
        <f t="shared" si="2"/>
        <v>2.27</v>
      </c>
      <c r="G19" s="6">
        <f t="shared" si="3"/>
        <v>0.002269092363</v>
      </c>
    </row>
    <row r="20">
      <c r="A20" s="9" t="str">
        <f>trim(197932)</f>
        <v>197932</v>
      </c>
      <c r="B20" s="4">
        <v>1030.0</v>
      </c>
      <c r="C20" s="4">
        <v>61.69</v>
      </c>
      <c r="D20" s="4">
        <f t="shared" si="1"/>
        <v>972.4</v>
      </c>
      <c r="E20" s="4">
        <v>57.6</v>
      </c>
      <c r="F20" s="5">
        <f t="shared" si="2"/>
        <v>4.09</v>
      </c>
      <c r="G20" s="6">
        <f t="shared" si="3"/>
        <v>0.00420608803</v>
      </c>
    </row>
    <row r="21">
      <c r="A21" s="9" t="str">
        <f>trim(197916)</f>
        <v>197916</v>
      </c>
      <c r="B21" s="4">
        <v>1075.0</v>
      </c>
      <c r="C21" s="4">
        <v>61.69</v>
      </c>
      <c r="D21" s="4">
        <f t="shared" si="1"/>
        <v>1017.4</v>
      </c>
      <c r="E21" s="4">
        <v>57.6</v>
      </c>
      <c r="F21" s="5">
        <f t="shared" si="2"/>
        <v>4.09</v>
      </c>
      <c r="G21" s="6">
        <f t="shared" si="3"/>
        <v>0.004020051111</v>
      </c>
    </row>
    <row r="22">
      <c r="A22" s="9" t="str">
        <f>trim(197945)</f>
        <v>197945</v>
      </c>
      <c r="B22" s="4">
        <v>1127.0</v>
      </c>
      <c r="C22" s="4">
        <v>62.6</v>
      </c>
      <c r="D22" s="4">
        <f t="shared" si="1"/>
        <v>1069.4</v>
      </c>
      <c r="E22" s="4">
        <v>57.6</v>
      </c>
      <c r="F22" s="5">
        <f t="shared" si="2"/>
        <v>5</v>
      </c>
      <c r="G22" s="6">
        <f t="shared" si="3"/>
        <v>0.004675518983</v>
      </c>
    </row>
    <row r="23">
      <c r="A23" s="9" t="str">
        <f>trim(197991)</f>
        <v>197991</v>
      </c>
      <c r="B23" s="4">
        <v>1175.0</v>
      </c>
      <c r="C23" s="4">
        <v>61.69</v>
      </c>
      <c r="D23" s="4">
        <f t="shared" si="1"/>
        <v>1117.4</v>
      </c>
      <c r="E23" s="4">
        <v>57.6</v>
      </c>
      <c r="F23" s="5">
        <f t="shared" si="2"/>
        <v>4.09</v>
      </c>
      <c r="G23" s="6">
        <f t="shared" si="3"/>
        <v>0.003660282799</v>
      </c>
    </row>
    <row r="24">
      <c r="A24" s="9" t="str">
        <f>trim(197938)</f>
        <v>197938</v>
      </c>
      <c r="B24" s="4">
        <v>1133.5</v>
      </c>
      <c r="C24" s="4">
        <v>61.69</v>
      </c>
      <c r="D24" s="4">
        <f t="shared" si="1"/>
        <v>1075.9</v>
      </c>
      <c r="E24" s="4">
        <v>57.6</v>
      </c>
      <c r="F24" s="5">
        <f t="shared" si="2"/>
        <v>4.09</v>
      </c>
      <c r="G24" s="6">
        <f t="shared" si="3"/>
        <v>0.003801468538</v>
      </c>
    </row>
    <row r="25">
      <c r="A25" s="9" t="str">
        <f>trim(197924)</f>
        <v>197924</v>
      </c>
      <c r="B25" s="4">
        <v>1155.0</v>
      </c>
      <c r="C25" s="4">
        <v>60.78</v>
      </c>
      <c r="D25" s="4">
        <f t="shared" si="1"/>
        <v>1097.4</v>
      </c>
      <c r="E25" s="4">
        <v>57.6</v>
      </c>
      <c r="F25" s="5">
        <f t="shared" si="2"/>
        <v>3.18</v>
      </c>
      <c r="G25" s="6">
        <f t="shared" si="3"/>
        <v>0.002897758338</v>
      </c>
    </row>
    <row r="26">
      <c r="A26" s="9" t="str">
        <f>trim(197921)</f>
        <v>197921</v>
      </c>
      <c r="B26" s="4">
        <v>1095.0</v>
      </c>
      <c r="C26" s="4">
        <v>61.69</v>
      </c>
      <c r="D26" s="4">
        <f t="shared" si="1"/>
        <v>1037.4</v>
      </c>
      <c r="E26" s="4">
        <v>57.6</v>
      </c>
      <c r="F26" s="5">
        <f t="shared" si="2"/>
        <v>4.09</v>
      </c>
      <c r="G26" s="6">
        <f t="shared" si="3"/>
        <v>0.003942548679</v>
      </c>
    </row>
    <row r="27">
      <c r="A27" s="9" t="str">
        <f>trim(197937)</f>
        <v>197937</v>
      </c>
      <c r="B27" s="4">
        <v>1071.0</v>
      </c>
      <c r="C27" s="4">
        <v>58.06</v>
      </c>
      <c r="D27" s="4">
        <f t="shared" si="1"/>
        <v>1013.4</v>
      </c>
      <c r="E27" s="4">
        <v>57.6</v>
      </c>
      <c r="F27" s="5">
        <f t="shared" si="2"/>
        <v>0.46</v>
      </c>
      <c r="G27" s="6">
        <f t="shared" si="3"/>
        <v>0.0004539175054</v>
      </c>
    </row>
    <row r="28">
      <c r="A28" s="9" t="str">
        <f>trim(197967)</f>
        <v>197967</v>
      </c>
      <c r="B28" s="4">
        <v>1233.5</v>
      </c>
      <c r="C28" s="4">
        <v>59.87</v>
      </c>
      <c r="D28" s="4">
        <f t="shared" si="1"/>
        <v>1175.9</v>
      </c>
      <c r="E28" s="4">
        <v>57.6</v>
      </c>
      <c r="F28" s="5">
        <f t="shared" si="2"/>
        <v>2.27</v>
      </c>
      <c r="G28" s="6">
        <f t="shared" si="3"/>
        <v>0.001930436262</v>
      </c>
    </row>
    <row r="29">
      <c r="A29" s="9" t="str">
        <f>trim(198000)</f>
        <v>198000</v>
      </c>
      <c r="B29" s="4">
        <v>1158.0</v>
      </c>
      <c r="C29" s="4">
        <v>63.5</v>
      </c>
      <c r="D29" s="4">
        <f t="shared" si="1"/>
        <v>1100.4</v>
      </c>
      <c r="E29" s="4">
        <v>57.6</v>
      </c>
      <c r="F29" s="5">
        <f t="shared" si="2"/>
        <v>5.9</v>
      </c>
      <c r="G29" s="6">
        <f t="shared" si="3"/>
        <v>0.005361686659</v>
      </c>
    </row>
    <row r="30">
      <c r="A30" s="9" t="str">
        <f>trim(197944)</f>
        <v>197944</v>
      </c>
      <c r="B30" s="4">
        <v>1081.0</v>
      </c>
      <c r="C30" s="4">
        <v>65.32</v>
      </c>
      <c r="D30" s="4">
        <f t="shared" si="1"/>
        <v>1023.4</v>
      </c>
      <c r="E30" s="4">
        <v>57.6</v>
      </c>
      <c r="F30" s="5">
        <f t="shared" si="2"/>
        <v>7.72</v>
      </c>
      <c r="G30" s="6">
        <f t="shared" si="3"/>
        <v>0.007543482509</v>
      </c>
    </row>
    <row r="31">
      <c r="A31" s="9" t="str">
        <f>trim(197979)</f>
        <v>197979</v>
      </c>
      <c r="B31" s="4">
        <v>1088.0</v>
      </c>
      <c r="C31" s="4">
        <v>68.04</v>
      </c>
      <c r="D31" s="4">
        <f t="shared" si="1"/>
        <v>1030.4</v>
      </c>
      <c r="E31" s="4">
        <v>57.6</v>
      </c>
      <c r="F31" s="5">
        <f t="shared" si="2"/>
        <v>10.44</v>
      </c>
      <c r="G31" s="6">
        <f t="shared" si="3"/>
        <v>0.01013198758</v>
      </c>
    </row>
    <row r="32">
      <c r="A32" s="9" t="str">
        <f>trim(197983)</f>
        <v>197983</v>
      </c>
      <c r="B32" s="4">
        <v>1120.0</v>
      </c>
      <c r="C32" s="4">
        <v>58.06</v>
      </c>
      <c r="D32" s="4">
        <f t="shared" si="1"/>
        <v>1062.4</v>
      </c>
      <c r="E32" s="4">
        <v>57.6</v>
      </c>
      <c r="F32" s="5">
        <f t="shared" si="2"/>
        <v>0.46</v>
      </c>
      <c r="G32" s="6">
        <f t="shared" si="3"/>
        <v>0.0004329819277</v>
      </c>
    </row>
    <row r="33">
      <c r="A33" s="9" t="str">
        <f>trim(197990)</f>
        <v>197990</v>
      </c>
      <c r="B33" s="4">
        <v>1058.0</v>
      </c>
      <c r="C33" s="4">
        <v>67.13</v>
      </c>
      <c r="D33" s="4">
        <f t="shared" si="1"/>
        <v>1000.4</v>
      </c>
      <c r="E33" s="4">
        <v>57.6</v>
      </c>
      <c r="F33" s="5">
        <f t="shared" si="2"/>
        <v>9.53</v>
      </c>
      <c r="G33" s="6">
        <f t="shared" si="3"/>
        <v>0.009526189524</v>
      </c>
    </row>
    <row r="34">
      <c r="A34" s="9" t="str">
        <f>trim(197985)</f>
        <v>197985</v>
      </c>
      <c r="B34" s="4">
        <v>1134.0</v>
      </c>
      <c r="C34" s="4">
        <v>58.06</v>
      </c>
      <c r="D34" s="4">
        <f t="shared" si="1"/>
        <v>1076.4</v>
      </c>
      <c r="E34" s="4">
        <v>57.6</v>
      </c>
      <c r="F34" s="5">
        <f t="shared" si="2"/>
        <v>0.46</v>
      </c>
      <c r="G34" s="6">
        <f t="shared" si="3"/>
        <v>0.0004273504274</v>
      </c>
    </row>
    <row r="35">
      <c r="A35" s="9" t="str">
        <f>trim(197978)</f>
        <v>197978</v>
      </c>
      <c r="B35" s="4">
        <v>1187.0</v>
      </c>
      <c r="C35" s="4">
        <v>63.96</v>
      </c>
      <c r="D35" s="4">
        <f t="shared" si="1"/>
        <v>1129.4</v>
      </c>
      <c r="E35" s="4">
        <v>57.6</v>
      </c>
      <c r="F35" s="5">
        <f t="shared" si="2"/>
        <v>6.36</v>
      </c>
      <c r="G35" s="6">
        <f t="shared" si="3"/>
        <v>0.005631308659</v>
      </c>
    </row>
    <row r="36">
      <c r="A36" s="9" t="str">
        <f>trim(197986)</f>
        <v>197986</v>
      </c>
      <c r="B36" s="4">
        <v>1219.0</v>
      </c>
      <c r="C36" s="4">
        <v>59.42</v>
      </c>
      <c r="D36" s="4">
        <f t="shared" si="1"/>
        <v>1161.4</v>
      </c>
      <c r="E36" s="4">
        <v>57.6</v>
      </c>
      <c r="F36" s="5">
        <f t="shared" si="2"/>
        <v>1.82</v>
      </c>
      <c r="G36" s="6">
        <f t="shared" si="3"/>
        <v>0.001567074221</v>
      </c>
    </row>
    <row r="37">
      <c r="A37" s="9" t="str">
        <f>trim(197998)</f>
        <v>197998</v>
      </c>
      <c r="B37" s="4">
        <v>1132.0</v>
      </c>
      <c r="C37" s="4">
        <v>59.42</v>
      </c>
      <c r="D37" s="4">
        <f t="shared" si="1"/>
        <v>1074.4</v>
      </c>
      <c r="E37" s="4">
        <v>57.6</v>
      </c>
      <c r="F37" s="5">
        <f t="shared" si="2"/>
        <v>1.82</v>
      </c>
      <c r="G37" s="6">
        <f t="shared" si="3"/>
        <v>0.001693968727</v>
      </c>
    </row>
    <row r="38">
      <c r="A38" s="9" t="str">
        <f>trim(200641)</f>
        <v>200641</v>
      </c>
      <c r="B38" s="4">
        <v>1174.0</v>
      </c>
      <c r="C38" s="4">
        <v>62.6</v>
      </c>
      <c r="D38" s="4">
        <f t="shared" si="1"/>
        <v>1116.4</v>
      </c>
      <c r="E38" s="4">
        <v>57.6</v>
      </c>
      <c r="F38" s="5">
        <f t="shared" si="2"/>
        <v>5</v>
      </c>
      <c r="G38" s="6">
        <f t="shared" si="3"/>
        <v>0.004478681476</v>
      </c>
    </row>
    <row r="39">
      <c r="A39" s="9" t="str">
        <f>trim(200676)</f>
        <v>200676</v>
      </c>
      <c r="B39" s="4">
        <v>1089.0</v>
      </c>
      <c r="C39" s="4">
        <v>60.33</v>
      </c>
      <c r="D39" s="4">
        <f t="shared" si="1"/>
        <v>1031.4</v>
      </c>
      <c r="E39" s="4">
        <v>57.6</v>
      </c>
      <c r="F39" s="5">
        <f t="shared" si="2"/>
        <v>2.73</v>
      </c>
      <c r="G39" s="6">
        <f t="shared" si="3"/>
        <v>0.002646887725</v>
      </c>
    </row>
    <row r="40">
      <c r="A40" s="9" t="str">
        <f>trim(200652)</f>
        <v>200652</v>
      </c>
      <c r="B40" s="4">
        <v>1206.0</v>
      </c>
      <c r="C40" s="4">
        <v>68.49</v>
      </c>
      <c r="D40" s="4">
        <f t="shared" si="1"/>
        <v>1148.4</v>
      </c>
      <c r="E40" s="4">
        <v>57.6</v>
      </c>
      <c r="F40" s="5">
        <f t="shared" si="2"/>
        <v>10.89</v>
      </c>
      <c r="G40" s="6">
        <f t="shared" si="3"/>
        <v>0.009482758621</v>
      </c>
    </row>
    <row r="41">
      <c r="A41" s="9" t="str">
        <f>trim(200673)</f>
        <v>200673</v>
      </c>
      <c r="B41" s="4">
        <v>1117.0</v>
      </c>
      <c r="C41" s="4">
        <v>61.23</v>
      </c>
      <c r="D41" s="4">
        <f t="shared" si="1"/>
        <v>1059.4</v>
      </c>
      <c r="E41" s="4">
        <v>57.6</v>
      </c>
      <c r="F41" s="5">
        <f t="shared" si="2"/>
        <v>3.63</v>
      </c>
      <c r="G41" s="6">
        <f t="shared" si="3"/>
        <v>0.003426467812</v>
      </c>
    </row>
    <row r="42">
      <c r="A42" s="9" t="str">
        <f>trim(200689)</f>
        <v>200689</v>
      </c>
      <c r="B42" s="4">
        <v>1182.0</v>
      </c>
      <c r="C42" s="4">
        <v>62.6</v>
      </c>
      <c r="D42" s="4">
        <f t="shared" si="1"/>
        <v>1124.4</v>
      </c>
      <c r="E42" s="4">
        <v>57.6</v>
      </c>
      <c r="F42" s="5">
        <f t="shared" si="2"/>
        <v>5</v>
      </c>
      <c r="G42" s="6">
        <f t="shared" si="3"/>
        <v>0.00444681608</v>
      </c>
    </row>
    <row r="43">
      <c r="A43" s="9" t="str">
        <f>trim(200660)</f>
        <v>200660</v>
      </c>
      <c r="B43" s="4">
        <v>1088.0</v>
      </c>
      <c r="C43" s="4">
        <v>67.59</v>
      </c>
      <c r="D43" s="4">
        <f t="shared" si="1"/>
        <v>1030.4</v>
      </c>
      <c r="E43" s="4">
        <v>57.6</v>
      </c>
      <c r="F43" s="5">
        <f t="shared" si="2"/>
        <v>9.99</v>
      </c>
      <c r="G43" s="6">
        <f t="shared" si="3"/>
        <v>0.009695263975</v>
      </c>
    </row>
    <row r="44">
      <c r="A44" s="9" t="str">
        <f>trim(200684)</f>
        <v>200684</v>
      </c>
      <c r="B44" s="4">
        <v>1167.0</v>
      </c>
      <c r="C44" s="4">
        <v>58.97</v>
      </c>
      <c r="D44" s="4">
        <f t="shared" si="1"/>
        <v>1109.4</v>
      </c>
      <c r="E44" s="4">
        <v>57.6</v>
      </c>
      <c r="F44" s="5">
        <f t="shared" si="2"/>
        <v>1.37</v>
      </c>
      <c r="G44" s="6">
        <f t="shared" si="3"/>
        <v>0.001234901749</v>
      </c>
    </row>
    <row r="45">
      <c r="A45" s="9" t="str">
        <f>trim(200645)</f>
        <v>200645</v>
      </c>
      <c r="B45" s="4">
        <v>1183.0</v>
      </c>
      <c r="C45" s="4">
        <v>61.23</v>
      </c>
      <c r="D45" s="4">
        <f t="shared" si="1"/>
        <v>1125.4</v>
      </c>
      <c r="E45" s="4">
        <v>57.6</v>
      </c>
      <c r="F45" s="5">
        <f t="shared" si="2"/>
        <v>3.63</v>
      </c>
      <c r="G45" s="6">
        <f t="shared" si="3"/>
        <v>0.003225519815</v>
      </c>
    </row>
    <row r="46">
      <c r="A46" s="9" t="str">
        <f>trim(200656)</f>
        <v>200656</v>
      </c>
      <c r="B46" s="4">
        <v>1052.0</v>
      </c>
      <c r="C46" s="4">
        <v>62.6</v>
      </c>
      <c r="D46" s="4">
        <f t="shared" si="1"/>
        <v>994.4</v>
      </c>
      <c r="E46" s="4">
        <v>57.6</v>
      </c>
      <c r="F46" s="5">
        <f t="shared" si="2"/>
        <v>5</v>
      </c>
      <c r="G46" s="6">
        <f t="shared" si="3"/>
        <v>0.005028157683</v>
      </c>
    </row>
    <row r="47">
      <c r="A47" s="9" t="str">
        <f>trim(200691-1)</f>
        <v>200690</v>
      </c>
      <c r="B47" s="4">
        <v>1048.0</v>
      </c>
      <c r="C47" s="4">
        <v>67.59</v>
      </c>
      <c r="D47" s="4">
        <f t="shared" si="1"/>
        <v>990.4</v>
      </c>
      <c r="E47" s="4">
        <v>57.6</v>
      </c>
      <c r="F47" s="5">
        <f t="shared" si="2"/>
        <v>9.99</v>
      </c>
      <c r="G47" s="6">
        <f t="shared" si="3"/>
        <v>0.0100868336</v>
      </c>
    </row>
    <row r="48">
      <c r="A48" s="9" t="str">
        <f>trim(200693)</f>
        <v>200693</v>
      </c>
      <c r="B48" s="4">
        <v>1134.0</v>
      </c>
      <c r="C48" s="4">
        <v>58.97</v>
      </c>
      <c r="D48" s="4">
        <f t="shared" si="1"/>
        <v>1076.4</v>
      </c>
      <c r="E48" s="4">
        <v>57.6</v>
      </c>
      <c r="F48" s="5">
        <f t="shared" si="2"/>
        <v>1.37</v>
      </c>
      <c r="G48" s="6">
        <f t="shared" si="3"/>
        <v>0.001272761055</v>
      </c>
    </row>
    <row r="49">
      <c r="A49" s="9" t="str">
        <f>trim(200602)</f>
        <v>200602</v>
      </c>
      <c r="B49" s="4">
        <v>1092.0</v>
      </c>
      <c r="C49" s="4">
        <v>61.2</v>
      </c>
      <c r="D49" s="4">
        <f t="shared" si="1"/>
        <v>1034.4</v>
      </c>
      <c r="E49" s="4">
        <v>57.6</v>
      </c>
      <c r="F49" s="5">
        <f t="shared" si="2"/>
        <v>3.6</v>
      </c>
      <c r="G49" s="6">
        <f t="shared" si="3"/>
        <v>0.003480278422</v>
      </c>
    </row>
    <row r="50">
      <c r="A50" s="9" t="str">
        <f>trim(200697)</f>
        <v>200697</v>
      </c>
      <c r="B50" s="4">
        <v>1044.0</v>
      </c>
      <c r="C50" s="4">
        <v>63.96</v>
      </c>
      <c r="D50" s="4">
        <f t="shared" si="1"/>
        <v>986.4</v>
      </c>
      <c r="E50" s="4">
        <v>57.6</v>
      </c>
      <c r="F50" s="5">
        <f t="shared" si="2"/>
        <v>6.36</v>
      </c>
      <c r="G50" s="6">
        <f t="shared" si="3"/>
        <v>0.006447688564</v>
      </c>
    </row>
    <row r="51">
      <c r="A51" s="9" t="str">
        <f>trim(200624)</f>
        <v>200624</v>
      </c>
      <c r="B51" s="4">
        <v>1077.0</v>
      </c>
      <c r="C51" s="4">
        <v>68.04</v>
      </c>
      <c r="D51" s="4">
        <f t="shared" si="1"/>
        <v>1019.4</v>
      </c>
      <c r="E51" s="4">
        <v>57.6</v>
      </c>
      <c r="F51" s="5">
        <f t="shared" si="2"/>
        <v>10.44</v>
      </c>
      <c r="G51" s="6">
        <f t="shared" si="3"/>
        <v>0.01024131842</v>
      </c>
    </row>
    <row r="52">
      <c r="A52" s="9" t="str">
        <f>trim(19597)</f>
        <v>19597</v>
      </c>
      <c r="B52" s="4">
        <v>1092.0</v>
      </c>
      <c r="C52" s="4">
        <v>62.14</v>
      </c>
      <c r="D52" s="4">
        <f t="shared" si="1"/>
        <v>1034.4</v>
      </c>
      <c r="E52" s="4">
        <v>57.6</v>
      </c>
      <c r="F52" s="5">
        <f t="shared" si="2"/>
        <v>4.54</v>
      </c>
      <c r="G52" s="6">
        <f t="shared" si="3"/>
        <v>0.004389017788</v>
      </c>
    </row>
    <row r="53">
      <c r="A53" s="9" t="str">
        <f>trim(19572)</f>
        <v>19572</v>
      </c>
      <c r="B53" s="4">
        <v>1099.0</v>
      </c>
      <c r="C53" s="4">
        <v>60.78</v>
      </c>
      <c r="D53" s="4">
        <f t="shared" si="1"/>
        <v>1041.4</v>
      </c>
      <c r="E53" s="4">
        <v>57.6</v>
      </c>
      <c r="F53" s="5">
        <f t="shared" si="2"/>
        <v>3.18</v>
      </c>
      <c r="G53" s="6">
        <f t="shared" si="3"/>
        <v>0.003053581717</v>
      </c>
    </row>
    <row r="54">
      <c r="A54" s="9" t="str">
        <f>trim(200674)</f>
        <v>200674</v>
      </c>
      <c r="B54" s="4">
        <v>1176.0</v>
      </c>
      <c r="C54" s="4">
        <v>63.96</v>
      </c>
      <c r="D54" s="4">
        <f t="shared" si="1"/>
        <v>1118.4</v>
      </c>
      <c r="E54" s="4">
        <v>57.6</v>
      </c>
      <c r="F54" s="5">
        <f t="shared" si="2"/>
        <v>6.36</v>
      </c>
      <c r="G54" s="6">
        <f t="shared" si="3"/>
        <v>0.005686695279</v>
      </c>
    </row>
    <row r="55">
      <c r="A55" s="9" t="str">
        <f>trim(197232)</f>
        <v>197232</v>
      </c>
      <c r="B55" s="4">
        <v>1135.5</v>
      </c>
      <c r="C55" s="4">
        <v>62.0</v>
      </c>
      <c r="D55" s="4">
        <f t="shared" si="1"/>
        <v>1077.9</v>
      </c>
      <c r="E55" s="4">
        <v>57.6</v>
      </c>
      <c r="F55" s="5">
        <f t="shared" si="2"/>
        <v>4.4</v>
      </c>
      <c r="G55" s="6">
        <f t="shared" si="3"/>
        <v>0.004082011318</v>
      </c>
    </row>
    <row r="56">
      <c r="A56" s="9" t="str">
        <f>trim(197668)</f>
        <v>197668</v>
      </c>
      <c r="B56" s="4">
        <v>972.5</v>
      </c>
      <c r="C56" s="4">
        <v>62.0</v>
      </c>
      <c r="D56" s="4">
        <f t="shared" si="1"/>
        <v>914.9</v>
      </c>
      <c r="E56" s="4">
        <v>57.6</v>
      </c>
      <c r="F56" s="5">
        <f t="shared" si="2"/>
        <v>4.4</v>
      </c>
      <c r="G56" s="6">
        <f t="shared" si="3"/>
        <v>0.004809268773</v>
      </c>
    </row>
    <row r="57">
      <c r="A57" s="9" t="str">
        <f>trim(19511)</f>
        <v>19511</v>
      </c>
      <c r="B57" s="4">
        <v>1151.0</v>
      </c>
      <c r="C57" s="4">
        <v>62.5</v>
      </c>
      <c r="D57" s="4">
        <f t="shared" si="1"/>
        <v>1093.4</v>
      </c>
      <c r="E57" s="4">
        <v>57.6</v>
      </c>
      <c r="F57" s="5">
        <f t="shared" si="2"/>
        <v>4.9</v>
      </c>
      <c r="G57" s="6">
        <f t="shared" si="3"/>
        <v>0.004481434059</v>
      </c>
    </row>
    <row r="58">
      <c r="A58" s="9" t="str">
        <f>trim(19570)</f>
        <v>19570</v>
      </c>
      <c r="B58" s="4">
        <v>1018.0</v>
      </c>
      <c r="C58" s="4">
        <v>68.5</v>
      </c>
      <c r="D58" s="4">
        <f t="shared" si="1"/>
        <v>960.4</v>
      </c>
      <c r="E58" s="4">
        <v>57.6</v>
      </c>
      <c r="F58" s="5">
        <f t="shared" si="2"/>
        <v>10.9</v>
      </c>
      <c r="G58" s="6">
        <f t="shared" si="3"/>
        <v>0.01134943773</v>
      </c>
    </row>
    <row r="59">
      <c r="A59" s="9" t="str">
        <f>trim(200618)</f>
        <v>200618</v>
      </c>
      <c r="B59" s="4">
        <v>1073.0</v>
      </c>
      <c r="C59" s="4">
        <v>61.0</v>
      </c>
      <c r="D59" s="4">
        <f t="shared" si="1"/>
        <v>1015.4</v>
      </c>
      <c r="E59" s="4">
        <v>57.6</v>
      </c>
      <c r="F59" s="5">
        <f t="shared" si="2"/>
        <v>3.4</v>
      </c>
      <c r="G59" s="6">
        <f t="shared" si="3"/>
        <v>0.003348434115</v>
      </c>
    </row>
    <row r="60">
      <c r="A60" s="9" t="str">
        <f>trim(200623)</f>
        <v>200623</v>
      </c>
      <c r="B60" s="4">
        <v>1144.0</v>
      </c>
      <c r="C60" s="4">
        <v>61.0</v>
      </c>
      <c r="D60" s="4">
        <f t="shared" si="1"/>
        <v>1086.4</v>
      </c>
      <c r="E60" s="4">
        <v>57.6</v>
      </c>
      <c r="F60" s="5">
        <f t="shared" si="2"/>
        <v>3.4</v>
      </c>
      <c r="G60" s="6">
        <f t="shared" si="3"/>
        <v>0.003129602356</v>
      </c>
    </row>
    <row r="62">
      <c r="G6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9.38"/>
    <col customWidth="1" min="3" max="3" width="9.5"/>
    <col customWidth="1" min="4" max="4" width="11.38"/>
    <col customWidth="1" min="5" max="5" width="9.38"/>
    <col customWidth="1" min="6" max="6" width="7.75"/>
    <col customWidth="1" min="7" max="7" width="6.0"/>
    <col customWidth="1" min="9" max="9" width="39.38"/>
    <col customWidth="1" min="10" max="10" width="33.5"/>
    <col customWidth="1" min="11" max="11" width="8.38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I1" s="8" t="s">
        <v>7</v>
      </c>
      <c r="J1" s="5">
        <f>COUNT(A2:A44)</f>
        <v>43</v>
      </c>
    </row>
    <row r="2">
      <c r="A2" s="4">
        <v>228021.0</v>
      </c>
      <c r="B2" s="10">
        <v>1120.0</v>
      </c>
      <c r="C2" s="10">
        <v>68.0388</v>
      </c>
      <c r="D2" s="5">
        <f t="shared" ref="D2:D44" si="1">B2-E2</f>
        <v>1062.4</v>
      </c>
      <c r="E2" s="10">
        <v>57.6</v>
      </c>
      <c r="F2" s="5">
        <f t="shared" ref="F2:F44" si="2">C2-E2</f>
        <v>10.4388</v>
      </c>
      <c r="G2" s="11">
        <f t="shared" ref="G2:G44" si="3">IF(D2=0,"",F2/D2)</f>
        <v>0.009825677711</v>
      </c>
      <c r="I2" s="8" t="s">
        <v>8</v>
      </c>
      <c r="J2" s="12">
        <f>ROUND(AVERAGE(F2:F44),4)</f>
        <v>4.7327</v>
      </c>
    </row>
    <row r="3">
      <c r="A3" s="4">
        <v>228026.0</v>
      </c>
      <c r="B3" s="10">
        <v>1178.0</v>
      </c>
      <c r="C3" s="10">
        <v>60.781328</v>
      </c>
      <c r="D3" s="5">
        <f t="shared" si="1"/>
        <v>1120.4</v>
      </c>
      <c r="E3" s="10">
        <v>57.6</v>
      </c>
      <c r="F3" s="5">
        <f t="shared" si="2"/>
        <v>3.181328</v>
      </c>
      <c r="G3" s="11">
        <f t="shared" si="3"/>
        <v>0.002839457337</v>
      </c>
      <c r="I3" s="8" t="s">
        <v>10</v>
      </c>
      <c r="J3" s="12">
        <f>ROUND(STDEV(F2:F44),4)</f>
        <v>3.1052</v>
      </c>
    </row>
    <row r="4">
      <c r="A4" s="4">
        <v>228032.0</v>
      </c>
      <c r="B4" s="10">
        <v>1140.0</v>
      </c>
      <c r="C4" s="10">
        <v>60.781328</v>
      </c>
      <c r="D4" s="5">
        <f t="shared" si="1"/>
        <v>1082.4</v>
      </c>
      <c r="E4" s="10">
        <v>57.6</v>
      </c>
      <c r="F4" s="5">
        <f t="shared" si="2"/>
        <v>3.181328</v>
      </c>
      <c r="G4" s="11">
        <f t="shared" si="3"/>
        <v>0.002939142646</v>
      </c>
      <c r="I4" s="8"/>
      <c r="J4" s="14"/>
    </row>
    <row r="5">
      <c r="A5" s="4">
        <v>228051.0</v>
      </c>
      <c r="B5" s="10">
        <v>1141.0</v>
      </c>
      <c r="C5" s="10">
        <v>58.96696</v>
      </c>
      <c r="D5" s="5">
        <f t="shared" si="1"/>
        <v>1083.4</v>
      </c>
      <c r="E5" s="10">
        <v>57.6</v>
      </c>
      <c r="F5" s="5">
        <f t="shared" si="2"/>
        <v>1.36696</v>
      </c>
      <c r="G5" s="11">
        <f t="shared" si="3"/>
        <v>0.001261731586</v>
      </c>
      <c r="I5" s="16" t="s">
        <v>12</v>
      </c>
      <c r="J5" s="17">
        <f>ROUND(J2+J3,2)</f>
        <v>7.84</v>
      </c>
      <c r="K5" s="18" t="s">
        <v>14</v>
      </c>
    </row>
    <row r="6">
      <c r="A6" s="4">
        <v>228065.0</v>
      </c>
      <c r="B6" s="10">
        <v>1233.0</v>
      </c>
      <c r="C6" s="10">
        <v>62.142103999999996</v>
      </c>
      <c r="D6" s="5">
        <f t="shared" si="1"/>
        <v>1175.4</v>
      </c>
      <c r="E6" s="10">
        <v>57.6</v>
      </c>
      <c r="F6" s="5">
        <f t="shared" si="2"/>
        <v>4.542104</v>
      </c>
      <c r="G6" s="11">
        <f t="shared" si="3"/>
        <v>0.003864304917</v>
      </c>
      <c r="I6" s="8"/>
    </row>
    <row r="7">
      <c r="A7" s="4">
        <v>228077.0</v>
      </c>
      <c r="B7" s="10">
        <v>1078.0</v>
      </c>
      <c r="C7" s="10">
        <v>63.956472</v>
      </c>
      <c r="D7" s="5">
        <f t="shared" si="1"/>
        <v>1020.4</v>
      </c>
      <c r="E7" s="10">
        <v>57.6</v>
      </c>
      <c r="F7" s="5">
        <f t="shared" si="2"/>
        <v>6.356472</v>
      </c>
      <c r="G7" s="11">
        <f t="shared" si="3"/>
        <v>0.006229392395</v>
      </c>
      <c r="I7" s="8" t="s">
        <v>15</v>
      </c>
      <c r="J7" s="11">
        <f>AVERAGE(G2:G44)</f>
        <v>0.004347905422</v>
      </c>
    </row>
    <row r="8">
      <c r="A8" s="4">
        <v>228459.0</v>
      </c>
      <c r="B8" s="10">
        <v>1201.0</v>
      </c>
      <c r="C8" s="10">
        <v>62.595696</v>
      </c>
      <c r="D8" s="5">
        <f t="shared" si="1"/>
        <v>1143.4</v>
      </c>
      <c r="E8" s="10">
        <v>57.6</v>
      </c>
      <c r="F8" s="5">
        <f t="shared" si="2"/>
        <v>4.995696</v>
      </c>
      <c r="G8" s="11">
        <f t="shared" si="3"/>
        <v>0.00436915865</v>
      </c>
      <c r="I8" s="19" t="s">
        <v>18</v>
      </c>
      <c r="J8" s="20">
        <v>0.25</v>
      </c>
    </row>
    <row r="9">
      <c r="A9" s="4">
        <v>300010.0</v>
      </c>
      <c r="B9" s="10">
        <v>1197.0</v>
      </c>
      <c r="C9" s="10">
        <v>67.131616</v>
      </c>
      <c r="D9" s="5">
        <f t="shared" si="1"/>
        <v>1139.4</v>
      </c>
      <c r="E9" s="10">
        <v>57.6</v>
      </c>
      <c r="F9" s="5">
        <f t="shared" si="2"/>
        <v>9.531616</v>
      </c>
      <c r="G9" s="11">
        <f t="shared" si="3"/>
        <v>0.008365469545</v>
      </c>
      <c r="I9" s="19" t="s">
        <v>19</v>
      </c>
      <c r="J9" s="21">
        <f>ROUND(J2*(1+J8),4)</f>
        <v>5.9159</v>
      </c>
    </row>
    <row r="10">
      <c r="A10" s="4">
        <v>300014.0</v>
      </c>
      <c r="B10" s="10">
        <v>1225.0</v>
      </c>
      <c r="C10" s="10">
        <v>64.410064</v>
      </c>
      <c r="D10" s="5">
        <f t="shared" si="1"/>
        <v>1167.4</v>
      </c>
      <c r="E10" s="10">
        <v>57.6</v>
      </c>
      <c r="F10" s="5">
        <f t="shared" si="2"/>
        <v>6.810064</v>
      </c>
      <c r="G10" s="11">
        <f t="shared" si="3"/>
        <v>0.005833530923</v>
      </c>
      <c r="I10" s="8" t="s">
        <v>20</v>
      </c>
      <c r="J10" s="10">
        <v>57.6</v>
      </c>
    </row>
    <row r="11">
      <c r="A11" s="4">
        <v>300018.0</v>
      </c>
      <c r="B11" s="10">
        <v>1244.0</v>
      </c>
      <c r="C11" s="10">
        <v>63.50288</v>
      </c>
      <c r="D11" s="5">
        <f t="shared" si="1"/>
        <v>1186.4</v>
      </c>
      <c r="E11" s="10">
        <v>57.6</v>
      </c>
      <c r="F11" s="5">
        <f t="shared" si="2"/>
        <v>5.90288</v>
      </c>
      <c r="G11" s="11">
        <f t="shared" si="3"/>
        <v>0.004975455158</v>
      </c>
      <c r="I11" s="8"/>
    </row>
    <row r="12">
      <c r="A12" s="4">
        <v>301007.0</v>
      </c>
      <c r="B12" s="10">
        <v>1129.0</v>
      </c>
      <c r="C12" s="10">
        <v>64.0</v>
      </c>
      <c r="D12" s="5">
        <f t="shared" si="1"/>
        <v>1071.4</v>
      </c>
      <c r="E12" s="10">
        <v>57.6</v>
      </c>
      <c r="F12" s="5">
        <f t="shared" si="2"/>
        <v>6.4</v>
      </c>
      <c r="G12" s="11">
        <f t="shared" si="3"/>
        <v>0.005973492626</v>
      </c>
      <c r="I12" s="8"/>
    </row>
    <row r="13">
      <c r="A13" s="4">
        <v>301023.0</v>
      </c>
      <c r="B13" s="10">
        <v>1194.0</v>
      </c>
      <c r="C13" s="10">
        <v>61.5</v>
      </c>
      <c r="D13" s="5">
        <f t="shared" si="1"/>
        <v>1136.4</v>
      </c>
      <c r="E13" s="10">
        <v>57.6</v>
      </c>
      <c r="F13" s="5">
        <f t="shared" si="2"/>
        <v>3.9</v>
      </c>
      <c r="G13" s="11">
        <f t="shared" si="3"/>
        <v>0.00343189018</v>
      </c>
    </row>
    <row r="14">
      <c r="A14" s="4">
        <v>301033.0</v>
      </c>
      <c r="B14" s="10">
        <v>1192.0</v>
      </c>
      <c r="C14" s="10">
        <v>66.5</v>
      </c>
      <c r="D14" s="5">
        <f t="shared" si="1"/>
        <v>1134.4</v>
      </c>
      <c r="E14" s="10">
        <v>57.6</v>
      </c>
      <c r="F14" s="5">
        <f t="shared" si="2"/>
        <v>8.9</v>
      </c>
      <c r="G14" s="11">
        <f t="shared" si="3"/>
        <v>0.007845557123</v>
      </c>
    </row>
    <row r="15">
      <c r="A15" s="4">
        <v>301058.0</v>
      </c>
      <c r="B15" s="10">
        <v>1200.0</v>
      </c>
      <c r="C15" s="10">
        <v>61.0</v>
      </c>
      <c r="D15" s="5">
        <f t="shared" si="1"/>
        <v>1142.4</v>
      </c>
      <c r="E15" s="10">
        <v>57.6</v>
      </c>
      <c r="F15" s="5">
        <f t="shared" si="2"/>
        <v>3.4</v>
      </c>
      <c r="G15" s="11">
        <f t="shared" si="3"/>
        <v>0.002976190476</v>
      </c>
    </row>
    <row r="16">
      <c r="A16" s="4">
        <v>301066.0</v>
      </c>
      <c r="B16" s="10">
        <v>1147.0</v>
      </c>
      <c r="C16" s="10">
        <v>70.0</v>
      </c>
      <c r="D16" s="5">
        <f t="shared" si="1"/>
        <v>1089.4</v>
      </c>
      <c r="E16" s="10">
        <v>57.6</v>
      </c>
      <c r="F16" s="5">
        <f t="shared" si="2"/>
        <v>12.4</v>
      </c>
      <c r="G16" s="11">
        <f t="shared" si="3"/>
        <v>0.01138241234</v>
      </c>
    </row>
    <row r="17">
      <c r="A17" s="4">
        <v>301098.0</v>
      </c>
      <c r="B17" s="10">
        <v>1172.0</v>
      </c>
      <c r="C17" s="10">
        <v>59.0</v>
      </c>
      <c r="D17" s="5">
        <f t="shared" si="1"/>
        <v>1114.4</v>
      </c>
      <c r="E17" s="10">
        <v>57.6</v>
      </c>
      <c r="F17" s="5">
        <f t="shared" si="2"/>
        <v>1.4</v>
      </c>
      <c r="G17" s="11">
        <f t="shared" si="3"/>
        <v>0.001256281407</v>
      </c>
    </row>
    <row r="18">
      <c r="A18" s="4">
        <v>301109.0</v>
      </c>
      <c r="B18" s="10">
        <v>1162.0</v>
      </c>
      <c r="C18" s="10">
        <v>69.0</v>
      </c>
      <c r="D18" s="5">
        <f t="shared" si="1"/>
        <v>1104.4</v>
      </c>
      <c r="E18" s="10">
        <v>57.6</v>
      </c>
      <c r="F18" s="5">
        <f t="shared" si="2"/>
        <v>11.4</v>
      </c>
      <c r="G18" s="11">
        <f t="shared" si="3"/>
        <v>0.01032234698</v>
      </c>
    </row>
    <row r="19">
      <c r="A19" s="4">
        <v>301113.0</v>
      </c>
      <c r="B19" s="10">
        <v>1196.0</v>
      </c>
      <c r="C19" s="10">
        <v>62.5</v>
      </c>
      <c r="D19" s="5">
        <f t="shared" si="1"/>
        <v>1138.4</v>
      </c>
      <c r="E19" s="10">
        <v>57.6</v>
      </c>
      <c r="F19" s="5">
        <f t="shared" si="2"/>
        <v>4.9</v>
      </c>
      <c r="G19" s="11">
        <f t="shared" si="3"/>
        <v>0.004304286718</v>
      </c>
    </row>
    <row r="20">
      <c r="A20" s="4">
        <v>301124.0</v>
      </c>
      <c r="B20" s="10">
        <v>1180.0</v>
      </c>
      <c r="C20" s="10">
        <v>65.5</v>
      </c>
      <c r="D20" s="5">
        <f t="shared" si="1"/>
        <v>1122.4</v>
      </c>
      <c r="E20" s="10">
        <v>57.6</v>
      </c>
      <c r="F20" s="5">
        <f t="shared" si="2"/>
        <v>7.9</v>
      </c>
      <c r="G20" s="11">
        <f t="shared" si="3"/>
        <v>0.007038488952</v>
      </c>
    </row>
    <row r="21">
      <c r="A21" s="4">
        <v>301125.0</v>
      </c>
      <c r="B21" s="10">
        <v>1183.0</v>
      </c>
      <c r="C21" s="10">
        <v>59.5</v>
      </c>
      <c r="D21" s="5">
        <f t="shared" si="1"/>
        <v>1125.4</v>
      </c>
      <c r="E21" s="10">
        <v>57.6</v>
      </c>
      <c r="F21" s="5">
        <f t="shared" si="2"/>
        <v>1.9</v>
      </c>
      <c r="G21" s="11">
        <f t="shared" si="3"/>
        <v>0.001688288608</v>
      </c>
    </row>
    <row r="22">
      <c r="A22" s="4">
        <v>301127.0</v>
      </c>
      <c r="B22" s="10">
        <v>1138.0</v>
      </c>
      <c r="C22" s="10">
        <v>61.5</v>
      </c>
      <c r="D22" s="5">
        <f t="shared" si="1"/>
        <v>1080.4</v>
      </c>
      <c r="E22" s="10">
        <v>57.6</v>
      </c>
      <c r="F22" s="5">
        <f t="shared" si="2"/>
        <v>3.9</v>
      </c>
      <c r="G22" s="11">
        <f t="shared" si="3"/>
        <v>0.003609774158</v>
      </c>
    </row>
    <row r="23">
      <c r="A23" s="4">
        <v>301146.0</v>
      </c>
      <c r="B23" s="10">
        <v>1165.0</v>
      </c>
      <c r="C23" s="10">
        <v>67.0</v>
      </c>
      <c r="D23" s="5">
        <f t="shared" si="1"/>
        <v>1107.4</v>
      </c>
      <c r="E23" s="10">
        <v>57.6</v>
      </c>
      <c r="F23" s="5">
        <f t="shared" si="2"/>
        <v>9.4</v>
      </c>
      <c r="G23" s="11">
        <f t="shared" si="3"/>
        <v>0.008488351093</v>
      </c>
    </row>
    <row r="24">
      <c r="A24" s="4">
        <v>301183.0</v>
      </c>
      <c r="B24" s="10">
        <v>1105.0</v>
      </c>
      <c r="C24" s="10">
        <v>62.0</v>
      </c>
      <c r="D24" s="5">
        <f t="shared" si="1"/>
        <v>1047.4</v>
      </c>
      <c r="E24" s="10">
        <v>57.6</v>
      </c>
      <c r="F24" s="5">
        <f t="shared" si="2"/>
        <v>4.4</v>
      </c>
      <c r="G24" s="11">
        <f t="shared" si="3"/>
        <v>0.004200878365</v>
      </c>
    </row>
    <row r="25">
      <c r="A25" s="4">
        <v>300054.0</v>
      </c>
      <c r="B25" s="10">
        <v>1157.5</v>
      </c>
      <c r="C25" s="10">
        <v>60.5</v>
      </c>
      <c r="D25" s="5">
        <f t="shared" si="1"/>
        <v>1099.9</v>
      </c>
      <c r="E25" s="10">
        <v>57.6</v>
      </c>
      <c r="F25" s="5">
        <f t="shared" si="2"/>
        <v>2.9</v>
      </c>
      <c r="G25" s="11">
        <f t="shared" si="3"/>
        <v>0.002636603328</v>
      </c>
    </row>
    <row r="26">
      <c r="A26" s="4">
        <v>300063.0</v>
      </c>
      <c r="B26" s="10">
        <v>1085.0</v>
      </c>
      <c r="C26" s="10">
        <v>63.0</v>
      </c>
      <c r="D26" s="5">
        <f t="shared" si="1"/>
        <v>1027.4</v>
      </c>
      <c r="E26" s="10">
        <v>57.6</v>
      </c>
      <c r="F26" s="5">
        <f t="shared" si="2"/>
        <v>5.4</v>
      </c>
      <c r="G26" s="11">
        <f t="shared" si="3"/>
        <v>0.005255985984</v>
      </c>
    </row>
    <row r="27">
      <c r="A27" s="4">
        <v>300064.0</v>
      </c>
      <c r="B27" s="10">
        <v>1090.0</v>
      </c>
      <c r="C27" s="10">
        <v>58.0</v>
      </c>
      <c r="D27" s="5">
        <f t="shared" si="1"/>
        <v>1032.4</v>
      </c>
      <c r="E27" s="10">
        <v>57.6</v>
      </c>
      <c r="F27" s="5">
        <f t="shared" si="2"/>
        <v>0.4</v>
      </c>
      <c r="G27" s="11">
        <f t="shared" si="3"/>
        <v>0.0003874467261</v>
      </c>
    </row>
    <row r="28">
      <c r="A28" s="4">
        <v>300065.0</v>
      </c>
      <c r="B28" s="10">
        <v>1075.0</v>
      </c>
      <c r="C28" s="10">
        <v>59.0</v>
      </c>
      <c r="D28" s="5">
        <f t="shared" si="1"/>
        <v>1017.4</v>
      </c>
      <c r="E28" s="10">
        <v>57.6</v>
      </c>
      <c r="F28" s="5">
        <f t="shared" si="2"/>
        <v>1.4</v>
      </c>
      <c r="G28" s="11">
        <f t="shared" si="3"/>
        <v>0.001376056615</v>
      </c>
    </row>
    <row r="29">
      <c r="A29" s="4">
        <v>300077.0</v>
      </c>
      <c r="B29" s="10">
        <v>1145.5</v>
      </c>
      <c r="C29" s="10">
        <v>59.5</v>
      </c>
      <c r="D29" s="5">
        <f t="shared" si="1"/>
        <v>1087.9</v>
      </c>
      <c r="E29" s="10">
        <v>57.6</v>
      </c>
      <c r="F29" s="5">
        <f t="shared" si="2"/>
        <v>1.9</v>
      </c>
      <c r="G29" s="11">
        <f t="shared" si="3"/>
        <v>0.001746484052</v>
      </c>
    </row>
    <row r="30">
      <c r="A30" s="4">
        <v>300095.0</v>
      </c>
      <c r="B30" s="10">
        <v>1156.0</v>
      </c>
      <c r="C30" s="10">
        <v>58.0</v>
      </c>
      <c r="D30" s="5">
        <f t="shared" si="1"/>
        <v>1098.4</v>
      </c>
      <c r="E30" s="10">
        <v>57.6</v>
      </c>
      <c r="F30" s="5">
        <f t="shared" si="2"/>
        <v>0.4</v>
      </c>
      <c r="G30" s="11">
        <f t="shared" si="3"/>
        <v>0.0003641660597</v>
      </c>
    </row>
    <row r="31">
      <c r="A31" s="4">
        <v>300099.0</v>
      </c>
      <c r="B31" s="10">
        <v>1144.5</v>
      </c>
      <c r="C31" s="10">
        <v>63.5</v>
      </c>
      <c r="D31" s="5">
        <f t="shared" si="1"/>
        <v>1086.9</v>
      </c>
      <c r="E31" s="10">
        <v>57.6</v>
      </c>
      <c r="F31" s="5">
        <f t="shared" si="2"/>
        <v>5.9</v>
      </c>
      <c r="G31" s="11">
        <f t="shared" si="3"/>
        <v>0.005428282271</v>
      </c>
    </row>
    <row r="32">
      <c r="A32" s="4">
        <v>301001.0</v>
      </c>
      <c r="B32" s="10">
        <v>1073.5</v>
      </c>
      <c r="C32" s="10">
        <v>66.5</v>
      </c>
      <c r="D32" s="5">
        <f t="shared" si="1"/>
        <v>1015.9</v>
      </c>
      <c r="E32" s="10">
        <v>57.6</v>
      </c>
      <c r="F32" s="5">
        <f t="shared" si="2"/>
        <v>8.9</v>
      </c>
      <c r="G32" s="11">
        <f t="shared" si="3"/>
        <v>0.008760704794</v>
      </c>
    </row>
    <row r="33">
      <c r="A33" s="4">
        <v>301012.0</v>
      </c>
      <c r="B33" s="10">
        <v>1131.0</v>
      </c>
      <c r="C33" s="10">
        <v>61.0</v>
      </c>
      <c r="D33" s="5">
        <f t="shared" si="1"/>
        <v>1073.4</v>
      </c>
      <c r="E33" s="10">
        <v>57.6</v>
      </c>
      <c r="F33" s="5">
        <f t="shared" si="2"/>
        <v>3.4</v>
      </c>
      <c r="G33" s="11">
        <f t="shared" si="3"/>
        <v>0.003167505124</v>
      </c>
    </row>
    <row r="34">
      <c r="A34" s="4">
        <v>301016.0</v>
      </c>
      <c r="B34" s="10">
        <v>1189.5</v>
      </c>
      <c r="C34" s="10">
        <v>59.5</v>
      </c>
      <c r="D34" s="5">
        <f t="shared" si="1"/>
        <v>1131.9</v>
      </c>
      <c r="E34" s="10">
        <v>57.6</v>
      </c>
      <c r="F34" s="5">
        <f t="shared" si="2"/>
        <v>1.9</v>
      </c>
      <c r="G34" s="11">
        <f t="shared" si="3"/>
        <v>0.001678593515</v>
      </c>
    </row>
    <row r="35">
      <c r="A35" s="4">
        <v>301020.0</v>
      </c>
      <c r="B35" s="10">
        <v>1017.5</v>
      </c>
      <c r="C35" s="10">
        <v>60.5</v>
      </c>
      <c r="D35" s="5">
        <f t="shared" si="1"/>
        <v>959.9</v>
      </c>
      <c r="E35" s="10">
        <v>57.6</v>
      </c>
      <c r="F35" s="5">
        <f t="shared" si="2"/>
        <v>2.9</v>
      </c>
      <c r="G35" s="11">
        <f t="shared" si="3"/>
        <v>0.003021148036</v>
      </c>
    </row>
    <row r="36">
      <c r="A36" s="4">
        <v>301055.0</v>
      </c>
      <c r="B36" s="10">
        <v>1120.5</v>
      </c>
      <c r="C36" s="10">
        <v>64.5</v>
      </c>
      <c r="D36" s="5">
        <f t="shared" si="1"/>
        <v>1062.9</v>
      </c>
      <c r="E36" s="10">
        <v>57.6</v>
      </c>
      <c r="F36" s="5">
        <f t="shared" si="2"/>
        <v>6.9</v>
      </c>
      <c r="G36" s="11">
        <f t="shared" si="3"/>
        <v>0.006491673723</v>
      </c>
    </row>
    <row r="37">
      <c r="A37" s="4">
        <v>301130.0</v>
      </c>
      <c r="B37" s="10">
        <v>1063.0</v>
      </c>
      <c r="C37" s="10">
        <v>62.0</v>
      </c>
      <c r="D37" s="5">
        <f t="shared" si="1"/>
        <v>1005.4</v>
      </c>
      <c r="E37" s="10">
        <v>57.6</v>
      </c>
      <c r="F37" s="5">
        <f t="shared" si="2"/>
        <v>4.4</v>
      </c>
      <c r="G37" s="11">
        <f t="shared" si="3"/>
        <v>0.004376367615</v>
      </c>
    </row>
    <row r="38">
      <c r="A38" s="4">
        <v>301131.0</v>
      </c>
      <c r="B38" s="10">
        <v>1085.0</v>
      </c>
      <c r="C38" s="10">
        <v>59.0</v>
      </c>
      <c r="D38" s="5">
        <f t="shared" si="1"/>
        <v>1027.4</v>
      </c>
      <c r="E38" s="10">
        <v>57.6</v>
      </c>
      <c r="F38" s="5">
        <f t="shared" si="2"/>
        <v>1.4</v>
      </c>
      <c r="G38" s="11">
        <f t="shared" si="3"/>
        <v>0.001362663033</v>
      </c>
    </row>
    <row r="39">
      <c r="A39" s="4">
        <v>301149.0</v>
      </c>
      <c r="B39" s="10">
        <v>1152.5</v>
      </c>
      <c r="C39" s="10">
        <v>61.5</v>
      </c>
      <c r="D39" s="5">
        <f t="shared" si="1"/>
        <v>1094.9</v>
      </c>
      <c r="E39" s="10">
        <v>57.6</v>
      </c>
      <c r="F39" s="5">
        <f t="shared" si="2"/>
        <v>3.9</v>
      </c>
      <c r="G39" s="11">
        <f t="shared" si="3"/>
        <v>0.00356196913</v>
      </c>
    </row>
    <row r="40">
      <c r="A40" s="4">
        <v>301174.0</v>
      </c>
      <c r="B40" s="10">
        <v>1121.0</v>
      </c>
      <c r="C40" s="10">
        <v>63.0</v>
      </c>
      <c r="D40" s="5">
        <f t="shared" si="1"/>
        <v>1063.4</v>
      </c>
      <c r="E40" s="10">
        <v>57.6</v>
      </c>
      <c r="F40" s="5">
        <f t="shared" si="2"/>
        <v>5.4</v>
      </c>
      <c r="G40" s="11">
        <f t="shared" si="3"/>
        <v>0.005078051533</v>
      </c>
    </row>
    <row r="41">
      <c r="A41" s="4">
        <v>301187.0</v>
      </c>
      <c r="B41" s="10">
        <v>1119.0</v>
      </c>
      <c r="C41" s="10">
        <v>62.0</v>
      </c>
      <c r="D41" s="5">
        <f t="shared" si="1"/>
        <v>1061.4</v>
      </c>
      <c r="E41" s="10">
        <v>57.6</v>
      </c>
      <c r="F41" s="5">
        <f t="shared" si="2"/>
        <v>4.4</v>
      </c>
      <c r="G41" s="11">
        <f t="shared" si="3"/>
        <v>0.004145468249</v>
      </c>
    </row>
    <row r="42">
      <c r="A42" s="4">
        <v>301041.0</v>
      </c>
      <c r="B42" s="10">
        <v>1092.0</v>
      </c>
      <c r="C42" s="10">
        <v>58.0</v>
      </c>
      <c r="D42" s="5">
        <f t="shared" si="1"/>
        <v>1034.4</v>
      </c>
      <c r="E42" s="10">
        <v>57.6</v>
      </c>
      <c r="F42" s="5">
        <f t="shared" si="2"/>
        <v>0.4</v>
      </c>
      <c r="G42" s="11">
        <f t="shared" si="3"/>
        <v>0.0003866976025</v>
      </c>
    </row>
    <row r="43">
      <c r="A43" s="4">
        <v>301089.0</v>
      </c>
      <c r="B43" s="10">
        <v>1078.0</v>
      </c>
      <c r="C43" s="10">
        <v>58.0</v>
      </c>
      <c r="D43" s="5">
        <f t="shared" si="1"/>
        <v>1020.4</v>
      </c>
      <c r="E43" s="10">
        <v>57.6</v>
      </c>
      <c r="F43" s="5">
        <f t="shared" si="2"/>
        <v>0.4</v>
      </c>
      <c r="G43" s="11">
        <f t="shared" si="3"/>
        <v>0.000392003136</v>
      </c>
    </row>
    <row r="44">
      <c r="A44" s="4">
        <v>301128.0</v>
      </c>
      <c r="B44" s="10">
        <v>1076.0</v>
      </c>
      <c r="C44" s="10">
        <v>62.0</v>
      </c>
      <c r="D44" s="5">
        <f t="shared" si="1"/>
        <v>1018.4</v>
      </c>
      <c r="E44" s="10">
        <v>57.6</v>
      </c>
      <c r="F44" s="5">
        <f t="shared" si="2"/>
        <v>4.4</v>
      </c>
      <c r="G44" s="11">
        <f t="shared" si="3"/>
        <v>0.004320502749</v>
      </c>
    </row>
  </sheetData>
  <drawing r:id="rId1"/>
</worksheet>
</file>