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 Calculation" sheetId="1" r:id="rId4"/>
    <sheet state="visible" name="Sources" sheetId="2" r:id="rId5"/>
  </sheets>
  <definedNames/>
  <calcPr/>
  <extLst>
    <ext uri="GoogleSheetsCustomDataVersion2">
      <go:sheetsCustomData xmlns:go="http://customooxmlschemas.google.com/" r:id="rId6" roundtripDataChecksum="v4InYoQ7bYmocHvVJndO/RD5dtKsBSlvMva+U2yXMNg="/>
    </ext>
  </extLst>
</workbook>
</file>

<file path=xl/sharedStrings.xml><?xml version="1.0" encoding="utf-8"?>
<sst xmlns="http://schemas.openxmlformats.org/spreadsheetml/2006/main" count="61" uniqueCount="54">
  <si>
    <t>Source documents — downloaded and read 2026-08-11</t>
  </si>
  <si>
    <t>Charm Bio-Oil Mass-Weighted Carbon Intensity — Jan–Jun 2026</t>
  </si>
  <si>
    <t>Method: sum the emissions allocated to each product across the six monthly Production Period Summaries, divide by that product's total output mass over the same period.</t>
  </si>
  <si>
    <t>Month</t>
  </si>
  <si>
    <t>Source values read 2026-08-11 from the Production Period Summary in each month's subfolder of the H1 2026 Charm CI folder. Totals and CI cells are live formulas.</t>
  </si>
  <si>
    <t>SOURCE DATA — allocation table of each month's Production Period Summary</t>
  </si>
  <si>
    <t>Source file</t>
  </si>
  <si>
    <t>Google Drive file ID</t>
  </si>
  <si>
    <t>Tab read</t>
  </si>
  <si>
    <t>Jan 2026</t>
  </si>
  <si>
    <t>January 2026 Production Period Summary.xlsx</t>
  </si>
  <si>
    <t>1D07oKMClJBm0ZEgdsuN_APdGrhzoLw9L</t>
  </si>
  <si>
    <t>Jan 26 PP Summary</t>
  </si>
  <si>
    <t>Feb 2026</t>
  </si>
  <si>
    <t>Feb 26 Production Period Summary.xlsx</t>
  </si>
  <si>
    <t>1wFC1c4DWZZqLXeS422lgThPu23quOJTT</t>
  </si>
  <si>
    <t>Feb 26 PP Summary</t>
  </si>
  <si>
    <t>Mar 2026</t>
  </si>
  <si>
    <t>March 2026 Production Period Summary.xlsx</t>
  </si>
  <si>
    <t>160LXWi92KCgonrEbY4omp8QmXpQAGXlX</t>
  </si>
  <si>
    <t>Mar 26 PP Summary</t>
  </si>
  <si>
    <t>Apr 2026</t>
  </si>
  <si>
    <t>WODO mass (kg)</t>
  </si>
  <si>
    <t>April 2026 Production Period Summary.xlsx</t>
  </si>
  <si>
    <t>1pmsqSW2toU5KAxYin82KfaF_BzcKYQ0y</t>
  </si>
  <si>
    <t>Apr 26 PP Summary</t>
  </si>
  <si>
    <t>WODO emissions (MT)</t>
  </si>
  <si>
    <t>May 2026</t>
  </si>
  <si>
    <t>May 26 Production Period Summary.xlsx</t>
  </si>
  <si>
    <t>QOWV/Aqueous mass (kg)</t>
  </si>
  <si>
    <t>1XU3CTs0HKjAOXmo7H6LzJQhPzyYeT1N6</t>
  </si>
  <si>
    <t>May 26 PP Summary</t>
  </si>
  <si>
    <t>QOWV emissions (MT)</t>
  </si>
  <si>
    <t>Jun 2026</t>
  </si>
  <si>
    <t>Jun 26 Production Period Summary.xlsx</t>
  </si>
  <si>
    <t>Biochar mass (kg)</t>
  </si>
  <si>
    <t>1c9objRn_ahdCwpHWX8kIYL8PWe1l77Ci</t>
  </si>
  <si>
    <t>Jun 26 PP Summary</t>
  </si>
  <si>
    <t>Biochar emissions (MT)</t>
  </si>
  <si>
    <t>Row sum (MT)</t>
  </si>
  <si>
    <t>Values taken per month: Mass of Output (kg) and Total Emissions Allocated to Fraction (MT CO2e), for WODO, Biochar and Aqueous.</t>
  </si>
  <si>
    <t>Sheet stated total (MT)</t>
  </si>
  <si>
    <t>Check</t>
  </si>
  <si>
    <t>TOTAL Jan–Jun</t>
  </si>
  <si>
    <t>RESULT — mass-weighted carbon intensity over the full six-month period</t>
  </si>
  <si>
    <t>Product</t>
  </si>
  <si>
    <t>Σ Output mass (kg)</t>
  </si>
  <si>
    <t>Σ Allocated emissions (MT CO2e)</t>
  </si>
  <si>
    <t>Mass-weighted CI (kg CO2e / kg product)</t>
  </si>
  <si>
    <t>WODO</t>
  </si>
  <si>
    <t>QOWV (Aqueous)</t>
  </si>
  <si>
    <t>Biochar</t>
  </si>
  <si>
    <t>All products</t>
  </si>
  <si>
    <t>Sum of the six monthly stated totals (MT):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</si>
</sst>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00000"/>
    <numFmt numFmtId="166" formatCode="0.0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i/>
      <sz val="9.0"/>
      <color rgb="FF555555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Font="1"/>
    <xf borderId="1" fillId="0" fontId="4" numFmtId="0" xfId="0" applyAlignment="1" applyBorder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0" fontId="4" numFmtId="164" xfId="0" applyBorder="1" applyFont="1" applyNumberFormat="1"/>
    <xf borderId="1" fillId="0" fontId="4" numFmtId="165" xfId="0" applyBorder="1" applyFont="1" applyNumberFormat="1"/>
    <xf borderId="1" fillId="0" fontId="3" numFmtId="0" xfId="0" applyBorder="1" applyFont="1"/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5" numFmtId="166" xfId="0" applyBorder="1" applyFont="1" applyNumberFormat="1"/>
    <xf borderId="0" fillId="0" fontId="4" numFmtId="165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5" width="20.0"/>
    <col customWidth="1" min="6" max="6" width="16.0"/>
    <col customWidth="1" min="7" max="7" width="20.0"/>
    <col customWidth="1" min="8" max="8" width="14.0"/>
    <col customWidth="1" min="9" max="9" width="18.0"/>
    <col customWidth="1" min="10" max="10" width="12.0"/>
    <col customWidth="1" min="11" max="26" width="8.71"/>
  </cols>
  <sheetData>
    <row r="1">
      <c r="A1" s="1" t="s">
        <v>1</v>
      </c>
    </row>
    <row r="2">
      <c r="A2" s="2" t="s">
        <v>2</v>
      </c>
    </row>
    <row r="3">
      <c r="A3" s="2" t="s">
        <v>4</v>
      </c>
    </row>
    <row r="5">
      <c r="A5" s="4" t="s">
        <v>5</v>
      </c>
    </row>
    <row r="6" ht="42.0" customHeight="1">
      <c r="A6" s="6" t="s">
        <v>3</v>
      </c>
      <c r="B6" s="6" t="s">
        <v>22</v>
      </c>
      <c r="C6" s="6" t="s">
        <v>26</v>
      </c>
      <c r="D6" s="6" t="s">
        <v>29</v>
      </c>
      <c r="E6" s="6" t="s">
        <v>32</v>
      </c>
      <c r="F6" s="6" t="s">
        <v>35</v>
      </c>
      <c r="G6" s="6" t="s">
        <v>38</v>
      </c>
      <c r="H6" s="6" t="s">
        <v>39</v>
      </c>
      <c r="I6" s="6" t="s">
        <v>41</v>
      </c>
      <c r="J6" s="6" t="s">
        <v>42</v>
      </c>
    </row>
    <row r="7">
      <c r="A7" s="7" t="s">
        <v>9</v>
      </c>
      <c r="B7" s="8">
        <v>8888.2</v>
      </c>
      <c r="C7" s="9">
        <v>7.340293398</v>
      </c>
      <c r="D7" s="8">
        <v>30830.4</v>
      </c>
      <c r="E7" s="9">
        <v>4.28455461</v>
      </c>
      <c r="F7" s="8">
        <v>6559.5</v>
      </c>
      <c r="G7" s="9">
        <v>7.461421736</v>
      </c>
      <c r="H7" s="9">
        <f t="shared" ref="H7:H12" si="1">C7+E7+G7</f>
        <v>19.08626974</v>
      </c>
      <c r="I7" s="9">
        <v>19.08626974</v>
      </c>
      <c r="J7" s="7" t="str">
        <f t="shared" ref="J7:J12" si="2">IF(ABS(H7-I7)&lt;=0.0000001,"OK","DIFF")</f>
        <v>OK</v>
      </c>
    </row>
    <row r="8">
      <c r="A8" s="7" t="s">
        <v>13</v>
      </c>
      <c r="B8" s="8">
        <v>10966.0</v>
      </c>
      <c r="C8" s="9">
        <v>8.59625004</v>
      </c>
      <c r="D8" s="8">
        <v>37125.6</v>
      </c>
      <c r="E8" s="9">
        <v>4.55598869</v>
      </c>
      <c r="F8" s="8">
        <v>6766.26</v>
      </c>
      <c r="G8" s="9">
        <v>7.823456813</v>
      </c>
      <c r="H8" s="9">
        <f t="shared" si="1"/>
        <v>20.97569554</v>
      </c>
      <c r="I8" s="9">
        <v>20.97569554</v>
      </c>
      <c r="J8" s="7" t="str">
        <f t="shared" si="2"/>
        <v>OK</v>
      </c>
    </row>
    <row r="9">
      <c r="A9" s="7" t="s">
        <v>17</v>
      </c>
      <c r="B9" s="8">
        <v>16307.0</v>
      </c>
      <c r="C9" s="9">
        <v>12.74273386</v>
      </c>
      <c r="D9" s="8">
        <v>46683.2</v>
      </c>
      <c r="E9" s="9">
        <v>5.4427961</v>
      </c>
      <c r="F9" s="8">
        <v>6259.3</v>
      </c>
      <c r="G9" s="9">
        <v>7.4882613</v>
      </c>
      <c r="H9" s="9">
        <f t="shared" si="1"/>
        <v>25.67379126</v>
      </c>
      <c r="I9" s="9">
        <v>25.67379126</v>
      </c>
      <c r="J9" s="7" t="str">
        <f t="shared" si="2"/>
        <v>OK</v>
      </c>
    </row>
    <row r="10">
      <c r="A10" s="7" t="s">
        <v>21</v>
      </c>
      <c r="B10" s="8">
        <v>17580.4</v>
      </c>
      <c r="C10" s="9">
        <v>13.30751782</v>
      </c>
      <c r="D10" s="8">
        <v>43912.0</v>
      </c>
      <c r="E10" s="9">
        <v>5.565843396</v>
      </c>
      <c r="F10" s="8">
        <v>4721.4</v>
      </c>
      <c r="G10" s="9">
        <v>5.937928103</v>
      </c>
      <c r="H10" s="9">
        <f t="shared" si="1"/>
        <v>24.81128932</v>
      </c>
      <c r="I10" s="9">
        <v>24.81128931</v>
      </c>
      <c r="J10" s="7" t="str">
        <f t="shared" si="2"/>
        <v>OK</v>
      </c>
    </row>
    <row r="11">
      <c r="A11" s="7" t="s">
        <v>27</v>
      </c>
      <c r="B11" s="8">
        <v>11130.0</v>
      </c>
      <c r="C11" s="9">
        <v>6.822934489</v>
      </c>
      <c r="D11" s="8">
        <v>36523.2</v>
      </c>
      <c r="E11" s="9">
        <v>3.915108003</v>
      </c>
      <c r="F11" s="8">
        <v>8568.9</v>
      </c>
      <c r="G11" s="9">
        <v>9.758382619</v>
      </c>
      <c r="H11" s="9">
        <f t="shared" si="1"/>
        <v>20.49642511</v>
      </c>
      <c r="I11" s="9">
        <v>20.49642511</v>
      </c>
      <c r="J11" s="7" t="str">
        <f t="shared" si="2"/>
        <v>OK</v>
      </c>
    </row>
    <row r="12">
      <c r="A12" s="7" t="s">
        <v>33</v>
      </c>
      <c r="B12" s="8">
        <v>10778.0</v>
      </c>
      <c r="C12" s="9">
        <v>11.34993841</v>
      </c>
      <c r="D12" s="8">
        <v>46616.2</v>
      </c>
      <c r="E12" s="9">
        <v>5.467554803</v>
      </c>
      <c r="F12" s="8">
        <v>6247.5</v>
      </c>
      <c r="G12" s="9">
        <v>9.157026476</v>
      </c>
      <c r="H12" s="9">
        <f t="shared" si="1"/>
        <v>25.97451969</v>
      </c>
      <c r="I12" s="9">
        <v>25.97451969</v>
      </c>
      <c r="J12" s="7" t="str">
        <f t="shared" si="2"/>
        <v>OK</v>
      </c>
    </row>
    <row r="13">
      <c r="A13" s="10" t="s">
        <v>43</v>
      </c>
      <c r="B13" s="11">
        <f t="shared" ref="B13:G13" si="3">SUM(B7:B12)</f>
        <v>75649.6</v>
      </c>
      <c r="C13" s="12">
        <f t="shared" si="3"/>
        <v>60.15966802</v>
      </c>
      <c r="D13" s="11">
        <f t="shared" si="3"/>
        <v>241690.6</v>
      </c>
      <c r="E13" s="12">
        <f t="shared" si="3"/>
        <v>29.2318456</v>
      </c>
      <c r="F13" s="11">
        <f t="shared" si="3"/>
        <v>39122.86</v>
      </c>
      <c r="G13" s="12">
        <f t="shared" si="3"/>
        <v>47.62647705</v>
      </c>
    </row>
    <row r="16">
      <c r="A16" s="4" t="s">
        <v>44</v>
      </c>
    </row>
    <row r="17" ht="42.0" customHeight="1">
      <c r="A17" s="6" t="s">
        <v>45</v>
      </c>
      <c r="B17" s="6" t="s">
        <v>46</v>
      </c>
      <c r="C17" s="6" t="s">
        <v>47</v>
      </c>
      <c r="D17" s="6" t="s">
        <v>48</v>
      </c>
    </row>
    <row r="18">
      <c r="A18" s="10" t="s">
        <v>49</v>
      </c>
      <c r="B18" s="8">
        <f t="shared" ref="B18:C18" si="4">B13</f>
        <v>75649.6</v>
      </c>
      <c r="C18" s="9">
        <f t="shared" si="4"/>
        <v>60.15966802</v>
      </c>
      <c r="D18" s="13">
        <f t="shared" ref="D18:D20" si="6">C18*1000/B18</f>
        <v>0.795241059</v>
      </c>
    </row>
    <row r="19">
      <c r="A19" s="10" t="s">
        <v>50</v>
      </c>
      <c r="B19" s="8">
        <f t="shared" ref="B19:C19" si="5">D13</f>
        <v>241690.6</v>
      </c>
      <c r="C19" s="9">
        <f t="shared" si="5"/>
        <v>29.2318456</v>
      </c>
      <c r="D19" s="13">
        <f t="shared" si="6"/>
        <v>0.1209473832</v>
      </c>
    </row>
    <row r="20">
      <c r="A20" s="10" t="s">
        <v>51</v>
      </c>
      <c r="B20" s="8">
        <f t="shared" ref="B20:C20" si="7">F13</f>
        <v>39122.86</v>
      </c>
      <c r="C20" s="9">
        <f t="shared" si="7"/>
        <v>47.62647705</v>
      </c>
      <c r="D20" s="13">
        <f t="shared" si="6"/>
        <v>1.217356733</v>
      </c>
    </row>
    <row r="21" ht="15.75" customHeight="1">
      <c r="A21" s="10" t="s">
        <v>52</v>
      </c>
      <c r="B21" s="8">
        <f t="shared" ref="B21:C21" si="8">SUM(B18:B20)</f>
        <v>356463.06</v>
      </c>
      <c r="C21" s="9">
        <f t="shared" si="8"/>
        <v>137.0179907</v>
      </c>
    </row>
    <row r="22" ht="15.75" customHeight="1"/>
    <row r="23" ht="15.75" customHeight="1">
      <c r="A23" s="4" t="s">
        <v>53</v>
      </c>
      <c r="C23" s="14">
        <f>SUM(I7:I12)</f>
        <v>137.0179907</v>
      </c>
      <c r="D23" s="15" t="str">
        <f>IF(ABS(C23-C21)&lt;=0.000001,"OK — full period footprint accounted for","DIFF")</f>
        <v>OK — full period footprint accounted for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J2"/>
    <mergeCell ref="A3:J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8.0"/>
    <col customWidth="1" min="3" max="3" width="42.0"/>
    <col customWidth="1" min="4" max="4" width="24.0"/>
    <col customWidth="1" min="5" max="26" width="8.71"/>
  </cols>
  <sheetData>
    <row r="1">
      <c r="A1" s="1" t="s">
        <v>0</v>
      </c>
    </row>
    <row r="3">
      <c r="A3" s="3" t="s">
        <v>3</v>
      </c>
      <c r="B3" s="3" t="s">
        <v>6</v>
      </c>
      <c r="C3" s="3" t="s">
        <v>7</v>
      </c>
      <c r="D3" s="3" t="s">
        <v>8</v>
      </c>
    </row>
    <row r="4">
      <c r="A4" s="5" t="s">
        <v>9</v>
      </c>
      <c r="B4" s="5" t="s">
        <v>10</v>
      </c>
      <c r="C4" s="5" t="s">
        <v>11</v>
      </c>
      <c r="D4" s="5" t="s">
        <v>12</v>
      </c>
    </row>
    <row r="5">
      <c r="A5" s="5" t="s">
        <v>13</v>
      </c>
      <c r="B5" s="5" t="s">
        <v>14</v>
      </c>
      <c r="C5" s="5" t="s">
        <v>15</v>
      </c>
      <c r="D5" s="5" t="s">
        <v>16</v>
      </c>
    </row>
    <row r="6">
      <c r="A6" s="5" t="s">
        <v>17</v>
      </c>
      <c r="B6" s="5" t="s">
        <v>18</v>
      </c>
      <c r="C6" s="5" t="s">
        <v>19</v>
      </c>
      <c r="D6" s="5" t="s">
        <v>20</v>
      </c>
    </row>
    <row r="7">
      <c r="A7" s="5" t="s">
        <v>21</v>
      </c>
      <c r="B7" s="5" t="s">
        <v>23</v>
      </c>
      <c r="C7" s="5" t="s">
        <v>24</v>
      </c>
      <c r="D7" s="5" t="s">
        <v>25</v>
      </c>
    </row>
    <row r="8">
      <c r="A8" s="5" t="s">
        <v>27</v>
      </c>
      <c r="B8" s="5" t="s">
        <v>28</v>
      </c>
      <c r="C8" s="5" t="s">
        <v>30</v>
      </c>
      <c r="D8" s="5" t="s">
        <v>31</v>
      </c>
    </row>
    <row r="9">
      <c r="A9" s="5" t="s">
        <v>33</v>
      </c>
      <c r="B9" s="5" t="s">
        <v>34</v>
      </c>
      <c r="C9" s="5" t="s">
        <v>36</v>
      </c>
      <c r="D9" s="5" t="s">
        <v>37</v>
      </c>
    </row>
    <row r="11">
      <c r="A11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2026-08-11T22:58:03Z</dcterms:created>
  <dc:creator>openpyxl</dc:creator>
</cp:coreProperties>
</file>