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 26 PP Summary" sheetId="1" r:id="rId5"/>
    <sheet state="visible" name="Emission Factors" sheetId="2" r:id="rId6"/>
    <sheet state="hidden" name="DataTable" sheetId="3" r:id="rId7"/>
    <sheet state="hidden" name="DataCollection" sheetId="4" r:id="rId8"/>
  </sheets>
  <definedNames/>
  <calcPr/>
</workbook>
</file>

<file path=xl/sharedStrings.xml><?xml version="1.0" encoding="utf-8"?>
<sst xmlns="http://schemas.openxmlformats.org/spreadsheetml/2006/main" count="213" uniqueCount="165">
  <si>
    <t>Process Emissions</t>
  </si>
  <si>
    <t>Emission Factors</t>
  </si>
  <si>
    <t>Production Operating Hours</t>
  </si>
  <si>
    <t>Emissions Factor</t>
  </si>
  <si>
    <t>Unit</t>
  </si>
  <si>
    <t>Baseline Quantity</t>
  </si>
  <si>
    <t>Uncertainty Factor</t>
  </si>
  <si>
    <t>Final Quantity</t>
  </si>
  <si>
    <t>Source</t>
  </si>
  <si>
    <t>Truck Transport Fuel Use (Well to Wheel) -- Flatbed Truck</t>
  </si>
  <si>
    <t>Embodied Emissions</t>
  </si>
  <si>
    <t>Output Type</t>
  </si>
  <si>
    <t>MT CO2e/t-mi</t>
  </si>
  <si>
    <t>Mass of Output (kg)</t>
  </si>
  <si>
    <t>% Output Mass</t>
  </si>
  <si>
    <t>C Content (%)</t>
  </si>
  <si>
    <t>C Content Mass (kg)</t>
  </si>
  <si>
    <t>% C Content Mass</t>
  </si>
  <si>
    <t>Total Emissions Allocated to Fraction (MT CO2e)</t>
  </si>
  <si>
    <t>Kg Emissions/Kg Material</t>
  </si>
  <si>
    <t>GLEC V3.2 2025</t>
  </si>
  <si>
    <t>WODO</t>
  </si>
  <si>
    <t>Total BM Consumed</t>
  </si>
  <si>
    <t>WODO Yield</t>
  </si>
  <si>
    <t>Propane (kg)</t>
  </si>
  <si>
    <t>WODO wt%C</t>
  </si>
  <si>
    <t>Diesel (kg)</t>
  </si>
  <si>
    <t>Biochar Yield</t>
  </si>
  <si>
    <t>Gasoline (kg)</t>
  </si>
  <si>
    <t>Biochar wt%C</t>
  </si>
  <si>
    <t>Truck Transport Fuel Use (Well to Wheel) -- Tanker Truck</t>
  </si>
  <si>
    <t>Biomass Transport</t>
  </si>
  <si>
    <t>Vehicle Embodied Emissions --Tanker Truck</t>
  </si>
  <si>
    <t>MT CO2e/mi</t>
  </si>
  <si>
    <t>Vehicle Embodied Emissions --Non-Tanker Truck</t>
  </si>
  <si>
    <t>Grid Electricity Use -- Kansas</t>
  </si>
  <si>
    <t>MTCO2e/kWh</t>
  </si>
  <si>
    <t>Green-E,USEPA, GREET 2025</t>
  </si>
  <si>
    <t>Propane</t>
  </si>
  <si>
    <t>Wind RECs Use -- Kansas</t>
  </si>
  <si>
    <t>Pyrolyzer Up-Time</t>
  </si>
  <si>
    <t>Diesel</t>
  </si>
  <si>
    <t>Equipment Amortization</t>
  </si>
  <si>
    <t>Biochar</t>
  </si>
  <si>
    <t>Gasoline</t>
  </si>
  <si>
    <t>Electricity</t>
  </si>
  <si>
    <t>Grid Electricity Use -- Colorado</t>
  </si>
  <si>
    <t>Solar RECs Use -- Colorado</t>
  </si>
  <si>
    <t>Tailgas</t>
  </si>
  <si>
    <t>New Pile</t>
  </si>
  <si>
    <t>Vaulted Equipment Embodied Emissions</t>
  </si>
  <si>
    <t>MT CO2e/MT Injectate</t>
  </si>
  <si>
    <t>N/A</t>
  </si>
  <si>
    <t>Total Operating Hours</t>
  </si>
  <si>
    <t>Water</t>
  </si>
  <si>
    <t>Total Biomass Consumed (kg)</t>
  </si>
  <si>
    <t>Aqueous</t>
  </si>
  <si>
    <t>Consumables Delivery</t>
  </si>
  <si>
    <t>Vaulted PDD</t>
  </si>
  <si>
    <t>Self-Loading Truck Lumber Handling (No Transport)</t>
  </si>
  <si>
    <t>Waste Disposal</t>
  </si>
  <si>
    <t>MT CO2e/MT logs</t>
  </si>
  <si>
    <t>Auburn University</t>
  </si>
  <si>
    <t>Capital Goods EE</t>
  </si>
  <si>
    <t>SP+C EE</t>
  </si>
  <si>
    <t>Diesel Fuel Combustion (Total WTW)</t>
  </si>
  <si>
    <t>MTCO2e/kg fuel</t>
  </si>
  <si>
    <t>Total Biomass Consumed (MT)</t>
  </si>
  <si>
    <t>LPG Consumption (Total WTW)</t>
  </si>
  <si>
    <t>Injection Emissions</t>
  </si>
  <si>
    <t>Gasoline Consumption (Total WTW)</t>
  </si>
  <si>
    <t>Aqueous Yield</t>
  </si>
  <si>
    <t>Drinking Water -- US</t>
  </si>
  <si>
    <t>MTCO2e/gal water</t>
  </si>
  <si>
    <t>[MRV] Biomass Miles</t>
  </si>
  <si>
    <t>https://www.sciencedirect.com/science/article/abs/pii/S0959652621030110</t>
  </si>
  <si>
    <t>R+D Operating Hours</t>
  </si>
  <si>
    <t>[MRV] Raw Biomass Tonnes</t>
  </si>
  <si>
    <t>Biomass Amortization Factor for PP (kg Co2e/MT biomass)</t>
  </si>
  <si>
    <t>[MRV] Linear Feet Consumed</t>
  </si>
  <si>
    <t>Log Handling Emissions</t>
  </si>
  <si>
    <t>--</t>
  </si>
  <si>
    <t>% Production</t>
  </si>
  <si>
    <t xml:space="preserve"> </t>
  </si>
  <si>
    <t>[MRV] Uncertainty Adjusted Propane Used</t>
  </si>
  <si>
    <t>Total Amortized Embodied Emissions (kg)</t>
  </si>
  <si>
    <t>[MRV] Uncertainty Adjusted Diesel Used</t>
  </si>
  <si>
    <t>[MRV] Uncertainty Adjusted Gasoline Used</t>
  </si>
  <si>
    <t>% R+D</t>
  </si>
  <si>
    <t>Total Amortized Embodied Emissions (MT)</t>
  </si>
  <si>
    <t>[MRV] Uncertainty Adjusted Electricity</t>
  </si>
  <si>
    <t>[MRV] Total Water Used</t>
  </si>
  <si>
    <t>Total Emissions</t>
  </si>
  <si>
    <t>Spare Parts and Consumables</t>
  </si>
  <si>
    <t>BCU's Applied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</si>
  <si>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</si>
  <si>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</si>
  <si>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</si>
  <si>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</si>
  <si>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</si>
  <si>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</si>
  <si>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</si>
  <si>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</si>
  <si>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</si>
  <si>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</si>
  <si>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</si>
  <si>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</si>
  <si>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</si>
  <si>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</si>
  <si>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</si>
  <si>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</si>
  <si>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</si>
  <si>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</si>
  <si>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</si>
  <si>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</si>
  <si>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</si>
  <si>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</si>
  <si>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</si>
  <si>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</si>
  <si>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</si>
  <si>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</si>
  <si>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Total Diesel Consumption for PP (Gal)</t>
  </si>
  <si>
    <t>Total Diesel Fills in Office Generator for PP (Gal)</t>
  </si>
  <si>
    <t>Total</t>
  </si>
  <si>
    <t>Total Production Diesel Consumption for PP (Gal)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</si>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</sst>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0"/>
    <numFmt numFmtId="165" formatCode="0.000"/>
    <numFmt numFmtId="166" formatCode="#,##0.0000"/>
    <numFmt numFmtId="167" formatCode="0.0000"/>
    <numFmt numFmtId="168" formatCode="#,##0.0"/>
    <numFmt numFmtId="169" formatCode="0.000000000"/>
    <numFmt numFmtId="170" formatCode="#,##0.000000"/>
  </numFmts>
  <fonts count="1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sz val="12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0000FF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2" fontId="3" numFmtId="0" xfId="0" applyFill="1" applyFont="1"/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6" numFmtId="0" xfId="0" applyAlignment="1" applyFont="1">
      <alignment horizontal="right" readingOrder="0" vertical="bottom"/>
    </xf>
    <xf borderId="0" fillId="0" fontId="3" numFmtId="0" xfId="0" applyFont="1"/>
    <xf borderId="0" fillId="0" fontId="6" numFmtId="0" xfId="0" applyAlignment="1" applyFont="1">
      <alignment vertical="bottom"/>
    </xf>
    <xf borderId="0" fillId="0" fontId="3" numFmtId="4" xfId="0" applyFont="1" applyNumberFormat="1"/>
    <xf borderId="0" fillId="0" fontId="3" numFmtId="3" xfId="0" applyAlignment="1" applyFont="1" applyNumberFormat="1">
      <alignment readingOrder="0"/>
    </xf>
    <xf borderId="0" fillId="0" fontId="3" numFmtId="4" xfId="0" applyAlignment="1" applyFont="1" applyNumberFormat="1">
      <alignment horizontal="center"/>
    </xf>
    <xf borderId="0" fillId="0" fontId="3" numFmtId="2" xfId="0" applyFont="1" applyNumberFormat="1"/>
    <xf borderId="0" fillId="0" fontId="3" numFmtId="2" xfId="0" applyAlignment="1" applyFont="1" applyNumberFormat="1">
      <alignment horizontal="center"/>
    </xf>
    <xf borderId="0" fillId="0" fontId="3" numFmtId="10" xfId="0" applyAlignment="1" applyFont="1" applyNumberFormat="1">
      <alignment readingOrder="0"/>
    </xf>
    <xf borderId="0" fillId="0" fontId="3" numFmtId="3" xfId="0" applyAlignment="1" applyFont="1" applyNumberFormat="1">
      <alignment horizontal="center"/>
    </xf>
    <xf borderId="0" fillId="0" fontId="8" numFmtId="10" xfId="0" applyAlignment="1" applyFont="1" applyNumberFormat="1">
      <alignment readingOrder="0"/>
    </xf>
    <xf borderId="0" fillId="0" fontId="3" numFmtId="10" xfId="0" applyAlignment="1" applyFont="1" applyNumberFormat="1">
      <alignment horizontal="center"/>
    </xf>
    <xf borderId="0" fillId="0" fontId="9" numFmtId="0" xfId="0" applyAlignment="1" applyFont="1">
      <alignment readingOrder="0"/>
    </xf>
    <xf borderId="0" fillId="0" fontId="3" numFmtId="164" xfId="0" applyFont="1" applyNumberFormat="1"/>
    <xf borderId="0" fillId="0" fontId="3" numFmtId="165" xfId="0" applyFont="1" applyNumberFormat="1"/>
    <xf borderId="0" fillId="0" fontId="6" numFmtId="0" xfId="0" applyAlignment="1" applyFont="1">
      <alignment horizontal="right" vertical="bottom"/>
    </xf>
    <xf borderId="0" fillId="0" fontId="3" numFmtId="165" xfId="0" applyAlignment="1" applyFont="1" applyNumberFormat="1">
      <alignment horizontal="center"/>
    </xf>
    <xf borderId="0" fillId="0" fontId="3" numFmtId="166" xfId="0" applyFont="1" applyNumberFormat="1"/>
    <xf borderId="0" fillId="3" fontId="5" numFmtId="0" xfId="0" applyAlignment="1" applyFill="1" applyFont="1">
      <alignment readingOrder="0"/>
    </xf>
    <xf borderId="0" fillId="0" fontId="3" numFmtId="4" xfId="0" applyAlignment="1" applyFont="1" applyNumberFormat="1">
      <alignment readingOrder="0"/>
    </xf>
    <xf borderId="0" fillId="4" fontId="3" numFmtId="4" xfId="0" applyAlignment="1" applyFill="1" applyFont="1" applyNumberFormat="1">
      <alignment readingOrder="0"/>
    </xf>
    <xf borderId="0" fillId="0" fontId="3" numFmtId="0" xfId="0" applyAlignment="1" applyFont="1">
      <alignment readingOrder="0"/>
    </xf>
    <xf borderId="0" fillId="0" fontId="7" numFmtId="0" xfId="0" applyFont="1"/>
    <xf borderId="0" fillId="0" fontId="6" numFmtId="166" xfId="0" applyAlignment="1" applyFont="1" applyNumberFormat="1">
      <alignment horizontal="right" readingOrder="0" vertical="bottom"/>
    </xf>
    <xf borderId="0" fillId="0" fontId="10" numFmtId="0" xfId="0" applyAlignment="1" applyFont="1">
      <alignment readingOrder="0" vertical="bottom"/>
    </xf>
    <xf borderId="0" fillId="5" fontId="3" numFmtId="0" xfId="0" applyAlignment="1" applyFill="1" applyFont="1">
      <alignment horizontal="center"/>
    </xf>
    <xf borderId="0" fillId="0" fontId="8" numFmtId="3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3" numFmtId="3" xfId="0" applyFont="1" applyNumberFormat="1"/>
    <xf borderId="0" fillId="0" fontId="6" numFmtId="167" xfId="0" applyAlignment="1" applyFont="1" applyNumberFormat="1">
      <alignment horizontal="right" readingOrder="0" vertical="bottom"/>
    </xf>
    <xf borderId="0" fillId="4" fontId="3" numFmtId="0" xfId="0" applyAlignment="1" applyFill="1" applyFont="1">
      <alignment readingOrder="0"/>
    </xf>
    <xf borderId="0" fillId="4" fontId="3" numFmtId="2" xfId="0" applyAlignment="1" applyFill="1" applyFont="1" applyNumberFormat="1">
      <alignment readingOrder="0"/>
    </xf>
    <xf borderId="0" fillId="0" fontId="3" numFmtId="10" xfId="0" applyFont="1" applyNumberFormat="1"/>
    <xf borderId="0" fillId="0" fontId="3" numFmtId="167" xfId="0" applyFont="1" applyNumberFormat="1"/>
    <xf borderId="0" fillId="0" fontId="11" numFmtId="0" xfId="0" applyAlignment="1" applyFont="1">
      <alignment readingOrder="0"/>
    </xf>
    <xf quotePrefix="1" borderId="0" fillId="6" fontId="3" numFmtId="0" xfId="0" applyAlignment="1" applyFill="1" applyFont="1">
      <alignment horizontal="center" readingOrder="0"/>
    </xf>
    <xf borderId="0" fillId="0" fontId="3" numFmtId="168" xfId="0" applyFont="1" applyNumberFormat="1"/>
    <xf borderId="0" fillId="0" fontId="7" numFmtId="0" xfId="0" applyAlignment="1" applyFont="1">
      <alignment horizontal="right" readingOrder="0"/>
    </xf>
    <xf borderId="0" fillId="0" fontId="3" numFmtId="0" xfId="0" applyAlignment="1" applyFont="1">
      <alignment horizontal="center"/>
    </xf>
    <xf borderId="0" fillId="0" fontId="3" numFmtId="10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readingOrder="0"/>
    </xf>
    <xf borderId="0" fillId="0" fontId="6" numFmtId="166" xfId="0" applyAlignment="1" applyFont="1" applyNumberFormat="1">
      <alignment horizontal="right" vertical="bottom"/>
    </xf>
    <xf borderId="0" fillId="0" fontId="6" numFmtId="4" xfId="0" applyAlignment="1" applyFont="1" applyNumberFormat="1">
      <alignment horizontal="right" readingOrder="0" vertical="bottom"/>
    </xf>
    <xf borderId="0" fillId="7" fontId="12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6" numFmtId="4" xfId="0" applyAlignment="1" applyFont="1" applyNumberFormat="1">
      <alignment readingOrder="0" vertical="bottom"/>
    </xf>
    <xf borderId="0" fillId="0" fontId="14" numFmtId="0" xfId="0" applyAlignment="1" applyFont="1">
      <alignment readingOrder="0"/>
    </xf>
    <xf borderId="0" fillId="0" fontId="15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8" fontId="16" numFmtId="0" xfId="0" applyAlignment="1" applyFill="1" applyFont="1">
      <alignment readingOrder="0"/>
    </xf>
    <xf borderId="0" fillId="8" fontId="7" numFmtId="0" xfId="0" applyAlignment="1" applyFill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4" xfId="0" applyAlignment="1" applyFont="1" applyNumberFormat="1">
      <alignment readingOrder="0"/>
    </xf>
    <xf borderId="0" fillId="8" fontId="5" numFmtId="0" xfId="0" applyAlignment="1" applyFill="1" applyFont="1">
      <alignment readingOrder="0"/>
    </xf>
    <xf borderId="0" fillId="8" fontId="3" numFmtId="165" xfId="0" applyFill="1" applyFont="1" applyNumberFormat="1"/>
    <xf borderId="0" fillId="8" fontId="3" numFmtId="10" xfId="0" applyFill="1" applyFont="1" applyNumberFormat="1"/>
    <xf borderId="0" fillId="0" fontId="3" numFmtId="164" xfId="0" applyAlignment="1" applyFont="1" applyNumberFormat="1">
      <alignment horizontal="center"/>
    </xf>
    <xf borderId="0" fillId="0" fontId="17" numFmtId="0" xfId="0" applyAlignment="1" applyFont="1">
      <alignment readingOrder="0"/>
    </xf>
    <xf borderId="0" fillId="0" fontId="7" numFmtId="4" xfId="0" applyFont="1" applyNumberFormat="1"/>
    <xf borderId="0" fillId="0" fontId="7" numFmtId="168" xfId="0" applyFont="1" applyNumberFormat="1"/>
    <xf borderId="0" fillId="8" fontId="3" numFmtId="2" xfId="0" applyFill="1" applyFont="1" applyNumberFormat="1"/>
    <xf borderId="0" fillId="0" fontId="15" numFmtId="3" xfId="0" applyAlignment="1" applyFont="1" applyNumberFormat="1">
      <alignment readingOrder="0"/>
    </xf>
    <xf borderId="0" fillId="9" fontId="5" numFmtId="0" xfId="0" applyAlignment="1" applyFill="1" applyFont="1">
      <alignment readingOrder="0"/>
    </xf>
    <xf borderId="0" fillId="0" fontId="4" numFmtId="0" xfId="0" applyAlignment="1" applyFont="1">
      <alignment readingOrder="0" vertical="bottom"/>
    </xf>
    <xf borderId="0" fillId="8" fontId="3" numFmtId="0" xfId="0" applyFill="1" applyFont="1"/>
    <xf borderId="0" fillId="0" fontId="6" numFmtId="168" xfId="0" applyAlignment="1" applyFont="1" applyNumberFormat="1">
      <alignment readingOrder="0" vertical="bottom"/>
    </xf>
    <xf borderId="0" fillId="8" fontId="3" numFmtId="165" xfId="0" applyAlignment="1" applyFill="1" applyFont="1" applyNumberFormat="1">
      <alignment readingOrder="0"/>
    </xf>
    <xf borderId="0" fillId="0" fontId="7" numFmtId="3" xfId="0" applyFont="1" applyNumberFormat="1"/>
    <xf borderId="0" fillId="0" fontId="6" numFmtId="2" xfId="0" applyAlignment="1" applyFont="1" applyNumberFormat="1">
      <alignment horizontal="right" readingOrder="0" vertical="bottom"/>
    </xf>
    <xf borderId="0" fillId="0" fontId="6" numFmtId="10" xfId="0" applyAlignment="1" applyFont="1" applyNumberFormat="1">
      <alignment horizontal="right" readingOrder="0" vertical="bottom"/>
    </xf>
    <xf borderId="0" fillId="0" fontId="16" numFmtId="0" xfId="0" applyAlignment="1" applyFont="1">
      <alignment readingOrder="0"/>
    </xf>
    <xf borderId="0" fillId="0" fontId="18" numFmtId="10" xfId="0" applyAlignment="1" applyFont="1" applyNumberFormat="1">
      <alignment readingOrder="0"/>
    </xf>
    <xf borderId="0" fillId="0" fontId="18" numFmtId="4" xfId="0" applyAlignment="1" applyFont="1" applyNumberFormat="1">
      <alignment readingOrder="0"/>
    </xf>
    <xf borderId="0" fillId="4" fontId="7" numFmtId="0" xfId="0" applyAlignment="1" applyFill="1" applyFont="1">
      <alignment readingOrder="0"/>
    </xf>
    <xf borderId="0" fillId="0" fontId="6" numFmtId="10" xfId="0" applyAlignment="1" applyFont="1" applyNumberFormat="1">
      <alignment horizontal="right" vertical="bottom"/>
    </xf>
    <xf borderId="0" fillId="0" fontId="6" numFmtId="2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3" numFmtId="167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7" fontId="3" numFmtId="167" xfId="0" applyAlignment="1" applyFill="1" applyFont="1" applyNumberFormat="1">
      <alignment readingOrder="0"/>
    </xf>
    <xf borderId="0" fillId="7" fontId="3" numFmtId="170" xfId="0" applyAlignment="1" applyFill="1" applyFont="1" applyNumberFormat="1">
      <alignment readingOrder="0"/>
    </xf>
    <xf borderId="0" fillId="7" fontId="3" numFmtId="164" xfId="0" applyAlignment="1" applyFill="1" applyFont="1" applyNumberFormat="1">
      <alignment readingOrder="0"/>
    </xf>
    <xf borderId="0" fillId="7" fontId="3" numFmtId="0" xfId="0" applyFill="1" applyFont="1"/>
    <xf borderId="0" fillId="7" fontId="3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.2_21_10_25_1.pdf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.2_21_10_25_1.pdf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smart-freight-centre-media.s3.amazonaws.com/documents/GLEC_FRAMEWORK_v3.2_21_10_25_1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18" width="20.88"/>
    <col customWidth="1" min="19" max="19" width="21.88"/>
    <col customWidth="1" min="20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1" t="s">
        <v>0</v>
      </c>
      <c r="E1" s="5"/>
      <c r="G1" s="6"/>
      <c r="H1" s="1" t="s">
        <v>10</v>
      </c>
      <c r="L1" s="6"/>
      <c r="M1" s="8" t="s">
        <v>11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/>
      <c r="V1" s="8"/>
      <c r="W1" s="8"/>
      <c r="X1" s="8"/>
      <c r="Y1" s="8"/>
      <c r="Z1" s="8"/>
      <c r="AA1" s="8"/>
      <c r="AB1" s="8"/>
    </row>
    <row r="2">
      <c r="A2" s="5"/>
      <c r="E2" s="5"/>
      <c r="G2" s="6"/>
      <c r="L2" s="6"/>
      <c r="M2" s="3" t="s">
        <v>21</v>
      </c>
      <c r="N2" s="13">
        <v>17580.4</v>
      </c>
      <c r="O2" s="17">
        <f t="shared" ref="O2:O4" si="1">N2/($N$2+$N$3+$N$4)</f>
        <v>0.2655096068</v>
      </c>
      <c r="P2" s="19">
        <v>0.4694</v>
      </c>
      <c r="Q2" s="13">
        <f t="shared" ref="Q2:Q4" si="2">P2*N2</f>
        <v>8252.23976</v>
      </c>
      <c r="R2" s="17">
        <f t="shared" ref="R2:R4" si="3">Q2/(SUM($Q$2+$Q$3+$Q$4))</f>
        <v>0.5363493064</v>
      </c>
      <c r="S2" s="22">
        <f t="shared" ref="S2:S4" si="4">R2*$I$32</f>
        <v>13.79766647</v>
      </c>
      <c r="T2" s="26">
        <f t="shared" ref="T2:T4" si="5">(S2*1000)/N2</f>
        <v>0.7848323401</v>
      </c>
      <c r="U2" s="12"/>
      <c r="V2" s="12"/>
      <c r="W2" s="12"/>
      <c r="X2" s="12"/>
      <c r="Y2" s="12"/>
      <c r="Z2" s="12"/>
    </row>
    <row r="3">
      <c r="A3" s="27" t="s">
        <v>31</v>
      </c>
      <c r="E3" s="5" t="s">
        <v>40</v>
      </c>
      <c r="G3" s="6"/>
      <c r="H3" s="5" t="s">
        <v>42</v>
      </c>
      <c r="L3" s="6"/>
      <c r="M3" s="3" t="s">
        <v>43</v>
      </c>
      <c r="N3" s="13">
        <v>4721.4</v>
      </c>
      <c r="O3" s="17">
        <f t="shared" si="1"/>
        <v>0.07130537743</v>
      </c>
      <c r="P3" s="19">
        <v>0.7799</v>
      </c>
      <c r="Q3" s="28">
        <f t="shared" si="2"/>
        <v>3682.21986</v>
      </c>
      <c r="R3" s="17">
        <f t="shared" si="3"/>
        <v>0.2393236413</v>
      </c>
      <c r="S3" s="22">
        <f t="shared" si="4"/>
        <v>6.15663662</v>
      </c>
      <c r="T3" s="26">
        <f t="shared" si="5"/>
        <v>1.30398539</v>
      </c>
      <c r="U3" s="12"/>
      <c r="V3" s="12"/>
      <c r="W3" s="12"/>
      <c r="X3" s="12"/>
      <c r="Y3" s="12"/>
      <c r="Z3" s="12"/>
    </row>
    <row r="4">
      <c r="B4" s="8" t="s">
        <v>49</v>
      </c>
      <c r="D4" s="11"/>
      <c r="E4" s="3" t="s">
        <v>53</v>
      </c>
      <c r="F4" s="29">
        <v>1966.7</v>
      </c>
      <c r="G4" s="6"/>
      <c r="I4" s="3" t="s">
        <v>55</v>
      </c>
      <c r="J4" s="30">
        <v>62244.55</v>
      </c>
      <c r="L4" s="6"/>
      <c r="M4" s="3" t="s">
        <v>56</v>
      </c>
      <c r="N4" s="13">
        <v>43912.0</v>
      </c>
      <c r="O4" s="17">
        <f t="shared" si="1"/>
        <v>0.6631850158</v>
      </c>
      <c r="P4" s="19">
        <v>0.0786</v>
      </c>
      <c r="Q4" s="28">
        <f t="shared" si="2"/>
        <v>3451.4832</v>
      </c>
      <c r="R4" s="17">
        <f t="shared" si="3"/>
        <v>0.2243270523</v>
      </c>
      <c r="S4" s="22">
        <f t="shared" si="4"/>
        <v>5.770847117</v>
      </c>
      <c r="T4" s="26">
        <f t="shared" si="5"/>
        <v>0.1314184532</v>
      </c>
      <c r="U4" s="12"/>
      <c r="V4" s="12"/>
      <c r="W4" s="12"/>
      <c r="X4" s="12"/>
      <c r="Y4" s="12"/>
      <c r="Z4" s="31"/>
    </row>
    <row r="5">
      <c r="B5" s="11" t="s">
        <v>0</v>
      </c>
      <c r="C5" s="32">
        <v>0.7605</v>
      </c>
      <c r="D5" s="7"/>
      <c r="E5" s="3" t="s">
        <v>2</v>
      </c>
      <c r="F5" s="29">
        <f>F4-F6</f>
        <v>1966.7</v>
      </c>
      <c r="G5" s="6"/>
      <c r="I5" s="3" t="s">
        <v>67</v>
      </c>
      <c r="J5" s="15">
        <f>J4/1000</f>
        <v>62.24455</v>
      </c>
      <c r="L5" s="6"/>
      <c r="N5" s="35"/>
      <c r="P5" s="19"/>
      <c r="Q5" s="37"/>
      <c r="R5" s="37"/>
      <c r="S5" s="22"/>
      <c r="T5" s="12"/>
      <c r="U5" s="12"/>
      <c r="V5" s="12"/>
      <c r="W5" s="12"/>
      <c r="X5" s="12"/>
      <c r="Y5" s="12"/>
      <c r="Z5" s="31"/>
    </row>
    <row r="6">
      <c r="B6" s="11" t="s">
        <v>10</v>
      </c>
      <c r="C6" s="38">
        <v>0.0524</v>
      </c>
      <c r="D6" s="7"/>
      <c r="E6" s="3" t="s">
        <v>76</v>
      </c>
      <c r="F6" s="39">
        <v>0.0</v>
      </c>
      <c r="G6" s="6"/>
      <c r="I6" s="3" t="s">
        <v>78</v>
      </c>
      <c r="J6" s="40">
        <v>66.43</v>
      </c>
      <c r="L6" s="6"/>
      <c r="R6" s="41"/>
      <c r="S6" s="15"/>
      <c r="T6" s="42"/>
      <c r="W6" s="12"/>
      <c r="X6" s="12"/>
      <c r="Y6" s="12"/>
      <c r="Z6" s="31"/>
    </row>
    <row r="7">
      <c r="B7" s="11" t="s">
        <v>80</v>
      </c>
      <c r="C7" s="38">
        <v>0.1534</v>
      </c>
      <c r="D7" s="11"/>
      <c r="E7" s="3" t="s">
        <v>82</v>
      </c>
      <c r="F7" s="41">
        <f>F5/F4</f>
        <v>1</v>
      </c>
      <c r="G7" s="6"/>
      <c r="I7" s="3" t="s">
        <v>85</v>
      </c>
      <c r="J7" s="15">
        <f>J6*J5</f>
        <v>4134.905457</v>
      </c>
      <c r="L7" s="6"/>
      <c r="Q7" s="37"/>
      <c r="R7" s="37"/>
      <c r="S7" s="45"/>
      <c r="T7" s="41"/>
      <c r="Z7" s="31"/>
    </row>
    <row r="8">
      <c r="D8" s="11"/>
      <c r="E8" s="3" t="s">
        <v>88</v>
      </c>
      <c r="F8" s="41">
        <f>F6/F4</f>
        <v>0</v>
      </c>
      <c r="G8" s="6"/>
      <c r="I8" s="3" t="s">
        <v>89</v>
      </c>
      <c r="J8" s="15">
        <f>J7/1000</f>
        <v>4.134905457</v>
      </c>
      <c r="L8" s="6"/>
      <c r="P8" s="3" t="s">
        <v>83</v>
      </c>
      <c r="T8" s="46"/>
      <c r="U8" s="46"/>
      <c r="V8" s="46"/>
      <c r="Z8" s="31"/>
    </row>
    <row r="9">
      <c r="B9" s="11" t="s">
        <v>92</v>
      </c>
      <c r="C9" s="32">
        <f>SUM(C5:C7)</f>
        <v>0.9663</v>
      </c>
      <c r="D9" s="11"/>
      <c r="G9" s="6"/>
      <c r="H9" s="5" t="s">
        <v>93</v>
      </c>
      <c r="L9" s="6"/>
      <c r="T9" s="48"/>
      <c r="U9" s="48"/>
      <c r="V9" s="49"/>
      <c r="Z9" s="31"/>
    </row>
    <row r="10">
      <c r="B10" s="3" t="s">
        <v>94</v>
      </c>
      <c r="C10" s="26">
        <f>SUM(C5,C7)</f>
        <v>0.9139</v>
      </c>
      <c r="D10" s="11"/>
      <c r="E10" s="50" t="s">
        <v>95</v>
      </c>
      <c r="F10" s="15"/>
      <c r="G10" s="6"/>
      <c r="I10" s="3" t="s">
        <v>96</v>
      </c>
      <c r="J10" s="3">
        <v>0.83351</v>
      </c>
      <c r="L10" s="6"/>
      <c r="T10" s="48"/>
      <c r="U10" s="51"/>
      <c r="V10" s="51"/>
      <c r="Z10" s="31"/>
    </row>
    <row r="11">
      <c r="B11" s="7" t="s">
        <v>97</v>
      </c>
      <c r="C11" s="52">
        <f>C9-C10</f>
        <v>0.0524</v>
      </c>
      <c r="D11" s="11"/>
      <c r="E11" s="11" t="s">
        <v>98</v>
      </c>
      <c r="F11" s="26">
        <f>Sum(C10,C39,C81,C89)</f>
        <v>6.735073317</v>
      </c>
      <c r="G11" s="6"/>
      <c r="I11" s="3" t="s">
        <v>99</v>
      </c>
      <c r="J11" s="15">
        <f>J10*(F5*(1.01))</f>
        <v>1655.656758</v>
      </c>
      <c r="L11" s="6"/>
      <c r="T11" s="48"/>
      <c r="U11" s="48"/>
      <c r="V11" s="49"/>
      <c r="Z11" s="31"/>
    </row>
    <row r="12">
      <c r="B12" s="7"/>
      <c r="C12" s="53"/>
      <c r="D12" s="11"/>
      <c r="E12" s="11" t="s">
        <v>100</v>
      </c>
      <c r="F12" s="15">
        <f>C62</f>
        <v>35432.84369</v>
      </c>
      <c r="G12" s="6"/>
      <c r="I12" s="3" t="s">
        <v>101</v>
      </c>
      <c r="J12" s="15">
        <f>J11/1000</f>
        <v>1.655656758</v>
      </c>
      <c r="L12" s="6"/>
      <c r="O12" s="54"/>
      <c r="T12" s="48"/>
      <c r="U12" s="48"/>
      <c r="V12" s="49"/>
      <c r="Z12" s="31"/>
    </row>
    <row r="13">
      <c r="B13" s="7" t="s">
        <v>102</v>
      </c>
      <c r="C13" s="53">
        <v>101.01</v>
      </c>
      <c r="D13" s="55"/>
      <c r="G13" s="6"/>
      <c r="L13" s="6"/>
      <c r="O13" s="56"/>
      <c r="T13" s="49"/>
      <c r="U13" s="48"/>
      <c r="V13" s="49"/>
    </row>
    <row r="14">
      <c r="B14" s="7" t="s">
        <v>103</v>
      </c>
      <c r="C14" s="57">
        <v>272.0</v>
      </c>
      <c r="D14" s="55"/>
      <c r="G14" s="6"/>
      <c r="L14" s="6"/>
      <c r="M14" s="58"/>
      <c r="T14" s="49"/>
      <c r="U14" s="49"/>
      <c r="V14" s="49"/>
    </row>
    <row r="15">
      <c r="B15" s="7" t="s">
        <v>104</v>
      </c>
      <c r="C15" s="57">
        <v>5494.77</v>
      </c>
      <c r="D15" s="55"/>
      <c r="G15" s="6"/>
      <c r="L15" s="6"/>
      <c r="M15" s="58"/>
      <c r="T15" s="49"/>
      <c r="U15" s="49"/>
      <c r="V15" s="49"/>
    </row>
    <row r="16">
      <c r="B16" s="7"/>
      <c r="C16" s="53"/>
      <c r="D16" s="11"/>
      <c r="E16" s="7"/>
      <c r="F16" s="24"/>
      <c r="G16" s="6"/>
      <c r="L16" s="6"/>
      <c r="O16" s="59"/>
      <c r="P16" s="59"/>
      <c r="R16" s="12"/>
      <c r="S16" s="59"/>
      <c r="T16" s="28"/>
      <c r="U16" s="45"/>
    </row>
    <row r="17">
      <c r="A17" s="27" t="s">
        <v>105</v>
      </c>
      <c r="G17" s="6"/>
      <c r="H17" s="6"/>
      <c r="I17" s="6"/>
      <c r="J17" s="6"/>
      <c r="L17" s="6"/>
      <c r="N17" s="28"/>
      <c r="O17" s="59"/>
      <c r="P17" s="59"/>
      <c r="Q17" s="28"/>
      <c r="R17" s="12"/>
      <c r="S17" s="59"/>
      <c r="T17" s="28"/>
      <c r="U17" s="45"/>
    </row>
    <row r="18">
      <c r="B18" s="3" t="s">
        <v>106</v>
      </c>
      <c r="C18" s="60">
        <v>9978.34076</v>
      </c>
      <c r="G18" s="6"/>
      <c r="H18" s="61" t="s">
        <v>107</v>
      </c>
      <c r="I18" s="62" t="s">
        <v>108</v>
      </c>
      <c r="J18" s="62" t="s">
        <v>109</v>
      </c>
      <c r="K18" s="63"/>
      <c r="L18" s="6"/>
      <c r="M18" s="8"/>
      <c r="N18" s="64"/>
      <c r="O18" s="28"/>
      <c r="P18" s="28"/>
      <c r="S18" s="28"/>
      <c r="T18" s="28"/>
      <c r="U18" s="45"/>
    </row>
    <row r="19">
      <c r="B19" s="3" t="s">
        <v>110</v>
      </c>
      <c r="C19" s="17">
        <v>0.75</v>
      </c>
      <c r="G19" s="6"/>
      <c r="H19" s="65" t="s">
        <v>31</v>
      </c>
      <c r="I19" s="66">
        <f>C9*F7</f>
        <v>0.9663</v>
      </c>
      <c r="J19" s="67">
        <f t="shared" ref="J19:J29" si="6">I19/$I$32</f>
        <v>0.03756246289</v>
      </c>
      <c r="K19" s="68"/>
      <c r="L19" s="6"/>
      <c r="M19" s="69"/>
      <c r="N19" s="28"/>
      <c r="O19" s="70"/>
      <c r="P19" s="70"/>
      <c r="R19" s="28"/>
      <c r="S19" s="64"/>
      <c r="T19" s="64"/>
      <c r="U19" s="71"/>
      <c r="V19" s="31"/>
    </row>
    <row r="20">
      <c r="B20" s="3" t="s">
        <v>111</v>
      </c>
      <c r="C20" s="30">
        <v>2838.75</v>
      </c>
      <c r="G20" s="6"/>
      <c r="H20" s="65" t="s">
        <v>38</v>
      </c>
      <c r="I20" s="72">
        <f>C27*F7</f>
        <v>16.98158592</v>
      </c>
      <c r="J20" s="67">
        <f t="shared" si="6"/>
        <v>0.6601161037</v>
      </c>
      <c r="K20" s="68"/>
      <c r="L20" s="6"/>
      <c r="M20" s="69"/>
    </row>
    <row r="21">
      <c r="B21" s="3" t="s">
        <v>112</v>
      </c>
      <c r="C21" s="60">
        <v>9145.640759999998</v>
      </c>
      <c r="G21" s="6"/>
      <c r="H21" s="65" t="s">
        <v>41</v>
      </c>
      <c r="I21" s="72">
        <f>C40*F7</f>
        <v>0</v>
      </c>
      <c r="J21" s="67">
        <f t="shared" si="6"/>
        <v>0</v>
      </c>
      <c r="K21" s="68"/>
      <c r="L21" s="6"/>
    </row>
    <row r="22">
      <c r="B22" s="3" t="s">
        <v>113</v>
      </c>
      <c r="C22" s="60">
        <v>2416.023828330352</v>
      </c>
      <c r="G22" s="6"/>
      <c r="H22" s="65" t="s">
        <v>44</v>
      </c>
      <c r="I22" s="72">
        <f>C48*F7</f>
        <v>0.4866898597</v>
      </c>
      <c r="J22" s="67">
        <f t="shared" si="6"/>
        <v>0.01891883451</v>
      </c>
      <c r="K22" s="68"/>
      <c r="L22" s="6"/>
      <c r="M22" s="58"/>
      <c r="N22" s="12"/>
      <c r="Q22" s="37"/>
    </row>
    <row r="23">
      <c r="B23" s="3" t="s">
        <v>114</v>
      </c>
      <c r="C23" s="60">
        <v>4618.543630951151</v>
      </c>
      <c r="G23" s="6"/>
      <c r="H23" s="65" t="s">
        <v>45</v>
      </c>
      <c r="I23" s="72">
        <f>C64*F7</f>
        <v>1.298314164</v>
      </c>
      <c r="J23" s="67">
        <f t="shared" si="6"/>
        <v>0.05046867183</v>
      </c>
      <c r="K23" s="68"/>
      <c r="L23" s="6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B24" s="3" t="s">
        <v>115</v>
      </c>
      <c r="C24" s="17">
        <v>0.0129</v>
      </c>
      <c r="G24" s="6"/>
      <c r="H24" s="65" t="s">
        <v>48</v>
      </c>
      <c r="I24" s="66">
        <f>C69*F7</f>
        <v>0.12021179</v>
      </c>
      <c r="J24" s="67">
        <f t="shared" si="6"/>
        <v>0.004672928595</v>
      </c>
      <c r="K24" s="68"/>
      <c r="L24" s="6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B25" s="3" t="s">
        <v>116</v>
      </c>
      <c r="C25" s="60">
        <f>C23*(1+C24)</f>
        <v>4678.122844</v>
      </c>
      <c r="G25" s="6"/>
      <c r="H25" s="65" t="s">
        <v>54</v>
      </c>
      <c r="I25" s="66">
        <f>C75*F7</f>
        <v>0.01422039959</v>
      </c>
      <c r="J25" s="67">
        <f t="shared" si="6"/>
        <v>0.0005527819847</v>
      </c>
      <c r="K25" s="68"/>
      <c r="L25" s="6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B26" s="3" t="s">
        <v>117</v>
      </c>
      <c r="C26" s="3">
        <f>'Emission Factors'!E15*1000</f>
        <v>3.63</v>
      </c>
      <c r="G26" s="6"/>
      <c r="H26" s="65" t="s">
        <v>57</v>
      </c>
      <c r="I26" s="66">
        <f>C82*F7</f>
        <v>0.0672658593</v>
      </c>
      <c r="J26" s="67">
        <f t="shared" si="6"/>
        <v>0.002614789758</v>
      </c>
      <c r="K26" s="68"/>
      <c r="L26" s="6"/>
      <c r="N26" s="73"/>
      <c r="Q26" s="37"/>
      <c r="R26" s="37"/>
      <c r="S26" s="45"/>
      <c r="T26" s="41"/>
      <c r="U26" s="37"/>
      <c r="V26" s="45"/>
      <c r="W26" s="37"/>
      <c r="X26" s="45"/>
      <c r="Y26" s="12"/>
    </row>
    <row r="27">
      <c r="B27" s="3" t="s">
        <v>118</v>
      </c>
      <c r="C27" s="15">
        <f>(C25*C26)/1000</f>
        <v>16.98158592</v>
      </c>
      <c r="G27" s="6"/>
      <c r="H27" s="65" t="s">
        <v>60</v>
      </c>
      <c r="I27" s="72">
        <f>C90*F7</f>
        <v>0</v>
      </c>
      <c r="J27" s="67">
        <f t="shared" si="6"/>
        <v>0</v>
      </c>
      <c r="K27" s="68"/>
      <c r="L27" s="6"/>
      <c r="N27" s="73"/>
      <c r="Q27" s="37"/>
      <c r="R27" s="37"/>
      <c r="S27" s="45"/>
      <c r="T27" s="41"/>
      <c r="U27" s="37"/>
      <c r="V27" s="45"/>
      <c r="W27" s="37"/>
      <c r="X27" s="45"/>
      <c r="Y27" s="12"/>
    </row>
    <row r="28">
      <c r="G28" s="6"/>
      <c r="H28" s="65" t="s">
        <v>63</v>
      </c>
      <c r="I28" s="72">
        <f>J8*F7</f>
        <v>4.134905457</v>
      </c>
      <c r="J28" s="67">
        <f t="shared" si="6"/>
        <v>0.1607339674</v>
      </c>
      <c r="K28" s="68"/>
      <c r="L28" s="6"/>
      <c r="N28" s="73"/>
      <c r="Q28" s="37"/>
      <c r="R28" s="37"/>
      <c r="S28" s="45"/>
      <c r="T28" s="41"/>
      <c r="U28" s="37"/>
      <c r="V28" s="45"/>
      <c r="W28" s="37"/>
      <c r="X28" s="45"/>
      <c r="Y28" s="12"/>
    </row>
    <row r="29">
      <c r="A29" s="74" t="s">
        <v>119</v>
      </c>
      <c r="D29" s="12"/>
      <c r="G29" s="6"/>
      <c r="H29" s="65" t="s">
        <v>64</v>
      </c>
      <c r="I29" s="72">
        <f>J12*F7</f>
        <v>1.655656758</v>
      </c>
      <c r="J29" s="67">
        <f t="shared" si="6"/>
        <v>0.06435945931</v>
      </c>
      <c r="K29" s="68"/>
      <c r="L29" s="6"/>
      <c r="N29" s="73"/>
      <c r="Q29" s="37"/>
      <c r="R29" s="37"/>
      <c r="S29" s="45"/>
      <c r="T29" s="41"/>
      <c r="U29" s="37"/>
      <c r="V29" s="45"/>
      <c r="W29" s="37"/>
      <c r="X29" s="45"/>
      <c r="Y29" s="12"/>
    </row>
    <row r="30">
      <c r="B30" s="75" t="s">
        <v>120</v>
      </c>
      <c r="C30" s="9">
        <v>1737.5031900000001</v>
      </c>
      <c r="G30" s="6"/>
      <c r="H30" s="65"/>
      <c r="I30" s="76"/>
      <c r="J30" s="67"/>
      <c r="K30" s="68"/>
      <c r="L30" s="6"/>
      <c r="N30" s="73"/>
      <c r="P30" s="17"/>
      <c r="Q30" s="37"/>
      <c r="R30" s="37"/>
      <c r="S30" s="45"/>
      <c r="T30" s="41"/>
      <c r="U30" s="37"/>
      <c r="V30" s="45"/>
      <c r="W30" s="37"/>
      <c r="X30" s="45"/>
      <c r="Y30" s="12"/>
    </row>
    <row r="31">
      <c r="B31" s="75" t="s">
        <v>121</v>
      </c>
      <c r="C31" s="77">
        <v>459.0</v>
      </c>
      <c r="D31" s="36"/>
      <c r="G31" s="6"/>
      <c r="H31" s="76"/>
      <c r="I31" s="76"/>
      <c r="J31" s="67"/>
      <c r="K31" s="68"/>
      <c r="L31" s="6"/>
      <c r="N31" s="73"/>
      <c r="P31" s="17"/>
      <c r="Q31" s="37"/>
      <c r="R31" s="37"/>
      <c r="S31" s="45"/>
      <c r="T31" s="41"/>
      <c r="U31" s="37"/>
      <c r="V31" s="45"/>
      <c r="W31" s="37"/>
      <c r="X31" s="45"/>
      <c r="Y31" s="12"/>
    </row>
    <row r="32">
      <c r="B32" s="75" t="s">
        <v>122</v>
      </c>
      <c r="C32" s="9">
        <v>0.0</v>
      </c>
      <c r="D32" s="22"/>
      <c r="G32" s="6"/>
      <c r="H32" s="65" t="s">
        <v>123</v>
      </c>
      <c r="I32" s="78">
        <f>SUM(I19:I29)</f>
        <v>25.72515021</v>
      </c>
      <c r="J32" s="67"/>
      <c r="K32" s="68"/>
      <c r="L32" s="6"/>
      <c r="M32" s="8"/>
      <c r="N32" s="31"/>
      <c r="O32" s="31"/>
      <c r="P32" s="31"/>
      <c r="Q32" s="31"/>
      <c r="R32" s="31"/>
      <c r="S32" s="71"/>
      <c r="T32" s="31"/>
      <c r="U32" s="79"/>
      <c r="V32" s="31"/>
      <c r="W32" s="79"/>
      <c r="X32" s="31"/>
      <c r="Y32" s="31"/>
      <c r="Z32" s="31"/>
      <c r="AA32" s="31"/>
      <c r="AB32" s="31"/>
    </row>
    <row r="33">
      <c r="B33" s="75" t="s">
        <v>124</v>
      </c>
      <c r="C33" s="9">
        <v>459.0</v>
      </c>
      <c r="G33" s="6"/>
      <c r="L33" s="6"/>
      <c r="N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B34" s="75" t="s">
        <v>125</v>
      </c>
      <c r="C34" s="80">
        <v>1476.71775</v>
      </c>
      <c r="G34" s="6"/>
      <c r="L34" s="6"/>
      <c r="N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B35" s="7" t="s">
        <v>115</v>
      </c>
      <c r="C35" s="81">
        <v>0.0129</v>
      </c>
      <c r="G35" s="6"/>
      <c r="K35" s="68"/>
      <c r="L35" s="6"/>
      <c r="N35" s="60"/>
      <c r="O35" s="59"/>
      <c r="R35" s="28"/>
    </row>
    <row r="36">
      <c r="B36" s="7" t="s">
        <v>116</v>
      </c>
      <c r="C36" s="80">
        <f>C34*(1+C35)</f>
        <v>1495.767409</v>
      </c>
      <c r="G36" s="6"/>
      <c r="H36" s="5"/>
      <c r="K36" s="68"/>
      <c r="L36" s="6"/>
      <c r="N36" s="60"/>
      <c r="O36" s="59"/>
      <c r="R36" s="28"/>
    </row>
    <row r="37">
      <c r="B37" s="3" t="s">
        <v>126</v>
      </c>
      <c r="C37" s="3">
        <f>'Emission Factors'!E14*1000</f>
        <v>3.87</v>
      </c>
      <c r="G37" s="6"/>
      <c r="H37" s="5"/>
      <c r="K37" s="68"/>
      <c r="L37" s="6"/>
      <c r="N37" s="60"/>
      <c r="O37" s="59"/>
      <c r="R37" s="28"/>
    </row>
    <row r="38">
      <c r="B38" s="3" t="s">
        <v>127</v>
      </c>
      <c r="C38" s="15">
        <f>(C37*C36)/1000</f>
        <v>5.788619873</v>
      </c>
      <c r="D38" s="12"/>
      <c r="G38" s="6"/>
      <c r="L38" s="6"/>
      <c r="N38" s="28"/>
      <c r="O38" s="59"/>
    </row>
    <row r="39">
      <c r="B39" s="7" t="s">
        <v>128</v>
      </c>
      <c r="C39" s="15">
        <f>C38</f>
        <v>5.788619873</v>
      </c>
      <c r="G39" s="6"/>
      <c r="L39" s="6"/>
      <c r="M39" s="8"/>
      <c r="N39" s="64"/>
    </row>
    <row r="40">
      <c r="B40" s="7" t="s">
        <v>129</v>
      </c>
      <c r="C40" s="15">
        <f>C38-C39</f>
        <v>0</v>
      </c>
      <c r="G40" s="6"/>
      <c r="L40" s="6"/>
      <c r="M40" s="8"/>
      <c r="N40" s="64"/>
    </row>
    <row r="41">
      <c r="G41" s="6"/>
      <c r="H41" s="82"/>
      <c r="I41" s="8"/>
      <c r="L41" s="6"/>
    </row>
    <row r="42">
      <c r="A42" s="27" t="s">
        <v>130</v>
      </c>
      <c r="G42" s="6"/>
      <c r="H42" s="5"/>
      <c r="L42" s="6"/>
    </row>
    <row r="43">
      <c r="B43" s="3" t="s">
        <v>131</v>
      </c>
      <c r="C43" s="60">
        <v>46.492</v>
      </c>
      <c r="G43" s="6"/>
      <c r="H43" s="5"/>
      <c r="J43" s="83"/>
      <c r="L43" s="6"/>
    </row>
    <row r="44">
      <c r="B44" s="3" t="s">
        <v>132</v>
      </c>
      <c r="C44" s="60">
        <v>128.4736682</v>
      </c>
      <c r="G44" s="6"/>
      <c r="H44" s="5"/>
      <c r="J44" s="83"/>
      <c r="L44" s="6"/>
    </row>
    <row r="45">
      <c r="B45" s="3" t="s">
        <v>115</v>
      </c>
      <c r="C45" s="17">
        <v>0.0129</v>
      </c>
      <c r="G45" s="6"/>
      <c r="H45" s="5"/>
      <c r="L45" s="6"/>
    </row>
    <row r="46">
      <c r="B46" s="3" t="s">
        <v>116</v>
      </c>
      <c r="C46" s="60">
        <f>C44*(1+C45)</f>
        <v>130.1309785</v>
      </c>
      <c r="G46" s="6"/>
      <c r="H46" s="5"/>
      <c r="J46" s="83"/>
      <c r="L46" s="6"/>
    </row>
    <row r="47">
      <c r="B47" s="3" t="s">
        <v>133</v>
      </c>
      <c r="C47" s="3">
        <f>'Emission Factors'!E16*1000</f>
        <v>3.74</v>
      </c>
      <c r="G47" s="6"/>
      <c r="H47" s="5"/>
      <c r="J47" s="84"/>
      <c r="L47" s="6"/>
    </row>
    <row r="48">
      <c r="B48" s="3" t="s">
        <v>134</v>
      </c>
      <c r="C48" s="15">
        <f>(C47*C46)/1000</f>
        <v>0.4866898597</v>
      </c>
      <c r="G48" s="6"/>
      <c r="H48" s="5"/>
      <c r="J48" s="83"/>
      <c r="L48" s="6"/>
    </row>
    <row r="49">
      <c r="D49" s="12"/>
      <c r="G49" s="6"/>
      <c r="H49" s="5"/>
      <c r="J49" s="83"/>
      <c r="L49" s="6"/>
    </row>
    <row r="50">
      <c r="A50" s="27" t="s">
        <v>135</v>
      </c>
      <c r="G50" s="6"/>
      <c r="H50" s="5"/>
      <c r="J50" s="83"/>
      <c r="L50" s="6"/>
    </row>
    <row r="51">
      <c r="B51" s="55" t="s">
        <v>136</v>
      </c>
      <c r="C51" s="85">
        <v>43478.12</v>
      </c>
      <c r="G51" s="6"/>
      <c r="H51" s="5"/>
      <c r="J51" s="83"/>
      <c r="L51" s="6"/>
    </row>
    <row r="52">
      <c r="B52" s="55" t="s">
        <v>137</v>
      </c>
      <c r="C52" s="86">
        <v>0.02</v>
      </c>
      <c r="G52" s="6"/>
      <c r="H52" s="5"/>
      <c r="J52" s="83"/>
      <c r="L52" s="6"/>
    </row>
    <row r="53">
      <c r="B53" s="55" t="s">
        <v>138</v>
      </c>
      <c r="C53" s="87">
        <f>C51*(1+C52)</f>
        <v>44347.6824</v>
      </c>
      <c r="G53" s="6"/>
      <c r="H53" s="5"/>
      <c r="J53" s="83"/>
      <c r="L53" s="6"/>
    </row>
    <row r="54">
      <c r="B54" s="55" t="s">
        <v>139</v>
      </c>
      <c r="C54" s="88">
        <v>9212.0</v>
      </c>
      <c r="G54" s="6"/>
      <c r="H54" s="5"/>
      <c r="J54" s="83"/>
      <c r="L54" s="6"/>
    </row>
    <row r="55">
      <c r="B55" s="55" t="s">
        <v>140</v>
      </c>
      <c r="C55" s="9">
        <v>31.0</v>
      </c>
      <c r="G55" s="6"/>
      <c r="J55" s="82"/>
      <c r="L55" s="6"/>
    </row>
    <row r="56">
      <c r="B56" s="55" t="s">
        <v>141</v>
      </c>
      <c r="C56" s="87">
        <f>C54/C55</f>
        <v>297.1612903</v>
      </c>
      <c r="G56" s="6"/>
      <c r="H56" s="5"/>
      <c r="J56" s="82"/>
      <c r="L56" s="6"/>
    </row>
    <row r="57">
      <c r="B57" s="7" t="s">
        <v>142</v>
      </c>
      <c r="C57" s="9">
        <v>30.0</v>
      </c>
      <c r="G57" s="6"/>
      <c r="L57" s="6"/>
    </row>
    <row r="58">
      <c r="B58" s="55" t="s">
        <v>143</v>
      </c>
      <c r="C58" s="87">
        <f>(C56*C57)</f>
        <v>8914.83871</v>
      </c>
      <c r="G58" s="6"/>
      <c r="L58" s="6"/>
    </row>
    <row r="59">
      <c r="B59" s="55" t="s">
        <v>144</v>
      </c>
      <c r="C59" s="87">
        <f>C53-C58</f>
        <v>35432.84369</v>
      </c>
      <c r="G59" s="6"/>
      <c r="L59" s="6"/>
    </row>
    <row r="60">
      <c r="B60" s="3" t="s">
        <v>145</v>
      </c>
      <c r="C60" s="89">
        <f>'Emission Factors'!E10*1000</f>
        <v>0.4890238251</v>
      </c>
      <c r="G60" s="6"/>
      <c r="I60" s="17"/>
      <c r="L60" s="6"/>
    </row>
    <row r="61">
      <c r="B61" s="3" t="s">
        <v>146</v>
      </c>
      <c r="C61" s="15">
        <f>(C60*C59)/1000</f>
        <v>17.32750476</v>
      </c>
      <c r="G61" s="6"/>
      <c r="L61" s="6"/>
    </row>
    <row r="62">
      <c r="B62" s="3" t="s">
        <v>147</v>
      </c>
      <c r="C62" s="15">
        <f>C59</f>
        <v>35432.84369</v>
      </c>
      <c r="G62" s="6"/>
      <c r="L62" s="6"/>
    </row>
    <row r="63">
      <c r="B63" s="3" t="s">
        <v>148</v>
      </c>
      <c r="C63" s="90">
        <f>'Emission Factors'!E11*1000</f>
        <v>0.03664154577</v>
      </c>
      <c r="G63" s="6"/>
      <c r="L63" s="6"/>
    </row>
    <row r="64">
      <c r="B64" s="3" t="s">
        <v>129</v>
      </c>
      <c r="C64" s="15">
        <f>(C63*C62)/1000</f>
        <v>1.298314164</v>
      </c>
      <c r="G64" s="6"/>
      <c r="L64" s="6"/>
    </row>
    <row r="65">
      <c r="G65" s="6"/>
      <c r="L65" s="6"/>
    </row>
    <row r="66">
      <c r="A66" s="27" t="s">
        <v>149</v>
      </c>
      <c r="G66" s="6"/>
      <c r="L66" s="6"/>
    </row>
    <row r="67">
      <c r="B67" s="3" t="s">
        <v>150</v>
      </c>
      <c r="C67" s="30">
        <v>62244.55</v>
      </c>
      <c r="G67" s="6"/>
      <c r="L67" s="6"/>
    </row>
    <row r="68">
      <c r="B68" s="3" t="s">
        <v>151</v>
      </c>
      <c r="C68" s="3">
        <v>1.931282177E-6</v>
      </c>
      <c r="G68" s="6"/>
      <c r="L68" s="6"/>
    </row>
    <row r="69">
      <c r="B69" s="3" t="s">
        <v>152</v>
      </c>
      <c r="C69" s="91">
        <f>C68*C67</f>
        <v>0.12021179</v>
      </c>
      <c r="G69" s="6"/>
      <c r="L69" s="6"/>
    </row>
    <row r="70">
      <c r="G70" s="6"/>
      <c r="L70" s="6"/>
    </row>
    <row r="71">
      <c r="A71" s="27" t="s">
        <v>153</v>
      </c>
      <c r="G71" s="6"/>
      <c r="L71" s="6"/>
    </row>
    <row r="72">
      <c r="B72" s="55" t="s">
        <v>154</v>
      </c>
      <c r="C72" s="60">
        <v>8166.59</v>
      </c>
      <c r="G72" s="6"/>
      <c r="L72" s="6"/>
    </row>
    <row r="73">
      <c r="B73" s="55" t="s">
        <v>155</v>
      </c>
      <c r="C73" s="60">
        <v>30951.38</v>
      </c>
      <c r="G73" s="6"/>
      <c r="L73" s="6"/>
    </row>
    <row r="74">
      <c r="B74" s="3" t="s">
        <v>156</v>
      </c>
      <c r="C74" s="92">
        <f>'Emission Factors'!E17*1000</f>
        <v>0.001741289766</v>
      </c>
      <c r="G74" s="6"/>
      <c r="L74" s="6"/>
    </row>
    <row r="75">
      <c r="B75" s="3" t="s">
        <v>157</v>
      </c>
      <c r="C75" s="93">
        <f>(C74*C72)/1000</f>
        <v>0.01422039959</v>
      </c>
      <c r="D75" s="94"/>
      <c r="G75" s="6"/>
      <c r="L75" s="6"/>
    </row>
    <row r="76">
      <c r="D76" s="95"/>
      <c r="G76" s="6"/>
      <c r="L76" s="6"/>
    </row>
    <row r="77">
      <c r="A77" s="27" t="s">
        <v>158</v>
      </c>
      <c r="C77" s="94"/>
      <c r="D77" s="94"/>
      <c r="G77" s="6"/>
      <c r="L77" s="6"/>
    </row>
    <row r="78">
      <c r="B78" s="7" t="s">
        <v>159</v>
      </c>
      <c r="C78" s="38">
        <v>0.0325534446</v>
      </c>
      <c r="D78" s="94"/>
      <c r="G78" s="6"/>
      <c r="L78" s="6"/>
    </row>
    <row r="79">
      <c r="B79" s="7" t="s">
        <v>160</v>
      </c>
      <c r="C79" s="38">
        <v>0.0672658592</v>
      </c>
      <c r="D79" s="94"/>
      <c r="G79" s="6"/>
      <c r="L79" s="6"/>
    </row>
    <row r="80">
      <c r="B80" s="7" t="s">
        <v>92</v>
      </c>
      <c r="C80" s="38">
        <v>0.0998193039</v>
      </c>
      <c r="G80" s="6"/>
      <c r="L80" s="6"/>
    </row>
    <row r="81">
      <c r="B81" s="7" t="s">
        <v>128</v>
      </c>
      <c r="C81" s="32">
        <f>C78</f>
        <v>0.0325534446</v>
      </c>
      <c r="G81" s="6"/>
      <c r="L81" s="6"/>
    </row>
    <row r="82">
      <c r="B82" s="7" t="s">
        <v>129</v>
      </c>
      <c r="C82" s="32">
        <f>C80-C78</f>
        <v>0.0672658593</v>
      </c>
      <c r="G82" s="6"/>
      <c r="L82" s="6"/>
    </row>
    <row r="83">
      <c r="A83" s="74" t="s">
        <v>161</v>
      </c>
      <c r="G83" s="6"/>
      <c r="L83" s="6"/>
    </row>
    <row r="84">
      <c r="A84" s="5"/>
      <c r="B84" s="7" t="s">
        <v>162</v>
      </c>
      <c r="C84" s="38">
        <v>0.0</v>
      </c>
      <c r="G84" s="6"/>
      <c r="L84" s="6"/>
    </row>
    <row r="85">
      <c r="B85" s="7" t="s">
        <v>163</v>
      </c>
      <c r="C85" s="38">
        <v>0.0</v>
      </c>
      <c r="G85" s="6"/>
      <c r="L85" s="6"/>
    </row>
    <row r="86">
      <c r="B86" s="7" t="s">
        <v>164</v>
      </c>
      <c r="C86" s="38">
        <v>0.0</v>
      </c>
      <c r="G86" s="6"/>
      <c r="L86" s="6"/>
    </row>
    <row r="87">
      <c r="B87" s="3"/>
      <c r="C87" s="23"/>
      <c r="G87" s="6"/>
      <c r="L87" s="6"/>
    </row>
    <row r="88">
      <c r="B88" s="3" t="s">
        <v>92</v>
      </c>
      <c r="C88" s="89">
        <f>SUM(C84,C85,C86)</f>
        <v>0</v>
      </c>
      <c r="G88" s="6"/>
      <c r="L88" s="6"/>
    </row>
    <row r="89">
      <c r="B89" s="7" t="s">
        <v>128</v>
      </c>
      <c r="C89" s="42">
        <f>C84</f>
        <v>0</v>
      </c>
      <c r="G89" s="6"/>
      <c r="L89" s="6"/>
    </row>
    <row r="90">
      <c r="B90" s="7" t="s">
        <v>129</v>
      </c>
      <c r="C90" s="42">
        <f>C88-C89</f>
        <v>0</v>
      </c>
      <c r="G90" s="6"/>
      <c r="L90" s="6"/>
    </row>
    <row r="91">
      <c r="G91" s="6"/>
      <c r="L91" s="6"/>
    </row>
    <row r="92">
      <c r="G92" s="6"/>
      <c r="L92" s="6"/>
    </row>
    <row r="93">
      <c r="G93" s="6"/>
      <c r="L93" s="6"/>
    </row>
    <row r="94">
      <c r="G94" s="6"/>
      <c r="L94" s="6"/>
    </row>
    <row r="95">
      <c r="G95" s="6"/>
      <c r="L95" s="6"/>
    </row>
    <row r="96">
      <c r="G96" s="6"/>
      <c r="L96" s="6"/>
    </row>
    <row r="97">
      <c r="G97" s="6"/>
      <c r="L97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2" t="s">
        <v>1</v>
      </c>
    </row>
    <row r="2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</row>
    <row r="3">
      <c r="A3" s="7" t="s">
        <v>9</v>
      </c>
      <c r="B3" s="7" t="s">
        <v>12</v>
      </c>
      <c r="C3" s="9">
        <v>1.384E-4</v>
      </c>
      <c r="D3" s="11"/>
      <c r="E3" s="9">
        <v>1.384E-4</v>
      </c>
      <c r="F3" s="21" t="s">
        <v>20</v>
      </c>
    </row>
    <row r="4">
      <c r="A4" s="7" t="s">
        <v>30</v>
      </c>
      <c r="B4" s="7" t="s">
        <v>12</v>
      </c>
      <c r="C4" s="9">
        <v>1.143E-4</v>
      </c>
      <c r="D4" s="7">
        <v>0.0</v>
      </c>
      <c r="E4" s="9">
        <v>1.143E-4</v>
      </c>
      <c r="F4" s="21" t="s">
        <v>20</v>
      </c>
    </row>
    <row r="5">
      <c r="A5" s="7" t="s">
        <v>32</v>
      </c>
      <c r="B5" s="7" t="s">
        <v>33</v>
      </c>
      <c r="C5" s="9">
        <v>2.3756059E-4</v>
      </c>
      <c r="D5" s="11"/>
      <c r="E5" s="9">
        <v>2.3756059E-4</v>
      </c>
      <c r="F5" s="3" t="s">
        <v>20</v>
      </c>
    </row>
    <row r="6">
      <c r="A6" s="7" t="s">
        <v>34</v>
      </c>
      <c r="B6" s="7" t="s">
        <v>33</v>
      </c>
      <c r="C6" s="9">
        <v>1.927908256E-4</v>
      </c>
      <c r="D6" s="11"/>
      <c r="E6" s="9">
        <v>1.927908256E-4</v>
      </c>
      <c r="F6" s="7" t="s">
        <v>20</v>
      </c>
    </row>
    <row r="7">
      <c r="A7" s="11"/>
      <c r="B7" s="11"/>
      <c r="C7" s="9"/>
      <c r="D7" s="24"/>
      <c r="E7" s="24"/>
      <c r="F7" s="3"/>
    </row>
    <row r="8">
      <c r="A8" s="7" t="s">
        <v>35</v>
      </c>
      <c r="B8" s="7" t="s">
        <v>36</v>
      </c>
      <c r="C8" s="9">
        <v>4.655516852E-4</v>
      </c>
      <c r="D8" s="11"/>
      <c r="E8" s="9">
        <v>4.655516852E-4</v>
      </c>
      <c r="F8" s="3" t="s">
        <v>37</v>
      </c>
    </row>
    <row r="9">
      <c r="A9" s="7" t="s">
        <v>39</v>
      </c>
      <c r="B9" s="7" t="s">
        <v>36</v>
      </c>
      <c r="C9" s="9">
        <v>1.002719674E-5</v>
      </c>
      <c r="D9" s="11"/>
      <c r="E9" s="9">
        <v>1.002719674E-5</v>
      </c>
      <c r="F9" s="3" t="s">
        <v>37</v>
      </c>
    </row>
    <row r="10">
      <c r="A10" s="7" t="s">
        <v>46</v>
      </c>
      <c r="B10" s="7" t="s">
        <v>36</v>
      </c>
      <c r="C10" s="9">
        <v>4.890238251E-4</v>
      </c>
      <c r="D10" s="11"/>
      <c r="E10" s="9">
        <v>4.890238251E-4</v>
      </c>
      <c r="F10" s="3" t="s">
        <v>37</v>
      </c>
    </row>
    <row r="11">
      <c r="A11" s="7" t="s">
        <v>47</v>
      </c>
      <c r="B11" s="7" t="s">
        <v>36</v>
      </c>
      <c r="C11" s="9">
        <v>3.664154577E-5</v>
      </c>
      <c r="D11" s="11"/>
      <c r="E11" s="9">
        <v>3.664154577E-5</v>
      </c>
      <c r="F11" s="3" t="s">
        <v>37</v>
      </c>
    </row>
    <row r="12">
      <c r="A12" s="11" t="s">
        <v>50</v>
      </c>
      <c r="B12" s="11" t="s">
        <v>51</v>
      </c>
      <c r="C12" s="9">
        <v>1.034335159E-4</v>
      </c>
      <c r="D12" s="11" t="s">
        <v>52</v>
      </c>
      <c r="E12" s="24">
        <f t="shared" ref="E12:E17" si="1">C12</f>
        <v>0.0001034335159</v>
      </c>
      <c r="F12" s="7" t="s">
        <v>58</v>
      </c>
    </row>
    <row r="13">
      <c r="A13" s="11" t="s">
        <v>59</v>
      </c>
      <c r="B13" s="11" t="s">
        <v>61</v>
      </c>
      <c r="C13" s="9">
        <v>0.001518790827</v>
      </c>
      <c r="D13" s="11" t="s">
        <v>52</v>
      </c>
      <c r="E13" s="24">
        <f t="shared" si="1"/>
        <v>0.001518790827</v>
      </c>
      <c r="F13" s="33" t="s">
        <v>62</v>
      </c>
    </row>
    <row r="14">
      <c r="A14" s="11" t="s">
        <v>65</v>
      </c>
      <c r="B14" s="11" t="s">
        <v>66</v>
      </c>
      <c r="C14" s="9">
        <v>0.00387</v>
      </c>
      <c r="D14" s="11" t="s">
        <v>52</v>
      </c>
      <c r="E14" s="24">
        <f t="shared" si="1"/>
        <v>0.00387</v>
      </c>
      <c r="F14" s="21" t="s">
        <v>20</v>
      </c>
    </row>
    <row r="15">
      <c r="A15" s="11" t="s">
        <v>68</v>
      </c>
      <c r="B15" s="11" t="s">
        <v>66</v>
      </c>
      <c r="C15" s="9">
        <v>0.00363</v>
      </c>
      <c r="D15" s="11" t="s">
        <v>52</v>
      </c>
      <c r="E15" s="24">
        <f t="shared" si="1"/>
        <v>0.00363</v>
      </c>
      <c r="F15" s="21" t="s">
        <v>20</v>
      </c>
    </row>
    <row r="16">
      <c r="A16" s="11" t="s">
        <v>70</v>
      </c>
      <c r="B16" s="11" t="s">
        <v>66</v>
      </c>
      <c r="C16" s="9">
        <v>0.00374</v>
      </c>
      <c r="D16" s="11" t="s">
        <v>52</v>
      </c>
      <c r="E16" s="24">
        <f t="shared" si="1"/>
        <v>0.00374</v>
      </c>
      <c r="F16" s="21" t="s">
        <v>20</v>
      </c>
    </row>
    <row r="17">
      <c r="A17" s="11" t="s">
        <v>72</v>
      </c>
      <c r="B17" s="11" t="s">
        <v>73</v>
      </c>
      <c r="C17" s="9">
        <v>1.741289766E-6</v>
      </c>
      <c r="D17" s="11" t="s">
        <v>52</v>
      </c>
      <c r="E17" s="24">
        <f t="shared" si="1"/>
        <v>0.000001741289766</v>
      </c>
      <c r="F17" s="43" t="s">
        <v>75</v>
      </c>
    </row>
    <row r="21">
      <c r="D21" s="3" t="s">
        <v>83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10" t="str">
        <f>'Apr 26 PP Summary'!E5</f>
        <v>Production Operating Hours</v>
      </c>
      <c r="C2" s="12">
        <f>'Apr 26 PP Summary'!F5</f>
        <v>1966.7</v>
      </c>
    </row>
    <row r="3">
      <c r="B3" s="10" t="str">
        <f>'Apr 26 PP Summary'!I5</f>
        <v>Total Biomass Consumed (MT)</v>
      </c>
      <c r="C3" s="15">
        <f>'Apr 26 PP Summary'!J5</f>
        <v>62.24455</v>
      </c>
    </row>
    <row r="4">
      <c r="B4" s="10" t="str">
        <f t="shared" ref="B4:C4" si="1">#REF!</f>
        <v>#REF!</v>
      </c>
      <c r="C4" s="10" t="str">
        <f t="shared" si="1"/>
        <v>#REF!</v>
      </c>
    </row>
    <row r="5">
      <c r="A5" s="3" t="s">
        <v>24</v>
      </c>
      <c r="B5" s="10" t="str">
        <f>'Apr 26 PP Summary'!B25</f>
        <v>Uncertainty Adjusted Total</v>
      </c>
      <c r="C5" s="15">
        <f>'Apr 26 PP Summary'!C25</f>
        <v>4678.122844</v>
      </c>
    </row>
    <row r="6">
      <c r="A6" s="3" t="s">
        <v>26</v>
      </c>
      <c r="B6" s="10" t="str">
        <f>'Apr 26 PP Summary'!B36</f>
        <v>Uncertainty Adjusted Total</v>
      </c>
      <c r="C6" s="15">
        <f>'Apr 26 PP Summary'!C36</f>
        <v>1495.767409</v>
      </c>
    </row>
    <row r="7">
      <c r="A7" s="3" t="s">
        <v>28</v>
      </c>
      <c r="B7" s="10" t="str">
        <f>'Apr 26 PP Summary'!B46</f>
        <v>Uncertainty Adjusted Total</v>
      </c>
    </row>
    <row r="10">
      <c r="B10" s="10" t="str">
        <f>'Apr 26 PP Summary'!H19</f>
        <v>Biomass Transport</v>
      </c>
      <c r="C10" s="23">
        <f>'Apr 26 PP Summary'!I19</f>
        <v>0.9663</v>
      </c>
    </row>
    <row r="11">
      <c r="B11" s="10" t="str">
        <f>'Apr 26 PP Summary'!H20</f>
        <v>Propane</v>
      </c>
      <c r="C11" s="15">
        <f>'Apr 26 PP Summary'!I20</f>
        <v>16.98158592</v>
      </c>
    </row>
    <row r="12">
      <c r="B12" s="10" t="str">
        <f>'Apr 26 PP Summary'!H21</f>
        <v>Diesel</v>
      </c>
      <c r="C12" s="15">
        <f>'Apr 26 PP Summary'!I21</f>
        <v>0</v>
      </c>
    </row>
    <row r="13">
      <c r="B13" s="10" t="str">
        <f>'Apr 26 PP Summary'!H22</f>
        <v>Gasoline</v>
      </c>
      <c r="C13" s="15">
        <f>'Apr 26 PP Summary'!I22</f>
        <v>0.4866898597</v>
      </c>
    </row>
    <row r="14">
      <c r="B14" s="10" t="str">
        <f>'Apr 26 PP Summary'!H23</f>
        <v>Electricity</v>
      </c>
      <c r="C14" s="15">
        <f>'Apr 26 PP Summary'!I23</f>
        <v>1.298314164</v>
      </c>
    </row>
    <row r="15">
      <c r="B15" s="10" t="str">
        <f>'Apr 26 PP Summary'!H24</f>
        <v>Tailgas</v>
      </c>
      <c r="C15" s="23">
        <f>'Apr 26 PP Summary'!I24</f>
        <v>0.12021179</v>
      </c>
    </row>
    <row r="16">
      <c r="B16" s="10" t="str">
        <f>'Apr 26 PP Summary'!H25</f>
        <v>Water</v>
      </c>
      <c r="C16" s="23">
        <f>'Apr 26 PP Summary'!I25</f>
        <v>0.01422039959</v>
      </c>
    </row>
    <row r="17">
      <c r="B17" s="10" t="str">
        <f>'Apr 26 PP Summary'!H26</f>
        <v>Consumables Delivery</v>
      </c>
      <c r="C17" s="23">
        <f>'Apr 26 PP Summary'!I26</f>
        <v>0.0672658593</v>
      </c>
    </row>
    <row r="18">
      <c r="B18" s="10" t="str">
        <f>'Apr 26 PP Summary'!H27</f>
        <v>Waste Disposal</v>
      </c>
      <c r="C18" s="15">
        <f>'Apr 26 PP Summary'!I27</f>
        <v>0</v>
      </c>
    </row>
    <row r="19">
      <c r="B19" s="10" t="str">
        <f>'Apr 26 PP Summary'!H28</f>
        <v>Capital Goods EE</v>
      </c>
      <c r="C19" s="15">
        <f>'Apr 26 PP Summary'!I28</f>
        <v>4.134905457</v>
      </c>
    </row>
    <row r="20">
      <c r="B20" s="10" t="str">
        <f>'Apr 26 PP Summary'!H29</f>
        <v>SP+C EE</v>
      </c>
      <c r="C20" s="15">
        <f>'Apr 26 PP Summary'!I29</f>
        <v>1.655656758</v>
      </c>
    </row>
    <row r="21">
      <c r="B21" s="10" t="str">
        <f>'Apr 26 PP Summary'!H32</f>
        <v>Total</v>
      </c>
      <c r="C21" s="23">
        <f>'Apr 26 PP Summary'!I32</f>
        <v>25.72515021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3" t="s">
        <v>2</v>
      </c>
      <c r="B1" s="14">
        <f>'Apr 26 PP Summary'!F5</f>
        <v>1966.7</v>
      </c>
    </row>
    <row r="2">
      <c r="A2" s="3" t="s">
        <v>22</v>
      </c>
      <c r="B2" s="16">
        <f>'Apr 26 PP Summary'!J5</f>
        <v>62.24455</v>
      </c>
    </row>
    <row r="3">
      <c r="A3" s="3" t="s">
        <v>23</v>
      </c>
      <c r="B3" s="18">
        <f>'Apr 26 PP Summary'!N2</f>
        <v>17580.4</v>
      </c>
    </row>
    <row r="4">
      <c r="A4" s="3" t="s">
        <v>25</v>
      </c>
      <c r="B4" s="20">
        <f>'Apr 26 PP Summary'!P2</f>
        <v>0.4694</v>
      </c>
    </row>
    <row r="5">
      <c r="A5" s="3" t="s">
        <v>27</v>
      </c>
      <c r="B5" s="18">
        <f>'Apr 26 PP Summary'!N3</f>
        <v>4721.4</v>
      </c>
    </row>
    <row r="6">
      <c r="A6" s="3" t="s">
        <v>29</v>
      </c>
      <c r="B6" s="20">
        <f>'Apr 26 PP Summary'!P3</f>
        <v>0.7799</v>
      </c>
    </row>
    <row r="7">
      <c r="A7" s="3" t="s">
        <v>31</v>
      </c>
      <c r="B7" s="25">
        <f>'Apr 26 PP Summary'!I19</f>
        <v>0.9663</v>
      </c>
    </row>
    <row r="8">
      <c r="A8" s="3" t="s">
        <v>38</v>
      </c>
      <c r="B8" s="16">
        <f>'Apr 26 PP Summary'!I20</f>
        <v>16.98158592</v>
      </c>
    </row>
    <row r="9">
      <c r="A9" s="3" t="s">
        <v>41</v>
      </c>
      <c r="B9" s="16">
        <f>'Apr 26 PP Summary'!I21</f>
        <v>0</v>
      </c>
    </row>
    <row r="10">
      <c r="A10" s="3" t="s">
        <v>44</v>
      </c>
      <c r="B10" s="16">
        <f>'Apr 26 PP Summary'!I22</f>
        <v>0.4866898597</v>
      </c>
    </row>
    <row r="11">
      <c r="A11" s="3" t="s">
        <v>45</v>
      </c>
      <c r="B11" s="16">
        <f>'Apr 26 PP Summary'!I23</f>
        <v>1.298314164</v>
      </c>
    </row>
    <row r="12">
      <c r="A12" s="3" t="s">
        <v>48</v>
      </c>
      <c r="B12" s="25">
        <f>'Apr 26 PP Summary'!I24</f>
        <v>0.12021179</v>
      </c>
    </row>
    <row r="13">
      <c r="A13" s="3" t="s">
        <v>54</v>
      </c>
      <c r="B13" s="25">
        <f>'Apr 26 PP Summary'!I25</f>
        <v>0.01422039959</v>
      </c>
    </row>
    <row r="14">
      <c r="A14" s="3" t="s">
        <v>57</v>
      </c>
      <c r="B14" s="25">
        <f>'Apr 26 PP Summary'!I26</f>
        <v>0.0672658593</v>
      </c>
    </row>
    <row r="15">
      <c r="A15" s="3" t="s">
        <v>60</v>
      </c>
      <c r="B15" s="16">
        <f>'Apr 26 PP Summary'!I27</f>
        <v>0</v>
      </c>
    </row>
    <row r="16">
      <c r="A16" s="3" t="s">
        <v>63</v>
      </c>
      <c r="B16" s="16">
        <f>'Apr 26 PP Summary'!I28</f>
        <v>4.134905457</v>
      </c>
    </row>
    <row r="17">
      <c r="A17" s="3" t="s">
        <v>64</v>
      </c>
      <c r="B17" s="16">
        <f>'Apr 26 PP Summary'!I29</f>
        <v>1.655656758</v>
      </c>
    </row>
    <row r="18">
      <c r="A18" s="3" t="s">
        <v>69</v>
      </c>
      <c r="B18" s="34"/>
    </row>
    <row r="19">
      <c r="A19" s="3" t="s">
        <v>71</v>
      </c>
      <c r="B19" s="36">
        <v>75500.0</v>
      </c>
    </row>
    <row r="20">
      <c r="A20" s="3" t="s">
        <v>74</v>
      </c>
      <c r="B20" s="14">
        <f>'Apr 26 PP Summary'!C14</f>
        <v>272</v>
      </c>
    </row>
    <row r="21">
      <c r="A21" s="3" t="s">
        <v>77</v>
      </c>
      <c r="B21" s="14">
        <f>'Apr 26 PP Summary'!C13</f>
        <v>101.01</v>
      </c>
    </row>
    <row r="22">
      <c r="A22" s="3" t="s">
        <v>79</v>
      </c>
      <c r="B22" s="44" t="s">
        <v>81</v>
      </c>
    </row>
    <row r="23">
      <c r="A23" s="3" t="s">
        <v>84</v>
      </c>
      <c r="B23" s="16">
        <f>'Apr 26 PP Summary'!C25</f>
        <v>4678.122844</v>
      </c>
    </row>
    <row r="24">
      <c r="A24" s="3" t="s">
        <v>86</v>
      </c>
      <c r="B24" s="16">
        <f>'Apr 26 PP Summary'!C36</f>
        <v>1495.767409</v>
      </c>
    </row>
    <row r="25">
      <c r="A25" s="3" t="s">
        <v>87</v>
      </c>
      <c r="B25" s="16">
        <f>'Apr 26 PP Summary'!C46</f>
        <v>130.1309785</v>
      </c>
    </row>
    <row r="26">
      <c r="A26" s="3" t="s">
        <v>90</v>
      </c>
      <c r="B26" s="16">
        <f>'Apr 26 PP Summary'!C59</f>
        <v>35432.84369</v>
      </c>
    </row>
    <row r="27">
      <c r="A27" s="3" t="s">
        <v>91</v>
      </c>
      <c r="B27" s="16">
        <f>'Apr 26 PP Summary'!C73</f>
        <v>30951.38</v>
      </c>
    </row>
    <row r="28">
      <c r="B28" s="47"/>
    </row>
    <row r="29">
      <c r="B29" s="47"/>
    </row>
    <row r="30">
      <c r="B30" s="47"/>
    </row>
    <row r="31">
      <c r="B31" s="47"/>
    </row>
    <row r="32">
      <c r="B32" s="47"/>
    </row>
    <row r="33">
      <c r="B33" s="47"/>
    </row>
    <row r="34">
      <c r="B34" s="47"/>
    </row>
    <row r="35">
      <c r="B35" s="47"/>
    </row>
    <row r="36">
      <c r="B36" s="47"/>
    </row>
    <row r="37">
      <c r="B37" s="47"/>
    </row>
    <row r="38">
      <c r="B38" s="47"/>
    </row>
    <row r="39">
      <c r="B39" s="47"/>
    </row>
    <row r="40">
      <c r="B40" s="47"/>
    </row>
    <row r="41">
      <c r="B41" s="47"/>
    </row>
    <row r="42">
      <c r="B42" s="47"/>
    </row>
    <row r="43">
      <c r="B43" s="47"/>
    </row>
    <row r="44">
      <c r="B44" s="47"/>
    </row>
    <row r="45">
      <c r="B45" s="47"/>
    </row>
    <row r="46">
      <c r="B46" s="47"/>
    </row>
    <row r="47">
      <c r="B47" s="47"/>
    </row>
    <row r="48">
      <c r="B48" s="47"/>
    </row>
    <row r="49">
      <c r="B49" s="47"/>
    </row>
    <row r="50">
      <c r="B50" s="47"/>
    </row>
    <row r="51">
      <c r="B51" s="47"/>
    </row>
    <row r="52">
      <c r="B52" s="47"/>
    </row>
    <row r="53">
      <c r="B53" s="47"/>
    </row>
    <row r="54">
      <c r="B54" s="47"/>
    </row>
    <row r="55">
      <c r="B55" s="47"/>
    </row>
    <row r="56">
      <c r="B56" s="47"/>
    </row>
    <row r="57">
      <c r="B57" s="47"/>
    </row>
    <row r="58">
      <c r="B58" s="47"/>
    </row>
    <row r="59">
      <c r="B59" s="47"/>
    </row>
    <row r="60">
      <c r="B60" s="47"/>
    </row>
    <row r="61">
      <c r="B61" s="47"/>
    </row>
    <row r="62">
      <c r="B62" s="47"/>
    </row>
    <row r="63">
      <c r="B63" s="47"/>
    </row>
    <row r="64">
      <c r="B64" s="47"/>
    </row>
    <row r="65">
      <c r="B65" s="47"/>
    </row>
    <row r="66">
      <c r="B66" s="47"/>
    </row>
    <row r="67">
      <c r="B67" s="47"/>
    </row>
    <row r="68">
      <c r="B68" s="47"/>
    </row>
    <row r="69">
      <c r="B69" s="47"/>
    </row>
    <row r="70">
      <c r="B70" s="47"/>
    </row>
    <row r="71">
      <c r="B71" s="47"/>
    </row>
    <row r="72">
      <c r="B72" s="47"/>
    </row>
    <row r="73">
      <c r="B73" s="47"/>
    </row>
    <row r="74">
      <c r="B74" s="47"/>
    </row>
    <row r="75">
      <c r="B75" s="47"/>
    </row>
    <row r="76">
      <c r="B76" s="47"/>
    </row>
    <row r="77">
      <c r="B77" s="47"/>
    </row>
    <row r="78">
      <c r="B78" s="47"/>
    </row>
    <row r="79">
      <c r="B79" s="47"/>
    </row>
    <row r="80">
      <c r="B80" s="47"/>
    </row>
    <row r="81">
      <c r="B81" s="47"/>
    </row>
    <row r="82">
      <c r="B82" s="47"/>
    </row>
    <row r="83">
      <c r="B83" s="47"/>
    </row>
    <row r="84">
      <c r="B84" s="47"/>
    </row>
    <row r="85">
      <c r="B85" s="47"/>
    </row>
    <row r="86">
      <c r="B86" s="47"/>
    </row>
    <row r="87">
      <c r="B87" s="47"/>
    </row>
    <row r="88">
      <c r="B88" s="47"/>
    </row>
    <row r="89">
      <c r="B89" s="47"/>
    </row>
    <row r="90">
      <c r="B90" s="47"/>
    </row>
    <row r="91">
      <c r="B91" s="47"/>
    </row>
    <row r="92">
      <c r="B92" s="47"/>
    </row>
    <row r="93">
      <c r="B93" s="47"/>
    </row>
    <row r="94">
      <c r="B94" s="47"/>
    </row>
    <row r="95">
      <c r="B95" s="47"/>
    </row>
    <row r="96">
      <c r="B96" s="47"/>
    </row>
    <row r="97">
      <c r="B97" s="47"/>
    </row>
    <row r="98">
      <c r="B98" s="47"/>
    </row>
    <row r="99">
      <c r="B99" s="47"/>
    </row>
    <row r="100">
      <c r="B100" s="47"/>
    </row>
    <row r="101">
      <c r="B101" s="47"/>
    </row>
    <row r="102">
      <c r="B102" s="47"/>
    </row>
    <row r="103">
      <c r="B103" s="47"/>
    </row>
    <row r="104">
      <c r="B104" s="47"/>
    </row>
    <row r="105">
      <c r="B105" s="47"/>
    </row>
    <row r="106">
      <c r="B106" s="47"/>
    </row>
    <row r="107">
      <c r="B107" s="47"/>
    </row>
    <row r="108">
      <c r="B108" s="47"/>
    </row>
    <row r="109">
      <c r="B109" s="47"/>
    </row>
    <row r="110">
      <c r="B110" s="47"/>
    </row>
    <row r="111">
      <c r="B111" s="47"/>
    </row>
    <row r="112">
      <c r="B112" s="47"/>
    </row>
    <row r="113">
      <c r="B113" s="47"/>
    </row>
    <row r="114">
      <c r="B114" s="47"/>
    </row>
    <row r="115">
      <c r="B115" s="47"/>
    </row>
    <row r="116">
      <c r="B116" s="47"/>
    </row>
    <row r="117">
      <c r="B117" s="47"/>
    </row>
    <row r="118">
      <c r="B118" s="47"/>
    </row>
    <row r="119">
      <c r="B119" s="47"/>
    </row>
    <row r="120">
      <c r="B120" s="47"/>
    </row>
    <row r="121">
      <c r="B121" s="47"/>
    </row>
    <row r="122">
      <c r="B122" s="47"/>
    </row>
    <row r="123">
      <c r="B123" s="47"/>
    </row>
    <row r="124">
      <c r="B124" s="47"/>
    </row>
    <row r="125">
      <c r="B125" s="47"/>
    </row>
    <row r="126">
      <c r="B126" s="47"/>
    </row>
    <row r="127">
      <c r="B127" s="47"/>
    </row>
    <row r="128">
      <c r="B128" s="47"/>
    </row>
    <row r="129">
      <c r="B129" s="47"/>
    </row>
    <row r="130">
      <c r="B130" s="47"/>
    </row>
    <row r="131">
      <c r="B131" s="47"/>
    </row>
    <row r="132">
      <c r="B132" s="47"/>
    </row>
    <row r="133">
      <c r="B133" s="47"/>
    </row>
    <row r="134">
      <c r="B134" s="47"/>
    </row>
    <row r="135">
      <c r="B135" s="47"/>
    </row>
    <row r="136">
      <c r="B136" s="47"/>
    </row>
    <row r="137">
      <c r="B137" s="47"/>
    </row>
    <row r="138">
      <c r="B138" s="47"/>
    </row>
    <row r="139">
      <c r="B139" s="47"/>
    </row>
    <row r="140">
      <c r="B140" s="47"/>
    </row>
    <row r="141">
      <c r="B141" s="47"/>
    </row>
    <row r="142">
      <c r="B142" s="47"/>
    </row>
    <row r="143">
      <c r="B143" s="47"/>
    </row>
    <row r="144">
      <c r="B144" s="47"/>
    </row>
    <row r="145">
      <c r="B145" s="47"/>
    </row>
    <row r="146">
      <c r="B146" s="47"/>
    </row>
    <row r="147">
      <c r="B147" s="47"/>
    </row>
    <row r="148">
      <c r="B148" s="47"/>
    </row>
    <row r="149">
      <c r="B149" s="47"/>
    </row>
    <row r="150">
      <c r="B150" s="47"/>
    </row>
    <row r="151">
      <c r="B151" s="47"/>
    </row>
    <row r="152">
      <c r="B152" s="47"/>
    </row>
    <row r="153">
      <c r="B153" s="47"/>
    </row>
    <row r="154">
      <c r="B154" s="47"/>
    </row>
    <row r="155">
      <c r="B155" s="47"/>
    </row>
    <row r="156">
      <c r="B156" s="47"/>
    </row>
    <row r="157">
      <c r="B157" s="47"/>
    </row>
    <row r="158">
      <c r="B158" s="47"/>
    </row>
    <row r="159">
      <c r="B159" s="47"/>
    </row>
    <row r="160">
      <c r="B160" s="47"/>
    </row>
    <row r="161">
      <c r="B161" s="47"/>
    </row>
    <row r="162">
      <c r="B162" s="47"/>
    </row>
    <row r="163">
      <c r="B163" s="47"/>
    </row>
    <row r="164">
      <c r="B164" s="47"/>
    </row>
    <row r="165">
      <c r="B165" s="47"/>
    </row>
    <row r="166">
      <c r="B166" s="47"/>
    </row>
    <row r="167">
      <c r="B167" s="47"/>
    </row>
    <row r="168">
      <c r="B168" s="47"/>
    </row>
    <row r="169">
      <c r="B169" s="47"/>
    </row>
    <row r="170">
      <c r="B170" s="47"/>
    </row>
    <row r="171">
      <c r="B171" s="47"/>
    </row>
    <row r="172">
      <c r="B172" s="47"/>
    </row>
    <row r="173">
      <c r="B173" s="47"/>
    </row>
    <row r="174">
      <c r="B174" s="47"/>
    </row>
    <row r="175">
      <c r="B175" s="47"/>
    </row>
    <row r="176">
      <c r="B176" s="47"/>
    </row>
    <row r="177">
      <c r="B177" s="47"/>
    </row>
    <row r="178">
      <c r="B178" s="47"/>
    </row>
    <row r="179">
      <c r="B179" s="47"/>
    </row>
    <row r="180">
      <c r="B180" s="47"/>
    </row>
    <row r="181">
      <c r="B181" s="47"/>
    </row>
    <row r="182">
      <c r="B182" s="47"/>
    </row>
    <row r="183">
      <c r="B183" s="47"/>
    </row>
    <row r="184">
      <c r="B184" s="47"/>
    </row>
    <row r="185">
      <c r="B185" s="47"/>
    </row>
    <row r="186">
      <c r="B186" s="47"/>
    </row>
    <row r="187">
      <c r="B187" s="47"/>
    </row>
    <row r="188">
      <c r="B188" s="47"/>
    </row>
    <row r="189">
      <c r="B189" s="47"/>
    </row>
    <row r="190">
      <c r="B190" s="47"/>
    </row>
    <row r="191">
      <c r="B191" s="47"/>
    </row>
    <row r="192">
      <c r="B192" s="47"/>
    </row>
    <row r="193">
      <c r="B193" s="47"/>
    </row>
    <row r="194">
      <c r="B194" s="47"/>
    </row>
    <row r="195">
      <c r="B195" s="47"/>
    </row>
    <row r="196">
      <c r="B196" s="47"/>
    </row>
    <row r="197">
      <c r="B197" s="47"/>
    </row>
    <row r="198">
      <c r="B198" s="47"/>
    </row>
    <row r="199">
      <c r="B199" s="47"/>
    </row>
    <row r="200">
      <c r="B200" s="47"/>
    </row>
    <row r="201">
      <c r="B201" s="47"/>
    </row>
    <row r="202">
      <c r="B202" s="47"/>
    </row>
    <row r="203">
      <c r="B203" s="47"/>
    </row>
    <row r="204">
      <c r="B204" s="47"/>
    </row>
    <row r="205">
      <c r="B205" s="47"/>
    </row>
    <row r="206">
      <c r="B206" s="47"/>
    </row>
    <row r="207">
      <c r="B207" s="47"/>
    </row>
    <row r="208">
      <c r="B208" s="47"/>
    </row>
    <row r="209">
      <c r="B209" s="47"/>
    </row>
    <row r="210">
      <c r="B210" s="47"/>
    </row>
    <row r="211">
      <c r="B211" s="47"/>
    </row>
    <row r="212">
      <c r="B212" s="47"/>
    </row>
    <row r="213">
      <c r="B213" s="47"/>
    </row>
    <row r="214">
      <c r="B214" s="47"/>
    </row>
    <row r="215">
      <c r="B215" s="47"/>
    </row>
    <row r="216">
      <c r="B216" s="47"/>
    </row>
    <row r="217">
      <c r="B217" s="47"/>
    </row>
    <row r="218">
      <c r="B218" s="47"/>
    </row>
    <row r="219">
      <c r="B219" s="47"/>
    </row>
    <row r="220">
      <c r="B220" s="47"/>
    </row>
    <row r="221">
      <c r="B221" s="47"/>
    </row>
    <row r="222">
      <c r="B222" s="47"/>
    </row>
    <row r="223">
      <c r="B223" s="47"/>
    </row>
    <row r="224">
      <c r="B224" s="47"/>
    </row>
    <row r="225">
      <c r="B225" s="47"/>
    </row>
    <row r="226">
      <c r="B226" s="47"/>
    </row>
    <row r="227">
      <c r="B227" s="47"/>
    </row>
    <row r="228">
      <c r="B228" s="47"/>
    </row>
    <row r="229">
      <c r="B229" s="47"/>
    </row>
    <row r="230">
      <c r="B230" s="47"/>
    </row>
    <row r="231">
      <c r="B231" s="47"/>
    </row>
    <row r="232">
      <c r="B232" s="47"/>
    </row>
    <row r="233">
      <c r="B233" s="47"/>
    </row>
    <row r="234">
      <c r="B234" s="47"/>
    </row>
    <row r="235">
      <c r="B235" s="47"/>
    </row>
    <row r="236">
      <c r="B236" s="47"/>
    </row>
    <row r="237">
      <c r="B237" s="47"/>
    </row>
    <row r="238">
      <c r="B238" s="47"/>
    </row>
    <row r="239">
      <c r="B239" s="47"/>
    </row>
    <row r="240">
      <c r="B240" s="47"/>
    </row>
    <row r="241">
      <c r="B241" s="47"/>
    </row>
    <row r="242">
      <c r="B242" s="47"/>
    </row>
    <row r="243">
      <c r="B243" s="47"/>
    </row>
    <row r="244">
      <c r="B244" s="47"/>
    </row>
    <row r="245">
      <c r="B245" s="47"/>
    </row>
    <row r="246">
      <c r="B246" s="47"/>
    </row>
    <row r="247">
      <c r="B247" s="47"/>
    </row>
    <row r="248">
      <c r="B248" s="47"/>
    </row>
    <row r="249">
      <c r="B249" s="47"/>
    </row>
    <row r="250">
      <c r="B250" s="47"/>
    </row>
    <row r="251">
      <c r="B251" s="47"/>
    </row>
    <row r="252">
      <c r="B252" s="47"/>
    </row>
    <row r="253">
      <c r="B253" s="47"/>
    </row>
    <row r="254">
      <c r="B254" s="47"/>
    </row>
    <row r="255">
      <c r="B255" s="47"/>
    </row>
    <row r="256">
      <c r="B256" s="47"/>
    </row>
    <row r="257">
      <c r="B257" s="47"/>
    </row>
    <row r="258">
      <c r="B258" s="47"/>
    </row>
    <row r="259">
      <c r="B259" s="47"/>
    </row>
    <row r="260">
      <c r="B260" s="47"/>
    </row>
    <row r="261">
      <c r="B261" s="47"/>
    </row>
    <row r="262">
      <c r="B262" s="47"/>
    </row>
    <row r="263">
      <c r="B263" s="47"/>
    </row>
    <row r="264">
      <c r="B264" s="47"/>
    </row>
    <row r="265">
      <c r="B265" s="47"/>
    </row>
    <row r="266">
      <c r="B266" s="47"/>
    </row>
    <row r="267">
      <c r="B267" s="47"/>
    </row>
    <row r="268">
      <c r="B268" s="47"/>
    </row>
    <row r="269">
      <c r="B269" s="47"/>
    </row>
    <row r="270">
      <c r="B270" s="47"/>
    </row>
    <row r="271">
      <c r="B271" s="47"/>
    </row>
    <row r="272">
      <c r="B272" s="47"/>
    </row>
    <row r="273">
      <c r="B273" s="47"/>
    </row>
    <row r="274">
      <c r="B274" s="47"/>
    </row>
    <row r="275">
      <c r="B275" s="47"/>
    </row>
    <row r="276">
      <c r="B276" s="47"/>
    </row>
    <row r="277">
      <c r="B277" s="47"/>
    </row>
    <row r="278">
      <c r="B278" s="47"/>
    </row>
    <row r="279">
      <c r="B279" s="47"/>
    </row>
    <row r="280">
      <c r="B280" s="47"/>
    </row>
    <row r="281">
      <c r="B281" s="47"/>
    </row>
    <row r="282">
      <c r="B282" s="47"/>
    </row>
    <row r="283">
      <c r="B283" s="47"/>
    </row>
    <row r="284">
      <c r="B284" s="47"/>
    </row>
    <row r="285">
      <c r="B285" s="47"/>
    </row>
    <row r="286">
      <c r="B286" s="47"/>
    </row>
    <row r="287">
      <c r="B287" s="47"/>
    </row>
    <row r="288">
      <c r="B288" s="47"/>
    </row>
    <row r="289">
      <c r="B289" s="47"/>
    </row>
    <row r="290">
      <c r="B290" s="47"/>
    </row>
    <row r="291">
      <c r="B291" s="47"/>
    </row>
    <row r="292">
      <c r="B292" s="47"/>
    </row>
    <row r="293">
      <c r="B293" s="47"/>
    </row>
    <row r="294">
      <c r="B294" s="47"/>
    </row>
    <row r="295">
      <c r="B295" s="47"/>
    </row>
    <row r="296">
      <c r="B296" s="47"/>
    </row>
    <row r="297">
      <c r="B297" s="47"/>
    </row>
    <row r="298">
      <c r="B298" s="47"/>
    </row>
    <row r="299">
      <c r="B299" s="47"/>
    </row>
    <row r="300">
      <c r="B300" s="47"/>
    </row>
    <row r="301">
      <c r="B301" s="47"/>
    </row>
    <row r="302">
      <c r="B302" s="47"/>
    </row>
    <row r="303">
      <c r="B303" s="47"/>
    </row>
    <row r="304">
      <c r="B304" s="47"/>
    </row>
    <row r="305">
      <c r="B305" s="47"/>
    </row>
    <row r="306">
      <c r="B306" s="47"/>
    </row>
    <row r="307">
      <c r="B307" s="47"/>
    </row>
    <row r="308">
      <c r="B308" s="47"/>
    </row>
    <row r="309">
      <c r="B309" s="47"/>
    </row>
    <row r="310">
      <c r="B310" s="47"/>
    </row>
    <row r="311">
      <c r="B311" s="47"/>
    </row>
    <row r="312">
      <c r="B312" s="47"/>
    </row>
    <row r="313">
      <c r="B313" s="47"/>
    </row>
    <row r="314">
      <c r="B314" s="47"/>
    </row>
    <row r="315">
      <c r="B315" s="47"/>
    </row>
    <row r="316">
      <c r="B316" s="47"/>
    </row>
    <row r="317">
      <c r="B317" s="47"/>
    </row>
    <row r="318">
      <c r="B318" s="47"/>
    </row>
    <row r="319">
      <c r="B319" s="47"/>
    </row>
    <row r="320">
      <c r="B320" s="47"/>
    </row>
    <row r="321">
      <c r="B321" s="47"/>
    </row>
    <row r="322">
      <c r="B322" s="47"/>
    </row>
    <row r="323">
      <c r="B323" s="47"/>
    </row>
    <row r="324">
      <c r="B324" s="47"/>
    </row>
    <row r="325">
      <c r="B325" s="47"/>
    </row>
    <row r="326">
      <c r="B326" s="47"/>
    </row>
    <row r="327">
      <c r="B327" s="47"/>
    </row>
    <row r="328">
      <c r="B328" s="47"/>
    </row>
    <row r="329">
      <c r="B329" s="47"/>
    </row>
    <row r="330">
      <c r="B330" s="47"/>
    </row>
    <row r="331">
      <c r="B331" s="47"/>
    </row>
    <row r="332">
      <c r="B332" s="47"/>
    </row>
    <row r="333">
      <c r="B333" s="47"/>
    </row>
    <row r="334">
      <c r="B334" s="47"/>
    </row>
    <row r="335">
      <c r="B335" s="47"/>
    </row>
    <row r="336">
      <c r="B336" s="47"/>
    </row>
    <row r="337">
      <c r="B337" s="47"/>
    </row>
    <row r="338">
      <c r="B338" s="47"/>
    </row>
    <row r="339">
      <c r="B339" s="47"/>
    </row>
    <row r="340">
      <c r="B340" s="47"/>
    </row>
    <row r="341">
      <c r="B341" s="47"/>
    </row>
    <row r="342">
      <c r="B342" s="47"/>
    </row>
    <row r="343">
      <c r="B343" s="47"/>
    </row>
    <row r="344">
      <c r="B344" s="47"/>
    </row>
    <row r="345">
      <c r="B345" s="47"/>
    </row>
    <row r="346">
      <c r="B346" s="47"/>
    </row>
    <row r="347">
      <c r="B347" s="47"/>
    </row>
    <row r="348">
      <c r="B348" s="47"/>
    </row>
    <row r="349">
      <c r="B349" s="47"/>
    </row>
    <row r="350">
      <c r="B350" s="47"/>
    </row>
    <row r="351">
      <c r="B351" s="47"/>
    </row>
    <row r="352">
      <c r="B352" s="47"/>
    </row>
    <row r="353">
      <c r="B353" s="47"/>
    </row>
    <row r="354">
      <c r="B354" s="47"/>
    </row>
    <row r="355">
      <c r="B355" s="47"/>
    </row>
    <row r="356">
      <c r="B356" s="47"/>
    </row>
    <row r="357">
      <c r="B357" s="47"/>
    </row>
    <row r="358">
      <c r="B358" s="47"/>
    </row>
    <row r="359">
      <c r="B359" s="47"/>
    </row>
    <row r="360">
      <c r="B360" s="47"/>
    </row>
    <row r="361">
      <c r="B361" s="47"/>
    </row>
    <row r="362">
      <c r="B362" s="47"/>
    </row>
    <row r="363">
      <c r="B363" s="47"/>
    </row>
    <row r="364">
      <c r="B364" s="47"/>
    </row>
    <row r="365">
      <c r="B365" s="47"/>
    </row>
    <row r="366">
      <c r="B366" s="47"/>
    </row>
    <row r="367">
      <c r="B367" s="47"/>
    </row>
    <row r="368">
      <c r="B368" s="47"/>
    </row>
    <row r="369">
      <c r="B369" s="47"/>
    </row>
    <row r="370">
      <c r="B370" s="47"/>
    </row>
    <row r="371">
      <c r="B371" s="47"/>
    </row>
    <row r="372">
      <c r="B372" s="47"/>
    </row>
    <row r="373">
      <c r="B373" s="47"/>
    </row>
    <row r="374">
      <c r="B374" s="47"/>
    </row>
    <row r="375">
      <c r="B375" s="47"/>
    </row>
    <row r="376">
      <c r="B376" s="47"/>
    </row>
    <row r="377">
      <c r="B377" s="47"/>
    </row>
    <row r="378">
      <c r="B378" s="47"/>
    </row>
    <row r="379">
      <c r="B379" s="47"/>
    </row>
    <row r="380">
      <c r="B380" s="47"/>
    </row>
    <row r="381">
      <c r="B381" s="47"/>
    </row>
    <row r="382">
      <c r="B382" s="47"/>
    </row>
    <row r="383">
      <c r="B383" s="47"/>
    </row>
    <row r="384">
      <c r="B384" s="47"/>
    </row>
    <row r="385">
      <c r="B385" s="47"/>
    </row>
    <row r="386">
      <c r="B386" s="47"/>
    </row>
    <row r="387">
      <c r="B387" s="47"/>
    </row>
    <row r="388">
      <c r="B388" s="47"/>
    </row>
    <row r="389">
      <c r="B389" s="47"/>
    </row>
    <row r="390">
      <c r="B390" s="47"/>
    </row>
    <row r="391">
      <c r="B391" s="47"/>
    </row>
    <row r="392">
      <c r="B392" s="47"/>
    </row>
    <row r="393">
      <c r="B393" s="47"/>
    </row>
    <row r="394">
      <c r="B394" s="47"/>
    </row>
    <row r="395">
      <c r="B395" s="47"/>
    </row>
    <row r="396">
      <c r="B396" s="47"/>
    </row>
    <row r="397">
      <c r="B397" s="47"/>
    </row>
    <row r="398">
      <c r="B398" s="47"/>
    </row>
    <row r="399">
      <c r="B399" s="47"/>
    </row>
    <row r="400">
      <c r="B400" s="47"/>
    </row>
    <row r="401">
      <c r="B401" s="47"/>
    </row>
    <row r="402">
      <c r="B402" s="47"/>
    </row>
    <row r="403">
      <c r="B403" s="47"/>
    </row>
    <row r="404">
      <c r="B404" s="47"/>
    </row>
    <row r="405">
      <c r="B405" s="47"/>
    </row>
    <row r="406">
      <c r="B406" s="47"/>
    </row>
    <row r="407">
      <c r="B407" s="47"/>
    </row>
    <row r="408">
      <c r="B408" s="47"/>
    </row>
    <row r="409">
      <c r="B409" s="47"/>
    </row>
    <row r="410">
      <c r="B410" s="47"/>
    </row>
    <row r="411">
      <c r="B411" s="47"/>
    </row>
    <row r="412">
      <c r="B412" s="47"/>
    </row>
    <row r="413">
      <c r="B413" s="47"/>
    </row>
    <row r="414">
      <c r="B414" s="47"/>
    </row>
    <row r="415">
      <c r="B415" s="47"/>
    </row>
    <row r="416">
      <c r="B416" s="47"/>
    </row>
    <row r="417">
      <c r="B417" s="47"/>
    </row>
    <row r="418">
      <c r="B418" s="47"/>
    </row>
    <row r="419">
      <c r="B419" s="47"/>
    </row>
    <row r="420">
      <c r="B420" s="47"/>
    </row>
    <row r="421">
      <c r="B421" s="47"/>
    </row>
    <row r="422">
      <c r="B422" s="47"/>
    </row>
    <row r="423">
      <c r="B423" s="47"/>
    </row>
    <row r="424">
      <c r="B424" s="47"/>
    </row>
    <row r="425">
      <c r="B425" s="47"/>
    </row>
    <row r="426">
      <c r="B426" s="47"/>
    </row>
    <row r="427">
      <c r="B427" s="47"/>
    </row>
    <row r="428">
      <c r="B428" s="47"/>
    </row>
    <row r="429">
      <c r="B429" s="47"/>
    </row>
    <row r="430">
      <c r="B430" s="47"/>
    </row>
    <row r="431">
      <c r="B431" s="47"/>
    </row>
    <row r="432">
      <c r="B432" s="47"/>
    </row>
    <row r="433">
      <c r="B433" s="47"/>
    </row>
    <row r="434">
      <c r="B434" s="47"/>
    </row>
    <row r="435">
      <c r="B435" s="47"/>
    </row>
    <row r="436">
      <c r="B436" s="47"/>
    </row>
    <row r="437">
      <c r="B437" s="47"/>
    </row>
    <row r="438">
      <c r="B438" s="47"/>
    </row>
    <row r="439">
      <c r="B439" s="47"/>
    </row>
    <row r="440">
      <c r="B440" s="47"/>
    </row>
    <row r="441">
      <c r="B441" s="47"/>
    </row>
    <row r="442">
      <c r="B442" s="47"/>
    </row>
    <row r="443">
      <c r="B443" s="47"/>
    </row>
    <row r="444">
      <c r="B444" s="47"/>
    </row>
    <row r="445">
      <c r="B445" s="47"/>
    </row>
    <row r="446">
      <c r="B446" s="47"/>
    </row>
    <row r="447">
      <c r="B447" s="47"/>
    </row>
    <row r="448">
      <c r="B448" s="47"/>
    </row>
    <row r="449">
      <c r="B449" s="47"/>
    </row>
    <row r="450">
      <c r="B450" s="47"/>
    </row>
    <row r="451">
      <c r="B451" s="47"/>
    </row>
    <row r="452">
      <c r="B452" s="47"/>
    </row>
    <row r="453">
      <c r="B453" s="47"/>
    </row>
    <row r="454">
      <c r="B454" s="47"/>
    </row>
    <row r="455">
      <c r="B455" s="47"/>
    </row>
    <row r="456">
      <c r="B456" s="47"/>
    </row>
    <row r="457">
      <c r="B457" s="47"/>
    </row>
    <row r="458">
      <c r="B458" s="47"/>
    </row>
    <row r="459">
      <c r="B459" s="47"/>
    </row>
    <row r="460">
      <c r="B460" s="47"/>
    </row>
    <row r="461">
      <c r="B461" s="47"/>
    </row>
    <row r="462">
      <c r="B462" s="47"/>
    </row>
    <row r="463">
      <c r="B463" s="47"/>
    </row>
    <row r="464">
      <c r="B464" s="47"/>
    </row>
    <row r="465">
      <c r="B465" s="47"/>
    </row>
    <row r="466">
      <c r="B466" s="47"/>
    </row>
    <row r="467">
      <c r="B467" s="47"/>
    </row>
    <row r="468">
      <c r="B468" s="47"/>
    </row>
    <row r="469">
      <c r="B469" s="47"/>
    </row>
    <row r="470">
      <c r="B470" s="47"/>
    </row>
    <row r="471">
      <c r="B471" s="47"/>
    </row>
    <row r="472">
      <c r="B472" s="47"/>
    </row>
    <row r="473">
      <c r="B473" s="47"/>
    </row>
    <row r="474">
      <c r="B474" s="47"/>
    </row>
    <row r="475">
      <c r="B475" s="47"/>
    </row>
    <row r="476">
      <c r="B476" s="47"/>
    </row>
    <row r="477">
      <c r="B477" s="47"/>
    </row>
    <row r="478">
      <c r="B478" s="47"/>
    </row>
    <row r="479">
      <c r="B479" s="47"/>
    </row>
    <row r="480">
      <c r="B480" s="47"/>
    </row>
    <row r="481">
      <c r="B481" s="47"/>
    </row>
    <row r="482">
      <c r="B482" s="47"/>
    </row>
    <row r="483">
      <c r="B483" s="47"/>
    </row>
    <row r="484">
      <c r="B484" s="47"/>
    </row>
    <row r="485">
      <c r="B485" s="47"/>
    </row>
    <row r="486">
      <c r="B486" s="47"/>
    </row>
    <row r="487">
      <c r="B487" s="47"/>
    </row>
    <row r="488">
      <c r="B488" s="47"/>
    </row>
    <row r="489">
      <c r="B489" s="47"/>
    </row>
    <row r="490">
      <c r="B490" s="47"/>
    </row>
    <row r="491">
      <c r="B491" s="47"/>
    </row>
    <row r="492">
      <c r="B492" s="47"/>
    </row>
    <row r="493">
      <c r="B493" s="47"/>
    </row>
    <row r="494">
      <c r="B494" s="47"/>
    </row>
    <row r="495">
      <c r="B495" s="47"/>
    </row>
    <row r="496">
      <c r="B496" s="47"/>
    </row>
    <row r="497">
      <c r="B497" s="47"/>
    </row>
    <row r="498">
      <c r="B498" s="47"/>
    </row>
    <row r="499">
      <c r="B499" s="47"/>
    </row>
    <row r="500">
      <c r="B500" s="47"/>
    </row>
    <row r="501">
      <c r="B501" s="47"/>
    </row>
    <row r="502">
      <c r="B502" s="47"/>
    </row>
    <row r="503">
      <c r="B503" s="47"/>
    </row>
    <row r="504">
      <c r="B504" s="47"/>
    </row>
    <row r="505">
      <c r="B505" s="47"/>
    </row>
    <row r="506">
      <c r="B506" s="47"/>
    </row>
    <row r="507">
      <c r="B507" s="47"/>
    </row>
    <row r="508">
      <c r="B508" s="47"/>
    </row>
    <row r="509">
      <c r="B509" s="47"/>
    </row>
    <row r="510">
      <c r="B510" s="47"/>
    </row>
    <row r="511">
      <c r="B511" s="47"/>
    </row>
    <row r="512">
      <c r="B512" s="47"/>
    </row>
    <row r="513">
      <c r="B513" s="47"/>
    </row>
    <row r="514">
      <c r="B514" s="47"/>
    </row>
    <row r="515">
      <c r="B515" s="47"/>
    </row>
    <row r="516">
      <c r="B516" s="47"/>
    </row>
    <row r="517">
      <c r="B517" s="47"/>
    </row>
    <row r="518">
      <c r="B518" s="47"/>
    </row>
    <row r="519">
      <c r="B519" s="47"/>
    </row>
    <row r="520">
      <c r="B520" s="47"/>
    </row>
    <row r="521">
      <c r="B521" s="47"/>
    </row>
    <row r="522">
      <c r="B522" s="47"/>
    </row>
    <row r="523">
      <c r="B523" s="47"/>
    </row>
    <row r="524">
      <c r="B524" s="47"/>
    </row>
    <row r="525">
      <c r="B525" s="47"/>
    </row>
    <row r="526">
      <c r="B526" s="47"/>
    </row>
    <row r="527">
      <c r="B527" s="47"/>
    </row>
    <row r="528">
      <c r="B528" s="47"/>
    </row>
    <row r="529">
      <c r="B529" s="47"/>
    </row>
    <row r="530">
      <c r="B530" s="47"/>
    </row>
    <row r="531">
      <c r="B531" s="47"/>
    </row>
    <row r="532">
      <c r="B532" s="47"/>
    </row>
    <row r="533">
      <c r="B533" s="47"/>
    </row>
    <row r="534">
      <c r="B534" s="47"/>
    </row>
    <row r="535">
      <c r="B535" s="47"/>
    </row>
    <row r="536">
      <c r="B536" s="47"/>
    </row>
    <row r="537">
      <c r="B537" s="47"/>
    </row>
    <row r="538">
      <c r="B538" s="47"/>
    </row>
    <row r="539">
      <c r="B539" s="47"/>
    </row>
    <row r="540">
      <c r="B540" s="47"/>
    </row>
    <row r="541">
      <c r="B541" s="47"/>
    </row>
    <row r="542">
      <c r="B542" s="47"/>
    </row>
    <row r="543">
      <c r="B543" s="47"/>
    </row>
    <row r="544">
      <c r="B544" s="47"/>
    </row>
    <row r="545">
      <c r="B545" s="47"/>
    </row>
    <row r="546">
      <c r="B546" s="47"/>
    </row>
    <row r="547">
      <c r="B547" s="47"/>
    </row>
    <row r="548">
      <c r="B548" s="47"/>
    </row>
    <row r="549">
      <c r="B549" s="47"/>
    </row>
    <row r="550">
      <c r="B550" s="47"/>
    </row>
    <row r="551">
      <c r="B551" s="47"/>
    </row>
    <row r="552">
      <c r="B552" s="47"/>
    </row>
    <row r="553">
      <c r="B553" s="47"/>
    </row>
    <row r="554">
      <c r="B554" s="47"/>
    </row>
    <row r="555">
      <c r="B555" s="47"/>
    </row>
    <row r="556">
      <c r="B556" s="47"/>
    </row>
    <row r="557">
      <c r="B557" s="47"/>
    </row>
    <row r="558">
      <c r="B558" s="47"/>
    </row>
    <row r="559">
      <c r="B559" s="47"/>
    </row>
    <row r="560">
      <c r="B560" s="47"/>
    </row>
    <row r="561">
      <c r="B561" s="47"/>
    </row>
    <row r="562">
      <c r="B562" s="47"/>
    </row>
    <row r="563">
      <c r="B563" s="47"/>
    </row>
    <row r="564">
      <c r="B564" s="47"/>
    </row>
    <row r="565">
      <c r="B565" s="47"/>
    </row>
    <row r="566">
      <c r="B566" s="47"/>
    </row>
    <row r="567">
      <c r="B567" s="47"/>
    </row>
    <row r="568">
      <c r="B568" s="47"/>
    </row>
    <row r="569">
      <c r="B569" s="47"/>
    </row>
    <row r="570">
      <c r="B570" s="47"/>
    </row>
    <row r="571">
      <c r="B571" s="47"/>
    </row>
    <row r="572">
      <c r="B572" s="47"/>
    </row>
    <row r="573">
      <c r="B573" s="47"/>
    </row>
    <row r="574">
      <c r="B574" s="47"/>
    </row>
    <row r="575">
      <c r="B575" s="47"/>
    </row>
    <row r="576">
      <c r="B576" s="47"/>
    </row>
    <row r="577">
      <c r="B577" s="47"/>
    </row>
    <row r="578">
      <c r="B578" s="47"/>
    </row>
    <row r="579">
      <c r="B579" s="47"/>
    </row>
    <row r="580">
      <c r="B580" s="47"/>
    </row>
    <row r="581">
      <c r="B581" s="47"/>
    </row>
    <row r="582">
      <c r="B582" s="47"/>
    </row>
    <row r="583">
      <c r="B583" s="47"/>
    </row>
    <row r="584">
      <c r="B584" s="47"/>
    </row>
    <row r="585">
      <c r="B585" s="47"/>
    </row>
    <row r="586">
      <c r="B586" s="47"/>
    </row>
    <row r="587">
      <c r="B587" s="47"/>
    </row>
    <row r="588">
      <c r="B588" s="47"/>
    </row>
    <row r="589">
      <c r="B589" s="47"/>
    </row>
    <row r="590">
      <c r="B590" s="47"/>
    </row>
    <row r="591">
      <c r="B591" s="47"/>
    </row>
    <row r="592">
      <c r="B592" s="47"/>
    </row>
    <row r="593">
      <c r="B593" s="47"/>
    </row>
    <row r="594">
      <c r="B594" s="47"/>
    </row>
    <row r="595">
      <c r="B595" s="47"/>
    </row>
    <row r="596">
      <c r="B596" s="47"/>
    </row>
    <row r="597">
      <c r="B597" s="47"/>
    </row>
    <row r="598">
      <c r="B598" s="47"/>
    </row>
    <row r="599">
      <c r="B599" s="47"/>
    </row>
    <row r="600">
      <c r="B600" s="47"/>
    </row>
    <row r="601">
      <c r="B601" s="47"/>
    </row>
    <row r="602">
      <c r="B602" s="47"/>
    </row>
    <row r="603">
      <c r="B603" s="47"/>
    </row>
    <row r="604">
      <c r="B604" s="47"/>
    </row>
    <row r="605">
      <c r="B605" s="47"/>
    </row>
    <row r="606">
      <c r="B606" s="47"/>
    </row>
    <row r="607">
      <c r="B607" s="47"/>
    </row>
    <row r="608">
      <c r="B608" s="47"/>
    </row>
    <row r="609">
      <c r="B609" s="47"/>
    </row>
    <row r="610">
      <c r="B610" s="47"/>
    </row>
    <row r="611">
      <c r="B611" s="47"/>
    </row>
    <row r="612">
      <c r="B612" s="47"/>
    </row>
    <row r="613">
      <c r="B613" s="47"/>
    </row>
    <row r="614">
      <c r="B614" s="47"/>
    </row>
    <row r="615">
      <c r="B615" s="47"/>
    </row>
    <row r="616">
      <c r="B616" s="47"/>
    </row>
    <row r="617">
      <c r="B617" s="47"/>
    </row>
    <row r="618">
      <c r="B618" s="47"/>
    </row>
    <row r="619">
      <c r="B619" s="47"/>
    </row>
    <row r="620">
      <c r="B620" s="47"/>
    </row>
    <row r="621">
      <c r="B621" s="47"/>
    </row>
    <row r="622">
      <c r="B622" s="47"/>
    </row>
    <row r="623">
      <c r="B623" s="47"/>
    </row>
    <row r="624">
      <c r="B624" s="47"/>
    </row>
    <row r="625">
      <c r="B625" s="47"/>
    </row>
    <row r="626">
      <c r="B626" s="47"/>
    </row>
    <row r="627">
      <c r="B627" s="47"/>
    </row>
    <row r="628">
      <c r="B628" s="47"/>
    </row>
    <row r="629">
      <c r="B629" s="47"/>
    </row>
    <row r="630">
      <c r="B630" s="47"/>
    </row>
    <row r="631">
      <c r="B631" s="47"/>
    </row>
    <row r="632">
      <c r="B632" s="47"/>
    </row>
    <row r="633">
      <c r="B633" s="47"/>
    </row>
    <row r="634">
      <c r="B634" s="47"/>
    </row>
    <row r="635">
      <c r="B635" s="47"/>
    </row>
    <row r="636">
      <c r="B636" s="47"/>
    </row>
    <row r="637">
      <c r="B637" s="47"/>
    </row>
    <row r="638">
      <c r="B638" s="47"/>
    </row>
    <row r="639">
      <c r="B639" s="47"/>
    </row>
    <row r="640">
      <c r="B640" s="47"/>
    </row>
    <row r="641">
      <c r="B641" s="47"/>
    </row>
    <row r="642">
      <c r="B642" s="47"/>
    </row>
    <row r="643">
      <c r="B643" s="47"/>
    </row>
    <row r="644">
      <c r="B644" s="47"/>
    </row>
    <row r="645">
      <c r="B645" s="47"/>
    </row>
    <row r="646">
      <c r="B646" s="47"/>
    </row>
    <row r="647">
      <c r="B647" s="47"/>
    </row>
    <row r="648">
      <c r="B648" s="47"/>
    </row>
    <row r="649">
      <c r="B649" s="47"/>
    </row>
    <row r="650">
      <c r="B650" s="47"/>
    </row>
    <row r="651">
      <c r="B651" s="47"/>
    </row>
    <row r="652">
      <c r="B652" s="47"/>
    </row>
    <row r="653">
      <c r="B653" s="47"/>
    </row>
    <row r="654">
      <c r="B654" s="47"/>
    </row>
    <row r="655">
      <c r="B655" s="47"/>
    </row>
    <row r="656">
      <c r="B656" s="47"/>
    </row>
    <row r="657">
      <c r="B657" s="47"/>
    </row>
    <row r="658">
      <c r="B658" s="47"/>
    </row>
    <row r="659">
      <c r="B659" s="47"/>
    </row>
    <row r="660">
      <c r="B660" s="47"/>
    </row>
    <row r="661">
      <c r="B661" s="47"/>
    </row>
    <row r="662">
      <c r="B662" s="47"/>
    </row>
    <row r="663">
      <c r="B663" s="47"/>
    </row>
    <row r="664">
      <c r="B664" s="47"/>
    </row>
    <row r="665">
      <c r="B665" s="47"/>
    </row>
    <row r="666">
      <c r="B666" s="47"/>
    </row>
    <row r="667">
      <c r="B667" s="47"/>
    </row>
    <row r="668">
      <c r="B668" s="47"/>
    </row>
    <row r="669">
      <c r="B669" s="47"/>
    </row>
    <row r="670">
      <c r="B670" s="47"/>
    </row>
    <row r="671">
      <c r="B671" s="47"/>
    </row>
    <row r="672">
      <c r="B672" s="47"/>
    </row>
    <row r="673">
      <c r="B673" s="47"/>
    </row>
    <row r="674">
      <c r="B674" s="47"/>
    </row>
    <row r="675">
      <c r="B675" s="47"/>
    </row>
    <row r="676">
      <c r="B676" s="47"/>
    </row>
    <row r="677">
      <c r="B677" s="47"/>
    </row>
    <row r="678">
      <c r="B678" s="47"/>
    </row>
    <row r="679">
      <c r="B679" s="47"/>
    </row>
    <row r="680">
      <c r="B680" s="47"/>
    </row>
    <row r="681">
      <c r="B681" s="47"/>
    </row>
    <row r="682">
      <c r="B682" s="47"/>
    </row>
    <row r="683">
      <c r="B683" s="47"/>
    </row>
    <row r="684">
      <c r="B684" s="47"/>
    </row>
    <row r="685">
      <c r="B685" s="47"/>
    </row>
    <row r="686">
      <c r="B686" s="47"/>
    </row>
    <row r="687">
      <c r="B687" s="47"/>
    </row>
    <row r="688">
      <c r="B688" s="47"/>
    </row>
    <row r="689">
      <c r="B689" s="47"/>
    </row>
    <row r="690">
      <c r="B690" s="47"/>
    </row>
    <row r="691">
      <c r="B691" s="47"/>
    </row>
    <row r="692">
      <c r="B692" s="47"/>
    </row>
    <row r="693">
      <c r="B693" s="47"/>
    </row>
    <row r="694">
      <c r="B694" s="47"/>
    </row>
    <row r="695">
      <c r="B695" s="47"/>
    </row>
    <row r="696">
      <c r="B696" s="47"/>
    </row>
    <row r="697">
      <c r="B697" s="47"/>
    </row>
    <row r="698">
      <c r="B698" s="47"/>
    </row>
    <row r="699">
      <c r="B699" s="47"/>
    </row>
    <row r="700">
      <c r="B700" s="47"/>
    </row>
    <row r="701">
      <c r="B701" s="47"/>
    </row>
    <row r="702">
      <c r="B702" s="47"/>
    </row>
    <row r="703">
      <c r="B703" s="47"/>
    </row>
    <row r="704">
      <c r="B704" s="47"/>
    </row>
    <row r="705">
      <c r="B705" s="47"/>
    </row>
    <row r="706">
      <c r="B706" s="47"/>
    </row>
    <row r="707">
      <c r="B707" s="47"/>
    </row>
    <row r="708">
      <c r="B708" s="47"/>
    </row>
    <row r="709">
      <c r="B709" s="47"/>
    </row>
    <row r="710">
      <c r="B710" s="47"/>
    </row>
    <row r="711">
      <c r="B711" s="47"/>
    </row>
    <row r="712">
      <c r="B712" s="47"/>
    </row>
    <row r="713">
      <c r="B713" s="47"/>
    </row>
    <row r="714">
      <c r="B714" s="47"/>
    </row>
    <row r="715">
      <c r="B715" s="47"/>
    </row>
    <row r="716">
      <c r="B716" s="47"/>
    </row>
    <row r="717">
      <c r="B717" s="47"/>
    </row>
    <row r="718">
      <c r="B718" s="47"/>
    </row>
    <row r="719">
      <c r="B719" s="47"/>
    </row>
    <row r="720">
      <c r="B720" s="47"/>
    </row>
    <row r="721">
      <c r="B721" s="47"/>
    </row>
    <row r="722">
      <c r="B722" s="47"/>
    </row>
    <row r="723">
      <c r="B723" s="47"/>
    </row>
    <row r="724">
      <c r="B724" s="47"/>
    </row>
    <row r="725">
      <c r="B725" s="47"/>
    </row>
    <row r="726">
      <c r="B726" s="47"/>
    </row>
    <row r="727">
      <c r="B727" s="47"/>
    </row>
    <row r="728">
      <c r="B728" s="47"/>
    </row>
    <row r="729">
      <c r="B729" s="47"/>
    </row>
    <row r="730">
      <c r="B730" s="47"/>
    </row>
    <row r="731">
      <c r="B731" s="47"/>
    </row>
    <row r="732">
      <c r="B732" s="47"/>
    </row>
    <row r="733">
      <c r="B733" s="47"/>
    </row>
    <row r="734">
      <c r="B734" s="47"/>
    </row>
    <row r="735">
      <c r="B735" s="47"/>
    </row>
    <row r="736">
      <c r="B736" s="47"/>
    </row>
    <row r="737">
      <c r="B737" s="47"/>
    </row>
    <row r="738">
      <c r="B738" s="47"/>
    </row>
    <row r="739">
      <c r="B739" s="47"/>
    </row>
    <row r="740">
      <c r="B740" s="47"/>
    </row>
    <row r="741">
      <c r="B741" s="47"/>
    </row>
    <row r="742">
      <c r="B742" s="47"/>
    </row>
    <row r="743">
      <c r="B743" s="47"/>
    </row>
    <row r="744">
      <c r="B744" s="47"/>
    </row>
    <row r="745">
      <c r="B745" s="47"/>
    </row>
    <row r="746">
      <c r="B746" s="47"/>
    </row>
    <row r="747">
      <c r="B747" s="47"/>
    </row>
    <row r="748">
      <c r="B748" s="47"/>
    </row>
    <row r="749">
      <c r="B749" s="47"/>
    </row>
    <row r="750">
      <c r="B750" s="47"/>
    </row>
    <row r="751">
      <c r="B751" s="47"/>
    </row>
    <row r="752">
      <c r="B752" s="47"/>
    </row>
    <row r="753">
      <c r="B753" s="47"/>
    </row>
    <row r="754">
      <c r="B754" s="47"/>
    </row>
    <row r="755">
      <c r="B755" s="47"/>
    </row>
    <row r="756">
      <c r="B756" s="47"/>
    </row>
    <row r="757">
      <c r="B757" s="47"/>
    </row>
    <row r="758">
      <c r="B758" s="47"/>
    </row>
    <row r="759">
      <c r="B759" s="47"/>
    </row>
    <row r="760">
      <c r="B760" s="47"/>
    </row>
    <row r="761">
      <c r="B761" s="47"/>
    </row>
    <row r="762">
      <c r="B762" s="47"/>
    </row>
    <row r="763">
      <c r="B763" s="47"/>
    </row>
    <row r="764">
      <c r="B764" s="47"/>
    </row>
    <row r="765">
      <c r="B765" s="47"/>
    </row>
    <row r="766">
      <c r="B766" s="47"/>
    </row>
    <row r="767">
      <c r="B767" s="47"/>
    </row>
    <row r="768">
      <c r="B768" s="47"/>
    </row>
    <row r="769">
      <c r="B769" s="47"/>
    </row>
    <row r="770">
      <c r="B770" s="47"/>
    </row>
    <row r="771">
      <c r="B771" s="47"/>
    </row>
    <row r="772">
      <c r="B772" s="47"/>
    </row>
    <row r="773">
      <c r="B773" s="47"/>
    </row>
    <row r="774">
      <c r="B774" s="47"/>
    </row>
    <row r="775">
      <c r="B775" s="47"/>
    </row>
    <row r="776">
      <c r="B776" s="47"/>
    </row>
    <row r="777">
      <c r="B777" s="47"/>
    </row>
    <row r="778">
      <c r="B778" s="47"/>
    </row>
    <row r="779">
      <c r="B779" s="47"/>
    </row>
    <row r="780">
      <c r="B780" s="47"/>
    </row>
    <row r="781">
      <c r="B781" s="47"/>
    </row>
    <row r="782">
      <c r="B782" s="47"/>
    </row>
    <row r="783">
      <c r="B783" s="47"/>
    </row>
    <row r="784">
      <c r="B784" s="47"/>
    </row>
    <row r="785">
      <c r="B785" s="47"/>
    </row>
    <row r="786">
      <c r="B786" s="47"/>
    </row>
    <row r="787">
      <c r="B787" s="47"/>
    </row>
    <row r="788">
      <c r="B788" s="47"/>
    </row>
    <row r="789">
      <c r="B789" s="47"/>
    </row>
    <row r="790">
      <c r="B790" s="47"/>
    </row>
    <row r="791">
      <c r="B791" s="47"/>
    </row>
    <row r="792">
      <c r="B792" s="47"/>
    </row>
    <row r="793">
      <c r="B793" s="47"/>
    </row>
    <row r="794">
      <c r="B794" s="47"/>
    </row>
    <row r="795">
      <c r="B795" s="47"/>
    </row>
    <row r="796">
      <c r="B796" s="47"/>
    </row>
    <row r="797">
      <c r="B797" s="47"/>
    </row>
    <row r="798">
      <c r="B798" s="47"/>
    </row>
    <row r="799">
      <c r="B799" s="47"/>
    </row>
    <row r="800">
      <c r="B800" s="47"/>
    </row>
    <row r="801">
      <c r="B801" s="47"/>
    </row>
    <row r="802">
      <c r="B802" s="47"/>
    </row>
    <row r="803">
      <c r="B803" s="47"/>
    </row>
    <row r="804">
      <c r="B804" s="47"/>
    </row>
    <row r="805">
      <c r="B805" s="47"/>
    </row>
    <row r="806">
      <c r="B806" s="47"/>
    </row>
    <row r="807">
      <c r="B807" s="47"/>
    </row>
    <row r="808">
      <c r="B808" s="47"/>
    </row>
    <row r="809">
      <c r="B809" s="47"/>
    </row>
    <row r="810">
      <c r="B810" s="47"/>
    </row>
    <row r="811">
      <c r="B811" s="47"/>
    </row>
    <row r="812">
      <c r="B812" s="47"/>
    </row>
    <row r="813">
      <c r="B813" s="47"/>
    </row>
    <row r="814">
      <c r="B814" s="47"/>
    </row>
    <row r="815">
      <c r="B815" s="47"/>
    </row>
    <row r="816">
      <c r="B816" s="47"/>
    </row>
    <row r="817">
      <c r="B817" s="47"/>
    </row>
    <row r="818">
      <c r="B818" s="47"/>
    </row>
    <row r="819">
      <c r="B819" s="47"/>
    </row>
    <row r="820">
      <c r="B820" s="47"/>
    </row>
    <row r="821">
      <c r="B821" s="47"/>
    </row>
    <row r="822">
      <c r="B822" s="47"/>
    </row>
    <row r="823">
      <c r="B823" s="47"/>
    </row>
    <row r="824">
      <c r="B824" s="47"/>
    </row>
    <row r="825">
      <c r="B825" s="47"/>
    </row>
    <row r="826">
      <c r="B826" s="47"/>
    </row>
    <row r="827">
      <c r="B827" s="47"/>
    </row>
    <row r="828">
      <c r="B828" s="47"/>
    </row>
    <row r="829">
      <c r="B829" s="47"/>
    </row>
    <row r="830">
      <c r="B830" s="47"/>
    </row>
    <row r="831">
      <c r="B831" s="47"/>
    </row>
    <row r="832">
      <c r="B832" s="47"/>
    </row>
    <row r="833">
      <c r="B833" s="47"/>
    </row>
    <row r="834">
      <c r="B834" s="47"/>
    </row>
    <row r="835">
      <c r="B835" s="47"/>
    </row>
    <row r="836">
      <c r="B836" s="47"/>
    </row>
    <row r="837">
      <c r="B837" s="47"/>
    </row>
    <row r="838">
      <c r="B838" s="47"/>
    </row>
    <row r="839">
      <c r="B839" s="47"/>
    </row>
    <row r="840">
      <c r="B840" s="47"/>
    </row>
    <row r="841">
      <c r="B841" s="47"/>
    </row>
    <row r="842">
      <c r="B842" s="47"/>
    </row>
    <row r="843">
      <c r="B843" s="47"/>
    </row>
    <row r="844">
      <c r="B844" s="47"/>
    </row>
    <row r="845">
      <c r="B845" s="47"/>
    </row>
    <row r="846">
      <c r="B846" s="47"/>
    </row>
    <row r="847">
      <c r="B847" s="47"/>
    </row>
    <row r="848">
      <c r="B848" s="47"/>
    </row>
    <row r="849">
      <c r="B849" s="47"/>
    </row>
    <row r="850">
      <c r="B850" s="47"/>
    </row>
    <row r="851">
      <c r="B851" s="47"/>
    </row>
    <row r="852">
      <c r="B852" s="47"/>
    </row>
    <row r="853">
      <c r="B853" s="47"/>
    </row>
    <row r="854">
      <c r="B854" s="47"/>
    </row>
    <row r="855">
      <c r="B855" s="47"/>
    </row>
    <row r="856">
      <c r="B856" s="47"/>
    </row>
    <row r="857">
      <c r="B857" s="47"/>
    </row>
    <row r="858">
      <c r="B858" s="47"/>
    </row>
    <row r="859">
      <c r="B859" s="47"/>
    </row>
    <row r="860">
      <c r="B860" s="47"/>
    </row>
    <row r="861">
      <c r="B861" s="47"/>
    </row>
    <row r="862">
      <c r="B862" s="47"/>
    </row>
    <row r="863">
      <c r="B863" s="47"/>
    </row>
    <row r="864">
      <c r="B864" s="47"/>
    </row>
    <row r="865">
      <c r="B865" s="47"/>
    </row>
    <row r="866">
      <c r="B866" s="47"/>
    </row>
    <row r="867">
      <c r="B867" s="47"/>
    </row>
    <row r="868">
      <c r="B868" s="47"/>
    </row>
    <row r="869">
      <c r="B869" s="47"/>
    </row>
    <row r="870">
      <c r="B870" s="47"/>
    </row>
    <row r="871">
      <c r="B871" s="47"/>
    </row>
    <row r="872">
      <c r="B872" s="47"/>
    </row>
    <row r="873">
      <c r="B873" s="47"/>
    </row>
    <row r="874">
      <c r="B874" s="47"/>
    </row>
    <row r="875">
      <c r="B875" s="47"/>
    </row>
    <row r="876">
      <c r="B876" s="47"/>
    </row>
    <row r="877">
      <c r="B877" s="47"/>
    </row>
    <row r="878">
      <c r="B878" s="47"/>
    </row>
    <row r="879">
      <c r="B879" s="47"/>
    </row>
    <row r="880">
      <c r="B880" s="47"/>
    </row>
    <row r="881">
      <c r="B881" s="47"/>
    </row>
    <row r="882">
      <c r="B882" s="47"/>
    </row>
    <row r="883">
      <c r="B883" s="47"/>
    </row>
    <row r="884">
      <c r="B884" s="47"/>
    </row>
    <row r="885">
      <c r="B885" s="47"/>
    </row>
    <row r="886">
      <c r="B886" s="47"/>
    </row>
    <row r="887">
      <c r="B887" s="47"/>
    </row>
    <row r="888">
      <c r="B888" s="47"/>
    </row>
    <row r="889">
      <c r="B889" s="47"/>
    </row>
    <row r="890">
      <c r="B890" s="47"/>
    </row>
    <row r="891">
      <c r="B891" s="47"/>
    </row>
    <row r="892">
      <c r="B892" s="47"/>
    </row>
    <row r="893">
      <c r="B893" s="47"/>
    </row>
    <row r="894">
      <c r="B894" s="47"/>
    </row>
    <row r="895">
      <c r="B895" s="47"/>
    </row>
    <row r="896">
      <c r="B896" s="47"/>
    </row>
    <row r="897">
      <c r="B897" s="47"/>
    </row>
    <row r="898">
      <c r="B898" s="47"/>
    </row>
    <row r="899">
      <c r="B899" s="47"/>
    </row>
    <row r="900">
      <c r="B900" s="47"/>
    </row>
    <row r="901">
      <c r="B901" s="47"/>
    </row>
    <row r="902">
      <c r="B902" s="47"/>
    </row>
    <row r="903">
      <c r="B903" s="47"/>
    </row>
    <row r="904">
      <c r="B904" s="47"/>
    </row>
    <row r="905">
      <c r="B905" s="47"/>
    </row>
    <row r="906">
      <c r="B906" s="47"/>
    </row>
    <row r="907">
      <c r="B907" s="47"/>
    </row>
    <row r="908">
      <c r="B908" s="47"/>
    </row>
    <row r="909">
      <c r="B909" s="47"/>
    </row>
    <row r="910">
      <c r="B910" s="47"/>
    </row>
    <row r="911">
      <c r="B911" s="47"/>
    </row>
    <row r="912">
      <c r="B912" s="47"/>
    </row>
    <row r="913">
      <c r="B913" s="47"/>
    </row>
    <row r="914">
      <c r="B914" s="47"/>
    </row>
    <row r="915">
      <c r="B915" s="47"/>
    </row>
    <row r="916">
      <c r="B916" s="47"/>
    </row>
    <row r="917">
      <c r="B917" s="47"/>
    </row>
    <row r="918">
      <c r="B918" s="47"/>
    </row>
    <row r="919">
      <c r="B919" s="47"/>
    </row>
    <row r="920">
      <c r="B920" s="47"/>
    </row>
    <row r="921">
      <c r="B921" s="47"/>
    </row>
    <row r="922">
      <c r="B922" s="47"/>
    </row>
    <row r="923">
      <c r="B923" s="47"/>
    </row>
    <row r="924">
      <c r="B924" s="47"/>
    </row>
    <row r="925">
      <c r="B925" s="47"/>
    </row>
    <row r="926">
      <c r="B926" s="47"/>
    </row>
    <row r="927">
      <c r="B927" s="47"/>
    </row>
    <row r="928">
      <c r="B928" s="47"/>
    </row>
    <row r="929">
      <c r="B929" s="47"/>
    </row>
    <row r="930">
      <c r="B930" s="47"/>
    </row>
    <row r="931">
      <c r="B931" s="47"/>
    </row>
    <row r="932">
      <c r="B932" s="47"/>
    </row>
    <row r="933">
      <c r="B933" s="47"/>
    </row>
    <row r="934">
      <c r="B934" s="47"/>
    </row>
    <row r="935">
      <c r="B935" s="47"/>
    </row>
    <row r="936">
      <c r="B936" s="47"/>
    </row>
    <row r="937">
      <c r="B937" s="47"/>
    </row>
    <row r="938">
      <c r="B938" s="47"/>
    </row>
    <row r="939">
      <c r="B939" s="47"/>
    </row>
    <row r="940">
      <c r="B940" s="47"/>
    </row>
    <row r="941">
      <c r="B941" s="47"/>
    </row>
    <row r="942">
      <c r="B942" s="47"/>
    </row>
    <row r="943">
      <c r="B943" s="47"/>
    </row>
    <row r="944">
      <c r="B944" s="47"/>
    </row>
    <row r="945">
      <c r="B945" s="47"/>
    </row>
    <row r="946">
      <c r="B946" s="47"/>
    </row>
    <row r="947">
      <c r="B947" s="47"/>
    </row>
    <row r="948">
      <c r="B948" s="47"/>
    </row>
    <row r="949">
      <c r="B949" s="47"/>
    </row>
    <row r="950">
      <c r="B950" s="47"/>
    </row>
    <row r="951">
      <c r="B951" s="47"/>
    </row>
    <row r="952">
      <c r="B952" s="47"/>
    </row>
    <row r="953">
      <c r="B953" s="47"/>
    </row>
    <row r="954">
      <c r="B954" s="47"/>
    </row>
    <row r="955">
      <c r="B955" s="47"/>
    </row>
    <row r="956">
      <c r="B956" s="47"/>
    </row>
    <row r="957">
      <c r="B957" s="47"/>
    </row>
    <row r="958">
      <c r="B958" s="47"/>
    </row>
    <row r="959">
      <c r="B959" s="47"/>
    </row>
    <row r="960">
      <c r="B960" s="47"/>
    </row>
    <row r="961">
      <c r="B961" s="47"/>
    </row>
    <row r="962">
      <c r="B962" s="47"/>
    </row>
    <row r="963">
      <c r="B963" s="47"/>
    </row>
    <row r="964">
      <c r="B964" s="47"/>
    </row>
    <row r="965">
      <c r="B965" s="47"/>
    </row>
    <row r="966">
      <c r="B966" s="47"/>
    </row>
    <row r="967">
      <c r="B967" s="47"/>
    </row>
    <row r="968">
      <c r="B968" s="47"/>
    </row>
    <row r="969">
      <c r="B969" s="47"/>
    </row>
    <row r="970">
      <c r="B970" s="47"/>
    </row>
    <row r="971">
      <c r="B971" s="47"/>
    </row>
    <row r="972">
      <c r="B972" s="47"/>
    </row>
    <row r="973">
      <c r="B973" s="47"/>
    </row>
    <row r="974">
      <c r="B974" s="47"/>
    </row>
    <row r="975">
      <c r="B975" s="47"/>
    </row>
    <row r="976">
      <c r="B976" s="47"/>
    </row>
    <row r="977">
      <c r="B977" s="47"/>
    </row>
    <row r="978">
      <c r="B978" s="47"/>
    </row>
    <row r="979">
      <c r="B979" s="47"/>
    </row>
    <row r="980">
      <c r="B980" s="47"/>
    </row>
    <row r="981">
      <c r="B981" s="47"/>
    </row>
    <row r="982">
      <c r="B982" s="47"/>
    </row>
    <row r="983">
      <c r="B983" s="47"/>
    </row>
    <row r="984">
      <c r="B984" s="47"/>
    </row>
    <row r="985">
      <c r="B985" s="47"/>
    </row>
    <row r="986">
      <c r="B986" s="47"/>
    </row>
    <row r="987">
      <c r="B987" s="47"/>
    </row>
    <row r="988">
      <c r="B988" s="47"/>
    </row>
    <row r="989">
      <c r="B989" s="47"/>
    </row>
    <row r="990">
      <c r="B990" s="47"/>
    </row>
    <row r="991">
      <c r="B991" s="47"/>
    </row>
    <row r="992">
      <c r="B992" s="47"/>
    </row>
    <row r="993">
      <c r="B993" s="47"/>
    </row>
    <row r="994">
      <c r="B994" s="47"/>
    </row>
    <row r="995">
      <c r="B995" s="47"/>
    </row>
    <row r="996">
      <c r="B996" s="47"/>
    </row>
    <row r="997">
      <c r="B997" s="47"/>
    </row>
    <row r="998">
      <c r="B998" s="47"/>
    </row>
    <row r="999">
      <c r="B999" s="47"/>
    </row>
    <row r="1000">
      <c r="B1000" s="47"/>
    </row>
  </sheetData>
  <drawing r:id="rId1"/>
</worksheet>
</file>