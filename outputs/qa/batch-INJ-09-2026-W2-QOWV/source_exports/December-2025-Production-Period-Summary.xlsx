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<sst xmlns="http://schemas.openxmlformats.org/spreadsheetml/2006/main" count="227" uniqueCount="172">
  <si>
    <t>Emission Factors</t>
  </si>
  <si>
    <t>Production Operating Hours</t>
  </si>
  <si>
    <t>Process Emissions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</si>
  <si>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</si>
  <si>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</si>
  <si>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</si>
  <si>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</si>
  <si>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</si>
  <si>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</si>
  <si>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</si>
  <si>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MT CO2e/t-mi</t>
  </si>
  <si>
    <t>N/A</t>
  </si>
  <si>
    <t>Propane (kg)</t>
  </si>
  <si>
    <t>Diesel (kg)</t>
  </si>
  <si>
    <t>Gasoline (kg)</t>
  </si>
  <si>
    <t>Embodied Emissions</t>
  </si>
  <si>
    <t>Output Type</t>
  </si>
  <si>
    <t>Total BM Consumed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</si>
  <si>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</si>
  <si>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</si>
  <si>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</si>
  <si>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</si>
  <si>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</si>
  <si>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</si>
  <si>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</si>
  <si>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GLEC V3.0 2024</t>
  </si>
  <si>
    <t>WODO</t>
  </si>
  <si>
    <t>WODO Yield</t>
  </si>
  <si>
    <t>WODO wt%C</t>
  </si>
  <si>
    <t>Truck Transport Fuel Use (Well to Wheel) -- Tanker Truck</t>
  </si>
  <si>
    <t>Vehicle Embodied Emissions --Tanker Truck</t>
  </si>
  <si>
    <t>MT CO2e/mi</t>
  </si>
  <si>
    <t>USEPA/GREET 2024</t>
  </si>
  <si>
    <t>Vehicle Embodied Emissions --Non-Tanker Truck</t>
  </si>
  <si>
    <t>Embodied Emissions -- Liquid Caustic Soda (50% NaOH)</t>
  </si>
  <si>
    <t>MTCO2e/T LCS</t>
  </si>
  <si>
    <t>GREET 2024</t>
  </si>
  <si>
    <t>Electricity Use -- Kansas</t>
  </si>
  <si>
    <t>MTCO2e/kWh</t>
  </si>
  <si>
    <t>Biochar Yield</t>
  </si>
  <si>
    <t>Green-E,USEPA, GREET 2024</t>
  </si>
  <si>
    <t>Electricity Use -- Kansas w/ Wind RECs</t>
  </si>
  <si>
    <t>Biochar wt%C</t>
  </si>
  <si>
    <t>Electricity Use -- Colorado</t>
  </si>
  <si>
    <t>Electricity Use -- Colorado w/ Solar RECs</t>
  </si>
  <si>
    <t>Vaulted Equipment Embodied Emissions</t>
  </si>
  <si>
    <t>MT CO2e/MT Injectate</t>
  </si>
  <si>
    <t>Vaulted PDD</t>
  </si>
  <si>
    <t>Biomass Transport</t>
  </si>
  <si>
    <t>Self-Loading Truck Lumber Handling (No Transport)</t>
  </si>
  <si>
    <t>MT CO2e/MT logs</t>
  </si>
  <si>
    <t>Auburn University</t>
  </si>
  <si>
    <t>Propane</t>
  </si>
  <si>
    <t>Diesel Fuel Combustion (Total WTW)</t>
  </si>
  <si>
    <t>MTCO2e/kg fuel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</si>
  <si>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</si>
  <si>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</si>
  <si>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</si>
  <si>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</si>
  <si>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</si>
  <si>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Pyrolyzer Up-Time</t>
  </si>
  <si>
    <t>Equipment Amortization</t>
  </si>
  <si>
    <t>Biochar</t>
  </si>
  <si>
    <t>Diesel</t>
  </si>
  <si>
    <t xml:space="preserve"> </t>
  </si>
  <si>
    <t>New Pile</t>
  </si>
  <si>
    <t>Total Operating Hours</t>
  </si>
  <si>
    <t>Gasoline</t>
  </si>
  <si>
    <t>Total Biomass Consumed (kg)</t>
  </si>
  <si>
    <t>Electricity</t>
  </si>
  <si>
    <t>Aqueous</t>
  </si>
  <si>
    <t>Tailgas</t>
  </si>
  <si>
    <t>Water</t>
  </si>
  <si>
    <t>Consumables Delivery</t>
  </si>
  <si>
    <t>Total Biomass Consumed (MT)</t>
  </si>
  <si>
    <t>Waste Disposal</t>
  </si>
  <si>
    <t>Capital Goods EE</t>
  </si>
  <si>
    <t>SP+C EE</t>
  </si>
  <si>
    <t>R+D Operating Hours</t>
  </si>
  <si>
    <t>Biomass Amortization Factor for PP (kg Co2e/MT biomass)</t>
  </si>
  <si>
    <t>Injection Emissions</t>
  </si>
  <si>
    <t>Aqueous Yield</t>
  </si>
  <si>
    <t>[MRV] Biomass Miles</t>
  </si>
  <si>
    <t>Log Handling Emissions</t>
  </si>
  <si>
    <t>[MRV] Raw Biomass Tonnes</t>
  </si>
  <si>
    <t>% Production</t>
  </si>
  <si>
    <t>[MRV] Linear Feet Consumed</t>
  </si>
  <si>
    <t>Total Amortized Embodied Emissions (kg)</t>
  </si>
  <si>
    <t>--</t>
  </si>
  <si>
    <t>[MRV] Uncertainty Adjusted Propane Used</t>
  </si>
  <si>
    <t>[MRV] Uncertainty Adjusted Diesel Used</t>
  </si>
  <si>
    <t>% R+D</t>
  </si>
  <si>
    <t>[MRV] Uncertainty Adjusted Gasoline Used</t>
  </si>
  <si>
    <t>Total Amortized Embodied Emissions (MT)</t>
  </si>
  <si>
    <t>[MRV] Uncertainty Adjusted Electricity</t>
  </si>
  <si>
    <t>[MRV] Total Water Used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</si>
  <si>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</si>
  <si>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</si>
  <si>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</si>
  <si>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</si>
  <si>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</si>
  <si>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</si>
  <si>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</si>
  <si>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</si>
  <si>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</si>
  <si>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</si>
  <si>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</si>
  <si>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</si>
  <si>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</si>
  <si>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</si>
  <si>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</si>
  <si>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</si>
  <si>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</si>
  <si>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</si>
  <si>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</si>
  <si>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</si>
  <si>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</si>
  <si>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</si>
  <si>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</si>
  <si>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</si>
  <si>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</si>
  <si>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</si>
  <si>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</si>
  <si>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</si>
  <si>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</si>
  <si>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5935.52</t>
  </si>
  <si>
    <t>Total Diesel Consumption for PP (Gal)</t>
  </si>
  <si>
    <t>Total Diesel Fills in Office Generator for PP (Gal)</t>
  </si>
  <si>
    <t>0</t>
  </si>
  <si>
    <t>Total</t>
  </si>
  <si>
    <t>Total Production Diesel Consumption for PP (Gal)</t>
  </si>
  <si>
    <t>1568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</si>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</sst>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u/>
      <color rgb="FF0000FF"/>
    </font>
    <font>
      <color rgb="FF0000FF"/>
      <name val="Arial"/>
      <scheme val="minor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vertical="bottom"/>
    </xf>
    <xf borderId="0" fillId="0" fontId="3" numFmtId="4" xfId="0" applyFont="1" applyNumberFormat="1"/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2" xfId="0" applyFont="1" applyNumberFormat="1"/>
    <xf borderId="0" fillId="0" fontId="6" numFmtId="0" xfId="0" applyAlignment="1" applyFont="1">
      <alignment horizontal="right" readingOrder="0" vertical="bottom"/>
    </xf>
    <xf borderId="0" fillId="2" fontId="3" numFmtId="0" xfId="0" applyFill="1" applyFont="1"/>
    <xf borderId="0" fillId="0" fontId="3" numFmtId="4" xfId="0" applyAlignment="1" applyFont="1" applyNumberFormat="1">
      <alignment horizontal="center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0" fontId="3" numFmtId="2" xfId="0" applyAlignment="1" applyFont="1" applyNumberFormat="1">
      <alignment horizontal="center"/>
    </xf>
    <xf borderId="0" fillId="0" fontId="3" numFmtId="3" xfId="0" applyAlignment="1" applyFont="1" applyNumberFormat="1">
      <alignment readingOrder="0"/>
    </xf>
    <xf borderId="0" fillId="0" fontId="3" numFmtId="164" xfId="0" applyFont="1" applyNumberFormat="1"/>
    <xf borderId="0" fillId="0" fontId="3" numFmtId="3" xfId="0" applyAlignment="1" applyFont="1" applyNumberFormat="1">
      <alignment horizontal="center"/>
    </xf>
    <xf borderId="0" fillId="0" fontId="8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9" numFmtId="10" xfId="0" applyAlignment="1" applyFont="1" applyNumberFormat="1">
      <alignment readingOrder="0"/>
    </xf>
    <xf borderId="0" fillId="0" fontId="3" numFmtId="10" xfId="0" applyAlignment="1" applyFont="1" applyNumberFormat="1">
      <alignment horizontal="center"/>
    </xf>
    <xf borderId="0" fillId="0" fontId="3" numFmtId="165" xfId="0" applyFont="1" applyNumberFormat="1"/>
    <xf borderId="0" fillId="0" fontId="6" numFmtId="0" xfId="0" applyAlignment="1" applyFont="1">
      <alignment readingOrder="0" vertical="bottom"/>
    </xf>
    <xf borderId="0" fillId="0" fontId="3" numFmtId="166" xfId="0" applyFont="1" applyNumberFormat="1"/>
    <xf borderId="0" fillId="0" fontId="3" numFmtId="164" xfId="0" applyAlignment="1" applyFont="1" applyNumberFormat="1">
      <alignment horizontal="center"/>
    </xf>
    <xf borderId="0" fillId="0" fontId="10" numFmtId="0" xfId="0" applyAlignment="1" applyFont="1">
      <alignment readingOrder="0" vertical="bottom"/>
    </xf>
    <xf borderId="0" fillId="3" fontId="2" numFmtId="0" xfId="0" applyAlignment="1" applyFill="1" applyFont="1">
      <alignment readingOrder="0"/>
    </xf>
    <xf borderId="0" fillId="0" fontId="3" numFmtId="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4" fontId="3" numFmtId="4" xfId="0" applyAlignment="1" applyFill="1" applyFont="1" applyNumberFormat="1">
      <alignment readingOrder="0"/>
    </xf>
    <xf borderId="0" fillId="0" fontId="7" numFmtId="0" xfId="0" applyFont="1"/>
    <xf borderId="0" fillId="0" fontId="6" numFmtId="166" xfId="0" applyAlignment="1" applyFont="1" applyNumberFormat="1">
      <alignment horizontal="right" readingOrder="0" vertical="bottom"/>
    </xf>
    <xf borderId="0" fillId="0" fontId="9" numFmtId="3" xfId="0" applyAlignment="1" applyFont="1" applyNumberFormat="1">
      <alignment readingOrder="0"/>
    </xf>
    <xf borderId="0" fillId="0" fontId="3" numFmtId="3" xfId="0" applyFont="1" applyNumberFormat="1"/>
    <xf borderId="0" fillId="0" fontId="6" numFmtId="167" xfId="0" applyAlignment="1" applyFont="1" applyNumberFormat="1">
      <alignment horizontal="right" readingOrder="0" vertical="bottom"/>
    </xf>
    <xf borderId="0" fillId="4" fontId="3" numFmtId="0" xfId="0" applyAlignment="1" applyFill="1" applyFont="1">
      <alignment readingOrder="0"/>
    </xf>
    <xf borderId="0" fillId="4" fontId="3" numFmtId="2" xfId="0" applyAlignment="1" applyFill="1" applyFont="1" applyNumberFormat="1">
      <alignment readingOrder="0"/>
    </xf>
    <xf borderId="0" fillId="5" fontId="3" numFmtId="0" xfId="0" applyAlignment="1" applyFill="1" applyFont="1">
      <alignment horizontal="center"/>
    </xf>
    <xf borderId="0" fillId="0" fontId="3" numFmtId="10" xfId="0" applyFont="1" applyNumberFormat="1"/>
    <xf borderId="0" fillId="0" fontId="3" numFmtId="0" xfId="0" applyAlignment="1" applyFont="1">
      <alignment horizontal="center" readingOrder="0"/>
    </xf>
    <xf borderId="0" fillId="0" fontId="3" numFmtId="167" xfId="0" applyFont="1" applyNumberFormat="1"/>
    <xf quotePrefix="1" borderId="0" fillId="6" fontId="3" numFmtId="0" xfId="0" applyAlignment="1" applyFill="1" applyFont="1">
      <alignment horizontal="center" readingOrder="0"/>
    </xf>
    <xf borderId="0" fillId="0" fontId="3" numFmtId="168" xfId="0" applyFont="1" applyNumberFormat="1"/>
    <xf borderId="0" fillId="0" fontId="7" numFmtId="0" xfId="0" applyAlignment="1" applyFont="1">
      <alignment horizontal="right" readingOrder="0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6" numFmtId="166" xfId="0" applyAlignment="1" applyFont="1" applyNumberFormat="1">
      <alignment horizontal="right" vertical="bottom"/>
    </xf>
    <xf borderId="0" fillId="0" fontId="6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6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4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8" fontId="3" numFmtId="164" xfId="0" applyFill="1" applyFont="1" applyNumberFormat="1"/>
    <xf borderId="0" fillId="8" fontId="3" numFmtId="10" xfId="0" applyFill="1" applyFont="1" applyNumberFormat="1"/>
    <xf borderId="0" fillId="0" fontId="3" numFmtId="165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7" numFmtId="4" xfId="0" applyFont="1" applyNumberFormat="1"/>
    <xf borderId="0" fillId="0" fontId="7" numFmtId="168" xfId="0" applyFont="1" applyNumberFormat="1"/>
    <xf borderId="0" fillId="8" fontId="3" numFmtId="2" xfId="0" applyFill="1" applyFont="1" applyNumberFormat="1"/>
    <xf borderId="0" fillId="8" fontId="3" numFmtId="0" xfId="0" applyFill="1" applyFont="1"/>
    <xf borderId="0" fillId="0" fontId="15" numFmtId="3" xfId="0" applyAlignment="1" applyFont="1" applyNumberFormat="1">
      <alignment readingOrder="0"/>
    </xf>
    <xf borderId="0" fillId="9" fontId="2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168" xfId="0" applyAlignment="1" applyFont="1" applyNumberFormat="1">
      <alignment readingOrder="0" vertical="bottom"/>
    </xf>
    <xf borderId="0" fillId="0" fontId="7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7" numFmtId="0" xfId="0" applyAlignment="1" applyFill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3" numFmtId="167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7" fontId="3" numFmtId="167" xfId="0" applyAlignment="1" applyFill="1" applyFont="1" applyNumberFormat="1">
      <alignment readingOrder="0"/>
    </xf>
    <xf borderId="0" fillId="7" fontId="3" numFmtId="170" xfId="0" applyAlignment="1" applyFill="1" applyFont="1" applyNumberFormat="1">
      <alignment readingOrder="0"/>
    </xf>
    <xf borderId="0" fillId="7" fontId="3" numFmtId="165" xfId="0" applyAlignment="1" applyFill="1" applyFont="1" applyNumberFormat="1">
      <alignment readingOrder="0"/>
    </xf>
    <xf borderId="0" fillId="7" fontId="3" numFmtId="0" xfId="0" applyFill="1" applyFont="1"/>
    <xf borderId="0" fillId="7" fontId="3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39.5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2</v>
      </c>
      <c r="E1" s="2"/>
      <c r="G1" s="11"/>
      <c r="H1" s="1" t="s">
        <v>15</v>
      </c>
      <c r="L1" s="11"/>
      <c r="M1" s="13" t="s">
        <v>16</v>
      </c>
      <c r="N1" s="13" t="s">
        <v>18</v>
      </c>
      <c r="O1" s="13" t="s">
        <v>19</v>
      </c>
      <c r="P1" s="13" t="s">
        <v>20</v>
      </c>
      <c r="Q1" s="13" t="s">
        <v>21</v>
      </c>
      <c r="R1" s="13" t="s">
        <v>22</v>
      </c>
      <c r="S1" s="13" t="s">
        <v>23</v>
      </c>
      <c r="T1" s="13" t="s">
        <v>24</v>
      </c>
      <c r="U1" s="13"/>
      <c r="V1" s="13"/>
      <c r="W1" s="13"/>
      <c r="X1" s="13"/>
      <c r="Y1" s="13"/>
      <c r="Z1" s="13"/>
      <c r="AA1" s="13"/>
      <c r="AB1" s="13"/>
    </row>
    <row r="2">
      <c r="A2" s="2"/>
      <c r="E2" s="2"/>
      <c r="G2" s="11"/>
      <c r="L2" s="11"/>
      <c r="M2" s="7" t="s">
        <v>26</v>
      </c>
      <c r="N2" s="16">
        <v>6481.0</v>
      </c>
      <c r="O2" s="20">
        <f t="shared" ref="O2:O4" si="1">N2/($N$2+$N$3+$N$4)</f>
        <v>0.2180979943</v>
      </c>
      <c r="P2" s="21">
        <v>0.4871</v>
      </c>
      <c r="Q2" s="16">
        <f t="shared" ref="Q2:Q4" si="2">P2*N2</f>
        <v>3156.8951</v>
      </c>
      <c r="R2" s="20">
        <f t="shared" ref="R2:R4" si="3">Q2/(SUM($Q$2+$Q$3+$Q$4))</f>
        <v>0.378484856</v>
      </c>
      <c r="S2" s="23">
        <f t="shared" ref="S2:S4" si="4">R2*$I$32</f>
        <v>6.300716882</v>
      </c>
      <c r="T2" s="25">
        <f t="shared" ref="T2:T4" si="5">(S2*1000)/N2</f>
        <v>0.9721828239</v>
      </c>
      <c r="U2" s="5"/>
      <c r="V2" s="5"/>
      <c r="W2" s="5"/>
      <c r="X2" s="5"/>
      <c r="Y2" s="5"/>
      <c r="Z2" s="5"/>
    </row>
    <row r="3">
      <c r="A3" s="28" t="s">
        <v>48</v>
      </c>
      <c r="E3" s="2" t="s">
        <v>60</v>
      </c>
      <c r="G3" s="11"/>
      <c r="H3" s="2" t="s">
        <v>61</v>
      </c>
      <c r="L3" s="11"/>
      <c r="M3" s="7" t="s">
        <v>62</v>
      </c>
      <c r="N3" s="16">
        <v>4074.0</v>
      </c>
      <c r="O3" s="20">
        <f t="shared" si="1"/>
        <v>0.1370978597</v>
      </c>
      <c r="P3" s="21">
        <v>0.8882</v>
      </c>
      <c r="Q3" s="29">
        <f t="shared" si="2"/>
        <v>3618.5268</v>
      </c>
      <c r="R3" s="20">
        <f t="shared" si="3"/>
        <v>0.4338305681</v>
      </c>
      <c r="S3" s="23">
        <f t="shared" si="4"/>
        <v>7.222068575</v>
      </c>
      <c r="T3" s="25">
        <f t="shared" si="5"/>
        <v>1.772721791</v>
      </c>
      <c r="U3" s="5"/>
      <c r="V3" s="5"/>
      <c r="W3" s="5"/>
      <c r="X3" s="5"/>
      <c r="Y3" s="5"/>
      <c r="Z3" s="5"/>
    </row>
    <row r="4">
      <c r="B4" s="13" t="s">
        <v>65</v>
      </c>
      <c r="D4" s="8"/>
      <c r="E4" s="7" t="s">
        <v>66</v>
      </c>
      <c r="F4" s="32">
        <v>964.8</v>
      </c>
      <c r="G4" s="11"/>
      <c r="I4" s="7" t="s">
        <v>68</v>
      </c>
      <c r="J4" s="29">
        <f>C67</f>
        <v>28947</v>
      </c>
      <c r="L4" s="11"/>
      <c r="M4" s="7" t="s">
        <v>70</v>
      </c>
      <c r="N4" s="16">
        <v>19161.0</v>
      </c>
      <c r="O4" s="20">
        <f t="shared" si="1"/>
        <v>0.6448041459</v>
      </c>
      <c r="P4" s="21">
        <v>0.0817</v>
      </c>
      <c r="Q4" s="29">
        <f t="shared" si="2"/>
        <v>1565.4537</v>
      </c>
      <c r="R4" s="20">
        <f t="shared" si="3"/>
        <v>0.1876845759</v>
      </c>
      <c r="S4" s="23">
        <f t="shared" si="4"/>
        <v>3.124424551</v>
      </c>
      <c r="T4" s="25">
        <f t="shared" si="5"/>
        <v>0.1630616644</v>
      </c>
      <c r="U4" s="5"/>
      <c r="V4" s="5"/>
      <c r="W4" s="5"/>
      <c r="X4" s="5"/>
      <c r="Y4" s="5"/>
      <c r="Z4" s="33"/>
    </row>
    <row r="5">
      <c r="B5" s="8" t="s">
        <v>2</v>
      </c>
      <c r="C5" s="34">
        <v>1.7639</v>
      </c>
      <c r="D5" s="24"/>
      <c r="E5" s="7" t="s">
        <v>1</v>
      </c>
      <c r="F5" s="32">
        <v>964.8</v>
      </c>
      <c r="G5" s="11"/>
      <c r="I5" s="7" t="s">
        <v>74</v>
      </c>
      <c r="J5" s="9">
        <f>J4/1000</f>
        <v>28.947</v>
      </c>
      <c r="L5" s="11"/>
      <c r="N5" s="35"/>
      <c r="P5" s="21"/>
      <c r="Q5" s="36"/>
      <c r="R5" s="36"/>
      <c r="S5" s="23"/>
      <c r="T5" s="5"/>
      <c r="U5" s="5"/>
      <c r="V5" s="5"/>
      <c r="W5" s="5"/>
      <c r="X5" s="5"/>
      <c r="Y5" s="5"/>
      <c r="Z5" s="33"/>
    </row>
    <row r="6">
      <c r="B6" s="8" t="s">
        <v>15</v>
      </c>
      <c r="C6" s="37">
        <v>0.03859243168</v>
      </c>
      <c r="D6" s="24"/>
      <c r="E6" s="7" t="s">
        <v>78</v>
      </c>
      <c r="F6" s="38">
        <v>0.0</v>
      </c>
      <c r="G6" s="11"/>
      <c r="I6" s="7" t="s">
        <v>79</v>
      </c>
      <c r="J6" s="39">
        <v>65.1</v>
      </c>
      <c r="L6" s="11"/>
      <c r="R6" s="41"/>
      <c r="S6" s="9"/>
      <c r="T6" s="43"/>
      <c r="W6" s="5"/>
      <c r="X6" s="5"/>
      <c r="Y6" s="5"/>
      <c r="Z6" s="33"/>
    </row>
    <row r="7">
      <c r="B7" s="8" t="s">
        <v>83</v>
      </c>
      <c r="C7" s="37">
        <v>0.36438</v>
      </c>
      <c r="D7" s="8"/>
      <c r="E7" s="7" t="s">
        <v>85</v>
      </c>
      <c r="F7" s="41">
        <f>F5/F4</f>
        <v>1</v>
      </c>
      <c r="G7" s="11"/>
      <c r="I7" s="7" t="s">
        <v>87</v>
      </c>
      <c r="J7" s="9">
        <f>J6*J5</f>
        <v>1884.4497</v>
      </c>
      <c r="L7" s="11"/>
      <c r="Q7" s="36"/>
      <c r="R7" s="36"/>
      <c r="S7" s="45"/>
      <c r="T7" s="41"/>
      <c r="Z7" s="33"/>
    </row>
    <row r="8">
      <c r="D8" s="8"/>
      <c r="E8" s="7" t="s">
        <v>91</v>
      </c>
      <c r="F8" s="41">
        <f>F6/F4</f>
        <v>0</v>
      </c>
      <c r="G8" s="11"/>
      <c r="I8" s="7" t="s">
        <v>93</v>
      </c>
      <c r="J8" s="9">
        <f>J7/1000</f>
        <v>1.8844497</v>
      </c>
      <c r="L8" s="11"/>
      <c r="P8" s="7" t="s">
        <v>64</v>
      </c>
      <c r="T8" s="46"/>
      <c r="U8" s="46"/>
      <c r="V8" s="46"/>
      <c r="Z8" s="33"/>
    </row>
    <row r="9">
      <c r="B9" s="8" t="s">
        <v>96</v>
      </c>
      <c r="C9" s="34">
        <f>SUM(C5:C7)</f>
        <v>2.166872432</v>
      </c>
      <c r="D9" s="8"/>
      <c r="G9" s="11"/>
      <c r="H9" s="2" t="s">
        <v>97</v>
      </c>
      <c r="L9" s="11"/>
      <c r="T9" s="47"/>
      <c r="U9" s="47"/>
      <c r="V9" s="48"/>
      <c r="Z9" s="33"/>
    </row>
    <row r="10">
      <c r="B10" s="7" t="s">
        <v>98</v>
      </c>
      <c r="C10" s="25">
        <f>SUM(C5,C7)</f>
        <v>2.12828</v>
      </c>
      <c r="D10" s="8"/>
      <c r="E10" s="49" t="s">
        <v>99</v>
      </c>
      <c r="F10" s="9"/>
      <c r="G10" s="11"/>
      <c r="I10" s="7" t="s">
        <v>100</v>
      </c>
      <c r="J10" s="7">
        <v>0.83351</v>
      </c>
      <c r="L10" s="11"/>
      <c r="T10" s="47"/>
      <c r="U10" s="50"/>
      <c r="V10" s="50"/>
      <c r="Z10" s="33"/>
    </row>
    <row r="11">
      <c r="B11" s="24" t="s">
        <v>101</v>
      </c>
      <c r="C11" s="51">
        <f>C9-C10</f>
        <v>0.03859243168</v>
      </c>
      <c r="D11" s="8"/>
      <c r="E11" s="8" t="s">
        <v>102</v>
      </c>
      <c r="F11" s="25">
        <f>Sum(C10,C39,C81,C89)</f>
        <v>22.13318956</v>
      </c>
      <c r="G11" s="11"/>
      <c r="I11" s="7" t="s">
        <v>103</v>
      </c>
      <c r="J11" s="9">
        <f>J10*(F5*(1.01))</f>
        <v>812.2121525</v>
      </c>
      <c r="L11" s="11"/>
      <c r="T11" s="47"/>
      <c r="U11" s="47"/>
      <c r="V11" s="48"/>
      <c r="Z11" s="33"/>
    </row>
    <row r="12">
      <c r="B12" s="24"/>
      <c r="C12" s="52"/>
      <c r="D12" s="8"/>
      <c r="E12" s="8" t="s">
        <v>104</v>
      </c>
      <c r="F12" s="9">
        <f>C62</f>
        <v>25041.2626</v>
      </c>
      <c r="G12" s="11"/>
      <c r="I12" s="7" t="s">
        <v>105</v>
      </c>
      <c r="J12" s="9">
        <f>J11/1000</f>
        <v>0.8122121525</v>
      </c>
      <c r="L12" s="11"/>
      <c r="O12" s="53"/>
      <c r="T12" s="47"/>
      <c r="U12" s="47"/>
      <c r="V12" s="48"/>
      <c r="Z12" s="33"/>
    </row>
    <row r="13">
      <c r="B13" s="24" t="s">
        <v>106</v>
      </c>
      <c r="C13" s="52">
        <v>239.92</v>
      </c>
      <c r="D13" s="54"/>
      <c r="G13" s="11"/>
      <c r="L13" s="11"/>
      <c r="O13" s="55"/>
      <c r="T13" s="48"/>
      <c r="U13" s="47"/>
      <c r="V13" s="48"/>
    </row>
    <row r="14">
      <c r="B14" s="24" t="s">
        <v>107</v>
      </c>
      <c r="C14" s="56">
        <v>598.4</v>
      </c>
      <c r="D14" s="54"/>
      <c r="G14" s="11"/>
      <c r="L14" s="11"/>
      <c r="M14" s="57"/>
      <c r="T14" s="48"/>
      <c r="U14" s="48"/>
      <c r="V14" s="48"/>
    </row>
    <row r="15">
      <c r="B15" s="24" t="s">
        <v>108</v>
      </c>
      <c r="C15" s="56">
        <v>13051.56</v>
      </c>
      <c r="D15" s="54"/>
      <c r="G15" s="11"/>
      <c r="L15" s="11"/>
      <c r="M15" s="57"/>
      <c r="T15" s="48"/>
      <c r="U15" s="48"/>
      <c r="V15" s="48"/>
    </row>
    <row r="16">
      <c r="B16" s="24"/>
      <c r="C16" s="52"/>
      <c r="D16" s="8"/>
      <c r="E16" s="24"/>
      <c r="F16" s="14"/>
      <c r="G16" s="11"/>
      <c r="L16" s="11"/>
      <c r="O16" s="58"/>
      <c r="P16" s="58"/>
      <c r="R16" s="5"/>
      <c r="S16" s="58"/>
      <c r="T16" s="29"/>
      <c r="U16" s="45"/>
    </row>
    <row r="17">
      <c r="A17" s="28" t="s">
        <v>109</v>
      </c>
      <c r="G17" s="11"/>
      <c r="H17" s="11"/>
      <c r="I17" s="11"/>
      <c r="J17" s="11"/>
      <c r="L17" s="11"/>
      <c r="N17" s="29"/>
      <c r="O17" s="58"/>
      <c r="P17" s="58"/>
      <c r="Q17" s="29"/>
      <c r="R17" s="5"/>
      <c r="S17" s="58"/>
      <c r="T17" s="29"/>
      <c r="U17" s="45"/>
    </row>
    <row r="18">
      <c r="B18" s="7" t="s">
        <v>110</v>
      </c>
      <c r="C18" s="59">
        <v>5477.87</v>
      </c>
      <c r="G18" s="11"/>
      <c r="H18" s="60" t="s">
        <v>111</v>
      </c>
      <c r="I18" s="61" t="s">
        <v>112</v>
      </c>
      <c r="J18" s="61" t="s">
        <v>113</v>
      </c>
      <c r="K18" s="62"/>
      <c r="L18" s="11"/>
      <c r="M18" s="13"/>
      <c r="N18" s="63"/>
      <c r="O18" s="29"/>
      <c r="P18" s="29"/>
      <c r="S18" s="29"/>
      <c r="T18" s="29"/>
      <c r="U18" s="45"/>
    </row>
    <row r="19">
      <c r="B19" s="7" t="s">
        <v>114</v>
      </c>
      <c r="C19" s="20">
        <v>0.78</v>
      </c>
      <c r="G19" s="11"/>
      <c r="H19" s="64" t="s">
        <v>48</v>
      </c>
      <c r="I19" s="65">
        <f>C9*F7</f>
        <v>2.166872432</v>
      </c>
      <c r="J19" s="66">
        <f t="shared" ref="J19:J29" si="6">I19/$I$32</f>
        <v>0.1301642996</v>
      </c>
      <c r="K19" s="67"/>
      <c r="L19" s="11"/>
      <c r="M19" s="68"/>
      <c r="N19" s="29"/>
      <c r="O19" s="69"/>
      <c r="P19" s="69"/>
      <c r="R19" s="29"/>
      <c r="S19" s="63"/>
      <c r="T19" s="63"/>
      <c r="U19" s="70"/>
      <c r="V19" s="33"/>
    </row>
    <row r="20">
      <c r="B20" s="7" t="s">
        <v>115</v>
      </c>
      <c r="C20" s="7">
        <v>2952.3</v>
      </c>
      <c r="G20" s="11"/>
      <c r="H20" s="64" t="s">
        <v>52</v>
      </c>
      <c r="I20" s="71">
        <f>C27*F7</f>
        <v>10.1010159</v>
      </c>
      <c r="J20" s="66">
        <f t="shared" si="6"/>
        <v>0.6067692964</v>
      </c>
      <c r="K20" s="67"/>
      <c r="L20" s="11"/>
      <c r="M20" s="68"/>
    </row>
    <row r="21">
      <c r="B21" s="7" t="s">
        <v>116</v>
      </c>
      <c r="C21" s="59">
        <v>5440.02</v>
      </c>
      <c r="G21" s="11"/>
      <c r="H21" s="64" t="s">
        <v>63</v>
      </c>
      <c r="I21" s="72">
        <f>C40*F7</f>
        <v>0</v>
      </c>
      <c r="J21" s="66">
        <f t="shared" si="6"/>
        <v>0</v>
      </c>
      <c r="K21" s="67"/>
      <c r="L21" s="11"/>
    </row>
    <row r="22">
      <c r="B22" s="7" t="s">
        <v>117</v>
      </c>
      <c r="C22" s="59">
        <v>1437.1</v>
      </c>
      <c r="G22" s="11"/>
      <c r="H22" s="64" t="s">
        <v>67</v>
      </c>
      <c r="I22" s="71">
        <f>C48*F7</f>
        <v>0.3651490319</v>
      </c>
      <c r="J22" s="66">
        <f t="shared" si="6"/>
        <v>0.0219345483</v>
      </c>
      <c r="K22" s="67"/>
      <c r="L22" s="11"/>
      <c r="M22" s="57"/>
      <c r="N22" s="5"/>
      <c r="Q22" s="36"/>
    </row>
    <row r="23">
      <c r="B23" s="7" t="s">
        <v>118</v>
      </c>
      <c r="C23" s="59">
        <v>2747.21</v>
      </c>
      <c r="G23" s="11"/>
      <c r="H23" s="64" t="s">
        <v>69</v>
      </c>
      <c r="I23" s="71">
        <f>C64*F7</f>
        <v>0.9202513765</v>
      </c>
      <c r="J23" s="66">
        <f t="shared" si="6"/>
        <v>0.05527961599</v>
      </c>
      <c r="K23" s="67"/>
      <c r="L23" s="11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B24" s="7" t="s">
        <v>119</v>
      </c>
      <c r="C24" s="20">
        <v>0.0129</v>
      </c>
      <c r="G24" s="11"/>
      <c r="H24" s="64" t="s">
        <v>71</v>
      </c>
      <c r="I24" s="65">
        <f>C69*F7</f>
        <v>0.05590482518</v>
      </c>
      <c r="J24" s="66">
        <f t="shared" si="6"/>
        <v>0.003358209883</v>
      </c>
      <c r="K24" s="67"/>
      <c r="L24" s="11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B25" s="7" t="s">
        <v>120</v>
      </c>
      <c r="C25" s="59">
        <f>C23*(1+C24)</f>
        <v>2782.649009</v>
      </c>
      <c r="G25" s="11"/>
      <c r="H25" s="64" t="s">
        <v>72</v>
      </c>
      <c r="I25" s="65">
        <f>C75*F7</f>
        <v>0.007918375908</v>
      </c>
      <c r="J25" s="66">
        <f t="shared" si="6"/>
        <v>0.0004756578372</v>
      </c>
      <c r="K25" s="67"/>
      <c r="L25" s="11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B26" s="7" t="s">
        <v>121</v>
      </c>
      <c r="C26" s="7">
        <f>'Emission Factors'!E15*1000</f>
        <v>3.63</v>
      </c>
      <c r="G26" s="11"/>
      <c r="H26" s="64" t="s">
        <v>73</v>
      </c>
      <c r="I26" s="65">
        <f>C82*F7</f>
        <v>0.028</v>
      </c>
      <c r="J26" s="66">
        <f t="shared" si="6"/>
        <v>0.001681963523</v>
      </c>
      <c r="K26" s="67"/>
      <c r="L26" s="11"/>
      <c r="N26" s="73"/>
      <c r="Q26" s="36"/>
      <c r="R26" s="36"/>
      <c r="S26" s="45"/>
      <c r="T26" s="41"/>
      <c r="U26" s="36"/>
      <c r="V26" s="45"/>
      <c r="W26" s="36"/>
      <c r="X26" s="45"/>
      <c r="Y26" s="5"/>
    </row>
    <row r="27">
      <c r="B27" s="7" t="s">
        <v>122</v>
      </c>
      <c r="C27" s="9">
        <f>(C25*C26)/1000</f>
        <v>10.1010159</v>
      </c>
      <c r="G27" s="11"/>
      <c r="H27" s="64" t="s">
        <v>75</v>
      </c>
      <c r="I27" s="71">
        <f>C90*F7</f>
        <v>0.3054362114</v>
      </c>
      <c r="J27" s="66">
        <f t="shared" si="6"/>
        <v>0.01834759165</v>
      </c>
      <c r="K27" s="67"/>
      <c r="L27" s="11"/>
      <c r="N27" s="73"/>
      <c r="Q27" s="36"/>
      <c r="R27" s="36"/>
      <c r="S27" s="45"/>
      <c r="T27" s="41"/>
      <c r="U27" s="36"/>
      <c r="V27" s="45"/>
      <c r="W27" s="36"/>
      <c r="X27" s="45"/>
      <c r="Y27" s="5"/>
    </row>
    <row r="28">
      <c r="G28" s="11"/>
      <c r="H28" s="64" t="s">
        <v>76</v>
      </c>
      <c r="I28" s="71">
        <f>J8*F7</f>
        <v>1.8844497</v>
      </c>
      <c r="J28" s="66">
        <f t="shared" si="6"/>
        <v>0.1131991306</v>
      </c>
      <c r="K28" s="67"/>
      <c r="L28" s="11"/>
      <c r="N28" s="73"/>
      <c r="Q28" s="36"/>
      <c r="R28" s="36"/>
      <c r="S28" s="45"/>
      <c r="T28" s="41"/>
      <c r="U28" s="36"/>
      <c r="V28" s="45"/>
      <c r="W28" s="36"/>
      <c r="X28" s="45"/>
      <c r="Y28" s="5"/>
    </row>
    <row r="29">
      <c r="A29" s="74" t="s">
        <v>123</v>
      </c>
      <c r="D29" s="5"/>
      <c r="G29" s="11"/>
      <c r="H29" s="64" t="s">
        <v>77</v>
      </c>
      <c r="I29" s="71">
        <f>J12*F7</f>
        <v>0.8122121525</v>
      </c>
      <c r="J29" s="66">
        <f t="shared" si="6"/>
        <v>0.04878968621</v>
      </c>
      <c r="K29" s="67">
        <f>SUM(J20,J28,J29)</f>
        <v>0.7687581132</v>
      </c>
      <c r="L29" s="11"/>
      <c r="N29" s="73"/>
      <c r="Q29" s="36"/>
      <c r="R29" s="36"/>
      <c r="S29" s="45"/>
      <c r="T29" s="41"/>
      <c r="U29" s="36"/>
      <c r="V29" s="45"/>
      <c r="W29" s="36"/>
      <c r="X29" s="45"/>
      <c r="Y29" s="5"/>
    </row>
    <row r="30">
      <c r="B30" s="75" t="s">
        <v>124</v>
      </c>
      <c r="C30" s="76" t="s">
        <v>125</v>
      </c>
      <c r="G30" s="11"/>
      <c r="H30" s="64"/>
      <c r="I30" s="72"/>
      <c r="J30" s="66"/>
      <c r="K30" s="67"/>
      <c r="L30" s="11"/>
      <c r="N30" s="73"/>
      <c r="P30" s="20"/>
      <c r="Q30" s="36"/>
      <c r="R30" s="36"/>
      <c r="S30" s="45"/>
      <c r="T30" s="41"/>
      <c r="U30" s="36"/>
      <c r="V30" s="45"/>
      <c r="W30" s="36"/>
      <c r="X30" s="45"/>
      <c r="Y30" s="5"/>
    </row>
    <row r="31">
      <c r="B31" s="75" t="s">
        <v>126</v>
      </c>
      <c r="C31" s="77">
        <v>1568.0</v>
      </c>
      <c r="D31" s="42"/>
      <c r="G31" s="11"/>
      <c r="H31" s="72"/>
      <c r="I31" s="72"/>
      <c r="J31" s="66"/>
      <c r="K31" s="67"/>
      <c r="L31" s="11"/>
      <c r="N31" s="73"/>
      <c r="P31" s="20"/>
      <c r="Q31" s="36"/>
      <c r="R31" s="36"/>
      <c r="S31" s="45"/>
      <c r="T31" s="41"/>
      <c r="U31" s="36"/>
      <c r="V31" s="45"/>
      <c r="W31" s="36"/>
      <c r="X31" s="45"/>
      <c r="Y31" s="5"/>
    </row>
    <row r="32">
      <c r="B32" s="75" t="s">
        <v>127</v>
      </c>
      <c r="C32" s="76" t="s">
        <v>128</v>
      </c>
      <c r="D32" s="23"/>
      <c r="G32" s="11"/>
      <c r="H32" s="64" t="s">
        <v>129</v>
      </c>
      <c r="I32" s="65">
        <f>SUM(I19:I30)</f>
        <v>16.64721001</v>
      </c>
      <c r="J32" s="66"/>
      <c r="K32" s="67"/>
      <c r="L32" s="11"/>
      <c r="M32" s="13"/>
      <c r="N32" s="33"/>
      <c r="O32" s="33"/>
      <c r="P32" s="33"/>
      <c r="Q32" s="33"/>
      <c r="R32" s="33"/>
      <c r="S32" s="70"/>
      <c r="T32" s="33"/>
      <c r="U32" s="78"/>
      <c r="V32" s="33"/>
      <c r="W32" s="78"/>
      <c r="X32" s="33"/>
      <c r="Y32" s="33"/>
      <c r="Z32" s="33"/>
      <c r="AA32" s="33"/>
      <c r="AB32" s="33"/>
    </row>
    <row r="33">
      <c r="B33" s="75" t="s">
        <v>130</v>
      </c>
      <c r="C33" s="76" t="s">
        <v>131</v>
      </c>
      <c r="G33" s="11"/>
      <c r="L33" s="11"/>
      <c r="N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B34" s="75" t="s">
        <v>132</v>
      </c>
      <c r="C34" s="79">
        <v>5044.65</v>
      </c>
      <c r="G34" s="11"/>
      <c r="L34" s="11"/>
      <c r="N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B35" s="24" t="s">
        <v>119</v>
      </c>
      <c r="C35" s="80">
        <v>0.0129</v>
      </c>
      <c r="G35" s="11"/>
      <c r="K35" s="67"/>
      <c r="L35" s="11"/>
      <c r="N35" s="59"/>
      <c r="O35" s="58"/>
      <c r="R35" s="29"/>
    </row>
    <row r="36">
      <c r="B36" s="24" t="s">
        <v>120</v>
      </c>
      <c r="C36" s="79">
        <f>C34*(1+C35)</f>
        <v>5109.725985</v>
      </c>
      <c r="G36" s="11"/>
      <c r="H36" s="2"/>
      <c r="K36" s="67"/>
      <c r="L36" s="11"/>
      <c r="N36" s="59"/>
      <c r="O36" s="58"/>
      <c r="R36" s="29"/>
    </row>
    <row r="37">
      <c r="B37" s="7" t="s">
        <v>133</v>
      </c>
      <c r="C37" s="7">
        <f>'Emission Factors'!E14*1000</f>
        <v>3.87</v>
      </c>
      <c r="G37" s="11"/>
      <c r="H37" s="2"/>
      <c r="K37" s="67"/>
      <c r="L37" s="11"/>
      <c r="N37" s="59"/>
      <c r="O37" s="58"/>
      <c r="R37" s="29"/>
    </row>
    <row r="38">
      <c r="B38" s="7" t="s">
        <v>134</v>
      </c>
      <c r="C38" s="9">
        <f>(C37*C36)/1000</f>
        <v>19.77463956</v>
      </c>
      <c r="D38" s="5"/>
      <c r="G38" s="11"/>
      <c r="L38" s="11"/>
      <c r="N38" s="29"/>
      <c r="O38" s="58"/>
    </row>
    <row r="39">
      <c r="B39" s="24" t="s">
        <v>135</v>
      </c>
      <c r="C39" s="9">
        <f>C38</f>
        <v>19.77463956</v>
      </c>
      <c r="G39" s="11"/>
      <c r="L39" s="11"/>
      <c r="M39" s="13"/>
      <c r="N39" s="63"/>
    </row>
    <row r="40">
      <c r="B40" s="24" t="s">
        <v>136</v>
      </c>
      <c r="C40" s="9">
        <f>C38-C39</f>
        <v>0</v>
      </c>
      <c r="G40" s="11"/>
      <c r="L40" s="11"/>
      <c r="M40" s="13"/>
      <c r="N40" s="63"/>
    </row>
    <row r="41">
      <c r="G41" s="11"/>
      <c r="H41" s="81"/>
      <c r="I41" s="13"/>
      <c r="L41" s="11"/>
    </row>
    <row r="42">
      <c r="A42" s="28" t="s">
        <v>137</v>
      </c>
      <c r="G42" s="11"/>
      <c r="H42" s="2"/>
      <c r="L42" s="11"/>
    </row>
    <row r="43">
      <c r="B43" s="7" t="s">
        <v>138</v>
      </c>
      <c r="C43" s="59">
        <v>34.88</v>
      </c>
      <c r="G43" s="11"/>
      <c r="H43" s="2"/>
      <c r="J43" s="82"/>
      <c r="L43" s="11"/>
    </row>
    <row r="44">
      <c r="B44" s="7" t="s">
        <v>139</v>
      </c>
      <c r="C44" s="59">
        <v>96.39</v>
      </c>
      <c r="G44" s="11"/>
      <c r="H44" s="2"/>
      <c r="J44" s="82"/>
      <c r="L44" s="11"/>
    </row>
    <row r="45">
      <c r="B45" s="7" t="s">
        <v>119</v>
      </c>
      <c r="C45" s="20">
        <v>0.0129</v>
      </c>
      <c r="G45" s="11"/>
      <c r="H45" s="2"/>
      <c r="L45" s="11"/>
    </row>
    <row r="46">
      <c r="B46" s="7" t="s">
        <v>120</v>
      </c>
      <c r="C46" s="59">
        <f>C44*(1+C45)</f>
        <v>97.633431</v>
      </c>
      <c r="G46" s="11"/>
      <c r="H46" s="2"/>
      <c r="J46" s="82"/>
      <c r="L46" s="11"/>
    </row>
    <row r="47">
      <c r="B47" s="7" t="s">
        <v>140</v>
      </c>
      <c r="C47" s="7">
        <f>'Emission Factors'!E16*1000</f>
        <v>3.74</v>
      </c>
      <c r="G47" s="11"/>
      <c r="H47" s="2"/>
      <c r="J47" s="83"/>
      <c r="L47" s="11"/>
    </row>
    <row r="48">
      <c r="B48" s="7" t="s">
        <v>141</v>
      </c>
      <c r="C48" s="9">
        <f>(C47*C46)/1000</f>
        <v>0.3651490319</v>
      </c>
      <c r="G48" s="11"/>
      <c r="H48" s="2"/>
      <c r="J48" s="82"/>
      <c r="L48" s="11"/>
    </row>
    <row r="49">
      <c r="D49" s="5"/>
      <c r="G49" s="11"/>
      <c r="H49" s="2"/>
      <c r="J49" s="82"/>
      <c r="L49" s="11"/>
    </row>
    <row r="50">
      <c r="A50" s="28" t="s">
        <v>142</v>
      </c>
      <c r="G50" s="11"/>
      <c r="H50" s="2"/>
      <c r="J50" s="82"/>
      <c r="L50" s="11"/>
    </row>
    <row r="51">
      <c r="B51" s="54" t="s">
        <v>143</v>
      </c>
      <c r="C51" s="84">
        <v>33581.63</v>
      </c>
      <c r="G51" s="11"/>
      <c r="H51" s="2"/>
      <c r="J51" s="82"/>
      <c r="L51" s="11"/>
    </row>
    <row r="52">
      <c r="B52" s="54" t="s">
        <v>144</v>
      </c>
      <c r="C52" s="85">
        <v>0.02</v>
      </c>
      <c r="G52" s="11"/>
      <c r="H52" s="2"/>
      <c r="J52" s="82"/>
      <c r="L52" s="11"/>
    </row>
    <row r="53">
      <c r="B53" s="54" t="s">
        <v>145</v>
      </c>
      <c r="C53" s="86">
        <f>C51*(1+C52)</f>
        <v>34253.2626</v>
      </c>
      <c r="G53" s="11"/>
      <c r="H53" s="2"/>
      <c r="J53" s="82"/>
      <c r="L53" s="11"/>
    </row>
    <row r="54">
      <c r="B54" s="54" t="s">
        <v>146</v>
      </c>
      <c r="C54" s="87">
        <v>9212.0</v>
      </c>
      <c r="G54" s="11"/>
      <c r="H54" s="2"/>
      <c r="J54" s="82"/>
      <c r="L54" s="11"/>
    </row>
    <row r="55">
      <c r="B55" s="54" t="s">
        <v>147</v>
      </c>
      <c r="C55" s="87">
        <v>31.0</v>
      </c>
      <c r="G55" s="11"/>
      <c r="J55" s="81"/>
      <c r="L55" s="11"/>
    </row>
    <row r="56">
      <c r="B56" s="54" t="s">
        <v>148</v>
      </c>
      <c r="C56" s="86">
        <f>C54/C55</f>
        <v>297.1612903</v>
      </c>
      <c r="G56" s="11"/>
      <c r="H56" s="2"/>
      <c r="J56" s="81"/>
      <c r="L56" s="11"/>
    </row>
    <row r="57">
      <c r="B57" s="24" t="s">
        <v>149</v>
      </c>
      <c r="C57" s="10">
        <v>31.0</v>
      </c>
      <c r="G57" s="11"/>
      <c r="L57" s="11"/>
    </row>
    <row r="58">
      <c r="B58" s="54" t="s">
        <v>150</v>
      </c>
      <c r="C58" s="86">
        <f>(C56*C57)</f>
        <v>9212</v>
      </c>
      <c r="G58" s="11"/>
      <c r="L58" s="11"/>
    </row>
    <row r="59">
      <c r="B59" s="54" t="s">
        <v>151</v>
      </c>
      <c r="C59" s="86">
        <f>C53-C58</f>
        <v>25041.2626</v>
      </c>
      <c r="G59" s="11"/>
      <c r="L59" s="11"/>
    </row>
    <row r="60">
      <c r="B60" s="7" t="s">
        <v>152</v>
      </c>
      <c r="C60" s="88">
        <f>'Emission Factors'!E10*1000</f>
        <v>0.5249006883</v>
      </c>
      <c r="G60" s="11"/>
      <c r="I60" s="20"/>
      <c r="L60" s="11"/>
    </row>
    <row r="61">
      <c r="B61" s="7" t="s">
        <v>153</v>
      </c>
      <c r="C61" s="9">
        <f>(C60*C59)/1000</f>
        <v>13.14417597</v>
      </c>
      <c r="G61" s="11"/>
      <c r="L61" s="11"/>
    </row>
    <row r="62">
      <c r="B62" s="7" t="s">
        <v>154</v>
      </c>
      <c r="C62" s="9">
        <f>C59</f>
        <v>25041.2626</v>
      </c>
      <c r="G62" s="11"/>
      <c r="L62" s="11"/>
    </row>
    <row r="63">
      <c r="B63" s="7" t="s">
        <v>155</v>
      </c>
      <c r="C63" s="89">
        <f>'Emission Factors'!E11*1000</f>
        <v>0.03674940003</v>
      </c>
      <c r="G63" s="11"/>
      <c r="L63" s="11"/>
    </row>
    <row r="64">
      <c r="B64" s="7" t="s">
        <v>136</v>
      </c>
      <c r="C64" s="9">
        <f>(C63*C62)/1000</f>
        <v>0.9202513765</v>
      </c>
      <c r="G64" s="11"/>
      <c r="L64" s="11"/>
    </row>
    <row r="65">
      <c r="G65" s="11"/>
      <c r="L65" s="11"/>
    </row>
    <row r="66">
      <c r="A66" s="28" t="s">
        <v>156</v>
      </c>
      <c r="G66" s="11"/>
      <c r="L66" s="11"/>
    </row>
    <row r="67">
      <c r="B67" s="7" t="s">
        <v>157</v>
      </c>
      <c r="C67" s="29">
        <v>28947.0</v>
      </c>
      <c r="G67" s="11"/>
      <c r="L67" s="11"/>
    </row>
    <row r="68">
      <c r="B68" s="7" t="s">
        <v>158</v>
      </c>
      <c r="C68" s="7">
        <v>1.931282177E-6</v>
      </c>
      <c r="G68" s="11"/>
      <c r="L68" s="11"/>
    </row>
    <row r="69">
      <c r="B69" s="7" t="s">
        <v>159</v>
      </c>
      <c r="C69" s="90">
        <f>C68*C67</f>
        <v>0.05590482518</v>
      </c>
      <c r="G69" s="11"/>
      <c r="L69" s="11"/>
    </row>
    <row r="70">
      <c r="G70" s="11"/>
      <c r="L70" s="11"/>
    </row>
    <row r="71">
      <c r="A71" s="28" t="s">
        <v>160</v>
      </c>
      <c r="G71" s="11"/>
      <c r="L71" s="11"/>
    </row>
    <row r="72">
      <c r="B72" s="54" t="s">
        <v>161</v>
      </c>
      <c r="C72" s="59">
        <v>4547.42</v>
      </c>
      <c r="G72" s="11"/>
      <c r="L72" s="11"/>
    </row>
    <row r="73">
      <c r="B73" s="54" t="s">
        <v>162</v>
      </c>
      <c r="C73" s="59">
        <v>17234.72</v>
      </c>
      <c r="G73" s="11"/>
      <c r="L73" s="11"/>
    </row>
    <row r="74">
      <c r="B74" s="7" t="s">
        <v>163</v>
      </c>
      <c r="C74" s="91">
        <f>'Emission Factors'!E17*1000</f>
        <v>0.001741289766</v>
      </c>
      <c r="G74" s="11"/>
      <c r="L74" s="11"/>
    </row>
    <row r="75">
      <c r="B75" s="7" t="s">
        <v>164</v>
      </c>
      <c r="C75" s="92">
        <f>(C74*C72)/1000</f>
        <v>0.007918375908</v>
      </c>
      <c r="D75" s="93"/>
      <c r="G75" s="11"/>
      <c r="L75" s="11"/>
    </row>
    <row r="76">
      <c r="D76" s="94"/>
      <c r="G76" s="11"/>
      <c r="L76" s="11"/>
    </row>
    <row r="77">
      <c r="A77" s="28" t="s">
        <v>165</v>
      </c>
      <c r="C77" s="93"/>
      <c r="D77" s="93"/>
      <c r="G77" s="11"/>
      <c r="L77" s="11"/>
    </row>
    <row r="78">
      <c r="B78" s="24" t="s">
        <v>166</v>
      </c>
      <c r="C78" s="37">
        <v>0.038</v>
      </c>
      <c r="D78" s="93"/>
      <c r="G78" s="11"/>
      <c r="L78" s="11"/>
    </row>
    <row r="79">
      <c r="B79" s="24" t="s">
        <v>167</v>
      </c>
      <c r="C79" s="37">
        <v>0.028</v>
      </c>
      <c r="D79" s="93"/>
      <c r="G79" s="11"/>
      <c r="L79" s="11"/>
    </row>
    <row r="80">
      <c r="B80" s="24" t="s">
        <v>96</v>
      </c>
      <c r="C80" s="37">
        <v>0.066</v>
      </c>
      <c r="G80" s="11"/>
      <c r="L80" s="11"/>
    </row>
    <row r="81">
      <c r="B81" s="24" t="s">
        <v>135</v>
      </c>
      <c r="C81" s="34">
        <f>C78</f>
        <v>0.038</v>
      </c>
      <c r="G81" s="11"/>
      <c r="L81" s="11"/>
    </row>
    <row r="82">
      <c r="B82" s="24" t="s">
        <v>136</v>
      </c>
      <c r="C82" s="34">
        <f>C80-C78</f>
        <v>0.028</v>
      </c>
      <c r="G82" s="11"/>
      <c r="L82" s="11"/>
    </row>
    <row r="83">
      <c r="A83" s="74" t="s">
        <v>168</v>
      </c>
      <c r="G83" s="11"/>
      <c r="L83" s="11"/>
    </row>
    <row r="84">
      <c r="A84" s="2"/>
      <c r="B84" s="24" t="s">
        <v>169</v>
      </c>
      <c r="C84" s="37">
        <v>0.19227</v>
      </c>
      <c r="G84" s="11"/>
      <c r="L84" s="11"/>
    </row>
    <row r="85">
      <c r="B85" s="24" t="s">
        <v>170</v>
      </c>
      <c r="C85" s="37">
        <v>0.0246362114</v>
      </c>
      <c r="G85" s="11"/>
      <c r="L85" s="11"/>
    </row>
    <row r="86">
      <c r="B86" s="24" t="s">
        <v>171</v>
      </c>
      <c r="C86" s="37">
        <v>0.2808</v>
      </c>
      <c r="G86" s="11"/>
      <c r="L86" s="11"/>
    </row>
    <row r="87">
      <c r="B87" s="7"/>
      <c r="C87" s="17"/>
      <c r="G87" s="11"/>
      <c r="L87" s="11"/>
    </row>
    <row r="88">
      <c r="B88" s="7" t="s">
        <v>96</v>
      </c>
      <c r="C88" s="88">
        <f>SUM(C84,C85,C86)</f>
        <v>0.4977062114</v>
      </c>
      <c r="G88" s="11"/>
      <c r="L88" s="11"/>
    </row>
    <row r="89">
      <c r="B89" s="24" t="s">
        <v>135</v>
      </c>
      <c r="C89" s="43">
        <f>C84</f>
        <v>0.19227</v>
      </c>
      <c r="G89" s="11"/>
      <c r="L89" s="11"/>
    </row>
    <row r="90">
      <c r="B90" s="24" t="s">
        <v>136</v>
      </c>
      <c r="C90" s="43">
        <f>C88-C89</f>
        <v>0.3054362114</v>
      </c>
      <c r="G90" s="11"/>
      <c r="L90" s="11"/>
    </row>
    <row r="91">
      <c r="G91" s="11"/>
      <c r="L91" s="11"/>
    </row>
    <row r="92">
      <c r="G92" s="11"/>
      <c r="L92" s="11"/>
    </row>
    <row r="93">
      <c r="G93" s="11"/>
      <c r="L93" s="11"/>
    </row>
    <row r="94">
      <c r="G94" s="11"/>
      <c r="L94" s="11"/>
    </row>
    <row r="95">
      <c r="G95" s="11"/>
      <c r="L95" s="11"/>
    </row>
    <row r="96">
      <c r="G96" s="11"/>
      <c r="L96" s="11"/>
    </row>
    <row r="97">
      <c r="G97" s="11"/>
      <c r="L97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4" t="s">
        <v>0</v>
      </c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</row>
    <row r="3">
      <c r="A3" s="8" t="s">
        <v>9</v>
      </c>
      <c r="B3" s="8" t="s">
        <v>10</v>
      </c>
      <c r="C3" s="10">
        <v>1.35156E-4</v>
      </c>
      <c r="D3" s="8" t="s">
        <v>11</v>
      </c>
      <c r="E3" s="14">
        <f t="shared" ref="E3:E6" si="1">C3</f>
        <v>0.000135156</v>
      </c>
      <c r="F3" s="19" t="s">
        <v>25</v>
      </c>
    </row>
    <row r="4">
      <c r="A4" s="8" t="s">
        <v>29</v>
      </c>
      <c r="B4" s="8" t="s">
        <v>10</v>
      </c>
      <c r="C4" s="10">
        <v>1.1263E-4</v>
      </c>
      <c r="D4" s="8" t="s">
        <v>11</v>
      </c>
      <c r="E4" s="14">
        <f t="shared" si="1"/>
        <v>0.00011263</v>
      </c>
      <c r="F4" s="19" t="s">
        <v>25</v>
      </c>
    </row>
    <row r="5">
      <c r="A5" s="8" t="s">
        <v>30</v>
      </c>
      <c r="B5" s="8" t="s">
        <v>31</v>
      </c>
      <c r="C5" s="10">
        <v>7.879952768E-5</v>
      </c>
      <c r="D5" s="8" t="s">
        <v>11</v>
      </c>
      <c r="E5" s="14">
        <f t="shared" si="1"/>
        <v>0.00007879952768</v>
      </c>
      <c r="F5" s="7" t="s">
        <v>32</v>
      </c>
    </row>
    <row r="6">
      <c r="A6" s="8" t="s">
        <v>33</v>
      </c>
      <c r="B6" s="8" t="s">
        <v>31</v>
      </c>
      <c r="C6" s="10">
        <v>6.44927E-5</v>
      </c>
      <c r="D6" s="8" t="s">
        <v>11</v>
      </c>
      <c r="E6" s="14">
        <f t="shared" si="1"/>
        <v>0.0000644927</v>
      </c>
      <c r="F6" s="7" t="s">
        <v>32</v>
      </c>
    </row>
    <row r="7">
      <c r="A7" s="8" t="s">
        <v>34</v>
      </c>
      <c r="B7" s="8" t="s">
        <v>35</v>
      </c>
      <c r="C7" s="10">
        <v>0.89272</v>
      </c>
      <c r="D7" s="14">
        <v>0.001200260388</v>
      </c>
      <c r="E7" s="14">
        <f>D7+C7</f>
        <v>0.8939202604</v>
      </c>
      <c r="F7" s="7" t="s">
        <v>36</v>
      </c>
    </row>
    <row r="8">
      <c r="A8" s="8" t="s">
        <v>37</v>
      </c>
      <c r="B8" s="8" t="s">
        <v>38</v>
      </c>
      <c r="C8" s="10">
        <v>5.108934662E-4</v>
      </c>
      <c r="D8" s="8" t="s">
        <v>11</v>
      </c>
      <c r="E8" s="14">
        <f t="shared" ref="E8:E17" si="2">C8</f>
        <v>0.0005108934662</v>
      </c>
      <c r="F8" s="7" t="s">
        <v>40</v>
      </c>
    </row>
    <row r="9">
      <c r="A9" s="8" t="s">
        <v>41</v>
      </c>
      <c r="B9" s="8" t="s">
        <v>38</v>
      </c>
      <c r="C9" s="10">
        <f>0.01004415071/1000</f>
        <v>0.00001004415071</v>
      </c>
      <c r="D9" s="8" t="s">
        <v>11</v>
      </c>
      <c r="E9" s="14">
        <f t="shared" si="2"/>
        <v>0.00001004415071</v>
      </c>
      <c r="F9" s="7" t="s">
        <v>40</v>
      </c>
    </row>
    <row r="10">
      <c r="A10" s="8" t="s">
        <v>43</v>
      </c>
      <c r="B10" s="8" t="s">
        <v>38</v>
      </c>
      <c r="C10" s="10">
        <v>5.249006883E-4</v>
      </c>
      <c r="D10" s="8" t="s">
        <v>11</v>
      </c>
      <c r="E10" s="14">
        <f t="shared" si="2"/>
        <v>0.0005249006883</v>
      </c>
      <c r="F10" s="7" t="s">
        <v>40</v>
      </c>
    </row>
    <row r="11">
      <c r="A11" s="8" t="s">
        <v>44</v>
      </c>
      <c r="B11" s="8" t="s">
        <v>38</v>
      </c>
      <c r="C11" s="10">
        <f>0.03674940003/1000</f>
        <v>0.00003674940003</v>
      </c>
      <c r="D11" s="8" t="s">
        <v>11</v>
      </c>
      <c r="E11" s="14">
        <f t="shared" si="2"/>
        <v>0.00003674940003</v>
      </c>
      <c r="F11" s="7" t="s">
        <v>40</v>
      </c>
    </row>
    <row r="12">
      <c r="A12" s="8" t="s">
        <v>45</v>
      </c>
      <c r="B12" s="8" t="s">
        <v>46</v>
      </c>
      <c r="C12" s="10">
        <v>1.034335159E-4</v>
      </c>
      <c r="D12" s="8" t="s">
        <v>11</v>
      </c>
      <c r="E12" s="14">
        <f t="shared" si="2"/>
        <v>0.0001034335159</v>
      </c>
      <c r="F12" s="24" t="s">
        <v>47</v>
      </c>
    </row>
    <row r="13">
      <c r="A13" s="8" t="s">
        <v>49</v>
      </c>
      <c r="B13" s="8" t="s">
        <v>50</v>
      </c>
      <c r="C13" s="10">
        <v>0.001518790827</v>
      </c>
      <c r="D13" s="8" t="s">
        <v>11</v>
      </c>
      <c r="E13" s="14">
        <f t="shared" si="2"/>
        <v>0.001518790827</v>
      </c>
      <c r="F13" s="27" t="s">
        <v>51</v>
      </c>
    </row>
    <row r="14">
      <c r="A14" s="8" t="s">
        <v>53</v>
      </c>
      <c r="B14" s="8" t="s">
        <v>54</v>
      </c>
      <c r="C14" s="10">
        <v>0.00387</v>
      </c>
      <c r="D14" s="8" t="s">
        <v>11</v>
      </c>
      <c r="E14" s="14">
        <f t="shared" si="2"/>
        <v>0.00387</v>
      </c>
      <c r="F14" s="19" t="s">
        <v>25</v>
      </c>
    </row>
    <row r="15">
      <c r="A15" s="8" t="s">
        <v>55</v>
      </c>
      <c r="B15" s="8" t="s">
        <v>54</v>
      </c>
      <c r="C15" s="10">
        <v>0.00363</v>
      </c>
      <c r="D15" s="8" t="s">
        <v>11</v>
      </c>
      <c r="E15" s="14">
        <f t="shared" si="2"/>
        <v>0.00363</v>
      </c>
      <c r="F15" s="19" t="s">
        <v>25</v>
      </c>
    </row>
    <row r="16">
      <c r="A16" s="8" t="s">
        <v>56</v>
      </c>
      <c r="B16" s="8" t="s">
        <v>54</v>
      </c>
      <c r="C16" s="10">
        <v>0.00374</v>
      </c>
      <c r="D16" s="8" t="s">
        <v>11</v>
      </c>
      <c r="E16" s="14">
        <f t="shared" si="2"/>
        <v>0.00374</v>
      </c>
      <c r="F16" s="19" t="s">
        <v>25</v>
      </c>
    </row>
    <row r="17">
      <c r="A17" s="8" t="s">
        <v>57</v>
      </c>
      <c r="B17" s="8" t="s">
        <v>58</v>
      </c>
      <c r="C17" s="10">
        <v>1.741289766E-6</v>
      </c>
      <c r="D17" s="8" t="s">
        <v>11</v>
      </c>
      <c r="E17" s="14">
        <f t="shared" si="2"/>
        <v>0.000001741289766</v>
      </c>
      <c r="F17" s="30" t="s">
        <v>59</v>
      </c>
    </row>
    <row r="21">
      <c r="D21" s="7" t="s">
        <v>64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3" t="str">
        <f>'December PP Summary'!E5</f>
        <v>Production Operating Hours</v>
      </c>
      <c r="C2" s="5">
        <f>'December PP Summary'!F5</f>
        <v>964.8</v>
      </c>
    </row>
    <row r="3">
      <c r="B3" s="3" t="str">
        <f>'December PP Summary'!I5</f>
        <v>Total Biomass Consumed (MT)</v>
      </c>
      <c r="C3" s="9">
        <f>'December PP Summary'!J5</f>
        <v>28.947</v>
      </c>
    </row>
    <row r="4">
      <c r="B4" s="3" t="str">
        <f t="shared" ref="B4:C4" si="1">#REF!</f>
        <v>#REF!</v>
      </c>
      <c r="C4" s="3" t="str">
        <f t="shared" si="1"/>
        <v>#REF!</v>
      </c>
    </row>
    <row r="5">
      <c r="A5" s="7" t="s">
        <v>12</v>
      </c>
      <c r="B5" s="3" t="str">
        <f>'December PP Summary'!B25</f>
        <v>Uncertainty Adjusted Total</v>
      </c>
      <c r="C5" s="9">
        <f>'December PP Summary'!C25</f>
        <v>2782.649009</v>
      </c>
    </row>
    <row r="6">
      <c r="A6" s="7" t="s">
        <v>13</v>
      </c>
      <c r="B6" s="3" t="str">
        <f>'December PP Summary'!B36</f>
        <v>Uncertainty Adjusted Total</v>
      </c>
      <c r="C6" s="9">
        <f>'December PP Summary'!C36</f>
        <v>5109.725985</v>
      </c>
    </row>
    <row r="7">
      <c r="A7" s="7" t="s">
        <v>14</v>
      </c>
      <c r="B7" s="3" t="str">
        <f>'December PP Summary'!B46</f>
        <v>Uncertainty Adjusted Total</v>
      </c>
    </row>
    <row r="10">
      <c r="B10" s="3" t="str">
        <f>'December PP Summary'!H19</f>
        <v>Biomass Transport</v>
      </c>
      <c r="C10" s="17">
        <f>'December PP Summary'!I19</f>
        <v>2.166872432</v>
      </c>
    </row>
    <row r="11">
      <c r="B11" s="3" t="str">
        <f>'December PP Summary'!H20</f>
        <v>Propane</v>
      </c>
      <c r="C11" s="9">
        <f>'December PP Summary'!I20</f>
        <v>10.1010159</v>
      </c>
    </row>
    <row r="12">
      <c r="B12" s="3" t="str">
        <f>'December PP Summary'!H21</f>
        <v>Diesel</v>
      </c>
      <c r="C12" s="3">
        <f>'December PP Summary'!I21</f>
        <v>0</v>
      </c>
    </row>
    <row r="13">
      <c r="B13" s="3" t="str">
        <f>'December PP Summary'!H22</f>
        <v>Gasoline</v>
      </c>
      <c r="C13" s="9">
        <f>'December PP Summary'!I22</f>
        <v>0.3651490319</v>
      </c>
    </row>
    <row r="14">
      <c r="B14" s="3" t="str">
        <f>'December PP Summary'!H23</f>
        <v>Electricity</v>
      </c>
      <c r="C14" s="9">
        <f>'December PP Summary'!I23</f>
        <v>0.9202513765</v>
      </c>
    </row>
    <row r="15">
      <c r="B15" s="3" t="str">
        <f>'December PP Summary'!H24</f>
        <v>Tailgas</v>
      </c>
      <c r="C15" s="17">
        <f>'December PP Summary'!I24</f>
        <v>0.05590482518</v>
      </c>
    </row>
    <row r="16">
      <c r="B16" s="3" t="str">
        <f>'December PP Summary'!H25</f>
        <v>Water</v>
      </c>
      <c r="C16" s="17">
        <f>'December PP Summary'!I25</f>
        <v>0.007918375908</v>
      </c>
    </row>
    <row r="17">
      <c r="B17" s="3" t="str">
        <f>'December PP Summary'!H26</f>
        <v>Consumables Delivery</v>
      </c>
      <c r="C17" s="17">
        <f>'December PP Summary'!I26</f>
        <v>0.028</v>
      </c>
    </row>
    <row r="18">
      <c r="B18" s="3" t="str">
        <f>'December PP Summary'!H27</f>
        <v>Waste Disposal</v>
      </c>
      <c r="C18" s="9">
        <f>'December PP Summary'!I27</f>
        <v>0.3054362114</v>
      </c>
    </row>
    <row r="19">
      <c r="B19" s="3" t="str">
        <f>'December PP Summary'!H28</f>
        <v>Capital Goods EE</v>
      </c>
      <c r="C19" s="9">
        <f>'December PP Summary'!I28</f>
        <v>1.8844497</v>
      </c>
    </row>
    <row r="20">
      <c r="B20" s="3" t="str">
        <f>'December PP Summary'!H29</f>
        <v>SP+C EE</v>
      </c>
      <c r="C20" s="9">
        <f>'December PP Summary'!I29</f>
        <v>0.8122121525</v>
      </c>
    </row>
    <row r="21">
      <c r="B21" s="3" t="str">
        <f>'December PP Summary'!H32</f>
        <v>Total</v>
      </c>
      <c r="C21" s="17">
        <f>'December PP Summary'!I32</f>
        <v>16.64721001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7" t="s">
        <v>1</v>
      </c>
      <c r="B1" s="12">
        <f>'December PP Summary'!F5</f>
        <v>964.8</v>
      </c>
    </row>
    <row r="2">
      <c r="A2" s="7" t="s">
        <v>17</v>
      </c>
      <c r="B2" s="15">
        <f>'December PP Summary'!J5</f>
        <v>28.947</v>
      </c>
    </row>
    <row r="3">
      <c r="A3" s="7" t="s">
        <v>27</v>
      </c>
      <c r="B3" s="18">
        <f>'December PP Summary'!N2</f>
        <v>6481</v>
      </c>
    </row>
    <row r="4">
      <c r="A4" s="7" t="s">
        <v>28</v>
      </c>
      <c r="B4" s="22">
        <f>'December PP Summary'!P2</f>
        <v>0.4871</v>
      </c>
    </row>
    <row r="5">
      <c r="A5" s="7" t="s">
        <v>39</v>
      </c>
      <c r="B5" s="18">
        <f>'December PP Summary'!N3</f>
        <v>4074</v>
      </c>
    </row>
    <row r="6">
      <c r="A6" s="7" t="s">
        <v>42</v>
      </c>
      <c r="B6" s="22">
        <f>'December PP Summary'!P3</f>
        <v>0.8882</v>
      </c>
    </row>
    <row r="7">
      <c r="A7" s="7" t="s">
        <v>48</v>
      </c>
      <c r="B7" s="26">
        <f>'December PP Summary'!I19</f>
        <v>2.166872432</v>
      </c>
    </row>
    <row r="8">
      <c r="A8" s="7" t="s">
        <v>52</v>
      </c>
      <c r="B8" s="15">
        <f>'December PP Summary'!I20</f>
        <v>10.1010159</v>
      </c>
    </row>
    <row r="9">
      <c r="A9" s="7" t="s">
        <v>63</v>
      </c>
      <c r="B9" s="31">
        <f>'December PP Summary'!I21</f>
        <v>0</v>
      </c>
    </row>
    <row r="10">
      <c r="A10" s="7" t="s">
        <v>67</v>
      </c>
      <c r="B10" s="15">
        <f>'December PP Summary'!I22</f>
        <v>0.3651490319</v>
      </c>
    </row>
    <row r="11">
      <c r="A11" s="7" t="s">
        <v>69</v>
      </c>
      <c r="B11" s="15">
        <f>'December PP Summary'!I23</f>
        <v>0.9202513765</v>
      </c>
    </row>
    <row r="12">
      <c r="A12" s="7" t="s">
        <v>71</v>
      </c>
      <c r="B12" s="26">
        <f>'December PP Summary'!I24</f>
        <v>0.05590482518</v>
      </c>
    </row>
    <row r="13">
      <c r="A13" s="7" t="s">
        <v>72</v>
      </c>
      <c r="B13" s="26">
        <f>'December PP Summary'!I25</f>
        <v>0.007918375908</v>
      </c>
    </row>
    <row r="14">
      <c r="A14" s="7" t="s">
        <v>73</v>
      </c>
      <c r="B14" s="26">
        <f>'December PP Summary'!I26</f>
        <v>0.028</v>
      </c>
    </row>
    <row r="15">
      <c r="A15" s="7" t="s">
        <v>75</v>
      </c>
      <c r="B15" s="15">
        <f>'December PP Summary'!I27</f>
        <v>0.3054362114</v>
      </c>
    </row>
    <row r="16">
      <c r="A16" s="7" t="s">
        <v>76</v>
      </c>
      <c r="B16" s="15">
        <f>'December PP Summary'!I28</f>
        <v>1.8844497</v>
      </c>
    </row>
    <row r="17">
      <c r="A17" s="7" t="s">
        <v>77</v>
      </c>
      <c r="B17" s="15">
        <f>'December PP Summary'!I29</f>
        <v>0.8122121525</v>
      </c>
    </row>
    <row r="18">
      <c r="A18" s="7" t="s">
        <v>80</v>
      </c>
      <c r="B18" s="40"/>
    </row>
    <row r="19">
      <c r="A19" s="7" t="s">
        <v>81</v>
      </c>
      <c r="B19" s="42">
        <v>75500.0</v>
      </c>
    </row>
    <row r="20">
      <c r="A20" s="7" t="s">
        <v>82</v>
      </c>
      <c r="B20" s="12">
        <f>'December PP Summary'!C14</f>
        <v>598.4</v>
      </c>
    </row>
    <row r="21">
      <c r="A21" s="7" t="s">
        <v>84</v>
      </c>
      <c r="B21" s="12">
        <f>'December PP Summary'!C13</f>
        <v>239.92</v>
      </c>
    </row>
    <row r="22">
      <c r="A22" s="7" t="s">
        <v>86</v>
      </c>
      <c r="B22" s="44" t="s">
        <v>88</v>
      </c>
    </row>
    <row r="23">
      <c r="A23" s="7" t="s">
        <v>89</v>
      </c>
      <c r="B23" s="15">
        <f>'December PP Summary'!C25</f>
        <v>2782.649009</v>
      </c>
    </row>
    <row r="24">
      <c r="A24" s="7" t="s">
        <v>90</v>
      </c>
      <c r="B24" s="15">
        <f>'December PP Summary'!C36</f>
        <v>5109.725985</v>
      </c>
    </row>
    <row r="25">
      <c r="A25" s="7" t="s">
        <v>92</v>
      </c>
      <c r="B25" s="15">
        <f>'December PP Summary'!C46</f>
        <v>97.633431</v>
      </c>
    </row>
    <row r="26">
      <c r="A26" s="7" t="s">
        <v>94</v>
      </c>
      <c r="B26" s="15">
        <f>'December PP Summary'!C59</f>
        <v>25041.2626</v>
      </c>
    </row>
    <row r="27">
      <c r="A27" s="7" t="s">
        <v>95</v>
      </c>
      <c r="B27" s="15">
        <f>'December PP Summary'!C73</f>
        <v>17234.72</v>
      </c>
    </row>
    <row r="28">
      <c r="B28" s="31"/>
    </row>
    <row r="29">
      <c r="B29" s="31"/>
    </row>
    <row r="30">
      <c r="B30" s="31"/>
    </row>
    <row r="31">
      <c r="B31" s="31"/>
    </row>
    <row r="32">
      <c r="B32" s="31"/>
    </row>
    <row r="33">
      <c r="B33" s="31"/>
    </row>
    <row r="34">
      <c r="B34" s="31"/>
    </row>
    <row r="35">
      <c r="B35" s="31"/>
    </row>
    <row r="36">
      <c r="B36" s="31"/>
    </row>
    <row r="37">
      <c r="B37" s="31"/>
    </row>
    <row r="38">
      <c r="B38" s="31"/>
    </row>
    <row r="39">
      <c r="B39" s="31"/>
    </row>
    <row r="40">
      <c r="B40" s="31"/>
    </row>
    <row r="41">
      <c r="B41" s="31"/>
    </row>
    <row r="42">
      <c r="B42" s="31"/>
    </row>
    <row r="43">
      <c r="B43" s="31"/>
    </row>
    <row r="44">
      <c r="B44" s="31"/>
    </row>
    <row r="45">
      <c r="B45" s="31"/>
    </row>
    <row r="46">
      <c r="B46" s="31"/>
    </row>
    <row r="47">
      <c r="B47" s="31"/>
    </row>
    <row r="48">
      <c r="B48" s="31"/>
    </row>
    <row r="49">
      <c r="B49" s="31"/>
    </row>
    <row r="50">
      <c r="B50" s="31"/>
    </row>
    <row r="51">
      <c r="B51" s="31"/>
    </row>
    <row r="52">
      <c r="B52" s="31"/>
    </row>
    <row r="53">
      <c r="B53" s="31"/>
    </row>
    <row r="54">
      <c r="B54" s="31"/>
    </row>
    <row r="55">
      <c r="B55" s="31"/>
    </row>
    <row r="56">
      <c r="B56" s="31"/>
    </row>
    <row r="57">
      <c r="B57" s="31"/>
    </row>
    <row r="58">
      <c r="B58" s="31"/>
    </row>
    <row r="59">
      <c r="B59" s="31"/>
    </row>
    <row r="60">
      <c r="B60" s="31"/>
    </row>
    <row r="61">
      <c r="B61" s="31"/>
    </row>
    <row r="62">
      <c r="B62" s="31"/>
    </row>
    <row r="63">
      <c r="B63" s="31"/>
    </row>
    <row r="64">
      <c r="B64" s="31"/>
    </row>
    <row r="65">
      <c r="B65" s="31"/>
    </row>
    <row r="66">
      <c r="B66" s="31"/>
    </row>
    <row r="67">
      <c r="B67" s="31"/>
    </row>
    <row r="68">
      <c r="B68" s="31"/>
    </row>
    <row r="69">
      <c r="B69" s="31"/>
    </row>
    <row r="70">
      <c r="B70" s="31"/>
    </row>
    <row r="71">
      <c r="B71" s="31"/>
    </row>
    <row r="72">
      <c r="B72" s="31"/>
    </row>
    <row r="73">
      <c r="B73" s="31"/>
    </row>
    <row r="74">
      <c r="B74" s="31"/>
    </row>
    <row r="75">
      <c r="B75" s="31"/>
    </row>
    <row r="76">
      <c r="B76" s="31"/>
    </row>
    <row r="77">
      <c r="B77" s="31"/>
    </row>
    <row r="78">
      <c r="B78" s="31"/>
    </row>
    <row r="79">
      <c r="B79" s="31"/>
    </row>
    <row r="80">
      <c r="B80" s="31"/>
    </row>
    <row r="81">
      <c r="B81" s="31"/>
    </row>
    <row r="82">
      <c r="B82" s="31"/>
    </row>
    <row r="83">
      <c r="B83" s="31"/>
    </row>
    <row r="84">
      <c r="B84" s="31"/>
    </row>
    <row r="85">
      <c r="B85" s="31"/>
    </row>
    <row r="86">
      <c r="B86" s="31"/>
    </row>
    <row r="87">
      <c r="B87" s="31"/>
    </row>
    <row r="88">
      <c r="B88" s="31"/>
    </row>
    <row r="89">
      <c r="B89" s="31"/>
    </row>
    <row r="90">
      <c r="B90" s="31"/>
    </row>
    <row r="91">
      <c r="B91" s="31"/>
    </row>
    <row r="92">
      <c r="B92" s="31"/>
    </row>
    <row r="93">
      <c r="B93" s="31"/>
    </row>
    <row r="94">
      <c r="B94" s="31"/>
    </row>
    <row r="95">
      <c r="B95" s="31"/>
    </row>
    <row r="96">
      <c r="B96" s="31"/>
    </row>
    <row r="97">
      <c r="B97" s="31"/>
    </row>
    <row r="98">
      <c r="B98" s="31"/>
    </row>
    <row r="99">
      <c r="B99" s="31"/>
    </row>
    <row r="100">
      <c r="B100" s="31"/>
    </row>
    <row r="101">
      <c r="B101" s="31"/>
    </row>
    <row r="102">
      <c r="B102" s="31"/>
    </row>
    <row r="103">
      <c r="B103" s="31"/>
    </row>
    <row r="104">
      <c r="B104" s="31"/>
    </row>
    <row r="105">
      <c r="B105" s="31"/>
    </row>
    <row r="106">
      <c r="B106" s="31"/>
    </row>
    <row r="107">
      <c r="B107" s="31"/>
    </row>
    <row r="108">
      <c r="B108" s="31"/>
    </row>
    <row r="109">
      <c r="B109" s="31"/>
    </row>
    <row r="110">
      <c r="B110" s="31"/>
    </row>
    <row r="111">
      <c r="B111" s="31"/>
    </row>
    <row r="112">
      <c r="B112" s="31"/>
    </row>
    <row r="113">
      <c r="B113" s="31"/>
    </row>
    <row r="114">
      <c r="B114" s="31"/>
    </row>
    <row r="115">
      <c r="B115" s="31"/>
    </row>
    <row r="116">
      <c r="B116" s="31"/>
    </row>
    <row r="117">
      <c r="B117" s="31"/>
    </row>
    <row r="118">
      <c r="B118" s="31"/>
    </row>
    <row r="119">
      <c r="B119" s="31"/>
    </row>
    <row r="120">
      <c r="B120" s="31"/>
    </row>
    <row r="121">
      <c r="B121" s="31"/>
    </row>
    <row r="122">
      <c r="B122" s="31"/>
    </row>
    <row r="123">
      <c r="B123" s="31"/>
    </row>
    <row r="124">
      <c r="B124" s="31"/>
    </row>
    <row r="125">
      <c r="B125" s="31"/>
    </row>
    <row r="126">
      <c r="B126" s="31"/>
    </row>
    <row r="127">
      <c r="B127" s="31"/>
    </row>
    <row r="128">
      <c r="B128" s="31"/>
    </row>
    <row r="129">
      <c r="B129" s="31"/>
    </row>
    <row r="130">
      <c r="B130" s="31"/>
    </row>
    <row r="131">
      <c r="B131" s="31"/>
    </row>
    <row r="132">
      <c r="B132" s="31"/>
    </row>
    <row r="133">
      <c r="B133" s="31"/>
    </row>
    <row r="134">
      <c r="B134" s="31"/>
    </row>
    <row r="135">
      <c r="B135" s="31"/>
    </row>
    <row r="136">
      <c r="B136" s="31"/>
    </row>
    <row r="137">
      <c r="B137" s="31"/>
    </row>
    <row r="138">
      <c r="B138" s="31"/>
    </row>
    <row r="139">
      <c r="B139" s="31"/>
    </row>
    <row r="140">
      <c r="B140" s="31"/>
    </row>
    <row r="141">
      <c r="B141" s="31"/>
    </row>
    <row r="142">
      <c r="B142" s="31"/>
    </row>
    <row r="143">
      <c r="B143" s="31"/>
    </row>
    <row r="144">
      <c r="B144" s="31"/>
    </row>
    <row r="145">
      <c r="B145" s="31"/>
    </row>
    <row r="146">
      <c r="B146" s="31"/>
    </row>
    <row r="147">
      <c r="B147" s="31"/>
    </row>
    <row r="148">
      <c r="B148" s="31"/>
    </row>
    <row r="149">
      <c r="B149" s="31"/>
    </row>
    <row r="150">
      <c r="B150" s="31"/>
    </row>
    <row r="151">
      <c r="B151" s="31"/>
    </row>
    <row r="152">
      <c r="B152" s="31"/>
    </row>
    <row r="153">
      <c r="B153" s="31"/>
    </row>
    <row r="154">
      <c r="B154" s="31"/>
    </row>
    <row r="155">
      <c r="B155" s="31"/>
    </row>
    <row r="156">
      <c r="B156" s="31"/>
    </row>
    <row r="157">
      <c r="B157" s="31"/>
    </row>
    <row r="158">
      <c r="B158" s="31"/>
    </row>
    <row r="159">
      <c r="B159" s="31"/>
    </row>
    <row r="160">
      <c r="B160" s="31"/>
    </row>
    <row r="161">
      <c r="B161" s="31"/>
    </row>
    <row r="162">
      <c r="B162" s="31"/>
    </row>
    <row r="163">
      <c r="B163" s="31"/>
    </row>
    <row r="164">
      <c r="B164" s="31"/>
    </row>
    <row r="165">
      <c r="B165" s="31"/>
    </row>
    <row r="166">
      <c r="B166" s="31"/>
    </row>
    <row r="167">
      <c r="B167" s="31"/>
    </row>
    <row r="168">
      <c r="B168" s="31"/>
    </row>
    <row r="169">
      <c r="B169" s="31"/>
    </row>
    <row r="170">
      <c r="B170" s="31"/>
    </row>
    <row r="171">
      <c r="B171" s="31"/>
    </row>
    <row r="172">
      <c r="B172" s="31"/>
    </row>
    <row r="173">
      <c r="B173" s="31"/>
    </row>
    <row r="174">
      <c r="B174" s="31"/>
    </row>
    <row r="175">
      <c r="B175" s="31"/>
    </row>
    <row r="176">
      <c r="B176" s="31"/>
    </row>
    <row r="177">
      <c r="B177" s="31"/>
    </row>
    <row r="178">
      <c r="B178" s="31"/>
    </row>
    <row r="179">
      <c r="B179" s="31"/>
    </row>
    <row r="180">
      <c r="B180" s="31"/>
    </row>
    <row r="181">
      <c r="B181" s="31"/>
    </row>
    <row r="182">
      <c r="B182" s="31"/>
    </row>
    <row r="183">
      <c r="B183" s="31"/>
    </row>
    <row r="184">
      <c r="B184" s="31"/>
    </row>
    <row r="185">
      <c r="B185" s="31"/>
    </row>
    <row r="186">
      <c r="B186" s="31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  <row r="999">
      <c r="B999" s="31"/>
    </row>
    <row r="1000">
      <c r="B1000" s="31"/>
    </row>
  </sheetData>
  <drawing r:id="rId1"/>
</worksheet>
</file>