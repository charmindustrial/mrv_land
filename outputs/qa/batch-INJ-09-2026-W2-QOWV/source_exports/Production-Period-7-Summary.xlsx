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7 Summary" sheetId="1" r:id="rId5"/>
    <sheet state="visible" name="Emission Factors" sheetId="2" r:id="rId6"/>
    <sheet state="visible" name="DataTable" sheetId="3" r:id="rId7"/>
    <sheet state="visible" name="DataCollectio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tc={09b2b7bc-62f3-419b-97b8-2c6ee3c83c94}</author>
    <author>tc={274913b1-ff8e-42f2-8c20-d1403b3fdeb2}</author>
    <author>tc={88d7c36e-3d20-41a8-b019-1dbe6c1386e5}</author>
    <author>tc={ca84f114-27cc-4b9b-a864-cb82c1a8a1f1}</author>
  </authors>
  <commentList>
    <comment authorId="0" xr:uid="{09b2b7bc-62f3-419b-97b8-2c6ee3c83c94}" ref="J6">
      <text>
        <t xml:space="preserve">[Threaded comment]
 Your version of Excel allows you to read this threaded comment; however, any edits to it will get removed if the file is opened in a newer version of Excel. Learn more: https://go.microsoft.com/fwlink/?linkid=870924
Comment:
	We want to make this 80
</t>
      </text>
    </comment>
    <comment authorId="1" xr:uid="{274913b1-ff8e-42f2-8c20-d1403b3fdeb2}" ref="E1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Changed this around a little bit:
1. Entered the new values post tonne-mile correction
2. Updated the BCUs Applied number and added a ref in RD BCUs to update the total accordingly
3. Changed the "Remaining Emissions to Allocate" to be ent of the remaining emissions from the new pile. That way the value rolls up in to the rest of the calcs since they reference that cell
Reply:
	Got it, thank you
</t>
      </text>
    </comment>
    <comment authorId="2" xr:uid="{88d7c36e-3d20-41a8-b019-1dbe6c1386e5}" ref="C7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This seems off. The calc sheet shows 116,090 as the adjusted total for the period no?
https://docs.google.com/spreadsheets/d/1Dv7eod1WP3-VAPsIrmfofWLl97Ir4PZvBggP4RmT_2s/edit?gid=0#gid=0
Reply:
	This is last month's, I was playing with Control Z too much for Output Summary stuff and this must have been undeleted so I forgot to input... Switching to correct value now!
Reply:
	Haha, happens!
</t>
      </text>
    </comment>
    <comment authorId="3" xr:uid="{ca84f114-27cc-4b9b-a864-cb82c1a8a1f1}" ref="T2">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Dude hell yeah
Reply:
	So much lower, might be good to share with Dillon and Brent for modeling
</t>
      </text>
    </comment>
  </commentList>
</comments>
</file>

<file path=xl/sharedStrings.xml><?xml version="1.0" encoding="utf-8"?>
<sst xmlns="http://schemas.openxmlformats.org/spreadsheetml/2006/main" count="240" uniqueCount="185">
  <si>
    <t>Process Emissions</t>
  </si>
  <si>
    <t>Emission Factors</t>
  </si>
  <si>
    <t>Embodied Emissions</t>
  </si>
  <si>
    <t>Output Type</t>
  </si>
  <si>
    <t>Production Operating Hours</t>
  </si>
  <si>
    <t>Emissions Factor</t>
  </si>
  <si>
    <t>Unit</t>
  </si>
  <si>
    <t>Baseline Quantity</t>
  </si>
  <si>
    <t>Uncertainty Factor</t>
  </si>
  <si>
    <t>Final Quantity</t>
  </si>
  <si>
    <t>Mass of Output (kg)</t>
  </si>
  <si>
    <t>Source</t>
  </si>
  <si>
    <t>% Output Mass</t>
  </si>
  <si>
    <t>Truck Transport Fuel Use (Well to Wheel) -- Flatbed Truck</t>
  </si>
  <si>
    <t>C Content (%)</t>
  </si>
  <si>
    <t>C Content Mass (kg)</t>
  </si>
  <si>
    <t>MT CO2e/t-mi</t>
  </si>
  <si>
    <t>% C Content Mass</t>
  </si>
  <si>
    <t>Total Emissions Allocated to Fraction (MT CO2e)</t>
  </si>
  <si>
    <t>Kg Emissions/Kg Material</t>
  </si>
  <si>
    <t>N/A</t>
  </si>
  <si>
    <t>WODO</t>
  </si>
  <si>
    <t>Total BM Consumed</t>
  </si>
  <si>
    <t>WODO Yield</t>
  </si>
  <si>
    <t>Propane (kg)</t>
  </si>
  <si>
    <t>GLEC V3.0 2024</t>
  </si>
  <si>
    <t>WODO wt%C</t>
  </si>
  <si>
    <t>Diesel (kg)</t>
  </si>
  <si>
    <t>Gasoline (kg)</t>
  </si>
  <si>
    <t>Biochar Yield</t>
  </si>
  <si>
    <t>Biochar wt%C</t>
  </si>
  <si>
    <t>Biomass Transport</t>
  </si>
  <si>
    <t>Pyrolyzer Up-Time</t>
  </si>
  <si>
    <t>Equipment Amortization</t>
  </si>
  <si>
    <t>Biochar</t>
  </si>
  <si>
    <t>Truck Transport Fuel Use (Well to Wheel) -- Tanker Truck</t>
  </si>
  <si>
    <t>Propane</t>
  </si>
  <si>
    <t>Miles</t>
  </si>
  <si>
    <t>Diesel</t>
  </si>
  <si>
    <t>Vehicle Embodied Emissions --Tanker Truck</t>
  </si>
  <si>
    <t>MT CO2e/mi</t>
  </si>
  <si>
    <t>Total Operating Hours</t>
  </si>
  <si>
    <t>USEPA/GREET 2024</t>
  </si>
  <si>
    <t>Gasoline</t>
  </si>
  <si>
    <t>Total Biomass Consumed (kg)</t>
  </si>
  <si>
    <t>Aqueous</t>
  </si>
  <si>
    <t>Electricity</t>
  </si>
  <si>
    <t>Vehicle Embodied Emissions --Non-Tanker Truck</t>
  </si>
  <si>
    <t>Tailgas</t>
  </si>
  <si>
    <t>Tonnes</t>
  </si>
  <si>
    <t>Embodied Emissions -- Liquid Caustic Soda (50% NaOH)</t>
  </si>
  <si>
    <t>MTCO2e/T LCS</t>
  </si>
  <si>
    <t>Water</t>
  </si>
  <si>
    <t>Total Biomass Consumed (MT)</t>
  </si>
  <si>
    <t>Consumables Delivery</t>
  </si>
  <si>
    <t>Tonne-Miles</t>
  </si>
  <si>
    <t>R+D Operating Hours</t>
  </si>
  <si>
    <t>Waste Disposal</t>
  </si>
  <si>
    <t>Biomass Amortization Factor for PP (kg Co2e/MT biomass)</t>
  </si>
  <si>
    <t>Capital Goods EE</t>
  </si>
  <si>
    <t>Flatbed Truck Process Emissions Factor (MT CO2e/t-mi)</t>
  </si>
  <si>
    <t>% Production</t>
  </si>
  <si>
    <t>SP+C EE</t>
  </si>
  <si>
    <t>Total Amortized Embodied Emissions (kg)</t>
  </si>
  <si>
    <t>GREET 2024</t>
  </si>
  <si>
    <t>Electricity Use -- Kansas</t>
  </si>
  <si>
    <t>MTCO2e/kWh</t>
  </si>
  <si>
    <t>Non-Tanker Truck Embodied Emissions Factor (MT CO2e/mi)</t>
  </si>
  <si>
    <t>% R+D</t>
  </si>
  <si>
    <t>Green-E,USEPA, GREET 2024</t>
  </si>
  <si>
    <t>Electricity Use -- Kansas w/ Wind RECs</t>
  </si>
  <si>
    <t>Total Amortized Embodied Emissions (MT)</t>
  </si>
  <si>
    <t>Injection Emissions</t>
  </si>
  <si>
    <t>Aqueous Yield</t>
  </si>
  <si>
    <t>Log Handling Emissions Factor (MT CO2e/MT logs)</t>
  </si>
  <si>
    <t>[MRV] Biomass Miles</t>
  </si>
  <si>
    <t>Electricity Use -- Colorado</t>
  </si>
  <si>
    <t>Spare Parts and Consumables</t>
  </si>
  <si>
    <t>Delivery Process Emissions (MT CO2e)</t>
  </si>
  <si>
    <t>Electricity Use -- Colorado w/ Solar RECs</t>
  </si>
  <si>
    <t>Total Procured Renewables</t>
  </si>
  <si>
    <t>EE Estimate per Pyrolyzer Operating Hour (kgCO2e)</t>
  </si>
  <si>
    <t>Delivery Embodied Emissions (MT CO2e)</t>
  </si>
  <si>
    <t>RD BCUs (MT CO2e)</t>
  </si>
  <si>
    <t>[MRV] Raw Biomass Tonnes</t>
  </si>
  <si>
    <t>Vaulted Equipment Embodied Emissions</t>
  </si>
  <si>
    <t>MT CO2e/MT Injectate</t>
  </si>
  <si>
    <t>[MRV] Linear Feet Consumed</t>
  </si>
  <si>
    <t>Spare Parts and Consumables Estimate for Period (kg)</t>
  </si>
  <si>
    <t>Vaulted PDD</t>
  </si>
  <si>
    <t>Self-Loading Truck Lumber Handling (No Transport)</t>
  </si>
  <si>
    <t>MT CO2e/MT logs</t>
  </si>
  <si>
    <t>[MRV] Uncertainty Adjusted Propane Used</t>
  </si>
  <si>
    <t>Auburn University</t>
  </si>
  <si>
    <t>Delivery Log Handling Emissions (MT CO2e)</t>
  </si>
  <si>
    <t>RECs (kWh)</t>
  </si>
  <si>
    <t>[MRV] Uncertainty Adjusted Diesel Used</t>
  </si>
  <si>
    <t>Spare Parts and Consumables Estimate for Period (MT)</t>
  </si>
  <si>
    <t>[MRV] Uncertainty Adjusted Gasoline Used</t>
  </si>
  <si>
    <t>Total Delivery Emissions (MT CO2e)</t>
  </si>
  <si>
    <t>Diesel Fuel Combustion (Total WTW)</t>
  </si>
  <si>
    <t>MTCO2e/kg fuel</t>
  </si>
  <si>
    <t>[MRV] Uncertainty Adjusted Electricity</t>
  </si>
  <si>
    <t>LPG Consumption (Total WTW)</t>
  </si>
  <si>
    <t>[MRV] Total Water Used</t>
  </si>
  <si>
    <t>Starting Linear Feet Measurement</t>
  </si>
  <si>
    <t>Gasoline Consumption (Total WTW)</t>
  </si>
  <si>
    <t>Drinking Water -- US</t>
  </si>
  <si>
    <t>MTCO2e/gal water</t>
  </si>
  <si>
    <t>https://www.sciencedirect.com/science/article/abs/pii/S0959652621030110</t>
  </si>
  <si>
    <t>Production Period 7</t>
  </si>
  <si>
    <t>New Pile</t>
  </si>
  <si>
    <t>Ending Linear Feet Measurement</t>
  </si>
  <si>
    <t>Linear Feet Consumed</t>
  </si>
  <si>
    <t>Proportion of Total Linear Feet</t>
  </si>
  <si>
    <t>Log Handling Emissions</t>
  </si>
  <si>
    <t xml:space="preserve"> </t>
  </si>
  <si>
    <t>Total Emissions Allocated (MT CO2e)</t>
  </si>
  <si>
    <t>BCUs Applied (MT CO2e)</t>
  </si>
  <si>
    <t>Total Emissions</t>
  </si>
  <si>
    <t>Remaining Emissions to Allocate -- Net of New Pile (MT CO2e)</t>
  </si>
  <si>
    <t>BCU's Applied</t>
  </si>
  <si>
    <t>Remaining Emissiosn to Allocate</t>
  </si>
  <si>
    <t>Propane Combustion</t>
  </si>
  <si>
    <t>Total PP Deliveries (L)</t>
  </si>
  <si>
    <t>Consolidated Emissions Inventory (No GHG Neutralization)</t>
  </si>
  <si>
    <t>Total Emissions (MT)</t>
  </si>
  <si>
    <t>% of Total</t>
  </si>
  <si>
    <t>Tank Level at PP Close (%)</t>
  </si>
  <si>
    <t>Tank Level at PP Close (L)</t>
  </si>
  <si>
    <t>Total Propane Consumption for PP (L)</t>
  </si>
  <si>
    <t>Total Propane Consumption for PP (Gal)</t>
  </si>
  <si>
    <t>Total Propane Consumption for PP (kg)</t>
  </si>
  <si>
    <t>Fuel Meter Uncertainty</t>
  </si>
  <si>
    <t>Uncertainty Adjusted Total</t>
  </si>
  <si>
    <t>Propane Combustion Emission Factor (kg CO2e/kg)</t>
  </si>
  <si>
    <t>Total Propane Emissions (MT CO2e)</t>
  </si>
  <si>
    <t>Diesel Combustion</t>
  </si>
  <si>
    <t>Total Diesel Consumption for PP (L)</t>
  </si>
  <si>
    <t>6942.44</t>
  </si>
  <si>
    <t>Total Diesel Consumption for PP (Gal)</t>
  </si>
  <si>
    <t>Total Diesel Fills in Office Generator for PP (Gal)</t>
  </si>
  <si>
    <t>250</t>
  </si>
  <si>
    <t>Total</t>
  </si>
  <si>
    <t>Total Production Diesel Consumption for PP (Gal)</t>
  </si>
  <si>
    <t>1584</t>
  </si>
  <si>
    <t>Total Production Diesel Consumption for PP (kg)</t>
  </si>
  <si>
    <t>Diesel Combustion Emission Factor (kg CO2e/kg)</t>
  </si>
  <si>
    <t>Total Diesel Emissions (MT CO2e)</t>
  </si>
  <si>
    <t>Remaining Emissions to Allocate (MT CO2e)</t>
  </si>
  <si>
    <t>Gasoline Combustion</t>
  </si>
  <si>
    <t>Total Gasoline Consumption for PP (Gal)</t>
  </si>
  <si>
    <t>Total Gasoline Consumption for PP (kg)</t>
  </si>
  <si>
    <t>Gasoline Combustion Emission Factor (kg CO2e/kg)</t>
  </si>
  <si>
    <t>Total Gasoline Combustion Emissions (MT CO2e)</t>
  </si>
  <si>
    <t>Electricity Usage</t>
  </si>
  <si>
    <t>Total kWh Consumed</t>
  </si>
  <si>
    <t>Maximum Allowable Meter Uncertainty</t>
  </si>
  <si>
    <t>Total kWh Consumed -- Uncertainty Adjusted</t>
  </si>
  <si>
    <t>May 2024 Non-Pyrolysis (G+A, Eng) Consumption (kWh)</t>
  </si>
  <si>
    <t>Days in May</t>
  </si>
  <si>
    <t>Non-Pyrolysis kWh/Day</t>
  </si>
  <si>
    <t>Days in Production Period 7</t>
  </si>
  <si>
    <t>PP Non-Production Consumption (kWh)</t>
  </si>
  <si>
    <t>PP Production Consumption (kWh)</t>
  </si>
  <si>
    <t>CO Grid Region Emission Factor (kg CO2e/kWh)</t>
  </si>
  <si>
    <t>Total Electricity Consumption Emissions (MT CO2e)</t>
  </si>
  <si>
    <t>Retired RECs allocated (kWh)</t>
  </si>
  <si>
    <t>REC generation emission factor (solar) (kg CO2e/kWh)</t>
  </si>
  <si>
    <t>Tailgas Emissions</t>
  </si>
  <si>
    <t>Total Biomass Consumed (kg) (Uncertainty-Adjusted)</t>
  </si>
  <si>
    <t>Tailgas Emission Factor (MT CO2e/kg biomass)</t>
  </si>
  <si>
    <t>Total Tailgas Emissions (MT)</t>
  </si>
  <si>
    <t>Water Emissions</t>
  </si>
  <si>
    <t>Total Water Consumed (gal)</t>
  </si>
  <si>
    <t>Total Water Consumed (kg)</t>
  </si>
  <si>
    <t>Water Consumption Emission Factor (kg CO2e/gal water)</t>
  </si>
  <si>
    <t>Total Water Emissions (MT CO2e)</t>
  </si>
  <si>
    <t>Consumables Delivery Emissions</t>
  </si>
  <si>
    <t>Total Process Emissions</t>
  </si>
  <si>
    <t>Total Emb. Emissions</t>
  </si>
  <si>
    <t>Waste Disposal Emissions</t>
  </si>
  <si>
    <t>Transport Emissions (Process)</t>
  </si>
  <si>
    <t>Transport Emissions (Embodied)</t>
  </si>
  <si>
    <t>Disposal Emissions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</si>
</sst>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
    <numFmt numFmtId="165" formatCode="#,##0.0000"/>
    <numFmt numFmtId="166" formatCode="0.000"/>
    <numFmt numFmtId="167" formatCode="0.0000"/>
    <numFmt numFmtId="168" formatCode="#,##0.0000000000"/>
    <numFmt numFmtId="169" formatCode="#,##0.0"/>
    <numFmt numFmtId="170" formatCode="#,##0.00000000000000"/>
    <numFmt numFmtId="171" formatCode="0.000000000"/>
    <numFmt numFmtId="172" formatCode="#,##0.000000"/>
  </numFmts>
  <fonts count="19">
    <font>
      <sz val="10.0"/>
      <color rgb="FF000000"/>
      <name val="Arial"/>
      <scheme val="minor"/>
    </font>
    <font>
      <b/>
      <sz val="14.0"/>
      <color theme="1"/>
      <name val="Arial"/>
      <scheme val="minor"/>
    </font>
    <font>
      <b/>
      <sz val="12.0"/>
      <color theme="1"/>
      <name val="Arial"/>
      <scheme val="minor"/>
    </font>
    <font>
      <color theme="1"/>
      <name val="Arial"/>
      <scheme val="minor"/>
    </font>
    <font>
      <b/>
      <sz val="12.0"/>
      <color theme="1"/>
      <name val="Arial"/>
    </font>
    <font>
      <b/>
      <color theme="1"/>
      <name val="Arial"/>
    </font>
    <font>
      <b/>
      <color theme="1"/>
      <name val="Arial"/>
      <scheme val="minor"/>
    </font>
    <font>
      <color theme="1"/>
      <name val="Arial"/>
    </font>
    <font>
      <color rgb="FF0000FF"/>
      <name val="Arial"/>
      <scheme val="minor"/>
    </font>
    <font>
      <u/>
      <color rgb="FF0000FF"/>
    </font>
    <font>
      <sz val="11.0"/>
      <color rgb="FF1D1C1D"/>
      <name val="Slack-Lato"/>
    </font>
    <font>
      <u/>
      <color rgb="FF0000FF"/>
      <name val="Arial"/>
    </font>
    <font>
      <color theme="1"/>
      <name val="Inherit"/>
    </font>
    <font>
      <b/>
      <u/>
      <color theme="1"/>
      <name val="Arial"/>
      <scheme val="minor"/>
    </font>
    <font>
      <color rgb="FF000000"/>
      <name val="Arial"/>
      <scheme val="minor"/>
    </font>
    <font>
      <u/>
      <color rgb="FF0000FF"/>
    </font>
    <font>
      <b/>
      <sz val="13.0"/>
      <color theme="1"/>
      <name val="Arial"/>
      <scheme val="minor"/>
    </font>
    <font>
      <i/>
      <color theme="1"/>
      <name val="Arial"/>
      <scheme val="minor"/>
    </font>
    <font>
      <sz val="11.0"/>
      <color theme="1"/>
      <name val="Arial"/>
      <scheme val="minor"/>
    </font>
  </fonts>
  <fills count="9">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s>
  <borders count="1">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Fill="1" applyFont="1"/>
    <xf borderId="0" fillId="0" fontId="4" numFmtId="0" xfId="0" applyAlignment="1" applyFont="1">
      <alignment horizontal="center" vertical="bottom"/>
    </xf>
    <xf borderId="0" fillId="0" fontId="3" numFmtId="0" xfId="0" applyAlignment="1" applyFont="1">
      <alignment readingOrder="0"/>
    </xf>
    <xf borderId="0" fillId="0" fontId="5" numFmtId="0" xfId="0" applyAlignment="1" applyFont="1">
      <alignment vertical="bottom"/>
    </xf>
    <xf borderId="0" fillId="0" fontId="3" numFmtId="0" xfId="0" applyFont="1"/>
    <xf borderId="0" fillId="0" fontId="6" numFmtId="0" xfId="0" applyAlignment="1" applyFont="1">
      <alignment readingOrder="0"/>
    </xf>
    <xf borderId="0" fillId="0" fontId="7" numFmtId="0" xfId="0" applyAlignment="1" applyFont="1">
      <alignment vertical="bottom"/>
    </xf>
    <xf borderId="0" fillId="0" fontId="3" numFmtId="4" xfId="0" applyFont="1" applyNumberFormat="1"/>
    <xf borderId="0" fillId="0" fontId="7" numFmtId="0" xfId="0" applyAlignment="1" applyFont="1">
      <alignment horizontal="right" readingOrder="0" vertical="bottom"/>
    </xf>
    <xf borderId="0" fillId="0" fontId="3" numFmtId="3" xfId="0" applyAlignment="1" applyFont="1" applyNumberFormat="1">
      <alignment readingOrder="0"/>
    </xf>
    <xf borderId="0" fillId="0" fontId="3" numFmtId="2" xfId="0" applyFont="1" applyNumberFormat="1"/>
    <xf borderId="0" fillId="0" fontId="7" numFmtId="0" xfId="0" applyAlignment="1" applyFont="1">
      <alignment horizontal="right" vertical="bottom"/>
    </xf>
    <xf borderId="0" fillId="0" fontId="3" numFmtId="10" xfId="0" applyAlignment="1" applyFont="1" applyNumberFormat="1">
      <alignment readingOrder="0"/>
    </xf>
    <xf borderId="0" fillId="0" fontId="8" numFmtId="10" xfId="0" applyAlignment="1" applyFont="1" applyNumberFormat="1">
      <alignment readingOrder="0"/>
    </xf>
    <xf borderId="0" fillId="0" fontId="3" numFmtId="3" xfId="0" applyFont="1" applyNumberFormat="1"/>
    <xf borderId="0" fillId="0" fontId="3" numFmtId="10" xfId="0" applyFont="1" applyNumberFormat="1"/>
    <xf borderId="0" fillId="0" fontId="3" numFmtId="164" xfId="0" applyFont="1" applyNumberFormat="1"/>
    <xf borderId="0" fillId="0" fontId="3" numFmtId="165" xfId="0" applyFont="1" applyNumberFormat="1"/>
    <xf borderId="0" fillId="0" fontId="3" numFmtId="166" xfId="0" applyFont="1" applyNumberFormat="1"/>
    <xf borderId="0" fillId="3" fontId="2" numFmtId="0" xfId="0" applyAlignment="1" applyFill="1" applyFont="1">
      <alignment readingOrder="0"/>
    </xf>
    <xf borderId="0" fillId="0" fontId="9" numFmtId="0" xfId="0" applyAlignment="1" applyFont="1">
      <alignment readingOrder="0"/>
    </xf>
    <xf borderId="0" fillId="0" fontId="3" numFmtId="4" xfId="0" applyAlignment="1" applyFont="1" applyNumberFormat="1">
      <alignment readingOrder="0"/>
    </xf>
    <xf borderId="0" fillId="0" fontId="7" numFmtId="0" xfId="0" applyAlignment="1" applyFont="1">
      <alignment readingOrder="0" vertical="bottom"/>
    </xf>
    <xf borderId="0" fillId="0" fontId="7" numFmtId="4" xfId="0" applyAlignment="1" applyFont="1" applyNumberFormat="1">
      <alignment horizontal="right" readingOrder="0" vertical="bottom"/>
    </xf>
    <xf borderId="0" fillId="4" fontId="3" numFmtId="4" xfId="0" applyAlignment="1" applyFill="1" applyFont="1" applyNumberFormat="1">
      <alignment readingOrder="0"/>
    </xf>
    <xf borderId="0" fillId="0" fontId="6" numFmtId="0" xfId="0" applyFont="1"/>
    <xf borderId="0" fillId="0" fontId="7" numFmtId="2" xfId="0" applyAlignment="1" applyFont="1" applyNumberFormat="1">
      <alignment horizontal="right" readingOrder="0" vertical="bottom"/>
    </xf>
    <xf borderId="0" fillId="0" fontId="8" numFmtId="3" xfId="0" applyAlignment="1" applyFont="1" applyNumberFormat="1">
      <alignment readingOrder="0"/>
    </xf>
    <xf borderId="0" fillId="4" fontId="3" numFmtId="0" xfId="0" applyAlignment="1" applyFill="1" applyFont="1">
      <alignment readingOrder="0"/>
    </xf>
    <xf borderId="0" fillId="4" fontId="3" numFmtId="2" xfId="0" applyAlignment="1" applyFill="1" applyFont="1" applyNumberFormat="1">
      <alignment readingOrder="0"/>
    </xf>
    <xf borderId="0" fillId="0" fontId="3" numFmtId="167" xfId="0" applyFont="1" applyNumberFormat="1"/>
    <xf borderId="0" fillId="0" fontId="7" numFmtId="168" xfId="0" applyAlignment="1" applyFont="1" applyNumberFormat="1">
      <alignment horizontal="right" readingOrder="0" vertical="bottom"/>
    </xf>
    <xf borderId="0" fillId="0" fontId="3" numFmtId="169" xfId="0" applyFont="1" applyNumberFormat="1"/>
    <xf borderId="0" fillId="5" fontId="3" numFmtId="0" xfId="0" applyFill="1" applyFont="1"/>
    <xf borderId="0" fillId="0" fontId="6" numFmtId="0" xfId="0" applyAlignment="1" applyFont="1">
      <alignment horizontal="right" readingOrder="0"/>
    </xf>
    <xf borderId="0" fillId="5" fontId="3" numFmtId="0" xfId="0" applyAlignment="1" applyFill="1" applyFont="1">
      <alignment readingOrder="0"/>
    </xf>
    <xf borderId="0" fillId="0" fontId="7" numFmtId="170" xfId="0" applyAlignment="1" applyFont="1" applyNumberFormat="1">
      <alignment horizontal="right" readingOrder="0" vertical="bottom"/>
    </xf>
    <xf borderId="0" fillId="0" fontId="3" numFmtId="10" xfId="0" applyAlignment="1" applyFont="1" applyNumberFormat="1">
      <alignment horizontal="right"/>
    </xf>
    <xf borderId="0" fillId="0" fontId="3" numFmtId="0" xfId="0" applyAlignment="1" applyFont="1">
      <alignment horizontal="right"/>
    </xf>
    <xf borderId="0" fillId="0" fontId="5" numFmtId="0" xfId="0" applyAlignment="1" applyFont="1">
      <alignment vertical="bottom"/>
    </xf>
    <xf borderId="0" fillId="0" fontId="3" numFmtId="0" xfId="0" applyAlignment="1" applyFont="1">
      <alignment horizontal="right" readingOrder="0"/>
    </xf>
    <xf borderId="0" fillId="6" fontId="10" numFmtId="0" xfId="0" applyAlignment="1" applyFill="1" applyFont="1">
      <alignment horizontal="left" readingOrder="0" shrinkToFit="0" wrapText="1"/>
    </xf>
    <xf borderId="0" fillId="0" fontId="11" numFmtId="0" xfId="0" applyAlignment="1" applyFont="1">
      <alignment readingOrder="0" vertical="bottom"/>
    </xf>
    <xf borderId="0" fillId="0" fontId="7" numFmtId="0" xfId="0" applyAlignment="1" applyFont="1">
      <alignment vertical="bottom"/>
    </xf>
    <xf borderId="0" fillId="0" fontId="12" numFmtId="0" xfId="0" applyAlignment="1" applyFont="1">
      <alignment shrinkToFit="0" vertical="bottom" wrapText="1"/>
    </xf>
    <xf borderId="0" fillId="0" fontId="7" numFmtId="4" xfId="0" applyAlignment="1" applyFont="1" applyNumberFormat="1">
      <alignment vertical="bottom"/>
    </xf>
    <xf borderId="0" fillId="0" fontId="13" numFmtId="0" xfId="0" applyAlignment="1" applyFont="1">
      <alignment readingOrder="0"/>
    </xf>
    <xf borderId="0" fillId="0" fontId="3" numFmtId="169" xfId="0" applyAlignment="1" applyFont="1" applyNumberFormat="1">
      <alignment readingOrder="0"/>
    </xf>
    <xf borderId="0" fillId="0" fontId="14" numFmtId="4" xfId="0" applyAlignment="1" applyFont="1" applyNumberFormat="1">
      <alignment readingOrder="0"/>
    </xf>
    <xf borderId="0" fillId="0" fontId="5" numFmtId="0" xfId="0" applyAlignment="1" applyFont="1">
      <alignment readingOrder="0" vertical="bottom"/>
    </xf>
    <xf borderId="0" fillId="4" fontId="7" numFmtId="4" xfId="0" applyAlignment="1" applyFill="1" applyFont="1" applyNumberFormat="1">
      <alignment horizontal="right" readingOrder="0" vertical="bottom"/>
    </xf>
    <xf borderId="0" fillId="0" fontId="15" numFmtId="0" xfId="0" applyAlignment="1" applyFont="1">
      <alignment readingOrder="0"/>
    </xf>
    <xf borderId="0" fillId="0" fontId="3" numFmtId="2" xfId="0" applyAlignment="1" applyFont="1" applyNumberFormat="1">
      <alignment readingOrder="0"/>
    </xf>
    <xf borderId="0" fillId="7" fontId="16" numFmtId="0" xfId="0" applyAlignment="1" applyFill="1" applyFont="1">
      <alignment readingOrder="0"/>
    </xf>
    <xf borderId="0" fillId="7" fontId="6" numFmtId="0" xfId="0" applyAlignment="1" applyFill="1" applyFont="1">
      <alignment readingOrder="0"/>
    </xf>
    <xf borderId="0" fillId="0" fontId="6" numFmtId="0" xfId="0" applyAlignment="1" applyFont="1">
      <alignment horizontal="center" readingOrder="0"/>
    </xf>
    <xf borderId="0" fillId="0" fontId="6" numFmtId="4" xfId="0" applyAlignment="1" applyFont="1" applyNumberFormat="1">
      <alignment readingOrder="0"/>
    </xf>
    <xf borderId="0" fillId="7" fontId="2" numFmtId="0" xfId="0" applyAlignment="1" applyFill="1" applyFont="1">
      <alignment readingOrder="0"/>
    </xf>
    <xf borderId="0" fillId="7" fontId="3" numFmtId="166" xfId="0" applyFill="1" applyFont="1" applyNumberFormat="1"/>
    <xf borderId="0" fillId="7" fontId="3" numFmtId="10" xfId="0" applyFill="1" applyFont="1" applyNumberFormat="1"/>
    <xf borderId="0" fillId="0" fontId="3" numFmtId="164" xfId="0" applyAlignment="1" applyFont="1" applyNumberFormat="1">
      <alignment horizontal="center"/>
    </xf>
    <xf borderId="0" fillId="0" fontId="17" numFmtId="0" xfId="0" applyAlignment="1" applyFont="1">
      <alignment readingOrder="0"/>
    </xf>
    <xf borderId="0" fillId="0" fontId="6" numFmtId="4" xfId="0" applyFont="1" applyNumberFormat="1"/>
    <xf borderId="0" fillId="0" fontId="6" numFmtId="169" xfId="0" applyFont="1" applyNumberFormat="1"/>
    <xf borderId="0" fillId="7" fontId="3" numFmtId="2" xfId="0" applyFill="1" applyFont="1" applyNumberFormat="1"/>
    <xf borderId="0" fillId="7" fontId="3" numFmtId="0" xfId="0" applyFill="1" applyFont="1"/>
    <xf borderId="0" fillId="0" fontId="14" numFmtId="3" xfId="0" applyAlignment="1" applyFont="1" applyNumberFormat="1">
      <alignment readingOrder="0"/>
    </xf>
    <xf borderId="0" fillId="8" fontId="2" numFmtId="0" xfId="0" applyAlignment="1" applyFill="1" applyFont="1">
      <alignment readingOrder="0"/>
    </xf>
    <xf borderId="0" fillId="0" fontId="7" numFmtId="49" xfId="0" applyAlignment="1" applyFont="1" applyNumberFormat="1">
      <alignment horizontal="right" readingOrder="0" vertical="bottom"/>
    </xf>
    <xf borderId="0" fillId="0" fontId="7" numFmtId="169" xfId="0" applyAlignment="1" applyFont="1" applyNumberFormat="1">
      <alignment readingOrder="0" vertical="bottom"/>
    </xf>
    <xf borderId="0" fillId="0" fontId="3" numFmtId="0" xfId="0" applyAlignment="1" applyFont="1">
      <alignment horizontal="center" readingOrder="0"/>
    </xf>
    <xf borderId="0" fillId="0" fontId="6" numFmtId="3" xfId="0" applyFont="1" applyNumberFormat="1"/>
    <xf borderId="0" fillId="0" fontId="7" numFmtId="10" xfId="0" applyAlignment="1" applyFont="1" applyNumberFormat="1">
      <alignment horizontal="right" readingOrder="0" vertical="bottom"/>
    </xf>
    <xf borderId="0" fillId="0" fontId="16" numFmtId="0" xfId="0" applyAlignment="1" applyFont="1">
      <alignment readingOrder="0"/>
    </xf>
    <xf borderId="0" fillId="0" fontId="18" numFmtId="10" xfId="0" applyAlignment="1" applyFont="1" applyNumberFormat="1">
      <alignment readingOrder="0"/>
    </xf>
    <xf borderId="0" fillId="4" fontId="6" numFmtId="0" xfId="0" applyAlignment="1" applyFill="1" applyFont="1">
      <alignment readingOrder="0"/>
    </xf>
    <xf borderId="0" fillId="0" fontId="7" numFmtId="10" xfId="0" applyAlignment="1" applyFont="1" applyNumberFormat="1">
      <alignment horizontal="right" vertical="bottom"/>
    </xf>
    <xf borderId="0" fillId="0" fontId="7" numFmtId="2" xfId="0" applyAlignment="1" applyFont="1" applyNumberFormat="1">
      <alignment horizontal="right" vertical="bottom"/>
    </xf>
    <xf borderId="0" fillId="0" fontId="7" numFmtId="0" xfId="0" applyAlignment="1" applyFont="1">
      <alignment horizontal="right" vertical="bottom"/>
    </xf>
    <xf borderId="0" fillId="0" fontId="3" numFmtId="167" xfId="0" applyAlignment="1" applyFont="1" applyNumberFormat="1">
      <alignment readingOrder="0"/>
    </xf>
    <xf borderId="0" fillId="0" fontId="3" numFmtId="171" xfId="0" applyAlignment="1" applyFont="1" applyNumberFormat="1">
      <alignment readingOrder="0"/>
    </xf>
    <xf borderId="0" fillId="6" fontId="3" numFmtId="167" xfId="0" applyAlignment="1" applyFill="1" applyFont="1" applyNumberFormat="1">
      <alignment readingOrder="0"/>
    </xf>
    <xf borderId="0" fillId="6" fontId="3" numFmtId="172" xfId="0" applyAlignment="1" applyFill="1" applyFont="1" applyNumberFormat="1">
      <alignment readingOrder="0"/>
    </xf>
    <xf borderId="0" fillId="6" fontId="3" numFmtId="164" xfId="0" applyAlignment="1" applyFill="1" applyFont="1" applyNumberFormat="1">
      <alignment readingOrder="0"/>
    </xf>
    <xf borderId="0" fillId="6" fontId="3" numFmtId="0" xfId="0" applyFill="1" applyFont="1"/>
    <xf borderId="0" fillId="6" fontId="3" numFmtId="4" xfId="0" applyFill="1" applyFont="1" applyNumberFormat="1"/>
    <xf borderId="0" fillId="0" fontId="7" numFmtId="167" xfId="0" applyAlignment="1" applyFont="1" applyNumberFormat="1">
      <alignment horizontal="right" readingOrder="0" vertical="bottom"/>
    </xf>
    <xf borderId="0" fillId="0" fontId="7" numFmtId="165" xfId="0" applyAlignment="1" applyFont="1" applyNumberFormat="1">
      <alignment horizontal="right" readingOrder="0" vertical="bottom"/>
    </xf>
    <xf borderId="0" fillId="0" fontId="7" numFmtId="166" xfId="0" applyAlignment="1" applyFont="1" applyNumberFormat="1">
      <alignment horizontal="right" readingOrder="0" vertical="bottom"/>
    </xf>
    <xf borderId="0" fillId="0" fontId="3"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arrett Lutz" id="{b117d3c0-e01e-4dcd-becf-6405a0855b93}" providerId="google-sheets"/>
  <x18tc:person displayName="garrett.lutz@charmindustrial.com" id="{29b2beb4-cab5-4f9c-a0aa-f4d234449e26}" userId="garrett.lutz@charmindustrial.com" providerId="google-sheets"/>
  <x18tc:person displayName="Max Lavine" id="{cc7a486c-97d4-4130-88c0-87b6fbf507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7" dT="2025-07-03T18:16:23.00" personId="{cc7a486c-97d4-4130-88c0-87b6fbf5073f}" id="{274913b1-ff8e-42f2-8c20-d1403b3fdeb2}" done="1">
    <x18tc:text xml:space="preserve">@garrett.lutz@charmindustrial.com 
Changed this around a little bit:
1. Entered the new values post tonne-mile correction
2. Updated the BCUs Applied number and added a ref in RD BCUs to update the total accordingly
3. Changed the "Remaining Emissions to Allocate" to be ent of the remaining emissions from the new pile. That way the value rolls up in to the rest of the calcs since they reference that cell</x18tc:text>
    <x18tc:mentions>
      <x18tc:mention mentionpersonId="{29b2beb4-cab5-4f9c-a0aa-f4d234449e26}" mentionId="{ebae7d68-4157-4265-86e0-e6701d666571}" startIndex="0" length="33"/>
    </x18tc:mentions>
  </x18tc:threadedComment>
  <x18tc:threadedComment ref="E17" dT="2025-07-03T20:19:56.00" personId="{b117d3c0-e01e-4dcd-becf-6405a0855b93}" id="{ba94c84e-9494-4b82-baf7-f338644d94b3}" parentId="{274913b1-ff8e-42f2-8c20-d1403b3fdeb2}">
    <x18tc:text xml:space="preserve">Got it, thank you</x18tc:text>
  </x18tc:threadedComment>
  <x18tc:threadedComment ref="C75" dT="2025-07-03T16:59:33.00" personId="{cc7a486c-97d4-4130-88c0-87b6fbf5073f}" id="{88d7c36e-3d20-41a8-b019-1dbe6c1386e5}" done="1">
    <x18tc:text xml:space="preserve">@garrett.lutz@charmindustrial.com 
This seems off. The calc sheet shows 116,090 as the adjusted total for the period no?
https://docs.google.com/spreadsheets/d/1Dv7eod1WP3-VAPsIrmfofWLl97Ir4PZvBggP4RmT_2s/edit?gid=0#gid=0</x18tc:text>
    <x18tc:mentions>
      <x18tc:mention mentionpersonId="{29b2beb4-cab5-4f9c-a0aa-f4d234449e26}" mentionId="{5eff3535-ca33-4a19-8d75-5dab233db11e}" startIndex="0" length="33"/>
    </x18tc:mentions>
    <x18tc:extLst>
      <ext uri="{F7C98A9C-CBB3-438F-8F68-D28B6AF4A901}">
        <xltc2:checksum/>
        <xltc2:hyperlink startIndex="122" length="100" url="https://docs.google.com/spreadsheets/d/1Dv7eod1WP3-VAPsIrmfofWLl97Ir4PZvBggP4RmT_2s/edit?gid=0#gid=0"/>
      </ext>
    </x18tc:extLst>
  </x18tc:threadedComment>
  <x18tc:threadedComment ref="C75" dT="2025-07-03T17:02:42.00" personId="{b117d3c0-e01e-4dcd-becf-6405a0855b93}" id="{0dbd69a1-3bc6-45e9-a0ac-1903b54ec450}" parentId="{88d7c36e-3d20-41a8-b019-1dbe6c1386e5}">
    <x18tc:text xml:space="preserve">This is last month's, I was playing with Control Z too much for Output Summary stuff and this must have been undeleted so I forgot to input... Switching to correct value now!</x18tc:text>
  </x18tc:threadedComment>
  <x18tc:threadedComment ref="C75" dT="2025-07-03T17:03:07.00" personId="{cc7a486c-97d4-4130-88c0-87b6fbf5073f}" id="{faccf802-79b8-433c-880e-70034861be62}" parentId="{88d7c36e-3d20-41a8-b019-1dbe6c1386e5}">
    <x18tc:text xml:space="preserve">Haha, happens!</x18tc:text>
  </x18tc:threadedComment>
  <x18tc:threadedComment ref="T2" dT="2025-07-03T18:31:34.00" personId="{cc7a486c-97d4-4130-88c0-87b6fbf5073f}" id="{ca84f114-27cc-4b9b-a864-cb82c1a8a1f1}" done="1">
    <x18tc:text xml:space="preserve">@garrett.lutz@charmindustrial.com 
Dude hell yeah</x18tc:text>
    <x18tc:mentions>
      <x18tc:mention mentionpersonId="{29b2beb4-cab5-4f9c-a0aa-f4d234449e26}" mentionId="{0afd4671-2175-44f7-9cae-4de1191c3ca4}" startIndex="0" length="33"/>
    </x18tc:mentions>
  </x18tc:threadedComment>
  <x18tc:threadedComment ref="T2" dT="2025-07-03T18:32:16.00" personId="{b117d3c0-e01e-4dcd-becf-6405a0855b93}" id="{7c0874fb-5877-46f4-9f11-ca91faa92348}" parentId="{ca84f114-27cc-4b9b-a864-cb82c1a8a1f1}">
    <x18tc:text xml:space="preserve">So much lower, might be good to share with Dillon and Brent for modeling</x18tc:text>
  </x18tc:threadedComment>
  <x18tc:threadedComment ref="J6" dT="2026-02-18T15:38:25.00" personId="{b117d3c0-e01e-4dcd-becf-6405a0855b93}" id="{09b2b7bc-62f3-419b-97b8-2c6ee3c83c94}" done="0">
    <x18tc:text xml:space="preserve">We want to make this 80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mart-freight-centre-media.s3.amazonaws.com/documents/GLEC_FRAMEWORK_v3_UPDATED_04_12_24.pdf" TargetMode="External"/><Relationship Id="rId2" Type="http://schemas.openxmlformats.org/officeDocument/2006/relationships/hyperlink" Target="https://smart-freight-centre-media.s3.amazonaws.com/documents/GLEC_FRAMEWORK_v3_UPDATED_04_12_24.pdf" TargetMode="External"/><Relationship Id="rId3" Type="http://schemas.openxmlformats.org/officeDocument/2006/relationships/hyperlink" Target="https://drive.google.com/drive/folders/12VX4mHIqxoohRv7OmZfyld5xXgVMdOMF" TargetMode="External"/><Relationship Id="rId4" Type="http://schemas.openxmlformats.org/officeDocument/2006/relationships/hyperlink" Target="https://smart-freight-centre-media.s3.amazonaws.com/documents/GLEC_FRAMEWORK_v3_UPDATED_04_12_24.pdf" TargetMode="External"/><Relationship Id="rId5" Type="http://schemas.openxmlformats.org/officeDocument/2006/relationships/hyperlink" Target="https://smart-freight-centre-media.s3.amazonaws.com/documents/GLEC_FRAMEWORK_v3_UPDATED_04_12_24.pdf" TargetMode="External"/><Relationship Id="rId6" Type="http://schemas.openxmlformats.org/officeDocument/2006/relationships/hyperlink" Target="https://smart-freight-centre-media.s3.amazonaws.com/documents/GLEC_FRAMEWORK_v3_UPDATED_04_12_24.pdf" TargetMode="External"/><Relationship Id="rId7" Type="http://schemas.openxmlformats.org/officeDocument/2006/relationships/hyperlink" Target="https://www.sciencedirect.com/science/article/abs/pii/S095965262103011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63"/>
    <col customWidth="1" min="2" max="2" width="47.88"/>
    <col customWidth="1" min="3" max="3" width="15.88"/>
    <col customWidth="1" min="4" max="4" width="2.13"/>
    <col customWidth="1" min="5" max="5" width="24.38"/>
    <col customWidth="1" min="7" max="7" width="1.5"/>
    <col customWidth="1" min="8" max="8" width="63.5"/>
    <col customWidth="1" min="9" max="9" width="45.5"/>
    <col customWidth="1" min="12" max="12" width="1.5"/>
    <col customWidth="1" min="13" max="13" width="23.0"/>
    <col customWidth="1" min="14" max="14" width="19.38"/>
    <col customWidth="1" min="15" max="15" width="14.38"/>
    <col customWidth="1" min="17" max="17" width="21.0"/>
    <col customWidth="1" min="18" max="18" width="30.38"/>
    <col customWidth="1" min="19" max="19" width="41.88"/>
    <col customWidth="1" min="20" max="20" width="32.75"/>
    <col customWidth="1" min="21" max="21" width="29.25"/>
    <col customWidth="1" min="22" max="22" width="31.38"/>
    <col customWidth="1" min="23" max="23" width="28.63"/>
    <col customWidth="1" min="25" max="25" width="18.0"/>
  </cols>
  <sheetData>
    <row r="1">
      <c r="A1" s="1" t="s">
        <v>0</v>
      </c>
      <c r="E1" s="2"/>
      <c r="G1" s="3"/>
      <c r="H1" s="1" t="s">
        <v>2</v>
      </c>
      <c r="L1" s="3"/>
      <c r="M1" s="8" t="s">
        <v>3</v>
      </c>
      <c r="N1" s="8" t="s">
        <v>10</v>
      </c>
      <c r="O1" s="8" t="s">
        <v>12</v>
      </c>
      <c r="P1" s="8" t="s">
        <v>14</v>
      </c>
      <c r="Q1" s="8" t="s">
        <v>15</v>
      </c>
      <c r="R1" s="8" t="s">
        <v>17</v>
      </c>
      <c r="S1" s="8" t="s">
        <v>18</v>
      </c>
      <c r="T1" s="8" t="s">
        <v>19</v>
      </c>
      <c r="U1" s="8"/>
      <c r="V1" s="8"/>
      <c r="W1" s="8"/>
      <c r="X1" s="8"/>
      <c r="Y1" s="8"/>
      <c r="Z1" s="8"/>
      <c r="AA1" s="8"/>
      <c r="AB1" s="8"/>
    </row>
    <row r="2">
      <c r="A2" s="2"/>
      <c r="E2" s="2"/>
      <c r="G2" s="3"/>
      <c r="L2" s="3"/>
      <c r="M2" s="5" t="s">
        <v>21</v>
      </c>
      <c r="N2" s="12">
        <v>16899.0</v>
      </c>
      <c r="O2" s="15">
        <f t="shared" ref="O2:O4" si="1">N2/($N$2+$N$3+$N$4)</f>
        <v>0.1678102936</v>
      </c>
      <c r="P2" s="16">
        <v>0.5052</v>
      </c>
      <c r="Q2" s="12">
        <f t="shared" ref="Q2:Q4" si="2">P2*N2</f>
        <v>8537.3748</v>
      </c>
      <c r="R2" s="15">
        <f t="shared" ref="R2:R4" si="3">Q2/(SUM($Q$2+$Q$3+$Q$4))</f>
        <v>0.3522762052</v>
      </c>
      <c r="S2" s="19">
        <f t="shared" ref="S2:S4" si="4">R2*$I$40</f>
        <v>12.73349107</v>
      </c>
      <c r="T2" s="20">
        <f t="shared" ref="T2:T4" si="5">(S2*1000)/N2</f>
        <v>0.753505596</v>
      </c>
      <c r="U2" s="10"/>
      <c r="V2" s="10"/>
      <c r="W2" s="10"/>
      <c r="X2" s="10"/>
      <c r="Y2" s="10"/>
      <c r="Z2" s="10"/>
    </row>
    <row r="3">
      <c r="A3" s="22" t="s">
        <v>31</v>
      </c>
      <c r="E3" s="2" t="s">
        <v>32</v>
      </c>
      <c r="G3" s="3"/>
      <c r="H3" s="2" t="s">
        <v>33</v>
      </c>
      <c r="L3" s="3"/>
      <c r="M3" s="5" t="s">
        <v>34</v>
      </c>
      <c r="N3" s="12">
        <v>10309.0</v>
      </c>
      <c r="O3" s="15">
        <f t="shared" si="1"/>
        <v>0.1023703365</v>
      </c>
      <c r="P3" s="16">
        <v>0.8661</v>
      </c>
      <c r="Q3" s="24">
        <f t="shared" si="2"/>
        <v>8928.6249</v>
      </c>
      <c r="R3" s="15">
        <f t="shared" si="3"/>
        <v>0.3684202897</v>
      </c>
      <c r="S3" s="19">
        <f t="shared" si="4"/>
        <v>13.31704043</v>
      </c>
      <c r="T3" s="20">
        <f t="shared" si="5"/>
        <v>1.2917878</v>
      </c>
      <c r="U3" s="10"/>
      <c r="V3" s="10"/>
      <c r="W3" s="10"/>
      <c r="X3" s="10"/>
      <c r="Y3" s="10"/>
      <c r="Z3" s="10"/>
    </row>
    <row r="4">
      <c r="B4" s="25" t="s">
        <v>37</v>
      </c>
      <c r="C4" s="26">
        <v>7420.5</v>
      </c>
      <c r="D4" s="9"/>
      <c r="E4" s="5" t="s">
        <v>41</v>
      </c>
      <c r="F4" s="27">
        <v>3307.6</v>
      </c>
      <c r="G4" s="3"/>
      <c r="I4" s="5" t="s">
        <v>44</v>
      </c>
      <c r="J4" s="24">
        <f>C75</f>
        <v>116090</v>
      </c>
      <c r="L4" s="3"/>
      <c r="M4" s="5" t="s">
        <v>45</v>
      </c>
      <c r="N4" s="12">
        <v>73495.0</v>
      </c>
      <c r="O4" s="15">
        <f t="shared" si="1"/>
        <v>0.7298193698</v>
      </c>
      <c r="P4" s="16">
        <v>0.0921</v>
      </c>
      <c r="Q4" s="24">
        <f t="shared" si="2"/>
        <v>6768.8895</v>
      </c>
      <c r="R4" s="15">
        <f t="shared" si="3"/>
        <v>0.2793035051</v>
      </c>
      <c r="S4" s="19">
        <f t="shared" si="4"/>
        <v>10.09579596</v>
      </c>
      <c r="T4" s="20">
        <f t="shared" si="5"/>
        <v>0.1373671128</v>
      </c>
      <c r="U4" s="10"/>
      <c r="V4" s="10"/>
      <c r="W4" s="10"/>
      <c r="X4" s="10"/>
      <c r="Y4" s="10"/>
      <c r="Z4" s="28"/>
    </row>
    <row r="5">
      <c r="B5" s="25" t="s">
        <v>49</v>
      </c>
      <c r="C5" s="29">
        <v>1787.92</v>
      </c>
      <c r="D5" s="25"/>
      <c r="E5" s="5" t="s">
        <v>4</v>
      </c>
      <c r="F5" s="27">
        <f>F4-F6</f>
        <v>3307.6</v>
      </c>
      <c r="G5" s="3"/>
      <c r="I5" s="5" t="s">
        <v>53</v>
      </c>
      <c r="J5" s="13">
        <f>J4/1000</f>
        <v>116.09</v>
      </c>
      <c r="L5" s="3"/>
      <c r="N5" s="30"/>
      <c r="P5" s="16"/>
      <c r="Q5" s="17"/>
      <c r="R5" s="17"/>
      <c r="S5" s="19"/>
      <c r="T5" s="10"/>
      <c r="U5" s="10"/>
      <c r="V5" s="10"/>
      <c r="W5" s="10"/>
      <c r="X5" s="10"/>
      <c r="Y5" s="10"/>
      <c r="Z5" s="28"/>
    </row>
    <row r="6">
      <c r="B6" s="25" t="s">
        <v>55</v>
      </c>
      <c r="C6" s="26">
        <v>136775.76</v>
      </c>
      <c r="D6" s="25"/>
      <c r="E6" s="5" t="s">
        <v>56</v>
      </c>
      <c r="F6" s="31">
        <v>0.0</v>
      </c>
      <c r="G6" s="3"/>
      <c r="I6" s="5" t="s">
        <v>58</v>
      </c>
      <c r="J6" s="32">
        <v>60.8</v>
      </c>
      <c r="L6" s="3"/>
      <c r="R6" s="18"/>
      <c r="S6" s="13"/>
      <c r="T6" s="33"/>
      <c r="W6" s="10"/>
      <c r="X6" s="10"/>
      <c r="Y6" s="10"/>
      <c r="Z6" s="28"/>
    </row>
    <row r="7">
      <c r="B7" s="25" t="s">
        <v>60</v>
      </c>
      <c r="C7" s="34">
        <v>1.367939E-4</v>
      </c>
      <c r="D7" s="9"/>
      <c r="E7" s="5" t="s">
        <v>61</v>
      </c>
      <c r="F7" s="18">
        <f>F5/F4</f>
        <v>1</v>
      </c>
      <c r="G7" s="3"/>
      <c r="I7" s="5" t="s">
        <v>63</v>
      </c>
      <c r="J7" s="13">
        <f>J6*J5</f>
        <v>7058.272</v>
      </c>
      <c r="L7" s="3"/>
      <c r="Q7" s="17"/>
      <c r="R7" s="17"/>
      <c r="S7" s="35"/>
      <c r="T7" s="18"/>
      <c r="Z7" s="28"/>
    </row>
    <row r="8">
      <c r="B8" s="25" t="s">
        <v>67</v>
      </c>
      <c r="C8" s="11">
        <v>6.281443884E-5</v>
      </c>
      <c r="D8" s="9"/>
      <c r="E8" s="5" t="s">
        <v>68</v>
      </c>
      <c r="F8" s="18">
        <f>F6/F4</f>
        <v>0</v>
      </c>
      <c r="G8" s="3"/>
      <c r="I8" s="5" t="s">
        <v>71</v>
      </c>
      <c r="J8" s="13">
        <f>J7/1000</f>
        <v>7.058272</v>
      </c>
      <c r="L8" s="3"/>
      <c r="N8" s="8"/>
      <c r="T8" s="37"/>
      <c r="U8" s="37"/>
      <c r="V8" s="37"/>
      <c r="Z8" s="28"/>
    </row>
    <row r="9">
      <c r="B9" s="25" t="s">
        <v>74</v>
      </c>
      <c r="C9" s="39">
        <v>0.001518790827</v>
      </c>
      <c r="D9" s="9"/>
      <c r="G9" s="3"/>
      <c r="H9" s="2" t="s">
        <v>77</v>
      </c>
      <c r="L9" s="3"/>
      <c r="T9" s="40"/>
      <c r="U9" s="40"/>
      <c r="V9" s="41"/>
      <c r="Z9" s="28"/>
    </row>
    <row r="10">
      <c r="B10" s="25" t="s">
        <v>78</v>
      </c>
      <c r="C10" s="26">
        <v>18.71</v>
      </c>
      <c r="D10" s="9"/>
      <c r="E10" s="42" t="s">
        <v>80</v>
      </c>
      <c r="F10" s="13"/>
      <c r="G10" s="3"/>
      <c r="I10" s="5" t="s">
        <v>81</v>
      </c>
      <c r="J10" s="5">
        <v>0.83105</v>
      </c>
      <c r="L10" s="3"/>
      <c r="T10" s="40"/>
      <c r="U10" s="43"/>
      <c r="V10" s="43"/>
      <c r="Z10" s="28"/>
    </row>
    <row r="11">
      <c r="B11" s="25" t="s">
        <v>82</v>
      </c>
      <c r="C11" s="26">
        <v>0.47</v>
      </c>
      <c r="D11" s="9"/>
      <c r="E11" s="9" t="s">
        <v>83</v>
      </c>
      <c r="F11" s="10">
        <f>SUM(C22,C47,C89,C97,F23)</f>
        <v>24.29594315</v>
      </c>
      <c r="G11" s="3"/>
      <c r="I11" s="5" t="s">
        <v>88</v>
      </c>
      <c r="J11" s="13">
        <f>J10*(F5*(1.01))</f>
        <v>2776.26879</v>
      </c>
      <c r="L11" s="3"/>
      <c r="T11" s="40"/>
      <c r="U11" s="40"/>
      <c r="V11" s="41"/>
      <c r="Z11" s="28"/>
    </row>
    <row r="12">
      <c r="B12" s="25" t="s">
        <v>94</v>
      </c>
      <c r="C12" s="26">
        <v>2.72</v>
      </c>
      <c r="D12" s="9"/>
      <c r="E12" s="9" t="s">
        <v>95</v>
      </c>
      <c r="F12" s="13">
        <f>C70</f>
        <v>43444.30109</v>
      </c>
      <c r="G12" s="3"/>
      <c r="I12" s="5" t="s">
        <v>97</v>
      </c>
      <c r="J12" s="13">
        <f>J11/1000</f>
        <v>2.77626879</v>
      </c>
      <c r="L12" s="3"/>
      <c r="O12" s="44"/>
      <c r="T12" s="40"/>
      <c r="U12" s="40"/>
      <c r="V12" s="41"/>
      <c r="Z12" s="28"/>
    </row>
    <row r="13">
      <c r="B13" s="25" t="s">
        <v>99</v>
      </c>
      <c r="C13" s="26">
        <v>21.89</v>
      </c>
      <c r="D13" s="46"/>
      <c r="G13" s="3"/>
      <c r="L13" s="3"/>
      <c r="O13" s="47"/>
      <c r="T13" s="41"/>
      <c r="U13" s="40"/>
      <c r="V13" s="41"/>
    </row>
    <row r="14">
      <c r="B14" s="9"/>
      <c r="C14" s="48"/>
      <c r="D14" s="46"/>
      <c r="G14" s="3"/>
      <c r="L14" s="3"/>
      <c r="M14" s="49"/>
      <c r="T14" s="41"/>
      <c r="U14" s="41"/>
      <c r="V14" s="41"/>
    </row>
    <row r="15">
      <c r="B15" s="25" t="s">
        <v>105</v>
      </c>
      <c r="C15" s="26">
        <v>359.17</v>
      </c>
      <c r="D15" s="9"/>
      <c r="G15" s="3"/>
      <c r="L15" s="3"/>
      <c r="N15" s="8"/>
      <c r="O15" s="8"/>
      <c r="P15" s="8"/>
      <c r="Q15" s="8"/>
      <c r="S15" s="43"/>
      <c r="T15" s="18"/>
      <c r="U15" s="12"/>
      <c r="V15" s="50"/>
      <c r="W15" s="10"/>
      <c r="X15" s="10"/>
    </row>
    <row r="16">
      <c r="B16" s="9"/>
      <c r="C16" s="48"/>
      <c r="D16" s="9"/>
      <c r="G16" s="3"/>
      <c r="I16" s="9"/>
      <c r="L16" s="3"/>
      <c r="N16" s="15"/>
      <c r="O16" s="51"/>
      <c r="P16" s="51"/>
      <c r="Q16" s="24"/>
      <c r="S16" s="24"/>
      <c r="T16" s="18"/>
      <c r="U16" s="12"/>
      <c r="V16" s="50"/>
      <c r="W16" s="10"/>
      <c r="X16" s="10"/>
    </row>
    <row r="17">
      <c r="B17" s="52" t="s">
        <v>110</v>
      </c>
      <c r="C17" s="48"/>
      <c r="D17" s="9"/>
      <c r="E17" s="8" t="s">
        <v>111</v>
      </c>
      <c r="G17" s="3"/>
      <c r="I17" s="6"/>
      <c r="L17" s="3"/>
      <c r="N17" s="15"/>
      <c r="O17" s="51"/>
      <c r="P17" s="51"/>
      <c r="Q17" s="10"/>
      <c r="S17" s="24"/>
      <c r="T17" s="24"/>
      <c r="U17" s="35"/>
    </row>
    <row r="18">
      <c r="B18" s="25" t="s">
        <v>112</v>
      </c>
      <c r="C18" s="53">
        <v>0.0</v>
      </c>
      <c r="D18" s="9"/>
      <c r="E18" s="9" t="s">
        <v>0</v>
      </c>
      <c r="F18" s="11">
        <v>1.5</v>
      </c>
      <c r="G18" s="3"/>
      <c r="L18" s="3"/>
      <c r="O18" s="51"/>
      <c r="P18" s="51"/>
      <c r="R18" s="10"/>
      <c r="S18" s="51"/>
      <c r="T18" s="24"/>
      <c r="U18" s="35"/>
    </row>
    <row r="19">
      <c r="B19" s="25" t="s">
        <v>113</v>
      </c>
      <c r="C19" s="26">
        <v>40.5</v>
      </c>
      <c r="D19" s="9"/>
      <c r="E19" s="9" t="s">
        <v>2</v>
      </c>
      <c r="F19" s="11">
        <v>0.69</v>
      </c>
      <c r="G19" s="3"/>
      <c r="L19" s="3"/>
      <c r="O19" s="51"/>
      <c r="P19" s="51"/>
      <c r="R19" s="10"/>
      <c r="S19" s="51"/>
      <c r="T19" s="24"/>
      <c r="U19" s="35"/>
    </row>
    <row r="20">
      <c r="B20" s="25" t="s">
        <v>114</v>
      </c>
      <c r="C20" s="26">
        <v>0.11</v>
      </c>
      <c r="D20" s="9"/>
      <c r="E20" s="9" t="s">
        <v>115</v>
      </c>
      <c r="F20" s="11">
        <v>0.36</v>
      </c>
      <c r="G20" s="3"/>
      <c r="L20" s="3"/>
      <c r="O20" s="51"/>
      <c r="P20" s="51"/>
      <c r="R20" s="10"/>
      <c r="S20" s="51"/>
      <c r="T20" s="24"/>
      <c r="U20" s="35"/>
    </row>
    <row r="21">
      <c r="B21" s="25" t="s">
        <v>117</v>
      </c>
      <c r="C21" s="26">
        <v>2.47</v>
      </c>
      <c r="D21" s="9"/>
      <c r="G21" s="3"/>
      <c r="L21" s="3"/>
      <c r="O21" s="51"/>
      <c r="P21" s="51"/>
      <c r="R21" s="10"/>
      <c r="S21" s="51"/>
      <c r="T21" s="24"/>
      <c r="U21" s="35"/>
    </row>
    <row r="22">
      <c r="B22" s="25" t="s">
        <v>118</v>
      </c>
      <c r="C22" s="26">
        <f>(C10+C12)*C20</f>
        <v>2.3573</v>
      </c>
      <c r="D22" s="9"/>
      <c r="E22" s="9" t="s">
        <v>119</v>
      </c>
      <c r="F22" s="11">
        <f>SUM(F18:F20)</f>
        <v>2.55</v>
      </c>
      <c r="G22" s="3"/>
      <c r="L22" s="3"/>
      <c r="O22" s="51"/>
      <c r="P22" s="51"/>
      <c r="R22" s="10"/>
      <c r="S22" s="51"/>
      <c r="T22" s="24"/>
      <c r="U22" s="35"/>
    </row>
    <row r="23">
      <c r="B23" s="25" t="s">
        <v>120</v>
      </c>
      <c r="C23" s="26">
        <f>C21-C22+F24</f>
        <v>0.8027</v>
      </c>
      <c r="D23" s="9"/>
      <c r="E23" s="5" t="s">
        <v>121</v>
      </c>
      <c r="F23" s="7">
        <f>SUM(F18,F20)</f>
        <v>1.86</v>
      </c>
      <c r="G23" s="3"/>
      <c r="L23" s="3"/>
      <c r="O23" s="51"/>
      <c r="P23" s="51"/>
      <c r="R23" s="10"/>
      <c r="S23" s="51"/>
      <c r="T23" s="24"/>
      <c r="U23" s="35"/>
    </row>
    <row r="24">
      <c r="B24" s="25"/>
      <c r="C24" s="26"/>
      <c r="D24" s="9"/>
      <c r="E24" s="25" t="s">
        <v>122</v>
      </c>
      <c r="F24" s="14">
        <f>F22-F23</f>
        <v>0.69</v>
      </c>
      <c r="G24" s="3"/>
      <c r="L24" s="3"/>
      <c r="O24" s="51"/>
      <c r="P24" s="51"/>
      <c r="R24" s="10"/>
      <c r="S24" s="51"/>
      <c r="T24" s="24"/>
      <c r="U24" s="35"/>
    </row>
    <row r="25">
      <c r="A25" s="22" t="s">
        <v>123</v>
      </c>
      <c r="G25" s="3"/>
      <c r="H25" s="3"/>
      <c r="I25" s="3"/>
      <c r="J25" s="3"/>
      <c r="L25" s="3"/>
      <c r="N25" s="24"/>
      <c r="O25" s="51"/>
      <c r="P25" s="51"/>
      <c r="Q25" s="24"/>
      <c r="R25" s="10"/>
      <c r="S25" s="51"/>
      <c r="T25" s="24"/>
      <c r="U25" s="35"/>
    </row>
    <row r="26">
      <c r="B26" s="5" t="s">
        <v>124</v>
      </c>
      <c r="C26" s="55">
        <v>11021.6</v>
      </c>
      <c r="G26" s="3"/>
      <c r="H26" s="56" t="s">
        <v>125</v>
      </c>
      <c r="I26" s="57" t="s">
        <v>126</v>
      </c>
      <c r="J26" s="57" t="s">
        <v>127</v>
      </c>
      <c r="K26" s="58"/>
      <c r="L26" s="3"/>
      <c r="M26" s="8"/>
      <c r="N26" s="59"/>
      <c r="O26" s="24"/>
      <c r="P26" s="24"/>
      <c r="S26" s="24"/>
      <c r="T26" s="24"/>
      <c r="U26" s="35"/>
    </row>
    <row r="27">
      <c r="B27" s="5" t="s">
        <v>128</v>
      </c>
      <c r="C27" s="15">
        <v>0.23</v>
      </c>
      <c r="G27" s="3"/>
      <c r="H27" s="60" t="s">
        <v>31</v>
      </c>
      <c r="I27" s="61">
        <f>C23*F7</f>
        <v>0.8027</v>
      </c>
      <c r="J27" s="62">
        <f t="shared" ref="J27:J37" si="6">I27/$I$40</f>
        <v>0.02220695867</v>
      </c>
      <c r="K27" s="63"/>
      <c r="L27" s="3"/>
      <c r="M27" s="64"/>
      <c r="N27" s="24"/>
      <c r="O27" s="65"/>
      <c r="P27" s="65"/>
      <c r="R27" s="24"/>
      <c r="S27" s="59"/>
      <c r="T27" s="59"/>
      <c r="U27" s="66"/>
      <c r="V27" s="28"/>
    </row>
    <row r="28">
      <c r="B28" s="5" t="s">
        <v>129</v>
      </c>
      <c r="C28" s="5">
        <v>870.55</v>
      </c>
      <c r="G28" s="3"/>
      <c r="H28" s="60" t="s">
        <v>36</v>
      </c>
      <c r="I28" s="67">
        <f>C35*F7</f>
        <v>22.92464866</v>
      </c>
      <c r="J28" s="62">
        <f t="shared" si="6"/>
        <v>0.6342179213</v>
      </c>
      <c r="K28" s="63"/>
      <c r="L28" s="3"/>
      <c r="M28" s="64"/>
    </row>
    <row r="29">
      <c r="B29" s="5" t="s">
        <v>130</v>
      </c>
      <c r="C29" s="55">
        <v>12346.35</v>
      </c>
      <c r="G29" s="3"/>
      <c r="H29" s="60" t="s">
        <v>38</v>
      </c>
      <c r="I29" s="68">
        <f>C48*F7</f>
        <v>0</v>
      </c>
      <c r="J29" s="62">
        <f t="shared" si="6"/>
        <v>0</v>
      </c>
      <c r="K29" s="63"/>
      <c r="L29" s="3"/>
    </row>
    <row r="30">
      <c r="B30" s="5" t="s">
        <v>131</v>
      </c>
      <c r="C30" s="55">
        <v>3261.56</v>
      </c>
      <c r="G30" s="3"/>
      <c r="H30" s="60" t="s">
        <v>43</v>
      </c>
      <c r="I30" s="67">
        <f>C56*F7</f>
        <v>0.6104758429</v>
      </c>
      <c r="J30" s="62">
        <f t="shared" si="6"/>
        <v>0.01688901434</v>
      </c>
      <c r="K30" s="63"/>
      <c r="L30" s="3"/>
      <c r="M30" s="49"/>
      <c r="N30" s="10"/>
      <c r="Q30" s="17"/>
    </row>
    <row r="31">
      <c r="B31" s="5" t="s">
        <v>132</v>
      </c>
      <c r="C31" s="55">
        <v>6234.9</v>
      </c>
      <c r="G31" s="3"/>
      <c r="H31" s="60" t="s">
        <v>46</v>
      </c>
      <c r="I31" s="67">
        <f>C72*F7</f>
        <v>1.596552</v>
      </c>
      <c r="J31" s="62">
        <f t="shared" si="6"/>
        <v>0.04416913452</v>
      </c>
      <c r="K31" s="63"/>
      <c r="L31" s="3"/>
      <c r="M31" s="8"/>
      <c r="N31" s="8"/>
      <c r="O31" s="8"/>
      <c r="P31" s="8"/>
      <c r="Q31" s="8"/>
      <c r="R31" s="8"/>
      <c r="S31" s="8"/>
      <c r="T31" s="8"/>
      <c r="U31" s="8"/>
      <c r="V31" s="8"/>
      <c r="W31" s="8"/>
      <c r="X31" s="8"/>
      <c r="Y31" s="8"/>
      <c r="Z31" s="8"/>
      <c r="AA31" s="8"/>
      <c r="AB31" s="8"/>
    </row>
    <row r="32">
      <c r="B32" s="5" t="s">
        <v>133</v>
      </c>
      <c r="C32" s="15">
        <v>0.0129</v>
      </c>
      <c r="G32" s="3"/>
      <c r="H32" s="60" t="s">
        <v>48</v>
      </c>
      <c r="I32" s="61">
        <f>C77*F7</f>
        <v>0.2242025479</v>
      </c>
      <c r="J32" s="62">
        <f t="shared" si="6"/>
        <v>0.006202636996</v>
      </c>
      <c r="K32" s="63"/>
      <c r="L32" s="3"/>
      <c r="M32" s="8"/>
      <c r="N32" s="8"/>
      <c r="O32" s="8"/>
      <c r="P32" s="8"/>
      <c r="Q32" s="8"/>
      <c r="R32" s="8"/>
      <c r="S32" s="8"/>
      <c r="T32" s="8"/>
      <c r="U32" s="8"/>
      <c r="V32" s="8"/>
      <c r="W32" s="8"/>
      <c r="X32" s="8"/>
      <c r="Y32" s="8"/>
      <c r="Z32" s="8"/>
      <c r="AA32" s="8"/>
      <c r="AB32" s="8"/>
    </row>
    <row r="33">
      <c r="B33" s="5" t="s">
        <v>134</v>
      </c>
      <c r="C33" s="55">
        <f>C31*(1+C32)</f>
        <v>6315.33021</v>
      </c>
      <c r="G33" s="3"/>
      <c r="H33" s="60" t="s">
        <v>52</v>
      </c>
      <c r="I33" s="61">
        <f>C83*F7</f>
        <v>0.03381335721</v>
      </c>
      <c r="J33" s="62">
        <f t="shared" si="6"/>
        <v>0.0009354576133</v>
      </c>
      <c r="K33" s="63"/>
      <c r="L33" s="3"/>
      <c r="M33" s="8"/>
      <c r="N33" s="8"/>
      <c r="O33" s="8"/>
      <c r="P33" s="8"/>
      <c r="Q33" s="8"/>
      <c r="R33" s="8"/>
      <c r="S33" s="8"/>
      <c r="T33" s="8"/>
      <c r="U33" s="8"/>
      <c r="V33" s="8"/>
      <c r="W33" s="8"/>
      <c r="X33" s="8"/>
      <c r="Y33" s="8"/>
      <c r="Z33" s="8"/>
      <c r="AA33" s="8"/>
      <c r="AB33" s="8"/>
    </row>
    <row r="34">
      <c r="B34" s="5" t="s">
        <v>135</v>
      </c>
      <c r="C34" s="5">
        <f>'Emission Factors'!E15*1000</f>
        <v>3.63</v>
      </c>
      <c r="G34" s="3"/>
      <c r="H34" s="60" t="s">
        <v>54</v>
      </c>
      <c r="I34" s="61">
        <f>C90*F7</f>
        <v>0.041</v>
      </c>
      <c r="J34" s="62">
        <f t="shared" si="6"/>
        <v>0.001134278442</v>
      </c>
      <c r="K34" s="63"/>
      <c r="L34" s="3"/>
      <c r="N34" s="69"/>
      <c r="Q34" s="17"/>
      <c r="R34" s="17"/>
      <c r="S34" s="35"/>
      <c r="T34" s="18"/>
      <c r="U34" s="17"/>
      <c r="V34" s="35"/>
      <c r="W34" s="17"/>
      <c r="X34" s="35"/>
      <c r="Y34" s="10"/>
    </row>
    <row r="35">
      <c r="B35" s="5" t="s">
        <v>136</v>
      </c>
      <c r="C35" s="13">
        <f>(C33*C34)/1000</f>
        <v>22.92464866</v>
      </c>
      <c r="G35" s="3"/>
      <c r="H35" s="60" t="s">
        <v>57</v>
      </c>
      <c r="I35" s="67">
        <f>C98*F7</f>
        <v>0.07839425488</v>
      </c>
      <c r="J35" s="62">
        <f t="shared" si="6"/>
        <v>0.002168802764</v>
      </c>
      <c r="K35" s="63"/>
      <c r="L35" s="3"/>
      <c r="N35" s="69"/>
      <c r="Q35" s="17"/>
      <c r="R35" s="17"/>
      <c r="S35" s="35"/>
      <c r="T35" s="18"/>
      <c r="U35" s="17"/>
      <c r="V35" s="35"/>
      <c r="W35" s="17"/>
      <c r="X35" s="35"/>
      <c r="Y35" s="10"/>
    </row>
    <row r="36">
      <c r="G36" s="3"/>
      <c r="H36" s="60" t="s">
        <v>59</v>
      </c>
      <c r="I36" s="67">
        <f>J8*F7</f>
        <v>7.058272</v>
      </c>
      <c r="J36" s="62">
        <f t="shared" si="6"/>
        <v>0.195269409</v>
      </c>
      <c r="K36" s="63"/>
      <c r="L36" s="3"/>
      <c r="N36" s="69"/>
      <c r="Q36" s="17"/>
      <c r="R36" s="17"/>
      <c r="S36" s="35"/>
      <c r="T36" s="18"/>
      <c r="U36" s="17"/>
      <c r="V36" s="35"/>
      <c r="W36" s="17"/>
      <c r="X36" s="35"/>
      <c r="Y36" s="10"/>
    </row>
    <row r="37">
      <c r="A37" s="70" t="s">
        <v>137</v>
      </c>
      <c r="D37" s="10"/>
      <c r="G37" s="3"/>
      <c r="H37" s="60" t="s">
        <v>62</v>
      </c>
      <c r="I37" s="67">
        <f>J12*F7</f>
        <v>2.77626879</v>
      </c>
      <c r="J37" s="62">
        <f t="shared" si="6"/>
        <v>0.0768063863</v>
      </c>
      <c r="K37" s="63"/>
      <c r="L37" s="3"/>
      <c r="M37" s="21"/>
      <c r="N37" s="69"/>
      <c r="Q37" s="17"/>
      <c r="R37" s="17"/>
      <c r="S37" s="35"/>
      <c r="T37" s="18"/>
      <c r="U37" s="17"/>
      <c r="V37" s="35"/>
      <c r="W37" s="17"/>
      <c r="X37" s="35"/>
      <c r="Y37" s="10"/>
    </row>
    <row r="38">
      <c r="B38" s="52" t="s">
        <v>138</v>
      </c>
      <c r="C38" s="71" t="s">
        <v>139</v>
      </c>
      <c r="G38" s="3"/>
      <c r="H38" s="60"/>
      <c r="I38" s="68"/>
      <c r="J38" s="62"/>
      <c r="K38" s="63"/>
      <c r="L38" s="3"/>
      <c r="N38" s="69"/>
      <c r="P38" s="15"/>
      <c r="Q38" s="17"/>
      <c r="R38" s="17"/>
      <c r="S38" s="35"/>
      <c r="T38" s="18"/>
      <c r="U38" s="17"/>
      <c r="V38" s="35"/>
      <c r="W38" s="17"/>
      <c r="X38" s="35"/>
      <c r="Y38" s="10"/>
    </row>
    <row r="39">
      <c r="B39" s="52" t="s">
        <v>140</v>
      </c>
      <c r="C39" s="72">
        <v>1834.0</v>
      </c>
      <c r="D39" s="73"/>
      <c r="G39" s="3"/>
      <c r="H39" s="68"/>
      <c r="I39" s="68"/>
      <c r="J39" s="62"/>
      <c r="K39" s="63"/>
      <c r="L39" s="3"/>
      <c r="N39" s="69"/>
      <c r="P39" s="15"/>
      <c r="Q39" s="17"/>
      <c r="R39" s="17"/>
      <c r="S39" s="35"/>
      <c r="T39" s="18"/>
      <c r="U39" s="17"/>
      <c r="V39" s="35"/>
      <c r="W39" s="17"/>
      <c r="X39" s="35"/>
      <c r="Y39" s="10"/>
    </row>
    <row r="40">
      <c r="B40" s="52" t="s">
        <v>141</v>
      </c>
      <c r="C40" s="71" t="s">
        <v>142</v>
      </c>
      <c r="D40" s="19"/>
      <c r="G40" s="3"/>
      <c r="H40" s="60" t="s">
        <v>143</v>
      </c>
      <c r="I40" s="61">
        <f>SUM(I27:I38)</f>
        <v>36.14632745</v>
      </c>
      <c r="J40" s="62"/>
      <c r="K40" s="63"/>
      <c r="L40" s="3"/>
      <c r="M40" s="8"/>
      <c r="N40" s="28"/>
      <c r="O40" s="28"/>
      <c r="P40" s="28"/>
      <c r="Q40" s="28"/>
      <c r="R40" s="28"/>
      <c r="S40" s="66"/>
      <c r="T40" s="28"/>
      <c r="U40" s="74"/>
      <c r="V40" s="28"/>
      <c r="W40" s="74"/>
      <c r="X40" s="28"/>
      <c r="Y40" s="28"/>
      <c r="Z40" s="28"/>
      <c r="AA40" s="28"/>
      <c r="AB40" s="28"/>
    </row>
    <row r="41">
      <c r="B41" s="52" t="s">
        <v>144</v>
      </c>
      <c r="C41" s="71" t="s">
        <v>145</v>
      </c>
      <c r="G41" s="3"/>
      <c r="L41" s="3"/>
      <c r="N41" s="8"/>
      <c r="P41" s="8"/>
      <c r="Q41" s="8"/>
      <c r="R41" s="8"/>
      <c r="S41" s="8"/>
      <c r="T41" s="8"/>
      <c r="U41" s="8"/>
      <c r="V41" s="8"/>
      <c r="W41" s="8"/>
      <c r="X41" s="8"/>
      <c r="Y41" s="8"/>
      <c r="Z41" s="8"/>
      <c r="AA41" s="8"/>
      <c r="AB41" s="8"/>
    </row>
    <row r="42">
      <c r="B42" s="52" t="s">
        <v>146</v>
      </c>
      <c r="C42" s="29">
        <v>5096.12</v>
      </c>
      <c r="G42" s="3"/>
      <c r="L42" s="3"/>
      <c r="N42" s="8"/>
      <c r="P42" s="8"/>
      <c r="Q42" s="8"/>
      <c r="R42" s="8"/>
      <c r="S42" s="8"/>
      <c r="T42" s="8"/>
      <c r="U42" s="8"/>
      <c r="V42" s="8"/>
      <c r="W42" s="8"/>
      <c r="X42" s="8"/>
      <c r="Y42" s="8"/>
      <c r="Z42" s="8"/>
      <c r="AA42" s="8"/>
      <c r="AB42" s="8"/>
    </row>
    <row r="43">
      <c r="B43" s="25" t="s">
        <v>133</v>
      </c>
      <c r="C43" s="75">
        <v>0.0129</v>
      </c>
      <c r="G43" s="3"/>
      <c r="K43" s="63"/>
      <c r="L43" s="3"/>
      <c r="N43" s="55"/>
      <c r="O43" s="51"/>
      <c r="R43" s="24"/>
    </row>
    <row r="44">
      <c r="B44" s="25" t="s">
        <v>134</v>
      </c>
      <c r="C44" s="29">
        <f>C42*(1+C43)</f>
        <v>5161.859948</v>
      </c>
      <c r="G44" s="3"/>
      <c r="H44" s="2"/>
      <c r="K44" s="63"/>
      <c r="L44" s="3"/>
      <c r="N44" s="55"/>
      <c r="O44" s="51"/>
      <c r="R44" s="24"/>
    </row>
    <row r="45">
      <c r="B45" s="5" t="s">
        <v>147</v>
      </c>
      <c r="C45" s="5">
        <f>'Emission Factors'!E14*1000</f>
        <v>3.87</v>
      </c>
      <c r="G45" s="3"/>
      <c r="H45" s="2"/>
      <c r="K45" s="63"/>
      <c r="L45" s="3"/>
      <c r="N45" s="55"/>
      <c r="O45" s="51"/>
      <c r="R45" s="24"/>
    </row>
    <row r="46">
      <c r="B46" s="5" t="s">
        <v>148</v>
      </c>
      <c r="C46" s="13">
        <f>(C45*C44)/1000</f>
        <v>19.976398</v>
      </c>
      <c r="D46" s="10"/>
      <c r="G46" s="3"/>
      <c r="L46" s="3"/>
      <c r="N46" s="24"/>
      <c r="O46" s="51"/>
    </row>
    <row r="47">
      <c r="B47" s="25" t="s">
        <v>118</v>
      </c>
      <c r="C47" s="13">
        <f>C46</f>
        <v>19.976398</v>
      </c>
      <c r="G47" s="3"/>
      <c r="L47" s="3"/>
      <c r="M47" s="8"/>
      <c r="N47" s="59"/>
    </row>
    <row r="48">
      <c r="B48" s="25" t="s">
        <v>149</v>
      </c>
      <c r="C48" s="13">
        <f>C46-C47</f>
        <v>0</v>
      </c>
      <c r="G48" s="3"/>
      <c r="L48" s="3"/>
      <c r="M48" s="8"/>
      <c r="N48" s="59"/>
    </row>
    <row r="49">
      <c r="G49" s="3"/>
      <c r="H49" s="76"/>
      <c r="I49" s="8"/>
      <c r="J49" s="8"/>
      <c r="L49" s="3"/>
    </row>
    <row r="50">
      <c r="A50" s="70" t="s">
        <v>150</v>
      </c>
      <c r="G50" s="3"/>
      <c r="H50" s="2"/>
      <c r="J50" s="77"/>
      <c r="L50" s="3"/>
    </row>
    <row r="51">
      <c r="B51" s="5" t="s">
        <v>151</v>
      </c>
      <c r="C51" s="55">
        <v>58.32</v>
      </c>
      <c r="G51" s="3"/>
      <c r="H51" s="2"/>
      <c r="J51" s="77"/>
      <c r="L51" s="3"/>
    </row>
    <row r="52">
      <c r="B52" s="5" t="s">
        <v>152</v>
      </c>
      <c r="C52" s="55">
        <v>161.15</v>
      </c>
      <c r="G52" s="3"/>
      <c r="H52" s="2"/>
      <c r="J52" s="77"/>
      <c r="L52" s="3"/>
    </row>
    <row r="53">
      <c r="B53" s="5" t="s">
        <v>133</v>
      </c>
      <c r="C53" s="15">
        <v>0.0129</v>
      </c>
      <c r="G53" s="3"/>
      <c r="H53" s="2"/>
      <c r="J53" s="77"/>
      <c r="L53" s="3"/>
    </row>
    <row r="54">
      <c r="B54" s="5" t="s">
        <v>134</v>
      </c>
      <c r="C54" s="55">
        <f>C52*(1+C53)</f>
        <v>163.228835</v>
      </c>
      <c r="G54" s="3"/>
      <c r="H54" s="2"/>
      <c r="J54" s="77"/>
      <c r="L54" s="3"/>
    </row>
    <row r="55">
      <c r="B55" s="5" t="s">
        <v>153</v>
      </c>
      <c r="C55" s="5">
        <f>'Emission Factors'!E16*1000</f>
        <v>3.74</v>
      </c>
      <c r="G55" s="3"/>
      <c r="H55" s="2"/>
      <c r="J55" s="77"/>
      <c r="L55" s="3"/>
    </row>
    <row r="56">
      <c r="B56" s="5" t="s">
        <v>154</v>
      </c>
      <c r="C56" s="13">
        <f>(C55*C54)/1000</f>
        <v>0.6104758429</v>
      </c>
      <c r="G56" s="3"/>
      <c r="H56" s="2"/>
      <c r="J56" s="77"/>
      <c r="L56" s="3"/>
    </row>
    <row r="57">
      <c r="D57" s="10"/>
      <c r="G57" s="3"/>
      <c r="H57" s="2"/>
      <c r="J57" s="77"/>
      <c r="L57" s="3"/>
    </row>
    <row r="58">
      <c r="A58" s="22" t="s">
        <v>155</v>
      </c>
      <c r="G58" s="3"/>
      <c r="H58" s="2"/>
      <c r="J58" s="77"/>
      <c r="L58" s="3"/>
    </row>
    <row r="59">
      <c r="B59" s="46" t="s">
        <v>156</v>
      </c>
      <c r="C59" s="78">
        <v>51332.49</v>
      </c>
      <c r="G59" s="3"/>
      <c r="H59" s="2"/>
      <c r="J59" s="77"/>
      <c r="L59" s="3"/>
    </row>
    <row r="60">
      <c r="B60" s="46" t="s">
        <v>157</v>
      </c>
      <c r="C60" s="79">
        <v>0.02</v>
      </c>
      <c r="G60" s="3"/>
      <c r="H60" s="2"/>
      <c r="J60" s="77"/>
      <c r="L60" s="3"/>
    </row>
    <row r="61">
      <c r="B61" s="46" t="s">
        <v>158</v>
      </c>
      <c r="C61" s="80">
        <f>C59*(1+C60)</f>
        <v>52359.1398</v>
      </c>
      <c r="G61" s="3"/>
      <c r="H61" s="2"/>
      <c r="J61" s="77"/>
      <c r="L61" s="3"/>
    </row>
    <row r="62">
      <c r="B62" s="46" t="s">
        <v>159</v>
      </c>
      <c r="C62" s="81">
        <v>9212.0</v>
      </c>
      <c r="G62" s="3"/>
      <c r="H62" s="2"/>
      <c r="J62" s="77"/>
      <c r="L62" s="3"/>
    </row>
    <row r="63">
      <c r="B63" s="46" t="s">
        <v>160</v>
      </c>
      <c r="C63" s="81">
        <v>31.0</v>
      </c>
      <c r="G63" s="3"/>
      <c r="J63" s="76"/>
      <c r="L63" s="3"/>
    </row>
    <row r="64">
      <c r="B64" s="46" t="s">
        <v>161</v>
      </c>
      <c r="C64" s="80">
        <f>C62/C63</f>
        <v>297.1612903</v>
      </c>
      <c r="G64" s="3"/>
      <c r="H64" s="2"/>
      <c r="J64" s="76"/>
      <c r="L64" s="3"/>
    </row>
    <row r="65">
      <c r="B65" s="25" t="s">
        <v>162</v>
      </c>
      <c r="C65" s="11">
        <v>30.0</v>
      </c>
      <c r="G65" s="3"/>
      <c r="L65" s="3"/>
    </row>
    <row r="66">
      <c r="B66" s="46" t="s">
        <v>163</v>
      </c>
      <c r="C66" s="80">
        <f>(C64*C65)</f>
        <v>8914.83871</v>
      </c>
      <c r="G66" s="3"/>
      <c r="L66" s="3"/>
    </row>
    <row r="67">
      <c r="B67" s="46" t="s">
        <v>164</v>
      </c>
      <c r="C67" s="80">
        <f>C61-C66</f>
        <v>43444.30109</v>
      </c>
      <c r="G67" s="3"/>
      <c r="L67" s="3"/>
    </row>
    <row r="68">
      <c r="B68" s="5" t="s">
        <v>165</v>
      </c>
      <c r="C68" s="82">
        <f>'Emission Factors'!E10*1000</f>
        <v>0.5249006883</v>
      </c>
      <c r="G68" s="3"/>
      <c r="I68" s="15"/>
      <c r="L68" s="3"/>
    </row>
    <row r="69">
      <c r="B69" s="5" t="s">
        <v>166</v>
      </c>
      <c r="C69" s="13">
        <f>(C68*C67)/1000</f>
        <v>22.80394355</v>
      </c>
      <c r="G69" s="3"/>
      <c r="L69" s="3"/>
    </row>
    <row r="70">
      <c r="B70" s="5" t="s">
        <v>167</v>
      </c>
      <c r="C70" s="13">
        <f>C67</f>
        <v>43444.30109</v>
      </c>
      <c r="G70" s="3"/>
      <c r="L70" s="3"/>
    </row>
    <row r="71">
      <c r="B71" s="5" t="s">
        <v>168</v>
      </c>
      <c r="C71" s="83">
        <f>'Emission Factors'!E11*1000</f>
        <v>0.03674940003</v>
      </c>
      <c r="G71" s="3"/>
      <c r="L71" s="3"/>
    </row>
    <row r="72">
      <c r="B72" s="5" t="s">
        <v>149</v>
      </c>
      <c r="C72" s="13">
        <f>(C71*C70)/1000</f>
        <v>1.596552</v>
      </c>
      <c r="G72" s="3"/>
      <c r="L72" s="3"/>
    </row>
    <row r="73">
      <c r="G73" s="3"/>
      <c r="L73" s="3"/>
    </row>
    <row r="74">
      <c r="A74" s="22" t="s">
        <v>169</v>
      </c>
      <c r="G74" s="3"/>
      <c r="L74" s="3"/>
    </row>
    <row r="75">
      <c r="B75" s="5" t="s">
        <v>170</v>
      </c>
      <c r="C75" s="24">
        <v>116090.0</v>
      </c>
      <c r="G75" s="3"/>
      <c r="L75" s="3"/>
    </row>
    <row r="76">
      <c r="B76" s="5" t="s">
        <v>171</v>
      </c>
      <c r="C76" s="5">
        <v>1.931282177E-6</v>
      </c>
      <c r="G76" s="3"/>
      <c r="L76" s="3"/>
    </row>
    <row r="77">
      <c r="B77" s="5" t="s">
        <v>172</v>
      </c>
      <c r="C77" s="84">
        <f>C76*C75</f>
        <v>0.2242025479</v>
      </c>
      <c r="G77" s="3"/>
      <c r="L77" s="3"/>
    </row>
    <row r="78">
      <c r="G78" s="3"/>
      <c r="L78" s="3"/>
    </row>
    <row r="79">
      <c r="A79" s="22" t="s">
        <v>173</v>
      </c>
      <c r="G79" s="3"/>
      <c r="L79" s="3"/>
    </row>
    <row r="80">
      <c r="B80" s="46" t="s">
        <v>174</v>
      </c>
      <c r="C80" s="55">
        <v>19418.57</v>
      </c>
      <c r="G80" s="3"/>
      <c r="L80" s="3"/>
    </row>
    <row r="81">
      <c r="B81" s="46" t="s">
        <v>175</v>
      </c>
      <c r="C81" s="55">
        <v>73596.38</v>
      </c>
      <c r="G81" s="3"/>
      <c r="L81" s="3"/>
    </row>
    <row r="82">
      <c r="B82" s="5" t="s">
        <v>176</v>
      </c>
      <c r="C82" s="85">
        <v>0.001741289766</v>
      </c>
      <c r="G82" s="3"/>
      <c r="L82" s="3"/>
    </row>
    <row r="83">
      <c r="B83" s="5" t="s">
        <v>177</v>
      </c>
      <c r="C83" s="86">
        <f>(C82*C80)/1000</f>
        <v>0.03381335721</v>
      </c>
      <c r="D83" s="87"/>
      <c r="G83" s="3"/>
      <c r="L83" s="3"/>
    </row>
    <row r="84">
      <c r="D84" s="88"/>
      <c r="G84" s="3"/>
      <c r="L84" s="3"/>
    </row>
    <row r="85">
      <c r="A85" s="22" t="s">
        <v>178</v>
      </c>
      <c r="C85" s="87"/>
      <c r="D85" s="87"/>
      <c r="G85" s="3"/>
      <c r="L85" s="3"/>
    </row>
    <row r="86">
      <c r="B86" s="25" t="s">
        <v>179</v>
      </c>
      <c r="C86" s="89">
        <v>0.057</v>
      </c>
      <c r="D86" s="87"/>
      <c r="G86" s="3"/>
      <c r="L86" s="3"/>
    </row>
    <row r="87">
      <c r="B87" s="25" t="s">
        <v>180</v>
      </c>
      <c r="C87" s="89">
        <v>0.041</v>
      </c>
      <c r="D87" s="87"/>
      <c r="G87" s="3"/>
      <c r="L87" s="3"/>
    </row>
    <row r="88">
      <c r="B88" s="25" t="s">
        <v>119</v>
      </c>
      <c r="C88" s="89">
        <v>0.098</v>
      </c>
      <c r="G88" s="3"/>
      <c r="L88" s="3"/>
    </row>
    <row r="89">
      <c r="B89" s="25" t="s">
        <v>118</v>
      </c>
      <c r="C89" s="90">
        <f>C86</f>
        <v>0.057</v>
      </c>
      <c r="G89" s="3"/>
      <c r="L89" s="3"/>
    </row>
    <row r="90">
      <c r="B90" s="25" t="s">
        <v>149</v>
      </c>
      <c r="C90" s="90">
        <f>C88-C86</f>
        <v>0.041</v>
      </c>
      <c r="G90" s="3"/>
      <c r="L90" s="3"/>
    </row>
    <row r="91">
      <c r="A91" s="70" t="s">
        <v>181</v>
      </c>
      <c r="G91" s="3"/>
      <c r="L91" s="3"/>
    </row>
    <row r="92">
      <c r="A92" s="2"/>
      <c r="B92" s="25" t="s">
        <v>182</v>
      </c>
      <c r="C92" s="91">
        <v>0.04524515415</v>
      </c>
      <c r="G92" s="3"/>
      <c r="L92" s="3"/>
    </row>
    <row r="93">
      <c r="B93" s="25" t="s">
        <v>183</v>
      </c>
      <c r="C93" s="91">
        <v>0.0123181057</v>
      </c>
      <c r="G93" s="3"/>
      <c r="L93" s="3"/>
    </row>
    <row r="94">
      <c r="B94" s="25" t="s">
        <v>184</v>
      </c>
      <c r="C94" s="91">
        <v>0.06607614918</v>
      </c>
      <c r="G94" s="3"/>
      <c r="L94" s="3"/>
    </row>
    <row r="95">
      <c r="B95" s="5"/>
      <c r="C95" s="21"/>
      <c r="G95" s="3"/>
      <c r="L95" s="3"/>
    </row>
    <row r="96">
      <c r="B96" s="5" t="s">
        <v>119</v>
      </c>
      <c r="C96" s="92">
        <f>SUM(C92,C93,C94)</f>
        <v>0.123639409</v>
      </c>
      <c r="G96" s="3"/>
      <c r="L96" s="3"/>
    </row>
    <row r="97">
      <c r="B97" s="25" t="s">
        <v>118</v>
      </c>
      <c r="C97" s="21">
        <f>C92</f>
        <v>0.04524515415</v>
      </c>
      <c r="G97" s="3"/>
      <c r="L97" s="3"/>
    </row>
    <row r="98">
      <c r="B98" s="25" t="s">
        <v>149</v>
      </c>
      <c r="C98" s="21">
        <f>C96-C97</f>
        <v>0.07839425488</v>
      </c>
      <c r="G98" s="3"/>
      <c r="L98" s="3"/>
    </row>
    <row r="99">
      <c r="G99" s="3"/>
      <c r="L99" s="3"/>
    </row>
    <row r="100">
      <c r="G100" s="3"/>
      <c r="L100" s="3"/>
    </row>
    <row r="101">
      <c r="G101" s="3"/>
      <c r="L101" s="3"/>
    </row>
    <row r="102">
      <c r="G102" s="3"/>
      <c r="L102" s="3"/>
    </row>
    <row r="103">
      <c r="G103" s="3"/>
      <c r="L103" s="3"/>
    </row>
    <row r="104">
      <c r="G104" s="3"/>
      <c r="L104" s="3"/>
    </row>
    <row r="105">
      <c r="G105" s="3"/>
      <c r="L105" s="3"/>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19.0"/>
    <col customWidth="1" min="3" max="3" width="19.63"/>
    <col customWidth="1" min="4" max="4" width="18.75"/>
    <col customWidth="1" min="5" max="5" width="20.38"/>
  </cols>
  <sheetData>
    <row r="1">
      <c r="A1" s="4" t="s">
        <v>1</v>
      </c>
    </row>
    <row r="2">
      <c r="A2" s="6" t="s">
        <v>5</v>
      </c>
      <c r="B2" s="6" t="s">
        <v>6</v>
      </c>
      <c r="C2" s="6" t="s">
        <v>7</v>
      </c>
      <c r="D2" s="6" t="s">
        <v>8</v>
      </c>
      <c r="E2" s="6" t="s">
        <v>9</v>
      </c>
      <c r="F2" s="6" t="s">
        <v>11</v>
      </c>
    </row>
    <row r="3">
      <c r="A3" s="9" t="s">
        <v>13</v>
      </c>
      <c r="B3" s="9" t="s">
        <v>16</v>
      </c>
      <c r="C3" s="11">
        <v>1.35156E-4</v>
      </c>
      <c r="D3" s="9" t="s">
        <v>20</v>
      </c>
      <c r="E3" s="14">
        <f t="shared" ref="E3:E6" si="1">C3</f>
        <v>0.000135156</v>
      </c>
      <c r="F3" s="23" t="s">
        <v>25</v>
      </c>
    </row>
    <row r="4">
      <c r="A4" s="9" t="s">
        <v>35</v>
      </c>
      <c r="B4" s="9" t="s">
        <v>16</v>
      </c>
      <c r="C4" s="11">
        <v>1.1263E-4</v>
      </c>
      <c r="D4" s="9" t="s">
        <v>20</v>
      </c>
      <c r="E4" s="14">
        <f t="shared" si="1"/>
        <v>0.00011263</v>
      </c>
      <c r="F4" s="23" t="s">
        <v>25</v>
      </c>
    </row>
    <row r="5">
      <c r="A5" s="9" t="s">
        <v>39</v>
      </c>
      <c r="B5" s="9" t="s">
        <v>40</v>
      </c>
      <c r="C5" s="11">
        <v>7.879952768E-5</v>
      </c>
      <c r="D5" s="9" t="s">
        <v>20</v>
      </c>
      <c r="E5" s="14">
        <f t="shared" si="1"/>
        <v>0.00007879952768</v>
      </c>
      <c r="F5" s="5" t="s">
        <v>42</v>
      </c>
    </row>
    <row r="6">
      <c r="A6" s="9" t="s">
        <v>47</v>
      </c>
      <c r="B6" s="9" t="s">
        <v>40</v>
      </c>
      <c r="C6" s="11">
        <v>6.44927E-5</v>
      </c>
      <c r="D6" s="9" t="s">
        <v>20</v>
      </c>
      <c r="E6" s="14">
        <f t="shared" si="1"/>
        <v>0.0000644927</v>
      </c>
      <c r="F6" s="5" t="s">
        <v>42</v>
      </c>
    </row>
    <row r="7">
      <c r="A7" s="9" t="s">
        <v>50</v>
      </c>
      <c r="B7" s="9" t="s">
        <v>51</v>
      </c>
      <c r="C7" s="11">
        <v>0.89272</v>
      </c>
      <c r="D7" s="14">
        <v>0.001200260388</v>
      </c>
      <c r="E7" s="14">
        <f>D7+C7</f>
        <v>0.8939202604</v>
      </c>
      <c r="F7" s="5" t="s">
        <v>64</v>
      </c>
    </row>
    <row r="8">
      <c r="A8" s="9" t="s">
        <v>65</v>
      </c>
      <c r="B8" s="9" t="s">
        <v>66</v>
      </c>
      <c r="C8" s="11">
        <v>5.108934662E-4</v>
      </c>
      <c r="D8" s="9" t="s">
        <v>20</v>
      </c>
      <c r="E8" s="14">
        <f t="shared" ref="E8:E17" si="2">C8</f>
        <v>0.0005108934662</v>
      </c>
      <c r="F8" s="5" t="s">
        <v>69</v>
      </c>
    </row>
    <row r="9">
      <c r="A9" s="9" t="s">
        <v>70</v>
      </c>
      <c r="B9" s="9" t="s">
        <v>66</v>
      </c>
      <c r="C9" s="11">
        <f>0.01004415071/1000</f>
        <v>0.00001004415071</v>
      </c>
      <c r="D9" s="9" t="s">
        <v>20</v>
      </c>
      <c r="E9" s="14">
        <f t="shared" si="2"/>
        <v>0.00001004415071</v>
      </c>
      <c r="F9" s="5" t="s">
        <v>69</v>
      </c>
    </row>
    <row r="10">
      <c r="A10" s="9" t="s">
        <v>76</v>
      </c>
      <c r="B10" s="9" t="s">
        <v>66</v>
      </c>
      <c r="C10" s="11">
        <v>5.249006883E-4</v>
      </c>
      <c r="D10" s="9" t="s">
        <v>20</v>
      </c>
      <c r="E10" s="14">
        <f t="shared" si="2"/>
        <v>0.0005249006883</v>
      </c>
      <c r="F10" s="5" t="s">
        <v>69</v>
      </c>
    </row>
    <row r="11">
      <c r="A11" s="9" t="s">
        <v>79</v>
      </c>
      <c r="B11" s="9" t="s">
        <v>66</v>
      </c>
      <c r="C11" s="11">
        <f>0.03674940003/1000</f>
        <v>0.00003674940003</v>
      </c>
      <c r="D11" s="9" t="s">
        <v>20</v>
      </c>
      <c r="E11" s="14">
        <f t="shared" si="2"/>
        <v>0.00003674940003</v>
      </c>
      <c r="F11" s="5" t="s">
        <v>69</v>
      </c>
    </row>
    <row r="12">
      <c r="A12" s="9" t="s">
        <v>85</v>
      </c>
      <c r="B12" s="9" t="s">
        <v>86</v>
      </c>
      <c r="C12" s="11">
        <v>1.034335159E-4</v>
      </c>
      <c r="D12" s="9" t="s">
        <v>20</v>
      </c>
      <c r="E12" s="14">
        <f t="shared" si="2"/>
        <v>0.0001034335159</v>
      </c>
      <c r="F12" s="25" t="s">
        <v>89</v>
      </c>
    </row>
    <row r="13">
      <c r="A13" s="9" t="s">
        <v>90</v>
      </c>
      <c r="B13" s="9" t="s">
        <v>91</v>
      </c>
      <c r="C13" s="11">
        <v>0.001518790827</v>
      </c>
      <c r="D13" s="9" t="s">
        <v>20</v>
      </c>
      <c r="E13" s="14">
        <f t="shared" si="2"/>
        <v>0.001518790827</v>
      </c>
      <c r="F13" s="45" t="s">
        <v>93</v>
      </c>
    </row>
    <row r="14">
      <c r="A14" s="9" t="s">
        <v>100</v>
      </c>
      <c r="B14" s="9" t="s">
        <v>101</v>
      </c>
      <c r="C14" s="11">
        <v>0.00387</v>
      </c>
      <c r="D14" s="9" t="s">
        <v>20</v>
      </c>
      <c r="E14" s="14">
        <f t="shared" si="2"/>
        <v>0.00387</v>
      </c>
      <c r="F14" s="23" t="s">
        <v>25</v>
      </c>
    </row>
    <row r="15">
      <c r="A15" s="9" t="s">
        <v>103</v>
      </c>
      <c r="B15" s="9" t="s">
        <v>101</v>
      </c>
      <c r="C15" s="11">
        <v>0.00363</v>
      </c>
      <c r="D15" s="9" t="s">
        <v>20</v>
      </c>
      <c r="E15" s="14">
        <f t="shared" si="2"/>
        <v>0.00363</v>
      </c>
      <c r="F15" s="23" t="s">
        <v>25</v>
      </c>
    </row>
    <row r="16">
      <c r="A16" s="9" t="s">
        <v>106</v>
      </c>
      <c r="B16" s="9" t="s">
        <v>101</v>
      </c>
      <c r="C16" s="11">
        <v>0.00374</v>
      </c>
      <c r="D16" s="9" t="s">
        <v>20</v>
      </c>
      <c r="E16" s="14">
        <f t="shared" si="2"/>
        <v>0.00374</v>
      </c>
      <c r="F16" s="23" t="s">
        <v>25</v>
      </c>
    </row>
    <row r="17">
      <c r="A17" s="9" t="s">
        <v>107</v>
      </c>
      <c r="B17" s="9" t="s">
        <v>108</v>
      </c>
      <c r="C17" s="11">
        <v>1.741289766E-6</v>
      </c>
      <c r="D17" s="9" t="s">
        <v>20</v>
      </c>
      <c r="E17" s="14">
        <f t="shared" si="2"/>
        <v>0.000001741289766</v>
      </c>
      <c r="F17" s="54" t="s">
        <v>109</v>
      </c>
    </row>
    <row r="21">
      <c r="D21" s="5" t="s">
        <v>116</v>
      </c>
    </row>
  </sheetData>
  <mergeCells count="1">
    <mergeCell ref="A1:F1"/>
  </mergeCells>
  <hyperlinks>
    <hyperlink r:id="rId1" ref="F3"/>
    <hyperlink r:id="rId2" ref="F4"/>
    <hyperlink r:id="rId3" ref="F13"/>
    <hyperlink r:id="rId4" ref="F14"/>
    <hyperlink r:id="rId5" ref="F15"/>
    <hyperlink r:id="rId6" ref="F16"/>
    <hyperlink r:id="rId7" ref="F17"/>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3.88"/>
  </cols>
  <sheetData>
    <row r="2">
      <c r="B2" s="7" t="str">
        <f>'PP7 Summary'!E5</f>
        <v>Production Operating Hours</v>
      </c>
      <c r="C2" s="10">
        <f>'PP7 Summary'!F5</f>
        <v>3307.6</v>
      </c>
    </row>
    <row r="3">
      <c r="B3" s="7" t="str">
        <f>'PP7 Summary'!I5</f>
        <v>Total Biomass Consumed (MT)</v>
      </c>
      <c r="C3" s="13">
        <f>'PP7 Summary'!J5</f>
        <v>116.09</v>
      </c>
    </row>
    <row r="4">
      <c r="B4" s="7" t="str">
        <f>'PP7 Summary'!B19</f>
        <v>Linear Feet Consumed</v>
      </c>
      <c r="C4" s="10">
        <f>'PP7 Summary'!C19</f>
        <v>40.5</v>
      </c>
    </row>
    <row r="5">
      <c r="A5" s="5" t="s">
        <v>24</v>
      </c>
      <c r="B5" s="7" t="str">
        <f>'PP7 Summary'!B33</f>
        <v>Uncertainty Adjusted Total</v>
      </c>
      <c r="C5" s="13">
        <f>'PP7 Summary'!C33</f>
        <v>6315.33021</v>
      </c>
    </row>
    <row r="6">
      <c r="A6" s="5" t="s">
        <v>27</v>
      </c>
      <c r="B6" s="7" t="str">
        <f>'PP7 Summary'!B44</f>
        <v>Uncertainty Adjusted Total</v>
      </c>
      <c r="C6" s="13">
        <f>'PP7 Summary'!C44</f>
        <v>5161.859948</v>
      </c>
    </row>
    <row r="7">
      <c r="A7" s="5" t="s">
        <v>28</v>
      </c>
      <c r="B7" s="7" t="str">
        <f>'PP7 Summary'!B54</f>
        <v>Uncertainty Adjusted Total</v>
      </c>
    </row>
    <row r="10">
      <c r="B10" s="7" t="str">
        <f>'PP7 Summary'!H27</f>
        <v>Biomass Transport</v>
      </c>
      <c r="C10" s="21">
        <f>'PP7 Summary'!I27</f>
        <v>0.8027</v>
      </c>
    </row>
    <row r="11">
      <c r="B11" s="7" t="str">
        <f>'PP7 Summary'!H28</f>
        <v>Propane</v>
      </c>
      <c r="C11" s="13">
        <f>'PP7 Summary'!I28</f>
        <v>22.92464866</v>
      </c>
    </row>
    <row r="12">
      <c r="B12" s="7" t="str">
        <f>'PP7 Summary'!H29</f>
        <v>Diesel</v>
      </c>
      <c r="C12" s="7">
        <f>'PP7 Summary'!I29</f>
        <v>0</v>
      </c>
    </row>
    <row r="13">
      <c r="B13" s="7" t="str">
        <f>'PP7 Summary'!H30</f>
        <v>Gasoline</v>
      </c>
      <c r="C13" s="13">
        <f>'PP7 Summary'!I30</f>
        <v>0.6104758429</v>
      </c>
    </row>
    <row r="14">
      <c r="B14" s="7" t="str">
        <f>'PP7 Summary'!H31</f>
        <v>Electricity</v>
      </c>
      <c r="C14" s="13">
        <f>'PP7 Summary'!I31</f>
        <v>1.596552</v>
      </c>
    </row>
    <row r="15">
      <c r="B15" s="7" t="str">
        <f>'PP7 Summary'!H32</f>
        <v>Tailgas</v>
      </c>
      <c r="C15" s="21">
        <f>'PP7 Summary'!I32</f>
        <v>0.2242025479</v>
      </c>
    </row>
    <row r="16">
      <c r="B16" s="7" t="str">
        <f>'PP7 Summary'!H33</f>
        <v>Water</v>
      </c>
      <c r="C16" s="21">
        <f>'PP7 Summary'!I33</f>
        <v>0.03381335721</v>
      </c>
    </row>
    <row r="17">
      <c r="B17" s="7" t="str">
        <f>'PP7 Summary'!H34</f>
        <v>Consumables Delivery</v>
      </c>
      <c r="C17" s="21">
        <f>'PP7 Summary'!I34</f>
        <v>0.041</v>
      </c>
    </row>
    <row r="18">
      <c r="B18" s="7" t="str">
        <f>'PP7 Summary'!H35</f>
        <v>Waste Disposal</v>
      </c>
      <c r="C18" s="13">
        <f>'PP7 Summary'!I35</f>
        <v>0.07839425488</v>
      </c>
    </row>
    <row r="19">
      <c r="B19" s="7" t="str">
        <f>'PP7 Summary'!H36</f>
        <v>Capital Goods EE</v>
      </c>
      <c r="C19" s="13">
        <f>'PP7 Summary'!I36</f>
        <v>7.058272</v>
      </c>
    </row>
    <row r="20">
      <c r="B20" s="7" t="str">
        <f>'PP7 Summary'!H37</f>
        <v>SP+C EE</v>
      </c>
      <c r="C20" s="13">
        <f>'PP7 Summary'!I37</f>
        <v>2.77626879</v>
      </c>
    </row>
    <row r="21">
      <c r="B21" s="7" t="str">
        <f>'PP7 Summary'!H40</f>
        <v>Total</v>
      </c>
      <c r="C21" s="21">
        <f>'PP7 Summary'!I40</f>
        <v>36.14632745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39.5"/>
  </cols>
  <sheetData>
    <row r="1">
      <c r="A1" s="5" t="s">
        <v>4</v>
      </c>
      <c r="B1" s="10">
        <f>'PP7 Summary'!F5</f>
        <v>3307.6</v>
      </c>
    </row>
    <row r="2">
      <c r="A2" s="5" t="s">
        <v>22</v>
      </c>
      <c r="B2" s="13">
        <f>'PP7 Summary'!J5</f>
        <v>116.09</v>
      </c>
    </row>
    <row r="3">
      <c r="A3" s="5" t="s">
        <v>23</v>
      </c>
      <c r="B3" s="17">
        <f>'PP7 Summary'!N2</f>
        <v>16899</v>
      </c>
    </row>
    <row r="4">
      <c r="A4" s="5" t="s">
        <v>26</v>
      </c>
      <c r="B4" s="18">
        <f>'PP7 Summary'!P2</f>
        <v>0.5052</v>
      </c>
    </row>
    <row r="5">
      <c r="A5" s="5" t="s">
        <v>29</v>
      </c>
      <c r="B5" s="17">
        <f>'PP7 Summary'!N3</f>
        <v>10309</v>
      </c>
    </row>
    <row r="6">
      <c r="A6" s="5" t="s">
        <v>30</v>
      </c>
      <c r="B6" s="18">
        <f>'PP7 Summary'!P3</f>
        <v>0.8661</v>
      </c>
    </row>
    <row r="7">
      <c r="A7" s="5" t="s">
        <v>31</v>
      </c>
      <c r="B7" s="21">
        <f>'PP7 Summary'!I27</f>
        <v>0.8027</v>
      </c>
    </row>
    <row r="8">
      <c r="A8" s="5" t="s">
        <v>36</v>
      </c>
      <c r="B8" s="13">
        <f>'PP7 Summary'!I28</f>
        <v>22.92464866</v>
      </c>
    </row>
    <row r="9">
      <c r="A9" s="5" t="s">
        <v>38</v>
      </c>
      <c r="B9" s="7">
        <f>'PP7 Summary'!I29</f>
        <v>0</v>
      </c>
    </row>
    <row r="10">
      <c r="A10" s="5" t="s">
        <v>43</v>
      </c>
      <c r="B10" s="13">
        <f>'PP7 Summary'!I30</f>
        <v>0.6104758429</v>
      </c>
    </row>
    <row r="11">
      <c r="A11" s="5" t="s">
        <v>46</v>
      </c>
      <c r="B11" s="13">
        <f>'PP7 Summary'!I31</f>
        <v>1.596552</v>
      </c>
    </row>
    <row r="12">
      <c r="A12" s="5" t="s">
        <v>48</v>
      </c>
      <c r="B12" s="21">
        <f>'PP7 Summary'!I32</f>
        <v>0.2242025479</v>
      </c>
    </row>
    <row r="13">
      <c r="A13" s="5" t="s">
        <v>52</v>
      </c>
      <c r="B13" s="21">
        <f>'PP7 Summary'!I33</f>
        <v>0.03381335721</v>
      </c>
    </row>
    <row r="14">
      <c r="A14" s="5" t="s">
        <v>54</v>
      </c>
      <c r="B14" s="21">
        <f>'PP7 Summary'!I34</f>
        <v>0.041</v>
      </c>
    </row>
    <row r="15">
      <c r="A15" s="5" t="s">
        <v>57</v>
      </c>
      <c r="B15" s="13">
        <f>'PP7 Summary'!I35</f>
        <v>0.07839425488</v>
      </c>
    </row>
    <row r="16">
      <c r="A16" s="5" t="s">
        <v>59</v>
      </c>
      <c r="B16" s="13">
        <f>'PP7 Summary'!I36</f>
        <v>7.058272</v>
      </c>
    </row>
    <row r="17">
      <c r="A17" s="5" t="s">
        <v>62</v>
      </c>
      <c r="B17" s="13">
        <f>'PP7 Summary'!I37</f>
        <v>2.77626879</v>
      </c>
    </row>
    <row r="18">
      <c r="A18" s="5" t="s">
        <v>72</v>
      </c>
      <c r="B18" s="36"/>
    </row>
    <row r="19">
      <c r="A19" s="5" t="s">
        <v>73</v>
      </c>
      <c r="B19" s="38">
        <v>75500.0</v>
      </c>
    </row>
    <row r="20">
      <c r="A20" s="5" t="s">
        <v>75</v>
      </c>
      <c r="B20" s="10">
        <f>'PP7 Summary'!C4</f>
        <v>7420.5</v>
      </c>
    </row>
    <row r="21">
      <c r="A21" s="5" t="s">
        <v>84</v>
      </c>
      <c r="B21" s="13">
        <f>'PP7 Summary'!C5</f>
        <v>1787.92</v>
      </c>
    </row>
    <row r="22">
      <c r="A22" s="5" t="s">
        <v>87</v>
      </c>
      <c r="B22" s="10">
        <f>'PP7 Summary'!C19</f>
        <v>40.5</v>
      </c>
    </row>
    <row r="23">
      <c r="A23" s="5" t="s">
        <v>92</v>
      </c>
      <c r="B23" s="13">
        <f>'PP7 Summary'!C33</f>
        <v>6315.33021</v>
      </c>
    </row>
    <row r="24">
      <c r="A24" s="5" t="s">
        <v>96</v>
      </c>
      <c r="B24" s="13">
        <f>'PP7 Summary'!C44</f>
        <v>5161.859948</v>
      </c>
    </row>
    <row r="25">
      <c r="A25" s="5" t="s">
        <v>98</v>
      </c>
      <c r="B25" s="13">
        <f>'PP7 Summary'!C54</f>
        <v>163.228835</v>
      </c>
    </row>
    <row r="26">
      <c r="A26" s="5" t="s">
        <v>102</v>
      </c>
      <c r="B26" s="13">
        <f>'PP7 Summary'!C67</f>
        <v>43444.30109</v>
      </c>
    </row>
    <row r="27">
      <c r="A27" s="5" t="s">
        <v>104</v>
      </c>
      <c r="B27" s="13">
        <f>'PP7 Summary'!C81</f>
        <v>73596.38</v>
      </c>
    </row>
  </sheetData>
  <drawing r:id="rId1"/>
</worksheet>
</file>