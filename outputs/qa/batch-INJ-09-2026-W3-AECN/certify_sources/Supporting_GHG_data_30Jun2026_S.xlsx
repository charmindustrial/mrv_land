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e1b74184f378be8/Documents/Working files/Arbec/Charm/LCA estimates sent to Charm/LCA estimate - Q1 and Q2 2026/"/>
    </mc:Choice>
  </mc:AlternateContent>
  <xr:revisionPtr revIDLastSave="129" documentId="8_{0F0664F4-99DE-4ACB-ACCD-A73298C582D2}" xr6:coauthVersionLast="47" xr6:coauthVersionMax="47" xr10:uidLastSave="{8A2FFBBD-2771-4424-B1C3-9CBCBF59E05E}"/>
  <bookViews>
    <workbookView xWindow="-98" yWindow="-98" windowWidth="21795" windowHeight="13875" xr2:uid="{A00567B2-2062-4012-81FD-85AB67FB6837}"/>
  </bookViews>
  <sheets>
    <sheet name="Inputs for GHG calculation" sheetId="1" r:id="rId1"/>
    <sheet name="Diesel fuel" sheetId="2" r:id="rId2"/>
  </sheets>
  <calcPr calcId="191029" iterate="1" iterateCount="25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6" i="2" l="1"/>
  <c r="U26" i="2"/>
  <c r="R26" i="2" l="1"/>
  <c r="S26" i="2"/>
  <c r="T26" i="2"/>
  <c r="V26" i="2"/>
  <c r="R12" i="2"/>
  <c r="S12" i="2"/>
  <c r="T12" i="2"/>
  <c r="U12" i="2"/>
  <c r="U28" i="2" s="1"/>
  <c r="V12" i="2"/>
  <c r="W12" i="2"/>
  <c r="S5" i="2"/>
  <c r="T5" i="2" s="1"/>
  <c r="U5" i="2" s="1"/>
  <c r="V5" i="2" s="1"/>
  <c r="W5" i="2" s="1"/>
  <c r="L12" i="2"/>
  <c r="M12" i="2"/>
  <c r="N12" i="2"/>
  <c r="O12" i="2"/>
  <c r="P12" i="2"/>
  <c r="Q12" i="2"/>
  <c r="L26" i="2"/>
  <c r="M26" i="2"/>
  <c r="N26" i="2"/>
  <c r="O26" i="2"/>
  <c r="P26" i="2"/>
  <c r="Q26" i="2"/>
  <c r="I32" i="1"/>
  <c r="I23" i="1"/>
  <c r="M28" i="2" l="1"/>
  <c r="L28" i="2"/>
  <c r="O28" i="2"/>
  <c r="Q28" i="2"/>
  <c r="R28" i="2"/>
  <c r="P28" i="2"/>
  <c r="N28" i="2"/>
  <c r="W28" i="2"/>
  <c r="V28" i="2"/>
  <c r="T28" i="2"/>
  <c r="S28" i="2"/>
  <c r="I36" i="1" l="1"/>
  <c r="F28" i="1"/>
  <c r="F29" i="1"/>
  <c r="F30" i="1"/>
  <c r="F31" i="1"/>
  <c r="F27" i="1"/>
  <c r="I45" i="1" l="1"/>
  <c r="I12" i="1" l="1"/>
  <c r="G6" i="1"/>
  <c r="F7" i="1" s="1"/>
  <c r="G7" i="1" s="1"/>
  <c r="F8" i="1" s="1"/>
  <c r="G8" i="1" s="1"/>
  <c r="F9" i="1" s="1"/>
  <c r="G9" i="1" s="1"/>
  <c r="F10" i="1" s="1"/>
  <c r="G10" i="1" s="1"/>
  <c r="F11" i="1" s="1"/>
  <c r="G11" i="1" s="1"/>
  <c r="F40" i="1" l="1"/>
  <c r="G40" i="1"/>
  <c r="F41" i="1"/>
  <c r="G41" i="1"/>
  <c r="G42" i="1"/>
  <c r="G43" i="1"/>
  <c r="G44" i="1"/>
  <c r="G39" i="1"/>
  <c r="F39" i="1"/>
  <c r="K10" i="2"/>
  <c r="K12" i="2" s="1"/>
  <c r="J10" i="2"/>
  <c r="J12" i="2" s="1"/>
  <c r="J26" i="2"/>
  <c r="K26" i="2"/>
  <c r="K28" i="2" l="1"/>
  <c r="J28" i="2"/>
  <c r="F20" i="1" l="1"/>
  <c r="I17" i="1"/>
  <c r="F17" i="1" l="1"/>
  <c r="I23" i="2" l="1"/>
  <c r="I26" i="2" s="1"/>
  <c r="I10" i="2"/>
  <c r="I12" i="2" s="1"/>
  <c r="H23" i="2"/>
  <c r="H20" i="2"/>
  <c r="H18" i="2"/>
  <c r="H15" i="2"/>
  <c r="H10" i="2"/>
  <c r="H12" i="2" s="1"/>
  <c r="G23" i="2"/>
  <c r="F23" i="2"/>
  <c r="F26" i="2" s="1"/>
  <c r="G15" i="2"/>
  <c r="G10" i="2"/>
  <c r="F10" i="2"/>
  <c r="G9" i="2"/>
  <c r="F9" i="2"/>
  <c r="G12" i="2" l="1"/>
  <c r="I28" i="2"/>
  <c r="H26" i="2"/>
  <c r="H28" i="2" s="1"/>
  <c r="G26" i="2"/>
  <c r="F12" i="2"/>
  <c r="F28" i="2" s="1"/>
  <c r="G28" i="2" l="1"/>
  <c r="F22" i="1"/>
  <c r="G21" i="1"/>
  <c r="G16" i="1" l="1"/>
  <c r="G17" i="1" l="1"/>
  <c r="G22" i="1"/>
  <c r="F21" i="1"/>
  <c r="G20" i="1" l="1"/>
  <c r="F42" i="1" l="1"/>
  <c r="F43" i="1"/>
  <c r="F4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tc={DA40B713-8025-4B01-828C-37E119BC9853}</author>
    <author>tc={378AE175-4705-4853-B5F7-D813BEE08080}</author>
  </authors>
  <commentList>
    <comment ref="G20" authorId="0" shapeId="0" xr:uid="{DA40B713-8025-4B01-828C-37E119BC9853}">
      <text>
        <t>[Threaded comment]
Your version of Excel allows you to read this threaded comment; however, any edits to it will get removed if the file is opened in a newer version of Excel. Learn more: https://go.microsoft.com/fwlink/?linkid=870924
Comment:
    15h exclues pour déplacer des copeaux pour l’usine de biocharbon: Carbonity.</t>
      </text>
    </comment>
    <comment ref="H20" authorId="1" shapeId="0" xr:uid="{378AE175-4705-4853-B5F7-D813BEE08080}">
      <text>
        <t>[Threaded comment]
Your version of Excel allows you to read this threaded comment; however, any edits to it will get removed if the file is opened in a newer version of Excel. Learn more: https://go.microsoft.com/fwlink/?linkid=870924
Comment:
    0.5h exclues pour le transport du moteur</t>
      </text>
    </comment>
  </commentList>
</comments>
</file>

<file path=xl/sharedStrings.xml><?xml version="1.0" encoding="utf-8"?>
<sst xmlns="http://schemas.openxmlformats.org/spreadsheetml/2006/main" count="140" uniqueCount="81">
  <si>
    <t>Litres</t>
  </si>
  <si>
    <t>Variable</t>
  </si>
  <si>
    <t>Propane</t>
  </si>
  <si>
    <t>Production</t>
  </si>
  <si>
    <t>kWh</t>
  </si>
  <si>
    <t>Heures d'opération du loader L120</t>
  </si>
  <si>
    <t>Heures d'opération du loader L150</t>
  </si>
  <si>
    <t>Heures d'opération de la pelle KX41</t>
  </si>
  <si>
    <t>Heures d'opération de la pelle #3737</t>
  </si>
  <si>
    <t>Heures d'opération du loader L180</t>
  </si>
  <si>
    <t>Autre</t>
  </si>
  <si>
    <t>Heures d'opération de la pelle #3407</t>
  </si>
  <si>
    <t>Heures d'opération du sableur</t>
  </si>
  <si>
    <t>Alimentation de l'usine de préparation de la biomasse (UPB) et de la trémie du séchoir d'AECN</t>
  </si>
  <si>
    <t>Heures d'opération du tracteur</t>
  </si>
  <si>
    <t>Heures d'opération du tracteur D6N de Pel-Sim</t>
  </si>
  <si>
    <t>Consommation totale de diesel (litres)</t>
  </si>
  <si>
    <t>Period start</t>
  </si>
  <si>
    <t>Period end</t>
  </si>
  <si>
    <t>Unit</t>
  </si>
  <si>
    <t>Value</t>
  </si>
  <si>
    <t>Source</t>
  </si>
  <si>
    <t>Electricity consumption during the period</t>
  </si>
  <si>
    <t>Total production during the period</t>
  </si>
  <si>
    <t>Electricity</t>
  </si>
  <si>
    <t>Meter reading</t>
  </si>
  <si>
    <t>Starting inventory</t>
  </si>
  <si>
    <t>Deliveries</t>
  </si>
  <si>
    <t>Propane consumption during the period</t>
  </si>
  <si>
    <t>Ending inventory</t>
  </si>
  <si>
    <t>dry metric tonnes</t>
  </si>
  <si>
    <t>Total</t>
  </si>
  <si>
    <t>Biomass feed</t>
  </si>
  <si>
    <t>Filter cake co-product</t>
  </si>
  <si>
    <t>dry metric tonne "as is"</t>
  </si>
  <si>
    <t>See the other worksheet</t>
  </si>
  <si>
    <t>Diesel fuel for biomass handling</t>
  </si>
  <si>
    <t>Justification for diesel consumption</t>
  </si>
  <si>
    <t>Février 2025</t>
  </si>
  <si>
    <t>28Déc; 4Jan;11Jan;18Jan;25Jan</t>
  </si>
  <si>
    <t>1Fév; 8Fév; 15Fév; 22Fév</t>
  </si>
  <si>
    <t>Heures d'opération des chargeuses 356-3878-3907-2072</t>
  </si>
  <si>
    <t>Total for the period</t>
  </si>
  <si>
    <t>Mars 2025</t>
  </si>
  <si>
    <t>Avril 2025</t>
  </si>
  <si>
    <t>1mar; 8mar; 15mar; 22mar</t>
  </si>
  <si>
    <t>29mar;5avr; 12avri; 19avr</t>
  </si>
  <si>
    <t>Pyrolysis oil</t>
  </si>
  <si>
    <t>Daily production report</t>
  </si>
  <si>
    <t>Electricity meter reading and utility bills</t>
  </si>
  <si>
    <t>Tank level readings as reported in daily production report</t>
  </si>
  <si>
    <t>Wood residues</t>
  </si>
  <si>
    <t>Mass balance based on established RTP yields and pyrolysis liquid output (sales+tank levels) corroborated by regular biomass inventories</t>
  </si>
  <si>
    <t>Mai 2025</t>
  </si>
  <si>
    <t>Juin 2025</t>
  </si>
  <si>
    <t>26avr; 3mai; 10mai; 17mai; 24mai</t>
  </si>
  <si>
    <t>31mai; 7juin; 14juin; 21juin; 28juin</t>
  </si>
  <si>
    <t>Juillet 2025</t>
  </si>
  <si>
    <t>Août 2025</t>
  </si>
  <si>
    <t>Septembre 2025</t>
  </si>
  <si>
    <t>Octobre 2025</t>
  </si>
  <si>
    <t>Novembre 2025</t>
  </si>
  <si>
    <t>Semaines finissant le &gt;&gt;&gt;&gt;</t>
  </si>
  <si>
    <t>5juil; 12juil; 19juil; 26juil</t>
  </si>
  <si>
    <t>Heures d'opération du loader L110</t>
  </si>
  <si>
    <t>Décembre 2025</t>
  </si>
  <si>
    <t>2août; 9août; 16août; 23août; 30août</t>
  </si>
  <si>
    <t>6sep; 13sep; 20sep; 27sep</t>
  </si>
  <si>
    <t>4oct; 11oct; 18oct; 25oct; 1nov</t>
  </si>
  <si>
    <t>8nov; 15nov; 22nov; 29nov</t>
  </si>
  <si>
    <t>6déc; 13déc; 20déc; 27déc; 3jan</t>
  </si>
  <si>
    <t>Bills of lading and invoices as reported in the daily production report</t>
  </si>
  <si>
    <t>Tank level readings as reported in the daily production report</t>
  </si>
  <si>
    <t>Inputs for LCA CI calculation for the period 1 Jan to 30 June 2026</t>
  </si>
  <si>
    <t>Actual quantity of diesel fuel consumed between 28-Dec-24 and 4-Jul-2026</t>
  </si>
  <si>
    <t>10Jan; 17Jan; 24Jan; 31Jan</t>
  </si>
  <si>
    <t>7Feb;14Feb; 21Feb; 28Feb</t>
  </si>
  <si>
    <t>7Mar; 14Mar; 21Mar; 28Mar</t>
  </si>
  <si>
    <t>4Apr; 11Apr; 18Apr; 25 Apr; 2May</t>
  </si>
  <si>
    <t>9May; 16May; 23May; 30May</t>
  </si>
  <si>
    <t>6Jun; 13Jun; 20Jun; 27Jun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</si>
</sst>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m/yyyy"/>
    <numFmt numFmtId="165" formatCode="_ * #,##0.00_)_ ;_ * \(#,##0.00\)_ ;_ * &quot;-&quot;??_)_ ;_ @_ 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u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4" fillId="0" borderId="0" applyFont="0" applyFill="0" applyBorder="0" applyAlignment="0" applyProtection="0"/>
    <xf numFmtId="165" fontId="4" fillId="0" borderId="0" applyFont="0" applyFill="0" applyBorder="0" applyAlignment="0" applyProtection="0"/>
  </cellStyleXfs>
  <cellXfs count="32">
    <xf numFmtId="0" fontId="0" fillId="0" borderId="0" xfId="0"/>
    <xf numFmtId="3" fontId="0" fillId="0" borderId="0" xfId="0" applyNumberFormat="1" applyAlignment="1">
      <alignment horizontal="left"/>
    </xf>
    <xf numFmtId="0" fontId="1" fillId="0" borderId="0" xfId="0" applyFont="1"/>
    <xf numFmtId="0" fontId="2" fillId="0" borderId="0" xfId="0" applyFont="1"/>
    <xf numFmtId="0" fontId="0" fillId="0" borderId="1" xfId="0" applyBorder="1"/>
    <xf numFmtId="3" fontId="0" fillId="0" borderId="1" xfId="0" applyNumberFormat="1" applyBorder="1" applyAlignment="1">
      <alignment horizontal="left"/>
    </xf>
    <xf numFmtId="3" fontId="1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0" borderId="1" xfId="0" applyBorder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1" xfId="0" applyNumberFormat="1" applyBorder="1" applyAlignment="1">
      <alignment horizontal="left"/>
    </xf>
    <xf numFmtId="0" fontId="1" fillId="0" borderId="0" xfId="0" applyFont="1" applyAlignment="1">
      <alignment horizontal="left" indent="1"/>
    </xf>
    <xf numFmtId="0" fontId="0" fillId="0" borderId="0" xfId="0" applyAlignment="1">
      <alignment horizontal="left" indent="2"/>
    </xf>
    <xf numFmtId="0" fontId="0" fillId="0" borderId="1" xfId="0" applyBorder="1" applyAlignment="1">
      <alignment horizontal="left" indent="2"/>
    </xf>
    <xf numFmtId="0" fontId="1" fillId="0" borderId="0" xfId="0" applyFont="1" applyAlignment="1">
      <alignment horizontal="left" indent="2"/>
    </xf>
    <xf numFmtId="164" fontId="1" fillId="0" borderId="0" xfId="0" applyNumberFormat="1" applyFont="1" applyAlignment="1">
      <alignment horizontal="left"/>
    </xf>
    <xf numFmtId="0" fontId="1" fillId="0" borderId="1" xfId="0" applyFont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0" borderId="1" xfId="0" applyFont="1" applyBorder="1" applyAlignment="1">
      <alignment horizontal="left" indent="2"/>
    </xf>
    <xf numFmtId="3" fontId="1" fillId="0" borderId="1" xfId="0" applyNumberFormat="1" applyFont="1" applyBorder="1" applyAlignment="1">
      <alignment horizontal="left"/>
    </xf>
    <xf numFmtId="0" fontId="0" fillId="0" borderId="0" xfId="0" applyAlignment="1">
      <alignment horizontal="left" indent="1"/>
    </xf>
    <xf numFmtId="0" fontId="0" fillId="0" borderId="1" xfId="0" applyBorder="1" applyAlignment="1">
      <alignment horizontal="left" indent="1"/>
    </xf>
    <xf numFmtId="4" fontId="1" fillId="0" borderId="1" xfId="0" applyNumberFormat="1" applyFont="1" applyBorder="1" applyAlignment="1">
      <alignment horizontal="left"/>
    </xf>
    <xf numFmtId="3" fontId="0" fillId="0" borderId="0" xfId="0" applyNumberFormat="1"/>
    <xf numFmtId="9" fontId="0" fillId="0" borderId="0" xfId="1" applyFont="1"/>
    <xf numFmtId="0" fontId="5" fillId="0" borderId="0" xfId="0" applyFont="1"/>
    <xf numFmtId="0" fontId="2" fillId="0" borderId="1" xfId="0" applyFont="1" applyBorder="1"/>
    <xf numFmtId="0" fontId="1" fillId="0" borderId="1" xfId="0" applyFont="1" applyBorder="1" applyAlignment="1">
      <alignment horizontal="left"/>
    </xf>
    <xf numFmtId="16" fontId="0" fillId="0" borderId="0" xfId="0" applyNumberFormat="1" applyAlignment="1">
      <alignment horizontal="left"/>
    </xf>
    <xf numFmtId="17" fontId="1" fillId="0" borderId="0" xfId="0" applyNumberFormat="1" applyFont="1" applyAlignment="1">
      <alignment horizontal="left"/>
    </xf>
  </cellXfs>
  <cellStyles count="3">
    <cellStyle name="Comma 2" xfId="2" xr:uid="{8B0BC298-F5D6-4134-AFFD-374D79C24D93}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131988</xdr:colOff>
      <xdr:row>28</xdr:row>
      <xdr:rowOff>107762</xdr:rowOff>
    </xdr:from>
    <xdr:ext cx="3254944" cy="1335294"/>
    <xdr:pic>
      <xdr:nvPicPr>
        <xdr:cNvPr id="5" name="Picture 4">
          <a:extLst>
            <a:ext uri="{FF2B5EF4-FFF2-40B4-BE49-F238E27FC236}">
              <a16:creationId xmlns:a16="http://schemas.microsoft.com/office/drawing/2014/main" id="{D8974C85-B7E3-4115-8F46-D3B19FF30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202024" y="5251262"/>
          <a:ext cx="3254944" cy="1335294"/>
        </a:xfrm>
        <a:prstGeom prst="rect">
          <a:avLst/>
        </a:prstGeom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J-C Amado - Viridi Global" id="{D4A7CF16-64EB-4845-97D2-BC39EFF86798}" userId="J-C Amado - Viridi Global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20" dT="2025-05-06T13:19:52.37" personId="{D4A7CF16-64EB-4845-97D2-BC39EFF86798}" id="{DA40B713-8025-4B01-828C-37E119BC9853}">
    <text>15h exclues pour déplacer des copeaux pour l’usine de biocharbon: Carbonity.</text>
  </threadedComment>
  <threadedComment ref="H20" dT="2025-07-28T14:49:46.24" personId="{D4A7CF16-64EB-4845-97D2-BC39EFF86798}" id="{378AE175-4705-4853-B5F7-D813BEE08080}">
    <text>0.5h exclues pour le transport du moteur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EFCBA-2CEB-453A-9461-628FB6F1CA74}">
  <dimension ref="B1:V45"/>
  <sheetViews>
    <sheetView showGridLines="0" tabSelected="1" topLeftCell="A3" zoomScaleNormal="100" workbookViewId="0">
      <selection activeCell="F12" sqref="F12"/>
    </sheetView>
  </sheetViews>
  <sheetFormatPr defaultRowHeight="14.25" outlineLevelRow="1" x14ac:dyDescent="0.45"/>
  <cols>
    <col min="1" max="1" width="2.796875" customWidth="1"/>
    <col min="2" max="2" width="2.796875" style="2" customWidth="1"/>
    <col min="5" max="5" width="39.46484375" customWidth="1"/>
    <col min="6" max="7" width="17.86328125" style="7" customWidth="1"/>
    <col min="8" max="8" width="23.19921875" customWidth="1"/>
    <col min="9" max="9" width="12.1328125" customWidth="1"/>
  </cols>
  <sheetData>
    <row r="1" spans="2:22" ht="18" x14ac:dyDescent="0.55000000000000004">
      <c r="B1" s="27" t="s">
        <v>73</v>
      </c>
    </row>
    <row r="3" spans="2:22" s="2" customFormat="1" x14ac:dyDescent="0.45">
      <c r="B3" s="18"/>
      <c r="C3" s="18" t="s">
        <v>1</v>
      </c>
      <c r="D3" s="18"/>
      <c r="E3" s="18"/>
      <c r="F3" s="19" t="s">
        <v>17</v>
      </c>
      <c r="G3" s="19" t="s">
        <v>18</v>
      </c>
      <c r="H3" s="18" t="s">
        <v>19</v>
      </c>
      <c r="I3" s="18" t="s">
        <v>20</v>
      </c>
      <c r="J3" s="18" t="s">
        <v>21</v>
      </c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</row>
    <row r="4" spans="2:22" s="2" customFormat="1" x14ac:dyDescent="0.45">
      <c r="F4" s="8"/>
      <c r="G4" s="8"/>
    </row>
    <row r="5" spans="2:22" s="2" customFormat="1" x14ac:dyDescent="0.45">
      <c r="B5" s="2">
        <v>1</v>
      </c>
      <c r="C5" s="3" t="s">
        <v>3</v>
      </c>
      <c r="F5" s="8"/>
      <c r="G5" s="8"/>
    </row>
    <row r="6" spans="2:22" outlineLevel="1" x14ac:dyDescent="0.45">
      <c r="C6" t="s">
        <v>47</v>
      </c>
      <c r="F6" s="10">
        <v>46023</v>
      </c>
      <c r="G6" s="10">
        <f>EOMONTH(F6, 0)</f>
        <v>46053</v>
      </c>
      <c r="H6" t="s">
        <v>0</v>
      </c>
      <c r="I6" s="1">
        <v>1142790.83203125</v>
      </c>
      <c r="J6" t="s">
        <v>48</v>
      </c>
    </row>
    <row r="7" spans="2:22" outlineLevel="1" x14ac:dyDescent="0.45">
      <c r="C7" t="s">
        <v>47</v>
      </c>
      <c r="F7" s="10">
        <f>G6+1</f>
        <v>46054</v>
      </c>
      <c r="G7" s="10">
        <f>EOMONTH(F7, 0)</f>
        <v>46081</v>
      </c>
      <c r="H7" t="s">
        <v>0</v>
      </c>
      <c r="I7" s="1">
        <v>1982651.4644531249</v>
      </c>
      <c r="J7" t="s">
        <v>48</v>
      </c>
    </row>
    <row r="8" spans="2:22" outlineLevel="1" x14ac:dyDescent="0.45">
      <c r="C8" t="s">
        <v>47</v>
      </c>
      <c r="F8" s="10">
        <f t="shared" ref="F8:F11" si="0">G7+1</f>
        <v>46082</v>
      </c>
      <c r="G8" s="10">
        <f t="shared" ref="G8:G11" si="1">EOMONTH(F8, 0)</f>
        <v>46112</v>
      </c>
      <c r="H8" t="s">
        <v>0</v>
      </c>
      <c r="I8" s="1">
        <v>1662977.8875976563</v>
      </c>
      <c r="J8" t="s">
        <v>48</v>
      </c>
    </row>
    <row r="9" spans="2:22" outlineLevel="1" x14ac:dyDescent="0.45">
      <c r="C9" t="s">
        <v>47</v>
      </c>
      <c r="F9" s="10">
        <f t="shared" si="0"/>
        <v>46113</v>
      </c>
      <c r="G9" s="10">
        <f t="shared" si="1"/>
        <v>46142</v>
      </c>
      <c r="H9" t="s">
        <v>0</v>
      </c>
      <c r="I9" s="1">
        <v>2120151</v>
      </c>
      <c r="J9" t="s">
        <v>48</v>
      </c>
    </row>
    <row r="10" spans="2:22" outlineLevel="1" x14ac:dyDescent="0.45">
      <c r="C10" t="s">
        <v>47</v>
      </c>
      <c r="F10" s="10">
        <f t="shared" si="0"/>
        <v>46143</v>
      </c>
      <c r="G10" s="10">
        <f t="shared" si="1"/>
        <v>46173</v>
      </c>
      <c r="H10" t="s">
        <v>0</v>
      </c>
      <c r="I10" s="1">
        <v>1463079.1570312497</v>
      </c>
      <c r="J10" t="s">
        <v>48</v>
      </c>
    </row>
    <row r="11" spans="2:22" outlineLevel="1" x14ac:dyDescent="0.45">
      <c r="C11" s="4" t="s">
        <v>47</v>
      </c>
      <c r="D11" s="4"/>
      <c r="E11" s="4"/>
      <c r="F11" s="11">
        <f t="shared" si="0"/>
        <v>46174</v>
      </c>
      <c r="G11" s="11">
        <f t="shared" si="1"/>
        <v>46203</v>
      </c>
      <c r="H11" s="4" t="s">
        <v>0</v>
      </c>
      <c r="I11" s="5">
        <v>1963234</v>
      </c>
      <c r="J11" s="4" t="s">
        <v>48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spans="2:22" s="2" customFormat="1" outlineLevel="1" x14ac:dyDescent="0.45">
      <c r="C12" s="2" t="s">
        <v>23</v>
      </c>
      <c r="G12" s="8"/>
      <c r="H12" s="2" t="s">
        <v>0</v>
      </c>
      <c r="I12" s="6">
        <f>SUM(I6:I11)</f>
        <v>10334884.341113281</v>
      </c>
    </row>
    <row r="13" spans="2:22" x14ac:dyDescent="0.45">
      <c r="I13" s="1"/>
      <c r="K13" s="26"/>
    </row>
    <row r="14" spans="2:22" x14ac:dyDescent="0.45">
      <c r="B14" s="2">
        <v>2</v>
      </c>
      <c r="C14" s="3" t="s">
        <v>24</v>
      </c>
      <c r="I14" s="1"/>
    </row>
    <row r="15" spans="2:22" outlineLevel="1" x14ac:dyDescent="0.45">
      <c r="C15" t="s">
        <v>25</v>
      </c>
      <c r="F15" s="10">
        <v>46025</v>
      </c>
      <c r="G15" s="10">
        <v>46025</v>
      </c>
      <c r="H15" t="s">
        <v>4</v>
      </c>
      <c r="I15" s="1">
        <v>53052165</v>
      </c>
      <c r="J15" t="s">
        <v>49</v>
      </c>
      <c r="S15" s="25"/>
    </row>
    <row r="16" spans="2:22" outlineLevel="1" x14ac:dyDescent="0.45">
      <c r="C16" s="4" t="s">
        <v>25</v>
      </c>
      <c r="D16" s="4"/>
      <c r="E16" s="4"/>
      <c r="F16" s="11">
        <v>46207</v>
      </c>
      <c r="G16" s="11">
        <f>F16</f>
        <v>46207</v>
      </c>
      <c r="H16" s="4" t="s">
        <v>4</v>
      </c>
      <c r="I16" s="5">
        <v>60254877</v>
      </c>
      <c r="J16" s="4" t="s">
        <v>49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 spans="2:22" s="2" customFormat="1" outlineLevel="1" x14ac:dyDescent="0.45">
      <c r="C17" s="2" t="s">
        <v>22</v>
      </c>
      <c r="F17" s="16">
        <f>F15</f>
        <v>46025</v>
      </c>
      <c r="G17" s="16">
        <f>G16</f>
        <v>46207</v>
      </c>
      <c r="H17" s="2" t="s">
        <v>4</v>
      </c>
      <c r="I17" s="6">
        <f>I16-I15</f>
        <v>7202712</v>
      </c>
      <c r="S17" s="25"/>
    </row>
    <row r="18" spans="2:22" s="2" customFormat="1" outlineLevel="1" x14ac:dyDescent="0.45">
      <c r="G18" s="8"/>
      <c r="I18" s="6"/>
      <c r="S18" s="25"/>
    </row>
    <row r="19" spans="2:22" x14ac:dyDescent="0.45">
      <c r="B19" s="2">
        <v>3</v>
      </c>
      <c r="C19" s="3" t="s">
        <v>2</v>
      </c>
      <c r="S19" s="25"/>
    </row>
    <row r="20" spans="2:22" outlineLevel="1" x14ac:dyDescent="0.45">
      <c r="C20" t="s">
        <v>26</v>
      </c>
      <c r="F20" s="10">
        <f>F6</f>
        <v>46023</v>
      </c>
      <c r="G20" s="10">
        <f>F20</f>
        <v>46023</v>
      </c>
      <c r="H20" t="s">
        <v>0</v>
      </c>
      <c r="I20" s="1">
        <v>76418</v>
      </c>
      <c r="J20" t="s">
        <v>72</v>
      </c>
      <c r="S20" s="25"/>
    </row>
    <row r="21" spans="2:22" outlineLevel="1" x14ac:dyDescent="0.45">
      <c r="C21" t="s">
        <v>27</v>
      </c>
      <c r="F21" s="10">
        <f>F20</f>
        <v>46023</v>
      </c>
      <c r="G21" s="10">
        <f>G11</f>
        <v>46203</v>
      </c>
      <c r="H21" t="s">
        <v>0</v>
      </c>
      <c r="I21" s="1">
        <v>758848</v>
      </c>
      <c r="J21" t="s">
        <v>71</v>
      </c>
      <c r="S21" s="25"/>
    </row>
    <row r="22" spans="2:22" outlineLevel="1" x14ac:dyDescent="0.45">
      <c r="C22" s="4" t="s">
        <v>29</v>
      </c>
      <c r="D22" s="4"/>
      <c r="E22" s="4"/>
      <c r="F22" s="11">
        <f>G11</f>
        <v>46203</v>
      </c>
      <c r="G22" s="11">
        <f>F22</f>
        <v>46203</v>
      </c>
      <c r="H22" s="4" t="s">
        <v>0</v>
      </c>
      <c r="I22" s="5">
        <v>85283</v>
      </c>
      <c r="J22" s="4" t="s">
        <v>50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 spans="2:22" s="2" customFormat="1" outlineLevel="1" x14ac:dyDescent="0.45">
      <c r="C23" s="2" t="s">
        <v>28</v>
      </c>
      <c r="F23" s="8"/>
      <c r="G23" s="8"/>
      <c r="H23" s="2" t="s">
        <v>0</v>
      </c>
      <c r="I23" s="6">
        <f>SUM(I21:I21)+I20-I22</f>
        <v>749983</v>
      </c>
      <c r="K23"/>
    </row>
    <row r="24" spans="2:22" x14ac:dyDescent="0.45">
      <c r="F24" s="8"/>
      <c r="K24" s="26"/>
    </row>
    <row r="25" spans="2:22" x14ac:dyDescent="0.45">
      <c r="B25" s="2">
        <v>4</v>
      </c>
      <c r="C25" s="3" t="s">
        <v>32</v>
      </c>
    </row>
    <row r="26" spans="2:22" outlineLevel="1" x14ac:dyDescent="0.45">
      <c r="C26" s="7" t="s">
        <v>51</v>
      </c>
      <c r="F26" s="10">
        <v>46026</v>
      </c>
      <c r="G26" s="10">
        <v>46053</v>
      </c>
      <c r="H26" t="s">
        <v>30</v>
      </c>
      <c r="I26" s="1">
        <v>1877.5070643947211</v>
      </c>
      <c r="J26" t="s">
        <v>52</v>
      </c>
    </row>
    <row r="27" spans="2:22" outlineLevel="1" x14ac:dyDescent="0.45">
      <c r="C27" s="7" t="s">
        <v>51</v>
      </c>
      <c r="F27" s="10">
        <f>G26+1</f>
        <v>46054</v>
      </c>
      <c r="G27" s="10">
        <v>46081</v>
      </c>
      <c r="H27" t="s">
        <v>30</v>
      </c>
      <c r="I27" s="1">
        <v>3597.9270920049948</v>
      </c>
      <c r="J27" t="s">
        <v>52</v>
      </c>
    </row>
    <row r="28" spans="2:22" outlineLevel="1" x14ac:dyDescent="0.45">
      <c r="C28" s="7" t="s">
        <v>51</v>
      </c>
      <c r="F28" s="10">
        <f t="shared" ref="F28:F31" si="2">G27+1</f>
        <v>46082</v>
      </c>
      <c r="G28" s="10">
        <v>46116</v>
      </c>
      <c r="H28" t="s">
        <v>30</v>
      </c>
      <c r="I28" s="1">
        <v>3649.0230938331965</v>
      </c>
      <c r="J28" t="s">
        <v>52</v>
      </c>
    </row>
    <row r="29" spans="2:22" outlineLevel="1" x14ac:dyDescent="0.45">
      <c r="C29" s="7" t="s">
        <v>51</v>
      </c>
      <c r="F29" s="10">
        <f t="shared" si="2"/>
        <v>46117</v>
      </c>
      <c r="G29" s="10">
        <v>46144</v>
      </c>
      <c r="H29" t="s">
        <v>30</v>
      </c>
      <c r="I29" s="1">
        <v>3565.6081973333335</v>
      </c>
      <c r="J29" t="s">
        <v>52</v>
      </c>
    </row>
    <row r="30" spans="2:22" outlineLevel="1" x14ac:dyDescent="0.45">
      <c r="C30" s="7" t="s">
        <v>51</v>
      </c>
      <c r="F30" s="10">
        <f t="shared" si="2"/>
        <v>46145</v>
      </c>
      <c r="G30" s="10">
        <v>46172</v>
      </c>
      <c r="H30" t="s">
        <v>30</v>
      </c>
      <c r="I30" s="1">
        <v>2311.2011246704546</v>
      </c>
      <c r="J30" t="s">
        <v>52</v>
      </c>
    </row>
    <row r="31" spans="2:22" outlineLevel="1" x14ac:dyDescent="0.45">
      <c r="C31" s="9" t="s">
        <v>51</v>
      </c>
      <c r="D31" s="4"/>
      <c r="E31" s="4"/>
      <c r="F31" s="11">
        <f t="shared" si="2"/>
        <v>46173</v>
      </c>
      <c r="G31" s="11">
        <v>46207</v>
      </c>
      <c r="H31" s="4" t="s">
        <v>30</v>
      </c>
      <c r="I31" s="5">
        <v>4109.3243325490903</v>
      </c>
      <c r="J31" s="4" t="s">
        <v>52</v>
      </c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 spans="2:22" outlineLevel="1" x14ac:dyDescent="0.45">
      <c r="C32" s="8" t="s">
        <v>31</v>
      </c>
      <c r="G32" s="8"/>
      <c r="H32" s="2" t="s">
        <v>30</v>
      </c>
      <c r="I32" s="6">
        <f>SUM(I26:I31)</f>
        <v>19110.590904785789</v>
      </c>
      <c r="P32" s="25"/>
      <c r="R32" s="26"/>
    </row>
    <row r="33" spans="2:22" x14ac:dyDescent="0.45">
      <c r="C33" s="12"/>
      <c r="G33" s="8"/>
      <c r="H33" s="2"/>
      <c r="I33" s="6"/>
    </row>
    <row r="34" spans="2:22" x14ac:dyDescent="0.45">
      <c r="B34" s="2">
        <v>5</v>
      </c>
      <c r="C34" s="3" t="s">
        <v>36</v>
      </c>
      <c r="G34" s="8"/>
      <c r="H34" s="2"/>
      <c r="I34" s="6"/>
    </row>
    <row r="35" spans="2:22" x14ac:dyDescent="0.45">
      <c r="C35" s="28"/>
      <c r="D35" s="4"/>
      <c r="E35" s="4"/>
      <c r="F35" s="9"/>
      <c r="G35" s="29"/>
      <c r="H35" s="17"/>
      <c r="I35" s="21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</row>
    <row r="36" spans="2:22" outlineLevel="1" x14ac:dyDescent="0.45">
      <c r="C36" s="12" t="s">
        <v>74</v>
      </c>
      <c r="G36" s="8"/>
      <c r="H36" s="2" t="s">
        <v>0</v>
      </c>
      <c r="I36" s="6">
        <f>SUM('Diesel fuel'!R28:W28)</f>
        <v>60395</v>
      </c>
      <c r="J36" s="2" t="s">
        <v>35</v>
      </c>
    </row>
    <row r="37" spans="2:22" outlineLevel="1" x14ac:dyDescent="0.45">
      <c r="C37" s="12"/>
      <c r="F37" s="16"/>
      <c r="G37" s="16"/>
      <c r="H37" s="2"/>
      <c r="I37" s="6"/>
    </row>
    <row r="38" spans="2:22" outlineLevel="1" x14ac:dyDescent="0.45">
      <c r="B38" s="2">
        <v>6</v>
      </c>
      <c r="C38" s="12" t="s">
        <v>33</v>
      </c>
      <c r="F38" s="16"/>
      <c r="G38" s="16"/>
      <c r="H38" s="2"/>
      <c r="I38" s="6"/>
    </row>
    <row r="39" spans="2:22" outlineLevel="1" x14ac:dyDescent="0.45">
      <c r="C39" s="22" t="s">
        <v>33</v>
      </c>
      <c r="F39" s="10">
        <f>F6</f>
        <v>46023</v>
      </c>
      <c r="G39" s="10">
        <f>G6</f>
        <v>46053</v>
      </c>
      <c r="H39" s="7" t="s">
        <v>34</v>
      </c>
      <c r="I39" s="1">
        <v>200.1</v>
      </c>
    </row>
    <row r="40" spans="2:22" outlineLevel="1" x14ac:dyDescent="0.45">
      <c r="C40" s="22" t="s">
        <v>33</v>
      </c>
      <c r="F40" s="10">
        <f t="shared" ref="F40:G40" si="3">F7</f>
        <v>46054</v>
      </c>
      <c r="G40" s="10">
        <f t="shared" si="3"/>
        <v>46081</v>
      </c>
      <c r="H40" s="7" t="s">
        <v>34</v>
      </c>
      <c r="I40" s="1">
        <v>331.69999999999993</v>
      </c>
    </row>
    <row r="41" spans="2:22" outlineLevel="1" x14ac:dyDescent="0.45">
      <c r="C41" s="22" t="s">
        <v>33</v>
      </c>
      <c r="F41" s="10">
        <f t="shared" ref="F41:G41" si="4">F8</f>
        <v>46082</v>
      </c>
      <c r="G41" s="10">
        <f t="shared" si="4"/>
        <v>46112</v>
      </c>
      <c r="H41" s="7" t="s">
        <v>34</v>
      </c>
      <c r="I41" s="1">
        <v>250.9</v>
      </c>
    </row>
    <row r="42" spans="2:22" outlineLevel="1" x14ac:dyDescent="0.45">
      <c r="C42" s="22" t="s">
        <v>33</v>
      </c>
      <c r="F42" s="10">
        <f t="shared" ref="F42:G42" si="5">F9</f>
        <v>46113</v>
      </c>
      <c r="G42" s="10">
        <f t="shared" si="5"/>
        <v>46142</v>
      </c>
      <c r="H42" s="7" t="s">
        <v>34</v>
      </c>
      <c r="I42" s="1">
        <v>296.20000000000005</v>
      </c>
    </row>
    <row r="43" spans="2:22" outlineLevel="1" x14ac:dyDescent="0.45">
      <c r="C43" s="22" t="s">
        <v>33</v>
      </c>
      <c r="F43" s="10">
        <f t="shared" ref="F43:G43" si="6">F10</f>
        <v>46143</v>
      </c>
      <c r="G43" s="10">
        <f t="shared" si="6"/>
        <v>46173</v>
      </c>
      <c r="H43" s="7" t="s">
        <v>34</v>
      </c>
      <c r="I43" s="1">
        <v>299.29999999999995</v>
      </c>
    </row>
    <row r="44" spans="2:22" outlineLevel="1" x14ac:dyDescent="0.45">
      <c r="C44" s="23" t="s">
        <v>33</v>
      </c>
      <c r="D44" s="4"/>
      <c r="E44" s="4"/>
      <c r="F44" s="11">
        <f t="shared" ref="F44:G44" si="7">F11</f>
        <v>46174</v>
      </c>
      <c r="G44" s="11">
        <f t="shared" si="7"/>
        <v>46203</v>
      </c>
      <c r="H44" s="9" t="s">
        <v>34</v>
      </c>
      <c r="I44" s="5">
        <v>367.99999999999994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</row>
    <row r="45" spans="2:22" s="2" customFormat="1" outlineLevel="1" x14ac:dyDescent="0.45">
      <c r="C45" s="12" t="s">
        <v>31</v>
      </c>
      <c r="F45" s="8"/>
      <c r="G45" s="8"/>
      <c r="H45" s="2" t="s">
        <v>34</v>
      </c>
      <c r="I45" s="6">
        <f>SUM(I39:I44)</f>
        <v>1746.2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7FFFB-509C-4F61-90B4-9EF9EE33C309}">
  <dimension ref="A1:X36"/>
  <sheetViews>
    <sheetView zoomScale="140" zoomScaleNormal="140" workbookViewId="0">
      <pane xSplit="5" ySplit="8" topLeftCell="W19" activePane="bottomRight" state="frozen"/>
      <selection pane="topRight" activeCell="F1" sqref="F1"/>
      <selection pane="bottomLeft" activeCell="A11" sqref="A11"/>
      <selection pane="bottomRight" activeCell="W28" sqref="W28"/>
    </sheetView>
  </sheetViews>
  <sheetFormatPr defaultRowHeight="14.25" x14ac:dyDescent="0.45"/>
  <cols>
    <col min="1" max="2" width="2.796875" customWidth="1"/>
    <col min="3" max="3" width="14.265625" customWidth="1"/>
    <col min="4" max="4" width="14.73046875" customWidth="1"/>
    <col min="5" max="5" width="14.59765625" customWidth="1"/>
    <col min="6" max="10" width="28.796875" style="7" customWidth="1"/>
    <col min="11" max="11" width="31.86328125" style="7" customWidth="1"/>
    <col min="12" max="24" width="28.796875" style="7" customWidth="1"/>
  </cols>
  <sheetData>
    <row r="1" spans="1:24" x14ac:dyDescent="0.45">
      <c r="A1" s="3" t="s">
        <v>37</v>
      </c>
    </row>
    <row r="2" spans="1:24" x14ac:dyDescent="0.45">
      <c r="B2" s="2"/>
    </row>
    <row r="3" spans="1:24" x14ac:dyDescent="0.45">
      <c r="B3" s="2"/>
      <c r="C3" s="3" t="s">
        <v>42</v>
      </c>
    </row>
    <row r="4" spans="1:24" x14ac:dyDescent="0.45">
      <c r="B4" s="2"/>
      <c r="C4" s="3"/>
    </row>
    <row r="5" spans="1:24" x14ac:dyDescent="0.45">
      <c r="B5" s="2"/>
      <c r="C5" s="2"/>
      <c r="F5" s="31">
        <v>45658</v>
      </c>
      <c r="G5" s="8" t="s">
        <v>38</v>
      </c>
      <c r="H5" s="8" t="s">
        <v>43</v>
      </c>
      <c r="I5" s="8" t="s">
        <v>44</v>
      </c>
      <c r="J5" s="8" t="s">
        <v>53</v>
      </c>
      <c r="K5" s="8" t="s">
        <v>54</v>
      </c>
      <c r="L5" s="8" t="s">
        <v>57</v>
      </c>
      <c r="M5" s="8" t="s">
        <v>58</v>
      </c>
      <c r="N5" s="8" t="s">
        <v>59</v>
      </c>
      <c r="O5" s="8" t="s">
        <v>60</v>
      </c>
      <c r="P5" s="8" t="s">
        <v>61</v>
      </c>
      <c r="Q5" s="8" t="s">
        <v>65</v>
      </c>
      <c r="R5" s="31">
        <v>46023</v>
      </c>
      <c r="S5" s="31">
        <f>EOMONTH(R5, 1)</f>
        <v>46081</v>
      </c>
      <c r="T5" s="31">
        <f t="shared" ref="T5:W5" si="0">EOMONTH(S5, 1)</f>
        <v>46112</v>
      </c>
      <c r="U5" s="31">
        <f t="shared" si="0"/>
        <v>46142</v>
      </c>
      <c r="V5" s="31">
        <f t="shared" si="0"/>
        <v>46173</v>
      </c>
      <c r="W5" s="31">
        <f t="shared" si="0"/>
        <v>46203</v>
      </c>
      <c r="X5" s="8"/>
    </row>
    <row r="6" spans="1:24" x14ac:dyDescent="0.45">
      <c r="B6" s="2"/>
      <c r="C6" s="12" t="s">
        <v>62</v>
      </c>
      <c r="F6" s="30" t="s">
        <v>39</v>
      </c>
      <c r="G6" s="30" t="s">
        <v>40</v>
      </c>
      <c r="H6" s="30" t="s">
        <v>45</v>
      </c>
      <c r="I6" s="30" t="s">
        <v>46</v>
      </c>
      <c r="J6" s="30" t="s">
        <v>55</v>
      </c>
      <c r="K6" s="30" t="s">
        <v>56</v>
      </c>
      <c r="L6" s="30" t="s">
        <v>63</v>
      </c>
      <c r="M6" s="30" t="s">
        <v>66</v>
      </c>
      <c r="N6" s="30" t="s">
        <v>67</v>
      </c>
      <c r="O6" s="30" t="s">
        <v>68</v>
      </c>
      <c r="P6" s="30" t="s">
        <v>69</v>
      </c>
      <c r="Q6" s="30" t="s">
        <v>70</v>
      </c>
      <c r="R6" s="30" t="s">
        <v>75</v>
      </c>
      <c r="S6" s="30" t="s">
        <v>76</v>
      </c>
      <c r="T6" s="30" t="s">
        <v>77</v>
      </c>
      <c r="U6" s="30" t="s">
        <v>78</v>
      </c>
      <c r="V6" s="30" t="s">
        <v>79</v>
      </c>
      <c r="W6" s="30" t="s">
        <v>80</v>
      </c>
      <c r="X6" s="30"/>
    </row>
    <row r="7" spans="1:24" x14ac:dyDescent="0.45">
      <c r="B7" s="2"/>
      <c r="C7" s="2"/>
    </row>
    <row r="8" spans="1:24" x14ac:dyDescent="0.45">
      <c r="B8" s="2"/>
      <c r="C8" s="12" t="s">
        <v>13</v>
      </c>
    </row>
    <row r="9" spans="1:24" x14ac:dyDescent="0.45">
      <c r="B9" s="2"/>
      <c r="C9" s="13" t="s">
        <v>5</v>
      </c>
      <c r="F9" s="7">
        <f>10+24+4</f>
        <v>38</v>
      </c>
      <c r="G9" s="7">
        <f>2+3+2</f>
        <v>7</v>
      </c>
      <c r="H9" s="7">
        <v>1</v>
      </c>
      <c r="L9" s="7">
        <v>0</v>
      </c>
      <c r="M9" s="7">
        <v>25.5</v>
      </c>
    </row>
    <row r="10" spans="1:24" x14ac:dyDescent="0.45">
      <c r="B10" s="2"/>
      <c r="C10" s="13" t="s">
        <v>6</v>
      </c>
      <c r="F10" s="7">
        <f>108+108+98+84+102</f>
        <v>500</v>
      </c>
      <c r="G10" s="7">
        <f>114+105+108+130</f>
        <v>457</v>
      </c>
      <c r="H10" s="7">
        <f>144+123+134+134</f>
        <v>535</v>
      </c>
      <c r="I10" s="7">
        <f>133+133+134+134</f>
        <v>534</v>
      </c>
      <c r="J10" s="7">
        <f>110+134+110.5+110.5+105</f>
        <v>570</v>
      </c>
      <c r="K10" s="7">
        <f>112+105+117+75+136</f>
        <v>545</v>
      </c>
      <c r="L10" s="7">
        <v>406</v>
      </c>
      <c r="M10" s="7">
        <v>478.5</v>
      </c>
      <c r="N10" s="7">
        <v>442</v>
      </c>
      <c r="O10" s="7">
        <v>282</v>
      </c>
      <c r="P10" s="7">
        <v>18</v>
      </c>
      <c r="Q10" s="7">
        <v>406</v>
      </c>
      <c r="R10" s="7">
        <v>621</v>
      </c>
      <c r="S10" s="7">
        <v>504</v>
      </c>
      <c r="T10" s="7">
        <v>599.5</v>
      </c>
      <c r="U10" s="7">
        <v>736</v>
      </c>
      <c r="V10" s="7">
        <v>610</v>
      </c>
      <c r="W10" s="7">
        <v>541.5</v>
      </c>
    </row>
    <row r="11" spans="1:24" x14ac:dyDescent="0.45">
      <c r="B11" s="2"/>
      <c r="C11" s="14" t="s">
        <v>9</v>
      </c>
      <c r="D11" s="4"/>
      <c r="E11" s="4"/>
      <c r="F11" s="9"/>
      <c r="G11" s="9"/>
      <c r="H11" s="9"/>
      <c r="I11" s="9"/>
      <c r="J11" s="9"/>
      <c r="K11" s="9"/>
      <c r="L11" s="9">
        <v>0</v>
      </c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</row>
    <row r="12" spans="1:24" s="2" customFormat="1" x14ac:dyDescent="0.45">
      <c r="C12" s="15" t="s">
        <v>16</v>
      </c>
      <c r="F12" s="6">
        <f t="shared" ref="F12:P12" si="1">F9*13+F10*15+F11*18</f>
        <v>7994</v>
      </c>
      <c r="G12" s="6">
        <f t="shared" si="1"/>
        <v>6946</v>
      </c>
      <c r="H12" s="6">
        <f t="shared" si="1"/>
        <v>8038</v>
      </c>
      <c r="I12" s="6">
        <f t="shared" si="1"/>
        <v>8010</v>
      </c>
      <c r="J12" s="6">
        <f t="shared" si="1"/>
        <v>8550</v>
      </c>
      <c r="K12" s="6">
        <f t="shared" si="1"/>
        <v>8175</v>
      </c>
      <c r="L12" s="6">
        <f t="shared" si="1"/>
        <v>6090</v>
      </c>
      <c r="M12" s="6">
        <f t="shared" si="1"/>
        <v>7509</v>
      </c>
      <c r="N12" s="6">
        <f t="shared" si="1"/>
        <v>6630</v>
      </c>
      <c r="O12" s="6">
        <f t="shared" si="1"/>
        <v>4230</v>
      </c>
      <c r="P12" s="6">
        <f t="shared" si="1"/>
        <v>270</v>
      </c>
      <c r="Q12" s="6">
        <f>Q9*13+Q10*15+Q11*18</f>
        <v>6090</v>
      </c>
      <c r="R12" s="6">
        <f t="shared" ref="R12:W12" si="2">R9*13+R10*15+R11*18</f>
        <v>9315</v>
      </c>
      <c r="S12" s="6">
        <f t="shared" si="2"/>
        <v>7560</v>
      </c>
      <c r="T12" s="6">
        <f t="shared" si="2"/>
        <v>8992.5</v>
      </c>
      <c r="U12" s="6">
        <f t="shared" si="2"/>
        <v>11040</v>
      </c>
      <c r="V12" s="6">
        <f t="shared" si="2"/>
        <v>9150</v>
      </c>
      <c r="W12" s="6">
        <f t="shared" si="2"/>
        <v>8122.5</v>
      </c>
      <c r="X12" s="6"/>
    </row>
    <row r="13" spans="1:24" s="2" customFormat="1" x14ac:dyDescent="0.45">
      <c r="C13" s="15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 spans="1:24" x14ac:dyDescent="0.45">
      <c r="B14" s="2"/>
      <c r="C14" s="12" t="s">
        <v>10</v>
      </c>
    </row>
    <row r="15" spans="1:24" x14ac:dyDescent="0.45">
      <c r="B15" s="2"/>
      <c r="C15" s="13" t="s">
        <v>11</v>
      </c>
      <c r="G15" s="7">
        <f>13.5+8.5</f>
        <v>22</v>
      </c>
      <c r="H15" s="7">
        <f>1.5+4</f>
        <v>5.5</v>
      </c>
      <c r="J15" s="7">
        <v>16.25</v>
      </c>
      <c r="K15" s="7">
        <v>7</v>
      </c>
      <c r="M15" s="7">
        <v>2</v>
      </c>
      <c r="O15" s="7">
        <v>4</v>
      </c>
      <c r="R15" s="7">
        <v>9.25</v>
      </c>
      <c r="S15" s="7">
        <v>17</v>
      </c>
      <c r="T15" s="7">
        <v>19</v>
      </c>
      <c r="U15" s="7">
        <v>17.5</v>
      </c>
      <c r="V15" s="7">
        <v>41.5</v>
      </c>
    </row>
    <row r="16" spans="1:24" x14ac:dyDescent="0.45">
      <c r="B16" s="2"/>
      <c r="C16" s="13" t="s">
        <v>8</v>
      </c>
      <c r="O16" s="7">
        <v>1</v>
      </c>
      <c r="V16" s="7">
        <v>10</v>
      </c>
    </row>
    <row r="17" spans="2:24" x14ac:dyDescent="0.45">
      <c r="B17" s="2"/>
      <c r="C17" s="13" t="s">
        <v>7</v>
      </c>
    </row>
    <row r="18" spans="2:24" x14ac:dyDescent="0.45">
      <c r="B18" s="2"/>
      <c r="C18" s="13" t="s">
        <v>14</v>
      </c>
      <c r="H18" s="7">
        <f>1</f>
        <v>1</v>
      </c>
      <c r="N18" s="7">
        <v>1.5</v>
      </c>
    </row>
    <row r="19" spans="2:24" x14ac:dyDescent="0.45">
      <c r="B19" s="2"/>
      <c r="C19" s="13" t="s">
        <v>64</v>
      </c>
      <c r="L19" s="7">
        <v>3.75</v>
      </c>
      <c r="Q19" s="7">
        <v>0.5</v>
      </c>
      <c r="R19" s="7">
        <v>49</v>
      </c>
      <c r="S19" s="7">
        <v>40</v>
      </c>
      <c r="T19" s="7">
        <v>7.75</v>
      </c>
      <c r="U19" s="7">
        <v>50.75</v>
      </c>
      <c r="V19" s="7">
        <v>12.25</v>
      </c>
      <c r="W19" s="7">
        <v>12</v>
      </c>
    </row>
    <row r="20" spans="2:24" x14ac:dyDescent="0.45">
      <c r="B20" s="2"/>
      <c r="C20" s="13" t="s">
        <v>5</v>
      </c>
      <c r="G20" s="7">
        <v>0</v>
      </c>
      <c r="H20" s="7">
        <f>4.5+0.5</f>
        <v>5</v>
      </c>
      <c r="J20" s="7">
        <v>0.25</v>
      </c>
      <c r="K20" s="7">
        <v>5.75</v>
      </c>
      <c r="L20" s="7">
        <v>1</v>
      </c>
      <c r="M20" s="7">
        <v>22</v>
      </c>
      <c r="N20" s="7">
        <v>0.5</v>
      </c>
      <c r="O20" s="7">
        <v>1.5</v>
      </c>
      <c r="S20" s="7">
        <v>10</v>
      </c>
      <c r="T20" s="7">
        <v>8.75</v>
      </c>
      <c r="U20" s="7">
        <v>21.25</v>
      </c>
      <c r="V20" s="7">
        <v>10.25</v>
      </c>
      <c r="W20" s="7">
        <v>4.25</v>
      </c>
    </row>
    <row r="21" spans="2:24" x14ac:dyDescent="0.45">
      <c r="B21" s="2"/>
      <c r="C21" s="13" t="s">
        <v>6</v>
      </c>
      <c r="G21" s="7">
        <v>2</v>
      </c>
      <c r="H21" s="7">
        <v>1.5</v>
      </c>
      <c r="I21" s="7">
        <v>9</v>
      </c>
      <c r="K21" s="7">
        <v>6.75</v>
      </c>
      <c r="L21" s="7">
        <v>1.5</v>
      </c>
      <c r="O21" s="7">
        <v>4.25</v>
      </c>
      <c r="S21" s="7">
        <v>2.5</v>
      </c>
      <c r="W21" s="7">
        <v>9.5</v>
      </c>
    </row>
    <row r="22" spans="2:24" x14ac:dyDescent="0.45">
      <c r="B22" s="2"/>
      <c r="C22" s="13" t="s">
        <v>9</v>
      </c>
    </row>
    <row r="23" spans="2:24" x14ac:dyDescent="0.45">
      <c r="B23" s="2"/>
      <c r="C23" s="13" t="s">
        <v>12</v>
      </c>
      <c r="F23" s="7">
        <f>0.5*2+2</f>
        <v>3</v>
      </c>
      <c r="G23" s="7">
        <f>0.5*2</f>
        <v>1</v>
      </c>
      <c r="H23" s="7">
        <f>0.25+0.5+2.25</f>
        <v>3</v>
      </c>
      <c r="I23" s="7">
        <f>0.75+0.75</f>
        <v>1.5</v>
      </c>
      <c r="P23" s="7">
        <v>1</v>
      </c>
      <c r="Q23" s="7">
        <v>4.75</v>
      </c>
      <c r="R23" s="7">
        <v>2.75</v>
      </c>
      <c r="S23" s="7">
        <v>1.5</v>
      </c>
      <c r="T23" s="7">
        <v>4.25</v>
      </c>
      <c r="U23" s="7">
        <v>1</v>
      </c>
    </row>
    <row r="24" spans="2:24" x14ac:dyDescent="0.45">
      <c r="B24" s="2"/>
      <c r="C24" s="13" t="s">
        <v>41</v>
      </c>
      <c r="K24" s="7">
        <v>1</v>
      </c>
    </row>
    <row r="25" spans="2:24" x14ac:dyDescent="0.45">
      <c r="B25" s="2"/>
      <c r="C25" s="14" t="s">
        <v>15</v>
      </c>
      <c r="D25" s="4"/>
      <c r="E25" s="4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</row>
    <row r="26" spans="2:24" x14ac:dyDescent="0.45">
      <c r="B26" s="2"/>
      <c r="C26" s="15" t="s">
        <v>16</v>
      </c>
      <c r="F26" s="6">
        <f t="shared" ref="F26:K26" si="3">SUM(F15:F18, F23:F25)*25+F20*13+F21*15+F22*18</f>
        <v>75</v>
      </c>
      <c r="G26" s="6">
        <f t="shared" si="3"/>
        <v>605</v>
      </c>
      <c r="H26" s="6">
        <f t="shared" si="3"/>
        <v>325</v>
      </c>
      <c r="I26" s="6">
        <f t="shared" si="3"/>
        <v>172.5</v>
      </c>
      <c r="J26" s="6">
        <f t="shared" si="3"/>
        <v>409.5</v>
      </c>
      <c r="K26" s="6">
        <f t="shared" si="3"/>
        <v>376</v>
      </c>
      <c r="L26" s="6">
        <f t="shared" ref="L26:Q26" si="4">SUM(L15:L18, L23:L25)*25+L20*13+L21*15+L22*18+L19*13</f>
        <v>84.25</v>
      </c>
      <c r="M26" s="6">
        <f t="shared" si="4"/>
        <v>336</v>
      </c>
      <c r="N26" s="6">
        <f t="shared" si="4"/>
        <v>44</v>
      </c>
      <c r="O26" s="6">
        <f t="shared" si="4"/>
        <v>208.25</v>
      </c>
      <c r="P26" s="6">
        <f t="shared" si="4"/>
        <v>25</v>
      </c>
      <c r="Q26" s="6">
        <f t="shared" si="4"/>
        <v>125.25</v>
      </c>
      <c r="R26" s="6">
        <f t="shared" ref="R26" si="5">SUM(R15:R18, R23:R25)*25+R20*13+R21*15+R22*18+R19*13</f>
        <v>937</v>
      </c>
      <c r="S26" s="6">
        <f t="shared" ref="S26" si="6">SUM(S15:S18, S23:S25)*25+S20*13+S21*15+S22*18+S19*13</f>
        <v>1150</v>
      </c>
      <c r="T26" s="6">
        <f t="shared" ref="T26" si="7">SUM(T15:T18, T23:T25)*25+T20*13+T21*15+T22*18+T19*13</f>
        <v>795.75</v>
      </c>
      <c r="U26" s="6">
        <f>SUM(U15:U18, U23:U25)*25+U20*13+U21*15+U22*18+U19*13</f>
        <v>1398.5</v>
      </c>
      <c r="V26" s="6">
        <f t="shared" ref="V26" si="8">SUM(V15:V18, V23:V25)*25+V20*13+V21*15+V22*18+V19*13</f>
        <v>1580</v>
      </c>
      <c r="W26" s="6">
        <f>SUM(W15:W18, W23:W25)*25+W20*13+W21*15+W22*18+W19*13</f>
        <v>353.75</v>
      </c>
      <c r="X26" s="6"/>
    </row>
    <row r="27" spans="2:24" s="2" customFormat="1" x14ac:dyDescent="0.45">
      <c r="C27" s="20"/>
      <c r="D27" s="17"/>
      <c r="E27" s="17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</row>
    <row r="28" spans="2:24" x14ac:dyDescent="0.45">
      <c r="B28" s="2"/>
      <c r="C28" s="15" t="s">
        <v>16</v>
      </c>
      <c r="F28" s="6">
        <f t="shared" ref="F28:Q28" si="9">F26+F12</f>
        <v>8069</v>
      </c>
      <c r="G28" s="6">
        <f t="shared" si="9"/>
        <v>7551</v>
      </c>
      <c r="H28" s="6">
        <f t="shared" si="9"/>
        <v>8363</v>
      </c>
      <c r="I28" s="6">
        <f t="shared" si="9"/>
        <v>8182.5</v>
      </c>
      <c r="J28" s="6">
        <f t="shared" si="9"/>
        <v>8959.5</v>
      </c>
      <c r="K28" s="6">
        <f t="shared" si="9"/>
        <v>8551</v>
      </c>
      <c r="L28" s="6">
        <f t="shared" si="9"/>
        <v>6174.25</v>
      </c>
      <c r="M28" s="6">
        <f t="shared" si="9"/>
        <v>7845</v>
      </c>
      <c r="N28" s="6">
        <f t="shared" si="9"/>
        <v>6674</v>
      </c>
      <c r="O28" s="6">
        <f t="shared" si="9"/>
        <v>4438.25</v>
      </c>
      <c r="P28" s="6">
        <f t="shared" si="9"/>
        <v>295</v>
      </c>
      <c r="Q28" s="6">
        <f t="shared" si="9"/>
        <v>6215.25</v>
      </c>
      <c r="R28" s="6">
        <f t="shared" ref="R28:W28" si="10">R26+R12</f>
        <v>10252</v>
      </c>
      <c r="S28" s="6">
        <f t="shared" si="10"/>
        <v>8710</v>
      </c>
      <c r="T28" s="6">
        <f t="shared" si="10"/>
        <v>9788.25</v>
      </c>
      <c r="U28" s="6">
        <f>U26+U12</f>
        <v>12438.5</v>
      </c>
      <c r="V28" s="6">
        <f t="shared" si="10"/>
        <v>10730</v>
      </c>
      <c r="W28" s="6">
        <f t="shared" si="10"/>
        <v>8476.25</v>
      </c>
      <c r="X28" s="6"/>
    </row>
    <row r="29" spans="2:24" x14ac:dyDescent="0.45">
      <c r="B29" s="2"/>
      <c r="C29" s="15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</row>
    <row r="30" spans="2:24" x14ac:dyDescent="0.45">
      <c r="B30" s="2"/>
      <c r="C30" s="15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</row>
    <row r="31" spans="2:24" x14ac:dyDescent="0.45">
      <c r="B31" s="2"/>
      <c r="C31" s="15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 spans="2:24" x14ac:dyDescent="0.45">
      <c r="B32" s="2"/>
      <c r="C32" s="15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 spans="2:24" x14ac:dyDescent="0.45">
      <c r="B33" s="2"/>
      <c r="C33" s="15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</row>
    <row r="34" spans="2:24" x14ac:dyDescent="0.45">
      <c r="B34" s="2"/>
      <c r="C34" s="15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</row>
    <row r="35" spans="2:24" x14ac:dyDescent="0.45">
      <c r="B35" s="2"/>
      <c r="C35" s="15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</row>
    <row r="36" spans="2:24" x14ac:dyDescent="0.45">
      <c r="B36" s="2"/>
      <c r="C36" s="15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</row>
  </sheetData>
  <phoneticPr fontId="3" type="noConversion"/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Inputs for GHG calculation</vt:lpstr>
      <vt:lpstr>Diesel fuel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J-C Amado - Viridi Global</dc:creator>
  <cp:lastModifiedBy>J-C Amado - Viridi Global</cp:lastModifiedBy>
  <dcterms:created xsi:type="dcterms:W3CDTF">2024-04-01T19:55:20Z</dcterms:created>
  <dcterms:modified xsi:type="dcterms:W3CDTF">2026-08-11T00:59:44Z</dcterms:modified>
</cp:coreProperties>
</file>