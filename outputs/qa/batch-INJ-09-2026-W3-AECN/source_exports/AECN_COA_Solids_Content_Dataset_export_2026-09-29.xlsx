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er Load" sheetId="2" r:id="rId6"/>
    <sheet state="visible" name="Unique COAs" sheetId="3" r:id="rId7"/>
    <sheet state="visible" name="Materiality (Sec 2)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tc={d5857fd0-a3d4-4e61-b405-8e5c4490a308}</author>
  </authors>
  <commentList>
    <comment authorId="0" xr:uid="{d5857fd0-a3d4-4e61-b405-8e5c4490a308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From this value down through row 10: These should all be functions. If they're just hard-coded the math isn't auditable.
</t>
      </text>
    </comment>
  </commentList>
</comments>
</file>

<file path=xl/sharedStrings.xml><?xml version="1.0" encoding="utf-8"?>
<sst xmlns="http://schemas.openxmlformats.org/spreadsheetml/2006/main" count="905" uniqueCount="396">
  <si>
    <t>load_id</t>
  </si>
  <si>
    <t>Metric</t>
  </si>
  <si>
    <t>Section 2 - Aggregate Materiality: Fixed-Mean vs Per-CofA Filtration-Loss Deduction</t>
  </si>
  <si>
    <t>delivery_date</t>
  </si>
  <si>
    <t>COA</t>
  </si>
  <si>
    <t>solid_content</t>
  </si>
  <si>
    <t>file_id</t>
  </si>
  <si>
    <t>loaded_mass_kg</t>
  </si>
  <si>
    <t>loss_per_cofa_kg</t>
  </si>
  <si>
    <t>loss_fixed_kg</t>
  </si>
  <si>
    <t>Window: May 2025 - May 2026   |   ASTM D7579 (BioEnergie AE Cote-Nord)   |   all figures live from the Per Load tab</t>
  </si>
  <si>
    <t>Assumptions</t>
  </si>
  <si>
    <t>Fixed-mean constant (adopted)</t>
  </si>
  <si>
    <t>5/19/2025</t>
  </si>
  <si>
    <t>RS1-250512-1</t>
  </si>
  <si>
    <t>0.240%</t>
  </si>
  <si>
    <t>1hdiKvUjHRqHRg0dBgY024y51LMEyAWJm</t>
  </si>
  <si>
    <t>C content</t>
  </si>
  <si>
    <t>CO₂e factor (44 / 12)</t>
  </si>
  <si>
    <t>Value</t>
  </si>
  <si>
    <t>Notes</t>
  </si>
  <si>
    <t>Loads in window</t>
  </si>
  <si>
    <t>Window</t>
  </si>
  <si>
    <t>2025-05-18 to 2026-05-18</t>
  </si>
  <si>
    <t>last 12 months from 2026-05-18</t>
  </si>
  <si>
    <t>Source</t>
  </si>
  <si>
    <t>Bio-Oil Injection Tracker &gt; Loads (col D COA hyperlinks)</t>
  </si>
  <si>
    <t>Total loaded mass (kg)</t>
  </si>
  <si>
    <t>Unique COA PDFs</t>
  </si>
  <si>
    <t>Aggregate impact across all loads</t>
  </si>
  <si>
    <t>5/20/2025</t>
  </si>
  <si>
    <t>RS3-250513-1</t>
  </si>
  <si>
    <t>0.210%</t>
  </si>
  <si>
    <t>1DO2zWczGw-plAcuWdQ3-6fyqTvrhfEKv</t>
  </si>
  <si>
    <t>Mean (per unique COA)</t>
  </si>
  <si>
    <t>5/22/2025</t>
  </si>
  <si>
    <t>RS1-250516-1</t>
  </si>
  <si>
    <t>0.180%</t>
  </si>
  <si>
    <t>1CaEjU_epE9VEXJInlz8RCkUAUIwjdGGk</t>
  </si>
  <si>
    <t>Current (per-CofA policy)</t>
  </si>
  <si>
    <t>Proposed (fixed 0.196%)</t>
  </si>
  <si>
    <t>5/23/2025</t>
  </si>
  <si>
    <t>RS3-250519-1</t>
  </si>
  <si>
    <t>Δ (proposed - current)</t>
  </si>
  <si>
    <t>1mW08is17mbSbnbSoGVv6xsXJKr8icOtk</t>
  </si>
  <si>
    <t>Δ %</t>
  </si>
  <si>
    <t>5/24/2025</t>
  </si>
  <si>
    <t>Filtration-loss mass (kg)</t>
  </si>
  <si>
    <t>5/26/2025</t>
  </si>
  <si>
    <t>RS1-250521-1</t>
  </si>
  <si>
    <t>0.170%</t>
  </si>
  <si>
    <t>1XYOM8HiQUbS9kilGm0ChyN-zL5Jh1n1o</t>
  </si>
  <si>
    <t>6/6/2025</t>
  </si>
  <si>
    <t>RS1-250526-1</t>
  </si>
  <si>
    <t>19JOgx0ABBEvZspVsfKKYmoEHHXWYKY9I</t>
  </si>
  <si>
    <t>6/7/2025</t>
  </si>
  <si>
    <t>RS3-250531-1</t>
  </si>
  <si>
    <t>0.230%</t>
  </si>
  <si>
    <t>1YhpedaMWb_wCZ95CMEtfTzQRHPta26oc</t>
  </si>
  <si>
    <t>6/8/2025</t>
  </si>
  <si>
    <t>RS1-250604-1</t>
  </si>
  <si>
    <t>1PArCv-ChT5CfVwUfrn0ckUPKRe24avkG</t>
  </si>
  <si>
    <t>6/9/2025</t>
  </si>
  <si>
    <t>simple mean across distinct CofAs</t>
  </si>
  <si>
    <t>6/23/2025</t>
  </si>
  <si>
    <t>RS3-250616-1</t>
  </si>
  <si>
    <t>0.250%</t>
  </si>
  <si>
    <t>1LE9w6mrFoIQqHhhg8pEyWdDOJDAQppYr</t>
  </si>
  <si>
    <t>Mean (per load)</t>
  </si>
  <si>
    <t>6/27/2025</t>
  </si>
  <si>
    <t>RS1-250618-1</t>
  </si>
  <si>
    <t>15aI2_OglWpN3l3lviNtdR7wFg3IjQUmB</t>
  </si>
  <si>
    <t>Injected mass (kg)</t>
  </si>
  <si>
    <t>6/28/2025</t>
  </si>
  <si>
    <t>6/30/2025</t>
  </si>
  <si>
    <t>each load counted; weighted by deliveries per CofA</t>
  </si>
  <si>
    <t>7/3/2025</t>
  </si>
  <si>
    <t>Min</t>
  </si>
  <si>
    <t>RS1-250627-1</t>
  </si>
  <si>
    <t>0.220%</t>
  </si>
  <si>
    <t>1kNDW441NfjRDSdgB5B-asRuLYoQ9RUYD</t>
  </si>
  <si>
    <t>Gross CDR (tCO₂e)</t>
  </si>
  <si>
    <t>7/4/2025</t>
  </si>
  <si>
    <t>load_count</t>
  </si>
  <si>
    <t>7/7/2025</t>
  </si>
  <si>
    <t>RS2-250701-1</t>
  </si>
  <si>
    <t>1JJJtHCUK9LchQ62DDxl5Dx0yQxu6wy5W</t>
  </si>
  <si>
    <t>Δ filtration loss as % of total loaded mass</t>
  </si>
  <si>
    <t>Max</t>
  </si>
  <si>
    <t>Δ gross CDR as % of gross CDR</t>
  </si>
  <si>
    <t>7/8/2025</t>
  </si>
  <si>
    <t>RS3-250705-1</t>
  </si>
  <si>
    <t>1QZJpFcnAQSNZkD1YePCJaoMCu1meWVNY</t>
  </si>
  <si>
    <t>7/9/2025</t>
  </si>
  <si>
    <t>Std dev (per load, population)</t>
  </si>
  <si>
    <t>7/12/2025</t>
  </si>
  <si>
    <t>RS1-250708-1</t>
  </si>
  <si>
    <t>15EoF6SCKGDCLLvBUytY2nd8C_PkJI4-G</t>
  </si>
  <si>
    <t>Note: %ΔCDR = %Δinjected mass at any constant C content, so the result is invariant to the C content assumption. Δ column = proposed minus current.</t>
  </si>
  <si>
    <t>7/14/2025</t>
  </si>
  <si>
    <t>RS3-250624-1</t>
  </si>
  <si>
    <t>1fBcm7ZMF5W_9xW5WxiWcYS2pPwAg_nD8</t>
  </si>
  <si>
    <t>7/15/2025</t>
  </si>
  <si>
    <t>RS3-250712-1</t>
  </si>
  <si>
    <t>0.190%</t>
  </si>
  <si>
    <t>1q4gK1LKOTgb1K32ydanXTaWAN-zlIxBV</t>
  </si>
  <si>
    <t>RS1-250713-1</t>
  </si>
  <si>
    <t>13pXcvCUx9c8SPn2ma4J79saTiX8R3OBl</t>
  </si>
  <si>
    <t>7/17/2025</t>
  </si>
  <si>
    <t>RS1-250715-1</t>
  </si>
  <si>
    <t>0.290%</t>
  </si>
  <si>
    <t>1U_tQnCZbY05PVqCRdVMsyh8X2_MN9yFi</t>
  </si>
  <si>
    <t>RS1-250717-1</t>
  </si>
  <si>
    <t>7/18/2025</t>
  </si>
  <si>
    <t>1Eql9jEnS8PKiXqdEnjXVF8fHiGsdjHMy</t>
  </si>
  <si>
    <t>RS1-250720-1</t>
  </si>
  <si>
    <t>1d3gksjhHgTmCjqdODDIwlsYN-ALz4NOy</t>
  </si>
  <si>
    <t>RS3-250714-1</t>
  </si>
  <si>
    <t>1lHNrJlICeXoMfvp2Qa6Qc0GO_SxvwvZk</t>
  </si>
  <si>
    <t>RS1-250727-1</t>
  </si>
  <si>
    <t>0.300%</t>
  </si>
  <si>
    <t>1k6qpb6KScnFf3cZfVfSIbeH_nGcjL6pH</t>
  </si>
  <si>
    <t>RS1-250809-1</t>
  </si>
  <si>
    <t>Recommended value for filtration loss</t>
  </si>
  <si>
    <t>0.200%</t>
  </si>
  <si>
    <t>14GpQVW_xENP6jcQle8gvLqAj8GPuwevo</t>
  </si>
  <si>
    <t>7/19/2025</t>
  </si>
  <si>
    <t>RS1-250817-1</t>
  </si>
  <si>
    <t>1uOXlLieYl1PEh18Xv8UcpPrwgkl85Xzf</t>
  </si>
  <si>
    <t>per-load mean — best represents what is actually delivered</t>
  </si>
  <si>
    <t>RS1-250911-1</t>
  </si>
  <si>
    <t>1lmysZnJMxut3Rz0rCevssPRBiwYK3Cax</t>
  </si>
  <si>
    <t>RS1-251011-1</t>
  </si>
  <si>
    <t>1_57dnpB5F3G53tGA5ZSWpaj6pPCfqnuk</t>
  </si>
  <si>
    <t>7/20/2025</t>
  </si>
  <si>
    <t>RS1-260117-1</t>
  </si>
  <si>
    <t>0.130%</t>
  </si>
  <si>
    <t>1EGRnCfZxRo59RRfQWKFPv9IfeAKwKYyB</t>
  </si>
  <si>
    <t>7/25/2025</t>
  </si>
  <si>
    <t>RS1-260201-1</t>
  </si>
  <si>
    <t>1evJ90vRP7A8upIW5uphC5KOcPb0Wf5Ad</t>
  </si>
  <si>
    <t>RS1-260204-1</t>
  </si>
  <si>
    <t>0.150%</t>
  </si>
  <si>
    <t>1sJP4JnKqqRyszUDP06uZL6gmUbqmFktZ</t>
  </si>
  <si>
    <t>7/26/2025</t>
  </si>
  <si>
    <t>RS1-260212-1</t>
  </si>
  <si>
    <t>1yrATA8kFY0vCZ-4LHQqRM_xteSPIrxpg</t>
  </si>
  <si>
    <t>7/27/2025</t>
  </si>
  <si>
    <t>RS1-260217-1</t>
  </si>
  <si>
    <t>0.140%</t>
  </si>
  <si>
    <t>1Vf9E8ujUWPCwzBgiwjYdqmSlSC6GvsPF</t>
  </si>
  <si>
    <t>7/28/2025</t>
  </si>
  <si>
    <t>RS3-250723-1</t>
  </si>
  <si>
    <t>0.260%</t>
  </si>
  <si>
    <t>RS1-260221-1</t>
  </si>
  <si>
    <t>1W3OsXQH6SuaRqHnIvUVV-eYw71PgdRmT</t>
  </si>
  <si>
    <t>1KcRGfEJa5-lhcU9QxVfJRNVuHEqKJWi7</t>
  </si>
  <si>
    <t>RS1-260225-1</t>
  </si>
  <si>
    <t>1GiHRLg-Fr8yT-11Kv2sf8mS9t9qYAJpH</t>
  </si>
  <si>
    <t>207</t>
  </si>
  <si>
    <t>RS1-260302-1</t>
  </si>
  <si>
    <t>1p9kGPHGeZSD4JBjtYjlm8JpJhq26f7OC</t>
  </si>
  <si>
    <t>RS1-260305-1</t>
  </si>
  <si>
    <t>1IJNLEaAY1gVofl95Q69ZXS9sUAWGwTGs</t>
  </si>
  <si>
    <t>208</t>
  </si>
  <si>
    <t>7/30/2025</t>
  </si>
  <si>
    <t>RS1-260310-1</t>
  </si>
  <si>
    <t>1Q2k-ajtZbNIqN7ZKThKVfT4KVfa51Lrd</t>
  </si>
  <si>
    <t>RS1-260312-1</t>
  </si>
  <si>
    <t>1c8QFeZriGWSHxebJz8AIiJwp-o4V4cOS</t>
  </si>
  <si>
    <t>209</t>
  </si>
  <si>
    <t>8/2/2025</t>
  </si>
  <si>
    <t>RS1-260316-1</t>
  </si>
  <si>
    <t>0.160%</t>
  </si>
  <si>
    <t>1fdfsW_keQys68RDkoCkaX9XEID6od0VN</t>
  </si>
  <si>
    <t>210</t>
  </si>
  <si>
    <t>RS1-260406-1</t>
  </si>
  <si>
    <t>8/14/2025</t>
  </si>
  <si>
    <t>1SgXxgD0KZSuND3Xb_9Pw5wYHyuJcDhA4</t>
  </si>
  <si>
    <t>RS1-260407-1</t>
  </si>
  <si>
    <t>1kTDSDdACopG9VykR0sdwR4MDn792HAuC</t>
  </si>
  <si>
    <t>211</t>
  </si>
  <si>
    <t>8/15/2025</t>
  </si>
  <si>
    <t>RS1-260421-1</t>
  </si>
  <si>
    <t>1vz7Qca03qovkBkXCe0QkjPaVF2NO6fDY</t>
  </si>
  <si>
    <t>212</t>
  </si>
  <si>
    <t>8/20/2025</t>
  </si>
  <si>
    <t>RS3-250809-1</t>
  </si>
  <si>
    <t>1qWOVtVkgdROUFiLtMHi229ivYpU_5E_3</t>
  </si>
  <si>
    <t>RS1-260502-1</t>
  </si>
  <si>
    <t>1F4qwOmw7LKCjjzHHQ1aauIB2ShTsg52o</t>
  </si>
  <si>
    <t>RS1-260504-1</t>
  </si>
  <si>
    <t>1v02Hg9Awf-vfb2TS8QI4GE-BYL8DSdET</t>
  </si>
  <si>
    <t>213</t>
  </si>
  <si>
    <t>RS2-250813-1</t>
  </si>
  <si>
    <t>13FCskwWJT16HCd14-LkX1uGV1pxOTPQ6</t>
  </si>
  <si>
    <t>RS1-260505-1</t>
  </si>
  <si>
    <t>1WFa7Mp6ZOR0aVq-j0ghqBnXqYMpQDP5u</t>
  </si>
  <si>
    <t>215</t>
  </si>
  <si>
    <t>8/23/2025</t>
  </si>
  <si>
    <t>214</t>
  </si>
  <si>
    <t>8/24/2025</t>
  </si>
  <si>
    <t>RS2-250825-1</t>
  </si>
  <si>
    <t>1jOfwCNzpp3Bc6B-XSPOqtyzRa0r2H1qp</t>
  </si>
  <si>
    <t>216</t>
  </si>
  <si>
    <t>8/26/2025</t>
  </si>
  <si>
    <t>RS2-250905-1</t>
  </si>
  <si>
    <t>1_peRjjwJFXRXVVCInHWd_P61D9g30iES</t>
  </si>
  <si>
    <t>RS2-250919-1</t>
  </si>
  <si>
    <t>1hee2b5b_D81j3LImGlJJJsO_retOH-_V</t>
  </si>
  <si>
    <t>217</t>
  </si>
  <si>
    <t>8/27/2025</t>
  </si>
  <si>
    <t>RS2-250919-1, RS3-250915-1</t>
  </si>
  <si>
    <t>0.205%</t>
  </si>
  <si>
    <t>RS2-250919-1, RS3-250923-1</t>
  </si>
  <si>
    <t>218</t>
  </si>
  <si>
    <t>9/2/2025</t>
  </si>
  <si>
    <t>RS2-251002-1</t>
  </si>
  <si>
    <t>1NLoZbJ3mln9xSK0POYB54aOTVXeeJTX6</t>
  </si>
  <si>
    <t>RS2-251014-1</t>
  </si>
  <si>
    <t>219</t>
  </si>
  <si>
    <t>11dw4dbRuW3eRhbalu3HdLQKnhGQUslSN</t>
  </si>
  <si>
    <t>9/3/2025</t>
  </si>
  <si>
    <t>221</t>
  </si>
  <si>
    <t>9/13/2025</t>
  </si>
  <si>
    <t>220</t>
  </si>
  <si>
    <t>9/14/2025</t>
  </si>
  <si>
    <t>222</t>
  </si>
  <si>
    <t>9/17/2025</t>
  </si>
  <si>
    <t>223</t>
  </si>
  <si>
    <t>224</t>
  </si>
  <si>
    <t>9/21/2025</t>
  </si>
  <si>
    <t>RS3-250915-1</t>
  </si>
  <si>
    <t>1ssNNS-AUNqigoK4Pxi4sYhx8PLZ8DIJ3</t>
  </si>
  <si>
    <t>225</t>
  </si>
  <si>
    <t>9/22/2025</t>
  </si>
  <si>
    <t>226</t>
  </si>
  <si>
    <t>9/26/2025</t>
  </si>
  <si>
    <t>229</t>
  </si>
  <si>
    <t>9/30/2025</t>
  </si>
  <si>
    <t>RS3-250923-1</t>
  </si>
  <si>
    <t>1wmE3tpAo2xesteygoEwj4qPnaJ8bvuY9</t>
  </si>
  <si>
    <t>231</t>
  </si>
  <si>
    <t>230</t>
  </si>
  <si>
    <t>10/2/2025</t>
  </si>
  <si>
    <t>233</t>
  </si>
  <si>
    <t>10/11/2025</t>
  </si>
  <si>
    <t>RS3-251006-1</t>
  </si>
  <si>
    <t>1HnpijX0PW3HB4Xbk-6-cG1RtekGM08Le</t>
  </si>
  <si>
    <t>232</t>
  </si>
  <si>
    <t>10/13/2025</t>
  </si>
  <si>
    <t>RS3-251017-1</t>
  </si>
  <si>
    <t>1sKd13kKguvDjaLQYL2AHKMIwBx6hrhuu</t>
  </si>
  <si>
    <t>RS3-260128-1</t>
  </si>
  <si>
    <t>0.120%</t>
  </si>
  <si>
    <t>1_fNiqSMFpsyGZhTCjjbY3BbSS7kIS-ig</t>
  </si>
  <si>
    <t>227</t>
  </si>
  <si>
    <t>10/14/2025</t>
  </si>
  <si>
    <t>RS3-260203-1</t>
  </si>
  <si>
    <t>1d3ALVVyNagSJ724tcp5lSjnFxmIxZ_tH</t>
  </si>
  <si>
    <t>RS3-260205-1</t>
  </si>
  <si>
    <t>1llMoJlQ_OShGGKjmNDt7eKNx6ZXNsEt_</t>
  </si>
  <si>
    <t>228</t>
  </si>
  <si>
    <t>RS3-260216-1</t>
  </si>
  <si>
    <t>1vJIiKH27Y8iH3fhnq-qfTVH7fZtXuH5W</t>
  </si>
  <si>
    <t>234</t>
  </si>
  <si>
    <t>10/15/2025</t>
  </si>
  <si>
    <t>RS3-260219-1</t>
  </si>
  <si>
    <t>1CndXSlkDFITRZrCMbawccCngmWYq4G-N</t>
  </si>
  <si>
    <t>235</t>
  </si>
  <si>
    <t>10/16/2025</t>
  </si>
  <si>
    <t>RS3-260223-1</t>
  </si>
  <si>
    <t>1YhtzQMMNY-QchbdPNRl0mnILf4vgpSWM</t>
  </si>
  <si>
    <t>236</t>
  </si>
  <si>
    <t>10/21/2025</t>
  </si>
  <si>
    <t>RS3-260303-1</t>
  </si>
  <si>
    <t>1-8oa8FaaOtglnZbouNzAiPI0lyvT_lT7</t>
  </si>
  <si>
    <t>RS3-260310-1</t>
  </si>
  <si>
    <t>15pKhZyfIDW4yvm29Y52WhHGAGsLCUBRt</t>
  </si>
  <si>
    <t>237</t>
  </si>
  <si>
    <t>RS3-260312-1</t>
  </si>
  <si>
    <t>1HRpVxIKnlIFZ0r6rsMTrd8znTBWFOcix</t>
  </si>
  <si>
    <t>238</t>
  </si>
  <si>
    <t>RS3-260314-1</t>
  </si>
  <si>
    <t>10/24/2025</t>
  </si>
  <si>
    <t>1vPpJmvWGS0OivuaveJPZvsoKp7l5amVi</t>
  </si>
  <si>
    <t>RS3-260318-1</t>
  </si>
  <si>
    <t>1qHzsvJhmq2BXVFwy898v9QQkgKYN64pe</t>
  </si>
  <si>
    <t>239</t>
  </si>
  <si>
    <t>RS3-260410-1</t>
  </si>
  <si>
    <t>1xf-eeh9FEz9IgYhUHgebIoj7hkfvgfBk</t>
  </si>
  <si>
    <t>RS3-260506-1</t>
  </si>
  <si>
    <t>240</t>
  </si>
  <si>
    <t>12/1/2025</t>
  </si>
  <si>
    <t>1vj6RPj9Y2VhuXnqavAyyk-5tRn3oDDQA</t>
  </si>
  <si>
    <t>241</t>
  </si>
  <si>
    <t>242</t>
  </si>
  <si>
    <t>12/9/2025</t>
  </si>
  <si>
    <t>243</t>
  </si>
  <si>
    <t>246</t>
  </si>
  <si>
    <t>2/5/2026</t>
  </si>
  <si>
    <t>247</t>
  </si>
  <si>
    <t>2/6/2026</t>
  </si>
  <si>
    <t>248</t>
  </si>
  <si>
    <t>2/8/2026</t>
  </si>
  <si>
    <t>249</t>
  </si>
  <si>
    <t>2/9/2026</t>
  </si>
  <si>
    <t>250</t>
  </si>
  <si>
    <t>2/10/2026</t>
  </si>
  <si>
    <t>251</t>
  </si>
  <si>
    <t>2/11/2026</t>
  </si>
  <si>
    <t>244</t>
  </si>
  <si>
    <t>2/16/2026</t>
  </si>
  <si>
    <t>252</t>
  </si>
  <si>
    <t>2/17/2026</t>
  </si>
  <si>
    <t>253</t>
  </si>
  <si>
    <t>2/18/2026</t>
  </si>
  <si>
    <t>254</t>
  </si>
  <si>
    <t>2/20/2026</t>
  </si>
  <si>
    <t>255</t>
  </si>
  <si>
    <t>257</t>
  </si>
  <si>
    <t>256</t>
  </si>
  <si>
    <t>2/21/2026</t>
  </si>
  <si>
    <t>258</t>
  </si>
  <si>
    <t>259</t>
  </si>
  <si>
    <t>2/24/2026</t>
  </si>
  <si>
    <t>260</t>
  </si>
  <si>
    <t>2/25/2026</t>
  </si>
  <si>
    <t>261</t>
  </si>
  <si>
    <t>2/26/2026</t>
  </si>
  <si>
    <t>262</t>
  </si>
  <si>
    <t>263</t>
  </si>
  <si>
    <t>2/27/2026</t>
  </si>
  <si>
    <t>264</t>
  </si>
  <si>
    <t>2/28/2026</t>
  </si>
  <si>
    <t>265</t>
  </si>
  <si>
    <t>266</t>
  </si>
  <si>
    <t>3/1/2026</t>
  </si>
  <si>
    <t>267</t>
  </si>
  <si>
    <t>3/2/2026</t>
  </si>
  <si>
    <t>268</t>
  </si>
  <si>
    <t>3/4/2026</t>
  </si>
  <si>
    <t>269</t>
  </si>
  <si>
    <t>3/6/2026</t>
  </si>
  <si>
    <t>272</t>
  </si>
  <si>
    <t>3/7/2026</t>
  </si>
  <si>
    <t>273</t>
  </si>
  <si>
    <t>3/8/2026</t>
  </si>
  <si>
    <t>274</t>
  </si>
  <si>
    <t>275</t>
  </si>
  <si>
    <t>3/9/2026</t>
  </si>
  <si>
    <t>276</t>
  </si>
  <si>
    <t>3/15/2026</t>
  </si>
  <si>
    <t>277</t>
  </si>
  <si>
    <t>3/17/2026</t>
  </si>
  <si>
    <t>1sIBwaa9qFkxn6mfnO-P-cgoLGHK6XvtP</t>
  </si>
  <si>
    <t>278</t>
  </si>
  <si>
    <t>279</t>
  </si>
  <si>
    <t>280</t>
  </si>
  <si>
    <t>3/18/2026</t>
  </si>
  <si>
    <t>281</t>
  </si>
  <si>
    <t>282</t>
  </si>
  <si>
    <t>3/19/2026</t>
  </si>
  <si>
    <t>283</t>
  </si>
  <si>
    <t>284</t>
  </si>
  <si>
    <t>3/20/2026</t>
  </si>
  <si>
    <t>285</t>
  </si>
  <si>
    <t>286</t>
  </si>
  <si>
    <t>287</t>
  </si>
  <si>
    <t>3/22/2026</t>
  </si>
  <si>
    <t>290</t>
  </si>
  <si>
    <t>291</t>
  </si>
  <si>
    <t>288</t>
  </si>
  <si>
    <t>3/23/2026</t>
  </si>
  <si>
    <t>292</t>
  </si>
  <si>
    <t>271</t>
  </si>
  <si>
    <t>3/25/2026</t>
  </si>
  <si>
    <t>289</t>
  </si>
  <si>
    <t>293</t>
  </si>
  <si>
    <t>295</t>
  </si>
  <si>
    <t>4/11/2026</t>
  </si>
  <si>
    <t>298</t>
  </si>
  <si>
    <t>4/12/2026</t>
  </si>
  <si>
    <t>299</t>
  </si>
  <si>
    <t>4/16/2026</t>
  </si>
  <si>
    <t>300</t>
  </si>
  <si>
    <t>5/20/2026</t>
  </si>
  <si>
    <t>307</t>
  </si>
  <si>
    <t>5/22/2026</t>
  </si>
  <si>
    <t>308</t>
  </si>
  <si>
    <t>309</t>
  </si>
  <si>
    <t>310</t>
  </si>
  <si>
    <t>311</t>
  </si>
  <si>
    <t>312</t>
  </si>
  <si>
    <t>313</t>
  </si>
  <si>
    <t>314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</si>
</sst>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0"/>
    <numFmt numFmtId="166" formatCode="0.0000%"/>
    <numFmt numFmtId="167" formatCode="#,##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i/>
      <color rgb="FF666666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E2F2"/>
        <bgColor rgb="FFD8E2F2"/>
      </patternFill>
    </fill>
    <fill>
      <patternFill patternType="solid">
        <fgColor rgb="FFD8EDD3"/>
        <bgColor rgb="FFD8EDD3"/>
      </patternFill>
    </fill>
  </fills>
  <borders count="10">
    <border/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165" xfId="0" applyFont="1" applyNumberFormat="1"/>
    <xf borderId="0" fillId="0" fontId="4" numFmtId="4" xfId="0" applyFont="1" applyNumberFormat="1"/>
    <xf borderId="0" fillId="0" fontId="4" numFmtId="1" xfId="0" applyFont="1" applyNumberFormat="1"/>
    <xf borderId="0" fillId="0" fontId="4" numFmtId="1" xfId="0" applyAlignment="1" applyFont="1" applyNumberFormat="1">
      <alignment readingOrder="0"/>
    </xf>
    <xf borderId="0" fillId="0" fontId="4" numFmtId="3" xfId="0" applyFont="1" applyNumberFormat="1"/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0" fontId="4" numFmtId="164" xfId="0" applyAlignment="1" applyFont="1" applyNumberFormat="1">
      <alignment readingOrder="0"/>
    </xf>
    <xf borderId="6" fillId="0" fontId="4" numFmtId="10" xfId="0" applyBorder="1" applyFont="1" applyNumberFormat="1"/>
    <xf borderId="6" fillId="0" fontId="4" numFmtId="166" xfId="0" applyBorder="1" applyFont="1" applyNumberFormat="1"/>
    <xf borderId="7" fillId="0" fontId="4" numFmtId="0" xfId="0" applyAlignment="1" applyBorder="1" applyFont="1">
      <alignment readingOrder="0"/>
    </xf>
    <xf borderId="8" fillId="0" fontId="4" numFmtId="167" xfId="0" applyBorder="1" applyFont="1" applyNumberFormat="1"/>
    <xf borderId="9" fillId="0" fontId="4" numFmtId="166" xfId="0" applyBorder="1" applyFont="1" applyNumberFormat="1"/>
    <xf borderId="0" fillId="0" fontId="4" numFmtId="166" xfId="0" applyFont="1" applyNumberFormat="1"/>
    <xf borderId="0" fillId="3" fontId="1" numFmtId="0" xfId="0" applyFill="1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.lutz@charmindustrial.com" id="{0f31fda2-63d8-4b01-8998-42b7cd7466e2}" userId="garrett.lutz@charmindustrial.com" providerId="google-sheets"/>
  <x18tc:person displayName="Max Lavine" id="{da870731-efa3-462a-92eb-376bdf03e5e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6-05T23:46:04.00" personId="{da870731-efa3-462a-92eb-376bdf03e5e7}" id="{d5857fd0-a3d4-4e61-b405-8e5c4490a308}" done="1">
    <x18tc:text xml:space="preserve">@garrett.lutz@charmindustrial.com From this value down through row 10: These should all be functions. If they're just hard-coded the math isn't auditable.</x18tc:text>
    <x18tc:mentions>
      <x18tc:mention mentionpersonId="{0f31fda2-63d8-4b01-8998-42b7cd7466e2}" mentionId="{e5e5220f-010d-4208-8fcd-68104db09499}" startIndex="0" length="3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0.63"/>
    <col customWidth="1" min="3" max="3" width="43.13"/>
  </cols>
  <sheetData>
    <row r="1">
      <c r="A1" s="1" t="s">
        <v>1</v>
      </c>
      <c r="B1" s="1" t="s">
        <v>19</v>
      </c>
      <c r="C1" s="1" t="s">
        <v>20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22</v>
      </c>
      <c r="B2" s="5" t="s">
        <v>23</v>
      </c>
      <c r="C2" s="5" t="s">
        <v>24</v>
      </c>
    </row>
    <row r="3">
      <c r="A3" s="5" t="s">
        <v>25</v>
      </c>
      <c r="B3" s="5" t="s">
        <v>26</v>
      </c>
    </row>
    <row r="4">
      <c r="A4" s="5" t="s">
        <v>21</v>
      </c>
      <c r="B4" s="14">
        <f>COUNTA('Per Load'!A2:A137)</f>
        <v>136</v>
      </c>
    </row>
    <row r="5">
      <c r="A5" s="5" t="s">
        <v>28</v>
      </c>
      <c r="B5" s="14">
        <f>COUNTA('Unique COAs'!A2:A72)</f>
        <v>71</v>
      </c>
    </row>
    <row r="6">
      <c r="A6" s="5" t="s">
        <v>34</v>
      </c>
      <c r="B6" s="21">
        <f t="array" ref="B6">AVERAGE(IFERROR(VALUE(SUBSTITUTE('Unique COAs'!B2:B72,"%",""))/100,""))</f>
        <v>0.001945774648</v>
      </c>
      <c r="C6" s="5" t="s">
        <v>63</v>
      </c>
    </row>
    <row r="7">
      <c r="A7" s="5" t="s">
        <v>68</v>
      </c>
      <c r="B7" s="21">
        <f t="array" ref="B7">AVERAGE(IFERROR(VALUE(SUBSTITUTE('Per Load'!D2:D137,"%",""))/100,""))</f>
        <v>0.001959191176</v>
      </c>
      <c r="C7" s="5" t="s">
        <v>75</v>
      </c>
    </row>
    <row r="8">
      <c r="A8" s="5" t="s">
        <v>77</v>
      </c>
      <c r="B8" s="21">
        <f t="array" ref="B8">MIN(IFERROR(VALUE(SUBSTITUTE('Per Load'!D2:D137,"%",""))/100,""))</f>
        <v>0.0012</v>
      </c>
    </row>
    <row r="9">
      <c r="A9" s="5" t="s">
        <v>88</v>
      </c>
      <c r="B9" s="21">
        <f t="array" ref="B9">MAX(IFERROR(VALUE(SUBSTITUTE('Per Load'!D2:D137,"%",""))/100,""))</f>
        <v>0.003</v>
      </c>
    </row>
    <row r="10">
      <c r="A10" s="5" t="s">
        <v>94</v>
      </c>
      <c r="B10" s="21">
        <f t="array" ref="B10">STDEVP(IFERROR(VALUE(SUBSTITUTE('Per Load'!D2:D137,"%",""))/100,""))</f>
        <v>0.0003912274334</v>
      </c>
    </row>
    <row r="12">
      <c r="A12" s="5" t="s">
        <v>123</v>
      </c>
      <c r="B12" s="21">
        <f>B7</f>
        <v>0.001959191176</v>
      </c>
      <c r="C12" s="5" t="s">
        <v>129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63"/>
    <col customWidth="1" min="3" max="3" width="23.63"/>
    <col customWidth="1" min="4" max="4" width="11.88"/>
    <col customWidth="1" min="5" max="5" width="33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168.0</v>
      </c>
      <c r="B2" s="7" t="s">
        <v>13</v>
      </c>
      <c r="C2" s="5" t="s">
        <v>14</v>
      </c>
      <c r="D2" s="7" t="s">
        <v>15</v>
      </c>
      <c r="E2" s="5" t="s">
        <v>16</v>
      </c>
      <c r="F2" s="9">
        <v>20570.0</v>
      </c>
      <c r="G2" s="12">
        <f t="shared" ref="G2:G137" si="1">F2*IFERROR(VALUE(SUBSTITUTE($D2,"%","")),0)/100</f>
        <v>49.368</v>
      </c>
      <c r="H2" s="12">
        <f>F2*'Materiality (Sec 2)'!$B$5</f>
        <v>40.3172</v>
      </c>
    </row>
    <row r="3">
      <c r="A3" s="6">
        <v>169.0</v>
      </c>
      <c r="B3" s="7" t="s">
        <v>30</v>
      </c>
      <c r="C3" s="5" t="s">
        <v>31</v>
      </c>
      <c r="D3" s="7" t="s">
        <v>32</v>
      </c>
      <c r="E3" s="5" t="s">
        <v>33</v>
      </c>
      <c r="F3" s="9">
        <v>19970.0</v>
      </c>
      <c r="G3" s="12">
        <f t="shared" si="1"/>
        <v>41.937</v>
      </c>
      <c r="H3" s="12">
        <f>F3*'Materiality (Sec 2)'!$B$5</f>
        <v>39.1412</v>
      </c>
    </row>
    <row r="4">
      <c r="A4" s="6">
        <v>170.0</v>
      </c>
      <c r="B4" s="7" t="s">
        <v>35</v>
      </c>
      <c r="C4" s="5" t="s">
        <v>36</v>
      </c>
      <c r="D4" s="7" t="s">
        <v>37</v>
      </c>
      <c r="E4" s="5" t="s">
        <v>38</v>
      </c>
      <c r="F4" s="9">
        <v>20840.0</v>
      </c>
      <c r="G4" s="12">
        <f t="shared" si="1"/>
        <v>37.512</v>
      </c>
      <c r="H4" s="12">
        <f>F4*'Materiality (Sec 2)'!$B$5</f>
        <v>40.8464</v>
      </c>
    </row>
    <row r="5">
      <c r="A5" s="6">
        <v>172.0</v>
      </c>
      <c r="B5" s="7" t="s">
        <v>41</v>
      </c>
      <c r="C5" s="5" t="s">
        <v>42</v>
      </c>
      <c r="D5" s="7" t="s">
        <v>32</v>
      </c>
      <c r="E5" s="5" t="s">
        <v>44</v>
      </c>
      <c r="F5" s="9">
        <v>20110.0</v>
      </c>
      <c r="G5" s="12">
        <f t="shared" si="1"/>
        <v>42.231</v>
      </c>
      <c r="H5" s="12">
        <f>F5*'Materiality (Sec 2)'!$B$5</f>
        <v>39.4156</v>
      </c>
    </row>
    <row r="6">
      <c r="A6" s="6">
        <v>171.0</v>
      </c>
      <c r="B6" s="7" t="s">
        <v>46</v>
      </c>
      <c r="C6" s="5" t="s">
        <v>42</v>
      </c>
      <c r="D6" s="7" t="s">
        <v>32</v>
      </c>
      <c r="E6" s="5" t="s">
        <v>44</v>
      </c>
      <c r="F6" s="9">
        <v>20370.0</v>
      </c>
      <c r="G6" s="12">
        <f t="shared" si="1"/>
        <v>42.777</v>
      </c>
      <c r="H6" s="12">
        <f>F6*'Materiality (Sec 2)'!$B$5</f>
        <v>39.9252</v>
      </c>
    </row>
    <row r="7">
      <c r="A7" s="6">
        <v>173.0</v>
      </c>
      <c r="B7" s="7" t="s">
        <v>48</v>
      </c>
      <c r="C7" s="5" t="s">
        <v>49</v>
      </c>
      <c r="D7" s="7" t="s">
        <v>50</v>
      </c>
      <c r="E7" s="5" t="s">
        <v>51</v>
      </c>
      <c r="F7" s="9">
        <v>20580.0</v>
      </c>
      <c r="G7" s="12">
        <f t="shared" si="1"/>
        <v>34.986</v>
      </c>
      <c r="H7" s="12">
        <f>F7*'Materiality (Sec 2)'!$B$5</f>
        <v>40.3368</v>
      </c>
    </row>
    <row r="8">
      <c r="A8" s="6">
        <v>174.0</v>
      </c>
      <c r="B8" s="7" t="s">
        <v>52</v>
      </c>
      <c r="C8" s="5" t="s">
        <v>53</v>
      </c>
      <c r="D8" s="7" t="s">
        <v>37</v>
      </c>
      <c r="E8" s="5" t="s">
        <v>54</v>
      </c>
      <c r="F8" s="9">
        <v>20270.0</v>
      </c>
      <c r="G8" s="12">
        <f t="shared" si="1"/>
        <v>36.486</v>
      </c>
      <c r="H8" s="12">
        <f>F8*'Materiality (Sec 2)'!$B$5</f>
        <v>39.7292</v>
      </c>
    </row>
    <row r="9">
      <c r="A9" s="6">
        <v>175.0</v>
      </c>
      <c r="B9" s="7" t="s">
        <v>55</v>
      </c>
      <c r="C9" s="5" t="s">
        <v>56</v>
      </c>
      <c r="D9" s="7" t="s">
        <v>57</v>
      </c>
      <c r="E9" s="5" t="s">
        <v>58</v>
      </c>
      <c r="F9" s="9">
        <v>20560.0</v>
      </c>
      <c r="G9" s="12">
        <f t="shared" si="1"/>
        <v>47.288</v>
      </c>
      <c r="H9" s="12">
        <f>F9*'Materiality (Sec 2)'!$B$5</f>
        <v>40.2976</v>
      </c>
    </row>
    <row r="10">
      <c r="A10" s="6">
        <v>176.0</v>
      </c>
      <c r="B10" s="7" t="s">
        <v>59</v>
      </c>
      <c r="C10" s="5" t="s">
        <v>56</v>
      </c>
      <c r="D10" s="7" t="s">
        <v>57</v>
      </c>
      <c r="E10" s="5" t="s">
        <v>58</v>
      </c>
      <c r="F10" s="9">
        <v>20610.0</v>
      </c>
      <c r="G10" s="12">
        <f t="shared" si="1"/>
        <v>47.403</v>
      </c>
      <c r="H10" s="12">
        <f>F10*'Materiality (Sec 2)'!$B$5</f>
        <v>40.3956</v>
      </c>
    </row>
    <row r="11">
      <c r="A11" s="6">
        <v>177.0</v>
      </c>
      <c r="B11" s="7" t="s">
        <v>59</v>
      </c>
      <c r="C11" s="5" t="s">
        <v>60</v>
      </c>
      <c r="D11" s="7" t="s">
        <v>37</v>
      </c>
      <c r="E11" s="5" t="s">
        <v>61</v>
      </c>
      <c r="F11" s="9">
        <v>20580.0</v>
      </c>
      <c r="G11" s="12">
        <f t="shared" si="1"/>
        <v>37.044</v>
      </c>
      <c r="H11" s="12">
        <f>F11*'Materiality (Sec 2)'!$B$5</f>
        <v>40.3368</v>
      </c>
    </row>
    <row r="12">
      <c r="A12" s="6">
        <v>178.0</v>
      </c>
      <c r="B12" s="7" t="s">
        <v>59</v>
      </c>
      <c r="C12" s="5" t="s">
        <v>60</v>
      </c>
      <c r="D12" s="7" t="s">
        <v>37</v>
      </c>
      <c r="E12" s="5" t="s">
        <v>61</v>
      </c>
      <c r="F12" s="9">
        <v>20250.0</v>
      </c>
      <c r="G12" s="12">
        <f t="shared" si="1"/>
        <v>36.45</v>
      </c>
      <c r="H12" s="12">
        <f>F12*'Materiality (Sec 2)'!$B$5</f>
        <v>39.69</v>
      </c>
    </row>
    <row r="13">
      <c r="A13" s="6">
        <v>180.0</v>
      </c>
      <c r="B13" s="7" t="s">
        <v>59</v>
      </c>
      <c r="C13" s="5" t="s">
        <v>60</v>
      </c>
      <c r="D13" s="7" t="s">
        <v>37</v>
      </c>
      <c r="E13" s="5" t="s">
        <v>61</v>
      </c>
      <c r="F13" s="9">
        <v>20220.0</v>
      </c>
      <c r="G13" s="12">
        <f t="shared" si="1"/>
        <v>36.396</v>
      </c>
      <c r="H13" s="12">
        <f>F13*'Materiality (Sec 2)'!$B$5</f>
        <v>39.6312</v>
      </c>
    </row>
    <row r="14">
      <c r="A14" s="6">
        <v>179.0</v>
      </c>
      <c r="B14" s="7" t="s">
        <v>62</v>
      </c>
      <c r="C14" s="5" t="s">
        <v>60</v>
      </c>
      <c r="D14" s="7" t="s">
        <v>37</v>
      </c>
      <c r="E14" s="5" t="s">
        <v>61</v>
      </c>
      <c r="F14" s="9">
        <v>19930.0</v>
      </c>
      <c r="G14" s="12">
        <f t="shared" si="1"/>
        <v>35.874</v>
      </c>
      <c r="H14" s="12">
        <f>F14*'Materiality (Sec 2)'!$B$5</f>
        <v>39.0628</v>
      </c>
    </row>
    <row r="15">
      <c r="A15" s="6">
        <v>181.0</v>
      </c>
      <c r="B15" s="7" t="s">
        <v>64</v>
      </c>
      <c r="C15" s="5" t="s">
        <v>65</v>
      </c>
      <c r="D15" s="7" t="s">
        <v>66</v>
      </c>
      <c r="E15" s="5" t="s">
        <v>67</v>
      </c>
      <c r="F15" s="9">
        <v>21190.0</v>
      </c>
      <c r="G15" s="12">
        <f t="shared" si="1"/>
        <v>52.975</v>
      </c>
      <c r="H15" s="12">
        <f>F15*'Materiality (Sec 2)'!$B$5</f>
        <v>41.5324</v>
      </c>
    </row>
    <row r="16">
      <c r="A16" s="6">
        <v>182.0</v>
      </c>
      <c r="B16" s="7" t="s">
        <v>69</v>
      </c>
      <c r="C16" s="5" t="s">
        <v>70</v>
      </c>
      <c r="D16" s="7" t="s">
        <v>66</v>
      </c>
      <c r="E16" s="5" t="s">
        <v>71</v>
      </c>
      <c r="F16" s="9">
        <v>20320.0</v>
      </c>
      <c r="G16" s="12">
        <f t="shared" si="1"/>
        <v>50.8</v>
      </c>
      <c r="H16" s="12">
        <f>F16*'Materiality (Sec 2)'!$B$5</f>
        <v>39.8272</v>
      </c>
    </row>
    <row r="17">
      <c r="A17" s="6">
        <v>183.0</v>
      </c>
      <c r="B17" s="7" t="s">
        <v>73</v>
      </c>
      <c r="C17" s="5" t="s">
        <v>70</v>
      </c>
      <c r="D17" s="7" t="s">
        <v>66</v>
      </c>
      <c r="E17" s="5" t="s">
        <v>71</v>
      </c>
      <c r="F17" s="9">
        <v>20690.0</v>
      </c>
      <c r="G17" s="12">
        <f t="shared" si="1"/>
        <v>51.725</v>
      </c>
      <c r="H17" s="12">
        <f>F17*'Materiality (Sec 2)'!$B$5</f>
        <v>40.5524</v>
      </c>
    </row>
    <row r="18">
      <c r="A18" s="6">
        <v>184.0</v>
      </c>
      <c r="B18" s="7" t="s">
        <v>74</v>
      </c>
      <c r="C18" s="5" t="s">
        <v>70</v>
      </c>
      <c r="D18" s="7" t="s">
        <v>66</v>
      </c>
      <c r="E18" s="5" t="s">
        <v>71</v>
      </c>
      <c r="F18" s="9">
        <v>20030.0</v>
      </c>
      <c r="G18" s="12">
        <f t="shared" si="1"/>
        <v>50.075</v>
      </c>
      <c r="H18" s="12">
        <f>F18*'Materiality (Sec 2)'!$B$5</f>
        <v>39.2588</v>
      </c>
    </row>
    <row r="19">
      <c r="A19" s="6">
        <v>185.0</v>
      </c>
      <c r="B19" s="7" t="s">
        <v>76</v>
      </c>
      <c r="C19" s="5" t="s">
        <v>78</v>
      </c>
      <c r="D19" s="7" t="s">
        <v>79</v>
      </c>
      <c r="E19" s="5" t="s">
        <v>80</v>
      </c>
      <c r="F19" s="9">
        <v>20590.0</v>
      </c>
      <c r="G19" s="12">
        <f t="shared" si="1"/>
        <v>45.298</v>
      </c>
      <c r="H19" s="12">
        <f>F19*'Materiality (Sec 2)'!$B$5</f>
        <v>40.3564</v>
      </c>
    </row>
    <row r="20">
      <c r="A20" s="6">
        <v>186.0</v>
      </c>
      <c r="B20" s="7" t="s">
        <v>82</v>
      </c>
      <c r="C20" s="5" t="s">
        <v>78</v>
      </c>
      <c r="D20" s="7" t="s">
        <v>79</v>
      </c>
      <c r="E20" s="5" t="s">
        <v>80</v>
      </c>
      <c r="F20" s="9">
        <v>20600.0</v>
      </c>
      <c r="G20" s="12">
        <f t="shared" si="1"/>
        <v>45.32</v>
      </c>
      <c r="H20" s="12">
        <f>F20*'Materiality (Sec 2)'!$B$5</f>
        <v>40.376</v>
      </c>
    </row>
    <row r="21">
      <c r="A21" s="6">
        <v>187.0</v>
      </c>
      <c r="B21" s="7" t="s">
        <v>84</v>
      </c>
      <c r="C21" s="5" t="s">
        <v>85</v>
      </c>
      <c r="D21" s="7" t="s">
        <v>66</v>
      </c>
      <c r="E21" s="5" t="s">
        <v>86</v>
      </c>
      <c r="F21" s="9">
        <v>21230.0</v>
      </c>
      <c r="G21" s="12">
        <f t="shared" si="1"/>
        <v>53.075</v>
      </c>
      <c r="H21" s="12">
        <f>F21*'Materiality (Sec 2)'!$B$5</f>
        <v>41.6108</v>
      </c>
    </row>
    <row r="22">
      <c r="A22" s="6">
        <v>188.0</v>
      </c>
      <c r="B22" s="7" t="s">
        <v>84</v>
      </c>
      <c r="C22" s="5" t="s">
        <v>85</v>
      </c>
      <c r="D22" s="7" t="s">
        <v>66</v>
      </c>
      <c r="E22" s="5" t="s">
        <v>86</v>
      </c>
      <c r="F22" s="9">
        <v>20750.0</v>
      </c>
      <c r="G22" s="12">
        <f t="shared" si="1"/>
        <v>51.875</v>
      </c>
      <c r="H22" s="12">
        <f>F22*'Materiality (Sec 2)'!$B$5</f>
        <v>40.67</v>
      </c>
    </row>
    <row r="23">
      <c r="A23" s="6">
        <v>190.0</v>
      </c>
      <c r="B23" s="7" t="s">
        <v>90</v>
      </c>
      <c r="C23" s="5" t="s">
        <v>91</v>
      </c>
      <c r="D23" s="7" t="s">
        <v>66</v>
      </c>
      <c r="E23" s="5" t="s">
        <v>92</v>
      </c>
      <c r="F23" s="9">
        <v>20560.0</v>
      </c>
      <c r="G23" s="12">
        <f t="shared" si="1"/>
        <v>51.4</v>
      </c>
      <c r="H23" s="12">
        <f>F23*'Materiality (Sec 2)'!$B$5</f>
        <v>40.2976</v>
      </c>
    </row>
    <row r="24">
      <c r="A24" s="6">
        <v>189.0</v>
      </c>
      <c r="B24" s="7" t="s">
        <v>93</v>
      </c>
      <c r="C24" s="5" t="s">
        <v>85</v>
      </c>
      <c r="D24" s="7" t="s">
        <v>66</v>
      </c>
      <c r="E24" s="5" t="s">
        <v>86</v>
      </c>
      <c r="F24" s="9">
        <v>20200.0</v>
      </c>
      <c r="G24" s="12">
        <f t="shared" si="1"/>
        <v>50.5</v>
      </c>
      <c r="H24" s="12">
        <f>F24*'Materiality (Sec 2)'!$B$5</f>
        <v>39.592</v>
      </c>
    </row>
    <row r="25">
      <c r="A25" s="6">
        <v>191.0</v>
      </c>
      <c r="B25" s="7" t="s">
        <v>95</v>
      </c>
      <c r="C25" s="5" t="s">
        <v>96</v>
      </c>
      <c r="D25" s="7" t="s">
        <v>79</v>
      </c>
      <c r="E25" s="5" t="s">
        <v>97</v>
      </c>
      <c r="F25" s="9">
        <v>19950.0</v>
      </c>
      <c r="G25" s="12">
        <f t="shared" si="1"/>
        <v>43.89</v>
      </c>
      <c r="H25" s="12">
        <f>F25*'Materiality (Sec 2)'!$B$5</f>
        <v>39.102</v>
      </c>
    </row>
    <row r="26">
      <c r="A26" s="6">
        <v>192.0</v>
      </c>
      <c r="B26" s="7" t="s">
        <v>95</v>
      </c>
      <c r="C26" s="5" t="s">
        <v>96</v>
      </c>
      <c r="D26" s="7" t="s">
        <v>79</v>
      </c>
      <c r="E26" s="5" t="s">
        <v>97</v>
      </c>
      <c r="F26" s="9">
        <v>20920.0</v>
      </c>
      <c r="G26" s="12">
        <f t="shared" si="1"/>
        <v>46.024</v>
      </c>
      <c r="H26" s="12">
        <f>F26*'Materiality (Sec 2)'!$B$5</f>
        <v>41.0032</v>
      </c>
    </row>
    <row r="27">
      <c r="A27" s="6">
        <v>193.0</v>
      </c>
      <c r="B27" s="7" t="s">
        <v>99</v>
      </c>
      <c r="C27" s="5" t="s">
        <v>100</v>
      </c>
      <c r="D27" s="7" t="s">
        <v>79</v>
      </c>
      <c r="E27" s="5" t="s">
        <v>101</v>
      </c>
      <c r="F27" s="9">
        <v>20000.0</v>
      </c>
      <c r="G27" s="12">
        <f t="shared" si="1"/>
        <v>44</v>
      </c>
      <c r="H27" s="12">
        <f>F27*'Materiality (Sec 2)'!$B$5</f>
        <v>39.2</v>
      </c>
    </row>
    <row r="28">
      <c r="A28" s="6">
        <v>194.0</v>
      </c>
      <c r="B28" s="7" t="s">
        <v>102</v>
      </c>
      <c r="C28" s="5" t="s">
        <v>103</v>
      </c>
      <c r="D28" s="7" t="s">
        <v>104</v>
      </c>
      <c r="E28" s="5" t="s">
        <v>105</v>
      </c>
      <c r="F28" s="9">
        <v>21360.0</v>
      </c>
      <c r="G28" s="12">
        <f t="shared" si="1"/>
        <v>40.584</v>
      </c>
      <c r="H28" s="12">
        <f>F28*'Materiality (Sec 2)'!$B$5</f>
        <v>41.8656</v>
      </c>
    </row>
    <row r="29">
      <c r="A29" s="6">
        <v>195.0</v>
      </c>
      <c r="B29" s="7" t="s">
        <v>108</v>
      </c>
      <c r="C29" s="5" t="s">
        <v>106</v>
      </c>
      <c r="D29" s="7" t="s">
        <v>32</v>
      </c>
      <c r="E29" s="5" t="s">
        <v>107</v>
      </c>
      <c r="F29" s="9">
        <v>20810.0</v>
      </c>
      <c r="G29" s="12">
        <f t="shared" si="1"/>
        <v>43.701</v>
      </c>
      <c r="H29" s="12">
        <f>F29*'Materiality (Sec 2)'!$B$5</f>
        <v>40.7876</v>
      </c>
    </row>
    <row r="30">
      <c r="A30" s="6">
        <v>196.0</v>
      </c>
      <c r="B30" s="7" t="s">
        <v>113</v>
      </c>
      <c r="C30" s="5" t="s">
        <v>106</v>
      </c>
      <c r="D30" s="7" t="s">
        <v>32</v>
      </c>
      <c r="E30" s="5" t="s">
        <v>107</v>
      </c>
      <c r="F30" s="9">
        <v>20330.0</v>
      </c>
      <c r="G30" s="12">
        <f t="shared" si="1"/>
        <v>42.693</v>
      </c>
      <c r="H30" s="12">
        <f>F30*'Materiality (Sec 2)'!$B$5</f>
        <v>39.8468</v>
      </c>
    </row>
    <row r="31">
      <c r="A31" s="6">
        <v>197.0</v>
      </c>
      <c r="B31" s="7" t="s">
        <v>113</v>
      </c>
      <c r="C31" s="5" t="s">
        <v>117</v>
      </c>
      <c r="D31" s="7" t="s">
        <v>110</v>
      </c>
      <c r="E31" s="5" t="s">
        <v>118</v>
      </c>
      <c r="F31" s="9">
        <v>20840.0</v>
      </c>
      <c r="G31" s="12">
        <f t="shared" si="1"/>
        <v>60.436</v>
      </c>
      <c r="H31" s="12">
        <f>F31*'Materiality (Sec 2)'!$B$5</f>
        <v>40.8464</v>
      </c>
    </row>
    <row r="32">
      <c r="A32" s="6">
        <v>198.0</v>
      </c>
      <c r="B32" s="7" t="s">
        <v>113</v>
      </c>
      <c r="C32" s="5" t="s">
        <v>117</v>
      </c>
      <c r="D32" s="7" t="s">
        <v>110</v>
      </c>
      <c r="E32" s="5" t="s">
        <v>118</v>
      </c>
      <c r="F32" s="9">
        <v>20910.0</v>
      </c>
      <c r="G32" s="12">
        <f t="shared" si="1"/>
        <v>60.639</v>
      </c>
      <c r="H32" s="12">
        <f>F32*'Materiality (Sec 2)'!$B$5</f>
        <v>40.9836</v>
      </c>
    </row>
    <row r="33">
      <c r="A33" s="6">
        <v>200.0</v>
      </c>
      <c r="B33" s="7" t="s">
        <v>126</v>
      </c>
      <c r="C33" s="5" t="s">
        <v>109</v>
      </c>
      <c r="D33" s="7" t="s">
        <v>110</v>
      </c>
      <c r="E33" s="5" t="s">
        <v>111</v>
      </c>
      <c r="F33" s="9">
        <v>19410.0</v>
      </c>
      <c r="G33" s="12">
        <f t="shared" si="1"/>
        <v>56.289</v>
      </c>
      <c r="H33" s="12">
        <f>F33*'Materiality (Sec 2)'!$B$5</f>
        <v>38.0436</v>
      </c>
    </row>
    <row r="34">
      <c r="A34" s="6">
        <v>201.0</v>
      </c>
      <c r="B34" s="7" t="s">
        <v>126</v>
      </c>
      <c r="C34" s="5" t="s">
        <v>109</v>
      </c>
      <c r="D34" s="7" t="s">
        <v>110</v>
      </c>
      <c r="E34" s="5" t="s">
        <v>111</v>
      </c>
      <c r="F34" s="9">
        <v>19330.0</v>
      </c>
      <c r="G34" s="12">
        <f t="shared" si="1"/>
        <v>56.057</v>
      </c>
      <c r="H34" s="12">
        <f>F34*'Materiality (Sec 2)'!$B$5</f>
        <v>37.8868</v>
      </c>
    </row>
    <row r="35">
      <c r="A35" s="6">
        <v>199.0</v>
      </c>
      <c r="B35" s="7" t="s">
        <v>134</v>
      </c>
      <c r="C35" s="5" t="s">
        <v>109</v>
      </c>
      <c r="D35" s="7" t="s">
        <v>110</v>
      </c>
      <c r="E35" s="5" t="s">
        <v>111</v>
      </c>
      <c r="F35" s="9">
        <v>19500.0</v>
      </c>
      <c r="G35" s="12">
        <f t="shared" si="1"/>
        <v>56.55</v>
      </c>
      <c r="H35" s="12">
        <f>F35*'Materiality (Sec 2)'!$B$5</f>
        <v>38.22</v>
      </c>
    </row>
    <row r="36">
      <c r="A36" s="6">
        <v>202.0</v>
      </c>
      <c r="B36" s="7" t="s">
        <v>138</v>
      </c>
      <c r="C36" s="5" t="s">
        <v>112</v>
      </c>
      <c r="D36" s="7" t="s">
        <v>32</v>
      </c>
      <c r="E36" s="5" t="s">
        <v>114</v>
      </c>
      <c r="F36" s="9">
        <v>19830.0</v>
      </c>
      <c r="G36" s="12">
        <f t="shared" si="1"/>
        <v>41.643</v>
      </c>
      <c r="H36" s="12">
        <f>F36*'Materiality (Sec 2)'!$B$5</f>
        <v>38.8668</v>
      </c>
    </row>
    <row r="37">
      <c r="A37" s="6">
        <v>203.0</v>
      </c>
      <c r="B37" s="7" t="s">
        <v>138</v>
      </c>
      <c r="C37" s="5" t="s">
        <v>115</v>
      </c>
      <c r="D37" s="7" t="s">
        <v>32</v>
      </c>
      <c r="E37" s="5" t="s">
        <v>116</v>
      </c>
      <c r="F37" s="9">
        <v>21310.0</v>
      </c>
      <c r="G37" s="12">
        <f t="shared" si="1"/>
        <v>44.751</v>
      </c>
      <c r="H37" s="12">
        <f>F37*'Materiality (Sec 2)'!$B$5</f>
        <v>41.7676</v>
      </c>
    </row>
    <row r="38">
      <c r="A38" s="6">
        <v>204.0</v>
      </c>
      <c r="B38" s="7" t="s">
        <v>144</v>
      </c>
      <c r="C38" s="5" t="s">
        <v>115</v>
      </c>
      <c r="D38" s="7" t="s">
        <v>32</v>
      </c>
      <c r="E38" s="5" t="s">
        <v>116</v>
      </c>
      <c r="F38" s="9">
        <v>20750.0</v>
      </c>
      <c r="G38" s="12">
        <f t="shared" si="1"/>
        <v>43.575</v>
      </c>
      <c r="H38" s="12">
        <f>F38*'Materiality (Sec 2)'!$B$5</f>
        <v>40.67</v>
      </c>
    </row>
    <row r="39">
      <c r="A39" s="6">
        <v>205.0</v>
      </c>
      <c r="B39" s="7" t="s">
        <v>147</v>
      </c>
      <c r="C39" s="5" t="s">
        <v>115</v>
      </c>
      <c r="D39" s="7" t="s">
        <v>32</v>
      </c>
      <c r="E39" s="5" t="s">
        <v>116</v>
      </c>
      <c r="F39" s="9">
        <v>19500.0</v>
      </c>
      <c r="G39" s="12">
        <f t="shared" si="1"/>
        <v>40.95</v>
      </c>
      <c r="H39" s="12">
        <f>F39*'Materiality (Sec 2)'!$B$5</f>
        <v>38.22</v>
      </c>
    </row>
    <row r="40">
      <c r="A40" s="6">
        <v>206.0</v>
      </c>
      <c r="B40" s="7" t="s">
        <v>151</v>
      </c>
      <c r="C40" s="5" t="s">
        <v>152</v>
      </c>
      <c r="D40" s="7" t="s">
        <v>153</v>
      </c>
      <c r="E40" s="5" t="s">
        <v>155</v>
      </c>
      <c r="F40" s="9">
        <v>20440.0</v>
      </c>
      <c r="G40" s="12">
        <f t="shared" si="1"/>
        <v>53.144</v>
      </c>
      <c r="H40" s="12">
        <f>F40*'Materiality (Sec 2)'!$B$5</f>
        <v>40.0624</v>
      </c>
    </row>
    <row r="41">
      <c r="A41" s="7" t="s">
        <v>159</v>
      </c>
      <c r="B41" s="7" t="s">
        <v>151</v>
      </c>
      <c r="C41" s="5" t="s">
        <v>152</v>
      </c>
      <c r="D41" s="7" t="s">
        <v>153</v>
      </c>
      <c r="E41" s="5" t="s">
        <v>155</v>
      </c>
      <c r="F41" s="9">
        <v>19870.0</v>
      </c>
      <c r="G41" s="12">
        <f t="shared" si="1"/>
        <v>51.662</v>
      </c>
      <c r="H41" s="12">
        <f>F41*'Materiality (Sec 2)'!$B$5</f>
        <v>38.9452</v>
      </c>
    </row>
    <row r="42">
      <c r="A42" s="7" t="s">
        <v>164</v>
      </c>
      <c r="B42" s="7" t="s">
        <v>165</v>
      </c>
      <c r="C42" s="5" t="s">
        <v>152</v>
      </c>
      <c r="D42" s="7" t="s">
        <v>153</v>
      </c>
      <c r="E42" s="5" t="s">
        <v>155</v>
      </c>
      <c r="F42" s="9">
        <v>20010.0</v>
      </c>
      <c r="G42" s="12">
        <f t="shared" si="1"/>
        <v>52.026</v>
      </c>
      <c r="H42" s="12">
        <f>F42*'Materiality (Sec 2)'!$B$5</f>
        <v>39.2196</v>
      </c>
    </row>
    <row r="43">
      <c r="A43" s="7" t="s">
        <v>170</v>
      </c>
      <c r="B43" s="7" t="s">
        <v>171</v>
      </c>
      <c r="C43" s="5" t="s">
        <v>119</v>
      </c>
      <c r="D43" s="7" t="s">
        <v>120</v>
      </c>
      <c r="E43" s="5" t="s">
        <v>121</v>
      </c>
      <c r="F43" s="9">
        <v>20020.0</v>
      </c>
      <c r="G43" s="12">
        <f t="shared" si="1"/>
        <v>60.06</v>
      </c>
      <c r="H43" s="12">
        <f>F43*'Materiality (Sec 2)'!$B$5</f>
        <v>39.2392</v>
      </c>
    </row>
    <row r="44">
      <c r="A44" s="7" t="s">
        <v>175</v>
      </c>
      <c r="B44" s="7" t="s">
        <v>177</v>
      </c>
      <c r="C44" s="5" t="s">
        <v>122</v>
      </c>
      <c r="D44" s="7" t="s">
        <v>124</v>
      </c>
      <c r="E44" s="5" t="s">
        <v>125</v>
      </c>
      <c r="F44" s="9">
        <v>21300.0</v>
      </c>
      <c r="G44" s="12">
        <f t="shared" si="1"/>
        <v>42.6</v>
      </c>
      <c r="H44" s="12">
        <f>F44*'Materiality (Sec 2)'!$B$5</f>
        <v>41.748</v>
      </c>
    </row>
    <row r="45">
      <c r="A45" s="7" t="s">
        <v>181</v>
      </c>
      <c r="B45" s="7" t="s">
        <v>182</v>
      </c>
      <c r="C45" s="5" t="s">
        <v>122</v>
      </c>
      <c r="D45" s="7" t="s">
        <v>124</v>
      </c>
      <c r="E45" s="5" t="s">
        <v>125</v>
      </c>
      <c r="F45" s="9">
        <v>20020.0</v>
      </c>
      <c r="G45" s="12">
        <f t="shared" si="1"/>
        <v>40.04</v>
      </c>
      <c r="H45" s="12">
        <f>F45*'Materiality (Sec 2)'!$B$5</f>
        <v>39.2392</v>
      </c>
    </row>
    <row r="46">
      <c r="A46" s="7" t="s">
        <v>185</v>
      </c>
      <c r="B46" s="7" t="s">
        <v>186</v>
      </c>
      <c r="C46" s="5" t="s">
        <v>187</v>
      </c>
      <c r="D46" s="7" t="s">
        <v>124</v>
      </c>
      <c r="E46" s="5" t="s">
        <v>188</v>
      </c>
      <c r="F46" s="9">
        <v>19910.0</v>
      </c>
      <c r="G46" s="12">
        <f t="shared" si="1"/>
        <v>39.82</v>
      </c>
      <c r="H46" s="12">
        <f>F46*'Materiality (Sec 2)'!$B$5</f>
        <v>39.0236</v>
      </c>
    </row>
    <row r="47">
      <c r="A47" s="7" t="s">
        <v>193</v>
      </c>
      <c r="B47" s="7" t="s">
        <v>186</v>
      </c>
      <c r="C47" s="5" t="s">
        <v>194</v>
      </c>
      <c r="D47" s="7" t="s">
        <v>57</v>
      </c>
      <c r="E47" s="5" t="s">
        <v>195</v>
      </c>
      <c r="F47" s="9">
        <v>20190.0</v>
      </c>
      <c r="G47" s="12">
        <f t="shared" si="1"/>
        <v>46.437</v>
      </c>
      <c r="H47" s="12">
        <f>F47*'Materiality (Sec 2)'!$B$5</f>
        <v>39.5724</v>
      </c>
    </row>
    <row r="48">
      <c r="A48" s="7" t="s">
        <v>198</v>
      </c>
      <c r="B48" s="7" t="s">
        <v>199</v>
      </c>
      <c r="C48" s="5" t="s">
        <v>194</v>
      </c>
      <c r="D48" s="7" t="s">
        <v>57</v>
      </c>
      <c r="E48" s="5" t="s">
        <v>195</v>
      </c>
      <c r="F48" s="9">
        <v>21130.0</v>
      </c>
      <c r="G48" s="12">
        <f t="shared" si="1"/>
        <v>48.599</v>
      </c>
      <c r="H48" s="12">
        <f>F48*'Materiality (Sec 2)'!$B$5</f>
        <v>41.4148</v>
      </c>
    </row>
    <row r="49">
      <c r="A49" s="7" t="s">
        <v>200</v>
      </c>
      <c r="B49" s="7" t="s">
        <v>201</v>
      </c>
      <c r="C49" s="5" t="s">
        <v>194</v>
      </c>
      <c r="D49" s="7" t="s">
        <v>57</v>
      </c>
      <c r="E49" s="5" t="s">
        <v>195</v>
      </c>
      <c r="F49" s="9">
        <v>20110.0</v>
      </c>
      <c r="G49" s="12">
        <f t="shared" si="1"/>
        <v>46.253</v>
      </c>
      <c r="H49" s="12">
        <f>F49*'Materiality (Sec 2)'!$B$5</f>
        <v>39.4156</v>
      </c>
    </row>
    <row r="50">
      <c r="A50" s="7" t="s">
        <v>204</v>
      </c>
      <c r="B50" s="7" t="s">
        <v>205</v>
      </c>
      <c r="C50" s="5" t="s">
        <v>127</v>
      </c>
      <c r="D50" s="7" t="s">
        <v>104</v>
      </c>
      <c r="E50" s="5" t="s">
        <v>128</v>
      </c>
      <c r="F50" s="9">
        <v>19880.0</v>
      </c>
      <c r="G50" s="12">
        <f t="shared" si="1"/>
        <v>37.772</v>
      </c>
      <c r="H50" s="12">
        <f>F50*'Materiality (Sec 2)'!$B$5</f>
        <v>38.9648</v>
      </c>
    </row>
    <row r="51">
      <c r="A51" s="7" t="s">
        <v>210</v>
      </c>
      <c r="B51" s="7" t="s">
        <v>211</v>
      </c>
      <c r="C51" s="5" t="s">
        <v>127</v>
      </c>
      <c r="D51" s="7" t="s">
        <v>104</v>
      </c>
      <c r="E51" s="5" t="s">
        <v>128</v>
      </c>
      <c r="F51" s="9">
        <v>19740.0</v>
      </c>
      <c r="G51" s="12">
        <f t="shared" si="1"/>
        <v>37.506</v>
      </c>
      <c r="H51" s="12">
        <f>F51*'Materiality (Sec 2)'!$B$5</f>
        <v>38.6904</v>
      </c>
    </row>
    <row r="52">
      <c r="A52" s="7" t="s">
        <v>215</v>
      </c>
      <c r="B52" s="7" t="s">
        <v>216</v>
      </c>
      <c r="C52" s="5" t="s">
        <v>202</v>
      </c>
      <c r="D52" s="7" t="s">
        <v>37</v>
      </c>
      <c r="E52" s="5" t="s">
        <v>203</v>
      </c>
      <c r="F52" s="9">
        <v>20250.0</v>
      </c>
      <c r="G52" s="12">
        <f t="shared" si="1"/>
        <v>36.45</v>
      </c>
      <c r="H52" s="12">
        <f>F52*'Materiality (Sec 2)'!$B$5</f>
        <v>39.69</v>
      </c>
    </row>
    <row r="53">
      <c r="A53" s="7" t="s">
        <v>220</v>
      </c>
      <c r="B53" s="7" t="s">
        <v>222</v>
      </c>
      <c r="C53" s="5" t="s">
        <v>202</v>
      </c>
      <c r="D53" s="7" t="s">
        <v>37</v>
      </c>
      <c r="E53" s="5" t="s">
        <v>203</v>
      </c>
      <c r="F53" s="9">
        <v>20100.0</v>
      </c>
      <c r="G53" s="12">
        <f t="shared" si="1"/>
        <v>36.18</v>
      </c>
      <c r="H53" s="12">
        <f>F53*'Materiality (Sec 2)'!$B$5</f>
        <v>39.396</v>
      </c>
    </row>
    <row r="54">
      <c r="A54" s="7" t="s">
        <v>223</v>
      </c>
      <c r="B54" s="7" t="s">
        <v>224</v>
      </c>
      <c r="C54" s="5" t="s">
        <v>206</v>
      </c>
      <c r="D54" s="7" t="s">
        <v>37</v>
      </c>
      <c r="E54" s="5" t="s">
        <v>207</v>
      </c>
      <c r="F54" s="9">
        <v>20140.0</v>
      </c>
      <c r="G54" s="12">
        <f t="shared" si="1"/>
        <v>36.252</v>
      </c>
      <c r="H54" s="12">
        <f>F54*'Materiality (Sec 2)'!$B$5</f>
        <v>39.4744</v>
      </c>
    </row>
    <row r="55">
      <c r="A55" s="7" t="s">
        <v>225</v>
      </c>
      <c r="B55" s="7" t="s">
        <v>226</v>
      </c>
      <c r="C55" s="5" t="s">
        <v>206</v>
      </c>
      <c r="D55" s="7" t="s">
        <v>37</v>
      </c>
      <c r="E55" s="5" t="s">
        <v>207</v>
      </c>
      <c r="F55" s="9">
        <v>20180.0</v>
      </c>
      <c r="G55" s="12">
        <f t="shared" si="1"/>
        <v>36.324</v>
      </c>
      <c r="H55" s="12">
        <f>F55*'Materiality (Sec 2)'!$B$5</f>
        <v>39.5528</v>
      </c>
    </row>
    <row r="56">
      <c r="A56" s="7" t="s">
        <v>227</v>
      </c>
      <c r="B56" s="7" t="s">
        <v>228</v>
      </c>
      <c r="C56" s="5" t="s">
        <v>130</v>
      </c>
      <c r="D56" s="7" t="s">
        <v>15</v>
      </c>
      <c r="E56" s="5" t="s">
        <v>131</v>
      </c>
      <c r="F56" s="9">
        <v>20140.0</v>
      </c>
      <c r="G56" s="12">
        <f t="shared" si="1"/>
        <v>48.336</v>
      </c>
      <c r="H56" s="12">
        <f>F56*'Materiality (Sec 2)'!$B$5</f>
        <v>39.4744</v>
      </c>
    </row>
    <row r="57">
      <c r="A57" s="7" t="s">
        <v>229</v>
      </c>
      <c r="B57" s="7" t="s">
        <v>228</v>
      </c>
      <c r="C57" s="5" t="s">
        <v>130</v>
      </c>
      <c r="D57" s="7" t="s">
        <v>15</v>
      </c>
      <c r="E57" s="5" t="s">
        <v>131</v>
      </c>
      <c r="F57" s="9">
        <v>18780.0</v>
      </c>
      <c r="G57" s="12">
        <f t="shared" si="1"/>
        <v>45.072</v>
      </c>
      <c r="H57" s="12">
        <f>F57*'Materiality (Sec 2)'!$B$5</f>
        <v>36.8088</v>
      </c>
    </row>
    <row r="58">
      <c r="A58" s="7" t="s">
        <v>230</v>
      </c>
      <c r="B58" s="7" t="s">
        <v>231</v>
      </c>
      <c r="C58" s="5" t="s">
        <v>232</v>
      </c>
      <c r="D58" s="7" t="s">
        <v>15</v>
      </c>
      <c r="E58" s="5" t="s">
        <v>233</v>
      </c>
      <c r="F58" s="9">
        <v>19990.0</v>
      </c>
      <c r="G58" s="12">
        <f t="shared" si="1"/>
        <v>47.976</v>
      </c>
      <c r="H58" s="12">
        <f>F58*'Materiality (Sec 2)'!$B$5</f>
        <v>39.1804</v>
      </c>
    </row>
    <row r="59">
      <c r="A59" s="7" t="s">
        <v>234</v>
      </c>
      <c r="B59" s="7" t="s">
        <v>235</v>
      </c>
      <c r="C59" s="5" t="s">
        <v>232</v>
      </c>
      <c r="D59" s="7" t="s">
        <v>15</v>
      </c>
      <c r="E59" s="5" t="s">
        <v>233</v>
      </c>
      <c r="F59" s="9">
        <v>20000.0</v>
      </c>
      <c r="G59" s="12">
        <f t="shared" si="1"/>
        <v>48</v>
      </c>
      <c r="H59" s="12">
        <f>F59*'Materiality (Sec 2)'!$B$5</f>
        <v>39.2</v>
      </c>
    </row>
    <row r="60">
      <c r="A60" s="7" t="s">
        <v>236</v>
      </c>
      <c r="B60" s="7" t="s">
        <v>237</v>
      </c>
      <c r="C60" s="5" t="s">
        <v>208</v>
      </c>
      <c r="D60" s="7" t="s">
        <v>50</v>
      </c>
      <c r="E60" s="5" t="s">
        <v>209</v>
      </c>
      <c r="F60" s="9">
        <v>20960.0</v>
      </c>
      <c r="G60" s="12">
        <f t="shared" si="1"/>
        <v>35.632</v>
      </c>
      <c r="H60" s="12">
        <f>F60*'Materiality (Sec 2)'!$B$5</f>
        <v>41.0816</v>
      </c>
    </row>
    <row r="61">
      <c r="A61" s="7" t="s">
        <v>238</v>
      </c>
      <c r="B61" s="7" t="s">
        <v>239</v>
      </c>
      <c r="C61" s="5" t="s">
        <v>240</v>
      </c>
      <c r="D61" s="7" t="s">
        <v>32</v>
      </c>
      <c r="E61" s="5" t="s">
        <v>241</v>
      </c>
      <c r="F61" s="9">
        <v>20640.0</v>
      </c>
      <c r="G61" s="12">
        <f t="shared" si="1"/>
        <v>43.344</v>
      </c>
      <c r="H61" s="12">
        <f>F61*'Materiality (Sec 2)'!$B$5</f>
        <v>40.4544</v>
      </c>
    </row>
    <row r="62">
      <c r="A62" s="7" t="s">
        <v>242</v>
      </c>
      <c r="B62" s="7" t="s">
        <v>239</v>
      </c>
      <c r="C62" s="5" t="s">
        <v>240</v>
      </c>
      <c r="D62" s="7" t="s">
        <v>32</v>
      </c>
      <c r="E62" s="5" t="s">
        <v>241</v>
      </c>
      <c r="F62" s="9">
        <v>19910.0</v>
      </c>
      <c r="G62" s="12">
        <f t="shared" si="1"/>
        <v>41.811</v>
      </c>
      <c r="H62" s="12">
        <f>F62*'Materiality (Sec 2)'!$B$5</f>
        <v>39.0236</v>
      </c>
    </row>
    <row r="63">
      <c r="A63" s="7" t="s">
        <v>243</v>
      </c>
      <c r="B63" s="7" t="s">
        <v>244</v>
      </c>
      <c r="C63" s="5" t="s">
        <v>240</v>
      </c>
      <c r="D63" s="7" t="s">
        <v>32</v>
      </c>
      <c r="E63" s="5" t="s">
        <v>241</v>
      </c>
      <c r="F63" s="9">
        <v>19950.0</v>
      </c>
      <c r="G63" s="12">
        <f t="shared" si="1"/>
        <v>41.895</v>
      </c>
      <c r="H63" s="12">
        <f>F63*'Materiality (Sec 2)'!$B$5</f>
        <v>39.102</v>
      </c>
    </row>
    <row r="64">
      <c r="A64" s="7" t="s">
        <v>245</v>
      </c>
      <c r="B64" s="7" t="s">
        <v>246</v>
      </c>
      <c r="C64" s="5" t="s">
        <v>217</v>
      </c>
      <c r="D64" s="7" t="s">
        <v>32</v>
      </c>
      <c r="E64" s="5" t="s">
        <v>218</v>
      </c>
      <c r="F64" s="9">
        <v>20070.0</v>
      </c>
      <c r="G64" s="12">
        <f t="shared" si="1"/>
        <v>42.147</v>
      </c>
      <c r="H64" s="12">
        <f>F64*'Materiality (Sec 2)'!$B$5</f>
        <v>39.3372</v>
      </c>
    </row>
    <row r="65">
      <c r="A65" s="7" t="s">
        <v>249</v>
      </c>
      <c r="B65" s="7" t="s">
        <v>250</v>
      </c>
      <c r="C65" s="5" t="s">
        <v>217</v>
      </c>
      <c r="D65" s="7" t="s">
        <v>32</v>
      </c>
      <c r="E65" s="5" t="s">
        <v>218</v>
      </c>
      <c r="F65" s="9">
        <v>19780.0</v>
      </c>
      <c r="G65" s="12">
        <f t="shared" si="1"/>
        <v>41.538</v>
      </c>
      <c r="H65" s="12">
        <f>F65*'Materiality (Sec 2)'!$B$5</f>
        <v>38.7688</v>
      </c>
    </row>
    <row r="66">
      <c r="A66" s="7" t="s">
        <v>256</v>
      </c>
      <c r="B66" s="7" t="s">
        <v>257</v>
      </c>
      <c r="C66" s="5" t="s">
        <v>212</v>
      </c>
      <c r="D66" s="7" t="s">
        <v>213</v>
      </c>
      <c r="E66" s="5" t="s">
        <v>209</v>
      </c>
      <c r="F66" s="9">
        <v>82730.0</v>
      </c>
      <c r="G66" s="12">
        <f t="shared" si="1"/>
        <v>169.5965</v>
      </c>
      <c r="H66" s="12">
        <f>F66*'Materiality (Sec 2)'!$B$5</f>
        <v>162.1508</v>
      </c>
    </row>
    <row r="67">
      <c r="A67" s="7" t="s">
        <v>262</v>
      </c>
      <c r="B67" s="7" t="s">
        <v>257</v>
      </c>
      <c r="C67" s="5" t="s">
        <v>214</v>
      </c>
      <c r="D67" s="7" t="s">
        <v>104</v>
      </c>
      <c r="E67" s="5" t="s">
        <v>209</v>
      </c>
      <c r="F67" s="9">
        <v>78140.0</v>
      </c>
      <c r="G67" s="12">
        <f t="shared" si="1"/>
        <v>148.466</v>
      </c>
      <c r="H67" s="12">
        <f>F67*'Materiality (Sec 2)'!$B$5</f>
        <v>153.1544</v>
      </c>
    </row>
    <row r="68">
      <c r="A68" s="7" t="s">
        <v>265</v>
      </c>
      <c r="B68" s="7" t="s">
        <v>266</v>
      </c>
      <c r="C68" s="5" t="s">
        <v>247</v>
      </c>
      <c r="D68" s="7" t="s">
        <v>50</v>
      </c>
      <c r="E68" s="5" t="s">
        <v>248</v>
      </c>
      <c r="F68" s="9">
        <v>20190.0</v>
      </c>
      <c r="G68" s="12">
        <f t="shared" si="1"/>
        <v>34.323</v>
      </c>
      <c r="H68" s="12">
        <f>F68*'Materiality (Sec 2)'!$B$5</f>
        <v>39.5724</v>
      </c>
    </row>
    <row r="69">
      <c r="A69" s="7" t="s">
        <v>269</v>
      </c>
      <c r="B69" s="7" t="s">
        <v>270</v>
      </c>
      <c r="C69" s="5" t="s">
        <v>247</v>
      </c>
      <c r="D69" s="7" t="s">
        <v>50</v>
      </c>
      <c r="E69" s="5" t="s">
        <v>248</v>
      </c>
      <c r="F69" s="9">
        <v>20090.0</v>
      </c>
      <c r="G69" s="12">
        <f t="shared" si="1"/>
        <v>34.153</v>
      </c>
      <c r="H69" s="12">
        <f>F69*'Materiality (Sec 2)'!$B$5</f>
        <v>39.3764</v>
      </c>
    </row>
    <row r="70">
      <c r="A70" s="7" t="s">
        <v>273</v>
      </c>
      <c r="B70" s="7" t="s">
        <v>274</v>
      </c>
      <c r="C70" s="5" t="s">
        <v>132</v>
      </c>
      <c r="D70" s="7" t="s">
        <v>50</v>
      </c>
      <c r="E70" s="5" t="s">
        <v>133</v>
      </c>
      <c r="F70" s="9">
        <v>20110.0</v>
      </c>
      <c r="G70" s="12">
        <f t="shared" si="1"/>
        <v>34.187</v>
      </c>
      <c r="H70" s="12">
        <f>F70*'Materiality (Sec 2)'!$B$5</f>
        <v>39.4156</v>
      </c>
    </row>
    <row r="71">
      <c r="A71" s="7" t="s">
        <v>279</v>
      </c>
      <c r="B71" s="7" t="s">
        <v>274</v>
      </c>
      <c r="C71" s="5" t="s">
        <v>132</v>
      </c>
      <c r="D71" s="7" t="s">
        <v>50</v>
      </c>
      <c r="E71" s="5" t="s">
        <v>133</v>
      </c>
      <c r="F71" s="9">
        <v>18930.0</v>
      </c>
      <c r="G71" s="12">
        <f t="shared" si="1"/>
        <v>32.181</v>
      </c>
      <c r="H71" s="12">
        <f>F71*'Materiality (Sec 2)'!$B$5</f>
        <v>37.1028</v>
      </c>
    </row>
    <row r="72">
      <c r="A72" s="7" t="s">
        <v>282</v>
      </c>
      <c r="B72" s="7" t="s">
        <v>284</v>
      </c>
      <c r="C72" s="5" t="s">
        <v>219</v>
      </c>
      <c r="D72" s="7" t="s">
        <v>79</v>
      </c>
      <c r="E72" s="5" t="s">
        <v>221</v>
      </c>
      <c r="F72" s="9">
        <v>20880.0</v>
      </c>
      <c r="G72" s="12">
        <f t="shared" si="1"/>
        <v>45.936</v>
      </c>
      <c r="H72" s="12">
        <f>F72*'Materiality (Sec 2)'!$B$5</f>
        <v>40.9248</v>
      </c>
    </row>
    <row r="73">
      <c r="A73" s="7" t="s">
        <v>288</v>
      </c>
      <c r="B73" s="7" t="s">
        <v>284</v>
      </c>
      <c r="C73" s="5" t="s">
        <v>219</v>
      </c>
      <c r="D73" s="7" t="s">
        <v>79</v>
      </c>
      <c r="E73" s="5" t="s">
        <v>221</v>
      </c>
      <c r="F73" s="9">
        <v>21220.0</v>
      </c>
      <c r="G73" s="12">
        <f t="shared" si="1"/>
        <v>46.684</v>
      </c>
      <c r="H73" s="12">
        <f>F73*'Materiality (Sec 2)'!$B$5</f>
        <v>41.5912</v>
      </c>
    </row>
    <row r="74">
      <c r="A74" s="7" t="s">
        <v>292</v>
      </c>
      <c r="B74" s="7" t="s">
        <v>293</v>
      </c>
      <c r="C74" s="5" t="s">
        <v>251</v>
      </c>
      <c r="D74" s="7" t="s">
        <v>104</v>
      </c>
      <c r="E74" s="5" t="s">
        <v>252</v>
      </c>
      <c r="F74" s="9">
        <v>20370.0</v>
      </c>
      <c r="G74" s="12">
        <f t="shared" si="1"/>
        <v>38.703</v>
      </c>
      <c r="H74" s="12">
        <f>F74*'Materiality (Sec 2)'!$B$5</f>
        <v>39.9252</v>
      </c>
    </row>
    <row r="75">
      <c r="A75" s="7" t="s">
        <v>295</v>
      </c>
      <c r="B75" s="7" t="s">
        <v>293</v>
      </c>
      <c r="C75" s="5" t="s">
        <v>251</v>
      </c>
      <c r="D75" s="7" t="s">
        <v>104</v>
      </c>
      <c r="E75" s="5" t="s">
        <v>252</v>
      </c>
      <c r="F75" s="9">
        <v>19780.0</v>
      </c>
      <c r="G75" s="12">
        <f t="shared" si="1"/>
        <v>37.582</v>
      </c>
      <c r="H75" s="12">
        <f>F75*'Materiality (Sec 2)'!$B$5</f>
        <v>38.7688</v>
      </c>
    </row>
    <row r="76">
      <c r="A76" s="7" t="s">
        <v>296</v>
      </c>
      <c r="B76" s="7" t="s">
        <v>297</v>
      </c>
      <c r="C76" s="5" t="s">
        <v>219</v>
      </c>
      <c r="D76" s="7" t="s">
        <v>79</v>
      </c>
      <c r="E76" s="5" t="s">
        <v>221</v>
      </c>
      <c r="F76" s="9">
        <v>19610.0</v>
      </c>
      <c r="G76" s="12">
        <f t="shared" si="1"/>
        <v>43.142</v>
      </c>
      <c r="H76" s="12">
        <f>F76*'Materiality (Sec 2)'!$B$5</f>
        <v>38.4356</v>
      </c>
    </row>
    <row r="77">
      <c r="A77" s="7" t="s">
        <v>298</v>
      </c>
      <c r="B77" s="7" t="s">
        <v>297</v>
      </c>
      <c r="C77" s="5" t="s">
        <v>219</v>
      </c>
      <c r="D77" s="7" t="s">
        <v>79</v>
      </c>
      <c r="E77" s="5" t="s">
        <v>221</v>
      </c>
      <c r="F77" s="9">
        <v>19460.0</v>
      </c>
      <c r="G77" s="12">
        <f t="shared" si="1"/>
        <v>42.812</v>
      </c>
      <c r="H77" s="12">
        <f>F77*'Materiality (Sec 2)'!$B$5</f>
        <v>38.1416</v>
      </c>
    </row>
    <row r="78">
      <c r="A78" s="7" t="s">
        <v>299</v>
      </c>
      <c r="B78" s="7" t="s">
        <v>300</v>
      </c>
      <c r="C78" s="5" t="s">
        <v>253</v>
      </c>
      <c r="D78" s="7" t="s">
        <v>254</v>
      </c>
      <c r="E78" s="5" t="s">
        <v>255</v>
      </c>
      <c r="F78" s="9">
        <v>19710.0</v>
      </c>
      <c r="G78" s="12">
        <f t="shared" si="1"/>
        <v>23.652</v>
      </c>
      <c r="H78" s="12">
        <f>F78*'Materiality (Sec 2)'!$B$5</f>
        <v>38.6316</v>
      </c>
    </row>
    <row r="79">
      <c r="A79" s="7" t="s">
        <v>301</v>
      </c>
      <c r="B79" s="7" t="s">
        <v>302</v>
      </c>
      <c r="C79" s="5" t="s">
        <v>253</v>
      </c>
      <c r="D79" s="7" t="s">
        <v>254</v>
      </c>
      <c r="E79" s="5" t="s">
        <v>255</v>
      </c>
      <c r="F79" s="9">
        <v>19940.0</v>
      </c>
      <c r="G79" s="12">
        <f t="shared" si="1"/>
        <v>23.928</v>
      </c>
      <c r="H79" s="12">
        <f>F79*'Materiality (Sec 2)'!$B$5</f>
        <v>39.0824</v>
      </c>
    </row>
    <row r="80">
      <c r="A80" s="7" t="s">
        <v>303</v>
      </c>
      <c r="B80" s="7" t="s">
        <v>304</v>
      </c>
      <c r="C80" s="5" t="s">
        <v>139</v>
      </c>
      <c r="D80" s="7" t="s">
        <v>136</v>
      </c>
      <c r="E80" s="5" t="s">
        <v>140</v>
      </c>
      <c r="F80" s="9">
        <v>19750.0</v>
      </c>
      <c r="G80" s="12">
        <f t="shared" si="1"/>
        <v>25.675</v>
      </c>
      <c r="H80" s="12">
        <f>F80*'Materiality (Sec 2)'!$B$5</f>
        <v>38.71</v>
      </c>
    </row>
    <row r="81">
      <c r="A81" s="7" t="s">
        <v>305</v>
      </c>
      <c r="B81" s="7" t="s">
        <v>306</v>
      </c>
      <c r="C81" s="5" t="s">
        <v>258</v>
      </c>
      <c r="D81" s="7" t="s">
        <v>50</v>
      </c>
      <c r="E81" s="5" t="s">
        <v>259</v>
      </c>
      <c r="F81" s="9">
        <v>19900.0</v>
      </c>
      <c r="G81" s="12">
        <f t="shared" si="1"/>
        <v>33.83</v>
      </c>
      <c r="H81" s="12">
        <f>F81*'Materiality (Sec 2)'!$B$5</f>
        <v>39.004</v>
      </c>
    </row>
    <row r="82">
      <c r="A82" s="7" t="s">
        <v>307</v>
      </c>
      <c r="B82" s="7" t="s">
        <v>308</v>
      </c>
      <c r="C82" s="5" t="s">
        <v>141</v>
      </c>
      <c r="D82" s="7" t="s">
        <v>142</v>
      </c>
      <c r="E82" s="5" t="s">
        <v>143</v>
      </c>
      <c r="F82" s="9">
        <v>19650.0</v>
      </c>
      <c r="G82" s="12">
        <f t="shared" si="1"/>
        <v>29.475</v>
      </c>
      <c r="H82" s="12">
        <f>F82*'Materiality (Sec 2)'!$B$5</f>
        <v>38.514</v>
      </c>
    </row>
    <row r="83">
      <c r="A83" s="7" t="s">
        <v>309</v>
      </c>
      <c r="B83" s="7" t="s">
        <v>310</v>
      </c>
      <c r="C83" s="5" t="s">
        <v>260</v>
      </c>
      <c r="D83" s="7" t="s">
        <v>149</v>
      </c>
      <c r="E83" s="5" t="s">
        <v>261</v>
      </c>
      <c r="F83" s="9">
        <v>19820.0</v>
      </c>
      <c r="G83" s="12">
        <f t="shared" si="1"/>
        <v>27.748</v>
      </c>
      <c r="H83" s="12">
        <f>F83*'Materiality (Sec 2)'!$B$5</f>
        <v>38.8472</v>
      </c>
    </row>
    <row r="84">
      <c r="A84" s="7" t="s">
        <v>311</v>
      </c>
      <c r="B84" s="7" t="s">
        <v>312</v>
      </c>
      <c r="C84" s="5" t="s">
        <v>135</v>
      </c>
      <c r="D84" s="7" t="s">
        <v>136</v>
      </c>
      <c r="E84" s="5" t="s">
        <v>137</v>
      </c>
      <c r="F84" s="9">
        <v>75560.0</v>
      </c>
      <c r="G84" s="12">
        <f t="shared" si="1"/>
        <v>98.228</v>
      </c>
      <c r="H84" s="12">
        <f>F84*'Materiality (Sec 2)'!$B$5</f>
        <v>148.0976</v>
      </c>
    </row>
    <row r="85">
      <c r="A85" s="7" t="s">
        <v>313</v>
      </c>
      <c r="B85" s="7" t="s">
        <v>314</v>
      </c>
      <c r="C85" s="5" t="s">
        <v>145</v>
      </c>
      <c r="D85" s="7" t="s">
        <v>50</v>
      </c>
      <c r="E85" s="5" t="s">
        <v>146</v>
      </c>
      <c r="F85" s="9">
        <v>20640.0</v>
      </c>
      <c r="G85" s="12">
        <f t="shared" si="1"/>
        <v>35.088</v>
      </c>
      <c r="H85" s="12">
        <f>F85*'Materiality (Sec 2)'!$B$5</f>
        <v>40.4544</v>
      </c>
    </row>
    <row r="86">
      <c r="A86" s="7" t="s">
        <v>315</v>
      </c>
      <c r="B86" s="7" t="s">
        <v>316</v>
      </c>
      <c r="C86" s="5" t="s">
        <v>145</v>
      </c>
      <c r="D86" s="7" t="s">
        <v>50</v>
      </c>
      <c r="E86" s="5" t="s">
        <v>146</v>
      </c>
      <c r="F86" s="9">
        <v>20450.0</v>
      </c>
      <c r="G86" s="12">
        <f t="shared" si="1"/>
        <v>34.765</v>
      </c>
      <c r="H86" s="12">
        <f>F86*'Materiality (Sec 2)'!$B$5</f>
        <v>40.082</v>
      </c>
    </row>
    <row r="87">
      <c r="A87" s="7" t="s">
        <v>317</v>
      </c>
      <c r="B87" s="7" t="s">
        <v>318</v>
      </c>
      <c r="C87" s="5" t="s">
        <v>263</v>
      </c>
      <c r="D87" s="7" t="s">
        <v>142</v>
      </c>
      <c r="E87" s="5" t="s">
        <v>264</v>
      </c>
      <c r="F87" s="9">
        <v>20040.0</v>
      </c>
      <c r="G87" s="12">
        <f t="shared" si="1"/>
        <v>30.06</v>
      </c>
      <c r="H87" s="12">
        <f>F87*'Materiality (Sec 2)'!$B$5</f>
        <v>39.2784</v>
      </c>
    </row>
    <row r="88">
      <c r="A88" s="7" t="s">
        <v>319</v>
      </c>
      <c r="B88" s="7" t="s">
        <v>318</v>
      </c>
      <c r="C88" s="5" t="s">
        <v>263</v>
      </c>
      <c r="D88" s="7" t="s">
        <v>142</v>
      </c>
      <c r="E88" s="5" t="s">
        <v>264</v>
      </c>
      <c r="F88" s="9">
        <v>20110.0</v>
      </c>
      <c r="G88" s="12">
        <f t="shared" si="1"/>
        <v>30.165</v>
      </c>
      <c r="H88" s="12">
        <f>F88*'Materiality (Sec 2)'!$B$5</f>
        <v>39.4156</v>
      </c>
    </row>
    <row r="89">
      <c r="A89" s="7" t="s">
        <v>320</v>
      </c>
      <c r="B89" s="7" t="s">
        <v>318</v>
      </c>
      <c r="C89" s="5" t="s">
        <v>263</v>
      </c>
      <c r="D89" s="7" t="s">
        <v>142</v>
      </c>
      <c r="E89" s="5" t="s">
        <v>264</v>
      </c>
      <c r="F89" s="9">
        <v>18590.0</v>
      </c>
      <c r="G89" s="12">
        <f t="shared" si="1"/>
        <v>27.885</v>
      </c>
      <c r="H89" s="12">
        <f>F89*'Materiality (Sec 2)'!$B$5</f>
        <v>36.4364</v>
      </c>
    </row>
    <row r="90">
      <c r="A90" s="7" t="s">
        <v>321</v>
      </c>
      <c r="B90" s="7" t="s">
        <v>322</v>
      </c>
      <c r="C90" s="5" t="s">
        <v>263</v>
      </c>
      <c r="D90" s="7" t="s">
        <v>142</v>
      </c>
      <c r="E90" s="5" t="s">
        <v>264</v>
      </c>
      <c r="F90" s="9">
        <v>19530.0</v>
      </c>
      <c r="G90" s="12">
        <f t="shared" si="1"/>
        <v>29.295</v>
      </c>
      <c r="H90" s="12">
        <f>F90*'Materiality (Sec 2)'!$B$5</f>
        <v>38.2788</v>
      </c>
    </row>
    <row r="91">
      <c r="A91" s="7" t="s">
        <v>323</v>
      </c>
      <c r="B91" s="7" t="s">
        <v>322</v>
      </c>
      <c r="C91" s="5" t="s">
        <v>263</v>
      </c>
      <c r="D91" s="7" t="s">
        <v>142</v>
      </c>
      <c r="E91" s="5" t="s">
        <v>264</v>
      </c>
      <c r="F91" s="9">
        <v>19840.0</v>
      </c>
      <c r="G91" s="12">
        <f t="shared" si="1"/>
        <v>29.76</v>
      </c>
      <c r="H91" s="12">
        <f>F91*'Materiality (Sec 2)'!$B$5</f>
        <v>38.8864</v>
      </c>
    </row>
    <row r="92">
      <c r="A92" s="7" t="s">
        <v>324</v>
      </c>
      <c r="B92" s="7" t="s">
        <v>325</v>
      </c>
      <c r="C92" s="5" t="s">
        <v>148</v>
      </c>
      <c r="D92" s="7" t="s">
        <v>149</v>
      </c>
      <c r="E92" s="5" t="s">
        <v>150</v>
      </c>
      <c r="F92" s="9">
        <v>19120.0</v>
      </c>
      <c r="G92" s="12">
        <f t="shared" si="1"/>
        <v>26.768</v>
      </c>
      <c r="H92" s="12">
        <f>F92*'Materiality (Sec 2)'!$B$5</f>
        <v>37.4752</v>
      </c>
    </row>
    <row r="93">
      <c r="A93" s="7" t="s">
        <v>326</v>
      </c>
      <c r="B93" s="7" t="s">
        <v>327</v>
      </c>
      <c r="C93" s="5" t="s">
        <v>148</v>
      </c>
      <c r="D93" s="7" t="s">
        <v>149</v>
      </c>
      <c r="E93" s="5" t="s">
        <v>150</v>
      </c>
      <c r="F93" s="9">
        <v>18890.0</v>
      </c>
      <c r="G93" s="12">
        <f t="shared" si="1"/>
        <v>26.446</v>
      </c>
      <c r="H93" s="12">
        <f>F93*'Materiality (Sec 2)'!$B$5</f>
        <v>37.0244</v>
      </c>
    </row>
    <row r="94">
      <c r="A94" s="7" t="s">
        <v>328</v>
      </c>
      <c r="B94" s="7" t="s">
        <v>329</v>
      </c>
      <c r="C94" s="5" t="s">
        <v>267</v>
      </c>
      <c r="D94" s="7" t="s">
        <v>173</v>
      </c>
      <c r="E94" s="5" t="s">
        <v>268</v>
      </c>
      <c r="F94" s="9">
        <v>19940.0</v>
      </c>
      <c r="G94" s="12">
        <f t="shared" si="1"/>
        <v>31.904</v>
      </c>
      <c r="H94" s="12">
        <f>F94*'Materiality (Sec 2)'!$B$5</f>
        <v>39.0824</v>
      </c>
    </row>
    <row r="95">
      <c r="A95" s="7" t="s">
        <v>330</v>
      </c>
      <c r="B95" s="7" t="s">
        <v>329</v>
      </c>
      <c r="C95" s="5" t="s">
        <v>267</v>
      </c>
      <c r="D95" s="7" t="s">
        <v>173</v>
      </c>
      <c r="E95" s="5" t="s">
        <v>268</v>
      </c>
      <c r="F95" s="9">
        <v>19970.0</v>
      </c>
      <c r="G95" s="12">
        <f t="shared" si="1"/>
        <v>31.952</v>
      </c>
      <c r="H95" s="12">
        <f>F95*'Materiality (Sec 2)'!$B$5</f>
        <v>39.1412</v>
      </c>
    </row>
    <row r="96">
      <c r="A96" s="7" t="s">
        <v>331</v>
      </c>
      <c r="B96" s="7" t="s">
        <v>332</v>
      </c>
      <c r="C96" s="5" t="s">
        <v>267</v>
      </c>
      <c r="D96" s="7" t="s">
        <v>173</v>
      </c>
      <c r="E96" s="5" t="s">
        <v>268</v>
      </c>
      <c r="F96" s="9">
        <v>19900.0</v>
      </c>
      <c r="G96" s="12">
        <f t="shared" si="1"/>
        <v>31.84</v>
      </c>
      <c r="H96" s="12">
        <f>F96*'Materiality (Sec 2)'!$B$5</f>
        <v>39.004</v>
      </c>
    </row>
    <row r="97">
      <c r="A97" s="7" t="s">
        <v>333</v>
      </c>
      <c r="B97" s="7" t="s">
        <v>334</v>
      </c>
      <c r="C97" s="5" t="s">
        <v>154</v>
      </c>
      <c r="D97" s="7" t="s">
        <v>149</v>
      </c>
      <c r="E97" s="5" t="s">
        <v>156</v>
      </c>
      <c r="F97" s="9">
        <v>19690.0</v>
      </c>
      <c r="G97" s="12">
        <f t="shared" si="1"/>
        <v>27.566</v>
      </c>
      <c r="H97" s="12">
        <f>F97*'Materiality (Sec 2)'!$B$5</f>
        <v>38.5924</v>
      </c>
    </row>
    <row r="98">
      <c r="A98" s="7" t="s">
        <v>335</v>
      </c>
      <c r="B98" s="7" t="s">
        <v>334</v>
      </c>
      <c r="C98" s="5" t="s">
        <v>271</v>
      </c>
      <c r="D98" s="7" t="s">
        <v>173</v>
      </c>
      <c r="E98" s="5" t="s">
        <v>272</v>
      </c>
      <c r="F98" s="9">
        <v>18770.0</v>
      </c>
      <c r="G98" s="12">
        <f t="shared" si="1"/>
        <v>30.032</v>
      </c>
      <c r="H98" s="12">
        <f>F98*'Materiality (Sec 2)'!$B$5</f>
        <v>36.7892</v>
      </c>
    </row>
    <row r="99">
      <c r="A99" s="7" t="s">
        <v>336</v>
      </c>
      <c r="B99" s="7" t="s">
        <v>337</v>
      </c>
      <c r="C99" s="5" t="s">
        <v>271</v>
      </c>
      <c r="D99" s="7" t="s">
        <v>173</v>
      </c>
      <c r="E99" s="5" t="s">
        <v>272</v>
      </c>
      <c r="F99" s="9">
        <v>20050.0</v>
      </c>
      <c r="G99" s="12">
        <f t="shared" si="1"/>
        <v>32.08</v>
      </c>
      <c r="H99" s="12">
        <f>F99*'Materiality (Sec 2)'!$B$5</f>
        <v>39.298</v>
      </c>
    </row>
    <row r="100">
      <c r="A100" s="7" t="s">
        <v>338</v>
      </c>
      <c r="B100" s="7" t="s">
        <v>339</v>
      </c>
      <c r="C100" s="5" t="s">
        <v>271</v>
      </c>
      <c r="D100" s="7" t="s">
        <v>173</v>
      </c>
      <c r="E100" s="5" t="s">
        <v>272</v>
      </c>
      <c r="F100" s="9">
        <v>19340.0</v>
      </c>
      <c r="G100" s="12">
        <f t="shared" si="1"/>
        <v>30.944</v>
      </c>
      <c r="H100" s="12">
        <f>F100*'Materiality (Sec 2)'!$B$5</f>
        <v>37.9064</v>
      </c>
    </row>
    <row r="101">
      <c r="A101" s="7" t="s">
        <v>340</v>
      </c>
      <c r="B101" s="7" t="s">
        <v>341</v>
      </c>
      <c r="C101" s="5" t="s">
        <v>157</v>
      </c>
      <c r="D101" s="7" t="s">
        <v>32</v>
      </c>
      <c r="E101" s="5" t="s">
        <v>158</v>
      </c>
      <c r="F101" s="9">
        <v>19590.0</v>
      </c>
      <c r="G101" s="12">
        <f t="shared" si="1"/>
        <v>41.139</v>
      </c>
      <c r="H101" s="12">
        <f>F101*'Materiality (Sec 2)'!$B$5</f>
        <v>38.3964</v>
      </c>
    </row>
    <row r="102">
      <c r="A102" s="7" t="s">
        <v>342</v>
      </c>
      <c r="B102" s="7" t="s">
        <v>343</v>
      </c>
      <c r="C102" s="5" t="s">
        <v>160</v>
      </c>
      <c r="D102" s="7" t="s">
        <v>142</v>
      </c>
      <c r="E102" s="5" t="s">
        <v>161</v>
      </c>
      <c r="F102" s="9">
        <v>19580.0</v>
      </c>
      <c r="G102" s="12">
        <f t="shared" si="1"/>
        <v>29.37</v>
      </c>
      <c r="H102" s="12">
        <f>F102*'Materiality (Sec 2)'!$B$5</f>
        <v>38.3768</v>
      </c>
    </row>
    <row r="103">
      <c r="A103" s="7" t="s">
        <v>344</v>
      </c>
      <c r="B103" s="7" t="s">
        <v>345</v>
      </c>
      <c r="C103" s="5" t="s">
        <v>160</v>
      </c>
      <c r="D103" s="7" t="s">
        <v>142</v>
      </c>
      <c r="E103" s="5" t="s">
        <v>161</v>
      </c>
      <c r="F103" s="9">
        <v>20630.0</v>
      </c>
      <c r="G103" s="12">
        <f t="shared" si="1"/>
        <v>30.945</v>
      </c>
      <c r="H103" s="12">
        <f>F103*'Materiality (Sec 2)'!$B$5</f>
        <v>40.4348</v>
      </c>
    </row>
    <row r="104">
      <c r="A104" s="7" t="s">
        <v>346</v>
      </c>
      <c r="B104" s="7" t="s">
        <v>347</v>
      </c>
      <c r="C104" s="5" t="s">
        <v>275</v>
      </c>
      <c r="D104" s="7" t="s">
        <v>142</v>
      </c>
      <c r="E104" s="5" t="s">
        <v>276</v>
      </c>
      <c r="F104" s="9">
        <v>19970.0</v>
      </c>
      <c r="G104" s="12">
        <f t="shared" si="1"/>
        <v>29.955</v>
      </c>
      <c r="H104" s="12">
        <f>F104*'Materiality (Sec 2)'!$B$5</f>
        <v>39.1412</v>
      </c>
    </row>
    <row r="105">
      <c r="A105" s="7" t="s">
        <v>348</v>
      </c>
      <c r="B105" s="7" t="s">
        <v>347</v>
      </c>
      <c r="C105" s="5" t="s">
        <v>275</v>
      </c>
      <c r="D105" s="7" t="s">
        <v>142</v>
      </c>
      <c r="E105" s="5" t="s">
        <v>276</v>
      </c>
      <c r="F105" s="9">
        <v>20480.0</v>
      </c>
      <c r="G105" s="12">
        <f t="shared" si="1"/>
        <v>30.72</v>
      </c>
      <c r="H105" s="12">
        <f>F105*'Materiality (Sec 2)'!$B$5</f>
        <v>40.1408</v>
      </c>
    </row>
    <row r="106">
      <c r="A106" s="7" t="s">
        <v>349</v>
      </c>
      <c r="B106" s="7" t="s">
        <v>350</v>
      </c>
      <c r="C106" s="5" t="s">
        <v>162</v>
      </c>
      <c r="D106" s="7" t="s">
        <v>50</v>
      </c>
      <c r="E106" s="5" t="s">
        <v>163</v>
      </c>
      <c r="F106" s="9">
        <v>19520.0</v>
      </c>
      <c r="G106" s="12">
        <f t="shared" si="1"/>
        <v>33.184</v>
      </c>
      <c r="H106" s="12">
        <f>F106*'Materiality (Sec 2)'!$B$5</f>
        <v>38.2592</v>
      </c>
    </row>
    <row r="107">
      <c r="A107" s="7" t="s">
        <v>351</v>
      </c>
      <c r="B107" s="7" t="s">
        <v>352</v>
      </c>
      <c r="C107" s="5" t="s">
        <v>277</v>
      </c>
      <c r="D107" s="7" t="s">
        <v>32</v>
      </c>
      <c r="E107" s="5" t="s">
        <v>278</v>
      </c>
      <c r="F107" s="9">
        <v>19990.0</v>
      </c>
      <c r="G107" s="12">
        <f t="shared" si="1"/>
        <v>41.979</v>
      </c>
      <c r="H107" s="12">
        <f>F107*'Materiality (Sec 2)'!$B$5</f>
        <v>39.1804</v>
      </c>
    </row>
    <row r="108">
      <c r="A108" s="7" t="s">
        <v>353</v>
      </c>
      <c r="B108" s="7" t="s">
        <v>354</v>
      </c>
      <c r="C108" s="5" t="s">
        <v>280</v>
      </c>
      <c r="D108" s="7" t="s">
        <v>149</v>
      </c>
      <c r="E108" s="5" t="s">
        <v>355</v>
      </c>
      <c r="F108" s="9">
        <v>19880.0</v>
      </c>
      <c r="G108" s="12">
        <f t="shared" si="1"/>
        <v>27.832</v>
      </c>
      <c r="H108" s="12">
        <f>F108*'Materiality (Sec 2)'!$B$5</f>
        <v>38.9648</v>
      </c>
    </row>
    <row r="109">
      <c r="A109" s="7" t="s">
        <v>356</v>
      </c>
      <c r="B109" s="7" t="s">
        <v>354</v>
      </c>
      <c r="C109" s="5" t="s">
        <v>168</v>
      </c>
      <c r="D109" s="7" t="s">
        <v>50</v>
      </c>
      <c r="E109" s="5" t="s">
        <v>169</v>
      </c>
      <c r="F109" s="9">
        <v>19800.0</v>
      </c>
      <c r="G109" s="12">
        <f t="shared" si="1"/>
        <v>33.66</v>
      </c>
      <c r="H109" s="12">
        <f>F109*'Materiality (Sec 2)'!$B$5</f>
        <v>38.808</v>
      </c>
    </row>
    <row r="110">
      <c r="A110" s="7" t="s">
        <v>357</v>
      </c>
      <c r="B110" s="7" t="s">
        <v>354</v>
      </c>
      <c r="C110" s="5" t="s">
        <v>168</v>
      </c>
      <c r="D110" s="7" t="s">
        <v>50</v>
      </c>
      <c r="E110" s="5" t="s">
        <v>169</v>
      </c>
      <c r="F110" s="9">
        <v>18410.0</v>
      </c>
      <c r="G110" s="12">
        <f t="shared" si="1"/>
        <v>31.297</v>
      </c>
      <c r="H110" s="12">
        <f>F110*'Materiality (Sec 2)'!$B$5</f>
        <v>36.0836</v>
      </c>
    </row>
    <row r="111">
      <c r="A111" s="7" t="s">
        <v>358</v>
      </c>
      <c r="B111" s="7" t="s">
        <v>359</v>
      </c>
      <c r="C111" s="5" t="s">
        <v>168</v>
      </c>
      <c r="D111" s="7" t="s">
        <v>50</v>
      </c>
      <c r="E111" s="5" t="s">
        <v>169</v>
      </c>
      <c r="F111" s="9">
        <v>19370.0</v>
      </c>
      <c r="G111" s="12">
        <f t="shared" si="1"/>
        <v>32.929</v>
      </c>
      <c r="H111" s="12">
        <f>F111*'Materiality (Sec 2)'!$B$5</f>
        <v>37.9652</v>
      </c>
    </row>
    <row r="112">
      <c r="A112" s="7" t="s">
        <v>360</v>
      </c>
      <c r="B112" s="7" t="s">
        <v>359</v>
      </c>
      <c r="C112" s="5" t="s">
        <v>166</v>
      </c>
      <c r="D112" s="7" t="s">
        <v>37</v>
      </c>
      <c r="E112" s="5" t="s">
        <v>167</v>
      </c>
      <c r="F112" s="9">
        <v>19760.0</v>
      </c>
      <c r="G112" s="12">
        <f t="shared" si="1"/>
        <v>35.568</v>
      </c>
      <c r="H112" s="12">
        <f>F112*'Materiality (Sec 2)'!$B$5</f>
        <v>38.7296</v>
      </c>
    </row>
    <row r="113">
      <c r="A113" s="7" t="s">
        <v>361</v>
      </c>
      <c r="B113" s="7" t="s">
        <v>362</v>
      </c>
      <c r="C113" s="5" t="s">
        <v>166</v>
      </c>
      <c r="D113" s="7" t="s">
        <v>37</v>
      </c>
      <c r="E113" s="5" t="s">
        <v>167</v>
      </c>
      <c r="F113" s="9">
        <v>20110.0</v>
      </c>
      <c r="G113" s="12">
        <f t="shared" si="1"/>
        <v>36.198</v>
      </c>
      <c r="H113" s="12">
        <f>F113*'Materiality (Sec 2)'!$B$5</f>
        <v>39.4156</v>
      </c>
    </row>
    <row r="114">
      <c r="A114" s="7" t="s">
        <v>363</v>
      </c>
      <c r="B114" s="7" t="s">
        <v>362</v>
      </c>
      <c r="C114" s="5" t="s">
        <v>280</v>
      </c>
      <c r="D114" s="7" t="s">
        <v>149</v>
      </c>
      <c r="E114" s="5" t="s">
        <v>281</v>
      </c>
      <c r="F114" s="9">
        <v>19800.0</v>
      </c>
      <c r="G114" s="12">
        <f t="shared" si="1"/>
        <v>27.72</v>
      </c>
      <c r="H114" s="12">
        <f>F114*'Materiality (Sec 2)'!$B$5</f>
        <v>38.808</v>
      </c>
    </row>
    <row r="115">
      <c r="A115" s="7" t="s">
        <v>364</v>
      </c>
      <c r="B115" s="7" t="s">
        <v>365</v>
      </c>
      <c r="C115" s="5" t="s">
        <v>283</v>
      </c>
      <c r="D115" s="7" t="s">
        <v>37</v>
      </c>
      <c r="E115" s="5" t="s">
        <v>285</v>
      </c>
      <c r="F115" s="9">
        <v>19190.0</v>
      </c>
      <c r="G115" s="12">
        <f t="shared" si="1"/>
        <v>34.542</v>
      </c>
      <c r="H115" s="12">
        <f>F115*'Materiality (Sec 2)'!$B$5</f>
        <v>37.6124</v>
      </c>
    </row>
    <row r="116">
      <c r="A116" s="7" t="s">
        <v>366</v>
      </c>
      <c r="B116" s="7" t="s">
        <v>365</v>
      </c>
      <c r="C116" s="5" t="s">
        <v>283</v>
      </c>
      <c r="D116" s="7" t="s">
        <v>37</v>
      </c>
      <c r="E116" s="5" t="s">
        <v>285</v>
      </c>
      <c r="F116" s="9">
        <v>19760.0</v>
      </c>
      <c r="G116" s="12">
        <f t="shared" si="1"/>
        <v>35.568</v>
      </c>
      <c r="H116" s="12">
        <f>F116*'Materiality (Sec 2)'!$B$5</f>
        <v>38.7296</v>
      </c>
    </row>
    <row r="117">
      <c r="A117" s="7" t="s">
        <v>367</v>
      </c>
      <c r="B117" s="7" t="s">
        <v>365</v>
      </c>
      <c r="C117" s="5" t="s">
        <v>283</v>
      </c>
      <c r="D117" s="7" t="s">
        <v>37</v>
      </c>
      <c r="E117" s="5" t="s">
        <v>285</v>
      </c>
      <c r="F117" s="9">
        <v>19660.0</v>
      </c>
      <c r="G117" s="12">
        <f t="shared" si="1"/>
        <v>35.388</v>
      </c>
      <c r="H117" s="12">
        <f>F117*'Materiality (Sec 2)'!$B$5</f>
        <v>38.5336</v>
      </c>
    </row>
    <row r="118">
      <c r="A118" s="7" t="s">
        <v>368</v>
      </c>
      <c r="B118" s="7" t="s">
        <v>369</v>
      </c>
      <c r="C118" s="5" t="s">
        <v>172</v>
      </c>
      <c r="D118" s="7" t="s">
        <v>173</v>
      </c>
      <c r="E118" s="5" t="s">
        <v>174</v>
      </c>
      <c r="F118" s="9">
        <v>19690.0</v>
      </c>
      <c r="G118" s="12">
        <f t="shared" si="1"/>
        <v>31.504</v>
      </c>
      <c r="H118" s="12">
        <f>F118*'Materiality (Sec 2)'!$B$5</f>
        <v>38.5924</v>
      </c>
    </row>
    <row r="119">
      <c r="A119" s="7" t="s">
        <v>370</v>
      </c>
      <c r="B119" s="7" t="s">
        <v>369</v>
      </c>
      <c r="C119" s="5" t="s">
        <v>283</v>
      </c>
      <c r="D119" s="7" t="s">
        <v>37</v>
      </c>
      <c r="E119" s="5" t="s">
        <v>285</v>
      </c>
      <c r="F119" s="9">
        <v>20180.0</v>
      </c>
      <c r="G119" s="12">
        <f t="shared" si="1"/>
        <v>36.324</v>
      </c>
      <c r="H119" s="12">
        <f>F119*'Materiality (Sec 2)'!$B$5</f>
        <v>39.5528</v>
      </c>
    </row>
    <row r="120">
      <c r="A120" s="7" t="s">
        <v>371</v>
      </c>
      <c r="B120" s="7" t="s">
        <v>369</v>
      </c>
      <c r="C120" s="5" t="s">
        <v>172</v>
      </c>
      <c r="D120" s="7" t="s">
        <v>173</v>
      </c>
      <c r="E120" s="5" t="s">
        <v>174</v>
      </c>
      <c r="F120" s="9">
        <v>19980.0</v>
      </c>
      <c r="G120" s="12">
        <f t="shared" si="1"/>
        <v>31.968</v>
      </c>
      <c r="H120" s="12">
        <f>F120*'Materiality (Sec 2)'!$B$5</f>
        <v>39.1608</v>
      </c>
    </row>
    <row r="121">
      <c r="A121" s="7" t="s">
        <v>372</v>
      </c>
      <c r="B121" s="7" t="s">
        <v>373</v>
      </c>
      <c r="C121" s="5" t="s">
        <v>172</v>
      </c>
      <c r="D121" s="7" t="s">
        <v>173</v>
      </c>
      <c r="E121" s="5" t="s">
        <v>174</v>
      </c>
      <c r="F121" s="9">
        <v>19750.0</v>
      </c>
      <c r="G121" s="12">
        <f t="shared" si="1"/>
        <v>31.6</v>
      </c>
      <c r="H121" s="12">
        <f>F121*'Materiality (Sec 2)'!$B$5</f>
        <v>38.71</v>
      </c>
    </row>
    <row r="122">
      <c r="A122" s="7" t="s">
        <v>374</v>
      </c>
      <c r="B122" s="7" t="s">
        <v>373</v>
      </c>
      <c r="C122" s="5" t="s">
        <v>172</v>
      </c>
      <c r="D122" s="7" t="s">
        <v>173</v>
      </c>
      <c r="E122" s="5" t="s">
        <v>174</v>
      </c>
      <c r="F122" s="9">
        <v>19950.0</v>
      </c>
      <c r="G122" s="12">
        <f t="shared" si="1"/>
        <v>31.92</v>
      </c>
      <c r="H122" s="12">
        <f>F122*'Materiality (Sec 2)'!$B$5</f>
        <v>39.102</v>
      </c>
    </row>
    <row r="123">
      <c r="A123" s="7" t="s">
        <v>375</v>
      </c>
      <c r="B123" s="7" t="s">
        <v>376</v>
      </c>
      <c r="C123" s="5" t="s">
        <v>157</v>
      </c>
      <c r="D123" s="7" t="s">
        <v>32</v>
      </c>
      <c r="E123" s="5" t="s">
        <v>158</v>
      </c>
      <c r="F123" s="9">
        <v>80610.0</v>
      </c>
      <c r="G123" s="12">
        <f t="shared" si="1"/>
        <v>169.281</v>
      </c>
      <c r="H123" s="12">
        <f>F123*'Materiality (Sec 2)'!$B$5</f>
        <v>157.9956</v>
      </c>
    </row>
    <row r="124">
      <c r="A124" s="7" t="s">
        <v>377</v>
      </c>
      <c r="B124" s="7" t="s">
        <v>376</v>
      </c>
      <c r="C124" s="5" t="s">
        <v>286</v>
      </c>
      <c r="D124" s="7" t="s">
        <v>50</v>
      </c>
      <c r="E124" s="5" t="s">
        <v>287</v>
      </c>
      <c r="F124" s="9">
        <v>20510.0</v>
      </c>
      <c r="G124" s="12">
        <f t="shared" si="1"/>
        <v>34.867</v>
      </c>
      <c r="H124" s="12">
        <f>F124*'Materiality (Sec 2)'!$B$5</f>
        <v>40.1996</v>
      </c>
    </row>
    <row r="125">
      <c r="A125" s="7" t="s">
        <v>378</v>
      </c>
      <c r="B125" s="7" t="s">
        <v>376</v>
      </c>
      <c r="C125" s="5" t="s">
        <v>286</v>
      </c>
      <c r="D125" s="7" t="s">
        <v>50</v>
      </c>
      <c r="E125" s="5" t="s">
        <v>287</v>
      </c>
      <c r="F125" s="9">
        <v>19910.0</v>
      </c>
      <c r="G125" s="12">
        <f t="shared" si="1"/>
        <v>33.847</v>
      </c>
      <c r="H125" s="12">
        <f>F125*'Materiality (Sec 2)'!$B$5</f>
        <v>39.0236</v>
      </c>
    </row>
    <row r="126">
      <c r="A126" s="7" t="s">
        <v>379</v>
      </c>
      <c r="B126" s="7" t="s">
        <v>380</v>
      </c>
      <c r="C126" s="5" t="s">
        <v>176</v>
      </c>
      <c r="D126" s="7" t="s">
        <v>104</v>
      </c>
      <c r="E126" s="5" t="s">
        <v>178</v>
      </c>
      <c r="F126" s="9">
        <v>19880.0</v>
      </c>
      <c r="G126" s="12">
        <f t="shared" si="1"/>
        <v>37.772</v>
      </c>
      <c r="H126" s="12">
        <f>F126*'Materiality (Sec 2)'!$B$5</f>
        <v>38.9648</v>
      </c>
    </row>
    <row r="127">
      <c r="A127" s="7" t="s">
        <v>381</v>
      </c>
      <c r="B127" s="7" t="s">
        <v>382</v>
      </c>
      <c r="C127" s="5" t="s">
        <v>179</v>
      </c>
      <c r="D127" s="7" t="s">
        <v>104</v>
      </c>
      <c r="E127" s="5" t="s">
        <v>180</v>
      </c>
      <c r="F127" s="9">
        <v>19240.0</v>
      </c>
      <c r="G127" s="12">
        <f t="shared" si="1"/>
        <v>36.556</v>
      </c>
      <c r="H127" s="12">
        <f>F127*'Materiality (Sec 2)'!$B$5</f>
        <v>37.7104</v>
      </c>
    </row>
    <row r="128">
      <c r="A128" s="7" t="s">
        <v>383</v>
      </c>
      <c r="B128" s="7" t="s">
        <v>384</v>
      </c>
      <c r="C128" s="5" t="s">
        <v>289</v>
      </c>
      <c r="D128" s="7" t="s">
        <v>149</v>
      </c>
      <c r="E128" s="5" t="s">
        <v>290</v>
      </c>
      <c r="F128" s="9">
        <v>18080.0</v>
      </c>
      <c r="G128" s="12">
        <f t="shared" si="1"/>
        <v>25.312</v>
      </c>
      <c r="H128" s="12">
        <f>F128*'Materiality (Sec 2)'!$B$5</f>
        <v>35.4368</v>
      </c>
    </row>
    <row r="129">
      <c r="A129" s="7" t="s">
        <v>385</v>
      </c>
      <c r="B129" s="7" t="s">
        <v>386</v>
      </c>
      <c r="C129" s="5" t="s">
        <v>183</v>
      </c>
      <c r="D129" s="7" t="s">
        <v>37</v>
      </c>
      <c r="E129" s="5" t="s">
        <v>184</v>
      </c>
      <c r="F129" s="9">
        <v>25740.0</v>
      </c>
      <c r="G129" s="12">
        <f t="shared" si="1"/>
        <v>46.332</v>
      </c>
      <c r="H129" s="12">
        <f>F129*'Materiality (Sec 2)'!$B$5</f>
        <v>50.4504</v>
      </c>
    </row>
    <row r="130">
      <c r="A130" s="7" t="s">
        <v>387</v>
      </c>
      <c r="B130" s="7" t="s">
        <v>388</v>
      </c>
      <c r="C130" s="5" t="s">
        <v>189</v>
      </c>
      <c r="D130" s="7" t="s">
        <v>32</v>
      </c>
      <c r="E130" s="5" t="s">
        <v>190</v>
      </c>
      <c r="F130" s="9">
        <v>26090.0</v>
      </c>
      <c r="G130" s="12">
        <f t="shared" si="1"/>
        <v>54.789</v>
      </c>
      <c r="H130" s="12">
        <f>F130*'Materiality (Sec 2)'!$B$5</f>
        <v>51.1364</v>
      </c>
    </row>
    <row r="131">
      <c r="A131" s="7" t="s">
        <v>389</v>
      </c>
      <c r="B131" s="7" t="s">
        <v>388</v>
      </c>
      <c r="C131" s="5" t="s">
        <v>191</v>
      </c>
      <c r="D131" s="7" t="s">
        <v>32</v>
      </c>
      <c r="E131" s="5" t="s">
        <v>192</v>
      </c>
      <c r="F131" s="9">
        <v>26110.0</v>
      </c>
      <c r="G131" s="12">
        <f t="shared" si="1"/>
        <v>54.831</v>
      </c>
      <c r="H131" s="12">
        <f>F131*'Materiality (Sec 2)'!$B$5</f>
        <v>51.1756</v>
      </c>
    </row>
    <row r="132">
      <c r="A132" s="7" t="s">
        <v>390</v>
      </c>
      <c r="B132" s="7" t="s">
        <v>388</v>
      </c>
      <c r="C132" s="5" t="s">
        <v>191</v>
      </c>
      <c r="D132" s="7" t="s">
        <v>32</v>
      </c>
      <c r="E132" s="5" t="s">
        <v>192</v>
      </c>
      <c r="F132" s="9">
        <v>26100.0</v>
      </c>
      <c r="G132" s="12">
        <f t="shared" si="1"/>
        <v>54.81</v>
      </c>
      <c r="H132" s="12">
        <f>F132*'Materiality (Sec 2)'!$B$5</f>
        <v>51.156</v>
      </c>
    </row>
    <row r="133">
      <c r="A133" s="7" t="s">
        <v>391</v>
      </c>
      <c r="B133" s="7" t="s">
        <v>388</v>
      </c>
      <c r="C133" s="5" t="s">
        <v>191</v>
      </c>
      <c r="D133" s="7" t="s">
        <v>32</v>
      </c>
      <c r="E133" s="5" t="s">
        <v>192</v>
      </c>
      <c r="F133" s="9">
        <v>25860.0</v>
      </c>
      <c r="G133" s="12">
        <f t="shared" si="1"/>
        <v>54.306</v>
      </c>
      <c r="H133" s="12">
        <f>F133*'Materiality (Sec 2)'!$B$5</f>
        <v>50.6856</v>
      </c>
    </row>
    <row r="134">
      <c r="A134" s="7" t="s">
        <v>392</v>
      </c>
      <c r="B134" s="7" t="s">
        <v>388</v>
      </c>
      <c r="C134" s="5" t="s">
        <v>196</v>
      </c>
      <c r="D134" s="7" t="s">
        <v>32</v>
      </c>
      <c r="E134" s="5" t="s">
        <v>197</v>
      </c>
      <c r="F134" s="9">
        <v>26100.0</v>
      </c>
      <c r="G134" s="12">
        <f t="shared" si="1"/>
        <v>54.81</v>
      </c>
      <c r="H134" s="12">
        <f>F134*'Materiality (Sec 2)'!$B$5</f>
        <v>51.156</v>
      </c>
    </row>
    <row r="135">
      <c r="A135" s="7" t="s">
        <v>393</v>
      </c>
      <c r="B135" s="7" t="s">
        <v>388</v>
      </c>
      <c r="C135" s="5" t="s">
        <v>196</v>
      </c>
      <c r="D135" s="7" t="s">
        <v>32</v>
      </c>
      <c r="E135" s="5" t="s">
        <v>197</v>
      </c>
      <c r="F135" s="9">
        <v>25900.0</v>
      </c>
      <c r="G135" s="12">
        <f t="shared" si="1"/>
        <v>54.39</v>
      </c>
      <c r="H135" s="12">
        <f>F135*'Materiality (Sec 2)'!$B$5</f>
        <v>50.764</v>
      </c>
    </row>
    <row r="136">
      <c r="A136" s="7" t="s">
        <v>394</v>
      </c>
      <c r="B136" s="7" t="s">
        <v>388</v>
      </c>
      <c r="C136" s="5" t="s">
        <v>291</v>
      </c>
      <c r="D136" s="7" t="s">
        <v>79</v>
      </c>
      <c r="E136" s="5" t="s">
        <v>294</v>
      </c>
      <c r="F136" s="9">
        <v>26100.0</v>
      </c>
      <c r="G136" s="12">
        <f t="shared" si="1"/>
        <v>57.42</v>
      </c>
      <c r="H136" s="12">
        <f>F136*'Materiality (Sec 2)'!$B$5</f>
        <v>51.156</v>
      </c>
    </row>
    <row r="137">
      <c r="A137" s="7" t="s">
        <v>395</v>
      </c>
      <c r="B137" s="7" t="s">
        <v>388</v>
      </c>
      <c r="C137" s="5" t="s">
        <v>291</v>
      </c>
      <c r="D137" s="7" t="s">
        <v>79</v>
      </c>
      <c r="E137" s="5" t="s">
        <v>294</v>
      </c>
      <c r="F137" s="9">
        <v>26140.0</v>
      </c>
      <c r="G137" s="12">
        <f t="shared" si="1"/>
        <v>57.508</v>
      </c>
      <c r="H137" s="12">
        <f>F137*'Materiality (Sec 2)'!$B$5</f>
        <v>51.2344</v>
      </c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75"/>
    <col customWidth="1" min="3" max="3" width="33.38"/>
    <col customWidth="1" min="4" max="4" width="8.88"/>
  </cols>
  <sheetData>
    <row r="1">
      <c r="A1" s="1" t="s">
        <v>4</v>
      </c>
      <c r="B1" s="1" t="s">
        <v>5</v>
      </c>
      <c r="C1" s="1" t="s">
        <v>6</v>
      </c>
      <c r="D1" s="1" t="s">
        <v>83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14</v>
      </c>
      <c r="B2" s="7" t="s">
        <v>15</v>
      </c>
      <c r="C2" s="5" t="s">
        <v>16</v>
      </c>
      <c r="D2" s="14">
        <f>COUNTIF('Per Load'!$C$2:$C$137,$A2)</f>
        <v>1</v>
      </c>
    </row>
    <row r="3">
      <c r="A3" s="5" t="s">
        <v>36</v>
      </c>
      <c r="B3" s="7" t="s">
        <v>37</v>
      </c>
      <c r="C3" s="5" t="s">
        <v>38</v>
      </c>
      <c r="D3" s="14">
        <f>COUNTIF('Per Load'!$C$2:$C$137,$A3)</f>
        <v>1</v>
      </c>
    </row>
    <row r="4">
      <c r="A4" s="5" t="s">
        <v>49</v>
      </c>
      <c r="B4" s="7" t="s">
        <v>50</v>
      </c>
      <c r="C4" s="5" t="s">
        <v>51</v>
      </c>
      <c r="D4" s="14">
        <f>COUNTIF('Per Load'!$C$2:$C$137,$A4)</f>
        <v>1</v>
      </c>
    </row>
    <row r="5">
      <c r="A5" s="5" t="s">
        <v>53</v>
      </c>
      <c r="B5" s="7" t="s">
        <v>37</v>
      </c>
      <c r="C5" s="5" t="s">
        <v>54</v>
      </c>
      <c r="D5" s="14">
        <f>COUNTIF('Per Load'!$C$2:$C$137,$A5)</f>
        <v>1</v>
      </c>
    </row>
    <row r="6">
      <c r="A6" s="5" t="s">
        <v>60</v>
      </c>
      <c r="B6" s="7" t="s">
        <v>37</v>
      </c>
      <c r="C6" s="5" t="s">
        <v>61</v>
      </c>
      <c r="D6" s="14">
        <f>COUNTIF('Per Load'!$C$2:$C$137,$A6)</f>
        <v>4</v>
      </c>
    </row>
    <row r="7">
      <c r="A7" s="5" t="s">
        <v>70</v>
      </c>
      <c r="B7" s="7" t="s">
        <v>66</v>
      </c>
      <c r="C7" s="5" t="s">
        <v>71</v>
      </c>
      <c r="D7" s="14">
        <f>COUNTIF('Per Load'!$C$2:$C$137,$A7)</f>
        <v>3</v>
      </c>
    </row>
    <row r="8">
      <c r="A8" s="5" t="s">
        <v>78</v>
      </c>
      <c r="B8" s="7" t="s">
        <v>79</v>
      </c>
      <c r="C8" s="5" t="s">
        <v>80</v>
      </c>
      <c r="D8" s="14">
        <f>COUNTIF('Per Load'!$C$2:$C$137,$A8)</f>
        <v>2</v>
      </c>
    </row>
    <row r="9">
      <c r="A9" s="5" t="s">
        <v>96</v>
      </c>
      <c r="B9" s="7" t="s">
        <v>79</v>
      </c>
      <c r="C9" s="5" t="s">
        <v>97</v>
      </c>
      <c r="D9" s="14">
        <f>COUNTIF('Per Load'!$C$2:$C$137,$A9)</f>
        <v>2</v>
      </c>
    </row>
    <row r="10">
      <c r="A10" s="5" t="s">
        <v>106</v>
      </c>
      <c r="B10" s="7" t="s">
        <v>32</v>
      </c>
      <c r="C10" s="5" t="s">
        <v>107</v>
      </c>
      <c r="D10" s="14">
        <f>COUNTIF('Per Load'!$C$2:$C$137,$A10)</f>
        <v>2</v>
      </c>
    </row>
    <row r="11">
      <c r="A11" s="5" t="s">
        <v>109</v>
      </c>
      <c r="B11" s="7" t="s">
        <v>110</v>
      </c>
      <c r="C11" s="5" t="s">
        <v>111</v>
      </c>
      <c r="D11" s="14">
        <f>COUNTIF('Per Load'!$C$2:$C$137,$A11)</f>
        <v>3</v>
      </c>
    </row>
    <row r="12">
      <c r="A12" s="5" t="s">
        <v>112</v>
      </c>
      <c r="B12" s="7" t="s">
        <v>32</v>
      </c>
      <c r="C12" s="5" t="s">
        <v>114</v>
      </c>
      <c r="D12" s="14">
        <f>COUNTIF('Per Load'!$C$2:$C$137,$A12)</f>
        <v>1</v>
      </c>
    </row>
    <row r="13">
      <c r="A13" s="5" t="s">
        <v>115</v>
      </c>
      <c r="B13" s="7" t="s">
        <v>32</v>
      </c>
      <c r="C13" s="5" t="s">
        <v>116</v>
      </c>
      <c r="D13" s="14">
        <f>COUNTIF('Per Load'!$C$2:$C$137,$A13)</f>
        <v>3</v>
      </c>
    </row>
    <row r="14">
      <c r="A14" s="5" t="s">
        <v>119</v>
      </c>
      <c r="B14" s="7" t="s">
        <v>120</v>
      </c>
      <c r="C14" s="5" t="s">
        <v>121</v>
      </c>
      <c r="D14" s="14">
        <f>COUNTIF('Per Load'!$C$2:$C$137,$A14)</f>
        <v>1</v>
      </c>
    </row>
    <row r="15">
      <c r="A15" s="5" t="s">
        <v>122</v>
      </c>
      <c r="B15" s="7" t="s">
        <v>124</v>
      </c>
      <c r="C15" s="5" t="s">
        <v>125</v>
      </c>
      <c r="D15" s="14">
        <f>COUNTIF('Per Load'!$C$2:$C$137,$A15)</f>
        <v>2</v>
      </c>
    </row>
    <row r="16">
      <c r="A16" s="5" t="s">
        <v>127</v>
      </c>
      <c r="B16" s="7" t="s">
        <v>104</v>
      </c>
      <c r="C16" s="5" t="s">
        <v>128</v>
      </c>
      <c r="D16" s="14">
        <f>COUNTIF('Per Load'!$C$2:$C$137,$A16)</f>
        <v>2</v>
      </c>
    </row>
    <row r="17">
      <c r="A17" s="5" t="s">
        <v>130</v>
      </c>
      <c r="B17" s="7" t="s">
        <v>15</v>
      </c>
      <c r="C17" s="5" t="s">
        <v>131</v>
      </c>
      <c r="D17" s="14">
        <f>COUNTIF('Per Load'!$C$2:$C$137,$A17)</f>
        <v>2</v>
      </c>
    </row>
    <row r="18">
      <c r="A18" s="5" t="s">
        <v>132</v>
      </c>
      <c r="B18" s="7" t="s">
        <v>50</v>
      </c>
      <c r="C18" s="5" t="s">
        <v>133</v>
      </c>
      <c r="D18" s="14">
        <f>COUNTIF('Per Load'!$C$2:$C$137,$A18)</f>
        <v>2</v>
      </c>
    </row>
    <row r="19">
      <c r="A19" s="5" t="s">
        <v>135</v>
      </c>
      <c r="B19" s="7" t="s">
        <v>136</v>
      </c>
      <c r="C19" s="5" t="s">
        <v>137</v>
      </c>
      <c r="D19" s="14">
        <f>COUNTIF('Per Load'!$C$2:$C$137,$A19)</f>
        <v>1</v>
      </c>
    </row>
    <row r="20">
      <c r="A20" s="5" t="s">
        <v>139</v>
      </c>
      <c r="B20" s="7" t="s">
        <v>136</v>
      </c>
      <c r="C20" s="5" t="s">
        <v>140</v>
      </c>
      <c r="D20" s="14">
        <f>COUNTIF('Per Load'!$C$2:$C$137,$A20)</f>
        <v>1</v>
      </c>
    </row>
    <row r="21">
      <c r="A21" s="5" t="s">
        <v>141</v>
      </c>
      <c r="B21" s="7" t="s">
        <v>142</v>
      </c>
      <c r="C21" s="5" t="s">
        <v>143</v>
      </c>
      <c r="D21" s="14">
        <f>COUNTIF('Per Load'!$C$2:$C$137,$A21)</f>
        <v>1</v>
      </c>
    </row>
    <row r="22">
      <c r="A22" s="5" t="s">
        <v>145</v>
      </c>
      <c r="B22" s="7" t="s">
        <v>50</v>
      </c>
      <c r="C22" s="5" t="s">
        <v>146</v>
      </c>
      <c r="D22" s="14">
        <f>COUNTIF('Per Load'!$C$2:$C$137,$A22)</f>
        <v>2</v>
      </c>
    </row>
    <row r="23">
      <c r="A23" s="5" t="s">
        <v>148</v>
      </c>
      <c r="B23" s="7" t="s">
        <v>149</v>
      </c>
      <c r="C23" s="5" t="s">
        <v>150</v>
      </c>
      <c r="D23" s="14">
        <f>COUNTIF('Per Load'!$C$2:$C$137,$A23)</f>
        <v>2</v>
      </c>
    </row>
    <row r="24">
      <c r="A24" s="5" t="s">
        <v>154</v>
      </c>
      <c r="B24" s="7" t="s">
        <v>149</v>
      </c>
      <c r="C24" s="5" t="s">
        <v>156</v>
      </c>
      <c r="D24" s="14">
        <f>COUNTIF('Per Load'!$C$2:$C$137,$A24)</f>
        <v>1</v>
      </c>
    </row>
    <row r="25">
      <c r="A25" s="5" t="s">
        <v>157</v>
      </c>
      <c r="B25" s="7" t="s">
        <v>32</v>
      </c>
      <c r="C25" s="5" t="s">
        <v>158</v>
      </c>
      <c r="D25" s="14">
        <f>COUNTIF('Per Load'!$C$2:$C$137,$A25)</f>
        <v>2</v>
      </c>
    </row>
    <row r="26">
      <c r="A26" s="5" t="s">
        <v>160</v>
      </c>
      <c r="B26" s="7" t="s">
        <v>142</v>
      </c>
      <c r="C26" s="5" t="s">
        <v>161</v>
      </c>
      <c r="D26" s="14">
        <f>COUNTIF('Per Load'!$C$2:$C$137,$A26)</f>
        <v>2</v>
      </c>
    </row>
    <row r="27">
      <c r="A27" s="5" t="s">
        <v>162</v>
      </c>
      <c r="B27" s="7" t="s">
        <v>50</v>
      </c>
      <c r="C27" s="5" t="s">
        <v>163</v>
      </c>
      <c r="D27" s="14">
        <f>COUNTIF('Per Load'!$C$2:$C$137,$A27)</f>
        <v>1</v>
      </c>
    </row>
    <row r="28">
      <c r="A28" s="5" t="s">
        <v>166</v>
      </c>
      <c r="B28" s="7" t="s">
        <v>37</v>
      </c>
      <c r="C28" s="5" t="s">
        <v>167</v>
      </c>
      <c r="D28" s="14">
        <f>COUNTIF('Per Load'!$C$2:$C$137,$A28)</f>
        <v>2</v>
      </c>
    </row>
    <row r="29">
      <c r="A29" s="5" t="s">
        <v>168</v>
      </c>
      <c r="B29" s="7" t="s">
        <v>50</v>
      </c>
      <c r="C29" s="5" t="s">
        <v>169</v>
      </c>
      <c r="D29" s="14">
        <f>COUNTIF('Per Load'!$C$2:$C$137,$A29)</f>
        <v>3</v>
      </c>
    </row>
    <row r="30">
      <c r="A30" s="5" t="s">
        <v>172</v>
      </c>
      <c r="B30" s="7" t="s">
        <v>173</v>
      </c>
      <c r="C30" s="5" t="s">
        <v>174</v>
      </c>
      <c r="D30" s="14">
        <f>COUNTIF('Per Load'!$C$2:$C$137,$A30)</f>
        <v>4</v>
      </c>
    </row>
    <row r="31">
      <c r="A31" s="5" t="s">
        <v>176</v>
      </c>
      <c r="B31" s="7" t="s">
        <v>104</v>
      </c>
      <c r="C31" s="5" t="s">
        <v>178</v>
      </c>
      <c r="D31" s="14">
        <f>COUNTIF('Per Load'!$C$2:$C$137,$A31)</f>
        <v>1</v>
      </c>
    </row>
    <row r="32">
      <c r="A32" s="5" t="s">
        <v>179</v>
      </c>
      <c r="B32" s="7" t="s">
        <v>104</v>
      </c>
      <c r="C32" s="5" t="s">
        <v>180</v>
      </c>
      <c r="D32" s="14">
        <f>COUNTIF('Per Load'!$C$2:$C$137,$A32)</f>
        <v>1</v>
      </c>
    </row>
    <row r="33">
      <c r="A33" s="5" t="s">
        <v>183</v>
      </c>
      <c r="B33" s="7" t="s">
        <v>37</v>
      </c>
      <c r="C33" s="5" t="s">
        <v>184</v>
      </c>
      <c r="D33" s="14">
        <f>COUNTIF('Per Load'!$C$2:$C$137,$A33)</f>
        <v>1</v>
      </c>
    </row>
    <row r="34">
      <c r="A34" s="5" t="s">
        <v>189</v>
      </c>
      <c r="B34" s="7" t="s">
        <v>32</v>
      </c>
      <c r="C34" s="5" t="s">
        <v>190</v>
      </c>
      <c r="D34" s="14">
        <f>COUNTIF('Per Load'!$C$2:$C$137,$A34)</f>
        <v>1</v>
      </c>
    </row>
    <row r="35">
      <c r="A35" s="5" t="s">
        <v>191</v>
      </c>
      <c r="B35" s="7" t="s">
        <v>32</v>
      </c>
      <c r="C35" s="5" t="s">
        <v>192</v>
      </c>
      <c r="D35" s="14">
        <f>COUNTIF('Per Load'!$C$2:$C$137,$A35)</f>
        <v>3</v>
      </c>
    </row>
    <row r="36">
      <c r="A36" s="5" t="s">
        <v>196</v>
      </c>
      <c r="B36" s="7" t="s">
        <v>32</v>
      </c>
      <c r="C36" s="5" t="s">
        <v>197</v>
      </c>
      <c r="D36" s="14">
        <f>COUNTIF('Per Load'!$C$2:$C$137,$A36)</f>
        <v>2</v>
      </c>
    </row>
    <row r="37">
      <c r="A37" s="5" t="s">
        <v>85</v>
      </c>
      <c r="B37" s="7" t="s">
        <v>66</v>
      </c>
      <c r="C37" s="5" t="s">
        <v>86</v>
      </c>
      <c r="D37" s="14">
        <f>COUNTIF('Per Load'!$C$2:$C$137,$A37)</f>
        <v>3</v>
      </c>
    </row>
    <row r="38">
      <c r="A38" s="5" t="s">
        <v>194</v>
      </c>
      <c r="B38" s="7" t="s">
        <v>57</v>
      </c>
      <c r="C38" s="5" t="s">
        <v>195</v>
      </c>
      <c r="D38" s="14">
        <f>COUNTIF('Per Load'!$C$2:$C$137,$A38)</f>
        <v>3</v>
      </c>
    </row>
    <row r="39">
      <c r="A39" s="5" t="s">
        <v>202</v>
      </c>
      <c r="B39" s="7" t="s">
        <v>37</v>
      </c>
      <c r="C39" s="5" t="s">
        <v>203</v>
      </c>
      <c r="D39" s="14">
        <f>COUNTIF('Per Load'!$C$2:$C$137,$A39)</f>
        <v>2</v>
      </c>
    </row>
    <row r="40">
      <c r="A40" s="5" t="s">
        <v>206</v>
      </c>
      <c r="B40" s="7" t="s">
        <v>37</v>
      </c>
      <c r="C40" s="5" t="s">
        <v>207</v>
      </c>
      <c r="D40" s="14">
        <f>COUNTIF('Per Load'!$C$2:$C$137,$A40)</f>
        <v>2</v>
      </c>
    </row>
    <row r="41">
      <c r="A41" s="5" t="s">
        <v>208</v>
      </c>
      <c r="B41" s="7" t="s">
        <v>50</v>
      </c>
      <c r="C41" s="5" t="s">
        <v>209</v>
      </c>
      <c r="D41" s="14">
        <f>COUNTIF('Per Load'!$C$2:$C$137,$A41)</f>
        <v>1</v>
      </c>
    </row>
    <row r="42">
      <c r="A42" s="5" t="s">
        <v>212</v>
      </c>
      <c r="B42" s="7" t="s">
        <v>213</v>
      </c>
      <c r="C42" s="5" t="s">
        <v>209</v>
      </c>
      <c r="D42" s="14">
        <f>COUNTIF('Per Load'!$C$2:$C$137,$A42)</f>
        <v>1</v>
      </c>
    </row>
    <row r="43">
      <c r="A43" s="5" t="s">
        <v>214</v>
      </c>
      <c r="B43" s="7" t="s">
        <v>104</v>
      </c>
      <c r="C43" s="5" t="s">
        <v>209</v>
      </c>
      <c r="D43" s="14">
        <f>COUNTIF('Per Load'!$C$2:$C$137,$A43)</f>
        <v>1</v>
      </c>
    </row>
    <row r="44">
      <c r="A44" s="5" t="s">
        <v>217</v>
      </c>
      <c r="B44" s="7" t="s">
        <v>32</v>
      </c>
      <c r="C44" s="5" t="s">
        <v>218</v>
      </c>
      <c r="D44" s="14">
        <f>COUNTIF('Per Load'!$C$2:$C$137,$A44)</f>
        <v>2</v>
      </c>
    </row>
    <row r="45">
      <c r="A45" s="5" t="s">
        <v>219</v>
      </c>
      <c r="B45" s="7" t="s">
        <v>79</v>
      </c>
      <c r="C45" s="5" t="s">
        <v>221</v>
      </c>
      <c r="D45" s="14">
        <f>COUNTIF('Per Load'!$C$2:$C$137,$A45)</f>
        <v>4</v>
      </c>
    </row>
    <row r="46">
      <c r="A46" s="5" t="s">
        <v>31</v>
      </c>
      <c r="B46" s="7" t="s">
        <v>32</v>
      </c>
      <c r="C46" s="5" t="s">
        <v>33</v>
      </c>
      <c r="D46" s="14">
        <f>COUNTIF('Per Load'!$C$2:$C$137,$A46)</f>
        <v>1</v>
      </c>
    </row>
    <row r="47">
      <c r="A47" s="5" t="s">
        <v>42</v>
      </c>
      <c r="B47" s="7" t="s">
        <v>32</v>
      </c>
      <c r="C47" s="5" t="s">
        <v>44</v>
      </c>
      <c r="D47" s="14">
        <f>COUNTIF('Per Load'!$C$2:$C$137,$A47)</f>
        <v>2</v>
      </c>
    </row>
    <row r="48">
      <c r="A48" s="5" t="s">
        <v>56</v>
      </c>
      <c r="B48" s="7" t="s">
        <v>57</v>
      </c>
      <c r="C48" s="5" t="s">
        <v>58</v>
      </c>
      <c r="D48" s="14">
        <f>COUNTIF('Per Load'!$C$2:$C$137,$A48)</f>
        <v>2</v>
      </c>
    </row>
    <row r="49">
      <c r="A49" s="5" t="s">
        <v>65</v>
      </c>
      <c r="B49" s="7" t="s">
        <v>66</v>
      </c>
      <c r="C49" s="5" t="s">
        <v>67</v>
      </c>
      <c r="D49" s="14">
        <f>COUNTIF('Per Load'!$C$2:$C$137,$A49)</f>
        <v>1</v>
      </c>
    </row>
    <row r="50">
      <c r="A50" s="5" t="s">
        <v>100</v>
      </c>
      <c r="B50" s="7" t="s">
        <v>79</v>
      </c>
      <c r="C50" s="5" t="s">
        <v>101</v>
      </c>
      <c r="D50" s="14">
        <f>COUNTIF('Per Load'!$C$2:$C$137,$A50)</f>
        <v>1</v>
      </c>
    </row>
    <row r="51">
      <c r="A51" s="5" t="s">
        <v>91</v>
      </c>
      <c r="B51" s="7" t="s">
        <v>66</v>
      </c>
      <c r="C51" s="5" t="s">
        <v>92</v>
      </c>
      <c r="D51" s="14">
        <f>COUNTIF('Per Load'!$C$2:$C$137,$A51)</f>
        <v>1</v>
      </c>
    </row>
    <row r="52">
      <c r="A52" s="5" t="s">
        <v>103</v>
      </c>
      <c r="B52" s="7" t="s">
        <v>104</v>
      </c>
      <c r="C52" s="5" t="s">
        <v>105</v>
      </c>
      <c r="D52" s="14">
        <f>COUNTIF('Per Load'!$C$2:$C$137,$A52)</f>
        <v>1</v>
      </c>
    </row>
    <row r="53">
      <c r="A53" s="5" t="s">
        <v>117</v>
      </c>
      <c r="B53" s="7" t="s">
        <v>110</v>
      </c>
      <c r="C53" s="5" t="s">
        <v>118</v>
      </c>
      <c r="D53" s="14">
        <f>COUNTIF('Per Load'!$C$2:$C$137,$A53)</f>
        <v>2</v>
      </c>
    </row>
    <row r="54">
      <c r="A54" s="5" t="s">
        <v>152</v>
      </c>
      <c r="B54" s="7" t="s">
        <v>153</v>
      </c>
      <c r="C54" s="5" t="s">
        <v>155</v>
      </c>
      <c r="D54" s="14">
        <f>COUNTIF('Per Load'!$C$2:$C$137,$A54)</f>
        <v>3</v>
      </c>
    </row>
    <row r="55">
      <c r="A55" s="5" t="s">
        <v>187</v>
      </c>
      <c r="B55" s="7" t="s">
        <v>124</v>
      </c>
      <c r="C55" s="5" t="s">
        <v>188</v>
      </c>
      <c r="D55" s="14">
        <f>COUNTIF('Per Load'!$C$2:$C$137,$A55)</f>
        <v>1</v>
      </c>
    </row>
    <row r="56">
      <c r="A56" s="5" t="s">
        <v>232</v>
      </c>
      <c r="B56" s="7" t="s">
        <v>15</v>
      </c>
      <c r="C56" s="5" t="s">
        <v>233</v>
      </c>
      <c r="D56" s="14">
        <f>COUNTIF('Per Load'!$C$2:$C$137,$A56)</f>
        <v>2</v>
      </c>
    </row>
    <row r="57">
      <c r="A57" s="5" t="s">
        <v>240</v>
      </c>
      <c r="B57" s="7" t="s">
        <v>32</v>
      </c>
      <c r="C57" s="5" t="s">
        <v>241</v>
      </c>
      <c r="D57" s="14">
        <f>COUNTIF('Per Load'!$C$2:$C$137,$A57)</f>
        <v>3</v>
      </c>
    </row>
    <row r="58">
      <c r="A58" s="5" t="s">
        <v>247</v>
      </c>
      <c r="B58" s="7" t="s">
        <v>50</v>
      </c>
      <c r="C58" s="5" t="s">
        <v>248</v>
      </c>
      <c r="D58" s="14">
        <f>COUNTIF('Per Load'!$C$2:$C$137,$A58)</f>
        <v>2</v>
      </c>
    </row>
    <row r="59">
      <c r="A59" s="5" t="s">
        <v>251</v>
      </c>
      <c r="B59" s="7" t="s">
        <v>104</v>
      </c>
      <c r="C59" s="5" t="s">
        <v>252</v>
      </c>
      <c r="D59" s="14">
        <f>COUNTIF('Per Load'!$C$2:$C$137,$A59)</f>
        <v>2</v>
      </c>
    </row>
    <row r="60">
      <c r="A60" s="5" t="s">
        <v>253</v>
      </c>
      <c r="B60" s="7" t="s">
        <v>254</v>
      </c>
      <c r="C60" s="5" t="s">
        <v>255</v>
      </c>
      <c r="D60" s="14">
        <f>COUNTIF('Per Load'!$C$2:$C$137,$A60)</f>
        <v>2</v>
      </c>
    </row>
    <row r="61">
      <c r="A61" s="5" t="s">
        <v>258</v>
      </c>
      <c r="B61" s="7" t="s">
        <v>50</v>
      </c>
      <c r="C61" s="5" t="s">
        <v>259</v>
      </c>
      <c r="D61" s="14">
        <f>COUNTIF('Per Load'!$C$2:$C$137,$A61)</f>
        <v>1</v>
      </c>
    </row>
    <row r="62">
      <c r="A62" s="5" t="s">
        <v>260</v>
      </c>
      <c r="B62" s="7" t="s">
        <v>149</v>
      </c>
      <c r="C62" s="5" t="s">
        <v>261</v>
      </c>
      <c r="D62" s="14">
        <f>COUNTIF('Per Load'!$C$2:$C$137,$A62)</f>
        <v>1</v>
      </c>
    </row>
    <row r="63">
      <c r="A63" s="5" t="s">
        <v>263</v>
      </c>
      <c r="B63" s="7" t="s">
        <v>142</v>
      </c>
      <c r="C63" s="5" t="s">
        <v>264</v>
      </c>
      <c r="D63" s="14">
        <f>COUNTIF('Per Load'!$C$2:$C$137,$A63)</f>
        <v>5</v>
      </c>
    </row>
    <row r="64">
      <c r="A64" s="5" t="s">
        <v>267</v>
      </c>
      <c r="B64" s="7" t="s">
        <v>173</v>
      </c>
      <c r="C64" s="5" t="s">
        <v>268</v>
      </c>
      <c r="D64" s="14">
        <f>COUNTIF('Per Load'!$C$2:$C$137,$A64)</f>
        <v>3</v>
      </c>
    </row>
    <row r="65">
      <c r="A65" s="5" t="s">
        <v>271</v>
      </c>
      <c r="B65" s="7" t="s">
        <v>173</v>
      </c>
      <c r="C65" s="5" t="s">
        <v>272</v>
      </c>
      <c r="D65" s="14">
        <f>COUNTIF('Per Load'!$C$2:$C$137,$A65)</f>
        <v>3</v>
      </c>
    </row>
    <row r="66">
      <c r="A66" s="5" t="s">
        <v>275</v>
      </c>
      <c r="B66" s="7" t="s">
        <v>142</v>
      </c>
      <c r="C66" s="5" t="s">
        <v>276</v>
      </c>
      <c r="D66" s="14">
        <f>COUNTIF('Per Load'!$C$2:$C$137,$A66)</f>
        <v>2</v>
      </c>
    </row>
    <row r="67">
      <c r="A67" s="5" t="s">
        <v>277</v>
      </c>
      <c r="B67" s="7" t="s">
        <v>32</v>
      </c>
      <c r="C67" s="5" t="s">
        <v>278</v>
      </c>
      <c r="D67" s="14">
        <f>COUNTIF('Per Load'!$C$2:$C$137,$A67)</f>
        <v>1</v>
      </c>
    </row>
    <row r="68">
      <c r="A68" s="5" t="s">
        <v>280</v>
      </c>
      <c r="B68" s="7" t="s">
        <v>149</v>
      </c>
      <c r="C68" s="5" t="s">
        <v>281</v>
      </c>
      <c r="D68" s="14">
        <f>COUNTIF('Per Load'!$C$2:$C$137,$A68)</f>
        <v>2</v>
      </c>
    </row>
    <row r="69">
      <c r="A69" s="5" t="s">
        <v>283</v>
      </c>
      <c r="B69" s="7" t="s">
        <v>37</v>
      </c>
      <c r="C69" s="5" t="s">
        <v>285</v>
      </c>
      <c r="D69" s="14">
        <f>COUNTIF('Per Load'!$C$2:$C$137,$A69)</f>
        <v>4</v>
      </c>
    </row>
    <row r="70">
      <c r="A70" s="5" t="s">
        <v>286</v>
      </c>
      <c r="B70" s="7" t="s">
        <v>50</v>
      </c>
      <c r="C70" s="5" t="s">
        <v>287</v>
      </c>
      <c r="D70" s="14">
        <f>COUNTIF('Per Load'!$C$2:$C$137,$A70)</f>
        <v>2</v>
      </c>
    </row>
    <row r="71">
      <c r="A71" s="5" t="s">
        <v>289</v>
      </c>
      <c r="B71" s="7" t="s">
        <v>149</v>
      </c>
      <c r="C71" s="5" t="s">
        <v>290</v>
      </c>
      <c r="D71" s="14">
        <f>COUNTIF('Per Load'!$C$2:$C$137,$A71)</f>
        <v>1</v>
      </c>
    </row>
    <row r="72">
      <c r="A72" s="5" t="s">
        <v>291</v>
      </c>
      <c r="B72" s="7" t="s">
        <v>79</v>
      </c>
      <c r="C72" s="5" t="s">
        <v>294</v>
      </c>
      <c r="D72" s="14">
        <f>COUNTIF('Per Load'!$C$2:$C$137,$A72)</f>
        <v>2</v>
      </c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5" width="20.75"/>
  </cols>
  <sheetData>
    <row r="1">
      <c r="A1" s="2" t="s">
        <v>2</v>
      </c>
    </row>
    <row r="2">
      <c r="A2" s="4" t="s">
        <v>10</v>
      </c>
    </row>
    <row r="4">
      <c r="A4" s="1" t="s">
        <v>11</v>
      </c>
    </row>
    <row r="5">
      <c r="A5" s="5" t="s">
        <v>12</v>
      </c>
      <c r="B5" s="8">
        <v>0.00196</v>
      </c>
    </row>
    <row r="6">
      <c r="A6" s="5" t="s">
        <v>17</v>
      </c>
      <c r="B6" s="10">
        <v>0.4</v>
      </c>
    </row>
    <row r="7">
      <c r="A7" s="5" t="s">
        <v>18</v>
      </c>
      <c r="B7" s="11">
        <f>44/12</f>
        <v>3.666666667</v>
      </c>
    </row>
    <row r="8">
      <c r="A8" s="5" t="s">
        <v>21</v>
      </c>
      <c r="B8" s="13">
        <f>COUNT('Per Load'!F2:F137)</f>
        <v>136</v>
      </c>
    </row>
    <row r="9">
      <c r="A9" s="5" t="s">
        <v>27</v>
      </c>
      <c r="B9" s="15">
        <f>SUM('Per Load'!F2:F137)</f>
        <v>3017410</v>
      </c>
    </row>
    <row r="11">
      <c r="A11" s="1" t="s">
        <v>29</v>
      </c>
    </row>
    <row r="12">
      <c r="A12" s="16" t="s">
        <v>1</v>
      </c>
      <c r="B12" s="17" t="s">
        <v>39</v>
      </c>
      <c r="C12" s="17" t="s">
        <v>40</v>
      </c>
      <c r="D12" s="17" t="s">
        <v>43</v>
      </c>
      <c r="E12" s="18" t="s">
        <v>45</v>
      </c>
    </row>
    <row r="13">
      <c r="A13" s="19" t="s">
        <v>47</v>
      </c>
      <c r="B13" s="20">
        <f>SUM('Per Load'!G2:G137)</f>
        <v>5902.4455</v>
      </c>
      <c r="C13" s="20">
        <f>SUM('Per Load'!H2:H137)</f>
        <v>5914.1236</v>
      </c>
      <c r="D13" s="20">
        <f t="shared" ref="D13:D15" si="2">C13-B13</f>
        <v>11.6781</v>
      </c>
      <c r="E13" s="22">
        <f t="shared" ref="E13:E15" si="3">D13/B13</f>
        <v>0.001978518904</v>
      </c>
    </row>
    <row r="14">
      <c r="A14" s="19" t="s">
        <v>72</v>
      </c>
      <c r="B14" s="20">
        <f t="shared" ref="B14:C14" si="1">$B$9-B13</f>
        <v>3011507.555</v>
      </c>
      <c r="C14" s="20">
        <f t="shared" si="1"/>
        <v>3011495.876</v>
      </c>
      <c r="D14" s="20">
        <f t="shared" si="2"/>
        <v>-11.6781</v>
      </c>
      <c r="E14" s="23">
        <f t="shared" si="3"/>
        <v>-0.000003877825238</v>
      </c>
    </row>
    <row r="15">
      <c r="A15" s="24" t="s">
        <v>81</v>
      </c>
      <c r="B15" s="25">
        <f t="shared" ref="B15:C15" si="4">B14*$B$6*$B$7/1000</f>
        <v>4416.877747</v>
      </c>
      <c r="C15" s="25">
        <f t="shared" si="4"/>
        <v>4416.860619</v>
      </c>
      <c r="D15" s="25">
        <f t="shared" si="2"/>
        <v>-0.01712788</v>
      </c>
      <c r="E15" s="26">
        <f t="shared" si="3"/>
        <v>-0.000003877825238</v>
      </c>
    </row>
    <row r="17">
      <c r="A17" s="5" t="s">
        <v>87</v>
      </c>
      <c r="B17" s="27">
        <f>D13/$B$9</f>
        <v>0.000003870239709</v>
      </c>
    </row>
    <row r="18">
      <c r="A18" s="5" t="s">
        <v>89</v>
      </c>
      <c r="B18" s="27">
        <f>D15/B15</f>
        <v>-0.000003877825238</v>
      </c>
    </row>
    <row r="20">
      <c r="A20" s="28" t="str">
        <f>CONCATENATE("Conclusion:  Δ gross CDR = ", TEXT(D15,"+0.000;-0.000"), " tCO₂e (", TEXT(E15,"+0.0000%;-0.0000%"), ") - far below the GHG Accounting v1.0 5% materiality threshold.")</f>
        <v>Conclusion:  Δ gross CDR = -0.017 tCO₂e (-0.0004%) - far below the GHG Accounting v1.0 5% materiality threshold.</v>
      </c>
    </row>
    <row r="21">
      <c r="A21" s="4" t="s">
        <v>98</v>
      </c>
    </row>
  </sheetData>
  <mergeCells count="4">
    <mergeCell ref="A1:E1"/>
    <mergeCell ref="A2:E2"/>
    <mergeCell ref="A20:E20"/>
    <mergeCell ref="A21:E21"/>
  </mergeCells>
  <drawing r:id="rId1"/>
</worksheet>
</file>