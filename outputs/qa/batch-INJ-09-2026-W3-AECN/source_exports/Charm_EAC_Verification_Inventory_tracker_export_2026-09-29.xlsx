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U Inventory" sheetId="1" r:id="rId5"/>
    <sheet state="visible" name="RECs Inventory" sheetId="2" r:id="rId6"/>
    <sheet state="visible" name="BCU AE Breakdown" sheetId="3" r:id="rId7"/>
    <sheet state="visible" name="RECs Documentation" sheetId="4" r:id="rId8"/>
    <sheet state="visible" name="RECs CI Calcs" sheetId="5" r:id="rId9"/>
    <sheet state="visible" name="GHG Statement BCU Usage" sheetId="6" r:id="rId10"/>
    <sheet state="visible" name="GHG Statement RECs Usag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tc={97128e68-40bf-4767-a8ff-2ede7abb2262}</author>
    <author>tc={c0fc91bf-d2d6-4683-beed-15a27684162b}</author>
    <author>tc={f183a427-2bb1-4537-bfae-b64cde331459}</author>
  </authors>
  <commentList>
    <comment authorId="0" xr:uid="{97128e68-40bf-4767-a8ff-2ede7abb2262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RE and AD stand for?
Reply:
	Oops, I swapped these around. It should read AE RD which stands for Avoided Emissions Renewable Diesel. Will change, thanks for catching!
</t>
      </text>
    </comment>
    <comment authorId="1" xr:uid="{c0fc91bf-d2d6-4683-beed-15a27684162b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CD stand for?
Reply:
	Please provide a reference for the value used here
Reply:
	CD = Conventional Diesel
Ref. p. 79 of GLEC v3
https://smart-freight-centre-media.s3.amazonaws.com/documents/GLEC_FRAMEWORK_v3_UPDATED_04_12_24.pdf
</t>
      </text>
    </comment>
    <comment authorId="2" xr:uid="{f183a427-2bb1-4537-bfae-b64cde331459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a reference for the value used here
Reply:
	GLEC v3 p.79
https://smart-freight-centre-media.s3.amazonaws.com/documents/GLEC_FRAMEWORK_v3_UPDATED_04_12_24.pdf
</t>
      </text>
    </comment>
  </commentList>
</comments>
</file>

<file path=xl/sharedStrings.xml><?xml version="1.0" encoding="utf-8"?>
<sst xmlns="http://schemas.openxmlformats.org/spreadsheetml/2006/main" count="349" uniqueCount="178">
  <si>
    <t>BCU Certificate ID</t>
  </si>
  <si>
    <t>RECs Certificate ID (Last 5 # of Serial)</t>
  </si>
  <si>
    <t>PoS ID Number</t>
  </si>
  <si>
    <t>BCU Certificate link</t>
  </si>
  <si>
    <t>RECs Certificate link</t>
  </si>
  <si>
    <t>Date of Issuance</t>
  </si>
  <si>
    <t>Date of Purchase</t>
  </si>
  <si>
    <t>Renewable Diesel Mass (Metric tonnes)</t>
  </si>
  <si>
    <t>Project</t>
  </si>
  <si>
    <t>Diesel Production Date</t>
  </si>
  <si>
    <t>Underlying - End Date</t>
  </si>
  <si>
    <t>Final Carbon Intensity delivered to terminal (gCO2eq/MJ)</t>
  </si>
  <si>
    <t>EC #</t>
  </si>
  <si>
    <t>Lower heating value (MJ/kg)</t>
  </si>
  <si>
    <t>Expiry Date</t>
  </si>
  <si>
    <t>Vintage</t>
  </si>
  <si>
    <t>Total CO2 Emissions Reduction (MT)</t>
  </si>
  <si>
    <t>Region</t>
  </si>
  <si>
    <t>Documentation Required</t>
  </si>
  <si>
    <t>Generation Type</t>
  </si>
  <si>
    <t>Total Attributes Used</t>
  </si>
  <si>
    <t>RD WTT CI (kg CO2e/MJ)</t>
  </si>
  <si>
    <t>Documentation Provided (CO)</t>
  </si>
  <si>
    <t>Volume (MWH)</t>
  </si>
  <si>
    <t>Total Attributes Remaining</t>
  </si>
  <si>
    <t>RD LHV (MJ/kg)</t>
  </si>
  <si>
    <t>Volume Used</t>
  </si>
  <si>
    <t>Documentation Provided (KS)</t>
  </si>
  <si>
    <t>Volume Remaining</t>
  </si>
  <si>
    <t>RD WTT CI (kg CO2e/kg)</t>
  </si>
  <si>
    <t>Additional Notes (CO)</t>
  </si>
  <si>
    <t>RD TTW CI (kg CO2e/kg)</t>
  </si>
  <si>
    <t>Additional Notes (KS)</t>
  </si>
  <si>
    <t>RD WTW CI (kg CO2e/kg)</t>
  </si>
  <si>
    <t>CD WTW CI (kg CO2e/kg)</t>
  </si>
  <si>
    <t>AE RD (kg CO2e/kg)</t>
  </si>
  <si>
    <t>Charm-A1-2024-10-24-59-1976</t>
  </si>
  <si>
    <t>Mass of Batch (kg)</t>
  </si>
  <si>
    <t>AE of Batch (kg CO2e)</t>
  </si>
  <si>
    <t>AE of Batch (MT CO2e)</t>
  </si>
  <si>
    <t>https://drive.google.com/file/d/1kT4Bqg06KC2rMl4ZDB7AvRzEY0WsHbKH/view?usp=drive_link</t>
  </si>
  <si>
    <t>retirement-2024-12-30T16_05_38 - Charm Industrial Colorado 2024.pdf</t>
  </si>
  <si>
    <t>EC1</t>
  </si>
  <si>
    <t>Documentation of Renewable Energy Certificate (REC) or Energy Attribution Certificate (EAC) purchase, including copy of contract and REC/EAC retirement certificates.</t>
  </si>
  <si>
    <t>10-30-2024</t>
  </si>
  <si>
    <t>Hunter Solar, LLC (CO)</t>
  </si>
  <si>
    <t>KS RECs Retirement Certificate.pdf</t>
  </si>
  <si>
    <t>Colorado</t>
  </si>
  <si>
    <t>Solar</t>
  </si>
  <si>
    <t>Charm-A1-2024-10-24-60-1976</t>
  </si>
  <si>
    <t>https://drive.google.com/file/d/1o2Wnc0DVVTAsJ0YsKfIa0uXVAA65GR6O/view?usp=sharing</t>
  </si>
  <si>
    <t>KS RECs Supplementary Data.jpg</t>
  </si>
  <si>
    <t>EC2</t>
  </si>
  <si>
    <t>Documentation of REC or EAC retirement certificates. Documentation must also be provided of any relevant CES requirements and applicability to the project energy usage.</t>
  </si>
  <si>
    <t>Traverse Wind Energy</t>
  </si>
  <si>
    <t>There are no relevant CES requirements in either jurisdiction RECs have been procured for</t>
  </si>
  <si>
    <t>Kansas</t>
  </si>
  <si>
    <t>Wind</t>
  </si>
  <si>
    <t>EC3</t>
  </si>
  <si>
    <t>Evidence that the generating facilities identified in the RECs/EACs entered service no more than 36 months before The Project was initiated.</t>
  </si>
  <si>
    <t>CO RECs First Operational Date.jpg</t>
  </si>
  <si>
    <t>Charm Industrial BH2024 CO Solar_retirement-2025-03-31T13_52_05.pdf</t>
  </si>
  <si>
    <t>Charm-A1-2024-10-24-61-1976</t>
  </si>
  <si>
    <t>https://drive.google.com/file/d/1gXuruCqLFDBQOSTWVTYJpu3yrn5zGWdv/view?usp=sharing</t>
  </si>
  <si>
    <t>Charm-A1-2024-10-24-62-1976</t>
  </si>
  <si>
    <t>https://drive.google.com/file/d/1udloiIE_hu3q02ekc0FdaXnQ6CLwRvTO/view?usp=sharing</t>
  </si>
  <si>
    <t>Charm Industrial FH2025 OK CertificateOfRetirement_270484.pdf</t>
  </si>
  <si>
    <t>Approx. 2 months elapsed between the CO generator entering service (12/29/23) and the initiation of the project (3/1/24)</t>
  </si>
  <si>
    <t>28 months elapsed between the KS generator entering service (11/1/21) and the initiation of the project (3/1/24)</t>
  </si>
  <si>
    <t>EC4</t>
  </si>
  <si>
    <t>Provide the location of the generating facilities identified in the submitted RECs/EACs, and documentation from government or grid operators to justify that the generators are located within the same grid region as The Project.</t>
  </si>
  <si>
    <t>CO RECs Generator Location.jpg</t>
  </si>
  <si>
    <t>Charm-A1-2024-10-24-63-1976</t>
  </si>
  <si>
    <t>https://drive.google.com/file/d/1lDt1UMON2m07m-dK_6xPZycLdHGUx6j9/view?usp=sharing</t>
  </si>
  <si>
    <t>The generator's location in Bennett, CO demonstrates that it occupies the same Mountain 45v grid region that the project, located in Ft Lupton, CO, does</t>
  </si>
  <si>
    <t>Charm Industrial FH2025 CO Solar_retirement-2025-07-29T11_44_53.pdf</t>
  </si>
  <si>
    <t>The generator's location in Blaine, OK demonstrates that it occupies the same Plains 45v grid region that the project, located in El Dorado, KS, does</t>
  </si>
  <si>
    <t>EC5</t>
  </si>
  <si>
    <t>Provide documentation of power procurement proving that generation of the claimed electricity occurred no more than one year prior to the point of consumption by The Project.</t>
  </si>
  <si>
    <t>The certificate vintage of 5/2024 is less than one year prior to the point of consumption by the Project</t>
  </si>
  <si>
    <t>Charm-A1-2024-10-24-64-1976</t>
  </si>
  <si>
    <t>The certificate vintage of 6/2024 is less than one year prior to the point of consumption by the Project</t>
  </si>
  <si>
    <t>https://drive.google.com/file/d/15WbJO456kfJT4HeTxnex5dSjS7o_5ImQ/view?usp=sharing</t>
  </si>
  <si>
    <t>Hunter Solar Gen 5/1/25</t>
  </si>
  <si>
    <t>Charm-A2-2024-10-24-63-1976</t>
  </si>
  <si>
    <t>https://drive.google.com/file/d/1KIfeGT5sk2xhnRlHP3DNy24e8bOee8Ba/view?usp=sharing</t>
  </si>
  <si>
    <t>Charm Industrial Delta Region FH25 retirement-2026-01-06T13_45_40.pdf</t>
  </si>
  <si>
    <t>Charm-A2-2024-10-24-64-1976</t>
  </si>
  <si>
    <t>https://drive.google.com/file/d/1uQde8IkftD3IM_1xPy5GU_tEiV03L00v/view?usp=sharing</t>
  </si>
  <si>
    <t>Searcy Water II</t>
  </si>
  <si>
    <t>Louisiana</t>
  </si>
  <si>
    <t>retirement-2026-07-22T09_16_03.pdf</t>
  </si>
  <si>
    <t>Charm-A3-2024-10-24-63-1976</t>
  </si>
  <si>
    <t>https://drive.google.com/file/d/1VfxfzLq5RdutTYHhAwfinLecn0p0HLp2/view?usp=sharing</t>
  </si>
  <si>
    <t>Wildflower Solar</t>
  </si>
  <si>
    <t>Louisiana (Delta)</t>
  </si>
  <si>
    <t>retirement-2026-07-22T09_16_04.pdf</t>
  </si>
  <si>
    <t>Charm-A3-2024-10-24-64-1976</t>
  </si>
  <si>
    <t>https://drive.google.com/file/d/1HNOThlz15HCZkOvZCUnpLbke9IJ8PP9l/view?usp=sharing</t>
  </si>
  <si>
    <t>94-243</t>
  </si>
  <si>
    <t>retirement-2026-07-27T10_53_15.pdf</t>
  </si>
  <si>
    <t>Charm-A4-2024-10-24-63-1976</t>
  </si>
  <si>
    <t>https://drive.google.com/file/d/1I7f4R8BSLiNwaeXUovUJ2_3hYLKPkJ6T/view?usp=sharing</t>
  </si>
  <si>
    <t>Pike Solar</t>
  </si>
  <si>
    <t>Colorado (Mountain)</t>
  </si>
  <si>
    <t>Charm-A4-2024-10-24-64-1976</t>
  </si>
  <si>
    <t>https://drive.google.com/file/d/1HVqRsWSrYA0XewicbGLv7kkSNktCYIB_/view?usp=sharing</t>
  </si>
  <si>
    <t>Charm-A5-2024-10-24-62-1976</t>
  </si>
  <si>
    <t>https://drive.google.com/file/d/1R3qzZzz4Y3jQ74o5PT4ephwRe0JwH3Sh/view?usp=sharing</t>
  </si>
  <si>
    <t>Charm-A5-2024-10-24-63-1976</t>
  </si>
  <si>
    <t>https://drive.google.com/file/d/1uBkWBFnak5hkrHw8JI4Zq7LCXMrkpLJW/view?usp=sharing</t>
  </si>
  <si>
    <t>13-47206-50000</t>
  </si>
  <si>
    <t>Charm-RetirementCertificate-RD-EACs-20251218.pdf</t>
  </si>
  <si>
    <r>
      <rPr>
        <rFont val="Slack-Lato, Slack-Fractions, appleLogo, sans-serif"/>
        <color rgb="FF1155CC"/>
        <sz val="11.0"/>
        <u/>
      </rPr>
      <t>https://docs.google.com/spreadsheets/d/1Mpn0uXgtHSaZ-UWMRu1QyaqOSK6POtZ7cXIIXKJVu2Q/edit?gid=1720683910#gid=1720683910</t>
    </r>
  </si>
  <si>
    <t>GHG Statement dMRV Link</t>
  </si>
  <si>
    <t>GHG Statement Start Date</t>
  </si>
  <si>
    <t>GHG Statement End Date</t>
  </si>
  <si>
    <t>Total CO2e Abated in RP (MT CO2e)</t>
  </si>
  <si>
    <t>Total amount of BCU units used (Mass of RD - Metric tonnes)</t>
  </si>
  <si>
    <t>BCU Certificate IDs used</t>
  </si>
  <si>
    <t>Notes</t>
  </si>
  <si>
    <r>
      <rPr>
        <rFont val="Slack-Lato, Slack-Fractions, appleLogo, sans-serif"/>
        <color rgb="FF1155CC"/>
        <sz val="11.0"/>
        <u/>
      </rPr>
      <t>https://docs.google.com/spreadsheets/d/1OrNGikkNo5ZHVhEYsovtdBuh4m0BvaZJnCudP3GyHWE/edit?gid=0#gid=0</t>
    </r>
  </si>
  <si>
    <t>https://registry.isometric.com/account/certify/project/prj_1HZSSWBQM1S08H83/ghg-statement/ggs_1JHNY6WK41S0D1QJ</t>
  </si>
  <si>
    <t>https://registry.isometric.com/account/certify/project/prj_1HZSSWBQM1S08H83/ghg-statement/ggs_1JQC60KVR1S0JS6Q</t>
  </si>
  <si>
    <t>Charm Oil Production</t>
  </si>
  <si>
    <t>Charm PP2 Oil Production</t>
  </si>
  <si>
    <t>Charm PP3 Oil Production</t>
  </si>
  <si>
    <t>Charm PP4 Oil Production</t>
  </si>
  <si>
    <t>Non-Production Reporting Period Diesel</t>
  </si>
  <si>
    <t>Activity</t>
  </si>
  <si>
    <t>RECs Used (MWH)</t>
  </si>
  <si>
    <t>RECs Certificate IDs Used</t>
  </si>
  <si>
    <t>Charm PP5 Oil Production</t>
  </si>
  <si>
    <t>Charm PP6 Oil Production</t>
  </si>
  <si>
    <t>Production</t>
  </si>
  <si>
    <t>Injection</t>
  </si>
  <si>
    <t>Production -- PP2</t>
  </si>
  <si>
    <t>Charm PP7 Oil Production</t>
  </si>
  <si>
    <t>Production -- PP3</t>
  </si>
  <si>
    <t>Production -- PP4</t>
  </si>
  <si>
    <t>Injection -- El Dorado</t>
  </si>
  <si>
    <t>Charm PP8 Oil Production</t>
  </si>
  <si>
    <t>Injection -- Hutch</t>
  </si>
  <si>
    <t>Production -- PP5</t>
  </si>
  <si>
    <t>Production -- PP6</t>
  </si>
  <si>
    <t>Production -- PP7</t>
  </si>
  <si>
    <t>Production -- PP8</t>
  </si>
  <si>
    <t>Charm August 25 Oil Production</t>
  </si>
  <si>
    <t>Production -- Aug 25</t>
  </si>
  <si>
    <t>Production -- Sept 25</t>
  </si>
  <si>
    <t>Charm Sept 25 Oil Production</t>
  </si>
  <si>
    <t>Production -- Oct 25</t>
  </si>
  <si>
    <t>Charm Oct 25 Oil Production</t>
  </si>
  <si>
    <t>Injection -- Basco</t>
  </si>
  <si>
    <t>EO 2025 Biochar Reporting</t>
  </si>
  <si>
    <t>Production -- Nov 25</t>
  </si>
  <si>
    <t>Production -- Dec 25</t>
  </si>
  <si>
    <t>Production -- Jan 26</t>
  </si>
  <si>
    <t>Production -- Mar 26</t>
  </si>
  <si>
    <t>Production -- Apr 26</t>
  </si>
  <si>
    <t>Production -- Feb 26</t>
  </si>
  <si>
    <t>Non-Production Reporting Period</t>
  </si>
  <si>
    <t>Production -- May 26</t>
  </si>
  <si>
    <t>Production -- June 26</t>
  </si>
  <si>
    <t>April 2026 RP Oil Production</t>
  </si>
  <si>
    <t>Charm Nov 2025 PP Oil Production</t>
  </si>
  <si>
    <t>Charm Dec 2025 PP Oil Production</t>
  </si>
  <si>
    <t>Charm May 2026 RP Oil</t>
  </si>
  <si>
    <t>Charm June 2026 RP Oil</t>
  </si>
  <si>
    <t>Charm Jan 2026 PP Oil Production</t>
  </si>
  <si>
    <t>Charm Mar 2026 PP Oil Production</t>
  </si>
  <si>
    <t>Charm Apr 2026 PP Oil Production</t>
  </si>
  <si>
    <t>H1-2026 Biochar</t>
  </si>
  <si>
    <t>Charm Feb 2026 PP Oil Production</t>
  </si>
  <si>
    <t>Charm July 2026 RP Oil</t>
  </si>
  <si>
    <t>Charm May 2026 PP Oil Production</t>
  </si>
  <si>
    <t>Charm June 2026 PP Oil Production</t>
  </si>
  <si>
    <t>Charm August 2026 RP Oil -- all 13 statement removals. W5 AECN site batch rmv_1M26NRKA71S0ZZV3 (76.4867 MT) INCLUDED as of 2026-09-10; its carbon content 38.5% is confirmed by SGS COA SR26-05208.001. Prior 12-term sum of 134.792 is superseded.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</si>
</sst>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-mm-dd"/>
    <numFmt numFmtId="165" formatCode="m/d/yyyy"/>
    <numFmt numFmtId="166" formatCode="0.00000"/>
    <numFmt numFmtId="167" formatCode="mmmm&quot; &quot;d&quot;, &quot;yyyy"/>
    <numFmt numFmtId="168" formatCode="m/d/yy"/>
    <numFmt numFmtId="169" formatCode="m/d"/>
    <numFmt numFmtId="170" formatCode="0.0000000"/>
    <numFmt numFmtId="171" formatCode="0.0000"/>
    <numFmt numFmtId="172" formatCode="d/m/yyyy"/>
    <numFmt numFmtId="173" formatCode="#,##0.0000000"/>
    <numFmt numFmtId="174" formatCode="M/d/yyyy"/>
    <numFmt numFmtId="175" formatCode="#,##0.0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221E1F"/>
      <name val="IsometricRepro"/>
    </font>
    <font>
      <u/>
      <color rgb="FF0000FF"/>
    </font>
    <font>
      <u/>
      <color theme="1"/>
      <name val="Arial"/>
      <scheme val="minor"/>
    </font>
    <font>
      <u/>
      <color theme="1"/>
      <name val="Arial"/>
    </font>
    <font>
      <u/>
      <color rgb="FF0000FF"/>
    </font>
    <font>
      <u/>
      <color rgb="FF0000FF"/>
    </font>
    <font>
      <sz val="7.0"/>
      <color rgb="FF333333"/>
      <name val="LiberationSans"/>
    </font>
    <font>
      <u/>
      <sz val="11.0"/>
      <color rgb="FFD1D2D3"/>
      <name val="Slack-Lato"/>
    </font>
    <font>
      <sz val="11.0"/>
      <color rgb="FFD1D2D3"/>
      <name val="Slack-Lato"/>
    </font>
    <font>
      <sz val="8.0"/>
      <color rgb="FF000000"/>
      <name val="&quot;Helvetica Neue&quot;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CFC"/>
        <bgColor rgb="FFFEFCF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222529"/>
        <bgColor rgb="FF22252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4" numFmtId="14" xfId="0" applyFont="1" applyNumberFormat="1"/>
    <xf borderId="0" fillId="0" fontId="4" numFmtId="0" xfId="0" applyFont="1"/>
    <xf borderId="0" fillId="0" fontId="4" numFmtId="166" xfId="0" applyFont="1" applyNumberFormat="1"/>
    <xf borderId="0" fillId="0" fontId="5" numFmtId="167" xfId="0" applyAlignment="1" applyFont="1" applyNumberFormat="1">
      <alignment vertical="bottom"/>
    </xf>
    <xf borderId="0" fillId="0" fontId="5" numFmtId="2" xfId="0" applyAlignment="1" applyFont="1" applyNumberFormat="1">
      <alignment horizontal="right" vertical="bottom"/>
    </xf>
    <xf borderId="0" fillId="3" fontId="6" numFmtId="0" xfId="0" applyAlignment="1" applyFill="1" applyFont="1">
      <alignment shrinkToFit="0" vertical="bottom" wrapText="1"/>
    </xf>
    <xf borderId="0" fillId="0" fontId="4" numFmtId="2" xfId="0" applyFont="1" applyNumberFormat="1"/>
    <xf borderId="0" fillId="0" fontId="4" numFmtId="167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5" numFmtId="167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4" numFmtId="168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1" xfId="0" applyFont="1" applyNumberFormat="1"/>
    <xf borderId="0" fillId="0" fontId="5" numFmtId="0" xfId="0" applyAlignment="1" applyFont="1">
      <alignment readingOrder="0" shrinkToFit="0" vertical="bottom" wrapText="1"/>
    </xf>
    <xf borderId="0" fillId="0" fontId="4" numFmtId="3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0" fontId="5" numFmtId="166" xfId="0" applyAlignment="1" applyFont="1" applyNumberFormat="1">
      <alignment horizontal="right" vertical="bottom"/>
    </xf>
    <xf borderId="0" fillId="4" fontId="4" numFmtId="0" xfId="0" applyAlignment="1" applyFill="1" applyFont="1">
      <alignment readingOrder="0"/>
    </xf>
    <xf borderId="0" fillId="0" fontId="4" numFmtId="170" xfId="0" applyAlignment="1" applyFont="1" applyNumberFormat="1">
      <alignment readingOrder="0"/>
    </xf>
    <xf borderId="0" fillId="4" fontId="11" numFmtId="0" xfId="0" applyAlignment="1" applyFill="1" applyFont="1">
      <alignment readingOrder="0"/>
    </xf>
    <xf borderId="0" fillId="4" fontId="4" numFmtId="164" xfId="0" applyAlignment="1" applyFill="1" applyFont="1" applyNumberFormat="1">
      <alignment readingOrder="0"/>
    </xf>
    <xf borderId="0" fillId="0" fontId="4" numFmtId="170" xfId="0" applyFont="1" applyNumberFormat="1"/>
    <xf borderId="0" fillId="4" fontId="4" numFmtId="166" xfId="0" applyAlignment="1" applyFill="1" applyFont="1" applyNumberFormat="1">
      <alignment readingOrder="0"/>
    </xf>
    <xf borderId="0" fillId="4" fontId="4" numFmtId="0" xfId="0" applyFill="1" applyFont="1"/>
    <xf borderId="0" fillId="4" fontId="4" numFmtId="166" xfId="0" applyFill="1" applyFont="1" applyNumberFormat="1"/>
    <xf borderId="0" fillId="0" fontId="12" numFmtId="0" xfId="0" applyAlignment="1" applyFont="1">
      <alignment readingOrder="0"/>
    </xf>
    <xf borderId="0" fillId="0" fontId="4" numFmtId="171" xfId="0" applyFont="1" applyNumberFormat="1"/>
    <xf borderId="0" fillId="0" fontId="4" numFmtId="171" xfId="0" applyAlignment="1" applyFont="1" applyNumberFormat="1">
      <alignment readingOrder="0"/>
    </xf>
    <xf borderId="0" fillId="5" fontId="1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5" fontId="14" numFmtId="0" xfId="0" applyAlignment="1" applyFill="1" applyFont="1">
      <alignment shrinkToFit="0" wrapText="1"/>
    </xf>
    <xf borderId="0" fillId="0" fontId="1" numFmtId="0" xfId="0" applyFont="1"/>
    <xf borderId="0" fillId="0" fontId="4" numFmtId="172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4" numFmtId="173" xfId="0" applyAlignment="1" applyFont="1" applyNumberFormat="1">
      <alignment readingOrder="0"/>
    </xf>
    <xf borderId="0" fillId="0" fontId="5" numFmtId="168" xfId="0" applyAlignment="1" applyFont="1" applyNumberFormat="1">
      <alignment horizontal="right" vertical="bottom"/>
    </xf>
    <xf borderId="0" fillId="0" fontId="4" numFmtId="17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5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x Lavine" id="{50cfb04c-4edd-40f0-81a3-ffecd47e64c3}" providerId="google-sheets"/>
  <x18tc:person displayName="Emma Marsland" id="{2f24c244-adb5-41b8-bad4-4467f6fb4ca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5-02-05T10:22:27.00" personId="{2f24c244-adb5-41b8-bad4-4467f6fb4ca3}" id="{f183a427-2bb1-4537-bfae-b64cde331459}" done="0">
    <x18tc:text xml:space="preserve">Please provide a reference for the value used here</x18tc:text>
  </x18tc:threadedComment>
  <x18tc:threadedComment ref="F1" dT="2025-02-06T19:46:34.00" personId="{50cfb04c-4edd-40f0-81a3-ffecd47e64c3}" id="{54d4d6ba-8daf-4fe8-87cd-bb365a40178e}" parentId="{f183a427-2bb1-4537-bfae-b64cde331459}">
    <x18tc:text xml:space="preserve">GLEC v3 p.79
https://smart-freight-centre-media.s3.amazonaws.com/documents/GLEC_FRAMEWORK_v3_UPDATED_04_12_24.pdf</x18tc:text>
    <x18tc:extLst>
      <ext uri="{F7C98A9C-CBB3-438F-8F68-D28B6AF4A901}">
        <xltc2:checksum/>
        <xltc2:hyperlink startIndex="14" length="100" url="https://smart-freight-centre-media.s3.amazonaws.com/documents/GLEC_FRAMEWORK_v3_UPDATED_04_12_24.pdf"/>
      </ext>
    </x18tc:extLst>
  </x18tc:threadedComment>
  <x18tc:threadedComment ref="H1" dT="2025-02-05T10:27:24.00" personId="{2f24c244-adb5-41b8-bad4-4467f6fb4ca3}" id="{c0fc91bf-d2d6-4683-beed-15a27684162b}" done="0">
    <x18tc:text xml:space="preserve">What does CD stand for?</x18tc:text>
  </x18tc:threadedComment>
  <x18tc:threadedComment ref="H1" dT="2025-02-05T10:52:24.00" personId="{2f24c244-adb5-41b8-bad4-4467f6fb4ca3}" id="{ca11e993-defb-484f-a3fc-190a87d87f35}" parentId="{c0fc91bf-d2d6-4683-beed-15a27684162b}">
    <x18tc:text xml:space="preserve">Please provide a reference for the value used here</x18tc:text>
  </x18tc:threadedComment>
  <x18tc:threadedComment ref="H1" dT="2025-02-06T19:49:37.00" personId="{50cfb04c-4edd-40f0-81a3-ffecd47e64c3}" id="{07d4a436-3e1f-4345-aa3d-4865b8deb520}" parentId="{c0fc91bf-d2d6-4683-beed-15a27684162b}">
    <x18tc:text xml:space="preserve">CD = Conventional Diesel
Ref. p. 79 of GLEC v3
https://smart-freight-centre-media.s3.amazonaws.com/documents/GLEC_FRAMEWORK_v3_UPDATED_04_12_24.pdf</x18tc:text>
    <x18tc:extLst>
      <ext uri="{F7C98A9C-CBB3-438F-8F68-D28B6AF4A901}">
        <xltc2:checksum/>
        <xltc2:hyperlink startIndex="48" length="100" url="https://smart-freight-centre-media.s3.amazonaws.com/documents/GLEC_FRAMEWORK_v3_UPDATED_04_12_24.pdf"/>
      </ext>
    </x18tc:extLst>
  </x18tc:threadedComment>
  <x18tc:threadedComment ref="I1" dT="2025-02-05T10:27:34.00" personId="{2f24c244-adb5-41b8-bad4-4467f6fb4ca3}" id="{97128e68-40bf-4767-a8ff-2ede7abb2262}" done="0">
    <x18tc:text xml:space="preserve">What does RE and AD stand for?</x18tc:text>
  </x18tc:threadedComment>
  <x18tc:threadedComment ref="I1" dT="2025-02-06T19:50:27.00" personId="{50cfb04c-4edd-40f0-81a3-ffecd47e64c3}" id="{fb0bc28b-69f2-42da-9db0-91ef929d988f}" parentId="{97128e68-40bf-4767-a8ff-2ede7abb2262}">
    <x18tc:text xml:space="preserve">Oops, I swapped these around. It should read AE RD which stands for Avoided Emissions Renewable Diesel. Will change, thanks for catching!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7f4R8BSLiNwaeXUovUJ2_3hYLKPkJ6T/view?usp=sharing" TargetMode="External"/><Relationship Id="rId10" Type="http://schemas.openxmlformats.org/officeDocument/2006/relationships/hyperlink" Target="https://drive.google.com/file/d/1HNOThlz15HCZkOvZCUnpLbke9IJ8PP9l/view?usp=sharing" TargetMode="External"/><Relationship Id="rId13" Type="http://schemas.openxmlformats.org/officeDocument/2006/relationships/hyperlink" Target="https://drive.google.com/file/d/1R3qzZzz4Y3jQ74o5PT4ephwRe0JwH3Sh/view?usp=sharing" TargetMode="External"/><Relationship Id="rId12" Type="http://schemas.openxmlformats.org/officeDocument/2006/relationships/hyperlink" Target="https://drive.google.com/file/d/1HVqRsWSrYA0XewicbGLv7kkSNktCYIB_/view?usp=sharing" TargetMode="External"/><Relationship Id="rId1" Type="http://schemas.openxmlformats.org/officeDocument/2006/relationships/hyperlink" Target="https://drive.google.com/file/d/1kT4Bqg06KC2rMl4ZDB7AvRzEY0WsHbKH/view?usp=drive_link" TargetMode="External"/><Relationship Id="rId2" Type="http://schemas.openxmlformats.org/officeDocument/2006/relationships/hyperlink" Target="https://drive.google.com/file/d/1o2Wnc0DVVTAsJ0YsKfIa0uXVAA65GR6O/view?usp=sharing" TargetMode="External"/><Relationship Id="rId3" Type="http://schemas.openxmlformats.org/officeDocument/2006/relationships/hyperlink" Target="https://drive.google.com/file/d/1gXuruCqLFDBQOSTWVTYJpu3yrn5zGWdv/view?usp=sharing" TargetMode="External"/><Relationship Id="rId4" Type="http://schemas.openxmlformats.org/officeDocument/2006/relationships/hyperlink" Target="https://drive.google.com/file/d/1udloiIE_hu3q02ekc0FdaXnQ6CLwRvTO/view?usp=sharing" TargetMode="External"/><Relationship Id="rId9" Type="http://schemas.openxmlformats.org/officeDocument/2006/relationships/hyperlink" Target="https://drive.google.com/file/d/1VfxfzLq5RdutTYHhAwfinLecn0p0HLp2/view?usp=sharing" TargetMode="External"/><Relationship Id="rId15" Type="http://schemas.openxmlformats.org/officeDocument/2006/relationships/hyperlink" Target="https://drive.google.com/file/d/1uQEXMtZBdZLjSx-cwsO61gaSN62OAuTL/view?usp=sharing" TargetMode="External"/><Relationship Id="rId14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file/d/1lDt1UMON2m07m-dK_6xPZycLdHGUx6j9/view?usp=sharing" TargetMode="External"/><Relationship Id="rId6" Type="http://schemas.openxmlformats.org/officeDocument/2006/relationships/hyperlink" Target="https://drive.google.com/file/d/15WbJO456kfJT4HeTxnex5dSjS7o_5ImQ/view?usp=sharing" TargetMode="External"/><Relationship Id="rId7" Type="http://schemas.openxmlformats.org/officeDocument/2006/relationships/hyperlink" Target="https://drive.google.com/file/d/1KIfeGT5sk2xhnRlHP3DNy24e8bOee8Ba/view?usp=sharing" TargetMode="External"/><Relationship Id="rId8" Type="http://schemas.openxmlformats.org/officeDocument/2006/relationships/hyperlink" Target="https://drive.google.com/file/d/1uQde8IkftD3IM_1xPy5GU_tEiV03L00v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A3w7Dq39kH8ySgnFmjlhFnNJVjkPZjz1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lbgT_ZAj8yoYzwI5evu3CXVnTaWichga/view" TargetMode="External"/><Relationship Id="rId3" Type="http://schemas.openxmlformats.org/officeDocument/2006/relationships/hyperlink" Target="https://drive.google.com/file/d/1LD19TjwpEBR9Fm6dzTsBwUv-pIY6xmrF/view?usp=sharing" TargetMode="External"/><Relationship Id="rId4" Type="http://schemas.openxmlformats.org/officeDocument/2006/relationships/hyperlink" Target="https://drive.google.com/file/d/1xUb3wOFwbFPEwXrNUiMRwbpOi21Ci15T/view?usp=sharing" TargetMode="External"/><Relationship Id="rId9" Type="http://schemas.openxmlformats.org/officeDocument/2006/relationships/hyperlink" Target="https://drive.google.com/file/d/1pbLuqGUhXj-Fw_1q1Dt9I38htJHdfHGU/view?usp=sharing" TargetMode="External"/><Relationship Id="rId5" Type="http://schemas.openxmlformats.org/officeDocument/2006/relationships/hyperlink" Target="https://drive.google.com/file/d/1TkvM5rjMdbdrzKApFBtf3c16Rtpdisqy/view?usp=sharing" TargetMode="External"/><Relationship Id="rId6" Type="http://schemas.openxmlformats.org/officeDocument/2006/relationships/hyperlink" Target="https://drive.google.com/drive/folders/1gLW1PmhwBrNEORkD0GFJty-HXw8hvjX_" TargetMode="External"/><Relationship Id="rId7" Type="http://schemas.openxmlformats.org/officeDocument/2006/relationships/hyperlink" Target="https://drive.google.com/file/d/1aj6_8GCmCrim5bNXlKt2S2XpNhw6AzyG/view?usp=sharing" TargetMode="External"/><Relationship Id="rId8" Type="http://schemas.openxmlformats.org/officeDocument/2006/relationships/hyperlink" Target="https://drive.google.com/file/d/10r639V-lhlIgUZ2wGVeYWRfgz3WlFtkY/view?usp=sharing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file/d/1uQde8IkftD3IM_1xPy5GU_tEiV03L00v/view?usp=sharing" TargetMode="External"/><Relationship Id="rId10" Type="http://schemas.openxmlformats.org/officeDocument/2006/relationships/hyperlink" Target="https://drive.google.com/file/d/1KIfeGT5sk2xhnRlHP3DNy24e8bOee8Ba/view?usp=sharing" TargetMode="External"/><Relationship Id="rId13" Type="http://schemas.openxmlformats.org/officeDocument/2006/relationships/hyperlink" Target="https://drive.google.com/file/d/1HNOThlz15HCZkOvZCUnpLbke9IJ8PP9l/view?usp=sharing" TargetMode="External"/><Relationship Id="rId12" Type="http://schemas.openxmlformats.org/officeDocument/2006/relationships/hyperlink" Target="https://drive.google.com/file/d/1VfxfzLq5RdutTYHhAwfinLecn0p0HLp2/view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kT4Bqg06KC2rMl4ZDB7AvRzEY0WsHbKH/view?usp=drive_link" TargetMode="External"/><Relationship Id="rId9" Type="http://schemas.openxmlformats.org/officeDocument/2006/relationships/hyperlink" Target="https://drive.google.com/file/d/15WbJO456kfJT4HeTxnex5dSjS7o_5ImQ/view?usp=sharing" TargetMode="External"/><Relationship Id="rId15" Type="http://schemas.openxmlformats.org/officeDocument/2006/relationships/hyperlink" Target="https://drive.google.com/file/d/1HVqRsWSrYA0XewicbGLv7kkSNktCYIB_/view?usp=sharing" TargetMode="External"/><Relationship Id="rId14" Type="http://schemas.openxmlformats.org/officeDocument/2006/relationships/hyperlink" Target="https://drive.google.com/file/d/1I7f4R8BSLiNwaeXUovUJ2_3hYLKPkJ6T/view?usp=sharing" TargetMode="External"/><Relationship Id="rId17" Type="http://schemas.openxmlformats.org/officeDocument/2006/relationships/hyperlink" Target="https://drive.google.com/file/d/1uBkWBFnak5hkrHw8JI4Zq7LCXMrkpLJW/view?usp=sharing" TargetMode="External"/><Relationship Id="rId16" Type="http://schemas.openxmlformats.org/officeDocument/2006/relationships/hyperlink" Target="https://drive.google.com/file/d/1R3qzZzz4Y3jQ74o5PT4ephwRe0JwH3Sh/view?usp=sharing" TargetMode="External"/><Relationship Id="rId5" Type="http://schemas.openxmlformats.org/officeDocument/2006/relationships/hyperlink" Target="https://drive.google.com/file/d/1o2Wnc0DVVTAsJ0YsKfIa0uXVAA65GR6O/view?usp=sharing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drive.google.com/file/d/1gXuruCqLFDBQOSTWVTYJpu3yrn5zGWdv/view?usp=sharing" TargetMode="External"/><Relationship Id="rId18" Type="http://schemas.openxmlformats.org/officeDocument/2006/relationships/hyperlink" Target="https://drive.google.com/file/d/14H20n9qp_9TE1O2gh13sJTWcYliLCdHF/view?usp=sharing" TargetMode="External"/><Relationship Id="rId7" Type="http://schemas.openxmlformats.org/officeDocument/2006/relationships/hyperlink" Target="https://drive.google.com/file/d/1udloiIE_hu3q02ekc0FdaXnQ6CLwRvTO/view?usp=sharing" TargetMode="External"/><Relationship Id="rId8" Type="http://schemas.openxmlformats.org/officeDocument/2006/relationships/hyperlink" Target="https://drive.google.com/file/d/1lDt1UMON2m07m-dK_6xPZycLdHGUx6j9/view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drive.google.com/file/d/1lbgT_ZAj8yoYzwI5evu3CXVnTaWichga/view?usp=sharing" TargetMode="External"/><Relationship Id="rId1" Type="http://schemas.openxmlformats.org/officeDocument/2006/relationships/hyperlink" Target="https://drive.google.com/file/d/1ff4E5DAL10_UsUTIIf-KNxD3KiOhtBB4/view?usp=sharing" TargetMode="External"/><Relationship Id="rId2" Type="http://schemas.openxmlformats.org/officeDocument/2006/relationships/hyperlink" Target="https://drive.google.com/file/d/1hi27IIWK81SDxghNrZyV0Sbwpjpa8YCz/view?usp=drive_link" TargetMode="External"/><Relationship Id="rId3" Type="http://schemas.openxmlformats.org/officeDocument/2006/relationships/hyperlink" Target="https://drive.google.com/file/d/1ff4E5DAL10_UsUTIIf-KNxD3KiOhtBB4/view?usp=sharing" TargetMode="External"/><Relationship Id="rId4" Type="http://schemas.openxmlformats.org/officeDocument/2006/relationships/hyperlink" Target="https://drive.google.com/file/d/1hi27IIWK81SDxghNrZyV0Sbwpjpa8YCz/view?usp=drive_link" TargetMode="External"/><Relationship Id="rId9" Type="http://schemas.openxmlformats.org/officeDocument/2006/relationships/hyperlink" Target="https://drive.google.com/file/d/1ff4E5DAL10_UsUTIIf-KNxD3KiOhtBB4/view?usp=sharing" TargetMode="External"/><Relationship Id="rId5" Type="http://schemas.openxmlformats.org/officeDocument/2006/relationships/hyperlink" Target="https://drive.google.com/file/d/1CyUFcHDl7fVbcfNSKNg1QIJvjDt5J_b6/view?usp=sharing" TargetMode="External"/><Relationship Id="rId6" Type="http://schemas.openxmlformats.org/officeDocument/2006/relationships/hyperlink" Target="https://drive.google.com/file/d/1lbgT_ZAj8yoYzwI5evu3CXVnTaWichga/view?usp=sharing" TargetMode="External"/><Relationship Id="rId7" Type="http://schemas.openxmlformats.org/officeDocument/2006/relationships/hyperlink" Target="https://drive.google.com/file/d/1_T9Vx4VUv-DsQTVTNx3VHIo3iIiYmg9B/view?usp=sharing" TargetMode="External"/><Relationship Id="rId8" Type="http://schemas.openxmlformats.org/officeDocument/2006/relationships/hyperlink" Target="https://drive.google.com/file/d/1lbgT_ZAj8yoYzwI5evu3CXVnTaWichga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pn0uXgtHSaZ-UWMRu1QyaqOSK6POtZ7cXIIXKJVu2Q/edit?gid=1720683910" TargetMode="External"/><Relationship Id="rId2" Type="http://schemas.openxmlformats.org/officeDocument/2006/relationships/hyperlink" Target="https://docs.google.com/spreadsheets/d/1OrNGikkNo5ZHVhEYsovtdBuh4m0BvaZJnCudP3GyHWE/edit?gid=0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HNY6WK41S0D1QJ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hyperlink" Target="https://registry.isometric.com/account/certify/project/prj_1HZSSWBQM1S08H83/ghg-statement/ggs_1JQC60KVR1S0JS6Q" TargetMode="External"/><Relationship Id="rId4" Type="http://schemas.openxmlformats.org/officeDocument/2006/relationships/hyperlink" Target="https://registry.isometric.com/account/certify/project/prj_1HZSSWBQM1S08H83/ghg-statement/ggs_1JQC60KVR1S0JS6Q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statement/ggs_1JQC60KVR1S0JS6Q" TargetMode="External"/><Relationship Id="rId2" Type="http://schemas.openxmlformats.org/officeDocument/2006/relationships/hyperlink" Target="https://registry.isometric.com/account/certify/project/prj_1HZSSWBQM1S08H83/ghg-statement/ggs_1JQC60KVR1S0JS6Q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73.63"/>
    <col customWidth="1" min="3" max="3" width="14.25"/>
    <col customWidth="1" min="4" max="4" width="20.88"/>
    <col customWidth="1" min="5" max="5" width="19.25"/>
    <col customWidth="1" min="6" max="6" width="26.25"/>
    <col customWidth="1" min="7" max="7" width="23.38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16</v>
      </c>
      <c r="I1" s="1" t="s">
        <v>20</v>
      </c>
      <c r="J1" s="1" t="s">
        <v>24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idden="1">
      <c r="A2" s="5" t="s">
        <v>36</v>
      </c>
      <c r="B2" s="10" t="s">
        <v>40</v>
      </c>
      <c r="C2" s="5" t="s">
        <v>44</v>
      </c>
      <c r="D2" s="6">
        <v>104.33</v>
      </c>
      <c r="E2" s="11">
        <v>45565.0</v>
      </c>
      <c r="F2" s="6">
        <v>16.77</v>
      </c>
      <c r="G2" s="6">
        <v>44.0</v>
      </c>
      <c r="H2" s="15">
        <f>'BCU AE Breakdown'!L2</f>
        <v>323.6441796</v>
      </c>
      <c r="I2" s="19">
        <f>SUMIF('GHG Statement BCU Usage'!$F$2:$F$998,A2,'GHG Statement BCU Usage'!$D$2:$D$998)</f>
        <v>323.6441796</v>
      </c>
      <c r="J2" s="20">
        <f t="shared" ref="J2:J16" si="1">H2-I2</f>
        <v>0</v>
      </c>
    </row>
    <row r="3" hidden="1">
      <c r="A3" s="6" t="s">
        <v>49</v>
      </c>
      <c r="B3" s="26" t="s">
        <v>50</v>
      </c>
      <c r="C3" s="6" t="s">
        <v>44</v>
      </c>
      <c r="D3" s="6">
        <v>88.53</v>
      </c>
      <c r="E3" s="11">
        <v>45569.0</v>
      </c>
      <c r="F3" s="6">
        <v>16.77</v>
      </c>
      <c r="G3" s="6">
        <v>44.0</v>
      </c>
      <c r="H3" s="15">
        <f>'BCU AE Breakdown'!L3</f>
        <v>274.6306836</v>
      </c>
      <c r="I3" s="19">
        <f>SUMIF('GHG Statement BCU Usage'!$F$2:$F$998,A3,'GHG Statement BCU Usage'!$D$2:$D$998)</f>
        <v>274.6306836</v>
      </c>
      <c r="J3" s="20">
        <f t="shared" si="1"/>
        <v>0</v>
      </c>
    </row>
    <row r="4" hidden="1">
      <c r="A4" s="6" t="s">
        <v>62</v>
      </c>
      <c r="B4" s="26" t="s">
        <v>63</v>
      </c>
      <c r="C4" s="6" t="s">
        <v>44</v>
      </c>
      <c r="D4" s="6">
        <v>21.883</v>
      </c>
      <c r="E4" s="11">
        <v>45573.0</v>
      </c>
      <c r="F4" s="6">
        <v>16.77</v>
      </c>
      <c r="G4" s="6">
        <v>44.0</v>
      </c>
      <c r="H4" s="15">
        <f>'BCU AE Breakdown'!L4</f>
        <v>67.88369196</v>
      </c>
      <c r="I4" s="19">
        <f>SUMIF('GHG Statement BCU Usage'!$F$2:$F$998,A4,'GHG Statement BCU Usage'!$D$2:$D$998)</f>
        <v>67.88369196</v>
      </c>
      <c r="J4" s="20">
        <f t="shared" si="1"/>
        <v>0</v>
      </c>
    </row>
    <row r="5" hidden="1">
      <c r="A5" s="6" t="s">
        <v>64</v>
      </c>
      <c r="B5" s="26" t="s">
        <v>65</v>
      </c>
      <c r="C5" s="6" t="s">
        <v>44</v>
      </c>
      <c r="D5" s="6">
        <v>66.117</v>
      </c>
      <c r="E5" s="11">
        <v>45577.0</v>
      </c>
      <c r="F5" s="6">
        <v>16.77</v>
      </c>
      <c r="G5" s="6">
        <v>44.0</v>
      </c>
      <c r="H5" s="15">
        <f>'BCU AE Breakdown'!L5</f>
        <v>205.102868</v>
      </c>
      <c r="I5" s="19">
        <f>SUMIF('GHG Statement BCU Usage'!$F$2:$F$998,A5,'GHG Statement BCU Usage'!$D$2:$D$998)</f>
        <v>205.102868</v>
      </c>
      <c r="J5" s="20">
        <f t="shared" si="1"/>
        <v>0</v>
      </c>
    </row>
    <row r="6" hidden="1">
      <c r="A6" s="6" t="s">
        <v>72</v>
      </c>
      <c r="B6" s="26" t="s">
        <v>73</v>
      </c>
      <c r="C6" s="6" t="s">
        <v>44</v>
      </c>
      <c r="D6" s="6">
        <v>111.725</v>
      </c>
      <c r="E6" s="11">
        <v>45577.0</v>
      </c>
      <c r="F6" s="6">
        <v>16.77</v>
      </c>
      <c r="G6" s="6">
        <v>44.0</v>
      </c>
      <c r="H6" s="15">
        <f>'BCU AE Breakdown'!L6</f>
        <v>346.584357</v>
      </c>
      <c r="I6" s="19">
        <f>SUMIF('GHG Statement BCU Usage'!$F$2:$F$998,A6,'GHG Statement BCU Usage'!$D$2:$D$998)</f>
        <v>346.584357</v>
      </c>
      <c r="J6" s="20">
        <f t="shared" si="1"/>
        <v>0</v>
      </c>
    </row>
    <row r="7" hidden="1">
      <c r="A7" s="6" t="s">
        <v>80</v>
      </c>
      <c r="B7" s="26" t="s">
        <v>82</v>
      </c>
      <c r="C7" s="6" t="s">
        <v>44</v>
      </c>
      <c r="D7" s="6">
        <v>21.977</v>
      </c>
      <c r="E7" s="11">
        <v>45577.0</v>
      </c>
      <c r="F7" s="6">
        <v>16.77</v>
      </c>
      <c r="G7" s="6">
        <v>44.0</v>
      </c>
      <c r="H7" s="15">
        <f>'BCU AE Breakdown'!L7</f>
        <v>68.23733364</v>
      </c>
      <c r="I7" s="19">
        <f>SUMIF('GHG Statement BCU Usage'!$F$2:$F$998,A7,'GHG Statement BCU Usage'!$D$2:$D$998)</f>
        <v>68.23733364</v>
      </c>
      <c r="J7" s="20">
        <f t="shared" si="1"/>
        <v>0</v>
      </c>
    </row>
    <row r="8" hidden="1">
      <c r="A8" s="6" t="s">
        <v>84</v>
      </c>
      <c r="B8" s="26" t="s">
        <v>85</v>
      </c>
      <c r="C8" s="6" t="s">
        <v>44</v>
      </c>
      <c r="D8" s="6">
        <v>66.763</v>
      </c>
      <c r="E8" s="11">
        <v>45577.0</v>
      </c>
      <c r="F8" s="6">
        <v>16.8</v>
      </c>
      <c r="G8" s="6">
        <v>44.0</v>
      </c>
      <c r="H8" s="15">
        <f>'BCU AE Breakdown'!L8</f>
        <v>207.0187104</v>
      </c>
      <c r="I8" s="19">
        <f>SUMIF('GHG Statement BCU Usage'!$F$2:$F$998,A8,'GHG Statement BCU Usage'!$D$2:$D$998)</f>
        <v>207.0178862</v>
      </c>
      <c r="J8" s="20">
        <f t="shared" si="1"/>
        <v>0.0008242400001</v>
      </c>
    </row>
    <row r="9" ht="15.0" hidden="1" customHeight="1">
      <c r="A9" s="6" t="s">
        <v>87</v>
      </c>
      <c r="B9" s="26" t="s">
        <v>88</v>
      </c>
      <c r="C9" s="6" t="s">
        <v>44</v>
      </c>
      <c r="D9" s="6">
        <v>39.526</v>
      </c>
      <c r="E9" s="11">
        <v>45577.0</v>
      </c>
      <c r="F9" s="6">
        <v>16.8</v>
      </c>
      <c r="G9" s="6">
        <v>44.0</v>
      </c>
      <c r="H9" s="15">
        <f>'BCU AE Breakdown'!L9</f>
        <v>122.5622208</v>
      </c>
      <c r="I9" s="19">
        <f>SUMIF('GHG Statement BCU Usage'!$F$2:$F$998,A9,'GHG Statement BCU Usage'!$D$2:$D$998)</f>
        <v>122.559</v>
      </c>
      <c r="J9" s="20">
        <f t="shared" si="1"/>
        <v>0.0032208</v>
      </c>
    </row>
    <row r="10" ht="15.0" hidden="1" customHeight="1">
      <c r="A10" s="36" t="s">
        <v>92</v>
      </c>
      <c r="B10" s="38" t="s">
        <v>93</v>
      </c>
      <c r="C10" s="36" t="s">
        <v>44</v>
      </c>
      <c r="D10" s="36">
        <v>44.089</v>
      </c>
      <c r="E10" s="39">
        <v>45577.0</v>
      </c>
      <c r="F10" s="36">
        <v>16.74</v>
      </c>
      <c r="G10" s="36">
        <v>44.0</v>
      </c>
      <c r="H10" s="41">
        <f>'BCU AE Breakdown'!L10</f>
        <v>136.8275662</v>
      </c>
      <c r="I10" s="42">
        <f>SUMIF('GHG Statement BCU Usage'!$F$2:$F$998,A10,'GHG Statement BCU Usage'!$D$2:$D$998)</f>
        <v>136.8275662</v>
      </c>
      <c r="J10" s="43">
        <f t="shared" si="1"/>
        <v>0</v>
      </c>
    </row>
    <row r="11" hidden="1">
      <c r="A11" s="6" t="s">
        <v>97</v>
      </c>
      <c r="B11" s="26" t="s">
        <v>98</v>
      </c>
      <c r="C11" s="6" t="s">
        <v>44</v>
      </c>
      <c r="D11" s="6">
        <v>21.927</v>
      </c>
      <c r="E11" s="11">
        <v>45577.0</v>
      </c>
      <c r="F11" s="6">
        <v>16.74</v>
      </c>
      <c r="G11" s="6">
        <v>44.0</v>
      </c>
      <c r="H11" s="15">
        <f>'BCU AE Breakdown'!L11</f>
        <v>68.04912888</v>
      </c>
      <c r="I11" s="19">
        <f>SUMIF('GHG Statement BCU Usage'!$F$2:$F$998,A11,'GHG Statement BCU Usage'!$D$2:$D$998)</f>
        <v>68.04912888</v>
      </c>
      <c r="J11" s="20">
        <f t="shared" si="1"/>
        <v>0</v>
      </c>
    </row>
    <row r="12" hidden="1">
      <c r="A12" s="6" t="s">
        <v>101</v>
      </c>
      <c r="B12" s="26" t="s">
        <v>102</v>
      </c>
      <c r="C12" s="6" t="s">
        <v>44</v>
      </c>
      <c r="D12" s="6">
        <v>44.205</v>
      </c>
      <c r="E12" s="11">
        <v>45577.0</v>
      </c>
      <c r="F12" s="6">
        <v>16.78</v>
      </c>
      <c r="G12" s="6">
        <v>44.0</v>
      </c>
      <c r="H12" s="15">
        <f>'BCU AE Breakdown'!L12</f>
        <v>137.1097644</v>
      </c>
      <c r="I12" s="19">
        <f>SUMIF('GHG Statement BCU Usage'!$F$2:$F$998,A12,'GHG Statement BCU Usage'!$D$2:$D$998)</f>
        <v>137.108305</v>
      </c>
      <c r="J12" s="20">
        <f t="shared" si="1"/>
        <v>0.00145944</v>
      </c>
    </row>
    <row r="13" hidden="1">
      <c r="A13" s="6" t="s">
        <v>105</v>
      </c>
      <c r="B13" s="26" t="s">
        <v>106</v>
      </c>
      <c r="C13" s="6" t="s">
        <v>44</v>
      </c>
      <c r="D13" s="6">
        <v>22.304</v>
      </c>
      <c r="E13" s="11">
        <v>45577.0</v>
      </c>
      <c r="F13" s="6">
        <v>16.78</v>
      </c>
      <c r="G13" s="6">
        <v>44.0</v>
      </c>
      <c r="H13" s="15">
        <f>'BCU AE Breakdown'!L13</f>
        <v>69.17987072</v>
      </c>
      <c r="I13" s="19">
        <f>SUMIF('GHG Statement BCU Usage'!$F$2:$F$998,A13,'GHG Statement BCU Usage'!$D$2:$D$998)</f>
        <v>69.17987</v>
      </c>
      <c r="J13" s="20">
        <f t="shared" si="1"/>
        <v>0.0000007200000169</v>
      </c>
    </row>
    <row r="14" hidden="1">
      <c r="A14" s="6" t="s">
        <v>107</v>
      </c>
      <c r="B14" s="26" t="s">
        <v>108</v>
      </c>
      <c r="C14" s="6" t="s">
        <v>44</v>
      </c>
      <c r="D14" s="6">
        <v>22.31</v>
      </c>
      <c r="E14" s="11">
        <v>45577.0</v>
      </c>
      <c r="F14" s="6">
        <v>16.77</v>
      </c>
      <c r="G14" s="6">
        <v>44.0</v>
      </c>
      <c r="H14" s="15">
        <f>'BCU AE Breakdown'!L14</f>
        <v>69.2082972</v>
      </c>
      <c r="I14" s="19">
        <f>SUMIF('GHG Statement BCU Usage'!$F$2:$F$998,A14,'GHG Statement BCU Usage'!$D$2:$D$998)</f>
        <v>69.2083</v>
      </c>
      <c r="J14" s="20">
        <f t="shared" si="1"/>
        <v>-0.000002800000004</v>
      </c>
    </row>
    <row r="15" hidden="1">
      <c r="A15" s="6" t="s">
        <v>109</v>
      </c>
      <c r="B15" s="26" t="s">
        <v>110</v>
      </c>
      <c r="C15" s="6" t="s">
        <v>44</v>
      </c>
      <c r="D15" s="6">
        <v>21.912</v>
      </c>
      <c r="E15" s="11">
        <v>45577.0</v>
      </c>
      <c r="F15" s="6">
        <v>16.77</v>
      </c>
      <c r="G15" s="6">
        <v>44.0</v>
      </c>
      <c r="H15" s="15">
        <f>'BCU AE Breakdown'!L15</f>
        <v>67.97365344</v>
      </c>
      <c r="I15" s="19">
        <f>SUMIF('GHG Statement BCU Usage'!$F$2:$F$998,A15,'GHG Statement BCU Usage'!$D$2:$D$998)</f>
        <v>67.97365</v>
      </c>
      <c r="J15" s="20">
        <f t="shared" si="1"/>
        <v>0.00000344</v>
      </c>
    </row>
    <row r="16">
      <c r="A16" s="6" t="s">
        <v>111</v>
      </c>
      <c r="B16" s="12" t="s">
        <v>112</v>
      </c>
      <c r="C16" s="13">
        <v>46009.0</v>
      </c>
      <c r="E16" s="6">
        <v>2024.0</v>
      </c>
      <c r="F16" s="6">
        <v>29.68</v>
      </c>
      <c r="G16" s="6">
        <v>44.0</v>
      </c>
      <c r="H16" s="45">
        <f>'BCU AE Breakdown'!L16</f>
        <v>2765.361153</v>
      </c>
      <c r="I16" s="46">
        <f>SUMIF('GHG Statement BCU Usage'!$F$2:$F$998,A16,'GHG Statement BCU Usage'!$D$2:$D$998)</f>
        <v>414.9274093</v>
      </c>
      <c r="J16" s="45">
        <f t="shared" si="1"/>
        <v>2350.433744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46.63"/>
    <col customWidth="1" min="3" max="3" width="14.25"/>
    <col customWidth="1" min="4" max="5" width="20.88"/>
    <col customWidth="1" min="6" max="7" width="18.13"/>
    <col customWidth="1" min="8" max="9" width="20.88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14</v>
      </c>
      <c r="G1" s="1" t="s">
        <v>15</v>
      </c>
      <c r="H1" s="1" t="s">
        <v>17</v>
      </c>
      <c r="I1" s="1" t="s">
        <v>19</v>
      </c>
      <c r="J1" s="1" t="s">
        <v>23</v>
      </c>
      <c r="K1" s="1" t="s">
        <v>26</v>
      </c>
      <c r="L1" s="1" t="s">
        <v>28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idden="1">
      <c r="A2" s="6">
        <v>22289.0</v>
      </c>
      <c r="B2" s="12" t="s">
        <v>41</v>
      </c>
      <c r="C2" s="13">
        <v>45656.0</v>
      </c>
      <c r="D2" s="6" t="s">
        <v>45</v>
      </c>
      <c r="E2" s="11">
        <v>45413.0</v>
      </c>
      <c r="F2" s="18">
        <f t="shared" ref="F2:F3" si="1">EDATE(E2,12)</f>
        <v>45778</v>
      </c>
      <c r="G2" s="11">
        <v>45413.0</v>
      </c>
      <c r="H2" s="6" t="s">
        <v>47</v>
      </c>
      <c r="I2" s="6" t="s">
        <v>48</v>
      </c>
      <c r="J2" s="6">
        <v>400.0</v>
      </c>
      <c r="K2" s="19">
        <f>SUMIF('GHG Statement RECs Usage'!$F$2:$F$1001,A2,'GHG Statement RECs Usage'!$E$2:$E$1001)</f>
        <v>286.49529</v>
      </c>
      <c r="L2" s="19">
        <f t="shared" ref="L2:L11" si="2">J2-K2</f>
        <v>113.50471</v>
      </c>
    </row>
    <row r="3" hidden="1">
      <c r="A3" s="6">
        <v>47906.0</v>
      </c>
      <c r="B3" s="12" t="s">
        <v>51</v>
      </c>
      <c r="C3" s="13">
        <v>45656.0</v>
      </c>
      <c r="D3" s="6" t="s">
        <v>54</v>
      </c>
      <c r="E3" s="25">
        <v>45473.0</v>
      </c>
      <c r="F3" s="18">
        <f t="shared" si="1"/>
        <v>45838</v>
      </c>
      <c r="G3" s="11">
        <v>45444.0</v>
      </c>
      <c r="H3" s="6" t="s">
        <v>56</v>
      </c>
      <c r="I3" s="6" t="s">
        <v>57</v>
      </c>
      <c r="J3" s="6">
        <v>250.0</v>
      </c>
      <c r="K3" s="19">
        <f>SUMIF('GHG Statement RECs Usage'!$F$2:$F$1001,A3,'GHG Statement RECs Usage'!$E$2:$E$1001)</f>
        <v>249.99992</v>
      </c>
      <c r="L3" s="19">
        <f t="shared" si="2"/>
        <v>0.00008000000003</v>
      </c>
    </row>
    <row r="4" hidden="1">
      <c r="A4" s="6">
        <v>10916.0</v>
      </c>
      <c r="B4" s="12" t="s">
        <v>61</v>
      </c>
      <c r="C4" s="13">
        <v>45747.0</v>
      </c>
      <c r="D4" s="6" t="s">
        <v>45</v>
      </c>
      <c r="E4" s="25">
        <v>45474.0</v>
      </c>
      <c r="F4" s="29">
        <v>45839.0</v>
      </c>
      <c r="G4" s="29">
        <v>45474.0</v>
      </c>
      <c r="H4" s="6" t="s">
        <v>47</v>
      </c>
      <c r="I4" s="6" t="s">
        <v>48</v>
      </c>
      <c r="J4" s="30">
        <v>1250.0</v>
      </c>
      <c r="K4" s="19">
        <f>SUMIF('GHG Statement RECs Usage'!$F$2:$F$1001,A4,'GHG Statement RECs Usage'!$E$2:$E$1001)</f>
        <v>88.62935</v>
      </c>
      <c r="L4" s="31">
        <f t="shared" si="2"/>
        <v>1161.37065</v>
      </c>
    </row>
    <row r="5" hidden="1">
      <c r="A5" s="6">
        <v>49437.0</v>
      </c>
      <c r="B5" s="12" t="s">
        <v>66</v>
      </c>
      <c r="C5" s="29">
        <v>45840.0</v>
      </c>
      <c r="D5" s="6" t="s">
        <v>54</v>
      </c>
      <c r="E5" s="25">
        <v>45688.0</v>
      </c>
      <c r="F5" s="29">
        <v>46053.0</v>
      </c>
      <c r="G5" s="34">
        <v>45688.0</v>
      </c>
      <c r="H5" s="6" t="s">
        <v>56</v>
      </c>
      <c r="I5" s="6" t="s">
        <v>57</v>
      </c>
      <c r="J5" s="15">
        <v>250.0</v>
      </c>
      <c r="K5" s="19">
        <f>SUMIF('GHG Statement RECs Usage'!$F$2:$F$1001,A5,'GHG Statement RECs Usage'!$E$2:$E$1001)</f>
        <v>224.05679</v>
      </c>
      <c r="L5" s="20">
        <f t="shared" si="2"/>
        <v>25.94321</v>
      </c>
    </row>
    <row r="6" hidden="1">
      <c r="A6" s="6">
        <v>11906.0</v>
      </c>
      <c r="B6" s="12" t="s">
        <v>75</v>
      </c>
      <c r="C6" s="29">
        <v>45867.0</v>
      </c>
      <c r="D6" s="6" t="s">
        <v>45</v>
      </c>
      <c r="E6" s="25">
        <v>45658.0</v>
      </c>
      <c r="F6" s="13">
        <v>46023.0</v>
      </c>
      <c r="G6" s="29">
        <v>45658.0</v>
      </c>
      <c r="H6" s="6" t="s">
        <v>47</v>
      </c>
      <c r="I6" s="6" t="s">
        <v>48</v>
      </c>
      <c r="J6" s="15">
        <v>300.0</v>
      </c>
      <c r="K6" s="19">
        <f>SUMIF('GHG Statement RECs Usage'!$F$2:$F$1001,A6,'GHG Statement RECs Usage'!$E$2:$E$1001)</f>
        <v>170.96529</v>
      </c>
      <c r="L6" s="20">
        <f t="shared" si="2"/>
        <v>129.03471</v>
      </c>
    </row>
    <row r="7" hidden="1">
      <c r="A7" s="6">
        <v>20879.0</v>
      </c>
      <c r="B7" s="12" t="s">
        <v>83</v>
      </c>
      <c r="C7" s="29">
        <v>46028.0</v>
      </c>
      <c r="D7" s="6" t="s">
        <v>45</v>
      </c>
      <c r="E7" s="29">
        <v>45778.0</v>
      </c>
      <c r="F7" s="29">
        <v>46143.0</v>
      </c>
      <c r="G7" s="29">
        <v>45778.0</v>
      </c>
      <c r="H7" s="6" t="s">
        <v>47</v>
      </c>
      <c r="I7" s="6" t="s">
        <v>48</v>
      </c>
      <c r="J7" s="15">
        <v>284.0</v>
      </c>
      <c r="K7" s="19">
        <f>SUMIF('GHG Statement RECs Usage'!$F$2:$F$1001,A7,'GHG Statement RECs Usage'!$E$2:$E$1001)</f>
        <v>206.7888782</v>
      </c>
      <c r="L7" s="20">
        <f t="shared" si="2"/>
        <v>77.21112184</v>
      </c>
    </row>
    <row r="8" hidden="1">
      <c r="A8" s="6">
        <v>16406.0</v>
      </c>
      <c r="B8" s="12" t="s">
        <v>86</v>
      </c>
      <c r="C8" s="29">
        <v>46028.0</v>
      </c>
      <c r="D8" s="6" t="s">
        <v>89</v>
      </c>
      <c r="E8" s="29">
        <v>45748.0</v>
      </c>
      <c r="F8" s="29">
        <v>46113.0</v>
      </c>
      <c r="G8" s="29">
        <v>45748.0</v>
      </c>
      <c r="H8" s="6" t="s">
        <v>90</v>
      </c>
      <c r="I8" s="6" t="s">
        <v>48</v>
      </c>
      <c r="J8" s="15">
        <v>391.0</v>
      </c>
      <c r="K8" s="19">
        <f>SUMIF('GHG Statement RECs Usage'!$F$2:$F$1001,A8,'GHG Statement RECs Usage'!$E$2:$E$1001)</f>
        <v>273.99774</v>
      </c>
      <c r="L8" s="20">
        <f t="shared" si="2"/>
        <v>117.00226</v>
      </c>
    </row>
    <row r="9">
      <c r="A9" s="6">
        <v>10845.0</v>
      </c>
      <c r="B9" s="12" t="s">
        <v>91</v>
      </c>
      <c r="C9" s="29">
        <v>46213.0</v>
      </c>
      <c r="D9" s="6" t="s">
        <v>94</v>
      </c>
      <c r="E9" s="29">
        <v>46023.0</v>
      </c>
      <c r="F9" s="29">
        <v>46388.0</v>
      </c>
      <c r="G9" s="29">
        <v>46023.0</v>
      </c>
      <c r="H9" s="6" t="s">
        <v>95</v>
      </c>
      <c r="I9" s="6" t="s">
        <v>48</v>
      </c>
      <c r="J9" s="37">
        <v>100.0</v>
      </c>
      <c r="K9" s="40">
        <f>SUMIF('GHG Statement RECs Usage'!$F$2:$F$1001,A9,'GHG Statement RECs Usage'!$E$2:$E$1001)</f>
        <v>100</v>
      </c>
      <c r="L9" s="40">
        <f t="shared" si="2"/>
        <v>0</v>
      </c>
    </row>
    <row r="10" ht="15.0" customHeight="1">
      <c r="A10" s="6">
        <v>10745.0</v>
      </c>
      <c r="B10" s="12" t="s">
        <v>96</v>
      </c>
      <c r="C10" s="29">
        <v>46213.0</v>
      </c>
      <c r="D10" s="6" t="s">
        <v>94</v>
      </c>
      <c r="E10" s="29">
        <v>46023.0</v>
      </c>
      <c r="F10" s="29">
        <v>46388.0</v>
      </c>
      <c r="G10" s="29">
        <v>46023.0</v>
      </c>
      <c r="H10" s="6" t="s">
        <v>95</v>
      </c>
      <c r="I10" s="6" t="s">
        <v>48</v>
      </c>
      <c r="J10" s="37">
        <v>100.0</v>
      </c>
      <c r="K10" s="40">
        <f>SUMIF('GHG Statement RECs Usage'!$F$2:$F$1001,A10,'GHG Statement RECs Usage'!$E$2:$E$1001)</f>
        <v>5.22958</v>
      </c>
      <c r="L10" s="40">
        <f t="shared" si="2"/>
        <v>94.77042</v>
      </c>
    </row>
    <row r="11">
      <c r="A11" s="6" t="s">
        <v>99</v>
      </c>
      <c r="B11" s="12" t="s">
        <v>100</v>
      </c>
      <c r="C11" s="29">
        <v>46213.0</v>
      </c>
      <c r="D11" s="6" t="s">
        <v>103</v>
      </c>
      <c r="E11" s="29">
        <v>46023.0</v>
      </c>
      <c r="F11" s="29">
        <v>46388.0</v>
      </c>
      <c r="G11" s="29">
        <v>46023.0</v>
      </c>
      <c r="H11" s="6" t="s">
        <v>104</v>
      </c>
      <c r="I11" s="6" t="s">
        <v>48</v>
      </c>
      <c r="J11" s="37">
        <v>150.0</v>
      </c>
      <c r="K11" s="40">
        <f>SUMIF('GHG Statement RECs Usage'!$F$2:$F$1001,A11,'GHG Statement RECs Usage'!$E$2:$E$1001)</f>
        <v>67.72206</v>
      </c>
      <c r="L11" s="40">
        <f t="shared" si="2"/>
        <v>82.27794</v>
      </c>
    </row>
    <row r="12">
      <c r="J12" s="15"/>
    </row>
    <row r="13">
      <c r="J13" s="15"/>
    </row>
    <row r="14">
      <c r="J14" s="15"/>
    </row>
    <row r="15">
      <c r="D15" s="44"/>
      <c r="J15" s="1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1.38"/>
    <col customWidth="1" min="3" max="3" width="24.25"/>
    <col customWidth="1" min="4" max="4" width="14.25"/>
    <col customWidth="1" min="5" max="5" width="23.25"/>
    <col customWidth="1" min="6" max="6" width="20.88"/>
    <col customWidth="1" min="7" max="7" width="21.38"/>
    <col customWidth="1" min="8" max="8" width="22.38"/>
    <col customWidth="1" min="9" max="9" width="18.38"/>
    <col customWidth="1" min="10" max="10" width="16.38"/>
    <col customWidth="1" min="11" max="11" width="19.0"/>
    <col customWidth="1" min="12" max="12" width="21.75"/>
  </cols>
  <sheetData>
    <row r="1">
      <c r="A1" s="2" t="s">
        <v>2</v>
      </c>
      <c r="B1" s="1" t="s">
        <v>3</v>
      </c>
      <c r="C1" s="2" t="s">
        <v>21</v>
      </c>
      <c r="D1" s="2" t="s">
        <v>25</v>
      </c>
      <c r="E1" s="2" t="s">
        <v>29</v>
      </c>
      <c r="F1" s="2" t="s">
        <v>31</v>
      </c>
      <c r="G1" s="2" t="s">
        <v>33</v>
      </c>
      <c r="H1" s="2" t="s">
        <v>34</v>
      </c>
      <c r="I1" s="4" t="s">
        <v>35</v>
      </c>
      <c r="J1" s="2" t="s">
        <v>37</v>
      </c>
      <c r="K1" s="2" t="s">
        <v>38</v>
      </c>
      <c r="L1" s="2" t="s">
        <v>39</v>
      </c>
    </row>
    <row r="2">
      <c r="A2" s="7" t="s">
        <v>36</v>
      </c>
      <c r="B2" s="10" t="s">
        <v>40</v>
      </c>
      <c r="C2" s="14">
        <f t="shared" ref="C2:C7" si="1">16.77/1000</f>
        <v>0.01677</v>
      </c>
      <c r="D2" s="16">
        <v>44.0</v>
      </c>
      <c r="E2" s="14">
        <f t="shared" ref="E2:E16" si="2">C2*D2</f>
        <v>0.73788</v>
      </c>
      <c r="F2" s="16">
        <v>0.03</v>
      </c>
      <c r="G2" s="14">
        <f t="shared" ref="G2:G16" si="3">SUM(E2:F2)</f>
        <v>0.76788</v>
      </c>
      <c r="H2" s="16">
        <v>3.87</v>
      </c>
      <c r="I2" s="14">
        <f t="shared" ref="I2:I16" si="4">H2-G2</f>
        <v>3.10212</v>
      </c>
      <c r="J2" s="14">
        <f>104.33*1000</f>
        <v>104330</v>
      </c>
      <c r="K2" s="22">
        <f t="shared" ref="K2:K16" si="5">J2*I2</f>
        <v>323644.1796</v>
      </c>
      <c r="L2" s="22">
        <f t="shared" ref="L2:L16" si="6">K2/1000</f>
        <v>323.6441796</v>
      </c>
      <c r="M2" s="24"/>
    </row>
    <row r="3">
      <c r="A3" s="8" t="s">
        <v>49</v>
      </c>
      <c r="B3" s="26" t="s">
        <v>50</v>
      </c>
      <c r="C3" s="14">
        <f t="shared" si="1"/>
        <v>0.01677</v>
      </c>
      <c r="D3" s="14">
        <v>44.0</v>
      </c>
      <c r="E3" s="14">
        <f t="shared" si="2"/>
        <v>0.73788</v>
      </c>
      <c r="F3" s="16">
        <v>0.03</v>
      </c>
      <c r="G3" s="14">
        <f t="shared" si="3"/>
        <v>0.76788</v>
      </c>
      <c r="H3" s="16">
        <v>3.87</v>
      </c>
      <c r="I3" s="14">
        <f t="shared" si="4"/>
        <v>3.10212</v>
      </c>
      <c r="J3" s="14">
        <f>88.53*1000</f>
        <v>88530</v>
      </c>
      <c r="K3" s="22">
        <f t="shared" si="5"/>
        <v>274630.6836</v>
      </c>
      <c r="L3" s="22">
        <f t="shared" si="6"/>
        <v>274.6306836</v>
      </c>
      <c r="M3" s="24"/>
    </row>
    <row r="4">
      <c r="A4" s="8" t="s">
        <v>62</v>
      </c>
      <c r="B4" s="26" t="s">
        <v>63</v>
      </c>
      <c r="C4" s="14">
        <f t="shared" si="1"/>
        <v>0.01677</v>
      </c>
      <c r="D4" s="14">
        <v>44.0</v>
      </c>
      <c r="E4" s="14">
        <f t="shared" si="2"/>
        <v>0.73788</v>
      </c>
      <c r="F4" s="16">
        <v>0.03</v>
      </c>
      <c r="G4" s="14">
        <f t="shared" si="3"/>
        <v>0.76788</v>
      </c>
      <c r="H4" s="16">
        <v>3.87</v>
      </c>
      <c r="I4" s="14">
        <f t="shared" si="4"/>
        <v>3.10212</v>
      </c>
      <c r="J4" s="14">
        <f>21.883*1000</f>
        <v>21883</v>
      </c>
      <c r="K4" s="22">
        <f t="shared" si="5"/>
        <v>67883.69196</v>
      </c>
      <c r="L4" s="22">
        <f t="shared" si="6"/>
        <v>67.88369196</v>
      </c>
    </row>
    <row r="5">
      <c r="A5" s="8" t="s">
        <v>64</v>
      </c>
      <c r="B5" s="26" t="s">
        <v>65</v>
      </c>
      <c r="C5" s="14">
        <f t="shared" si="1"/>
        <v>0.01677</v>
      </c>
      <c r="D5" s="14">
        <v>44.0</v>
      </c>
      <c r="E5" s="14">
        <f t="shared" si="2"/>
        <v>0.73788</v>
      </c>
      <c r="F5" s="16">
        <v>0.03</v>
      </c>
      <c r="G5" s="14">
        <f t="shared" si="3"/>
        <v>0.76788</v>
      </c>
      <c r="H5" s="16">
        <v>3.87</v>
      </c>
      <c r="I5" s="14">
        <f t="shared" si="4"/>
        <v>3.10212</v>
      </c>
      <c r="J5" s="14">
        <f>66.117*1000</f>
        <v>66117</v>
      </c>
      <c r="K5" s="22">
        <f t="shared" si="5"/>
        <v>205102.868</v>
      </c>
      <c r="L5" s="22">
        <f t="shared" si="6"/>
        <v>205.102868</v>
      </c>
    </row>
    <row r="6">
      <c r="A6" s="8" t="s">
        <v>72</v>
      </c>
      <c r="B6" s="26" t="s">
        <v>73</v>
      </c>
      <c r="C6" s="14">
        <f t="shared" si="1"/>
        <v>0.01677</v>
      </c>
      <c r="D6" s="14">
        <v>44.0</v>
      </c>
      <c r="E6" s="14">
        <f t="shared" si="2"/>
        <v>0.73788</v>
      </c>
      <c r="F6" s="16">
        <v>0.03</v>
      </c>
      <c r="G6" s="14">
        <f t="shared" si="3"/>
        <v>0.76788</v>
      </c>
      <c r="H6" s="16">
        <v>3.87</v>
      </c>
      <c r="I6" s="14">
        <f t="shared" si="4"/>
        <v>3.10212</v>
      </c>
      <c r="J6" s="14">
        <f>111.725*1000</f>
        <v>111725</v>
      </c>
      <c r="K6" s="22">
        <f t="shared" si="5"/>
        <v>346584.357</v>
      </c>
      <c r="L6" s="22">
        <f t="shared" si="6"/>
        <v>346.584357</v>
      </c>
    </row>
    <row r="7">
      <c r="A7" s="8" t="s">
        <v>80</v>
      </c>
      <c r="B7" s="26" t="s">
        <v>82</v>
      </c>
      <c r="C7" s="14">
        <f t="shared" si="1"/>
        <v>0.01677</v>
      </c>
      <c r="D7" s="14">
        <v>44.0</v>
      </c>
      <c r="E7" s="14">
        <f t="shared" si="2"/>
        <v>0.73788</v>
      </c>
      <c r="F7" s="16">
        <v>0.03</v>
      </c>
      <c r="G7" s="14">
        <f t="shared" si="3"/>
        <v>0.76788</v>
      </c>
      <c r="H7" s="16">
        <v>3.87</v>
      </c>
      <c r="I7" s="14">
        <f t="shared" si="4"/>
        <v>3.10212</v>
      </c>
      <c r="J7" s="14">
        <f>21.997*1000</f>
        <v>21997</v>
      </c>
      <c r="K7" s="22">
        <f t="shared" si="5"/>
        <v>68237.33364</v>
      </c>
      <c r="L7" s="22">
        <f t="shared" si="6"/>
        <v>68.23733364</v>
      </c>
    </row>
    <row r="8">
      <c r="A8" s="8" t="s">
        <v>84</v>
      </c>
      <c r="B8" s="26" t="s">
        <v>85</v>
      </c>
      <c r="C8" s="35">
        <f t="shared" ref="C8:C9" si="7">16.8/1000</f>
        <v>0.0168</v>
      </c>
      <c r="D8" s="14">
        <v>44.0</v>
      </c>
      <c r="E8" s="14">
        <f t="shared" si="2"/>
        <v>0.7392</v>
      </c>
      <c r="F8" s="16">
        <v>0.03</v>
      </c>
      <c r="G8" s="14">
        <f t="shared" si="3"/>
        <v>0.7692</v>
      </c>
      <c r="H8" s="16">
        <v>3.87</v>
      </c>
      <c r="I8" s="14">
        <f t="shared" si="4"/>
        <v>3.1008</v>
      </c>
      <c r="J8" s="14">
        <f>66.763*1000</f>
        <v>66763</v>
      </c>
      <c r="K8" s="22">
        <f t="shared" si="5"/>
        <v>207018.7104</v>
      </c>
      <c r="L8" s="22">
        <f t="shared" si="6"/>
        <v>207.0187104</v>
      </c>
    </row>
    <row r="9">
      <c r="A9" s="8" t="s">
        <v>87</v>
      </c>
      <c r="B9" s="26" t="s">
        <v>88</v>
      </c>
      <c r="C9" s="35">
        <f t="shared" si="7"/>
        <v>0.0168</v>
      </c>
      <c r="D9" s="14">
        <v>44.0</v>
      </c>
      <c r="E9" s="14">
        <f t="shared" si="2"/>
        <v>0.7392</v>
      </c>
      <c r="F9" s="16">
        <v>0.03</v>
      </c>
      <c r="G9" s="14">
        <f t="shared" si="3"/>
        <v>0.7692</v>
      </c>
      <c r="H9" s="16">
        <v>3.87</v>
      </c>
      <c r="I9" s="14">
        <f t="shared" si="4"/>
        <v>3.1008</v>
      </c>
      <c r="J9" s="14">
        <f>39.526*1000</f>
        <v>39526</v>
      </c>
      <c r="K9" s="22">
        <f t="shared" si="5"/>
        <v>122562.2208</v>
      </c>
      <c r="L9" s="22">
        <f t="shared" si="6"/>
        <v>122.5622208</v>
      </c>
    </row>
    <row r="10">
      <c r="A10" s="8" t="s">
        <v>92</v>
      </c>
      <c r="B10" s="26" t="s">
        <v>93</v>
      </c>
      <c r="C10" s="14">
        <f t="shared" ref="C10:C11" si="8">16.74/1000</f>
        <v>0.01674</v>
      </c>
      <c r="D10" s="14">
        <v>44.0</v>
      </c>
      <c r="E10" s="14">
        <f t="shared" si="2"/>
        <v>0.73656</v>
      </c>
      <c r="F10" s="16">
        <v>0.03</v>
      </c>
      <c r="G10" s="14">
        <f t="shared" si="3"/>
        <v>0.76656</v>
      </c>
      <c r="H10" s="16">
        <v>3.87</v>
      </c>
      <c r="I10" s="14">
        <f t="shared" si="4"/>
        <v>3.10344</v>
      </c>
      <c r="J10" s="14">
        <f>44.089*1000</f>
        <v>44089</v>
      </c>
      <c r="K10" s="22">
        <f t="shared" si="5"/>
        <v>136827.5662</v>
      </c>
      <c r="L10" s="22">
        <f t="shared" si="6"/>
        <v>136.8275662</v>
      </c>
    </row>
    <row r="11">
      <c r="A11" s="8" t="s">
        <v>97</v>
      </c>
      <c r="B11" s="26" t="s">
        <v>98</v>
      </c>
      <c r="C11" s="14">
        <f t="shared" si="8"/>
        <v>0.01674</v>
      </c>
      <c r="D11" s="14">
        <v>44.0</v>
      </c>
      <c r="E11" s="14">
        <f t="shared" si="2"/>
        <v>0.73656</v>
      </c>
      <c r="F11" s="16">
        <v>0.03</v>
      </c>
      <c r="G11" s="14">
        <f t="shared" si="3"/>
        <v>0.76656</v>
      </c>
      <c r="H11" s="16">
        <v>3.87</v>
      </c>
      <c r="I11" s="14">
        <f t="shared" si="4"/>
        <v>3.10344</v>
      </c>
      <c r="J11" s="14">
        <f>21.927*1000</f>
        <v>21927</v>
      </c>
      <c r="K11" s="22">
        <f t="shared" si="5"/>
        <v>68049.12888</v>
      </c>
      <c r="L11" s="22">
        <f t="shared" si="6"/>
        <v>68.04912888</v>
      </c>
    </row>
    <row r="12">
      <c r="A12" s="8" t="s">
        <v>101</v>
      </c>
      <c r="B12" s="26" t="s">
        <v>102</v>
      </c>
      <c r="C12" s="14">
        <f t="shared" ref="C12:C13" si="9">16.78/1000</f>
        <v>0.01678</v>
      </c>
      <c r="D12" s="14">
        <v>44.0</v>
      </c>
      <c r="E12" s="14">
        <f t="shared" si="2"/>
        <v>0.73832</v>
      </c>
      <c r="F12" s="16">
        <v>0.03</v>
      </c>
      <c r="G12" s="14">
        <f t="shared" si="3"/>
        <v>0.76832</v>
      </c>
      <c r="H12" s="16">
        <v>3.87</v>
      </c>
      <c r="I12" s="14">
        <f t="shared" si="4"/>
        <v>3.10168</v>
      </c>
      <c r="J12" s="14">
        <f>44.205*1000</f>
        <v>44205</v>
      </c>
      <c r="K12" s="22">
        <f t="shared" si="5"/>
        <v>137109.7644</v>
      </c>
      <c r="L12" s="22">
        <f t="shared" si="6"/>
        <v>137.1097644</v>
      </c>
    </row>
    <row r="13">
      <c r="A13" s="8" t="s">
        <v>105</v>
      </c>
      <c r="B13" s="26" t="s">
        <v>106</v>
      </c>
      <c r="C13" s="14">
        <f t="shared" si="9"/>
        <v>0.01678</v>
      </c>
      <c r="D13" s="14">
        <v>44.0</v>
      </c>
      <c r="E13" s="14">
        <f t="shared" si="2"/>
        <v>0.73832</v>
      </c>
      <c r="F13" s="16">
        <v>0.03</v>
      </c>
      <c r="G13" s="14">
        <f t="shared" si="3"/>
        <v>0.76832</v>
      </c>
      <c r="H13" s="16">
        <v>3.87</v>
      </c>
      <c r="I13" s="14">
        <f t="shared" si="4"/>
        <v>3.10168</v>
      </c>
      <c r="J13" s="14">
        <f>22.304*1000</f>
        <v>22304</v>
      </c>
      <c r="K13" s="22">
        <f t="shared" si="5"/>
        <v>69179.87072</v>
      </c>
      <c r="L13" s="22">
        <f t="shared" si="6"/>
        <v>69.17987072</v>
      </c>
    </row>
    <row r="14">
      <c r="A14" s="8" t="s">
        <v>107</v>
      </c>
      <c r="B14" s="26" t="s">
        <v>108</v>
      </c>
      <c r="C14" s="14">
        <f t="shared" ref="C14:C15" si="10">16.77/1000</f>
        <v>0.01677</v>
      </c>
      <c r="D14" s="14">
        <v>44.0</v>
      </c>
      <c r="E14" s="14">
        <f t="shared" si="2"/>
        <v>0.73788</v>
      </c>
      <c r="F14" s="16">
        <v>0.03</v>
      </c>
      <c r="G14" s="14">
        <f t="shared" si="3"/>
        <v>0.76788</v>
      </c>
      <c r="H14" s="16">
        <v>3.87</v>
      </c>
      <c r="I14" s="14">
        <f t="shared" si="4"/>
        <v>3.10212</v>
      </c>
      <c r="J14" s="14">
        <f>22.31*1000</f>
        <v>22310</v>
      </c>
      <c r="K14" s="22">
        <f t="shared" si="5"/>
        <v>69208.2972</v>
      </c>
      <c r="L14" s="22">
        <f t="shared" si="6"/>
        <v>69.2082972</v>
      </c>
    </row>
    <row r="15">
      <c r="A15" s="8" t="s">
        <v>109</v>
      </c>
      <c r="B15" s="26" t="s">
        <v>110</v>
      </c>
      <c r="C15" s="14">
        <f t="shared" si="10"/>
        <v>0.01677</v>
      </c>
      <c r="D15" s="14">
        <v>44.0</v>
      </c>
      <c r="E15" s="14">
        <f t="shared" si="2"/>
        <v>0.73788</v>
      </c>
      <c r="F15" s="16">
        <v>0.03</v>
      </c>
      <c r="G15" s="14">
        <f t="shared" si="3"/>
        <v>0.76788</v>
      </c>
      <c r="H15" s="16">
        <v>3.87</v>
      </c>
      <c r="I15" s="14">
        <f t="shared" si="4"/>
        <v>3.10212</v>
      </c>
      <c r="J15" s="14">
        <f>21.912*1000</f>
        <v>21912</v>
      </c>
      <c r="K15" s="22">
        <f t="shared" si="5"/>
        <v>67973.65344</v>
      </c>
      <c r="L15" s="22">
        <f t="shared" si="6"/>
        <v>67.97365344</v>
      </c>
    </row>
    <row r="16">
      <c r="A16" s="6" t="s">
        <v>111</v>
      </c>
      <c r="B16" s="12" t="s">
        <v>112</v>
      </c>
      <c r="C16" s="19">
        <f>29.68/1000</f>
        <v>0.02968</v>
      </c>
      <c r="D16" s="14">
        <v>44.0</v>
      </c>
      <c r="E16" s="14">
        <f t="shared" si="2"/>
        <v>1.30592</v>
      </c>
      <c r="F16" s="16">
        <v>0.03</v>
      </c>
      <c r="G16" s="14">
        <f t="shared" si="3"/>
        <v>1.33592</v>
      </c>
      <c r="H16" s="16">
        <v>3.87</v>
      </c>
      <c r="I16" s="14">
        <f t="shared" si="4"/>
        <v>2.53408</v>
      </c>
      <c r="J16" s="19">
        <f>48015804.84/44</f>
        <v>1091268.292</v>
      </c>
      <c r="K16" s="22">
        <f t="shared" si="5"/>
        <v>2765361.153</v>
      </c>
      <c r="L16" s="22">
        <f t="shared" si="6"/>
        <v>2765.361153</v>
      </c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</hyperlinks>
  <drawing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2" t="s">
        <v>12</v>
      </c>
      <c r="B1" s="2" t="s">
        <v>18</v>
      </c>
      <c r="C1" s="2" t="s">
        <v>22</v>
      </c>
      <c r="D1" s="2" t="s">
        <v>27</v>
      </c>
      <c r="E1" s="2" t="s">
        <v>30</v>
      </c>
      <c r="F1" s="2" t="s">
        <v>32</v>
      </c>
      <c r="G1" s="1"/>
      <c r="H1" s="1"/>
      <c r="I1" s="1"/>
      <c r="J1" s="1"/>
      <c r="K1" s="1"/>
      <c r="L1" s="3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8" t="s">
        <v>42</v>
      </c>
      <c r="B2" s="9" t="s">
        <v>43</v>
      </c>
      <c r="C2" s="17" t="s">
        <v>41</v>
      </c>
      <c r="D2" s="17" t="s">
        <v>46</v>
      </c>
      <c r="E2" s="21"/>
      <c r="F2" s="8"/>
      <c r="K2" s="15"/>
    </row>
    <row r="3">
      <c r="A3" s="8" t="s">
        <v>52</v>
      </c>
      <c r="B3" s="23" t="s">
        <v>53</v>
      </c>
      <c r="C3" s="17" t="s">
        <v>41</v>
      </c>
      <c r="D3" s="17" t="s">
        <v>46</v>
      </c>
      <c r="E3" s="27" t="s">
        <v>55</v>
      </c>
      <c r="F3" s="28" t="s">
        <v>55</v>
      </c>
      <c r="K3" s="15"/>
    </row>
    <row r="4">
      <c r="A4" s="8" t="s">
        <v>58</v>
      </c>
      <c r="B4" s="9" t="s">
        <v>59</v>
      </c>
      <c r="C4" s="17" t="s">
        <v>60</v>
      </c>
      <c r="D4" s="17" t="s">
        <v>51</v>
      </c>
      <c r="E4" s="32" t="s">
        <v>67</v>
      </c>
      <c r="F4" s="28" t="s">
        <v>68</v>
      </c>
      <c r="H4" s="33"/>
      <c r="K4" s="15"/>
    </row>
    <row r="5">
      <c r="A5" s="8" t="s">
        <v>69</v>
      </c>
      <c r="B5" s="23" t="s">
        <v>70</v>
      </c>
      <c r="C5" s="17" t="s">
        <v>71</v>
      </c>
      <c r="D5" s="17" t="s">
        <v>51</v>
      </c>
      <c r="E5" s="27" t="s">
        <v>74</v>
      </c>
      <c r="F5" s="28" t="s">
        <v>76</v>
      </c>
      <c r="K5" s="15"/>
    </row>
    <row r="6">
      <c r="A6" s="8" t="s">
        <v>77</v>
      </c>
      <c r="B6" s="9" t="s">
        <v>78</v>
      </c>
      <c r="C6" s="17" t="s">
        <v>41</v>
      </c>
      <c r="D6" s="17" t="s">
        <v>51</v>
      </c>
      <c r="E6" s="27" t="s">
        <v>79</v>
      </c>
      <c r="F6" s="28" t="s">
        <v>81</v>
      </c>
      <c r="K6" s="15"/>
    </row>
    <row r="7">
      <c r="K7" s="15"/>
    </row>
    <row r="8">
      <c r="K8" s="15"/>
    </row>
    <row r="9">
      <c r="K9" s="15"/>
    </row>
    <row r="10" ht="15.0" customHeight="1">
      <c r="K10" s="15"/>
    </row>
    <row r="11">
      <c r="K11" s="15"/>
    </row>
    <row r="12">
      <c r="K12" s="15"/>
    </row>
    <row r="13">
      <c r="K13" s="15"/>
    </row>
    <row r="14">
      <c r="K14" s="15"/>
    </row>
    <row r="15">
      <c r="K15" s="15"/>
    </row>
    <row r="17">
      <c r="K17" s="19">
        <f>SUM(K1:K15)</f>
        <v>0</v>
      </c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46.63"/>
    <col customWidth="1" min="3" max="3" width="14.25"/>
    <col customWidth="1" min="4" max="5" width="20.88"/>
    <col customWidth="1" min="6" max="7" width="18.13"/>
    <col customWidth="1" min="8" max="10" width="20.88"/>
  </cols>
  <sheetData>
    <row r="1">
      <c r="A1" s="2"/>
      <c r="B1" s="2"/>
      <c r="C1" s="2"/>
      <c r="D1" s="2"/>
      <c r="E1" s="2"/>
      <c r="F1" s="2"/>
      <c r="G1" s="1"/>
      <c r="H1" s="1"/>
      <c r="I1" s="1"/>
      <c r="J1" s="1"/>
      <c r="K1" s="1"/>
      <c r="L1" s="3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8"/>
      <c r="B2" s="9"/>
      <c r="C2" s="8"/>
      <c r="D2" s="8"/>
      <c r="E2" s="21"/>
      <c r="F2" s="8"/>
      <c r="K2" s="15"/>
    </row>
    <row r="3">
      <c r="A3" s="47" t="s">
        <v>113</v>
      </c>
      <c r="B3" s="23"/>
      <c r="C3" s="8"/>
      <c r="D3" s="8"/>
      <c r="E3" s="27"/>
      <c r="F3" s="28"/>
      <c r="K3" s="15"/>
    </row>
    <row r="4">
      <c r="A4" s="49"/>
      <c r="B4" s="9"/>
      <c r="C4" s="8"/>
      <c r="D4" s="8"/>
      <c r="E4" s="27"/>
      <c r="F4" s="28"/>
      <c r="H4" s="33"/>
      <c r="K4" s="15"/>
    </row>
    <row r="5">
      <c r="A5" s="8"/>
      <c r="B5" s="23"/>
      <c r="C5" s="8"/>
      <c r="D5" s="8"/>
      <c r="E5" s="27"/>
      <c r="F5" s="28"/>
      <c r="K5" s="15"/>
    </row>
    <row r="6">
      <c r="A6" s="47" t="s">
        <v>121</v>
      </c>
      <c r="B6" s="9"/>
      <c r="C6" s="8"/>
      <c r="D6" s="8"/>
      <c r="E6" s="27"/>
      <c r="F6" s="28"/>
      <c r="K6" s="15"/>
    </row>
    <row r="7">
      <c r="A7" s="49"/>
      <c r="K7" s="15"/>
    </row>
    <row r="8">
      <c r="K8" s="15"/>
    </row>
    <row r="9">
      <c r="K9" s="15"/>
    </row>
    <row r="10" ht="15.0" customHeight="1">
      <c r="K10" s="15"/>
    </row>
    <row r="11">
      <c r="K11" s="15"/>
    </row>
    <row r="12">
      <c r="K12" s="15"/>
    </row>
    <row r="13">
      <c r="K13" s="15"/>
    </row>
    <row r="14">
      <c r="K14" s="15"/>
    </row>
    <row r="15">
      <c r="K15" s="15"/>
    </row>
    <row r="17">
      <c r="K17" s="19">
        <f>SUM(K1:K15)</f>
        <v>0</v>
      </c>
    </row>
  </sheetData>
  <hyperlinks>
    <hyperlink r:id="rId1" location="gid=1720683910" ref="A3"/>
    <hyperlink r:id="rId2" location="gid=0" ref="A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1.63"/>
    <col customWidth="1" min="3" max="3" width="21.0"/>
    <col customWidth="1" min="4" max="4" width="30.13"/>
    <col customWidth="1" min="5" max="5" width="49.25"/>
    <col customWidth="1" min="6" max="6" width="28.0"/>
  </cols>
  <sheetData>
    <row r="1">
      <c r="A1" s="48" t="s">
        <v>114</v>
      </c>
      <c r="B1" s="48" t="s">
        <v>115</v>
      </c>
      <c r="C1" s="48" t="s">
        <v>116</v>
      </c>
      <c r="D1" s="48" t="s">
        <v>117</v>
      </c>
      <c r="E1" s="48" t="s">
        <v>118</v>
      </c>
      <c r="F1" s="1" t="s">
        <v>119</v>
      </c>
      <c r="G1" s="48" t="s">
        <v>120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26" t="s">
        <v>122</v>
      </c>
      <c r="B2" s="51">
        <v>45297.0</v>
      </c>
      <c r="C2" s="51">
        <v>45455.0</v>
      </c>
      <c r="D2" s="6">
        <v>204.91</v>
      </c>
      <c r="E2" s="19">
        <f>D2/'BCU AE Breakdown'!I2</f>
        <v>66.05482702</v>
      </c>
      <c r="F2" s="52" t="s">
        <v>36</v>
      </c>
    </row>
    <row r="3">
      <c r="A3" s="26" t="s">
        <v>123</v>
      </c>
      <c r="B3" s="13">
        <v>45633.0</v>
      </c>
      <c r="C3" s="13">
        <v>45688.0</v>
      </c>
      <c r="D3" s="6">
        <v>113.54</v>
      </c>
      <c r="E3" s="53">
        <f>D3/'BCU AE Breakdown'!I2</f>
        <v>36.60077624</v>
      </c>
      <c r="F3" s="52" t="s">
        <v>36</v>
      </c>
    </row>
    <row r="4">
      <c r="A4" s="26" t="s">
        <v>123</v>
      </c>
      <c r="B4" s="13">
        <v>45633.0</v>
      </c>
      <c r="C4" s="13">
        <v>45688.0</v>
      </c>
      <c r="D4" s="6">
        <v>122.48</v>
      </c>
      <c r="E4" s="6">
        <f>D4/'BCU AE Breakdown'!I3</f>
        <v>39.48267636</v>
      </c>
      <c r="F4" s="52" t="s">
        <v>49</v>
      </c>
    </row>
    <row r="5">
      <c r="A5" s="26" t="s">
        <v>123</v>
      </c>
      <c r="B5" s="13">
        <v>45633.0</v>
      </c>
      <c r="C5" s="13">
        <v>45688.0</v>
      </c>
      <c r="D5" s="6">
        <v>24.67</v>
      </c>
      <c r="E5" s="6">
        <f>D5/'BCU AE Breakdown'!I3</f>
        <v>7.952625946</v>
      </c>
      <c r="F5" s="52" t="s">
        <v>49</v>
      </c>
      <c r="G5" s="6" t="s">
        <v>124</v>
      </c>
    </row>
    <row r="6">
      <c r="B6" s="13">
        <v>45689.0</v>
      </c>
      <c r="C6" s="13">
        <v>45747.0</v>
      </c>
      <c r="D6" s="6">
        <v>22.02</v>
      </c>
      <c r="E6" s="19">
        <f>D6/'BCU AE Breakdown'!$I$4</f>
        <v>7.098371436</v>
      </c>
      <c r="F6" s="6" t="s">
        <v>62</v>
      </c>
      <c r="G6" s="6" t="s">
        <v>125</v>
      </c>
    </row>
    <row r="7">
      <c r="B7" s="13">
        <v>45689.0</v>
      </c>
      <c r="C7" s="13">
        <v>45747.0</v>
      </c>
      <c r="D7" s="6">
        <v>26.23</v>
      </c>
      <c r="E7" s="19">
        <f>D7/'BCU AE Breakdown'!$I$4</f>
        <v>8.455507846</v>
      </c>
      <c r="F7" s="6" t="s">
        <v>62</v>
      </c>
      <c r="G7" s="6" t="s">
        <v>126</v>
      </c>
    </row>
    <row r="8">
      <c r="B8" s="13">
        <v>45689.0</v>
      </c>
      <c r="C8" s="13">
        <v>45747.0</v>
      </c>
      <c r="D8" s="6">
        <v>15.7</v>
      </c>
      <c r="E8" s="19">
        <f>D8/'BCU AE Breakdown'!$I$4</f>
        <v>5.06105502</v>
      </c>
      <c r="F8" s="6" t="s">
        <v>62</v>
      </c>
      <c r="G8" s="6" t="s">
        <v>127</v>
      </c>
    </row>
    <row r="9">
      <c r="B9" s="13">
        <v>45689.0</v>
      </c>
      <c r="C9" s="13">
        <v>45747.0</v>
      </c>
      <c r="D9" s="15">
        <v>205.10286804</v>
      </c>
      <c r="E9" s="19">
        <f>D9/'BCU AE Breakdown'!$I$5</f>
        <v>66.117</v>
      </c>
      <c r="F9" s="6" t="s">
        <v>64</v>
      </c>
      <c r="G9" s="6" t="s">
        <v>128</v>
      </c>
    </row>
    <row r="10">
      <c r="B10" s="13">
        <v>45689.0</v>
      </c>
      <c r="C10" s="13">
        <v>45747.0</v>
      </c>
      <c r="D10" s="20">
        <f>224.492-D9</f>
        <v>19.38913196</v>
      </c>
      <c r="E10" s="19">
        <f>D10/'BCU AE Breakdown'!$I$6</f>
        <v>6.250284309</v>
      </c>
      <c r="F10" s="6" t="s">
        <v>72</v>
      </c>
      <c r="G10" s="6" t="s">
        <v>128</v>
      </c>
    </row>
    <row r="11">
      <c r="B11" s="29">
        <v>45748.0</v>
      </c>
      <c r="C11" s="29">
        <v>45808.0</v>
      </c>
      <c r="D11" s="6">
        <v>228.562</v>
      </c>
      <c r="E11" s="19">
        <f>D11/'BCU AE Breakdown'!$I$6</f>
        <v>73.67929029</v>
      </c>
      <c r="F11" s="6" t="s">
        <v>72</v>
      </c>
      <c r="G11" s="6" t="s">
        <v>128</v>
      </c>
    </row>
    <row r="12">
      <c r="B12" s="29">
        <v>45748.0</v>
      </c>
      <c r="C12" s="29">
        <v>45808.0</v>
      </c>
      <c r="D12" s="6">
        <v>17.17</v>
      </c>
      <c r="E12" s="19">
        <f>D12/'BCU AE Breakdown'!$I$6</f>
        <v>5.534924503</v>
      </c>
      <c r="F12" s="6" t="s">
        <v>72</v>
      </c>
      <c r="G12" s="6" t="s">
        <v>132</v>
      </c>
    </row>
    <row r="13">
      <c r="B13" s="54">
        <v>45748.0</v>
      </c>
      <c r="C13" s="54">
        <v>45808.0</v>
      </c>
      <c r="D13" s="6">
        <v>8.42</v>
      </c>
      <c r="E13" s="19">
        <f>D13/'BCU AE Breakdown'!$I$6</f>
        <v>2.71427282</v>
      </c>
      <c r="F13" s="6" t="s">
        <v>72</v>
      </c>
      <c r="G13" s="6" t="s">
        <v>133</v>
      </c>
    </row>
    <row r="14">
      <c r="B14" s="29">
        <v>45809.0</v>
      </c>
      <c r="C14" s="29">
        <v>45869.0</v>
      </c>
      <c r="D14" s="19">
        <v>130.59599999999998</v>
      </c>
      <c r="E14" s="19">
        <f>D14/'BCU AE Breakdown'!I8</f>
        <v>42.11687307</v>
      </c>
      <c r="F14" s="6" t="s">
        <v>84</v>
      </c>
      <c r="G14" s="6" t="s">
        <v>128</v>
      </c>
    </row>
    <row r="15">
      <c r="B15" s="29">
        <v>45809.0</v>
      </c>
      <c r="C15" s="29">
        <v>45869.0</v>
      </c>
      <c r="D15" s="19">
        <v>59.759</v>
      </c>
      <c r="E15" s="19">
        <f>D15/'BCU AE Breakdown'!I7</f>
        <v>19.26392274</v>
      </c>
      <c r="F15" s="6" t="s">
        <v>80</v>
      </c>
      <c r="G15" s="6" t="s">
        <v>128</v>
      </c>
    </row>
    <row r="16">
      <c r="B16" s="29">
        <v>45809.0</v>
      </c>
      <c r="C16" s="29">
        <v>45869.0</v>
      </c>
      <c r="D16" s="20">
        <v>5.194179600000041</v>
      </c>
      <c r="E16" s="19">
        <f>D16/'BCU AE Breakdown'!I2</f>
        <v>1.674396735</v>
      </c>
      <c r="F16" s="6" t="s">
        <v>36</v>
      </c>
      <c r="G16" s="6" t="s">
        <v>137</v>
      </c>
    </row>
    <row r="17">
      <c r="B17" s="29">
        <v>45809.0</v>
      </c>
      <c r="C17" s="29">
        <v>45869.0</v>
      </c>
      <c r="D17" s="20">
        <v>3.9336919600000044</v>
      </c>
      <c r="E17" s="19">
        <f>D17/'BCU AE Breakdown'!I4</f>
        <v>1.268065697</v>
      </c>
      <c r="F17" s="6" t="s">
        <v>62</v>
      </c>
      <c r="G17" s="6" t="s">
        <v>137</v>
      </c>
    </row>
    <row r="18">
      <c r="B18" s="29">
        <v>45809.0</v>
      </c>
      <c r="C18" s="29">
        <v>45869.0</v>
      </c>
      <c r="D18" s="20">
        <v>8.478333640000017</v>
      </c>
      <c r="E18" s="19">
        <f>D18/'BCU AE Breakdown'!I7</f>
        <v>2.733077263</v>
      </c>
      <c r="F18" s="6" t="s">
        <v>80</v>
      </c>
      <c r="G18" s="6" t="s">
        <v>137</v>
      </c>
    </row>
    <row r="19">
      <c r="B19" s="29">
        <v>45809.0</v>
      </c>
      <c r="C19" s="29">
        <v>45869.0</v>
      </c>
      <c r="D19" s="20">
        <v>6.693794799999939</v>
      </c>
      <c r="E19" s="19">
        <f>D19/'BCU AE Breakdown'!$I$3</f>
        <v>2.15781298</v>
      </c>
      <c r="F19" s="6" t="s">
        <v>49</v>
      </c>
      <c r="G19" s="6" t="s">
        <v>137</v>
      </c>
    </row>
    <row r="20">
      <c r="B20" s="29">
        <v>45809.0</v>
      </c>
      <c r="C20" s="29">
        <v>45869.0</v>
      </c>
      <c r="D20" s="6">
        <v>36.5</v>
      </c>
      <c r="E20" s="19">
        <f>D20/'BCU AE Breakdown'!$I$3</f>
        <v>11.76614702</v>
      </c>
      <c r="F20" s="6" t="s">
        <v>49</v>
      </c>
      <c r="G20" s="6" t="s">
        <v>141</v>
      </c>
    </row>
    <row r="21">
      <c r="B21" s="29">
        <v>45870.0</v>
      </c>
      <c r="C21" s="29">
        <v>45884.0</v>
      </c>
      <c r="D21" s="6">
        <v>34.992</v>
      </c>
      <c r="E21" s="19">
        <f>D21/'BCU AE Breakdown'!$I$3</f>
        <v>11.28002785</v>
      </c>
      <c r="F21" s="6" t="s">
        <v>49</v>
      </c>
      <c r="G21" s="6" t="s">
        <v>128</v>
      </c>
    </row>
    <row r="22">
      <c r="B22" s="34">
        <v>45885.0</v>
      </c>
      <c r="C22" s="29">
        <v>45908.0</v>
      </c>
      <c r="D22" s="20">
        <v>49.29488880000011</v>
      </c>
      <c r="E22" s="19">
        <f>D22/'BCU AE Breakdown'!$I$3</f>
        <v>15.89070984</v>
      </c>
      <c r="F22" s="6" t="s">
        <v>49</v>
      </c>
      <c r="G22" s="6" t="s">
        <v>128</v>
      </c>
    </row>
    <row r="23">
      <c r="B23" s="34">
        <v>45885.0</v>
      </c>
      <c r="C23" s="29">
        <v>45908.0</v>
      </c>
      <c r="D23" s="20">
        <v>73.04322503999998</v>
      </c>
      <c r="E23" s="19">
        <f>D23/'BCU AE Breakdown'!$I$6</f>
        <v>23.54622808</v>
      </c>
      <c r="F23" s="6" t="s">
        <v>72</v>
      </c>
      <c r="G23" s="6" t="s">
        <v>128</v>
      </c>
    </row>
    <row r="24">
      <c r="B24" s="34">
        <v>45885.0</v>
      </c>
      <c r="C24" s="29">
        <v>45908.0</v>
      </c>
      <c r="D24" s="20">
        <f>145.083-SUM(D22:D23)</f>
        <v>22.74488616</v>
      </c>
      <c r="E24" s="19">
        <f>D24/'BCU AE Breakdown'!$I$8</f>
        <v>7.335167105</v>
      </c>
      <c r="F24" s="6" t="s">
        <v>84</v>
      </c>
      <c r="G24" s="6" t="s">
        <v>128</v>
      </c>
    </row>
    <row r="25">
      <c r="B25" s="34">
        <v>45885.0</v>
      </c>
      <c r="C25" s="29">
        <v>45908.0</v>
      </c>
      <c r="D25" s="6">
        <f>round(24.81538993,3)</f>
        <v>24.815</v>
      </c>
      <c r="E25" s="19">
        <f>D25/'BCU AE Breakdown'!$I$8</f>
        <v>8.002773478</v>
      </c>
      <c r="F25" s="6" t="s">
        <v>84</v>
      </c>
      <c r="G25" s="6" t="s">
        <v>147</v>
      </c>
    </row>
    <row r="26">
      <c r="B26" s="29">
        <v>45909.0</v>
      </c>
      <c r="C26" s="29">
        <v>45930.0</v>
      </c>
      <c r="D26" s="6">
        <v>28.862</v>
      </c>
      <c r="E26" s="19">
        <f>D26/'BCU AE Breakdown'!$I$8</f>
        <v>9.307920537</v>
      </c>
      <c r="F26" s="6" t="s">
        <v>84</v>
      </c>
      <c r="G26" s="6" t="s">
        <v>128</v>
      </c>
    </row>
    <row r="27">
      <c r="B27" s="29">
        <v>45909.0</v>
      </c>
      <c r="C27" s="29">
        <v>45930.0</v>
      </c>
      <c r="D27" s="6">
        <f>79.161-D26</f>
        <v>50.299</v>
      </c>
      <c r="E27" s="19">
        <f>D27/'BCU AE Breakdown'!$I$9</f>
        <v>16.22129773</v>
      </c>
      <c r="F27" s="6" t="s">
        <v>87</v>
      </c>
      <c r="G27" s="6" t="s">
        <v>128</v>
      </c>
    </row>
    <row r="28">
      <c r="B28" s="29">
        <v>45909.0</v>
      </c>
      <c r="C28" s="29">
        <v>45930.0</v>
      </c>
      <c r="D28" s="6">
        <v>5.34</v>
      </c>
      <c r="E28" s="19">
        <f>D28/'BCU AE Breakdown'!$I$9</f>
        <v>1.722136223</v>
      </c>
      <c r="F28" s="6" t="s">
        <v>87</v>
      </c>
      <c r="G28" s="6" t="s">
        <v>150</v>
      </c>
    </row>
    <row r="29">
      <c r="B29" s="29">
        <v>45931.0</v>
      </c>
      <c r="C29" s="29">
        <v>45967.0</v>
      </c>
      <c r="D29" s="6">
        <f>round(16.85547791,2)</f>
        <v>16.86</v>
      </c>
      <c r="E29" s="19">
        <f>D29/'BCU AE Breakdown'!$I$9</f>
        <v>5.437306502</v>
      </c>
      <c r="F29" s="6" t="s">
        <v>87</v>
      </c>
      <c r="G29" s="6" t="s">
        <v>152</v>
      </c>
    </row>
    <row r="30">
      <c r="B30" s="29">
        <v>45931.0</v>
      </c>
      <c r="C30" s="29">
        <v>45967.0</v>
      </c>
      <c r="D30" s="6">
        <v>50.06</v>
      </c>
      <c r="E30" s="19">
        <f>D30/'BCU AE Breakdown'!$I$9</f>
        <v>16.14422085</v>
      </c>
      <c r="F30" s="6" t="s">
        <v>87</v>
      </c>
      <c r="G30" s="6" t="s">
        <v>128</v>
      </c>
    </row>
    <row r="31">
      <c r="B31" s="29">
        <v>45931.0</v>
      </c>
      <c r="C31" s="29">
        <v>45967.0</v>
      </c>
      <c r="D31" s="6">
        <v>70.429</v>
      </c>
      <c r="E31" s="19">
        <f>D31/'BCU AE Breakdown'!$I$10</f>
        <v>22.69384941</v>
      </c>
      <c r="F31" s="6" t="s">
        <v>92</v>
      </c>
      <c r="G31" s="6" t="s">
        <v>128</v>
      </c>
    </row>
    <row r="32">
      <c r="B32" s="29">
        <v>45763.0</v>
      </c>
      <c r="C32" s="29">
        <v>45929.0</v>
      </c>
      <c r="D32" s="6">
        <v>6.939</v>
      </c>
      <c r="E32" s="19">
        <f>D32/'BCU AE Breakdown'!$I$10</f>
        <v>2.235905962</v>
      </c>
      <c r="F32" s="6" t="s">
        <v>92</v>
      </c>
      <c r="G32" s="6" t="s">
        <v>154</v>
      </c>
    </row>
    <row r="33">
      <c r="B33" s="29">
        <v>45968.0</v>
      </c>
      <c r="C33" s="29">
        <v>46053.0</v>
      </c>
      <c r="D33" s="6">
        <v>54.305</v>
      </c>
      <c r="E33" s="19">
        <f>D33/'BCU AE Breakdown'!$I$10</f>
        <v>17.49832444</v>
      </c>
      <c r="F33" s="6" t="s">
        <v>92</v>
      </c>
      <c r="G33" s="6" t="s">
        <v>128</v>
      </c>
    </row>
    <row r="34">
      <c r="B34" s="29">
        <v>45689.0</v>
      </c>
      <c r="C34" s="29">
        <v>45718.0</v>
      </c>
      <c r="D34" s="20">
        <v>5.154566159999973</v>
      </c>
      <c r="E34" s="19">
        <f>D34/'BCU AE Breakdown'!$I$10</f>
        <v>1.660920192</v>
      </c>
      <c r="F34" s="6" t="s">
        <v>92</v>
      </c>
      <c r="G34" s="6" t="s">
        <v>128</v>
      </c>
    </row>
    <row r="35">
      <c r="B35" s="29">
        <v>45689.0</v>
      </c>
      <c r="C35" s="29">
        <v>45718.0</v>
      </c>
      <c r="D35" s="20">
        <v>68.04912888</v>
      </c>
      <c r="E35" s="19">
        <f>D35/'BCU AE Breakdown'!$I$11</f>
        <v>21.927</v>
      </c>
      <c r="F35" s="6" t="s">
        <v>97</v>
      </c>
      <c r="G35" s="6" t="s">
        <v>128</v>
      </c>
    </row>
    <row r="36">
      <c r="B36" s="29">
        <v>45689.0</v>
      </c>
      <c r="C36" s="29">
        <v>45718.0</v>
      </c>
      <c r="D36" s="20">
        <f>126.542-D34-D35</f>
        <v>53.33830496</v>
      </c>
      <c r="E36" s="19">
        <f>D36/'BCU AE Breakdown'!$I$12</f>
        <v>17.19658539</v>
      </c>
      <c r="F36" s="6" t="s">
        <v>101</v>
      </c>
      <c r="G36" s="6" t="s">
        <v>128</v>
      </c>
    </row>
    <row r="37">
      <c r="B37" s="29">
        <v>46084.0</v>
      </c>
      <c r="C37" s="29">
        <v>46112.0</v>
      </c>
      <c r="D37" s="6">
        <f>round(83.77146,2)</f>
        <v>83.77</v>
      </c>
      <c r="E37" s="19">
        <f>D37/'BCU AE Breakdown'!$I$12</f>
        <v>27.00794408</v>
      </c>
      <c r="F37" s="6" t="s">
        <v>101</v>
      </c>
      <c r="G37" s="6" t="s">
        <v>161</v>
      </c>
    </row>
    <row r="38">
      <c r="B38" s="29">
        <v>46084.0</v>
      </c>
      <c r="C38" s="29">
        <v>46112.0</v>
      </c>
      <c r="D38" s="6">
        <f>round(52.6,2)</f>
        <v>52.6</v>
      </c>
      <c r="E38" s="19">
        <f>D38/'BCU AE Breakdown'!$I$12</f>
        <v>16.95855149</v>
      </c>
      <c r="F38" s="6" t="s">
        <v>105</v>
      </c>
      <c r="G38" s="6" t="s">
        <v>161</v>
      </c>
    </row>
    <row r="39">
      <c r="B39" s="13">
        <v>46113.0</v>
      </c>
      <c r="C39" s="13">
        <v>46142.0</v>
      </c>
      <c r="D39" s="6">
        <v>62.261</v>
      </c>
      <c r="E39" s="19">
        <f>D39/'BCU AE Breakdown'!$I$12</f>
        <v>20.07331511</v>
      </c>
      <c r="F39" s="6" t="s">
        <v>107</v>
      </c>
      <c r="G39" s="6" t="s">
        <v>164</v>
      </c>
    </row>
    <row r="40">
      <c r="B40" s="13">
        <v>45962.0</v>
      </c>
      <c r="C40" s="13">
        <v>45991.0</v>
      </c>
      <c r="D40" s="58">
        <v>16.57987</v>
      </c>
      <c r="E40" s="19">
        <f>D40/'BCU AE Breakdown'!$I$12</f>
        <v>5.345448273</v>
      </c>
      <c r="F40" s="6" t="s">
        <v>105</v>
      </c>
      <c r="G40" s="6" t="s">
        <v>165</v>
      </c>
    </row>
    <row r="41">
      <c r="B41" s="13">
        <v>45962.0</v>
      </c>
      <c r="C41" s="13">
        <v>45991.0</v>
      </c>
      <c r="D41" s="58">
        <v>2.46613</v>
      </c>
      <c r="E41" s="19">
        <f>D41/'BCU AE Breakdown'!$I$12</f>
        <v>0.7950949163</v>
      </c>
      <c r="F41" s="6" t="s">
        <v>107</v>
      </c>
      <c r="G41" s="6" t="s">
        <v>165</v>
      </c>
    </row>
    <row r="42">
      <c r="B42" s="13">
        <v>45992.0</v>
      </c>
      <c r="C42" s="13">
        <v>46022.0</v>
      </c>
      <c r="D42" s="6">
        <v>4.48117</v>
      </c>
      <c r="E42" s="19">
        <f>D42/'BCU AE Breakdown'!$I$12</f>
        <v>1.444755745</v>
      </c>
      <c r="F42" s="6" t="s">
        <v>107</v>
      </c>
      <c r="G42" s="6" t="s">
        <v>166</v>
      </c>
    </row>
    <row r="43">
      <c r="B43" s="13">
        <v>45992.0</v>
      </c>
      <c r="C43" s="13">
        <v>46022.0</v>
      </c>
      <c r="D43" s="6">
        <v>17.65183</v>
      </c>
      <c r="E43" s="19">
        <f>D43/'BCU AE Breakdown'!$I$12</f>
        <v>5.691054525</v>
      </c>
      <c r="F43" s="6" t="s">
        <v>109</v>
      </c>
      <c r="G43" s="6" t="s">
        <v>166</v>
      </c>
    </row>
    <row r="44">
      <c r="B44" s="13">
        <v>46143.0</v>
      </c>
      <c r="C44" s="13">
        <v>46173.0</v>
      </c>
      <c r="D44" s="58">
        <v>50.32182</v>
      </c>
      <c r="E44" s="19">
        <f>D44/'BCU AE Breakdown'!$I$15</f>
        <v>16.22175158</v>
      </c>
      <c r="F44" s="6" t="s">
        <v>109</v>
      </c>
      <c r="G44" s="6" t="s">
        <v>167</v>
      </c>
    </row>
    <row r="45">
      <c r="B45" s="13">
        <v>46143.0</v>
      </c>
      <c r="C45" s="13">
        <v>46173.0</v>
      </c>
      <c r="D45" s="58">
        <v>0.43299</v>
      </c>
      <c r="E45" s="19">
        <f>D45/'BCU AE Breakdown'!$I$16</f>
        <v>0.1708667445</v>
      </c>
      <c r="F45" s="6" t="s">
        <v>111</v>
      </c>
      <c r="G45" s="6" t="s">
        <v>167</v>
      </c>
    </row>
    <row r="46">
      <c r="B46" s="29">
        <v>46174.0</v>
      </c>
      <c r="C46" s="29">
        <v>46203.0</v>
      </c>
      <c r="D46" s="58">
        <v>57.054</v>
      </c>
      <c r="E46" s="19">
        <f>D46/'BCU AE Breakdown'!$I$16</f>
        <v>22.51467988</v>
      </c>
      <c r="F46" s="6" t="s">
        <v>111</v>
      </c>
      <c r="G46" s="6" t="s">
        <v>168</v>
      </c>
    </row>
    <row r="47">
      <c r="B47" s="11">
        <v>46023.0</v>
      </c>
      <c r="C47" s="11">
        <v>46053.0</v>
      </c>
      <c r="D47" s="58">
        <v>21.20065311383944</v>
      </c>
      <c r="E47" s="19">
        <f>D47/'BCU AE Breakdown'!$I$16</f>
        <v>8.36621303</v>
      </c>
      <c r="F47" s="6" t="s">
        <v>111</v>
      </c>
      <c r="G47" s="6" t="s">
        <v>169</v>
      </c>
    </row>
    <row r="48">
      <c r="B48" s="11">
        <v>46082.0</v>
      </c>
      <c r="C48" s="11">
        <v>46112.0</v>
      </c>
      <c r="D48" s="58">
        <v>13.45420509229613</v>
      </c>
      <c r="E48" s="19">
        <f>D48/'BCU AE Breakdown'!$I$16</f>
        <v>5.309305583</v>
      </c>
      <c r="F48" s="6" t="s">
        <v>111</v>
      </c>
      <c r="G48" s="6" t="s">
        <v>170</v>
      </c>
    </row>
    <row r="49">
      <c r="B49" s="11">
        <v>46113.0</v>
      </c>
      <c r="C49" s="11">
        <v>46142.0</v>
      </c>
      <c r="D49" s="58">
        <v>6.735073317333249</v>
      </c>
      <c r="E49" s="19">
        <f>D49/'BCU AE Breakdown'!$I$16</f>
        <v>2.657798222</v>
      </c>
      <c r="F49" s="6" t="s">
        <v>111</v>
      </c>
      <c r="G49" s="6" t="s">
        <v>171</v>
      </c>
    </row>
    <row r="50">
      <c r="B50" s="11">
        <v>46295.0</v>
      </c>
      <c r="C50" s="11">
        <v>46179.0</v>
      </c>
      <c r="D50" s="58">
        <v>1.89328</v>
      </c>
      <c r="E50" s="19">
        <f>D50/2.53408</f>
        <v>0.7471271625</v>
      </c>
      <c r="F50" s="6" t="s">
        <v>111</v>
      </c>
      <c r="G50" s="6" t="s">
        <v>172</v>
      </c>
    </row>
    <row r="51">
      <c r="B51" s="13">
        <v>46054.0</v>
      </c>
      <c r="C51" s="13">
        <v>46081.0</v>
      </c>
      <c r="D51" s="58">
        <v>14.302907771632153</v>
      </c>
      <c r="E51" s="19">
        <f>D51/'BCU AE Breakdown'!$I$16</f>
        <v>5.644221087</v>
      </c>
      <c r="F51" s="6" t="s">
        <v>111</v>
      </c>
      <c r="G51" s="6" t="s">
        <v>173</v>
      </c>
    </row>
    <row r="52">
      <c r="B52" s="29">
        <v>46204.0</v>
      </c>
      <c r="C52" s="29">
        <v>46234.0</v>
      </c>
      <c r="D52" s="59">
        <v>75.0</v>
      </c>
      <c r="E52" s="19">
        <f>D52/'BCU AE Breakdown'!$I$16</f>
        <v>29.59653997</v>
      </c>
      <c r="F52" s="6" t="s">
        <v>111</v>
      </c>
      <c r="G52" s="6" t="s">
        <v>174</v>
      </c>
    </row>
    <row r="53">
      <c r="B53" s="29">
        <v>46143.0</v>
      </c>
      <c r="C53" s="29">
        <v>46173.0</v>
      </c>
      <c r="D53" s="60">
        <v>8.3993</v>
      </c>
      <c r="E53" s="19">
        <f>D53/'BCU AE Breakdown'!$I$16</f>
        <v>3.314536242</v>
      </c>
      <c r="F53" s="6" t="s">
        <v>111</v>
      </c>
      <c r="G53" s="6" t="s">
        <v>175</v>
      </c>
    </row>
    <row r="54">
      <c r="B54" s="29">
        <v>46174.0</v>
      </c>
      <c r="C54" s="29">
        <v>46203.0</v>
      </c>
      <c r="D54" s="6">
        <v>5.1763</v>
      </c>
      <c r="E54" s="19">
        <f>D54/'BCU AE Breakdown'!$I$16</f>
        <v>2.042674264</v>
      </c>
      <c r="F54" s="6" t="s">
        <v>111</v>
      </c>
      <c r="G54" s="6" t="s">
        <v>176</v>
      </c>
    </row>
    <row r="55">
      <c r="B55" s="13">
        <v>46235.0</v>
      </c>
      <c r="C55" s="13">
        <v>46265.0</v>
      </c>
      <c r="D55" s="58">
        <f>15.828+11.007+15.823+3.255+31.425+6.353+1.364+5.764+19.808+7.125+3.416+13.624+76.4867</f>
        <v>211.2787</v>
      </c>
      <c r="E55" s="19">
        <f>D55/'BCU AE Breakdown'!$I$16</f>
        <v>83.37491318</v>
      </c>
      <c r="F55" s="6" t="s">
        <v>111</v>
      </c>
      <c r="G55" s="6" t="s">
        <v>177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3" width="21.63"/>
    <col customWidth="1" min="4" max="4" width="21.0"/>
    <col customWidth="1" min="5" max="5" width="49.25"/>
    <col customWidth="1" min="6" max="6" width="22.63"/>
  </cols>
  <sheetData>
    <row r="1">
      <c r="A1" s="48" t="s">
        <v>114</v>
      </c>
      <c r="B1" s="48" t="s">
        <v>129</v>
      </c>
      <c r="C1" s="48" t="s">
        <v>115</v>
      </c>
      <c r="D1" s="48" t="s">
        <v>116</v>
      </c>
      <c r="E1" s="48" t="s">
        <v>130</v>
      </c>
      <c r="F1" s="1" t="s">
        <v>131</v>
      </c>
      <c r="G1" s="48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26" t="s">
        <v>123</v>
      </c>
      <c r="B2" s="6" t="s">
        <v>134</v>
      </c>
      <c r="C2" s="55">
        <v>45633.0</v>
      </c>
      <c r="D2" s="55">
        <v>45688.0</v>
      </c>
      <c r="E2" s="6">
        <v>70.85819</v>
      </c>
      <c r="F2" s="6">
        <v>22289.0</v>
      </c>
    </row>
    <row r="3">
      <c r="A3" s="26" t="s">
        <v>123</v>
      </c>
      <c r="B3" s="6" t="s">
        <v>135</v>
      </c>
      <c r="C3" s="55">
        <v>45633.0</v>
      </c>
      <c r="D3" s="55">
        <v>45688.0</v>
      </c>
      <c r="E3" s="6">
        <v>94.948</v>
      </c>
      <c r="F3" s="6">
        <v>47906.0</v>
      </c>
    </row>
    <row r="4">
      <c r="B4" s="6" t="s">
        <v>136</v>
      </c>
      <c r="C4" s="13">
        <v>45689.0</v>
      </c>
      <c r="D4" s="13">
        <v>45747.0</v>
      </c>
      <c r="E4" s="6">
        <f>76540.56/1000</f>
        <v>76.54056</v>
      </c>
      <c r="F4" s="6">
        <v>22289.0</v>
      </c>
    </row>
    <row r="5">
      <c r="B5" s="6" t="s">
        <v>138</v>
      </c>
      <c r="C5" s="13">
        <v>45689.0</v>
      </c>
      <c r="D5" s="13">
        <v>45747.0</v>
      </c>
      <c r="E5" s="19">
        <f>36893.15/1000</f>
        <v>36.89315</v>
      </c>
      <c r="F5" s="6">
        <v>22289.0</v>
      </c>
    </row>
    <row r="6">
      <c r="B6" s="6" t="s">
        <v>139</v>
      </c>
      <c r="C6" s="13">
        <v>45689.0</v>
      </c>
      <c r="D6" s="13">
        <v>45747.0</v>
      </c>
      <c r="E6" s="19">
        <f>45850.69/1000</f>
        <v>45.85069</v>
      </c>
      <c r="F6" s="6">
        <v>22289.0</v>
      </c>
    </row>
    <row r="7">
      <c r="B7" s="6" t="s">
        <v>140</v>
      </c>
      <c r="C7" s="13">
        <v>45689.0</v>
      </c>
      <c r="D7" s="13">
        <v>45747.0</v>
      </c>
      <c r="E7" s="19">
        <f>98885.92/1000</f>
        <v>98.88592</v>
      </c>
      <c r="F7" s="6">
        <v>47906.0</v>
      </c>
    </row>
    <row r="8">
      <c r="B8" s="6" t="s">
        <v>142</v>
      </c>
      <c r="C8" s="13">
        <v>45689.0</v>
      </c>
      <c r="D8" s="13">
        <v>45747.0</v>
      </c>
      <c r="E8" s="19">
        <f>1213/1000</f>
        <v>1.213</v>
      </c>
      <c r="F8" s="6">
        <v>47906.0</v>
      </c>
    </row>
    <row r="9">
      <c r="B9" s="6" t="s">
        <v>143</v>
      </c>
      <c r="C9" s="29">
        <v>45748.0</v>
      </c>
      <c r="D9" s="29">
        <v>45808.0</v>
      </c>
      <c r="E9" s="19">
        <f>56352.7/1000</f>
        <v>56.3527</v>
      </c>
      <c r="F9" s="6">
        <v>22289.0</v>
      </c>
    </row>
    <row r="10">
      <c r="B10" s="6" t="s">
        <v>144</v>
      </c>
      <c r="C10" s="29">
        <v>45748.0</v>
      </c>
      <c r="D10" s="29">
        <v>45808.0</v>
      </c>
      <c r="E10" s="19">
        <f>45185.05/1000</f>
        <v>45.18505</v>
      </c>
      <c r="F10" s="6">
        <v>10916.0</v>
      </c>
    </row>
    <row r="11">
      <c r="B11" s="6" t="s">
        <v>140</v>
      </c>
      <c r="C11" s="29">
        <v>45748.0</v>
      </c>
      <c r="D11" s="29">
        <v>45808.0</v>
      </c>
      <c r="E11" s="6">
        <f>50842/1000</f>
        <v>50.842</v>
      </c>
      <c r="F11" s="6">
        <v>47906.0</v>
      </c>
    </row>
    <row r="12">
      <c r="B12" s="6" t="s">
        <v>142</v>
      </c>
      <c r="C12" s="29">
        <v>45748.0</v>
      </c>
      <c r="D12" s="29">
        <v>45808.0</v>
      </c>
      <c r="E12" s="19">
        <f>4111/1000</f>
        <v>4.111</v>
      </c>
      <c r="F12" s="6">
        <v>47906.0</v>
      </c>
    </row>
    <row r="13">
      <c r="B13" s="6" t="s">
        <v>145</v>
      </c>
      <c r="C13" s="29">
        <v>45809.0</v>
      </c>
      <c r="D13" s="29">
        <v>45869.0</v>
      </c>
      <c r="E13" s="19">
        <f>43444.3/1000</f>
        <v>43.4443</v>
      </c>
      <c r="F13" s="6">
        <v>10916.0</v>
      </c>
    </row>
    <row r="14">
      <c r="B14" s="6" t="s">
        <v>146</v>
      </c>
      <c r="C14" s="29">
        <v>45809.0</v>
      </c>
      <c r="D14" s="29">
        <v>45869.0</v>
      </c>
      <c r="E14" s="19">
        <f>50821.57/1000</f>
        <v>50.82157</v>
      </c>
      <c r="F14" s="6">
        <v>11906.0</v>
      </c>
    </row>
    <row r="15">
      <c r="B15" s="6" t="s">
        <v>140</v>
      </c>
      <c r="C15" s="29">
        <v>45809.0</v>
      </c>
      <c r="D15" s="29">
        <v>45869.0</v>
      </c>
      <c r="E15" s="19">
        <f>77084.34/1000</f>
        <v>77.08434</v>
      </c>
      <c r="F15" s="6">
        <v>49437.0</v>
      </c>
    </row>
    <row r="16">
      <c r="B16" s="6" t="s">
        <v>142</v>
      </c>
      <c r="C16" s="29">
        <v>45809.0</v>
      </c>
      <c r="D16" s="29">
        <v>45869.0</v>
      </c>
      <c r="E16" s="19">
        <f>3161.5/1000</f>
        <v>3.1615</v>
      </c>
      <c r="F16" s="6">
        <v>49437.0</v>
      </c>
    </row>
    <row r="17">
      <c r="B17" s="6" t="s">
        <v>140</v>
      </c>
      <c r="C17" s="29">
        <v>45870.0</v>
      </c>
      <c r="D17" s="29">
        <v>45884.0</v>
      </c>
      <c r="E17" s="19">
        <f>17842.92/1000</f>
        <v>17.84292</v>
      </c>
      <c r="F17" s="6">
        <v>49437.0</v>
      </c>
    </row>
    <row r="18">
      <c r="B18" s="6" t="s">
        <v>148</v>
      </c>
      <c r="C18" s="29">
        <v>45885.0</v>
      </c>
      <c r="D18" s="29">
        <v>45908.0</v>
      </c>
      <c r="E18" s="6">
        <f>45947.77/1000</f>
        <v>45.94777</v>
      </c>
      <c r="F18" s="6">
        <v>11906.0</v>
      </c>
    </row>
    <row r="19">
      <c r="B19" s="6" t="s">
        <v>140</v>
      </c>
      <c r="C19" s="29">
        <v>45885.0</v>
      </c>
      <c r="D19" s="29">
        <v>45908.0</v>
      </c>
      <c r="E19" s="56">
        <f>39570.3/1000</f>
        <v>39.5703</v>
      </c>
      <c r="F19" s="6">
        <v>49437.0</v>
      </c>
    </row>
    <row r="20">
      <c r="B20" s="6" t="s">
        <v>149</v>
      </c>
      <c r="C20" s="29">
        <v>45909.0</v>
      </c>
      <c r="D20" s="29">
        <v>45930.0</v>
      </c>
      <c r="E20" s="57">
        <f>35385.95/1000</f>
        <v>35.38595</v>
      </c>
      <c r="F20" s="6">
        <v>11906.0</v>
      </c>
    </row>
    <row r="21">
      <c r="B21" s="6" t="s">
        <v>140</v>
      </c>
      <c r="C21" s="29">
        <v>45909.0</v>
      </c>
      <c r="D21" s="29">
        <v>45930.0</v>
      </c>
      <c r="E21" s="56">
        <f>29797.73/1000</f>
        <v>29.79773</v>
      </c>
      <c r="F21" s="6">
        <v>49437.0</v>
      </c>
    </row>
    <row r="22">
      <c r="B22" s="6" t="s">
        <v>151</v>
      </c>
      <c r="C22" s="29">
        <v>45931.0</v>
      </c>
      <c r="D22" s="29">
        <v>45967.0</v>
      </c>
      <c r="E22" s="6">
        <f>round(38806.94/1000,2)</f>
        <v>38.81</v>
      </c>
      <c r="F22" s="6">
        <v>11906.0</v>
      </c>
    </row>
    <row r="23">
      <c r="B23" s="6" t="s">
        <v>140</v>
      </c>
      <c r="C23" s="29">
        <v>45931.0</v>
      </c>
      <c r="D23" s="29">
        <v>45967.0</v>
      </c>
      <c r="E23" s="6">
        <f>round(56599.5078/1000,2)</f>
        <v>56.6</v>
      </c>
      <c r="F23" s="6">
        <v>49437.0</v>
      </c>
    </row>
    <row r="24">
      <c r="B24" s="6" t="s">
        <v>153</v>
      </c>
      <c r="C24" s="29">
        <v>45968.0</v>
      </c>
      <c r="D24" s="29">
        <v>46053.0</v>
      </c>
      <c r="E24" s="19">
        <f>(33172.44+14345.8)/1000</f>
        <v>47.51824</v>
      </c>
      <c r="F24" s="6">
        <v>16406.0</v>
      </c>
    </row>
    <row r="25">
      <c r="B25" s="6" t="s">
        <v>153</v>
      </c>
      <c r="C25" s="29">
        <v>46054.0</v>
      </c>
      <c r="D25" s="29">
        <v>46083.0</v>
      </c>
      <c r="E25" s="19">
        <f>(14742.5+52546.34)/1000</f>
        <v>67.28884</v>
      </c>
      <c r="F25" s="6">
        <v>16406.0</v>
      </c>
    </row>
    <row r="26">
      <c r="B26" s="6" t="s">
        <v>153</v>
      </c>
      <c r="C26" s="29">
        <v>46084.0</v>
      </c>
      <c r="D26" s="29">
        <v>46112.0</v>
      </c>
      <c r="E26" s="6">
        <v>55.661</v>
      </c>
      <c r="F26" s="6">
        <v>16406.0</v>
      </c>
    </row>
    <row r="27">
      <c r="B27" s="6" t="s">
        <v>153</v>
      </c>
      <c r="C27" s="29">
        <v>46113.0</v>
      </c>
      <c r="D27" s="29">
        <v>46142.0</v>
      </c>
      <c r="E27" s="6">
        <v>59.154</v>
      </c>
      <c r="F27" s="6">
        <v>16406.0</v>
      </c>
    </row>
    <row r="28">
      <c r="B28" s="6" t="s">
        <v>155</v>
      </c>
      <c r="C28" s="29">
        <v>45962.0</v>
      </c>
      <c r="D28" s="29">
        <v>45991.0</v>
      </c>
      <c r="E28" s="6">
        <v>36.75105</v>
      </c>
      <c r="F28" s="6">
        <v>20879.0</v>
      </c>
    </row>
    <row r="29">
      <c r="B29" s="6" t="s">
        <v>156</v>
      </c>
      <c r="C29" s="29">
        <v>45992.0</v>
      </c>
      <c r="D29" s="29">
        <v>46022.0</v>
      </c>
      <c r="E29" s="6">
        <v>25.04126</v>
      </c>
      <c r="F29" s="6">
        <v>20879.0</v>
      </c>
    </row>
    <row r="30">
      <c r="B30" s="6" t="s">
        <v>153</v>
      </c>
      <c r="C30" s="11">
        <v>46143.0</v>
      </c>
      <c r="D30" s="11">
        <v>46173.0</v>
      </c>
      <c r="E30" s="58">
        <v>44.37566</v>
      </c>
      <c r="F30" s="58">
        <v>16406.0</v>
      </c>
    </row>
    <row r="31">
      <c r="B31" s="6" t="s">
        <v>157</v>
      </c>
      <c r="C31" s="58">
        <v>46023.0</v>
      </c>
      <c r="D31" s="58">
        <v>46053.0</v>
      </c>
      <c r="E31" s="58">
        <v>35.1619066</v>
      </c>
      <c r="F31" s="6">
        <v>20879.0</v>
      </c>
    </row>
    <row r="32">
      <c r="B32" s="6" t="s">
        <v>158</v>
      </c>
      <c r="C32" s="58">
        <v>46082.0</v>
      </c>
      <c r="D32" s="58">
        <v>46112.0</v>
      </c>
      <c r="E32" s="58">
        <v>38.417002</v>
      </c>
      <c r="F32" s="6">
        <v>20879.0</v>
      </c>
    </row>
    <row r="33">
      <c r="B33" s="6" t="s">
        <v>159</v>
      </c>
      <c r="C33" s="58">
        <v>46113.0</v>
      </c>
      <c r="D33" s="58">
        <v>46142.0</v>
      </c>
      <c r="E33" s="58">
        <f>35432.8436903225/1000</f>
        <v>35.43284369</v>
      </c>
      <c r="F33" s="6">
        <v>20879.0</v>
      </c>
    </row>
    <row r="34">
      <c r="B34" s="6" t="s">
        <v>153</v>
      </c>
      <c r="C34" s="13">
        <v>46204.0</v>
      </c>
      <c r="D34" s="13">
        <v>46234.0</v>
      </c>
      <c r="E34" s="19">
        <f>50484.34/1000</f>
        <v>50.48434</v>
      </c>
      <c r="F34" s="58">
        <v>10845.0</v>
      </c>
    </row>
    <row r="35">
      <c r="B35" s="6" t="s">
        <v>160</v>
      </c>
      <c r="C35" s="13">
        <v>46054.0</v>
      </c>
      <c r="D35" s="13">
        <v>46081.0</v>
      </c>
      <c r="E35" s="19">
        <f>35984.8158709677/1000</f>
        <v>35.98481587</v>
      </c>
      <c r="F35" s="58">
        <v>20879.0</v>
      </c>
    </row>
    <row r="36">
      <c r="B36" s="6" t="s">
        <v>162</v>
      </c>
      <c r="C36" s="29">
        <v>46143.0</v>
      </c>
      <c r="D36" s="29">
        <v>46173.0</v>
      </c>
      <c r="E36" s="56">
        <f>32788.65/1000</f>
        <v>32.78865</v>
      </c>
      <c r="F36" s="6" t="s">
        <v>99</v>
      </c>
    </row>
    <row r="37">
      <c r="B37" s="6" t="s">
        <v>163</v>
      </c>
      <c r="C37" s="29">
        <v>46174.0</v>
      </c>
      <c r="D37" s="29">
        <v>46203.0</v>
      </c>
      <c r="E37" s="6">
        <f>34933.41/1000</f>
        <v>34.93341</v>
      </c>
      <c r="F37" s="6" t="s">
        <v>99</v>
      </c>
    </row>
    <row r="38">
      <c r="B38" s="6" t="s">
        <v>153</v>
      </c>
      <c r="C38" s="13">
        <v>46235.0</v>
      </c>
      <c r="D38" s="13">
        <v>46265.0</v>
      </c>
      <c r="E38" s="19">
        <f>49515.66/1000</f>
        <v>49.51566</v>
      </c>
      <c r="F38" s="58">
        <v>10845.0</v>
      </c>
    </row>
    <row r="39">
      <c r="B39" s="6" t="s">
        <v>153</v>
      </c>
      <c r="C39" s="13">
        <v>46235.0</v>
      </c>
      <c r="D39" s="13">
        <v>46265.0</v>
      </c>
      <c r="E39" s="19">
        <f>54745.24/1000-E38</f>
        <v>5.22958</v>
      </c>
      <c r="F39" s="58">
        <v>10745.0</v>
      </c>
    </row>
  </sheetData>
  <hyperlinks>
    <hyperlink r:id="rId1" ref="A2"/>
    <hyperlink r:id="rId2" ref="A3"/>
  </hyperlinks>
  <drawing r:id="rId3"/>
</worksheet>
</file>