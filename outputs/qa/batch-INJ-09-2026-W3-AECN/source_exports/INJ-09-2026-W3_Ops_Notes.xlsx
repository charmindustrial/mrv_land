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<sst xmlns="http://schemas.openxmlformats.org/spreadsheetml/2006/main" count="485" uniqueCount="260">
  <si>
    <t>BATCH SUMMARY</t>
  </si>
  <si>
    <t>BATCH HEADER — AECN Truck (Direct from Fort Lupton)</t>
  </si>
  <si>
    <t>BATCH HEADER — AECN Rail</t>
  </si>
  <si>
    <t>BATCH HEADER — Kerry (Calciner Waste Oil, Tankers)</t>
  </si>
  <si>
    <t>Batch ID (INJ-YYYY-WXX)</t>
  </si>
  <si>
    <t>INJ-09-2026-W3</t>
  </si>
  <si>
    <t>Constants</t>
  </si>
  <si>
    <t>Week Start (Sat)</t>
  </si>
  <si>
    <t>Batch ID</t>
  </si>
  <si>
    <t>Lbs/Kg</t>
  </si>
  <si>
    <t>Week End (Sat)</t>
  </si>
  <si>
    <t>SECTION 1 - PER-TAB SUMMARY  (each row pulls from its mode tab)</t>
  </si>
  <si>
    <t>Kg/Lbs</t>
  </si>
  <si>
    <t>Filtration Solids Content</t>
  </si>
  <si>
    <t>pH range (target)</t>
  </si>
  <si>
    <t>2.0 - 4.0</t>
  </si>
  <si>
    <t>Testing Uncertainty</t>
  </si>
  <si>
    <t>SECTION 1 - TANKER LEDGER  (one row per Kerry tanker; scale mass is authoritative)</t>
  </si>
  <si>
    <t>AECN Density (kg/L)</t>
  </si>
  <si>
    <t>Source Tab</t>
  </si>
  <si>
    <t>Σ Deliveries / Cargo (kg)</t>
  </si>
  <si>
    <t>Σ Uncertainty Adj (kg)</t>
  </si>
  <si>
    <t>Date</t>
  </si>
  <si>
    <t>UID</t>
  </si>
  <si>
    <t>Mass Used (kg)</t>
  </si>
  <si>
    <t>Sparging Mass Loss</t>
  </si>
  <si>
    <t>Gross Mass (lb) — transport</t>
  </si>
  <si>
    <t>Sparging Loss (kg)</t>
  </si>
  <si>
    <t>Filtration Loss (kg)</t>
  </si>
  <si>
    <t>MOBI (kg)</t>
  </si>
  <si>
    <t>Empty Weight (lb)</t>
  </si>
  <si>
    <t>AECN→SOPOR EE (mi)</t>
  </si>
  <si>
    <t>Net Oil (lb)</t>
  </si>
  <si>
    <t>Rail EE (mi)</t>
  </si>
  <si>
    <t>Net Injected (kg) — MOBI</t>
  </si>
  <si>
    <t>pH</t>
  </si>
  <si>
    <t>Opel→Basco EE (mi)</t>
  </si>
  <si>
    <t>SECTION 1 - DELIVERIES LEDGER  (one row per direct truck; BOL &amp; scale ticket on same row)</t>
  </si>
  <si>
    <t>Notes</t>
  </si>
  <si>
    <t>C Content</t>
  </si>
  <si>
    <t>C Content Uncertainty</t>
  </si>
  <si>
    <t>Mass Uncertainty (Scaling)</t>
  </si>
  <si>
    <t>AECN Rail</t>
  </si>
  <si>
    <t>KC-09</t>
  </si>
  <si>
    <t>BOL # / SO #</t>
  </si>
  <si>
    <t>BOL Mass (MT)</t>
  </si>
  <si>
    <t>BOL Mass (kg)</t>
  </si>
  <si>
    <t>Scale Full (lb)</t>
  </si>
  <si>
    <t>Scale Empty (lb)</t>
  </si>
  <si>
    <t>Cargo (kg)</t>
  </si>
  <si>
    <t>EE Miles</t>
  </si>
  <si>
    <t>Gallons removed</t>
  </si>
  <si>
    <t>Litres per gallon</t>
  </si>
  <si>
    <t>SECTION 2 - ROLLUP</t>
  </si>
  <si>
    <t>SECTION 1 - RAILCARS RECEIVED THIS WEEK  (entity-level)</t>
  </si>
  <si>
    <t>Σ Net Injected (kg)</t>
  </si>
  <si>
    <t>BOL Trips (AECN→SOPOR)</t>
  </si>
  <si>
    <t>C Content (composite - see Summary)</t>
  </si>
  <si>
    <t>Railcar #</t>
  </si>
  <si>
    <t>Origins list (Tanker UIDs)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</si>
  <si>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</si>
  <si>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</si>
  <si>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</si>
  <si>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</si>
  <si>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</si>
  <si>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</si>
  <si>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</si>
  <si>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</si>
  <si>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</si>
  <si>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</si>
  <si>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</si>
  <si>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</si>
  <si>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</si>
  <si>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GPRX5102</t>
  </si>
  <si>
    <t>2456-R, 2457-R, 2458-R</t>
  </si>
  <si>
    <t>AECN Truck</t>
  </si>
  <si>
    <t>Charm WODO</t>
  </si>
  <si>
    <t>New arrival this RP. Loaded 8/3-8/4/2026 at SOPOR (BOLs 2456-R/2457-R/2458-R: 25,990+25,980+25,970 = 77,940 kg per BOL PDF page-2 Qty-shipped fields; 2457-R corrected 2026-09-19 from 25,990 to 25,980 kg -- BOL tanker tare was hand-corrected 19,282-&gt;19,290 lb on the form but the printed total was never recomputed; correct = 45,270-19,290 = 25,980 kg. This now disagrees with COBB origin_quantity_kg (77,950), which still carries the uncorrected BOL figure -- known break, not reconciled). All 4 offloads logged this week, CAT scale-ticket confirmed via live Gmail harvest (delta 0.00 kg vs COBB target on all 4). Mileage (AECN-&gt;SOPOR / Rail / Opel-&gt;Basco) intentionally left BLANK -- no independently sourced route-mileage reference found for this railcar; NOT copied from other cars. Prior-RP claimed: 0 kg.</t>
  </si>
  <si>
    <t>SHPX215046</t>
  </si>
  <si>
    <t>2462-R, 2463-R, 2464-R</t>
  </si>
  <si>
    <t>Continuing railcar from prior RP week (W2 consumed offload_3/offload_4 from this same 8/5-8/6/2026 SOPOR loading; this week consumes offload_1/offload_2 from the SAME loading, BOLs 2462-R/2463-R/2464-R, 77,680 kg -- no double-count, different offload numbers). Mileage carried forward from this railcar's own W2 Section 1 entry (same physical car/route, not inferred from a different railcar). Prior-RP claimed: 0 kg.</t>
  </si>
  <si>
    <t>TILX200231</t>
  </si>
  <si>
    <t>2468-R, 2469-R, 2470-R</t>
  </si>
  <si>
    <t>Kerry</t>
  </si>
  <si>
    <t>New arrival this RP. Loaded 8/11/2026 at SOPOR (BOLs 2468-R/2469-R/2470-R: 25,920+25,900+25,700 = 77,520 kg per BOL PDF page-2 Qty-shipped fields, matches COBB origin_quantity_kg exactly). All 4 offloads logged this week, CAT scale-ticket confirmed via live Gmail harvest (delta 0.00 kg vs COBB target on 3 of 4; offload_3 auto-matcher paired the wrong tare -- manually corrected to ticket 1312226256537, 29,460 lb, exact match). Mileage (AECN-&gt;SOPOR / Rail / Opel-&gt;Basco) intentionally left BLANK -- no independently sourced route-mileage reference found for this railcar; NOT copied from other cars. Prior-RP claimed: 0 kg.</t>
  </si>
  <si>
    <t>SECTION 2 - ROLLUP  (Mass Used = Σ BOL kg; scale tickets no longer required for direct trucks per 2026-05-26)</t>
  </si>
  <si>
    <t>SECTION 2 - ORIGINS LEDGER  (loading BOLs at SOPOR)</t>
  </si>
  <si>
    <t>BOL #</t>
  </si>
  <si>
    <t>Σ BOL (kg)</t>
  </si>
  <si>
    <t>Σ Cargo (kg)</t>
  </si>
  <si>
    <t>Uncertainty Adjustment (kg)</t>
  </si>
  <si>
    <t>QOWV</t>
  </si>
  <si>
    <t xml:space="preserve">C Content </t>
  </si>
  <si>
    <t>Origins list (BOLs)</t>
  </si>
  <si>
    <t>BATCH HEADER — Charm WODO (IBC Totes)</t>
  </si>
  <si>
    <t>TOTAL</t>
  </si>
  <si>
    <t>WODO 6-Mo CI (kg CO2e/kg), Jul-Dec 2026</t>
  </si>
  <si>
    <t>SECTION 1 - IBC LEDGER  (one row per IBC tote; tote tag mass is authoritative)</t>
  </si>
  <si>
    <t>WODO Standard Loss (kg/tote), 2026 = Mean + 1 SD</t>
  </si>
  <si>
    <t>Transport Emissions</t>
  </si>
  <si>
    <t>Pyrolysis Emissions Mass &amp; Standard Loss</t>
  </si>
  <si>
    <t>MOBI</t>
  </si>
  <si>
    <t>Per-Production-Month CI (kg CO2e/kg) - PP Summary Output Type table, col T</t>
  </si>
  <si>
    <t>SECTION 3 - SCALE TICKTS + OFFLOAD WEIGHTS</t>
  </si>
  <si>
    <t>SECTION 2 - PER-OIL-TYPE ROLLUP  (composite C% per oil type per week)</t>
  </si>
  <si>
    <t>Scale Uncertainty</t>
  </si>
  <si>
    <t>PP#8</t>
  </si>
  <si>
    <t>Oil Type</t>
  </si>
  <si>
    <t>Composite Sample ID</t>
  </si>
  <si>
    <t>Date Composited</t>
  </si>
  <si>
    <t>C %</t>
  </si>
  <si>
    <t>Lab COA Link</t>
  </si>
  <si>
    <t>AECN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</si>
  <si>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</si>
  <si>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</si>
  <si>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</si>
  <si>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</si>
  <si>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</si>
  <si>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</si>
  <si>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November 2025</t>
  </si>
  <si>
    <t>SR26-05599.002</t>
  </si>
  <si>
    <t>Rail_GPRX5102_8.5.2026_offload_1</t>
  </si>
  <si>
    <t>December 2025</t>
  </si>
  <si>
    <t>January 2026</t>
  </si>
  <si>
    <t>February 2026</t>
  </si>
  <si>
    <t>March 2026</t>
  </si>
  <si>
    <t>April 2026</t>
  </si>
  <si>
    <t>WODO</t>
  </si>
  <si>
    <t>May 2026</t>
  </si>
  <si>
    <t>SR26-05599.003</t>
  </si>
  <si>
    <t>June 2026</t>
  </si>
  <si>
    <t>July 2026 and later (Jan-Jun 2026 rolling)</t>
  </si>
  <si>
    <t>BATCH HEADER — QOWV (Aqueous Bio-Oil, IBC Totes)</t>
  </si>
  <si>
    <t>SR26-05599.001</t>
  </si>
  <si>
    <t>QOWV 6-Mo CI (kg CO2e/kg), Jul-Dec 2026</t>
  </si>
  <si>
    <t>SECTION 1 - IBC LEDGER  (one row per QOWV tote; tote tag mass is authoritative)</t>
  </si>
  <si>
    <t>Pyrolysis Emissions Mass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</si>
  <si>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</si>
  <si>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</si>
  <si>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</si>
  <si>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</si>
  <si>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</si>
  <si>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</si>
  <si>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</si>
  <si>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</si>
  <si>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</si>
  <si>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 xml:space="preserve"> </t>
  </si>
  <si>
    <t>BATCH HEADER — Whole Oil (IBC Totes)</t>
  </si>
  <si>
    <t>MFO Lot 301009 (LOT00301009), April 2026</t>
  </si>
  <si>
    <t>WODO 6-Mo CI (kg CO2e/kg), Jul-Dec 2026 — BORROWED for Whole Oil (no DC Whole Oil CI yet)</t>
  </si>
  <si>
    <t>MFO Lot 301082 (LOT00301082), April 2026</t>
  </si>
  <si>
    <t>INJ-09-2026-W3 - QOWV Shipments &amp; EE Allocation</t>
  </si>
  <si>
    <t>MFO Lot 301103 (LOT00301103), April 2026</t>
  </si>
  <si>
    <t>Batch</t>
  </si>
  <si>
    <t>Fraction</t>
  </si>
  <si>
    <t>Inj. Week</t>
  </si>
  <si>
    <t># Totes</t>
  </si>
  <si>
    <t>Shipping Orders (relevant to this batch)</t>
  </si>
  <si>
    <t>2026-09-11 to 2026-09-18</t>
  </si>
  <si>
    <t>MFO Lot 301112 (LOT00301112), April 2026</t>
  </si>
  <si>
    <t>4 shipping orders / trucks - see table A</t>
  </si>
  <si>
    <t>Charm CO -&gt; Basco LA distance (one-way, mi)</t>
  </si>
  <si>
    <t>MFO Lot 301114 (LOT00301114), April 2026</t>
  </si>
  <si>
    <t>direct route</t>
  </si>
  <si>
    <t>EE ALLOCATION TABLE - A. DIRECT (Charm CO -&gt; Basco LA)</t>
  </si>
  <si>
    <t>MFO Lot 301352 (LOT00301352), August 2026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</si>
  <si>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</si>
  <si>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</si>
  <si>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</si>
  <si>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</si>
  <si>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</si>
  <si>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</si>
  <si>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</si>
  <si>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(CO_AQUEOUS_12.01.25)</t>
  </si>
  <si>
    <t>MFO Lot 301115 (LOT00301115), April 2026</t>
  </si>
  <si>
    <t>MFO Lot 301121 (LOT00301121), April 2026</t>
  </si>
  <si>
    <t>Truck 2 (CO_AQUEOUS_12.02.25)</t>
  </si>
  <si>
    <t>MFO Lot 301122 (LOT00301122), April 2026</t>
  </si>
  <si>
    <t>COLA-31</t>
  </si>
  <si>
    <t>MFO Lot 301123 (LOT00301123), April 2026</t>
  </si>
  <si>
    <t>COLA-32</t>
  </si>
  <si>
    <t>MFO Lot 301126 (LOT00301126), April 2026</t>
  </si>
  <si>
    <t>PP#7</t>
  </si>
  <si>
    <t>Rail_GPRX5102_8.5.2026_offload_2</t>
  </si>
  <si>
    <t>MFO Lot 301353 (LOT00301353), August 2026</t>
  </si>
  <si>
    <t>MFO Lot 301139 (LOT00301139), April 2026</t>
  </si>
  <si>
    <t>MFO Lot 301334 (LOT00301334), August 2026</t>
  </si>
  <si>
    <t>MFO Lot 301145 (LOT00301145), April 2026</t>
  </si>
  <si>
    <t>--- Shipment 2025-12-10 --- (14 of 35 totes on this truck are W4-relevant)</t>
  </si>
  <si>
    <t>Metal Tag</t>
  </si>
  <si>
    <t>MFO Lot 301307 (LOT00301307), August 2026</t>
  </si>
  <si>
    <t>Date Loaded</t>
  </si>
  <si>
    <t>October 2025</t>
  </si>
  <si>
    <t>MFO Lot 301150 (LOT00301150), April 2026</t>
  </si>
  <si>
    <t>INJ-05-2026-W4</t>
  </si>
  <si>
    <t>September 2025</t>
  </si>
  <si>
    <t>MFO Lot 301154 (LOT00301154), May 2026</t>
  </si>
  <si>
    <t>MFO Lot 301328 (LOT00301328), August 2026</t>
  </si>
  <si>
    <t>MFO Lot 301169 (LOT00301169), May 2026</t>
  </si>
  <si>
    <t>MFO Lot 301176 (LOT00301176), April 2026</t>
  </si>
  <si>
    <t>MFO Lot 301179 (LOT00301179), April 2026</t>
  </si>
  <si>
    <t>MFO Lot 301198 (LOT00301198), April 2026</t>
  </si>
  <si>
    <t>MFO Lot 2830 (LOT00002830), July 2025</t>
  </si>
  <si>
    <t>INJ-09-2026-W2 - WODO Shipments &amp; EE Mileage</t>
  </si>
  <si>
    <t>Shipping Orders (relevant totes)</t>
  </si>
  <si>
    <t>INJ-09-2026-W2</t>
  </si>
  <si>
    <t>2026-09-05 to 2026-09-12</t>
  </si>
  <si>
    <t>015178</t>
  </si>
  <si>
    <t>0 WODO totes this week - no shipping order to allocate</t>
  </si>
  <si>
    <t>Charm CO -&gt; Basco LA distance (one-way mi)</t>
  </si>
  <si>
    <t>MFO Lot 3131 (LOT00003131), July 2025</t>
  </si>
  <si>
    <t>EE ALLOCATION TABLE</t>
  </si>
  <si>
    <t>015152</t>
  </si>
  <si>
    <t>MFO Lot 3133 (LOT00003133), July 2025</t>
  </si>
  <si>
    <t>MFO Lot 3135 (LOT00003135), July 2025</t>
  </si>
  <si>
    <t>015181</t>
  </si>
  <si>
    <t>MFO Lot 3137 (LOT00003137), July 2025</t>
  </si>
  <si>
    <t>Rail_GPRX5102_8.5.2026_offload_3</t>
  </si>
  <si>
    <t>015185</t>
  </si>
  <si>
    <t>MFO Lot 3163 (LOT00003163), July 2025</t>
  </si>
  <si>
    <t>015176</t>
  </si>
  <si>
    <t>MFO Lot 3165 (LOT00003165), July 2025</t>
  </si>
  <si>
    <t>015151</t>
  </si>
  <si>
    <t>Transport Mass</t>
  </si>
  <si>
    <t>Σ Net Oil Produced (kg)</t>
  </si>
  <si>
    <t>MFO Lot 3243 (LOT00003243), July 2025</t>
  </si>
  <si>
    <t>MOBI — Σ Net Oil Injected (kg)</t>
  </si>
  <si>
    <t>015175</t>
  </si>
  <si>
    <t>MFO Lot 3247 (LOT00003247), July 2025</t>
  </si>
  <si>
    <t>Check - every batch tote is allocated to a truck</t>
  </si>
  <si>
    <t>015164</t>
  </si>
  <si>
    <t>MFO Lot 3257 (LOT00003257), July 2025</t>
  </si>
  <si>
    <t>015166</t>
  </si>
  <si>
    <t>MFO Lot 3279 (LOT00003279), July 2025</t>
  </si>
  <si>
    <t>015191</t>
  </si>
  <si>
    <t>MFO Lot 3292 (LOT00003292), July 2025</t>
  </si>
  <si>
    <t>015174</t>
  </si>
  <si>
    <t>MFO Lot 3294 (LOT00003294), July 2025</t>
  </si>
  <si>
    <t>015200</t>
  </si>
  <si>
    <t>MFO Lot 3296 (LOT00003296), July 2025</t>
  </si>
  <si>
    <t>MFO Lot 3768 (LOT00003768), September 2025</t>
  </si>
  <si>
    <t>MFO Lot 3780 (LOT00003780), September 2025</t>
  </si>
  <si>
    <t>MFO Lot 3782 (LOT00003782), September 2025</t>
  </si>
  <si>
    <t>MFO Lot 3808 (LOT00003808), September 2025</t>
  </si>
  <si>
    <t>MFO Lot 3820 (LOT00003820), September 2025</t>
  </si>
  <si>
    <t>INJ-09-2026-W3 - Whole Oil Shipments &amp; EE Mileage</t>
  </si>
  <si>
    <t>Whole Oil</t>
  </si>
  <si>
    <t>1 shipping order(s) direct CO-&gt;LA: COLA_38 = 5 of 18 totes on the truck (12 DC Whole Oil + 6 BGN QOWV; the other 13 are not in this batch). Tier-1 resolution: Ship Status on Q4 2025-2026 Production Inventory Master.</t>
  </si>
  <si>
    <t>COLA_38</t>
  </si>
  <si>
    <t>Rail_GPRX5102_8.5.2026_offload_4</t>
  </si>
  <si>
    <t>Rail_SHPX215046_8.7.2026_offload_1</t>
  </si>
  <si>
    <t>Rail_SHPX215046_8.7.2026_offload_2</t>
  </si>
  <si>
    <t>Rail_TILX200231_8.12.2026_offload_1</t>
  </si>
  <si>
    <t>Rail_TILX200231_8.12.2026_offload_2</t>
  </si>
  <si>
    <t>Rail_TILX200231_8.12.2026_offload_3</t>
  </si>
  <si>
    <t>Rail_TILX200231_8.12.2026_offload_4</t>
  </si>
  <si>
    <t>SECTION 4 - ROLLUP  (Mass Used = Σ Deliveries – Uncertainty Adj)</t>
  </si>
  <si>
    <t>Σ Deliveries raw (kg)</t>
  </si>
  <si>
    <t>Mass Used (post-adj) (kg)</t>
  </si>
  <si>
    <t>Mass Removed for R&amp;D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</si>
</sst>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yyyy-mm-dd"/>
    <numFmt numFmtId="166" formatCode="m/d/yy"/>
    <numFmt numFmtId="167" formatCode="mm/dd/yyyy"/>
    <numFmt numFmtId="168" formatCode="0.0000"/>
    <numFmt numFmtId="169" formatCode="0.0000%"/>
    <numFmt numFmtId="170" formatCode="mmmm yyyy"/>
    <numFmt numFmtId="171" formatCode="#,##0.000000"/>
    <numFmt numFmtId="172" formatCode="0.000000"/>
  </numFmts>
  <fonts count="1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b/>
      <color theme="1"/>
      <name val="Arial"/>
    </font>
    <font>
      <u/>
      <color rgb="FF0000FF"/>
    </font>
    <font>
      <b/>
      <u/>
      <sz val="11.0"/>
      <color rgb="FF0000FF"/>
    </font>
    <font>
      <b/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Font="1"/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0" fontId="2" numFmtId="2" xfId="0" applyFont="1" applyNumberFormat="1"/>
    <xf borderId="0" fillId="3" fontId="2" numFmtId="4" xfId="0" applyFill="1" applyFont="1" applyNumberFormat="1"/>
    <xf borderId="0" fillId="0" fontId="2" numFmtId="0" xfId="0" applyFont="1"/>
    <xf borderId="0" fillId="2" fontId="5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7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5" numFmtId="10" xfId="0" applyAlignment="1" applyFont="1" applyNumberFormat="1">
      <alignment vertical="bottom"/>
    </xf>
    <xf borderId="0" fillId="4" fontId="2" numFmtId="4" xfId="0" applyFill="1" applyFont="1" applyNumberFormat="1"/>
    <xf borderId="0" fillId="0" fontId="2" numFmtId="0" xfId="0" applyAlignment="1" applyFont="1">
      <alignment readingOrder="0" shrinkToFit="0" wrapText="1"/>
    </xf>
    <xf borderId="0" fillId="0" fontId="2" numFmtId="4" xfId="0" applyFont="1" applyNumberFormat="1"/>
    <xf borderId="0" fillId="0" fontId="2" numFmtId="10" xfId="0" applyFont="1" applyNumberFormat="1"/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8" numFmtId="0" xfId="0" applyFont="1"/>
    <xf borderId="0" fillId="0" fontId="3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2" fontId="9" numFmtId="0" xfId="0" applyFill="1" applyFont="1"/>
    <xf borderId="0" fillId="2" fontId="1" numFmtId="4" xfId="0" applyAlignment="1" applyFill="1" applyFont="1" applyNumberFormat="1">
      <alignment readingOrder="0"/>
    </xf>
    <xf borderId="0" fillId="0" fontId="2" numFmtId="168" xfId="0" applyFont="1" applyNumberFormat="1"/>
    <xf quotePrefix="1" borderId="0" fillId="0" fontId="2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169" xfId="0" applyAlignment="1" applyFont="1" applyNumberFormat="1">
      <alignment readingOrder="0"/>
    </xf>
    <xf borderId="0" fillId="0" fontId="2" numFmtId="14" xfId="0" applyFont="1" applyNumberFormat="1"/>
    <xf borderId="0" fillId="0" fontId="2" numFmtId="9" xfId="0" applyFont="1" applyNumberFormat="1"/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1" fillId="0" fontId="13" numFmtId="1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5" fontId="2" numFmtId="4" xfId="0" applyAlignment="1" applyFill="1" applyFont="1" applyNumberFormat="1">
      <alignment readingOrder="0"/>
    </xf>
    <xf borderId="0" fillId="0" fontId="15" numFmtId="0" xfId="0" applyFont="1"/>
    <xf borderId="0" fillId="0" fontId="2" numFmtId="164" xfId="0" applyAlignment="1" applyFont="1" applyNumberFormat="1">
      <alignment readingOrder="0"/>
    </xf>
    <xf borderId="1" fillId="0" fontId="14" numFmtId="1" xfId="0" applyAlignment="1" applyBorder="1" applyFont="1" applyNumberFormat="1">
      <alignment horizontal="right" readingOrder="0" vertical="bottom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3" numFmtId="2" xfId="0" applyFont="1" applyNumberFormat="1"/>
    <xf borderId="0" fillId="5" fontId="2" numFmtId="4" xfId="0" applyFill="1" applyFont="1" applyNumberFormat="1"/>
    <xf quotePrefix="1" borderId="1" fillId="0" fontId="13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1" fillId="0" fontId="13" numFmtId="2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horizontal="right" readingOrder="0" vertical="bottom"/>
    </xf>
    <xf borderId="0" fillId="0" fontId="3" numFmtId="4" xfId="0" applyFont="1" applyNumberFormat="1"/>
    <xf borderId="0" fillId="0" fontId="2" numFmtId="1" xfId="0" applyFont="1" applyNumberFormat="1"/>
    <xf borderId="0" fillId="0" fontId="3" numFmtId="4" xfId="0" applyFont="1" applyNumberFormat="1"/>
    <xf borderId="0" fillId="0" fontId="3" numFmtId="171" xfId="0" applyFont="1" applyNumberFormat="1"/>
    <xf borderId="0" fillId="3" fontId="3" numFmtId="164" xfId="0" applyAlignment="1" applyFill="1" applyFont="1" applyNumberFormat="1">
      <alignment readingOrder="0"/>
    </xf>
    <xf borderId="0" fillId="0" fontId="2" numFmtId="172" xfId="0" applyFont="1" applyNumberFormat="1"/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6" fontId="3" numFmtId="0" xfId="0" applyAlignment="1" applyFill="1" applyFon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5</v>
      </c>
    </row>
    <row r="3">
      <c r="A3" s="3" t="s">
        <v>7</v>
      </c>
      <c r="B3" s="5">
        <v>46276.0</v>
      </c>
    </row>
    <row r="4">
      <c r="A4" s="3" t="s">
        <v>10</v>
      </c>
      <c r="B4" s="5">
        <v>46283.0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19</v>
      </c>
      <c r="B7" s="4" t="s">
        <v>20</v>
      </c>
      <c r="C7" s="4" t="s">
        <v>21</v>
      </c>
      <c r="D7" s="7" t="s">
        <v>24</v>
      </c>
      <c r="E7" s="4" t="s">
        <v>27</v>
      </c>
      <c r="F7" s="7" t="s">
        <v>28</v>
      </c>
      <c r="G7" s="4" t="s">
        <v>29</v>
      </c>
      <c r="H7" s="4" t="s">
        <v>31</v>
      </c>
      <c r="I7" s="4" t="s">
        <v>33</v>
      </c>
      <c r="J7" s="4" t="s">
        <v>36</v>
      </c>
      <c r="K7" s="9"/>
      <c r="L7" s="9"/>
      <c r="M7" s="9"/>
      <c r="N7" s="9"/>
    </row>
    <row r="8">
      <c r="A8" s="3" t="s">
        <v>42</v>
      </c>
      <c r="B8" s="11">
        <f>'AECN Rail'!A46</f>
        <v>197321.5918</v>
      </c>
      <c r="C8" s="11">
        <f>'AECN Rail'!B46</f>
        <v>0</v>
      </c>
      <c r="D8" s="14">
        <f>'AECN Rail'!C46</f>
        <v>197321.5918</v>
      </c>
      <c r="E8" s="11">
        <f>'AECN Rail'!D46</f>
        <v>2545.448535</v>
      </c>
      <c r="F8" s="14">
        <f>'AECN Rail'!E46</f>
        <v>381.7612409</v>
      </c>
      <c r="G8" s="11">
        <f>'AECN Rail'!F46</f>
        <v>193491.9399</v>
      </c>
      <c r="H8" s="11">
        <f>'AECN Rail'!L38</f>
        <v>818.7957175</v>
      </c>
      <c r="I8" s="11">
        <f>'AECN Rail'!M38</f>
        <v>5588.31288</v>
      </c>
      <c r="J8" s="11">
        <f>'AECN Rail'!N38</f>
        <v>858</v>
      </c>
    </row>
    <row r="9">
      <c r="A9" s="3" t="s">
        <v>75</v>
      </c>
      <c r="B9" s="11">
        <f>'AECN Truck'!A28</f>
        <v>0</v>
      </c>
      <c r="C9" s="11">
        <f>'AECN Truck'!F28</f>
        <v>0</v>
      </c>
      <c r="D9" s="14">
        <f>'AECN Truck'!C28</f>
        <v>0</v>
      </c>
      <c r="E9" s="11">
        <f>'AECN Truck'!D28</f>
        <v>0</v>
      </c>
      <c r="F9" s="14">
        <f>'AECN Truck'!E28</f>
        <v>0</v>
      </c>
      <c r="G9" s="11">
        <f>'AECN Truck'!G28</f>
        <v>0</v>
      </c>
    </row>
    <row r="10">
      <c r="A10" s="3" t="s">
        <v>76</v>
      </c>
      <c r="B10" s="11" t="str">
        <f>WODO!A29</f>
        <v/>
      </c>
      <c r="C10" s="32">
        <f>WODO!A29-WODO!B29</f>
        <v>0</v>
      </c>
      <c r="D10" s="34" t="str">
        <f>WODO!B29</f>
        <v/>
      </c>
      <c r="E10" s="11" t="str">
        <f>WODO!C29</f>
        <v/>
      </c>
      <c r="F10" s="34">
        <v>0.0</v>
      </c>
      <c r="G10" s="32" t="str">
        <f>WODO!D29</f>
        <v/>
      </c>
    </row>
    <row r="11">
      <c r="A11" s="3" t="s">
        <v>83</v>
      </c>
      <c r="B11" s="11">
        <f>Kerry!A17</f>
        <v>19168.79792</v>
      </c>
      <c r="C11" s="32">
        <v>0.0</v>
      </c>
      <c r="D11" s="34">
        <f>Kerry!A17</f>
        <v>19168.79792</v>
      </c>
      <c r="E11" s="32">
        <v>0.0</v>
      </c>
      <c r="F11" s="34">
        <f>Kerry!B17</f>
        <v>37.57084392</v>
      </c>
      <c r="G11" s="41">
        <f>Kerry!C17</f>
        <v>19131.22708</v>
      </c>
    </row>
    <row r="12">
      <c r="A12" s="3" t="s">
        <v>91</v>
      </c>
      <c r="B12" s="32">
        <f>QOWV!B50</f>
        <v>37682</v>
      </c>
      <c r="C12" s="32">
        <v>0.0</v>
      </c>
      <c r="D12" s="34">
        <f>QOWV!D50</f>
        <v>35550.8</v>
      </c>
      <c r="E12" s="32">
        <v>0.0</v>
      </c>
      <c r="F12" s="34">
        <v>0.0</v>
      </c>
      <c r="G12" s="41">
        <f>QOWV!F50</f>
        <v>30808.5</v>
      </c>
      <c r="I12" s="4"/>
      <c r="J12" s="9"/>
      <c r="K12" s="9"/>
      <c r="L12" s="9"/>
      <c r="M12" s="9"/>
      <c r="N12" s="9"/>
    </row>
    <row r="13">
      <c r="A13" s="3" t="s">
        <v>95</v>
      </c>
      <c r="B13" s="11">
        <f t="shared" ref="B13:J13" si="1">SUM(B8:B12)</f>
        <v>254172.3898</v>
      </c>
      <c r="C13" s="11">
        <f t="shared" si="1"/>
        <v>0</v>
      </c>
      <c r="D13" s="11">
        <f t="shared" si="1"/>
        <v>252041.1898</v>
      </c>
      <c r="E13" s="11">
        <f t="shared" si="1"/>
        <v>2545.448535</v>
      </c>
      <c r="F13" s="11">
        <f t="shared" si="1"/>
        <v>419.3320848</v>
      </c>
      <c r="G13" s="11">
        <f t="shared" si="1"/>
        <v>243431.667</v>
      </c>
      <c r="H13" s="11">
        <f t="shared" si="1"/>
        <v>818.7957175</v>
      </c>
      <c r="I13" s="11">
        <f t="shared" si="1"/>
        <v>5588.31288</v>
      </c>
      <c r="J13" s="11">
        <f t="shared" si="1"/>
        <v>858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104</v>
      </c>
      <c r="B15" s="4"/>
      <c r="C15" s="4"/>
      <c r="D15" s="4"/>
      <c r="E15" s="4"/>
      <c r="F15" s="4"/>
      <c r="G15" s="4"/>
      <c r="H15" s="9"/>
      <c r="I15" s="9"/>
      <c r="J15" s="9"/>
      <c r="K15" s="9"/>
      <c r="L15" s="9"/>
      <c r="M15" s="9"/>
    </row>
    <row r="16">
      <c r="A16" s="3" t="s">
        <v>107</v>
      </c>
      <c r="B16" s="32" t="s">
        <v>29</v>
      </c>
      <c r="C16" s="3" t="s">
        <v>108</v>
      </c>
      <c r="D16" s="3" t="s">
        <v>109</v>
      </c>
      <c r="E16" s="3" t="s">
        <v>110</v>
      </c>
      <c r="F16" s="3" t="s">
        <v>111</v>
      </c>
      <c r="G16" s="3" t="s">
        <v>40</v>
      </c>
      <c r="H16" s="3" t="s">
        <v>16</v>
      </c>
    </row>
    <row r="17">
      <c r="A17" s="3" t="s">
        <v>112</v>
      </c>
      <c r="B17" s="11">
        <f>G8+G9</f>
        <v>193491.9399</v>
      </c>
      <c r="C17" s="3" t="s">
        <v>120</v>
      </c>
      <c r="D17" s="5">
        <f>DATE(2026,9,18)</f>
        <v>46283</v>
      </c>
      <c r="E17" s="52">
        <v>0.397</v>
      </c>
      <c r="F17" s="42" t="str">
        <f>HYPERLINK("https://drive.google.com/file/d/1yHJCVooq9Fw5U4UR6qwQ1wvnfX2_saay/view","COA SR26-05599.002")</f>
        <v>COA SR26-05599.002</v>
      </c>
      <c r="G17" s="55">
        <f>E17*H17</f>
        <v>0.001588</v>
      </c>
      <c r="H17" s="52">
        <v>0.004</v>
      </c>
    </row>
    <row r="18">
      <c r="A18" s="3" t="s">
        <v>127</v>
      </c>
      <c r="B18" s="11" t="str">
        <f t="shared" ref="B18:B20" si="2">G10</f>
        <v/>
      </c>
      <c r="E18" s="31"/>
      <c r="H18" s="31"/>
    </row>
    <row r="19">
      <c r="A19" s="3" t="s">
        <v>83</v>
      </c>
      <c r="B19" s="11">
        <f t="shared" si="2"/>
        <v>19131.22708</v>
      </c>
      <c r="C19" s="3" t="s">
        <v>129</v>
      </c>
      <c r="D19" s="56">
        <f>DATE(2026,9,16)</f>
        <v>46281</v>
      </c>
      <c r="E19" s="52">
        <v>0.579</v>
      </c>
      <c r="F19" s="42" t="str">
        <f>HYPERLINK("https://drive.google.com/file/d/1L85EGT9eN8McatUxpvLoRFABtaZXoci4/view","COA SR26-05599.003")</f>
        <v>COA SR26-05599.003</v>
      </c>
      <c r="G19" s="57">
        <f t="shared" ref="G19:G20" si="3">E19*H19</f>
        <v>0.002316</v>
      </c>
      <c r="H19" s="52">
        <v>0.004</v>
      </c>
    </row>
    <row r="20">
      <c r="A20" s="3" t="s">
        <v>91</v>
      </c>
      <c r="B20" s="11">
        <f t="shared" si="2"/>
        <v>30808.5</v>
      </c>
      <c r="C20" s="3" t="s">
        <v>133</v>
      </c>
      <c r="D20" s="5">
        <f>DATE(2026,9,17)</f>
        <v>46282</v>
      </c>
      <c r="E20" s="52">
        <v>0.08</v>
      </c>
      <c r="F20" s="58" t="str">
        <f>HYPERLINK("https://drive.google.com/file/d/1yHJCVooq9Fw5U4UR6qwQ1wvnfX2_saay/view","COA SR26-05599.001")</f>
        <v>COA SR26-05599.001</v>
      </c>
      <c r="G20" s="55">
        <f t="shared" si="3"/>
        <v>0.00032</v>
      </c>
      <c r="H20" s="52">
        <v>0.004</v>
      </c>
      <c r="I20" s="9"/>
      <c r="J20" s="9"/>
      <c r="K20" s="9"/>
      <c r="L20" s="9"/>
      <c r="M20" s="9"/>
    </row>
    <row r="21">
      <c r="A21" s="3" t="s">
        <v>95</v>
      </c>
      <c r="B21" s="11">
        <f>SUM(B17:B20)</f>
        <v>243431.667</v>
      </c>
      <c r="E21" s="31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9"/>
      <c r="E23" s="9"/>
      <c r="F23" s="4"/>
      <c r="G23" s="4" t="s">
        <v>146</v>
      </c>
      <c r="H23" s="9"/>
      <c r="I23" s="9"/>
      <c r="J23" s="9"/>
      <c r="K23" s="9"/>
      <c r="L23" s="9"/>
      <c r="M23" s="9"/>
      <c r="N2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6</v>
      </c>
    </row>
    <row r="3">
      <c r="A3" s="3" t="s">
        <v>7</v>
      </c>
      <c r="B3" s="5">
        <v>46276.0</v>
      </c>
      <c r="N3" s="4" t="s">
        <v>9</v>
      </c>
      <c r="O3" s="6">
        <v>2.20462</v>
      </c>
      <c r="Q3" s="3" t="s">
        <v>18</v>
      </c>
      <c r="R3" s="12">
        <f>HYPERLINK("https://drive.google.com/file/d/1yHJCVooq9Fw5U4UR6qwQ1wvnfX2_saay/view",1.192)</f>
        <v>1.192</v>
      </c>
    </row>
    <row r="4">
      <c r="A4" s="3" t="s">
        <v>10</v>
      </c>
      <c r="B4" s="5">
        <v>46283.0</v>
      </c>
      <c r="N4" s="4" t="s">
        <v>12</v>
      </c>
      <c r="O4" s="6">
        <v>0.453592</v>
      </c>
      <c r="Q4" s="3" t="s">
        <v>51</v>
      </c>
      <c r="R4" s="3">
        <v>200.0</v>
      </c>
    </row>
    <row r="5">
      <c r="N5" s="4" t="s">
        <v>25</v>
      </c>
      <c r="O5" s="6">
        <v>0.0129</v>
      </c>
      <c r="Q5" s="3" t="s">
        <v>52</v>
      </c>
      <c r="R5" s="6">
        <v>3.785411784</v>
      </c>
    </row>
    <row r="6">
      <c r="N6" s="4" t="s">
        <v>14</v>
      </c>
      <c r="O6" s="3" t="s">
        <v>15</v>
      </c>
    </row>
    <row r="7">
      <c r="N7" s="3" t="s">
        <v>13</v>
      </c>
      <c r="O7" s="17">
        <f>HYPERLINK("https://docs.google.com/spreadsheets/d/1XhIwfVwGTl2T04CAlA-qee03gfqxNWwBmSCAeiSW548/edit?usp=sharing", 0.00196)</f>
        <v>0.00196</v>
      </c>
    </row>
    <row r="8">
      <c r="A8" s="1" t="s">
        <v>54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56</v>
      </c>
      <c r="O8" s="21">
        <v>3.0</v>
      </c>
      <c r="P8" s="2"/>
      <c r="Q8" s="2"/>
      <c r="R8" s="2"/>
    </row>
    <row r="9">
      <c r="A9" s="4" t="s">
        <v>58</v>
      </c>
      <c r="B9" s="4" t="s">
        <v>60</v>
      </c>
      <c r="C9" s="4" t="s">
        <v>61</v>
      </c>
      <c r="D9" s="8" t="s">
        <v>62</v>
      </c>
      <c r="E9" s="8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  <c r="L9" s="4" t="s">
        <v>70</v>
      </c>
      <c r="M9" s="4" t="s">
        <v>38</v>
      </c>
      <c r="N9" s="4" t="s">
        <v>71</v>
      </c>
      <c r="O9" s="23">
        <v>2.0</v>
      </c>
      <c r="P9" s="4" t="s">
        <v>72</v>
      </c>
      <c r="Q9" s="9"/>
      <c r="R9" s="9"/>
    </row>
    <row r="10">
      <c r="A10" s="3" t="s">
        <v>73</v>
      </c>
      <c r="B10" s="5">
        <v>46239.0</v>
      </c>
      <c r="C10" s="3" t="s">
        <v>74</v>
      </c>
      <c r="D10" s="10">
        <f t="shared" ref="D10:D12" si="1">E10/1000</f>
        <v>77.94</v>
      </c>
      <c r="E10" s="10">
        <f t="shared" ref="E10:E12" si="2">SUMIF($C$17:$C$25,A10,$E$17:$E$25)</f>
        <v>77940</v>
      </c>
      <c r="F10" s="11">
        <f t="shared" ref="F10:F12" si="3">SUMIF($C$28:$C$43,A10,$F$28:$F$43)+H10</f>
        <v>77818.24352</v>
      </c>
      <c r="G10" s="11">
        <f t="shared" ref="G10:G14" si="4">IF(AND(E10&lt;&gt;"",F10&lt;&gt;"",F10&gt;=0.95*E10),E10-F10,"")</f>
        <v>121.75648</v>
      </c>
      <c r="H10" s="6">
        <v>0.0</v>
      </c>
      <c r="I10" s="29">
        <v>0.0</v>
      </c>
      <c r="J10" s="29">
        <v>107.5</v>
      </c>
      <c r="K10" s="29">
        <v>2199.0</v>
      </c>
      <c r="L10" s="6">
        <v>42.9</v>
      </c>
      <c r="M10" s="3" t="s">
        <v>77</v>
      </c>
      <c r="P10" s="15" t="str">
        <f t="shared" ref="P10:P14" si="5">IF(OR($E10="",$F10=""),"",IF(AND($H10=0,$F10&gt;=0.95*$E10),"FULL","PARTIAL"))</f>
        <v>FULL</v>
      </c>
    </row>
    <row r="11">
      <c r="A11" s="3" t="s">
        <v>78</v>
      </c>
      <c r="B11" s="33">
        <v>46241.0</v>
      </c>
      <c r="C11" s="3" t="s">
        <v>79</v>
      </c>
      <c r="D11" s="10">
        <f t="shared" si="1"/>
        <v>77.68</v>
      </c>
      <c r="E11" s="10">
        <f t="shared" si="2"/>
        <v>77680</v>
      </c>
      <c r="F11" s="11">
        <f t="shared" si="3"/>
        <v>42047.9784</v>
      </c>
      <c r="G11" s="11" t="str">
        <f t="shared" si="4"/>
        <v/>
      </c>
      <c r="H11" s="29">
        <v>0.0</v>
      </c>
      <c r="I11" s="29">
        <v>0.0</v>
      </c>
      <c r="J11" s="29">
        <v>107.5</v>
      </c>
      <c r="K11" s="29">
        <v>2199.0</v>
      </c>
      <c r="L11" s="6">
        <v>42.9</v>
      </c>
      <c r="M11" s="3" t="s">
        <v>80</v>
      </c>
      <c r="P11" s="15" t="str">
        <f t="shared" si="5"/>
        <v>PARTIAL</v>
      </c>
    </row>
    <row r="12">
      <c r="A12" s="3" t="s">
        <v>81</v>
      </c>
      <c r="B12" s="35">
        <v>46246.0</v>
      </c>
      <c r="C12" s="3" t="s">
        <v>82</v>
      </c>
      <c r="D12" s="36">
        <f t="shared" si="1"/>
        <v>77.52</v>
      </c>
      <c r="E12" s="36">
        <f t="shared" si="2"/>
        <v>77520</v>
      </c>
      <c r="F12" s="15">
        <f t="shared" si="3"/>
        <v>77455.36992</v>
      </c>
      <c r="G12" s="15">
        <f t="shared" si="4"/>
        <v>64.63008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M12" s="3" t="s">
        <v>84</v>
      </c>
      <c r="P12" s="15" t="str">
        <f t="shared" si="5"/>
        <v>FULL</v>
      </c>
    </row>
    <row r="13">
      <c r="D13" s="36"/>
      <c r="E13" s="36"/>
      <c r="G13" s="15" t="str">
        <f t="shared" si="4"/>
        <v/>
      </c>
      <c r="P13" s="15" t="str">
        <f t="shared" si="5"/>
        <v/>
      </c>
    </row>
    <row r="14">
      <c r="G14" s="15" t="str">
        <f t="shared" si="4"/>
        <v/>
      </c>
      <c r="P14" s="15" t="str">
        <f t="shared" si="5"/>
        <v/>
      </c>
    </row>
    <row r="15">
      <c r="A15" s="1" t="s">
        <v>86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22</v>
      </c>
      <c r="B16" s="4" t="s">
        <v>87</v>
      </c>
      <c r="C16" s="4" t="s">
        <v>58</v>
      </c>
      <c r="D16" s="8" t="s">
        <v>45</v>
      </c>
      <c r="E16" s="8" t="s">
        <v>46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5">
        <v>46237.0</v>
      </c>
      <c r="B17" s="42" t="str">
        <f>HYPERLINK("https://drive.google.com/file/d/1xZJu8K3nomePjoSpICC9QdIGaZsG5yWA/view","2456-R")</f>
        <v>2456-R</v>
      </c>
      <c r="C17" s="3" t="s">
        <v>73</v>
      </c>
      <c r="D17" s="10">
        <v>25.99</v>
      </c>
      <c r="E17" s="10">
        <f t="shared" ref="E17:E25" si="6">D17*1000</f>
        <v>25990</v>
      </c>
    </row>
    <row r="18">
      <c r="A18" s="5">
        <v>46238.0</v>
      </c>
      <c r="B18" s="42" t="str">
        <f>HYPERLINK("https://drive.google.com/file/d/13dMLL3VeyFdZeNK1OrQh7Sgs0a2s_OKS/view","2457-R")</f>
        <v>2457-R</v>
      </c>
      <c r="C18" s="3" t="s">
        <v>73</v>
      </c>
      <c r="D18" s="10">
        <v>25.98</v>
      </c>
      <c r="E18" s="10">
        <f t="shared" si="6"/>
        <v>25980</v>
      </c>
    </row>
    <row r="19">
      <c r="A19" s="5">
        <v>46238.0</v>
      </c>
      <c r="B19" s="42" t="str">
        <f>HYPERLINK("https://drive.google.com/file/d/1oyWuzdFY7ewlZ-JYvWSUSYQszYeGR1Nl/view","2458-R")</f>
        <v>2458-R</v>
      </c>
      <c r="C19" s="3" t="s">
        <v>73</v>
      </c>
      <c r="D19" s="10">
        <v>25.97</v>
      </c>
      <c r="E19" s="10">
        <f t="shared" si="6"/>
        <v>25970</v>
      </c>
    </row>
    <row r="20">
      <c r="A20" s="5">
        <v>46239.0</v>
      </c>
      <c r="B20" s="42" t="str">
        <f>HYPERLINK("https://drive.google.com/file/d/1dCSXmu7dtsVXb1lm03NoB703GWhQ4SoL/view","2462-R")</f>
        <v>2462-R</v>
      </c>
      <c r="C20" s="3" t="s">
        <v>78</v>
      </c>
      <c r="D20" s="10">
        <v>25.94</v>
      </c>
      <c r="E20" s="10">
        <f t="shared" si="6"/>
        <v>25940</v>
      </c>
    </row>
    <row r="21">
      <c r="A21" s="5">
        <v>46240.0</v>
      </c>
      <c r="B21" s="42" t="str">
        <f>HYPERLINK("https://drive.google.com/file/d/1dnRbhH5-6l1akkr2TOene6LVg_vIcbqy/view","2463-R")</f>
        <v>2463-R</v>
      </c>
      <c r="C21" s="3" t="s">
        <v>78</v>
      </c>
      <c r="D21" s="10">
        <v>25.9</v>
      </c>
      <c r="E21" s="10">
        <f t="shared" si="6"/>
        <v>25900</v>
      </c>
    </row>
    <row r="22">
      <c r="A22" s="5">
        <v>46240.0</v>
      </c>
      <c r="B22" s="42" t="str">
        <f>HYPERLINK("https://drive.google.com/file/d/1K229IOTPDOAGAckmNGMoLtQr9BUJo-tu/view","2464-R")</f>
        <v>2464-R</v>
      </c>
      <c r="C22" s="3" t="s">
        <v>78</v>
      </c>
      <c r="D22" s="10">
        <v>25.84</v>
      </c>
      <c r="E22" s="10">
        <f t="shared" si="6"/>
        <v>25840</v>
      </c>
    </row>
    <row r="23">
      <c r="A23" s="5">
        <v>46245.0</v>
      </c>
      <c r="B23" s="42" t="str">
        <f>HYPERLINK("https://drive.google.com/file/d/1V-tSOaaiew9uy7s0QLdDwcUShVMHUfrv/view","2468-R")</f>
        <v>2468-R</v>
      </c>
      <c r="C23" s="3" t="s">
        <v>81</v>
      </c>
      <c r="D23" s="32">
        <v>25.92</v>
      </c>
      <c r="E23" s="32">
        <f t="shared" si="6"/>
        <v>25920</v>
      </c>
    </row>
    <row r="24">
      <c r="A24" s="5">
        <v>46245.0</v>
      </c>
      <c r="B24" s="42" t="str">
        <f>HYPERLINK("https://drive.google.com/file/d/1nIjj8CsN8hNswCjppq_y0ho_dyrV4RIh/view","2469-R")</f>
        <v>2469-R</v>
      </c>
      <c r="C24" s="3" t="s">
        <v>81</v>
      </c>
      <c r="D24" s="32">
        <v>25.9</v>
      </c>
      <c r="E24" s="32">
        <f t="shared" si="6"/>
        <v>25900</v>
      </c>
    </row>
    <row r="25">
      <c r="A25" s="5">
        <v>46245.0</v>
      </c>
      <c r="B25" s="42" t="str">
        <f>HYPERLINK("https://drive.google.com/file/d/1COQDpzv_sGmrX2fqsUDq0XxHLQ6Sfc2o/view","2470-R")</f>
        <v>2470-R</v>
      </c>
      <c r="C25" s="3" t="s">
        <v>81</v>
      </c>
      <c r="D25" s="32">
        <v>25.7</v>
      </c>
      <c r="E25" s="32">
        <f t="shared" si="6"/>
        <v>25700</v>
      </c>
    </row>
    <row r="26">
      <c r="A26" s="1" t="s">
        <v>103</v>
      </c>
      <c r="B26" s="1"/>
      <c r="C26" s="1"/>
      <c r="D26" s="46"/>
      <c r="E26" s="46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40" t="s">
        <v>113</v>
      </c>
      <c r="E27" s="40" t="s">
        <v>114</v>
      </c>
      <c r="F27" s="8" t="s">
        <v>115</v>
      </c>
      <c r="G27" s="4" t="s">
        <v>35</v>
      </c>
      <c r="H27" s="8" t="s">
        <v>27</v>
      </c>
      <c r="I27" s="8" t="s">
        <v>28</v>
      </c>
      <c r="J27" s="8" t="s">
        <v>90</v>
      </c>
      <c r="K27" s="8" t="s">
        <v>29</v>
      </c>
      <c r="L27" s="4" t="s">
        <v>116</v>
      </c>
      <c r="M27" s="4" t="s">
        <v>117</v>
      </c>
      <c r="N27" s="4" t="s">
        <v>118</v>
      </c>
      <c r="O27" s="4" t="s">
        <v>39</v>
      </c>
      <c r="P27" s="9"/>
      <c r="Q27" s="9"/>
      <c r="R27" s="9"/>
    </row>
    <row r="28">
      <c r="A28" s="49">
        <v>46283.0</v>
      </c>
      <c r="B28" s="50" t="s">
        <v>121</v>
      </c>
      <c r="C28" s="50" t="s">
        <v>73</v>
      </c>
      <c r="D28" s="51">
        <v>73140.0</v>
      </c>
      <c r="E28" s="51">
        <v>28760.0</v>
      </c>
      <c r="F28" s="51">
        <f t="shared" ref="F28:F37" si="7">IF(OR(D28="",E28=""),"",(D28-E28)*$O$4)</f>
        <v>20130.41296</v>
      </c>
      <c r="G28" s="53"/>
      <c r="H28" s="54">
        <f t="shared" ref="H28:H37" si="8">IF(F28="","",(F28-J28)*$O$5)</f>
        <v>259.6823272</v>
      </c>
      <c r="I28" s="54">
        <f t="shared" ref="I28:I37" si="9">IF(F28="","",(F28-J28)*(1-$O$5)*$O$7)</f>
        <v>38.94663204</v>
      </c>
      <c r="J28" s="51">
        <f t="array" ref="J28">IF(F28="","",IF(ROW()=MAX(IF($C$28:$C$37=C28,ROW($C$28:$C$37),0)),MAX(0,IFERROR(VLOOKUP(C28,$A$10:$L$14,6,FALSE)-VLOOKUP(C28,$A$10:$L$14,5,FALSE),0)),0))</f>
        <v>0</v>
      </c>
      <c r="K28" s="51">
        <f t="shared" ref="K28:K37" si="10">IF(F28="","",F28-H28-I28-J28)</f>
        <v>19831.784</v>
      </c>
      <c r="L28" s="54">
        <f t="shared" ref="L28:L37" si="11">IF(F28="","",(F28-J28)/VLOOKUP(C28,$A$10:$L$14,5,FALSE)*VLOOKUP(C28,$A$10:$L$14,10,FALSE)*$O$8)</f>
        <v>83.29558865</v>
      </c>
      <c r="M28" s="54">
        <f t="array" ref="M28">IF(F28="","",IF(IFERROR(VLOOKUP(C28,$A$10:$P$14,16,FALSE),"")="FULL",IF(ROW()=MIN(IF($C$28:$C$37=C28,ROW($C$28:$C$37),10^9)),VLOOKUP(C28,$A$10:$P$14,11,FALSE),0),(F28-J28)/VLOOKUP(C28,$A$10:$P$14,5,FALSE)*VLOOKUP(C28,$A$10:$P$14,11,FALSE)))</f>
        <v>2199</v>
      </c>
      <c r="N28" s="54">
        <f t="shared" ref="N28:N37" si="12">IF(F28="","",IFERROR(VLOOKUP(C28,$A$10:$L$14,12,FALSE),0)*$O$9)</f>
        <v>85.8</v>
      </c>
      <c r="O28" s="75"/>
    </row>
    <row r="29">
      <c r="A29" s="5">
        <v>46283.0</v>
      </c>
      <c r="B29" s="3" t="s">
        <v>183</v>
      </c>
      <c r="C29" s="3" t="s">
        <v>73</v>
      </c>
      <c r="D29" s="32">
        <v>71260.0</v>
      </c>
      <c r="E29" s="32">
        <v>29480.0</v>
      </c>
      <c r="F29" s="10">
        <f t="shared" si="7"/>
        <v>18951.07376</v>
      </c>
      <c r="G29" s="44"/>
      <c r="H29" s="28">
        <f t="shared" si="8"/>
        <v>244.4688515</v>
      </c>
      <c r="I29" s="28">
        <f t="shared" si="9"/>
        <v>36.66494562</v>
      </c>
      <c r="J29" s="10">
        <f t="array" ref="J29">IF(F29="","",IF(ROW()=MAX(IF($C$28:$C$37=C29,ROW($C$28:$C$37),0)),MAX(0,IFERROR(VLOOKUP(C29,$A$10:$L$14,6,FALSE)-VLOOKUP(C29,$A$10:$L$14,5,FALSE),0)),0))</f>
        <v>0</v>
      </c>
      <c r="K29" s="28">
        <f t="shared" si="10"/>
        <v>18669.93996</v>
      </c>
      <c r="L29" s="11">
        <f t="shared" si="11"/>
        <v>78.41572091</v>
      </c>
      <c r="M29" s="11">
        <f t="array" ref="M29">IF(F29="","",IF(IFERROR(VLOOKUP(C29,$A$10:$P$14,16,FALSE),"")="FULL",IF(ROW()=MIN(IF($C$28:$C$37=C29,ROW($C$28:$C$37),10^9)),VLOOKUP(C29,$A$10:$P$14,11,FALSE),0),(F29-J29)/VLOOKUP(C29,$A$10:$P$14,5,FALSE)*VLOOKUP(C29,$A$10:$P$14,11,FALSE)))</f>
        <v>0</v>
      </c>
      <c r="N29" s="11">
        <f t="shared" si="12"/>
        <v>85.8</v>
      </c>
      <c r="O29" s="75"/>
    </row>
    <row r="30">
      <c r="A30" s="5">
        <v>46283.0</v>
      </c>
      <c r="B30" s="3" t="s">
        <v>217</v>
      </c>
      <c r="C30" s="3" t="s">
        <v>73</v>
      </c>
      <c r="D30" s="32">
        <v>73600.0</v>
      </c>
      <c r="E30" s="82">
        <v>28620.0</v>
      </c>
      <c r="F30" s="10">
        <f t="shared" si="7"/>
        <v>20402.56816</v>
      </c>
      <c r="G30" s="44"/>
      <c r="H30" s="28">
        <f t="shared" si="8"/>
        <v>263.1931293</v>
      </c>
      <c r="I30" s="28">
        <f t="shared" si="9"/>
        <v>39.47317506</v>
      </c>
      <c r="J30" s="10">
        <f t="array" ref="J30">IF(F30="","",IF(ROW()=MAX(IF($C$28:$C$37=C30,ROW($C$28:$C$37),0)),MAX(0,IFERROR(VLOOKUP(C30,$A$10:$L$14,6,FALSE)-VLOOKUP(C30,$A$10:$L$14,5,FALSE),0)),0))</f>
        <v>0</v>
      </c>
      <c r="K30" s="28">
        <f t="shared" si="10"/>
        <v>20099.90186</v>
      </c>
      <c r="L30" s="11">
        <f t="shared" si="11"/>
        <v>84.42171198</v>
      </c>
      <c r="M30" s="11">
        <f t="array" ref="M30">IF(F30="","",IF(IFERROR(VLOOKUP(C30,$A$10:$P$14,16,FALSE),"")="FULL",IF(ROW()=MIN(IF($C$28:$C$37=C30,ROW($C$28:$C$37),10^9)),VLOOKUP(C30,$A$10:$P$14,11,FALSE),0),(F30-J30)/VLOOKUP(C30,$A$10:$P$14,5,FALSE)*VLOOKUP(C30,$A$10:$P$14,11,FALSE)))</f>
        <v>0</v>
      </c>
      <c r="N30" s="11">
        <f t="shared" si="12"/>
        <v>85.8</v>
      </c>
      <c r="O30" s="75"/>
    </row>
    <row r="31">
      <c r="A31" s="89">
        <v>46283.0</v>
      </c>
      <c r="B31" s="7" t="s">
        <v>249</v>
      </c>
      <c r="C31" s="7" t="s">
        <v>73</v>
      </c>
      <c r="D31" s="91">
        <v>69780.0</v>
      </c>
      <c r="E31" s="91">
        <v>29360.0</v>
      </c>
      <c r="F31" s="91">
        <f t="shared" si="7"/>
        <v>18334.18864</v>
      </c>
      <c r="G31" s="92"/>
      <c r="H31" s="93">
        <f t="shared" si="8"/>
        <v>236.5110335</v>
      </c>
      <c r="I31" s="93">
        <f t="shared" si="9"/>
        <v>35.47144811</v>
      </c>
      <c r="J31" s="91">
        <f t="array" ref="J31">IF(F31="","",IF(ROW()=MAX(IF($C$28:$C$37=C31,ROW($C$28:$C$37),0)),MAX(0,IFERROR(VLOOKUP(C31,$A$10:$L$14,6,FALSE)-VLOOKUP(C31,$A$10:$L$14,5,FALSE),0)),0))</f>
        <v>0</v>
      </c>
      <c r="K31" s="93">
        <f t="shared" si="10"/>
        <v>18062.20616</v>
      </c>
      <c r="L31" s="91">
        <f t="shared" si="11"/>
        <v>75.8631747</v>
      </c>
      <c r="M31" s="93">
        <f t="array" ref="M31">IF(F31="","",IF(IFERROR(VLOOKUP(C31,$A$10:$P$14,16,FALSE),"")="FULL",IF(ROW()=MIN(IF($C$28:$C$37=C31,ROW($C$28:$C$37),10^9)),VLOOKUP(C31,$A$10:$P$14,11,FALSE),0),(F31-J31)/VLOOKUP(C31,$A$10:$P$14,5,FALSE)*VLOOKUP(C31,$A$10:$P$14,11,FALSE)))</f>
        <v>0</v>
      </c>
      <c r="N31" s="93">
        <f t="shared" si="12"/>
        <v>85.8</v>
      </c>
      <c r="O31" s="75"/>
    </row>
    <row r="32">
      <c r="A32" s="89">
        <v>46283.0</v>
      </c>
      <c r="B32" s="7" t="s">
        <v>250</v>
      </c>
      <c r="C32" s="7" t="s">
        <v>78</v>
      </c>
      <c r="D32" s="91">
        <v>75300.0</v>
      </c>
      <c r="E32" s="91">
        <v>28880.0</v>
      </c>
      <c r="F32" s="91">
        <f t="shared" si="7"/>
        <v>21055.74064</v>
      </c>
      <c r="G32" s="92"/>
      <c r="H32" s="93">
        <f t="shared" si="8"/>
        <v>271.6190543</v>
      </c>
      <c r="I32" s="93">
        <f t="shared" si="9"/>
        <v>40.73687831</v>
      </c>
      <c r="J32" s="91">
        <f t="array" ref="J32">IF(F32="","",IF(ROW()=MAX(IF($C$28:$C$37=C32,ROW($C$28:$C$37),0)),MAX(0,IFERROR(VLOOKUP(C32,$A$10:$L$14,6,FALSE)-VLOOKUP(C32,$A$10:$L$14,5,FALSE),0)),0))</f>
        <v>0</v>
      </c>
      <c r="K32" s="93">
        <f t="shared" si="10"/>
        <v>20743.38471</v>
      </c>
      <c r="L32" s="91">
        <f t="shared" si="11"/>
        <v>87.41601901</v>
      </c>
      <c r="M32" s="93">
        <f t="array" ref="M32">IF(F32="","",IF(IFERROR(VLOOKUP(C32,$A$10:$P$14,16,FALSE),"")="FULL",IF(ROW()=MIN(IF($C$28:$C$37=C32,ROW($C$28:$C$37),10^9)),VLOOKUP(C32,$A$10:$P$14,11,FALSE),0),(F32-J32)/VLOOKUP(C32,$A$10:$P$14,5,FALSE)*VLOOKUP(C32,$A$10:$P$14,11,FALSE)))</f>
        <v>596.0552738</v>
      </c>
      <c r="N32" s="93">
        <f t="shared" si="12"/>
        <v>85.8</v>
      </c>
      <c r="O32" s="75"/>
    </row>
    <row r="33">
      <c r="A33" s="89">
        <v>46283.0</v>
      </c>
      <c r="B33" s="7" t="s">
        <v>251</v>
      </c>
      <c r="C33" s="7" t="s">
        <v>78</v>
      </c>
      <c r="D33" s="91">
        <v>75020.0</v>
      </c>
      <c r="E33" s="91">
        <v>28740.0</v>
      </c>
      <c r="F33" s="91">
        <f t="shared" si="7"/>
        <v>20992.23776</v>
      </c>
      <c r="G33" s="92"/>
      <c r="H33" s="93">
        <f t="shared" si="8"/>
        <v>270.7998671</v>
      </c>
      <c r="I33" s="93">
        <f t="shared" si="9"/>
        <v>40.61401827</v>
      </c>
      <c r="J33" s="91">
        <f t="array" ref="J33">IF(F33="","",IF(ROW()=MAX(IF($C$28:$C$37=C33,ROW($C$28:$C$37),0)),MAX(0,IFERROR(VLOOKUP(C33,$A$10:$L$14,6,FALSE)-VLOOKUP(C33,$A$10:$L$14,5,FALSE),0)),0))</f>
        <v>0</v>
      </c>
      <c r="K33" s="93">
        <f t="shared" si="10"/>
        <v>20680.82387</v>
      </c>
      <c r="L33" s="91">
        <f t="shared" si="11"/>
        <v>87.15237742</v>
      </c>
      <c r="M33" s="93">
        <f t="array" ref="M33">IF(F33="","",IF(IFERROR(VLOOKUP(C33,$A$10:$P$14,16,FALSE),"")="FULL",IF(ROW()=MIN(IF($C$28:$C$37=C33,ROW($C$28:$C$37),10^9)),VLOOKUP(C33,$A$10:$P$14,11,FALSE),0),(F33-J33)/VLOOKUP(C33,$A$10:$P$14,5,FALSE)*VLOOKUP(C33,$A$10:$P$14,11,FALSE)))</f>
        <v>594.257606</v>
      </c>
      <c r="N33" s="93">
        <f t="shared" si="12"/>
        <v>85.8</v>
      </c>
      <c r="O33" s="75"/>
    </row>
    <row r="34">
      <c r="A34" s="5">
        <v>46283.0</v>
      </c>
      <c r="B34" s="3" t="s">
        <v>252</v>
      </c>
      <c r="C34" s="3" t="s">
        <v>81</v>
      </c>
      <c r="D34" s="32">
        <v>72940.0</v>
      </c>
      <c r="E34" s="32">
        <v>28740.0</v>
      </c>
      <c r="F34" s="10">
        <f t="shared" si="7"/>
        <v>20048.7664</v>
      </c>
      <c r="G34" s="44"/>
      <c r="H34" s="10">
        <f t="shared" si="8"/>
        <v>258.6290866</v>
      </c>
      <c r="I34" s="10">
        <f t="shared" si="9"/>
        <v>38.78866913</v>
      </c>
      <c r="J34" s="10">
        <f t="array" ref="J34">IF(F34="","",IF(ROW()=MAX(IF($C$28:$C$37=C34,ROW($C$28:$C$37),0)),MAX(0,IFERROR(VLOOKUP(C34,$A$10:$L$14,6,FALSE)-VLOOKUP(C34,$A$10:$L$14,5,FALSE),0)),0))</f>
        <v>0</v>
      </c>
      <c r="K34" s="10">
        <f t="shared" si="10"/>
        <v>19751.34864</v>
      </c>
      <c r="L34" s="11">
        <f t="shared" si="11"/>
        <v>83.40721316</v>
      </c>
      <c r="M34" s="11">
        <f t="array" ref="M34">IF(F34="","",IF(IFERROR(VLOOKUP(C34,$A$10:$P$14,16,FALSE),"")="FULL",IF(ROW()=MIN(IF($C$28:$C$37=C34,ROW($C$28:$C$37),10^9)),VLOOKUP(C34,$A$10:$P$14,11,FALSE),0),(F34-J34)/VLOOKUP(C34,$A$10:$P$14,5,FALSE)*VLOOKUP(C34,$A$10:$P$14,11,FALSE)))</f>
        <v>2199</v>
      </c>
      <c r="N34" s="11">
        <f t="shared" si="12"/>
        <v>85.8</v>
      </c>
      <c r="O34" s="75"/>
    </row>
    <row r="35">
      <c r="A35" s="5">
        <v>46283.0</v>
      </c>
      <c r="B35" s="3" t="s">
        <v>253</v>
      </c>
      <c r="C35" s="3" t="s">
        <v>81</v>
      </c>
      <c r="D35" s="32">
        <v>72640.0</v>
      </c>
      <c r="E35" s="32">
        <v>29640.0</v>
      </c>
      <c r="F35" s="10">
        <f t="shared" si="7"/>
        <v>19504.456</v>
      </c>
      <c r="G35" s="44"/>
      <c r="H35" s="10">
        <f t="shared" si="8"/>
        <v>251.6074824</v>
      </c>
      <c r="I35" s="10">
        <f t="shared" si="9"/>
        <v>37.73558309</v>
      </c>
      <c r="J35" s="10">
        <f t="array" ref="J35">IF(F35="","",IF(ROW()=MAX(IF($C$28:$C$37=C35,ROW($C$28:$C$37),0)),MAX(0,IFERROR(VLOOKUP(C35,$A$10:$L$14,6,FALSE)-VLOOKUP(C35,$A$10:$L$14,5,FALSE),0)),0))</f>
        <v>0</v>
      </c>
      <c r="K35" s="10">
        <f t="shared" si="10"/>
        <v>19215.11293</v>
      </c>
      <c r="L35" s="11">
        <f t="shared" si="11"/>
        <v>81.14276393</v>
      </c>
      <c r="M35" s="11">
        <f t="array" ref="M35">IF(F35="","",IF(IFERROR(VLOOKUP(C35,$A$10:$P$14,16,FALSE),"")="FULL",IF(ROW()=MIN(IF($C$28:$C$37=C35,ROW($C$28:$C$37),10^9)),VLOOKUP(C35,$A$10:$P$14,11,FALSE),0),(F35-J35)/VLOOKUP(C35,$A$10:$P$14,5,FALSE)*VLOOKUP(C35,$A$10:$P$14,11,FALSE)))</f>
        <v>0</v>
      </c>
      <c r="N35" s="11">
        <f t="shared" si="12"/>
        <v>85.8</v>
      </c>
      <c r="O35" s="75"/>
    </row>
    <row r="36">
      <c r="A36" s="89">
        <v>46283.0</v>
      </c>
      <c r="B36" s="94" t="s">
        <v>254</v>
      </c>
      <c r="C36" s="94" t="s">
        <v>81</v>
      </c>
      <c r="D36" s="95">
        <v>73280.0</v>
      </c>
      <c r="E36" s="95">
        <v>29460.0</v>
      </c>
      <c r="F36" s="95">
        <f t="shared" si="7"/>
        <v>19876.40144</v>
      </c>
      <c r="G36" s="96"/>
      <c r="H36" s="95">
        <f t="shared" si="8"/>
        <v>256.4055786</v>
      </c>
      <c r="I36" s="95">
        <f t="shared" si="9"/>
        <v>38.45519189</v>
      </c>
      <c r="J36" s="95">
        <f t="array" ref="J36">IF(F36="","",IF(ROW()=MAX(IF($C$28:$C$37=C36,ROW($C$28:$C$37),0)),MAX(0,IFERROR(VLOOKUP(C36,$A$10:$L$14,6,FALSE)-VLOOKUP(C36,$A$10:$L$14,5,FALSE),0)),0))</f>
        <v>0</v>
      </c>
      <c r="K36" s="95">
        <f t="shared" si="10"/>
        <v>19581.54067</v>
      </c>
      <c r="L36" s="11">
        <f t="shared" si="11"/>
        <v>82.69013757</v>
      </c>
      <c r="M36" s="11">
        <f t="array" ref="M36">IF(F36="","",IF(IFERROR(VLOOKUP(C36,$A$10:$P$14,16,FALSE),"")="FULL",IF(ROW()=MIN(IF($C$28:$C$37=C36,ROW($C$28:$C$37),10^9)),VLOOKUP(C36,$A$10:$P$14,11,FALSE),0),(F36-J36)/VLOOKUP(C36,$A$10:$P$14,5,FALSE)*VLOOKUP(C36,$A$10:$P$14,11,FALSE)))</f>
        <v>0</v>
      </c>
      <c r="N36" s="11">
        <f t="shared" si="12"/>
        <v>85.8</v>
      </c>
      <c r="O36" s="75"/>
    </row>
    <row r="37">
      <c r="A37" s="5">
        <v>46283.0</v>
      </c>
      <c r="B37" s="3" t="s">
        <v>255</v>
      </c>
      <c r="C37" s="3" t="s">
        <v>81</v>
      </c>
      <c r="D37" s="32">
        <v>68080.0</v>
      </c>
      <c r="E37" s="32">
        <v>28340.0</v>
      </c>
      <c r="F37" s="32">
        <f t="shared" si="7"/>
        <v>18025.74608</v>
      </c>
      <c r="G37" s="13"/>
      <c r="H37" s="11">
        <f t="shared" si="8"/>
        <v>232.5321244</v>
      </c>
      <c r="I37" s="11">
        <f t="shared" si="9"/>
        <v>34.87469935</v>
      </c>
      <c r="J37" s="32">
        <f t="array" ref="J37">IF(F37="","",IF(ROW()=MAX(IF($C$28:$C$37=C37,ROW($C$28:$C$37),0)),MAX(0,IFERROR(VLOOKUP(C37,$A$10:$L$14,6,FALSE)-VLOOKUP(C37,$A$10:$L$14,5,FALSE),0)),0))</f>
        <v>0</v>
      </c>
      <c r="K37" s="11">
        <f t="shared" si="10"/>
        <v>17758.33926</v>
      </c>
      <c r="L37" s="11">
        <f t="shared" si="11"/>
        <v>74.9910102</v>
      </c>
      <c r="M37" s="11">
        <f t="array" ref="M37">IF(F37="","",IF(IFERROR(VLOOKUP(C37,$A$10:$P$14,16,FALSE),"")="FULL",IF(ROW()=MIN(IF($C$28:$C$37=C37,ROW($C$28:$C$37),10^9)),VLOOKUP(C37,$A$10:$P$14,11,FALSE),0),(F37-J37)/VLOOKUP(C37,$A$10:$P$14,5,FALSE)*VLOOKUP(C37,$A$10:$P$14,11,FALSE)))</f>
        <v>0</v>
      </c>
      <c r="N37" s="11">
        <f t="shared" si="12"/>
        <v>85.8</v>
      </c>
    </row>
    <row r="38">
      <c r="A38" s="5"/>
      <c r="D38" s="11"/>
      <c r="E38" s="11"/>
      <c r="F38" s="32"/>
      <c r="G38" s="13"/>
      <c r="H38" s="11"/>
      <c r="I38" s="11"/>
      <c r="J38" s="11"/>
      <c r="K38" s="11"/>
      <c r="L38" s="11">
        <f t="shared" ref="L38:N38" si="13">SUM(L28:L37)</f>
        <v>818.7957175</v>
      </c>
      <c r="M38" s="11">
        <f t="shared" si="13"/>
        <v>5588.31288</v>
      </c>
      <c r="N38" s="11">
        <f t="shared" si="13"/>
        <v>858</v>
      </c>
    </row>
    <row r="39">
      <c r="A39" s="5"/>
      <c r="D39" s="11"/>
      <c r="E39" s="11"/>
      <c r="F39" s="32"/>
      <c r="G39" s="13"/>
      <c r="H39" s="11"/>
      <c r="I39" s="11"/>
      <c r="J39" s="11"/>
      <c r="K39" s="11"/>
      <c r="L39" s="11" t="str">
        <f t="shared" ref="L39:L42" si="14">IF(F39="","",(F39-J39)/VLOOKUP(C39,$A$10:$L$14,5,FALSE)*VLOOKUP(C39,$A$10:$L$14,10,FALSE)*$O$8)</f>
        <v/>
      </c>
      <c r="M39" s="11" t="str">
        <f t="shared" ref="M39:M42" si="15">IF(F39="","",(F39-J39)/VLOOKUP(C39,$A$10:$L$14,5,FALSE)*VLOOKUP(C39,$A$10:$L$14,11,FALSE))</f>
        <v/>
      </c>
      <c r="N39" s="11" t="str">
        <f t="shared" ref="N39:N42" si="16">IF(F39="","",IFERROR(VLOOKUP(C39,$A$10:$L$14,12,FALSE),0)*$O$9)</f>
        <v/>
      </c>
    </row>
    <row r="40">
      <c r="A40" s="5"/>
      <c r="D40" s="11"/>
      <c r="E40" s="11"/>
      <c r="F40" s="32"/>
      <c r="G40" s="13"/>
      <c r="H40" s="11"/>
      <c r="I40" s="11"/>
      <c r="J40" s="11"/>
      <c r="K40" s="11"/>
      <c r="L40" s="11" t="str">
        <f t="shared" si="14"/>
        <v/>
      </c>
      <c r="M40" s="11" t="str">
        <f t="shared" si="15"/>
        <v/>
      </c>
      <c r="N40" s="11" t="str">
        <f t="shared" si="16"/>
        <v/>
      </c>
    </row>
    <row r="41">
      <c r="D41" s="11"/>
      <c r="E41" s="11"/>
      <c r="F41" s="11"/>
      <c r="G41" s="13"/>
      <c r="H41" s="11"/>
      <c r="I41" s="11"/>
      <c r="J41" s="11"/>
      <c r="K41" s="11"/>
      <c r="L41" s="11" t="str">
        <f t="shared" si="14"/>
        <v/>
      </c>
      <c r="M41" s="11" t="str">
        <f t="shared" si="15"/>
        <v/>
      </c>
      <c r="N41" s="11" t="str">
        <f t="shared" si="16"/>
        <v/>
      </c>
    </row>
    <row r="42">
      <c r="D42" s="11"/>
      <c r="E42" s="11"/>
      <c r="F42" s="11"/>
      <c r="G42" s="13"/>
      <c r="H42" s="11"/>
      <c r="I42" s="11"/>
      <c r="J42" s="11"/>
      <c r="K42" s="11"/>
      <c r="L42" s="11" t="str">
        <f t="shared" si="14"/>
        <v/>
      </c>
      <c r="M42" s="11" t="str">
        <f t="shared" si="15"/>
        <v/>
      </c>
      <c r="N42" s="11" t="str">
        <f t="shared" si="16"/>
        <v/>
      </c>
    </row>
    <row r="43">
      <c r="D43" s="11"/>
      <c r="E43" s="11"/>
      <c r="F43" s="11"/>
      <c r="G43" s="13"/>
    </row>
    <row r="44">
      <c r="A44" s="1" t="s">
        <v>256</v>
      </c>
      <c r="B44" s="2"/>
      <c r="C44" s="2"/>
      <c r="D44" s="38"/>
      <c r="E44" s="38"/>
      <c r="F44" s="38"/>
      <c r="G44" s="3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257</v>
      </c>
      <c r="B45" s="4" t="s">
        <v>21</v>
      </c>
      <c r="C45" s="4" t="s">
        <v>258</v>
      </c>
      <c r="D45" s="40" t="s">
        <v>27</v>
      </c>
      <c r="E45" s="40" t="s">
        <v>28</v>
      </c>
      <c r="F45" s="40" t="s">
        <v>29</v>
      </c>
      <c r="G45" s="40" t="s">
        <v>35</v>
      </c>
      <c r="H45" s="43" t="s">
        <v>92</v>
      </c>
      <c r="I45" s="43"/>
      <c r="J45" s="43"/>
      <c r="K45" s="43" t="s">
        <v>259</v>
      </c>
      <c r="L45" s="4"/>
      <c r="M45" s="4" t="s">
        <v>93</v>
      </c>
      <c r="N45" s="9"/>
      <c r="O45" s="9"/>
      <c r="P45" s="9"/>
      <c r="Q45" s="9"/>
      <c r="R45" s="9"/>
    </row>
    <row r="46">
      <c r="A46" s="11">
        <f>SUM(F28:F42)</f>
        <v>197321.5918</v>
      </c>
      <c r="B46" s="11">
        <f>SUM(J28:J42)</f>
        <v>0</v>
      </c>
      <c r="C46" s="14">
        <f>A46-B46</f>
        <v>197321.5918</v>
      </c>
      <c r="D46" s="11">
        <f t="shared" ref="D46:E46" si="17">SUM(H28:H42)</f>
        <v>2545.448535</v>
      </c>
      <c r="E46" s="11">
        <f t="shared" si="17"/>
        <v>381.7612409</v>
      </c>
      <c r="F46" s="11">
        <f>C46-D46-E46-K46</f>
        <v>193491.9399</v>
      </c>
      <c r="G46" s="13" t="str">
        <f>IFERROR(AVERAGE(G28:G42),"")</f>
        <v/>
      </c>
      <c r="H46" s="31"/>
      <c r="I46" s="13"/>
      <c r="J46" s="13"/>
      <c r="K46" s="13">
        <f>R4*R5*R3</f>
        <v>902.4421693</v>
      </c>
      <c r="L46" s="13"/>
      <c r="M46" s="15" t="str">
        <f>IFERROR(__xludf.DUMMYFUNCTION("TRIM(TEXTJOIN("", "",TRUE,IFERROR(FILTER(B17:B25,B17:B25&lt;&gt;""""),"""")))"),"2456-R, 2457-R, 2458-R, 2462-R, 2463-R, 2464-R, 2468-R, 2469-R, 2470-R")</f>
        <v>2456-R, 2457-R, 2458-R, 2462-R, 2463-R, 2464-R, 2468-R, 2469-R, 2470-R</v>
      </c>
    </row>
    <row r="47">
      <c r="D47" s="11"/>
      <c r="E47" s="11"/>
      <c r="F47" s="11"/>
      <c r="G47" s="13"/>
    </row>
    <row r="48">
      <c r="D48" s="11"/>
      <c r="E48" s="11"/>
      <c r="F48" s="11"/>
      <c r="G48" s="13"/>
    </row>
    <row r="49">
      <c r="D49" s="11"/>
      <c r="E49" s="11"/>
      <c r="F49" s="11"/>
      <c r="G49" s="13"/>
    </row>
    <row r="50">
      <c r="D50" s="11"/>
      <c r="E50" s="11"/>
      <c r="F50" s="11"/>
      <c r="G5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12</v>
      </c>
      <c r="L4" s="6">
        <v>0.453592</v>
      </c>
    </row>
    <row r="5">
      <c r="K5" s="4" t="s">
        <v>25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13</v>
      </c>
      <c r="L7" s="6">
        <v>0.00196</v>
      </c>
    </row>
    <row r="8">
      <c r="A8" s="1" t="s">
        <v>37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22</v>
      </c>
      <c r="B9" s="4" t="s">
        <v>44</v>
      </c>
      <c r="C9" s="8" t="s">
        <v>45</v>
      </c>
      <c r="D9" s="8" t="s">
        <v>46</v>
      </c>
      <c r="E9" s="4" t="s">
        <v>47</v>
      </c>
      <c r="F9" s="4" t="s">
        <v>48</v>
      </c>
      <c r="G9" s="8" t="s">
        <v>49</v>
      </c>
      <c r="H9" s="4" t="s">
        <v>35</v>
      </c>
      <c r="I9" s="4" t="s">
        <v>38</v>
      </c>
      <c r="J9" s="4" t="s">
        <v>27</v>
      </c>
      <c r="K9" s="4" t="s">
        <v>28</v>
      </c>
      <c r="L9" s="4" t="s">
        <v>29</v>
      </c>
      <c r="M9" s="4" t="s">
        <v>39</v>
      </c>
      <c r="N9" s="4" t="s">
        <v>50</v>
      </c>
    </row>
    <row r="10">
      <c r="A10" s="5"/>
      <c r="C10" s="10"/>
      <c r="D10" s="10"/>
      <c r="E10" s="11"/>
      <c r="F10" s="11"/>
      <c r="G10" s="10"/>
      <c r="H10" s="13"/>
      <c r="J10" s="15" t="str">
        <f t="shared" ref="J10:J24" si="1">IF(D10="","",D10*$L$5)</f>
        <v/>
      </c>
      <c r="K10" s="15" t="str">
        <f t="shared" ref="K10:K24" si="2">IF(D10="","",(D10-J10)*$L$7)</f>
        <v/>
      </c>
      <c r="L10" s="15" t="str">
        <f t="shared" ref="L10:L24" si="3">IF(D10="","",D10-J10-K10)</f>
        <v/>
      </c>
      <c r="N10" s="3">
        <v>2197.0</v>
      </c>
    </row>
    <row r="11">
      <c r="A11" s="5"/>
      <c r="C11" s="10"/>
      <c r="D11" s="10"/>
      <c r="E11" s="11"/>
      <c r="F11" s="11"/>
      <c r="G11" s="10"/>
      <c r="H11" s="13"/>
      <c r="J11" s="15" t="str">
        <f t="shared" si="1"/>
        <v/>
      </c>
      <c r="K11" s="15" t="str">
        <f t="shared" si="2"/>
        <v/>
      </c>
      <c r="L11" s="15" t="str">
        <f t="shared" si="3"/>
        <v/>
      </c>
      <c r="N11" s="3">
        <v>2197.0</v>
      </c>
    </row>
    <row r="12">
      <c r="A12" s="5"/>
      <c r="C12" s="10"/>
      <c r="D12" s="10"/>
      <c r="E12" s="11"/>
      <c r="F12" s="11"/>
      <c r="G12" s="10"/>
      <c r="H12" s="13"/>
      <c r="J12" s="15" t="str">
        <f t="shared" si="1"/>
        <v/>
      </c>
      <c r="K12" s="15" t="str">
        <f t="shared" si="2"/>
        <v/>
      </c>
      <c r="L12" s="15" t="str">
        <f t="shared" si="3"/>
        <v/>
      </c>
      <c r="N12" s="3">
        <v>2197.0</v>
      </c>
    </row>
    <row r="13">
      <c r="A13" s="5"/>
      <c r="C13" s="10"/>
      <c r="D13" s="10"/>
      <c r="E13" s="11"/>
      <c r="F13" s="11"/>
      <c r="G13" s="10"/>
      <c r="H13" s="13"/>
      <c r="J13" s="15" t="str">
        <f t="shared" si="1"/>
        <v/>
      </c>
      <c r="K13" s="15" t="str">
        <f t="shared" si="2"/>
        <v/>
      </c>
      <c r="L13" s="15" t="str">
        <f t="shared" si="3"/>
        <v/>
      </c>
    </row>
    <row r="14">
      <c r="A14" s="5"/>
      <c r="C14" s="10"/>
      <c r="D14" s="10"/>
      <c r="E14" s="11"/>
      <c r="F14" s="11"/>
      <c r="G14" s="10"/>
      <c r="H14" s="13"/>
      <c r="J14" s="15" t="str">
        <f t="shared" si="1"/>
        <v/>
      </c>
      <c r="K14" s="15" t="str">
        <f t="shared" si="2"/>
        <v/>
      </c>
      <c r="L14" s="15" t="str">
        <f t="shared" si="3"/>
        <v/>
      </c>
    </row>
    <row r="15">
      <c r="A15" s="5"/>
      <c r="C15" s="10"/>
      <c r="D15" s="10"/>
      <c r="E15" s="11"/>
      <c r="F15" s="11"/>
      <c r="G15" s="10"/>
      <c r="H15" s="13"/>
      <c r="J15" s="15" t="str">
        <f t="shared" si="1"/>
        <v/>
      </c>
      <c r="K15" s="15" t="str">
        <f t="shared" si="2"/>
        <v/>
      </c>
      <c r="L15" s="15" t="str">
        <f t="shared" si="3"/>
        <v/>
      </c>
    </row>
    <row r="16">
      <c r="A16" s="26"/>
      <c r="C16" s="10"/>
      <c r="D16" s="28"/>
      <c r="E16" s="11"/>
      <c r="F16" s="11"/>
      <c r="G16" s="28"/>
      <c r="H16" s="13"/>
      <c r="J16" s="15" t="str">
        <f t="shared" si="1"/>
        <v/>
      </c>
      <c r="K16" s="15" t="str">
        <f t="shared" si="2"/>
        <v/>
      </c>
      <c r="L16" s="15" t="str">
        <f t="shared" si="3"/>
        <v/>
      </c>
    </row>
    <row r="17">
      <c r="A17" s="26"/>
      <c r="C17" s="10"/>
      <c r="D17" s="28"/>
      <c r="E17" s="11"/>
      <c r="F17" s="11"/>
      <c r="G17" s="28"/>
      <c r="H17" s="13"/>
      <c r="J17" s="15" t="str">
        <f t="shared" si="1"/>
        <v/>
      </c>
      <c r="K17" s="15" t="str">
        <f t="shared" si="2"/>
        <v/>
      </c>
      <c r="L17" s="15" t="str">
        <f t="shared" si="3"/>
        <v/>
      </c>
    </row>
    <row r="18">
      <c r="A18" s="26"/>
      <c r="C18" s="10"/>
      <c r="D18" s="28"/>
      <c r="E18" s="11"/>
      <c r="F18" s="11"/>
      <c r="G18" s="28"/>
      <c r="H18" s="13"/>
      <c r="J18" s="15" t="str">
        <f t="shared" si="1"/>
        <v/>
      </c>
      <c r="K18" s="15" t="str">
        <f t="shared" si="2"/>
        <v/>
      </c>
      <c r="L18" s="15" t="str">
        <f t="shared" si="3"/>
        <v/>
      </c>
    </row>
    <row r="19">
      <c r="A19" s="26"/>
      <c r="C19" s="10"/>
      <c r="D19" s="28"/>
      <c r="E19" s="11"/>
      <c r="F19" s="11"/>
      <c r="G19" s="28"/>
      <c r="H19" s="13"/>
      <c r="J19" s="15" t="str">
        <f t="shared" si="1"/>
        <v/>
      </c>
      <c r="K19" s="15" t="str">
        <f t="shared" si="2"/>
        <v/>
      </c>
      <c r="L19" s="15" t="str">
        <f t="shared" si="3"/>
        <v/>
      </c>
    </row>
    <row r="20">
      <c r="A20" s="26"/>
      <c r="C20" s="10"/>
      <c r="D20" s="28"/>
      <c r="E20" s="11"/>
      <c r="F20" s="11"/>
      <c r="G20" s="28"/>
      <c r="H20" s="13"/>
      <c r="J20" s="15" t="str">
        <f t="shared" si="1"/>
        <v/>
      </c>
      <c r="K20" s="15" t="str">
        <f t="shared" si="2"/>
        <v/>
      </c>
      <c r="L20" s="15" t="str">
        <f t="shared" si="3"/>
        <v/>
      </c>
    </row>
    <row r="21">
      <c r="A21" s="26"/>
      <c r="C21" s="10"/>
      <c r="D21" s="28"/>
      <c r="E21" s="11"/>
      <c r="F21" s="11"/>
      <c r="G21" s="28"/>
      <c r="H21" s="13"/>
      <c r="J21" s="15" t="str">
        <f t="shared" si="1"/>
        <v/>
      </c>
      <c r="K21" s="15" t="str">
        <f t="shared" si="2"/>
        <v/>
      </c>
      <c r="L21" s="15" t="str">
        <f t="shared" si="3"/>
        <v/>
      </c>
    </row>
    <row r="22">
      <c r="A22" s="26"/>
      <c r="C22" s="10"/>
      <c r="D22" s="28"/>
      <c r="E22" s="11"/>
      <c r="F22" s="11"/>
      <c r="G22" s="28"/>
      <c r="H22" s="13"/>
      <c r="J22" s="15" t="str">
        <f t="shared" si="1"/>
        <v/>
      </c>
      <c r="K22" s="15" t="str">
        <f t="shared" si="2"/>
        <v/>
      </c>
      <c r="L22" s="15" t="str">
        <f t="shared" si="3"/>
        <v/>
      </c>
    </row>
    <row r="23">
      <c r="A23" s="26"/>
      <c r="C23" s="10"/>
      <c r="D23" s="28"/>
      <c r="E23" s="11"/>
      <c r="F23" s="11"/>
      <c r="G23" s="28"/>
      <c r="H23" s="13"/>
      <c r="J23" s="15" t="str">
        <f t="shared" si="1"/>
        <v/>
      </c>
      <c r="K23" s="15" t="str">
        <f t="shared" si="2"/>
        <v/>
      </c>
      <c r="L23" s="15" t="str">
        <f t="shared" si="3"/>
        <v/>
      </c>
    </row>
    <row r="24">
      <c r="C24" s="28"/>
      <c r="D24" s="28"/>
      <c r="E24" s="11"/>
      <c r="F24" s="11"/>
      <c r="G24" s="28"/>
      <c r="H24" s="13"/>
      <c r="J24" s="15" t="str">
        <f t="shared" si="1"/>
        <v/>
      </c>
      <c r="K24" s="15" t="str">
        <f t="shared" si="2"/>
        <v/>
      </c>
      <c r="L24" s="15" t="str">
        <f t="shared" si="3"/>
        <v/>
      </c>
    </row>
    <row r="25">
      <c r="C25" s="11"/>
      <c r="D25" s="11"/>
      <c r="E25" s="11"/>
      <c r="F25" s="11"/>
      <c r="G25" s="11"/>
      <c r="H25" s="13"/>
      <c r="N25" s="37">
        <f>sum(N10:N23)</f>
        <v>6591</v>
      </c>
    </row>
    <row r="26">
      <c r="A26" s="1" t="s">
        <v>85</v>
      </c>
      <c r="B26" s="2"/>
      <c r="C26" s="38"/>
      <c r="D26" s="38"/>
      <c r="E26" s="38"/>
      <c r="F26" s="38"/>
      <c r="G26" s="38"/>
      <c r="H26" s="39"/>
      <c r="I26" s="2"/>
      <c r="J26" s="2"/>
      <c r="K26" s="2"/>
      <c r="L26" s="2"/>
      <c r="M26" s="2"/>
      <c r="N26" s="2"/>
    </row>
    <row r="27">
      <c r="A27" s="4" t="s">
        <v>88</v>
      </c>
      <c r="B27" s="4" t="s">
        <v>89</v>
      </c>
      <c r="C27" s="40" t="s">
        <v>24</v>
      </c>
      <c r="D27" s="40" t="s">
        <v>27</v>
      </c>
      <c r="E27" s="40" t="s">
        <v>28</v>
      </c>
      <c r="F27" s="40" t="s">
        <v>90</v>
      </c>
      <c r="G27" s="40" t="s">
        <v>29</v>
      </c>
      <c r="H27" s="43" t="s">
        <v>35</v>
      </c>
      <c r="I27" s="4" t="s">
        <v>92</v>
      </c>
      <c r="J27" s="4"/>
      <c r="K27" s="4" t="s">
        <v>93</v>
      </c>
      <c r="L27" s="9"/>
      <c r="M27" s="9"/>
      <c r="N27" s="9"/>
    </row>
    <row r="28">
      <c r="A28" s="11">
        <f>SUMIFS(D10:D24,B10:B24,"&lt;&gt;")</f>
        <v>0</v>
      </c>
      <c r="B28" s="11">
        <f>SUMIFS(G10:G24,B10:B24,"&lt;&gt;")</f>
        <v>0</v>
      </c>
      <c r="C28" s="14">
        <f>A28</f>
        <v>0</v>
      </c>
      <c r="D28" s="11">
        <f>C28*$L$5</f>
        <v>0</v>
      </c>
      <c r="E28" s="32">
        <f>(C28-D28)*$L$7</f>
        <v>0</v>
      </c>
      <c r="F28" s="44">
        <v>0.0</v>
      </c>
      <c r="G28" s="13">
        <f>C28-D28-E28-F28</f>
        <v>0</v>
      </c>
      <c r="H28" s="13" t="str">
        <f>IFERROR(AVERAGE(H10:H24),"")</f>
        <v/>
      </c>
      <c r="K28" s="15" t="str">
        <f>IFERROR(__xludf.DUMMYFUNCTION("TRIM(TEXTJOIN("", "",TRUE,IFERROR(FILTER(B10:B24,B10:B24&lt;&gt;""""),"""")))"),"")</f>
        <v/>
      </c>
    </row>
    <row r="29">
      <c r="C29" s="11"/>
      <c r="D29" s="11"/>
      <c r="E29" s="11"/>
      <c r="F29" s="11"/>
      <c r="G29" s="11"/>
      <c r="H29" s="13"/>
    </row>
    <row r="30">
      <c r="C30" s="11"/>
      <c r="D30" s="11"/>
      <c r="E30" s="11"/>
      <c r="F30" s="11"/>
      <c r="G30" s="11"/>
      <c r="H3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5</v>
      </c>
      <c r="J2" s="4"/>
      <c r="L2" s="3" t="s">
        <v>6</v>
      </c>
    </row>
    <row r="3">
      <c r="A3" s="3" t="s">
        <v>7</v>
      </c>
      <c r="B3" s="5">
        <v>46276.0</v>
      </c>
      <c r="J3" s="4"/>
      <c r="L3" s="3" t="s">
        <v>9</v>
      </c>
      <c r="M3" s="6">
        <v>2.20462</v>
      </c>
    </row>
    <row r="4">
      <c r="A4" s="3" t="s">
        <v>10</v>
      </c>
      <c r="B4" s="5">
        <v>46283.0</v>
      </c>
      <c r="J4" s="4"/>
      <c r="L4" s="3" t="s">
        <v>12</v>
      </c>
      <c r="M4" s="6">
        <v>0.453592</v>
      </c>
    </row>
    <row r="5">
      <c r="J5" s="4"/>
      <c r="L5" s="3" t="s">
        <v>13</v>
      </c>
      <c r="M5" s="6">
        <v>0.00196</v>
      </c>
    </row>
    <row r="6">
      <c r="J6" s="4"/>
      <c r="L6" s="3" t="s">
        <v>14</v>
      </c>
      <c r="M6" s="3" t="s">
        <v>15</v>
      </c>
    </row>
    <row r="7">
      <c r="L7" s="3" t="s">
        <v>16</v>
      </c>
      <c r="M7" s="6">
        <v>0.004</v>
      </c>
    </row>
    <row r="8">
      <c r="A8" s="1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22</v>
      </c>
      <c r="B9" s="4" t="s">
        <v>23</v>
      </c>
      <c r="C9" s="8" t="s">
        <v>26</v>
      </c>
      <c r="D9" s="8" t="s">
        <v>30</v>
      </c>
      <c r="E9" s="4" t="s">
        <v>32</v>
      </c>
      <c r="F9" s="4" t="s">
        <v>34</v>
      </c>
      <c r="G9" s="8" t="s">
        <v>35</v>
      </c>
      <c r="H9" s="4" t="s">
        <v>38</v>
      </c>
      <c r="I9" s="4" t="s">
        <v>39</v>
      </c>
      <c r="J9" s="4" t="s">
        <v>40</v>
      </c>
      <c r="K9" s="4" t="s">
        <v>41</v>
      </c>
      <c r="L9" s="9"/>
      <c r="M9" s="9"/>
    </row>
    <row r="10">
      <c r="A10" s="5">
        <v>46283.0</v>
      </c>
      <c r="B10" s="3" t="s">
        <v>43</v>
      </c>
      <c r="C10" s="10">
        <v>76680.0</v>
      </c>
      <c r="D10" s="10">
        <v>34420.0</v>
      </c>
      <c r="E10" s="11">
        <f>C10-D10</f>
        <v>42260</v>
      </c>
      <c r="F10" s="11">
        <f>E10*M4</f>
        <v>19168.79792</v>
      </c>
      <c r="G10" s="10"/>
    </row>
    <row r="11">
      <c r="A11" s="5"/>
      <c r="C11" s="10"/>
      <c r="D11" s="10"/>
      <c r="E11" s="11"/>
      <c r="F11" s="11"/>
      <c r="G11" s="10"/>
    </row>
    <row r="12">
      <c r="A12" s="5"/>
      <c r="C12" s="10"/>
      <c r="D12" s="10"/>
      <c r="E12" s="11"/>
      <c r="F12" s="11"/>
      <c r="G12" s="10"/>
    </row>
    <row r="13">
      <c r="A13" s="5"/>
      <c r="C13" s="10"/>
      <c r="D13" s="10"/>
      <c r="E13" s="11"/>
      <c r="F13" s="11"/>
      <c r="G13" s="10"/>
    </row>
    <row r="14">
      <c r="C14" s="11"/>
      <c r="D14" s="11"/>
      <c r="E14" s="11"/>
      <c r="F14" s="11"/>
      <c r="G14" s="11"/>
    </row>
    <row r="15">
      <c r="A15" s="16" t="s">
        <v>53</v>
      </c>
      <c r="B15" s="18"/>
      <c r="C15" s="19"/>
      <c r="D15" s="19"/>
      <c r="E15" s="19"/>
      <c r="F15" s="19"/>
      <c r="G15" s="19"/>
      <c r="H15" s="2"/>
      <c r="I15" s="2"/>
      <c r="J15" s="2"/>
      <c r="K15" s="2"/>
      <c r="L15" s="2"/>
      <c r="M15" s="2"/>
    </row>
    <row r="16">
      <c r="A16" s="20" t="s">
        <v>55</v>
      </c>
      <c r="B16" s="20" t="s">
        <v>28</v>
      </c>
      <c r="C16" s="20" t="s">
        <v>29</v>
      </c>
      <c r="D16" s="22" t="s">
        <v>35</v>
      </c>
      <c r="E16" s="22" t="s">
        <v>57</v>
      </c>
      <c r="F16" s="22"/>
      <c r="G16" s="22" t="s">
        <v>59</v>
      </c>
    </row>
    <row r="17">
      <c r="A17" s="24">
        <f>SUMIFS(F9:F14,B9:B14,"&lt;&gt;")</f>
        <v>19168.79792</v>
      </c>
      <c r="B17" s="24">
        <f>A17*$M$5</f>
        <v>37.57084392</v>
      </c>
      <c r="C17" s="24">
        <f>A17-B17</f>
        <v>19131.22708</v>
      </c>
      <c r="D17" s="25" t="str">
        <f>IFERROR(AVERAGE(G9:G14),"")</f>
        <v/>
      </c>
      <c r="E17" s="27"/>
      <c r="F17" s="22"/>
      <c r="G17" s="22" t="str">
        <f>IFERROR(__xludf.DUMMYFUNCTION("TRIM(TEXTJOIN("", "",TRUE,IFERROR(FILTER(B9:B14,B9:B14&lt;&gt;""""),"""")))"),"UID, KC-09")</f>
        <v>UID, KC-09</v>
      </c>
    </row>
    <row r="18">
      <c r="A18" s="30"/>
      <c r="B18" s="30"/>
      <c r="C18" s="30"/>
      <c r="D18" s="30"/>
      <c r="E18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12</v>
      </c>
      <c r="L4" s="6">
        <v>0.453592</v>
      </c>
    </row>
    <row r="5">
      <c r="K5" s="4" t="s">
        <v>25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96</v>
      </c>
      <c r="L7" s="6">
        <v>0.795241</v>
      </c>
    </row>
    <row r="8">
      <c r="A8" s="1" t="s">
        <v>97</v>
      </c>
      <c r="B8" s="2"/>
      <c r="C8" s="2"/>
      <c r="D8" s="2"/>
      <c r="E8" s="2"/>
      <c r="F8" s="2"/>
      <c r="G8" s="2"/>
      <c r="H8" s="2"/>
      <c r="I8" s="2"/>
      <c r="J8" s="1"/>
      <c r="K8" s="1" t="s">
        <v>98</v>
      </c>
      <c r="L8" s="21">
        <v>7.84</v>
      </c>
      <c r="M8" s="45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99</v>
      </c>
      <c r="C9" s="4"/>
      <c r="D9" s="4" t="s">
        <v>100</v>
      </c>
      <c r="E9" s="8"/>
      <c r="F9" s="4" t="s">
        <v>101</v>
      </c>
      <c r="G9" s="4"/>
      <c r="H9" s="4"/>
      <c r="I9" s="4"/>
      <c r="J9" s="9"/>
      <c r="K9" s="4" t="s">
        <v>102</v>
      </c>
      <c r="L9" s="9"/>
      <c r="M9" s="9"/>
    </row>
    <row r="10">
      <c r="C10" s="32"/>
      <c r="D10" s="32"/>
      <c r="E10" s="10"/>
      <c r="F10" s="32"/>
      <c r="G10" s="32"/>
      <c r="H10" s="44"/>
      <c r="J10" s="3" t="s">
        <v>105</v>
      </c>
      <c r="K10" s="3" t="s">
        <v>106</v>
      </c>
      <c r="L10" s="6">
        <v>0.7128290192302931</v>
      </c>
      <c r="M10" s="42" t="str">
        <f>HYPERLINK("https://docs.google.com/spreadsheets/d/1L167k_JS3mnisFy3VpS-OXgI8U0cK-4nC6A9sxl-ozk/edit","PP Summary")</f>
        <v>PP Summary</v>
      </c>
    </row>
    <row r="11">
      <c r="C11" s="32"/>
      <c r="D11" s="11"/>
      <c r="E11" s="10"/>
      <c r="F11" s="11"/>
      <c r="G11" s="32"/>
      <c r="H11" s="47"/>
      <c r="K11" s="48" t="s">
        <v>119</v>
      </c>
      <c r="L11" s="6">
        <v>0.9748408534875329</v>
      </c>
      <c r="M11" s="42" t="str">
        <f>HYPERLINK("https://docs.google.com/spreadsheets/d/1W8jWu3sp39WnSuds1Ja0FWDG5UuWN9v5NUmF6yh_WbI/edit","PP Summary")</f>
        <v>PP Summary</v>
      </c>
    </row>
    <row r="12">
      <c r="C12" s="32"/>
      <c r="D12" s="11"/>
      <c r="E12" s="10"/>
      <c r="F12" s="11"/>
      <c r="G12" s="32"/>
      <c r="H12" s="47"/>
      <c r="K12" s="48" t="s">
        <v>122</v>
      </c>
      <c r="L12" s="6">
        <v>0.9721828239230533</v>
      </c>
      <c r="M12" s="42" t="str">
        <f>HYPERLINK("https://docs.google.com/spreadsheets/d/1-L6m2wYknC3o-yIts9KK7FrYAb5lZIv4AwaizK8FbMc/edit","PP Summary")</f>
        <v>PP Summary</v>
      </c>
    </row>
    <row r="13">
      <c r="C13" s="32"/>
      <c r="D13" s="11"/>
      <c r="E13" s="10"/>
      <c r="F13" s="11"/>
      <c r="G13" s="32"/>
      <c r="H13" s="47"/>
      <c r="K13" s="48" t="s">
        <v>123</v>
      </c>
      <c r="L13" s="6">
        <v>0.9319944877512889</v>
      </c>
      <c r="M13" s="42" t="str">
        <f>HYPERLINK("https://docs.google.com/spreadsheets/d/1bPZ7pNsR5rv-om-BypF4lK3nczjn4HJNO2dzimwnx7E/edit","PP Summary")</f>
        <v>PP Summary</v>
      </c>
    </row>
    <row r="14">
      <c r="C14" s="32"/>
      <c r="D14" s="11"/>
      <c r="E14" s="10"/>
      <c r="F14" s="11"/>
      <c r="G14" s="32"/>
      <c r="H14" s="47"/>
      <c r="K14" s="48" t="s">
        <v>124</v>
      </c>
      <c r="L14" s="6">
        <v>0.84989612258998</v>
      </c>
      <c r="M14" s="42" t="str">
        <f>HYPERLINK("https://docs.google.com/spreadsheets/d/1vH7bborVnc-TCby3wEkpzi7GGMOI5jMJooEW0V-rOQ4/edit","PP Summary")</f>
        <v>PP Summary</v>
      </c>
    </row>
    <row r="15">
      <c r="C15" s="32"/>
      <c r="D15" s="11"/>
      <c r="E15" s="10"/>
      <c r="F15" s="11"/>
      <c r="G15" s="32"/>
      <c r="H15" s="47"/>
      <c r="K15" s="48" t="s">
        <v>125</v>
      </c>
      <c r="L15" s="6">
        <v>0.7900645329689984</v>
      </c>
      <c r="M15" s="42" t="str">
        <f>HYPERLINK("https://docs.google.com/spreadsheets/d/1O7y30opa_u1_deqFm_w2qgVyxi_75X00xnzKuyVyh6o/edit","PP Summary")</f>
        <v>PP Summary</v>
      </c>
    </row>
    <row r="16">
      <c r="C16" s="32"/>
      <c r="D16" s="11"/>
      <c r="E16" s="28"/>
      <c r="F16" s="11"/>
      <c r="G16" s="32"/>
      <c r="H16" s="47"/>
      <c r="K16" s="48" t="s">
        <v>126</v>
      </c>
      <c r="L16" s="6">
        <v>0.7848323401347014</v>
      </c>
      <c r="M16" s="42" t="str">
        <f>HYPERLINK("https://docs.google.com/spreadsheets/d/10Qwx7K6sUcOBrCebGUGVaVeLQnhzvcT8sHQ0Sy3VBBM/edit","PP Summary")</f>
        <v>PP Summary</v>
      </c>
    </row>
    <row r="17">
      <c r="C17" s="32"/>
      <c r="D17" s="11"/>
      <c r="E17" s="28"/>
      <c r="F17" s="11"/>
      <c r="G17" s="32"/>
      <c r="H17" s="47"/>
      <c r="K17" s="48" t="s">
        <v>128</v>
      </c>
      <c r="L17" s="6">
        <v>0.6328458891234968</v>
      </c>
      <c r="M17" s="42" t="str">
        <f>HYPERLINK("https://docs.google.com/spreadsheets/d/1m66t1jsLGc4e6AWnCFMsFbkSceZ9IYC_-bfTsbP_OYc/edit","PP Summary")</f>
        <v>PP Summary</v>
      </c>
    </row>
    <row r="18">
      <c r="C18" s="32"/>
      <c r="D18" s="11"/>
      <c r="E18" s="28"/>
      <c r="F18" s="11"/>
      <c r="G18" s="32"/>
      <c r="H18" s="47"/>
      <c r="K18" s="48" t="s">
        <v>130</v>
      </c>
      <c r="L18" s="6">
        <v>1.1105355635937064</v>
      </c>
      <c r="M18" s="42" t="str">
        <f>HYPERLINK("https://docs.google.com/spreadsheets/d/1MUQajDI2a_Cn9xWGPP7z4PhhphZnfl2_CSTnpB07Wgk/edit","PP Summary")</f>
        <v>PP Summary</v>
      </c>
    </row>
    <row r="19">
      <c r="C19" s="32"/>
      <c r="D19" s="11"/>
      <c r="E19" s="28"/>
      <c r="F19" s="11"/>
      <c r="G19" s="32"/>
      <c r="H19" s="47"/>
      <c r="K19" s="3" t="s">
        <v>131</v>
      </c>
      <c r="L19" s="15">
        <f>$L$7</f>
        <v>0.795241</v>
      </c>
    </row>
    <row r="20">
      <c r="C20" s="32"/>
      <c r="D20" s="11"/>
      <c r="E20" s="28"/>
      <c r="F20" s="11"/>
      <c r="G20" s="32"/>
      <c r="H20" s="47"/>
    </row>
    <row r="21">
      <c r="C21" s="32"/>
      <c r="D21" s="11"/>
      <c r="E21" s="28"/>
      <c r="F21" s="11"/>
      <c r="G21" s="32"/>
      <c r="H21" s="47"/>
    </row>
    <row r="22">
      <c r="C22" s="32"/>
      <c r="D22" s="11"/>
      <c r="E22" s="28"/>
      <c r="F22" s="11"/>
      <c r="G22" s="32"/>
      <c r="H22" s="47"/>
    </row>
    <row r="23">
      <c r="C23" s="32"/>
      <c r="D23" s="11"/>
      <c r="E23" s="28"/>
      <c r="F23" s="11"/>
      <c r="G23" s="32"/>
      <c r="H23" s="47"/>
    </row>
    <row r="24">
      <c r="C24" s="11"/>
      <c r="D24" s="11"/>
      <c r="E24" s="28"/>
      <c r="F24" s="11"/>
      <c r="G24" s="11"/>
      <c r="H24" s="47"/>
    </row>
    <row r="25">
      <c r="C25" s="11"/>
      <c r="D25" s="11"/>
      <c r="E25" s="28"/>
      <c r="F25" s="11"/>
      <c r="G25" s="11"/>
      <c r="H25" s="47"/>
      <c r="J25" s="15">
        <f>SUM(J11:J23)</f>
        <v>0</v>
      </c>
    </row>
    <row r="26">
      <c r="C26" s="11"/>
      <c r="D26" s="11"/>
      <c r="E26" s="28"/>
      <c r="F26" s="11"/>
      <c r="G26" s="11"/>
      <c r="H26" s="13"/>
    </row>
    <row r="27">
      <c r="C27" s="11"/>
      <c r="D27" s="11"/>
      <c r="E27" s="28"/>
      <c r="F27" s="11"/>
      <c r="G27" s="11"/>
      <c r="H27" s="13"/>
    </row>
    <row r="28">
      <c r="C28" s="32"/>
      <c r="D28" s="32"/>
      <c r="E28" s="28"/>
      <c r="F28" s="11"/>
      <c r="G28" s="11"/>
      <c r="H28" s="13"/>
    </row>
    <row r="29">
      <c r="C29" s="11"/>
      <c r="D29" s="11"/>
      <c r="E29" s="28"/>
      <c r="F29" s="11"/>
      <c r="G29" s="11"/>
      <c r="H29" s="13"/>
    </row>
    <row r="30">
      <c r="C30" s="11"/>
      <c r="D30" s="11"/>
      <c r="E30" s="11"/>
      <c r="F30" s="11"/>
      <c r="G30" s="11"/>
      <c r="H30" s="13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9"/>
      <c r="I32" s="9"/>
      <c r="J32" s="9"/>
      <c r="K32" s="9"/>
      <c r="L32" s="9"/>
      <c r="M32" s="9"/>
      <c r="N32" s="9"/>
    </row>
    <row r="33">
      <c r="A33" s="11"/>
      <c r="B33" s="11"/>
      <c r="C33" s="11"/>
      <c r="D33" s="13"/>
      <c r="E33" s="13"/>
      <c r="F33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12</v>
      </c>
      <c r="L4" s="6">
        <v>0.453592</v>
      </c>
    </row>
    <row r="5">
      <c r="K5" s="4" t="s">
        <v>25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134</v>
      </c>
      <c r="L7" s="6">
        <v>0.120947</v>
      </c>
    </row>
    <row r="8">
      <c r="A8" s="1" t="s">
        <v>135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9"/>
      <c r="B9" s="60" t="s">
        <v>99</v>
      </c>
      <c r="C9" s="60"/>
      <c r="D9" s="60" t="s">
        <v>136</v>
      </c>
      <c r="E9" s="4"/>
      <c r="F9" s="4" t="s">
        <v>101</v>
      </c>
      <c r="G9" s="4"/>
      <c r="H9" s="4"/>
      <c r="I9" s="4"/>
      <c r="K9" s="3" t="s">
        <v>102</v>
      </c>
    </row>
    <row r="10">
      <c r="A10" s="61" t="s">
        <v>137</v>
      </c>
      <c r="B10" s="62" t="s">
        <v>138</v>
      </c>
      <c r="C10" s="62" t="s">
        <v>139</v>
      </c>
      <c r="D10" s="62" t="s">
        <v>140</v>
      </c>
      <c r="E10" s="62" t="s">
        <v>141</v>
      </c>
      <c r="F10" s="62" t="s">
        <v>142</v>
      </c>
      <c r="G10" s="4" t="s">
        <v>143</v>
      </c>
      <c r="H10" s="4" t="s">
        <v>144</v>
      </c>
      <c r="I10" s="4" t="s">
        <v>145</v>
      </c>
      <c r="J10" s="4" t="s">
        <v>105</v>
      </c>
      <c r="K10" s="3" t="s">
        <v>106</v>
      </c>
      <c r="L10" s="6">
        <v>0.1575553394801048</v>
      </c>
      <c r="M10" s="42" t="str">
        <f>HYPERLINK("https://docs.google.com/spreadsheets/d/1L167k_JS3mnisFy3VpS-OXgI8U0cK-4nC6A9sxl-ozk/edit","PP Summary")</f>
        <v>PP Summary</v>
      </c>
    </row>
    <row r="11">
      <c r="A11" s="63">
        <v>301009.0</v>
      </c>
      <c r="B11" s="64">
        <v>1013.0</v>
      </c>
      <c r="C11" s="65">
        <v>57.6</v>
      </c>
      <c r="D11" s="66">
        <f t="shared" ref="D11:D48" si="1">B11-C11</f>
        <v>955.4</v>
      </c>
      <c r="E11" s="64">
        <v>180.5</v>
      </c>
      <c r="F11" s="66">
        <f t="shared" ref="F11:F48" si="2">IF(E11="","",B11-E11)</f>
        <v>832.5</v>
      </c>
      <c r="G11" s="3" t="s">
        <v>148</v>
      </c>
      <c r="H11" s="6">
        <f t="shared" ref="H11:H23" si="3">$L$16</f>
        <v>0.1314184532</v>
      </c>
      <c r="I11" s="15">
        <f t="shared" ref="I11:I47" si="4">H11*D11</f>
        <v>125.5571902</v>
      </c>
      <c r="J11" s="15">
        <f t="shared" ref="J11:J47" si="5">2.5*$L$4</f>
        <v>1.13398</v>
      </c>
      <c r="K11" s="67">
        <v>45962.0</v>
      </c>
      <c r="L11" s="6">
        <v>0.1392140547840092</v>
      </c>
      <c r="M11" s="42" t="str">
        <f>HYPERLINK("https://docs.google.com/spreadsheets/d/1W8jWu3sp39WnSuds1Ja0FWDG5UuWN9v5NUmF6yh_WbI/edit","PP Summary")</f>
        <v>PP Summary</v>
      </c>
    </row>
    <row r="12">
      <c r="A12" s="68">
        <v>301082.0</v>
      </c>
      <c r="B12" s="64">
        <v>1066.0</v>
      </c>
      <c r="C12" s="65">
        <v>57.6</v>
      </c>
      <c r="D12" s="65">
        <f t="shared" si="1"/>
        <v>1008.4</v>
      </c>
      <c r="E12" s="65">
        <v>165.0</v>
      </c>
      <c r="F12" s="66">
        <f t="shared" si="2"/>
        <v>901</v>
      </c>
      <c r="G12" s="3" t="s">
        <v>150</v>
      </c>
      <c r="H12" s="6">
        <f t="shared" si="3"/>
        <v>0.1314184532</v>
      </c>
      <c r="I12" s="15">
        <f t="shared" si="4"/>
        <v>132.5223682</v>
      </c>
      <c r="J12" s="15">
        <f t="shared" si="5"/>
        <v>1.13398</v>
      </c>
      <c r="K12" s="67">
        <v>45992.0</v>
      </c>
      <c r="L12" s="6">
        <v>0.16306166436976688</v>
      </c>
      <c r="M12" s="42" t="str">
        <f>HYPERLINK("https://docs.google.com/spreadsheets/d/1-L6m2wYknC3o-yIts9KK7FrYAb5lZIv4AwaizK8FbMc/edit","PP Summary")</f>
        <v>PP Summary</v>
      </c>
    </row>
    <row r="13">
      <c r="A13" s="68">
        <v>301103.0</v>
      </c>
      <c r="B13" s="64">
        <v>1014.0</v>
      </c>
      <c r="C13" s="65">
        <v>57.6</v>
      </c>
      <c r="D13" s="66">
        <f t="shared" si="1"/>
        <v>956.4</v>
      </c>
      <c r="E13" s="64">
        <v>151.5</v>
      </c>
      <c r="F13" s="66">
        <f t="shared" si="2"/>
        <v>862.5</v>
      </c>
      <c r="G13" s="3" t="s">
        <v>152</v>
      </c>
      <c r="H13" s="6">
        <f t="shared" si="3"/>
        <v>0.1314184532</v>
      </c>
      <c r="I13" s="15">
        <f t="shared" si="4"/>
        <v>125.6886086</v>
      </c>
      <c r="J13" s="15">
        <f t="shared" si="5"/>
        <v>1.13398</v>
      </c>
      <c r="K13" s="67">
        <v>46023.0</v>
      </c>
      <c r="L13" s="6">
        <v>0.15683401691482485</v>
      </c>
      <c r="M13" s="42" t="str">
        <f>HYPERLINK("https://docs.google.com/spreadsheets/d/1bPZ7pNsR5rv-om-BypF4lK3nczjn4HJNO2dzimwnx7E/edit","PP Summary")</f>
        <v>PP Summary</v>
      </c>
    </row>
    <row r="14">
      <c r="A14" s="68">
        <v>301112.0</v>
      </c>
      <c r="B14" s="64">
        <v>1005.0</v>
      </c>
      <c r="C14" s="65">
        <v>57.6</v>
      </c>
      <c r="D14" s="66">
        <f t="shared" si="1"/>
        <v>947.4</v>
      </c>
      <c r="E14" s="64">
        <v>197.0</v>
      </c>
      <c r="F14" s="66">
        <f t="shared" si="2"/>
        <v>808</v>
      </c>
      <c r="G14" s="3" t="s">
        <v>159</v>
      </c>
      <c r="H14" s="6">
        <f t="shared" si="3"/>
        <v>0.1314184532</v>
      </c>
      <c r="I14" s="15">
        <f t="shared" si="4"/>
        <v>124.5058426</v>
      </c>
      <c r="J14" s="15">
        <f t="shared" si="5"/>
        <v>1.13398</v>
      </c>
      <c r="K14" s="67">
        <v>46054.0</v>
      </c>
      <c r="L14" s="6">
        <v>0.13304979391442986</v>
      </c>
      <c r="M14" s="42" t="str">
        <f>HYPERLINK("https://docs.google.com/spreadsheets/d/1vH7bborVnc-TCby3wEkpzi7GGMOI5jMJooEW0V-rOQ4/edit","PP Summary")</f>
        <v>PP Summary</v>
      </c>
    </row>
    <row r="15">
      <c r="A15" s="68">
        <v>301114.0</v>
      </c>
      <c r="B15" s="64">
        <v>1027.0</v>
      </c>
      <c r="C15" s="65">
        <v>57.6</v>
      </c>
      <c r="D15" s="66">
        <f t="shared" si="1"/>
        <v>969.4</v>
      </c>
      <c r="E15" s="64">
        <v>195.0</v>
      </c>
      <c r="F15" s="66">
        <f t="shared" si="2"/>
        <v>832</v>
      </c>
      <c r="G15" s="3" t="s">
        <v>162</v>
      </c>
      <c r="H15" s="6">
        <f t="shared" si="3"/>
        <v>0.1314184532</v>
      </c>
      <c r="I15" s="15">
        <f t="shared" si="4"/>
        <v>127.3970485</v>
      </c>
      <c r="J15" s="15">
        <f t="shared" si="5"/>
        <v>1.13398</v>
      </c>
      <c r="K15" s="67">
        <v>46082.0</v>
      </c>
      <c r="L15" s="6">
        <v>0.11852515320294801</v>
      </c>
      <c r="M15" s="42" t="str">
        <f>HYPERLINK("https://docs.google.com/spreadsheets/d/1O7y30opa_u1_deqFm_w2qgVyxi_75X00xnzKuyVyh6o/edit","PP Summary")</f>
        <v>PP Summary</v>
      </c>
    </row>
    <row r="16">
      <c r="A16" s="73">
        <v>301115.0</v>
      </c>
      <c r="B16" s="64">
        <v>1032.0</v>
      </c>
      <c r="C16" s="65">
        <v>57.6</v>
      </c>
      <c r="D16" s="66">
        <f t="shared" si="1"/>
        <v>974.4</v>
      </c>
      <c r="E16" s="64">
        <v>184.0</v>
      </c>
      <c r="F16" s="66">
        <f t="shared" si="2"/>
        <v>848</v>
      </c>
      <c r="G16" s="3" t="s">
        <v>174</v>
      </c>
      <c r="H16" s="6">
        <f t="shared" si="3"/>
        <v>0.1314184532</v>
      </c>
      <c r="I16" s="15">
        <f t="shared" si="4"/>
        <v>128.0541408</v>
      </c>
      <c r="J16" s="15">
        <f t="shared" si="5"/>
        <v>1.13398</v>
      </c>
      <c r="K16" s="67">
        <v>46113.0</v>
      </c>
      <c r="L16" s="6">
        <v>0.131418453205342</v>
      </c>
      <c r="M16" s="42" t="str">
        <f>HYPERLINK("https://docs.google.com/spreadsheets/d/10Qwx7K6sUcOBrCebGUGVaVeLQnhzvcT8sHQ0Sy3VBBM/edit","PP Summary")</f>
        <v>PP Summary</v>
      </c>
    </row>
    <row r="17">
      <c r="A17" s="68">
        <v>301121.0</v>
      </c>
      <c r="B17" s="64">
        <v>1027.0</v>
      </c>
      <c r="C17" s="65">
        <v>57.6</v>
      </c>
      <c r="D17" s="66">
        <f t="shared" si="1"/>
        <v>969.4</v>
      </c>
      <c r="E17" s="64">
        <v>174.0</v>
      </c>
      <c r="F17" s="66">
        <f t="shared" si="2"/>
        <v>853</v>
      </c>
      <c r="G17" s="3" t="s">
        <v>175</v>
      </c>
      <c r="H17" s="6">
        <f t="shared" si="3"/>
        <v>0.1314184532</v>
      </c>
      <c r="I17" s="15">
        <f t="shared" si="4"/>
        <v>127.3970485</v>
      </c>
      <c r="J17" s="15">
        <f t="shared" si="5"/>
        <v>1.13398</v>
      </c>
      <c r="K17" s="67">
        <v>46143.0</v>
      </c>
      <c r="L17" s="6">
        <v>0.1106615762401743</v>
      </c>
      <c r="M17" s="42" t="str">
        <f>HYPERLINK("https://docs.google.com/spreadsheets/d/1m66t1jsLGc4e6AWnCFMsFbkSceZ9IYC_-bfTsbP_OYc/edit","PP Summary")</f>
        <v>PP Summary</v>
      </c>
    </row>
    <row r="18">
      <c r="A18" s="68">
        <v>301122.0</v>
      </c>
      <c r="B18" s="64">
        <v>996.0</v>
      </c>
      <c r="C18" s="65">
        <v>57.6</v>
      </c>
      <c r="D18" s="66">
        <f t="shared" si="1"/>
        <v>938.4</v>
      </c>
      <c r="E18" s="64">
        <v>205.5</v>
      </c>
      <c r="F18" s="66">
        <f t="shared" si="2"/>
        <v>790.5</v>
      </c>
      <c r="G18" s="3" t="s">
        <v>177</v>
      </c>
      <c r="H18" s="6">
        <f t="shared" si="3"/>
        <v>0.1314184532</v>
      </c>
      <c r="I18" s="15">
        <f t="shared" si="4"/>
        <v>123.3230765</v>
      </c>
      <c r="J18" s="15">
        <f t="shared" si="5"/>
        <v>1.13398</v>
      </c>
      <c r="K18" s="67">
        <v>46174.0</v>
      </c>
      <c r="L18" s="6">
        <v>0.1236896673712938</v>
      </c>
      <c r="M18" s="42" t="str">
        <f>HYPERLINK("https://docs.google.com/spreadsheets/d/1MUQajDI2a_Cn9xWGPP7z4PhhphZnfl2_CSTnpB07Wgk/edit","PP Summary")</f>
        <v>PP Summary</v>
      </c>
    </row>
    <row r="19">
      <c r="A19" s="68">
        <v>301123.0</v>
      </c>
      <c r="B19" s="64">
        <v>1009.0</v>
      </c>
      <c r="C19" s="65">
        <v>57.6</v>
      </c>
      <c r="D19" s="66">
        <f t="shared" si="1"/>
        <v>951.4</v>
      </c>
      <c r="E19" s="64">
        <v>170.5</v>
      </c>
      <c r="F19" s="66">
        <f t="shared" si="2"/>
        <v>838.5</v>
      </c>
      <c r="G19" s="3" t="s">
        <v>179</v>
      </c>
      <c r="H19" s="6">
        <f t="shared" si="3"/>
        <v>0.1314184532</v>
      </c>
      <c r="I19" s="15">
        <f t="shared" si="4"/>
        <v>125.0315164</v>
      </c>
      <c r="J19" s="15">
        <f t="shared" si="5"/>
        <v>1.13398</v>
      </c>
      <c r="K19" s="3" t="s">
        <v>131</v>
      </c>
      <c r="L19" s="15">
        <f>$L$7</f>
        <v>0.120947</v>
      </c>
    </row>
    <row r="20">
      <c r="A20" s="68">
        <v>301126.0</v>
      </c>
      <c r="B20" s="64">
        <v>1043.0</v>
      </c>
      <c r="C20" s="65">
        <v>57.6</v>
      </c>
      <c r="D20" s="66">
        <f t="shared" si="1"/>
        <v>985.4</v>
      </c>
      <c r="E20" s="65">
        <v>145.5</v>
      </c>
      <c r="F20" s="66">
        <f t="shared" si="2"/>
        <v>897.5</v>
      </c>
      <c r="G20" s="3" t="s">
        <v>181</v>
      </c>
      <c r="H20" s="6">
        <f t="shared" si="3"/>
        <v>0.1314184532</v>
      </c>
      <c r="I20" s="15">
        <f t="shared" si="4"/>
        <v>129.4997438</v>
      </c>
      <c r="J20" s="15">
        <f t="shared" si="5"/>
        <v>1.13398</v>
      </c>
      <c r="K20" s="3" t="s">
        <v>182</v>
      </c>
      <c r="L20" s="6">
        <v>0.13736711280644612</v>
      </c>
      <c r="M20" s="42" t="str">
        <f>HYPERLINK("https://docs.google.com/spreadsheets/d/1qPyS0H9Wx8z2vMl_3ANE1YLYahKLeL1Qo8OmZ_ol9aI/edit","PP Summary")</f>
        <v>PP Summary</v>
      </c>
    </row>
    <row r="21">
      <c r="A21" s="68">
        <v>301139.0</v>
      </c>
      <c r="B21" s="64">
        <v>1005.0</v>
      </c>
      <c r="C21" s="65">
        <v>57.6</v>
      </c>
      <c r="D21" s="66">
        <f t="shared" si="1"/>
        <v>947.4</v>
      </c>
      <c r="E21" s="64">
        <v>196.0</v>
      </c>
      <c r="F21" s="66">
        <f t="shared" si="2"/>
        <v>809</v>
      </c>
      <c r="G21" s="3" t="s">
        <v>185</v>
      </c>
      <c r="H21" s="6">
        <f t="shared" si="3"/>
        <v>0.1314184532</v>
      </c>
      <c r="I21" s="15">
        <f t="shared" si="4"/>
        <v>124.5058426</v>
      </c>
      <c r="J21" s="15">
        <f t="shared" si="5"/>
        <v>1.13398</v>
      </c>
      <c r="K21" s="67">
        <f>DATE(2025,9,1)</f>
        <v>45901</v>
      </c>
      <c r="L21" s="6">
        <v>0.12868956697570233</v>
      </c>
      <c r="M21" s="42" t="str">
        <f>HYPERLINK("https://docs.google.com/spreadsheets/d/1mojgzK0eWo2N7Lh4Xjc_mGHEtTdqNunHtR_a90ZNk7o/edit","PP Summary")</f>
        <v>PP Summary</v>
      </c>
    </row>
    <row r="22">
      <c r="A22" s="68">
        <v>301145.0</v>
      </c>
      <c r="B22" s="64">
        <v>1064.0</v>
      </c>
      <c r="C22" s="65">
        <v>57.6</v>
      </c>
      <c r="D22" s="66">
        <f t="shared" si="1"/>
        <v>1006.4</v>
      </c>
      <c r="E22" s="64">
        <v>164.5</v>
      </c>
      <c r="F22" s="66">
        <f t="shared" si="2"/>
        <v>899.5</v>
      </c>
      <c r="G22" s="3" t="s">
        <v>187</v>
      </c>
      <c r="H22" s="6">
        <f t="shared" si="3"/>
        <v>0.1314184532</v>
      </c>
      <c r="I22" s="15">
        <f t="shared" si="4"/>
        <v>132.2595313</v>
      </c>
      <c r="J22" s="15">
        <f t="shared" si="5"/>
        <v>1.13398</v>
      </c>
    </row>
    <row r="23">
      <c r="A23" s="68">
        <v>301150.0</v>
      </c>
      <c r="B23" s="64">
        <v>1035.0</v>
      </c>
      <c r="C23" s="65">
        <v>57.6</v>
      </c>
      <c r="D23" s="66">
        <f t="shared" si="1"/>
        <v>977.4</v>
      </c>
      <c r="E23" s="64">
        <v>172.0</v>
      </c>
      <c r="F23" s="66">
        <f t="shared" si="2"/>
        <v>863</v>
      </c>
      <c r="G23" s="3" t="s">
        <v>193</v>
      </c>
      <c r="H23" s="6">
        <f t="shared" si="3"/>
        <v>0.1314184532</v>
      </c>
      <c r="I23" s="15">
        <f t="shared" si="4"/>
        <v>128.4483962</v>
      </c>
      <c r="J23" s="15">
        <f t="shared" si="5"/>
        <v>1.13398</v>
      </c>
    </row>
    <row r="24">
      <c r="A24" s="68">
        <v>301154.0</v>
      </c>
      <c r="B24" s="64">
        <v>988.0</v>
      </c>
      <c r="C24" s="65">
        <v>57.6</v>
      </c>
      <c r="D24" s="66">
        <f t="shared" si="1"/>
        <v>930.4</v>
      </c>
      <c r="E24" s="64">
        <v>145.0</v>
      </c>
      <c r="F24" s="66">
        <f t="shared" si="2"/>
        <v>843</v>
      </c>
      <c r="G24" s="3" t="s">
        <v>196</v>
      </c>
      <c r="H24" s="6">
        <f t="shared" ref="H24:H25" si="6">$L$17</f>
        <v>0.1106615762</v>
      </c>
      <c r="I24" s="15">
        <f t="shared" si="4"/>
        <v>102.9595305</v>
      </c>
      <c r="J24" s="15">
        <f t="shared" si="5"/>
        <v>1.13398</v>
      </c>
    </row>
    <row r="25">
      <c r="A25" s="68">
        <v>301169.0</v>
      </c>
      <c r="B25" s="64">
        <v>1015.0</v>
      </c>
      <c r="C25" s="65">
        <v>57.6</v>
      </c>
      <c r="D25" s="66">
        <f t="shared" si="1"/>
        <v>957.4</v>
      </c>
      <c r="E25" s="64">
        <v>157.0</v>
      </c>
      <c r="F25" s="66">
        <f t="shared" si="2"/>
        <v>858</v>
      </c>
      <c r="G25" s="3" t="s">
        <v>198</v>
      </c>
      <c r="H25" s="6">
        <f t="shared" si="6"/>
        <v>0.1106615762</v>
      </c>
      <c r="I25" s="15">
        <f t="shared" si="4"/>
        <v>105.9473931</v>
      </c>
      <c r="J25" s="15">
        <f t="shared" si="5"/>
        <v>1.13398</v>
      </c>
    </row>
    <row r="26">
      <c r="A26" s="68">
        <v>301176.0</v>
      </c>
      <c r="B26" s="64">
        <v>996.0</v>
      </c>
      <c r="C26" s="65">
        <v>57.6</v>
      </c>
      <c r="D26" s="66">
        <f t="shared" si="1"/>
        <v>938.4</v>
      </c>
      <c r="E26" s="64">
        <v>194.0</v>
      </c>
      <c r="F26" s="66">
        <f t="shared" si="2"/>
        <v>802</v>
      </c>
      <c r="G26" s="3" t="s">
        <v>199</v>
      </c>
      <c r="H26" s="6">
        <f t="shared" ref="H26:H28" si="7">$L$16</f>
        <v>0.1314184532</v>
      </c>
      <c r="I26" s="15">
        <f t="shared" si="4"/>
        <v>123.3230765</v>
      </c>
      <c r="J26" s="15">
        <f t="shared" si="5"/>
        <v>1.13398</v>
      </c>
    </row>
    <row r="27">
      <c r="A27" s="68">
        <v>301179.0</v>
      </c>
      <c r="B27" s="65">
        <v>1029.0</v>
      </c>
      <c r="C27" s="65">
        <v>57.6</v>
      </c>
      <c r="D27" s="66">
        <f t="shared" si="1"/>
        <v>971.4</v>
      </c>
      <c r="E27" s="64">
        <v>185.0</v>
      </c>
      <c r="F27" s="66">
        <f t="shared" si="2"/>
        <v>844</v>
      </c>
      <c r="G27" s="3" t="s">
        <v>200</v>
      </c>
      <c r="H27" s="6">
        <f t="shared" si="7"/>
        <v>0.1314184532</v>
      </c>
      <c r="I27" s="15">
        <f t="shared" si="4"/>
        <v>127.6598854</v>
      </c>
      <c r="J27" s="15">
        <f t="shared" si="5"/>
        <v>1.13398</v>
      </c>
    </row>
    <row r="28">
      <c r="A28" s="68">
        <v>301198.0</v>
      </c>
      <c r="B28" s="65">
        <v>1035.0</v>
      </c>
      <c r="C28" s="65">
        <v>57.6</v>
      </c>
      <c r="D28" s="66">
        <f t="shared" si="1"/>
        <v>977.4</v>
      </c>
      <c r="E28" s="64">
        <v>177.0</v>
      </c>
      <c r="F28" s="66">
        <f t="shared" si="2"/>
        <v>858</v>
      </c>
      <c r="G28" s="3" t="s">
        <v>201</v>
      </c>
      <c r="H28" s="6">
        <f t="shared" si="7"/>
        <v>0.1314184532</v>
      </c>
      <c r="I28" s="15">
        <f t="shared" si="4"/>
        <v>128.4483962</v>
      </c>
      <c r="J28" s="15">
        <f t="shared" si="5"/>
        <v>1.13398</v>
      </c>
    </row>
    <row r="29">
      <c r="A29" s="68">
        <v>120509.0</v>
      </c>
      <c r="B29" s="64">
        <v>1019.0</v>
      </c>
      <c r="C29" s="65">
        <v>57.6</v>
      </c>
      <c r="D29" s="66">
        <f t="shared" si="1"/>
        <v>961.4</v>
      </c>
      <c r="E29" s="64">
        <v>169.0</v>
      </c>
      <c r="F29" s="66">
        <f t="shared" si="2"/>
        <v>850</v>
      </c>
      <c r="G29" s="3" t="s">
        <v>202</v>
      </c>
      <c r="H29" s="6">
        <f t="shared" ref="H29:H42" si="8">$L$10</f>
        <v>0.1575553395</v>
      </c>
      <c r="I29" s="15">
        <f t="shared" si="4"/>
        <v>151.4737034</v>
      </c>
      <c r="J29" s="15">
        <f t="shared" si="5"/>
        <v>1.13398</v>
      </c>
    </row>
    <row r="30">
      <c r="A30" s="78" t="s">
        <v>207</v>
      </c>
      <c r="B30" s="64">
        <v>1049.0</v>
      </c>
      <c r="C30" s="65">
        <v>57.6</v>
      </c>
      <c r="D30" s="66">
        <f t="shared" si="1"/>
        <v>991.4</v>
      </c>
      <c r="E30" s="64">
        <v>202.5</v>
      </c>
      <c r="F30" s="66">
        <f t="shared" si="2"/>
        <v>846.5</v>
      </c>
      <c r="G30" s="3" t="s">
        <v>210</v>
      </c>
      <c r="H30" s="6">
        <f t="shared" si="8"/>
        <v>0.1575553395</v>
      </c>
      <c r="I30" s="15">
        <f t="shared" si="4"/>
        <v>156.2003636</v>
      </c>
      <c r="J30" s="15">
        <f t="shared" si="5"/>
        <v>1.13398</v>
      </c>
    </row>
    <row r="31">
      <c r="A31" s="78" t="s">
        <v>212</v>
      </c>
      <c r="B31" s="65">
        <v>993.0</v>
      </c>
      <c r="C31" s="65">
        <v>57.6</v>
      </c>
      <c r="D31" s="66">
        <f t="shared" si="1"/>
        <v>935.4</v>
      </c>
      <c r="E31" s="64">
        <v>196.0</v>
      </c>
      <c r="F31" s="66">
        <f t="shared" si="2"/>
        <v>797</v>
      </c>
      <c r="G31" s="3" t="s">
        <v>213</v>
      </c>
      <c r="H31" s="6">
        <f t="shared" si="8"/>
        <v>0.1575553395</v>
      </c>
      <c r="I31" s="15">
        <f t="shared" si="4"/>
        <v>147.3772645</v>
      </c>
      <c r="J31" s="15">
        <f t="shared" si="5"/>
        <v>1.13398</v>
      </c>
    </row>
    <row r="32">
      <c r="A32" s="68">
        <v>120507.0</v>
      </c>
      <c r="B32" s="79">
        <v>1015.0</v>
      </c>
      <c r="C32" s="65">
        <v>57.6</v>
      </c>
      <c r="D32" s="66">
        <f t="shared" si="1"/>
        <v>957.4</v>
      </c>
      <c r="E32" s="65">
        <v>322.0</v>
      </c>
      <c r="F32" s="66">
        <f t="shared" si="2"/>
        <v>693</v>
      </c>
      <c r="G32" s="80" t="s">
        <v>214</v>
      </c>
      <c r="H32" s="81">
        <f t="shared" si="8"/>
        <v>0.1575553395</v>
      </c>
      <c r="I32" s="15">
        <f t="shared" si="4"/>
        <v>150.843482</v>
      </c>
      <c r="J32" s="15">
        <f t="shared" si="5"/>
        <v>1.13398</v>
      </c>
    </row>
    <row r="33">
      <c r="A33" s="78" t="s">
        <v>215</v>
      </c>
      <c r="B33" s="63">
        <v>960.0</v>
      </c>
      <c r="C33" s="65">
        <v>57.6</v>
      </c>
      <c r="D33" s="66">
        <f t="shared" si="1"/>
        <v>902.4</v>
      </c>
      <c r="E33" s="64">
        <v>163.5</v>
      </c>
      <c r="F33" s="66">
        <f t="shared" si="2"/>
        <v>796.5</v>
      </c>
      <c r="G33" s="3" t="s">
        <v>216</v>
      </c>
      <c r="H33" s="6">
        <f t="shared" si="8"/>
        <v>0.1575553395</v>
      </c>
      <c r="I33" s="15">
        <f t="shared" si="4"/>
        <v>142.1779383</v>
      </c>
      <c r="J33" s="15">
        <f t="shared" si="5"/>
        <v>1.13398</v>
      </c>
    </row>
    <row r="34">
      <c r="A34" s="78" t="s">
        <v>218</v>
      </c>
      <c r="B34" s="83">
        <v>1055.0</v>
      </c>
      <c r="C34" s="65">
        <v>57.6</v>
      </c>
      <c r="D34" s="66">
        <f t="shared" si="1"/>
        <v>997.4</v>
      </c>
      <c r="E34" s="83">
        <v>168.0</v>
      </c>
      <c r="F34" s="66">
        <f t="shared" si="2"/>
        <v>887</v>
      </c>
      <c r="G34" s="3" t="s">
        <v>219</v>
      </c>
      <c r="H34" s="6">
        <f t="shared" si="8"/>
        <v>0.1575553395</v>
      </c>
      <c r="I34" s="15">
        <f t="shared" si="4"/>
        <v>157.1456956</v>
      </c>
      <c r="J34" s="15">
        <f t="shared" si="5"/>
        <v>1.13398</v>
      </c>
    </row>
    <row r="35">
      <c r="A35" s="78" t="s">
        <v>220</v>
      </c>
      <c r="B35" s="84">
        <v>907.0</v>
      </c>
      <c r="C35" s="65">
        <v>57.6</v>
      </c>
      <c r="D35" s="66">
        <f t="shared" si="1"/>
        <v>849.4</v>
      </c>
      <c r="E35" s="64">
        <v>154.0</v>
      </c>
      <c r="F35" s="66">
        <f t="shared" si="2"/>
        <v>753</v>
      </c>
      <c r="G35" s="3" t="s">
        <v>221</v>
      </c>
      <c r="H35" s="6">
        <f t="shared" si="8"/>
        <v>0.1575553395</v>
      </c>
      <c r="I35" s="15">
        <f t="shared" si="4"/>
        <v>133.8275054</v>
      </c>
      <c r="J35" s="15">
        <f t="shared" si="5"/>
        <v>1.13398</v>
      </c>
    </row>
    <row r="36">
      <c r="A36" s="78" t="s">
        <v>222</v>
      </c>
      <c r="B36" s="79">
        <v>943.0</v>
      </c>
      <c r="C36" s="65">
        <v>57.6</v>
      </c>
      <c r="D36" s="66">
        <f t="shared" si="1"/>
        <v>885.4</v>
      </c>
      <c r="E36" s="64">
        <v>178.0</v>
      </c>
      <c r="F36" s="66">
        <f t="shared" si="2"/>
        <v>765</v>
      </c>
      <c r="G36" s="3" t="s">
        <v>225</v>
      </c>
      <c r="H36" s="6">
        <f t="shared" si="8"/>
        <v>0.1575553395</v>
      </c>
      <c r="I36" s="15">
        <f t="shared" si="4"/>
        <v>139.4994976</v>
      </c>
      <c r="J36" s="15">
        <f t="shared" si="5"/>
        <v>1.13398</v>
      </c>
    </row>
    <row r="37">
      <c r="A37" s="78" t="s">
        <v>227</v>
      </c>
      <c r="B37" s="79">
        <v>1006.0</v>
      </c>
      <c r="C37" s="65">
        <v>57.6</v>
      </c>
      <c r="D37" s="66">
        <f t="shared" si="1"/>
        <v>948.4</v>
      </c>
      <c r="E37" s="64">
        <v>169.5</v>
      </c>
      <c r="F37" s="66">
        <f t="shared" si="2"/>
        <v>836.5</v>
      </c>
      <c r="G37" s="3" t="s">
        <v>228</v>
      </c>
      <c r="H37" s="6">
        <f t="shared" si="8"/>
        <v>0.1575553395</v>
      </c>
      <c r="I37" s="15">
        <f t="shared" si="4"/>
        <v>149.425484</v>
      </c>
      <c r="J37" s="15">
        <f t="shared" si="5"/>
        <v>1.13398</v>
      </c>
    </row>
    <row r="38">
      <c r="A38" s="78" t="s">
        <v>230</v>
      </c>
      <c r="B38" s="79">
        <v>975.0</v>
      </c>
      <c r="C38" s="65">
        <v>57.6</v>
      </c>
      <c r="D38" s="66">
        <f t="shared" si="1"/>
        <v>917.4</v>
      </c>
      <c r="E38" s="65">
        <v>181.0</v>
      </c>
      <c r="F38" s="66">
        <f t="shared" si="2"/>
        <v>794</v>
      </c>
      <c r="G38" s="3" t="s">
        <v>231</v>
      </c>
      <c r="H38" s="6">
        <f t="shared" si="8"/>
        <v>0.1575553395</v>
      </c>
      <c r="I38" s="15">
        <f t="shared" si="4"/>
        <v>144.5412684</v>
      </c>
      <c r="J38" s="15">
        <f t="shared" si="5"/>
        <v>1.13398</v>
      </c>
    </row>
    <row r="39">
      <c r="A39" s="78" t="s">
        <v>232</v>
      </c>
      <c r="B39" s="79">
        <v>1053.0</v>
      </c>
      <c r="C39" s="65">
        <v>57.6</v>
      </c>
      <c r="D39" s="66">
        <f t="shared" si="1"/>
        <v>995.4</v>
      </c>
      <c r="E39" s="64">
        <v>220.0</v>
      </c>
      <c r="F39" s="66">
        <f t="shared" si="2"/>
        <v>833</v>
      </c>
      <c r="G39" s="3" t="s">
        <v>233</v>
      </c>
      <c r="H39" s="6">
        <f t="shared" si="8"/>
        <v>0.1575553395</v>
      </c>
      <c r="I39" s="15">
        <f t="shared" si="4"/>
        <v>156.8305849</v>
      </c>
      <c r="J39" s="15">
        <f t="shared" si="5"/>
        <v>1.13398</v>
      </c>
    </row>
    <row r="40">
      <c r="A40" s="78" t="s">
        <v>234</v>
      </c>
      <c r="B40" s="79">
        <v>1067.0</v>
      </c>
      <c r="C40" s="65">
        <v>57.6</v>
      </c>
      <c r="D40" s="66">
        <f t="shared" si="1"/>
        <v>1009.4</v>
      </c>
      <c r="E40" s="64">
        <v>187.0</v>
      </c>
      <c r="F40" s="66">
        <f t="shared" si="2"/>
        <v>880</v>
      </c>
      <c r="G40" s="3" t="s">
        <v>235</v>
      </c>
      <c r="H40" s="6">
        <f t="shared" si="8"/>
        <v>0.1575553395</v>
      </c>
      <c r="I40" s="15">
        <f t="shared" si="4"/>
        <v>159.0363597</v>
      </c>
      <c r="J40" s="15">
        <f t="shared" si="5"/>
        <v>1.13398</v>
      </c>
    </row>
    <row r="41">
      <c r="A41" s="78" t="s">
        <v>236</v>
      </c>
      <c r="B41" s="79">
        <v>1044.0</v>
      </c>
      <c r="C41" s="65">
        <v>57.6</v>
      </c>
      <c r="D41" s="66">
        <f t="shared" si="1"/>
        <v>986.4</v>
      </c>
      <c r="E41" s="64">
        <v>193.5</v>
      </c>
      <c r="F41" s="66">
        <f t="shared" si="2"/>
        <v>850.5</v>
      </c>
      <c r="G41" s="3" t="s">
        <v>237</v>
      </c>
      <c r="H41" s="6">
        <f t="shared" si="8"/>
        <v>0.1575553395</v>
      </c>
      <c r="I41" s="15">
        <f t="shared" si="4"/>
        <v>155.4125869</v>
      </c>
      <c r="J41" s="15">
        <f t="shared" si="5"/>
        <v>1.13398</v>
      </c>
    </row>
    <row r="42">
      <c r="A42" s="78" t="s">
        <v>238</v>
      </c>
      <c r="B42" s="79">
        <v>972.0</v>
      </c>
      <c r="C42" s="65">
        <v>57.6</v>
      </c>
      <c r="D42" s="66">
        <f t="shared" si="1"/>
        <v>914.4</v>
      </c>
      <c r="E42" s="65">
        <v>259.0</v>
      </c>
      <c r="F42" s="66">
        <f t="shared" si="2"/>
        <v>713</v>
      </c>
      <c r="G42" s="3" t="s">
        <v>239</v>
      </c>
      <c r="H42" s="6">
        <f t="shared" si="8"/>
        <v>0.1575553395</v>
      </c>
      <c r="I42" s="15">
        <f t="shared" si="4"/>
        <v>144.0686024</v>
      </c>
      <c r="J42" s="15">
        <f t="shared" si="5"/>
        <v>1.13398</v>
      </c>
    </row>
    <row r="43">
      <c r="A43" s="63">
        <v>245161.0</v>
      </c>
      <c r="B43" s="79">
        <v>1050.0</v>
      </c>
      <c r="C43" s="65">
        <v>57.6</v>
      </c>
      <c r="D43" s="66">
        <f t="shared" si="1"/>
        <v>992.4</v>
      </c>
      <c r="E43" s="64">
        <v>214.0</v>
      </c>
      <c r="F43" s="66">
        <f t="shared" si="2"/>
        <v>836</v>
      </c>
      <c r="G43" s="3" t="s">
        <v>240</v>
      </c>
      <c r="H43" s="6">
        <f t="shared" ref="H43:H47" si="9">$L$21</f>
        <v>0.128689567</v>
      </c>
      <c r="I43" s="15">
        <f t="shared" si="4"/>
        <v>127.7115263</v>
      </c>
      <c r="J43" s="15">
        <f t="shared" si="5"/>
        <v>1.13398</v>
      </c>
    </row>
    <row r="44">
      <c r="A44" s="63">
        <v>245189.0</v>
      </c>
      <c r="B44" s="79">
        <v>1022.0</v>
      </c>
      <c r="C44" s="65">
        <v>57.6</v>
      </c>
      <c r="D44" s="66">
        <f t="shared" si="1"/>
        <v>964.4</v>
      </c>
      <c r="E44" s="64">
        <v>185.0</v>
      </c>
      <c r="F44" s="66">
        <f t="shared" si="2"/>
        <v>837</v>
      </c>
      <c r="G44" s="3" t="s">
        <v>241</v>
      </c>
      <c r="H44" s="6">
        <f t="shared" si="9"/>
        <v>0.128689567</v>
      </c>
      <c r="I44" s="15">
        <f t="shared" si="4"/>
        <v>124.1082184</v>
      </c>
      <c r="J44" s="15">
        <f t="shared" si="5"/>
        <v>1.13398</v>
      </c>
    </row>
    <row r="45">
      <c r="A45" s="63">
        <v>245195.0</v>
      </c>
      <c r="B45" s="79">
        <v>1084.0</v>
      </c>
      <c r="C45" s="65">
        <v>57.6</v>
      </c>
      <c r="D45" s="66">
        <f t="shared" si="1"/>
        <v>1026.4</v>
      </c>
      <c r="E45" s="64">
        <v>187.5</v>
      </c>
      <c r="F45" s="66">
        <f t="shared" si="2"/>
        <v>896.5</v>
      </c>
      <c r="G45" s="3" t="s">
        <v>242</v>
      </c>
      <c r="H45" s="6">
        <f t="shared" si="9"/>
        <v>0.128689567</v>
      </c>
      <c r="I45" s="15">
        <f t="shared" si="4"/>
        <v>132.0869715</v>
      </c>
      <c r="J45" s="15">
        <f t="shared" si="5"/>
        <v>1.13398</v>
      </c>
    </row>
    <row r="46">
      <c r="A46" s="63">
        <v>245104.0</v>
      </c>
      <c r="B46" s="79">
        <v>1047.0</v>
      </c>
      <c r="C46" s="65">
        <v>57.6</v>
      </c>
      <c r="D46" s="66">
        <f t="shared" si="1"/>
        <v>989.4</v>
      </c>
      <c r="E46" s="64">
        <v>177.5</v>
      </c>
      <c r="F46" s="66">
        <f t="shared" si="2"/>
        <v>869.5</v>
      </c>
      <c r="G46" s="3" t="s">
        <v>243</v>
      </c>
      <c r="H46" s="6">
        <f t="shared" si="9"/>
        <v>0.128689567</v>
      </c>
      <c r="I46" s="15">
        <f t="shared" si="4"/>
        <v>127.3254576</v>
      </c>
      <c r="J46" s="15">
        <f t="shared" si="5"/>
        <v>1.13398</v>
      </c>
    </row>
    <row r="47">
      <c r="A47" s="63">
        <v>245105.0</v>
      </c>
      <c r="B47" s="79">
        <v>1022.0</v>
      </c>
      <c r="C47" s="65">
        <v>57.6</v>
      </c>
      <c r="D47" s="66">
        <f t="shared" si="1"/>
        <v>964.4</v>
      </c>
      <c r="E47" s="64">
        <v>187.5</v>
      </c>
      <c r="F47" s="66">
        <f t="shared" si="2"/>
        <v>834.5</v>
      </c>
      <c r="G47" s="3" t="s">
        <v>244</v>
      </c>
      <c r="H47" s="6">
        <f t="shared" si="9"/>
        <v>0.128689567</v>
      </c>
      <c r="I47" s="15">
        <f t="shared" si="4"/>
        <v>124.1082184</v>
      </c>
      <c r="J47" s="15">
        <f t="shared" si="5"/>
        <v>1.13398</v>
      </c>
    </row>
    <row r="48">
      <c r="A48" s="63"/>
      <c r="B48" s="79"/>
      <c r="C48" s="65"/>
      <c r="D48" s="66">
        <f t="shared" si="1"/>
        <v>0</v>
      </c>
      <c r="E48" s="64"/>
      <c r="F48" s="66" t="str">
        <f t="shared" si="2"/>
        <v/>
      </c>
    </row>
    <row r="49">
      <c r="B49" s="86"/>
      <c r="C49" s="30"/>
      <c r="D49" s="11"/>
      <c r="E49" s="11"/>
      <c r="F49" s="11"/>
      <c r="G49" s="11" t="str">
        <f>IF(AND(D49&lt;&gt;"",F49&lt;&gt;""),(D49-F49)*$L$4,"")</f>
        <v/>
      </c>
      <c r="H49" s="11" t="str">
        <f>IF(G49="","",G49*(1-$L$5))</f>
        <v/>
      </c>
      <c r="I49" s="13"/>
    </row>
    <row r="50">
      <c r="B50" s="87">
        <f>SUM(B10:B48)</f>
        <v>37682</v>
      </c>
      <c r="C50" s="87"/>
      <c r="D50" s="87">
        <f>SUM(D10:D48)</f>
        <v>35550.8</v>
      </c>
      <c r="E50" s="87"/>
      <c r="F50" s="87">
        <f>SUM(F9:F48)</f>
        <v>30808.5</v>
      </c>
      <c r="G50" s="85"/>
      <c r="H50" s="88">
        <f>SUMPRODUCT(D11:D48,H11:H48)/SUM(D11:D48)</f>
        <v>0.1396798206</v>
      </c>
      <c r="I50" s="76">
        <f>sum(I11:I48)</f>
        <v>4965.729365</v>
      </c>
      <c r="J50" s="15">
        <f>SUM(J9:J48)</f>
        <v>41.95726</v>
      </c>
    </row>
    <row r="51">
      <c r="B51" s="86"/>
      <c r="D51" s="11"/>
      <c r="E51" s="11"/>
      <c r="F51" s="11"/>
      <c r="G51" s="11" t="str">
        <f t="shared" ref="G51:G70" si="10">IF(AND(D51&lt;&gt;"",F51&lt;&gt;""),(D51-F51)*$L$4,"")</f>
        <v/>
      </c>
      <c r="H51" s="11" t="str">
        <f t="shared" ref="H51:H70" si="11">IF(G51="","",G51*(1-$L$5))</f>
        <v/>
      </c>
      <c r="I51" s="13"/>
    </row>
    <row r="52">
      <c r="B52" s="86"/>
      <c r="D52" s="11"/>
      <c r="E52" s="11"/>
      <c r="F52" s="11"/>
      <c r="G52" s="11" t="str">
        <f t="shared" si="10"/>
        <v/>
      </c>
      <c r="H52" s="11" t="str">
        <f t="shared" si="11"/>
        <v/>
      </c>
      <c r="I52" s="90"/>
    </row>
    <row r="53">
      <c r="B53" s="86"/>
      <c r="D53" s="11"/>
      <c r="E53" s="11"/>
      <c r="F53" s="11"/>
      <c r="G53" s="11" t="str">
        <f t="shared" si="10"/>
        <v/>
      </c>
      <c r="H53" s="11" t="str">
        <f t="shared" si="11"/>
        <v/>
      </c>
      <c r="I53" s="13"/>
    </row>
    <row r="54">
      <c r="B54" s="86"/>
      <c r="D54" s="11"/>
      <c r="E54" s="11"/>
      <c r="F54" s="11"/>
      <c r="G54" s="11" t="str">
        <f t="shared" si="10"/>
        <v/>
      </c>
      <c r="H54" s="11" t="str">
        <f t="shared" si="11"/>
        <v/>
      </c>
      <c r="I54" s="13"/>
    </row>
    <row r="55">
      <c r="B55" s="86"/>
      <c r="D55" s="11"/>
      <c r="E55" s="11"/>
      <c r="F55" s="11"/>
      <c r="G55" s="11" t="str">
        <f t="shared" si="10"/>
        <v/>
      </c>
      <c r="H55" s="11" t="str">
        <f t="shared" si="11"/>
        <v/>
      </c>
      <c r="I55" s="13"/>
    </row>
    <row r="56">
      <c r="B56" s="86"/>
      <c r="D56" s="11"/>
      <c r="E56" s="11"/>
      <c r="F56" s="11"/>
      <c r="G56" s="11" t="str">
        <f t="shared" si="10"/>
        <v/>
      </c>
      <c r="H56" s="11" t="str">
        <f t="shared" si="11"/>
        <v/>
      </c>
      <c r="I56" s="13"/>
    </row>
    <row r="57">
      <c r="B57" s="86"/>
      <c r="D57" s="11"/>
      <c r="E57" s="11"/>
      <c r="F57" s="11"/>
      <c r="G57" s="11" t="str">
        <f t="shared" si="10"/>
        <v/>
      </c>
      <c r="H57" s="11" t="str">
        <f t="shared" si="11"/>
        <v/>
      </c>
      <c r="I57" s="13"/>
    </row>
    <row r="58">
      <c r="B58" s="86"/>
      <c r="D58" s="11"/>
      <c r="E58" s="11"/>
      <c r="F58" s="11"/>
      <c r="G58" s="11" t="str">
        <f t="shared" si="10"/>
        <v/>
      </c>
      <c r="H58" s="11" t="str">
        <f t="shared" si="11"/>
        <v/>
      </c>
      <c r="I58" s="13"/>
    </row>
    <row r="59">
      <c r="B59" s="86"/>
      <c r="D59" s="11"/>
      <c r="E59" s="11"/>
      <c r="F59" s="11"/>
      <c r="G59" s="11" t="str">
        <f t="shared" si="10"/>
        <v/>
      </c>
      <c r="H59" s="11" t="str">
        <f t="shared" si="11"/>
        <v/>
      </c>
      <c r="I59" s="13"/>
    </row>
    <row r="60">
      <c r="B60" s="86"/>
      <c r="D60" s="11"/>
      <c r="E60" s="11"/>
      <c r="F60" s="11"/>
      <c r="G60" s="11" t="str">
        <f t="shared" si="10"/>
        <v/>
      </c>
      <c r="H60" s="11" t="str">
        <f t="shared" si="11"/>
        <v/>
      </c>
      <c r="I60" s="13"/>
    </row>
    <row r="61">
      <c r="B61" s="86"/>
      <c r="D61" s="11"/>
      <c r="E61" s="11"/>
      <c r="F61" s="11"/>
      <c r="G61" s="11" t="str">
        <f t="shared" si="10"/>
        <v/>
      </c>
      <c r="H61" s="11" t="str">
        <f t="shared" si="11"/>
        <v/>
      </c>
      <c r="I61" s="13"/>
    </row>
    <row r="62">
      <c r="B62" s="86"/>
      <c r="D62" s="11"/>
      <c r="E62" s="11"/>
      <c r="F62" s="11"/>
      <c r="G62" s="11" t="str">
        <f t="shared" si="10"/>
        <v/>
      </c>
      <c r="H62" s="11" t="str">
        <f t="shared" si="11"/>
        <v/>
      </c>
      <c r="I62" s="13"/>
    </row>
    <row r="63">
      <c r="B63" s="86"/>
      <c r="D63" s="11"/>
      <c r="E63" s="11"/>
      <c r="F63" s="11"/>
      <c r="G63" s="11" t="str">
        <f t="shared" si="10"/>
        <v/>
      </c>
      <c r="H63" s="11" t="str">
        <f t="shared" si="11"/>
        <v/>
      </c>
      <c r="I63" s="13"/>
    </row>
    <row r="64">
      <c r="B64" s="86"/>
      <c r="D64" s="11"/>
      <c r="E64" s="11"/>
      <c r="F64" s="11"/>
      <c r="G64" s="11" t="str">
        <f t="shared" si="10"/>
        <v/>
      </c>
      <c r="H64" s="11" t="str">
        <f t="shared" si="11"/>
        <v/>
      </c>
      <c r="I64" s="13"/>
    </row>
    <row r="65">
      <c r="B65" s="86"/>
      <c r="D65" s="11"/>
      <c r="E65" s="11"/>
      <c r="F65" s="11"/>
      <c r="G65" s="11" t="str">
        <f t="shared" si="10"/>
        <v/>
      </c>
      <c r="H65" s="11" t="str">
        <f t="shared" si="11"/>
        <v/>
      </c>
      <c r="I65" s="13"/>
    </row>
    <row r="66">
      <c r="B66" s="86"/>
      <c r="D66" s="11"/>
      <c r="E66" s="11"/>
      <c r="F66" s="11"/>
      <c r="G66" s="11" t="str">
        <f t="shared" si="10"/>
        <v/>
      </c>
      <c r="H66" s="11" t="str">
        <f t="shared" si="11"/>
        <v/>
      </c>
      <c r="I66" s="13"/>
    </row>
    <row r="67">
      <c r="B67" s="86"/>
      <c r="D67" s="11"/>
      <c r="E67" s="11"/>
      <c r="F67" s="11"/>
      <c r="G67" s="11" t="str">
        <f t="shared" si="10"/>
        <v/>
      </c>
      <c r="H67" s="11" t="str">
        <f t="shared" si="11"/>
        <v/>
      </c>
      <c r="I67" s="13"/>
    </row>
    <row r="68">
      <c r="B68" s="86"/>
      <c r="D68" s="11"/>
      <c r="E68" s="11"/>
      <c r="F68" s="11"/>
      <c r="G68" s="11" t="str">
        <f t="shared" si="10"/>
        <v/>
      </c>
      <c r="H68" s="11" t="str">
        <f t="shared" si="11"/>
        <v/>
      </c>
      <c r="I68" s="13"/>
    </row>
    <row r="69">
      <c r="B69" s="86"/>
      <c r="D69" s="11"/>
      <c r="E69" s="11"/>
      <c r="F69" s="11"/>
      <c r="G69" s="11" t="str">
        <f t="shared" si="10"/>
        <v/>
      </c>
      <c r="H69" s="11" t="str">
        <f t="shared" si="11"/>
        <v/>
      </c>
      <c r="I69" s="13"/>
    </row>
    <row r="70">
      <c r="B70" s="86"/>
      <c r="D70" s="11"/>
      <c r="E70" s="11"/>
      <c r="F70" s="11"/>
      <c r="G70" s="11" t="str">
        <f t="shared" si="10"/>
        <v/>
      </c>
      <c r="H70" s="11" t="str">
        <f t="shared" si="11"/>
        <v/>
      </c>
      <c r="I7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12</v>
      </c>
      <c r="L4" s="6">
        <v>0.453592</v>
      </c>
    </row>
    <row r="5">
      <c r="K5" s="4" t="s">
        <v>25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149</v>
      </c>
      <c r="L7" s="6">
        <v>0.795241</v>
      </c>
    </row>
    <row r="8">
      <c r="A8" s="1" t="s">
        <v>97</v>
      </c>
      <c r="B8" s="2"/>
      <c r="C8" s="2"/>
      <c r="D8" s="2"/>
      <c r="E8" s="2"/>
      <c r="F8" s="2"/>
      <c r="G8" s="2"/>
      <c r="H8" s="2"/>
      <c r="I8" s="2"/>
      <c r="J8" s="1"/>
      <c r="K8" s="1"/>
      <c r="L8" s="21"/>
      <c r="M8" s="2"/>
      <c r="N8" s="2"/>
    </row>
    <row r="9">
      <c r="A9" s="4"/>
      <c r="B9" s="4" t="s">
        <v>99</v>
      </c>
      <c r="C9" s="4"/>
      <c r="D9" s="4" t="s">
        <v>136</v>
      </c>
      <c r="E9" s="8"/>
      <c r="F9" s="4" t="s">
        <v>101</v>
      </c>
      <c r="G9" s="4"/>
      <c r="H9" s="4"/>
      <c r="I9" s="4"/>
      <c r="J9" s="9"/>
      <c r="K9" s="4" t="s">
        <v>102</v>
      </c>
      <c r="L9" s="9"/>
      <c r="M9" s="9"/>
    </row>
    <row r="10">
      <c r="A10" s="3" t="s">
        <v>137</v>
      </c>
      <c r="B10" s="3" t="s">
        <v>138</v>
      </c>
      <c r="C10" s="32" t="s">
        <v>139</v>
      </c>
      <c r="D10" s="32" t="s">
        <v>140</v>
      </c>
      <c r="E10" s="70" t="s">
        <v>141</v>
      </c>
      <c r="F10" s="32" t="s">
        <v>142</v>
      </c>
      <c r="G10" s="32" t="s">
        <v>143</v>
      </c>
      <c r="H10" s="44" t="s">
        <v>144</v>
      </c>
      <c r="I10" s="3" t="s">
        <v>145</v>
      </c>
      <c r="J10" s="3" t="s">
        <v>105</v>
      </c>
      <c r="K10" s="3" t="s">
        <v>106</v>
      </c>
      <c r="L10" s="6">
        <v>0.7128290192302931</v>
      </c>
      <c r="M10" s="42" t="str">
        <f>HYPERLINK("https://docs.google.com/spreadsheets/d/1L167k_JS3mnisFy3VpS-OXgI8U0cK-4nC6A9sxl-ozk/edit","PP Summary")</f>
        <v>PP Summary</v>
      </c>
    </row>
    <row r="11">
      <c r="A11" s="3">
        <v>301352.0</v>
      </c>
      <c r="B11" s="6">
        <v>1473.0</v>
      </c>
      <c r="C11" s="32">
        <v>62.9</v>
      </c>
      <c r="D11" s="11">
        <f t="shared" ref="D11:D15" si="1">B11-C11</f>
        <v>1410.1</v>
      </c>
      <c r="E11" s="70"/>
      <c r="F11" s="11" t="str">
        <f t="shared" ref="F11:F15" si="2">IF(E11="","",B11-E11)</f>
        <v/>
      </c>
      <c r="G11" s="32" t="s">
        <v>165</v>
      </c>
      <c r="H11" s="47">
        <f t="shared" ref="H11:H15" si="3">$L$19</f>
        <v>0.795241</v>
      </c>
      <c r="I11" s="15">
        <f t="shared" ref="I11:I15" si="4">IF(H11="","",H11*D11)</f>
        <v>1121.369334</v>
      </c>
      <c r="J11" s="15">
        <f t="shared" ref="J11:J15" si="5">2.5*$L$4</f>
        <v>1.13398</v>
      </c>
      <c r="K11" s="48" t="s">
        <v>119</v>
      </c>
      <c r="L11" s="6">
        <v>0.9748408534875329</v>
      </c>
      <c r="M11" s="42" t="str">
        <f>HYPERLINK("https://docs.google.com/spreadsheets/d/1W8jWu3sp39WnSuds1Ja0FWDG5UuWN9v5NUmF6yh_WbI/edit","PP Summary")</f>
        <v>PP Summary</v>
      </c>
    </row>
    <row r="12">
      <c r="A12" s="3">
        <v>301353.0</v>
      </c>
      <c r="B12" s="6">
        <v>1095.0</v>
      </c>
      <c r="C12" s="32">
        <v>57.6</v>
      </c>
      <c r="D12" s="11">
        <f t="shared" si="1"/>
        <v>1037.4</v>
      </c>
      <c r="E12" s="70"/>
      <c r="F12" s="11" t="str">
        <f t="shared" si="2"/>
        <v/>
      </c>
      <c r="G12" s="32" t="s">
        <v>184</v>
      </c>
      <c r="H12" s="47">
        <f t="shared" si="3"/>
        <v>0.795241</v>
      </c>
      <c r="I12" s="15">
        <f t="shared" si="4"/>
        <v>824.9830134</v>
      </c>
      <c r="J12" s="15">
        <f t="shared" si="5"/>
        <v>1.13398</v>
      </c>
      <c r="K12" s="48" t="s">
        <v>122</v>
      </c>
      <c r="L12" s="6">
        <v>0.9721828239230533</v>
      </c>
      <c r="M12" s="42" t="str">
        <f>HYPERLINK("https://docs.google.com/spreadsheets/d/1-L6m2wYknC3o-yIts9KK7FrYAb5lZIv4AwaizK8FbMc/edit","PP Summary")</f>
        <v>PP Summary</v>
      </c>
    </row>
    <row r="13">
      <c r="A13" s="3">
        <v>301334.0</v>
      </c>
      <c r="B13" s="6">
        <v>1091.0</v>
      </c>
      <c r="C13" s="32">
        <v>57.6</v>
      </c>
      <c r="D13" s="11">
        <f t="shared" si="1"/>
        <v>1033.4</v>
      </c>
      <c r="E13" s="70"/>
      <c r="F13" s="11" t="str">
        <f t="shared" si="2"/>
        <v/>
      </c>
      <c r="G13" s="32" t="s">
        <v>186</v>
      </c>
      <c r="H13" s="47">
        <f t="shared" si="3"/>
        <v>0.795241</v>
      </c>
      <c r="I13" s="15">
        <f t="shared" si="4"/>
        <v>821.8020494</v>
      </c>
      <c r="J13" s="15">
        <f t="shared" si="5"/>
        <v>1.13398</v>
      </c>
      <c r="K13" s="48" t="s">
        <v>123</v>
      </c>
      <c r="L13" s="6">
        <v>0.9319944877512889</v>
      </c>
      <c r="M13" s="42" t="str">
        <f>HYPERLINK("https://docs.google.com/spreadsheets/d/1bPZ7pNsR5rv-om-BypF4lK3nczjn4HJNO2dzimwnx7E/edit","PP Summary")</f>
        <v>PP Summary</v>
      </c>
    </row>
    <row r="14">
      <c r="A14" s="3">
        <v>301307.0</v>
      </c>
      <c r="B14" s="6">
        <v>1373.0</v>
      </c>
      <c r="C14" s="32">
        <v>62.9</v>
      </c>
      <c r="D14" s="11">
        <f t="shared" si="1"/>
        <v>1310.1</v>
      </c>
      <c r="E14" s="70"/>
      <c r="F14" s="11" t="str">
        <f t="shared" si="2"/>
        <v/>
      </c>
      <c r="G14" s="32" t="s">
        <v>190</v>
      </c>
      <c r="H14" s="47">
        <f t="shared" si="3"/>
        <v>0.795241</v>
      </c>
      <c r="I14" s="15">
        <f t="shared" si="4"/>
        <v>1041.845234</v>
      </c>
      <c r="J14" s="15">
        <f t="shared" si="5"/>
        <v>1.13398</v>
      </c>
      <c r="K14" s="48" t="s">
        <v>124</v>
      </c>
      <c r="L14" s="6">
        <v>0.84989612258998</v>
      </c>
      <c r="M14" s="42" t="str">
        <f>HYPERLINK("https://docs.google.com/spreadsheets/d/1vH7bborVnc-TCby3wEkpzi7GGMOI5jMJooEW0V-rOQ4/edit","PP Summary")</f>
        <v>PP Summary</v>
      </c>
    </row>
    <row r="15">
      <c r="A15" s="3">
        <v>301328.0</v>
      </c>
      <c r="B15" s="6">
        <v>1102.0</v>
      </c>
      <c r="C15" s="32">
        <v>57.6</v>
      </c>
      <c r="D15" s="11">
        <f t="shared" si="1"/>
        <v>1044.4</v>
      </c>
      <c r="E15" s="70"/>
      <c r="F15" s="11" t="str">
        <f t="shared" si="2"/>
        <v/>
      </c>
      <c r="G15" s="32" t="s">
        <v>197</v>
      </c>
      <c r="H15" s="47">
        <f t="shared" si="3"/>
        <v>0.795241</v>
      </c>
      <c r="I15" s="15">
        <f t="shared" si="4"/>
        <v>830.5497004</v>
      </c>
      <c r="J15" s="15">
        <f t="shared" si="5"/>
        <v>1.13398</v>
      </c>
      <c r="K15" s="48" t="s">
        <v>125</v>
      </c>
      <c r="L15" s="6">
        <v>0.7900645329689984</v>
      </c>
      <c r="M15" s="42" t="str">
        <f>HYPERLINK("https://docs.google.com/spreadsheets/d/1O7y30opa_u1_deqFm_w2qgVyxi_75X00xnzKuyVyh6o/edit","PP Summary")</f>
        <v>PP Summary</v>
      </c>
    </row>
    <row r="16">
      <c r="C16" s="32"/>
      <c r="D16" s="11"/>
      <c r="E16" s="77"/>
      <c r="F16" s="11"/>
      <c r="G16" s="32"/>
      <c r="H16" s="47"/>
      <c r="K16" s="48" t="s">
        <v>126</v>
      </c>
      <c r="L16" s="6">
        <v>0.7848323401347014</v>
      </c>
      <c r="M16" s="42" t="str">
        <f>HYPERLINK("https://docs.google.com/spreadsheets/d/10Qwx7K6sUcOBrCebGUGVaVeLQnhzvcT8sHQ0Sy3VBBM/edit","PP Summary")</f>
        <v>PP Summary</v>
      </c>
    </row>
    <row r="17">
      <c r="C17" s="32"/>
      <c r="D17" s="11"/>
      <c r="E17" s="77"/>
      <c r="F17" s="11"/>
      <c r="G17" s="32"/>
      <c r="H17" s="47"/>
      <c r="K17" s="48" t="s">
        <v>128</v>
      </c>
      <c r="L17" s="6">
        <v>0.6328458891234968</v>
      </c>
      <c r="M17" s="42" t="str">
        <f>HYPERLINK("https://docs.google.com/spreadsheets/d/1m66t1jsLGc4e6AWnCFMsFbkSceZ9IYC_-bfTsbP_OYc/edit","PP Summary")</f>
        <v>PP Summary</v>
      </c>
    </row>
    <row r="18">
      <c r="C18" s="32"/>
      <c r="D18" s="11"/>
      <c r="E18" s="77"/>
      <c r="F18" s="11"/>
      <c r="G18" s="32"/>
      <c r="H18" s="47"/>
      <c r="K18" s="48" t="s">
        <v>130</v>
      </c>
      <c r="L18" s="6">
        <v>1.1105355635937064</v>
      </c>
      <c r="M18" s="42" t="str">
        <f>HYPERLINK("https://docs.google.com/spreadsheets/d/1MUQajDI2a_Cn9xWGPP7z4PhhphZnfl2_CSTnpB07Wgk/edit","PP Summary")</f>
        <v>PP Summary</v>
      </c>
    </row>
    <row r="19">
      <c r="C19" s="32"/>
      <c r="D19" s="11"/>
      <c r="E19" s="77"/>
      <c r="F19" s="11"/>
      <c r="G19" s="32"/>
      <c r="H19" s="47"/>
      <c r="K19" s="3" t="s">
        <v>131</v>
      </c>
      <c r="L19" s="15">
        <f>$L$7</f>
        <v>0.795241</v>
      </c>
    </row>
    <row r="20">
      <c r="C20" s="32"/>
      <c r="D20" s="11"/>
      <c r="E20" s="77"/>
      <c r="F20" s="11"/>
      <c r="G20" s="32"/>
      <c r="H20" s="47"/>
    </row>
    <row r="21">
      <c r="C21" s="32"/>
      <c r="D21" s="11"/>
      <c r="E21" s="77"/>
      <c r="F21" s="11"/>
      <c r="G21" s="32"/>
      <c r="H21" s="47"/>
    </row>
    <row r="22">
      <c r="C22" s="32"/>
      <c r="D22" s="11"/>
      <c r="E22" s="77"/>
      <c r="F22" s="11"/>
      <c r="G22" s="32"/>
      <c r="H22" s="47"/>
    </row>
    <row r="23">
      <c r="C23" s="32"/>
      <c r="D23" s="11"/>
      <c r="E23" s="77"/>
      <c r="F23" s="11"/>
      <c r="G23" s="32"/>
      <c r="H23" s="47"/>
    </row>
    <row r="24">
      <c r="C24" s="11"/>
      <c r="D24" s="11"/>
      <c r="E24" s="28"/>
      <c r="F24" s="11"/>
      <c r="G24" s="11"/>
      <c r="H24" s="47"/>
    </row>
    <row r="25">
      <c r="A25" s="3" t="s">
        <v>95</v>
      </c>
      <c r="B25" s="15">
        <f t="shared" ref="B25:F25" si="6">SUM(B11:B23)</f>
        <v>6134</v>
      </c>
      <c r="C25" s="11">
        <f t="shared" si="6"/>
        <v>298.6</v>
      </c>
      <c r="D25" s="11">
        <f t="shared" si="6"/>
        <v>5835.4</v>
      </c>
      <c r="E25" s="28">
        <f t="shared" si="6"/>
        <v>0</v>
      </c>
      <c r="F25" s="11">
        <f t="shared" si="6"/>
        <v>0</v>
      </c>
      <c r="G25" s="11"/>
      <c r="H25" s="47">
        <f>I25/D25</f>
        <v>0.795241</v>
      </c>
      <c r="I25" s="15">
        <f t="shared" ref="I25:J25" si="7">SUM(I11:I23)</f>
        <v>4640.549331</v>
      </c>
      <c r="J25" s="15">
        <f t="shared" si="7"/>
        <v>5.6699</v>
      </c>
    </row>
    <row r="26">
      <c r="C26" s="11"/>
      <c r="D26" s="11"/>
      <c r="E26" s="28"/>
      <c r="F26" s="11"/>
      <c r="G26" s="11"/>
      <c r="H26" s="13"/>
    </row>
    <row r="27">
      <c r="E27" s="28"/>
      <c r="F27" s="11"/>
      <c r="G27" s="11"/>
      <c r="H27" s="13"/>
    </row>
    <row r="28">
      <c r="E28" s="28"/>
      <c r="F28" s="11"/>
      <c r="G28" s="11"/>
      <c r="H28" s="13"/>
    </row>
    <row r="29">
      <c r="E29" s="28"/>
      <c r="F29" s="11"/>
      <c r="G29" s="11"/>
      <c r="H29" s="13"/>
    </row>
    <row r="30">
      <c r="C30" s="11"/>
      <c r="D30" s="11"/>
      <c r="E30" s="11"/>
      <c r="F30" s="11"/>
      <c r="G30" s="11"/>
      <c r="H30" s="13"/>
    </row>
    <row r="31">
      <c r="A31" s="1" t="s">
        <v>53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223</v>
      </c>
      <c r="B32" s="3" t="s">
        <v>224</v>
      </c>
      <c r="C32" s="32" t="s">
        <v>65</v>
      </c>
      <c r="D32" s="40" t="s">
        <v>226</v>
      </c>
      <c r="E32" s="13"/>
      <c r="F32" s="13"/>
    </row>
    <row r="33">
      <c r="A33" s="15">
        <f>B25</f>
        <v>6134</v>
      </c>
      <c r="B33" s="11">
        <f>SUM(D11:D23)</f>
        <v>5835.4</v>
      </c>
      <c r="C33" s="11" t="str">
        <f>IF(D33=0,"",B33-D33)</f>
        <v/>
      </c>
      <c r="D33" s="85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9" t="s">
        <v>151</v>
      </c>
      <c r="B1" s="71"/>
      <c r="C1" s="71"/>
      <c r="D1" s="71"/>
      <c r="E1" s="71"/>
      <c r="F1" s="71"/>
      <c r="G1" s="71"/>
    </row>
    <row r="4">
      <c r="A4" s="4" t="s">
        <v>0</v>
      </c>
      <c r="B4" s="9"/>
      <c r="C4" s="9"/>
      <c r="D4" s="9"/>
      <c r="E4" s="9"/>
      <c r="F4" s="9"/>
      <c r="G4" s="9"/>
    </row>
    <row r="5">
      <c r="A5" s="4" t="s">
        <v>153</v>
      </c>
      <c r="B5" s="4" t="s">
        <v>154</v>
      </c>
      <c r="C5" s="4" t="s">
        <v>155</v>
      </c>
      <c r="D5" s="4" t="s">
        <v>156</v>
      </c>
      <c r="E5" s="4" t="s">
        <v>157</v>
      </c>
      <c r="F5" s="9"/>
      <c r="G5" s="9"/>
    </row>
    <row r="6">
      <c r="A6" s="3" t="s">
        <v>5</v>
      </c>
      <c r="B6" s="3" t="s">
        <v>91</v>
      </c>
      <c r="C6" s="3" t="s">
        <v>158</v>
      </c>
      <c r="D6" s="6">
        <f>COUNTA(QOWV!A11:A48)</f>
        <v>37</v>
      </c>
      <c r="E6" s="3" t="s">
        <v>160</v>
      </c>
    </row>
    <row r="8">
      <c r="A8" s="4" t="s">
        <v>161</v>
      </c>
      <c r="B8" s="23">
        <v>1201.0</v>
      </c>
      <c r="C8" s="4" t="s">
        <v>163</v>
      </c>
      <c r="D8" s="9"/>
      <c r="E8" s="9"/>
      <c r="F8" s="9"/>
      <c r="G8" s="9"/>
    </row>
    <row r="10">
      <c r="A10" s="4" t="s">
        <v>164</v>
      </c>
      <c r="B10" s="9"/>
      <c r="C10" s="9"/>
      <c r="D10" s="9"/>
      <c r="E10" s="9"/>
      <c r="F10" s="9"/>
      <c r="G10" s="9"/>
    </row>
    <row r="11">
      <c r="A11" s="4" t="s">
        <v>166</v>
      </c>
      <c r="B11" s="4" t="s">
        <v>167</v>
      </c>
      <c r="C11" s="4" t="s">
        <v>168</v>
      </c>
      <c r="D11" s="4" t="s">
        <v>169</v>
      </c>
      <c r="E11" s="4" t="s">
        <v>170</v>
      </c>
      <c r="F11" s="4" t="s">
        <v>171</v>
      </c>
      <c r="G11" s="4" t="s">
        <v>172</v>
      </c>
    </row>
    <row r="12">
      <c r="A12" s="3" t="s">
        <v>173</v>
      </c>
      <c r="B12" s="72">
        <v>45992.0</v>
      </c>
      <c r="C12" s="6">
        <v>40.0</v>
      </c>
      <c r="D12" s="6">
        <v>9.0</v>
      </c>
      <c r="E12" s="74">
        <f t="shared" ref="E12:E15" si="1">D12/C12</f>
        <v>0.225</v>
      </c>
      <c r="F12" s="15">
        <f t="shared" ref="F12:F15" si="2">$B$8</f>
        <v>1201</v>
      </c>
      <c r="G12" s="13">
        <f t="shared" ref="G12:G15" si="3">E12*F12</f>
        <v>270.225</v>
      </c>
    </row>
    <row r="13">
      <c r="A13" s="3" t="s">
        <v>176</v>
      </c>
      <c r="B13" s="72">
        <v>45993.0</v>
      </c>
      <c r="C13" s="6">
        <v>36.0</v>
      </c>
      <c r="D13" s="6">
        <v>10.0</v>
      </c>
      <c r="E13" s="74">
        <f t="shared" si="1"/>
        <v>0.2777777778</v>
      </c>
      <c r="F13" s="15">
        <f t="shared" si="2"/>
        <v>1201</v>
      </c>
      <c r="G13" s="13">
        <f t="shared" si="3"/>
        <v>333.6111111</v>
      </c>
    </row>
    <row r="14">
      <c r="A14" s="3" t="s">
        <v>178</v>
      </c>
      <c r="B14" s="72">
        <v>46252.0</v>
      </c>
      <c r="C14" s="6">
        <v>20.0</v>
      </c>
      <c r="D14" s="6">
        <v>15.0</v>
      </c>
      <c r="E14" s="74">
        <f t="shared" si="1"/>
        <v>0.75</v>
      </c>
      <c r="F14" s="15">
        <f t="shared" si="2"/>
        <v>1201</v>
      </c>
      <c r="G14" s="13">
        <f t="shared" si="3"/>
        <v>900.75</v>
      </c>
    </row>
    <row r="15">
      <c r="A15" s="3" t="s">
        <v>180</v>
      </c>
      <c r="B15" s="72">
        <v>46254.0</v>
      </c>
      <c r="C15" s="6">
        <v>18.0</v>
      </c>
      <c r="D15" s="6">
        <v>3.0</v>
      </c>
      <c r="E15" s="74">
        <f t="shared" si="1"/>
        <v>0.1666666667</v>
      </c>
      <c r="F15" s="15">
        <f t="shared" si="2"/>
        <v>1201</v>
      </c>
      <c r="G15" s="13">
        <f t="shared" si="3"/>
        <v>200.1666667</v>
      </c>
    </row>
    <row r="16">
      <c r="B16" s="26"/>
      <c r="E16" s="74"/>
      <c r="G16" s="13"/>
    </row>
    <row r="17">
      <c r="A17" s="4" t="s">
        <v>95</v>
      </c>
      <c r="B17" s="9"/>
      <c r="C17" s="9">
        <f t="shared" ref="C17:D17" si="4">SUM(C12:C15)</f>
        <v>114</v>
      </c>
      <c r="D17" s="9">
        <f t="shared" si="4"/>
        <v>37</v>
      </c>
      <c r="E17" s="9"/>
      <c r="F17" s="9"/>
      <c r="G17" s="76">
        <f>SUM(G12:G15)</f>
        <v>1704.752778</v>
      </c>
    </row>
    <row r="19">
      <c r="A19" s="4"/>
      <c r="B19" s="9"/>
      <c r="C19" s="9"/>
      <c r="D19" s="9"/>
      <c r="E19" s="9"/>
      <c r="F19" s="9"/>
      <c r="G19" s="9"/>
    </row>
    <row r="20">
      <c r="A20" s="4"/>
      <c r="B20" s="4"/>
      <c r="C20" s="4"/>
      <c r="D20" s="4"/>
      <c r="E20" s="9"/>
      <c r="F20" s="9"/>
      <c r="G20" s="9"/>
    </row>
    <row r="21">
      <c r="C21" s="13"/>
    </row>
    <row r="23">
      <c r="A23" s="4"/>
      <c r="B23" s="9"/>
      <c r="C23" s="9"/>
      <c r="D23" s="9"/>
      <c r="E23" s="9"/>
      <c r="F23" s="9"/>
      <c r="G23" s="9"/>
    </row>
    <row r="24">
      <c r="A24" s="4"/>
      <c r="B24" s="4"/>
      <c r="C24" s="4"/>
      <c r="D24" s="4"/>
      <c r="E24" s="4"/>
      <c r="F24" s="9"/>
    </row>
    <row r="25">
      <c r="D25" s="26"/>
    </row>
    <row r="26">
      <c r="D26" s="26"/>
    </row>
    <row r="27">
      <c r="D27" s="26"/>
    </row>
    <row r="28">
      <c r="D28" s="26"/>
    </row>
    <row r="29">
      <c r="D29" s="26"/>
    </row>
    <row r="30">
      <c r="D30" s="26"/>
    </row>
    <row r="31">
      <c r="D31" s="26"/>
    </row>
    <row r="32">
      <c r="D32" s="26"/>
    </row>
    <row r="33">
      <c r="D33" s="26"/>
    </row>
    <row r="34">
      <c r="D34" s="26"/>
    </row>
    <row r="35">
      <c r="A35" s="9"/>
      <c r="B35" s="9"/>
      <c r="C35" s="4"/>
      <c r="D35" s="9"/>
      <c r="E35" s="9"/>
      <c r="F35" s="9"/>
    </row>
    <row r="37">
      <c r="A37" s="4"/>
      <c r="B37" s="9"/>
      <c r="C37" s="9"/>
      <c r="D37" s="9"/>
      <c r="E37" s="9"/>
      <c r="F37" s="9"/>
    </row>
    <row r="38">
      <c r="A38" s="4"/>
      <c r="B38" s="4"/>
      <c r="C38" s="4"/>
      <c r="D38" s="4"/>
      <c r="E38" s="4"/>
      <c r="F38" s="9"/>
    </row>
    <row r="39">
      <c r="D39" s="26"/>
    </row>
    <row r="40">
      <c r="D40" s="26"/>
    </row>
    <row r="41">
      <c r="D41" s="26"/>
    </row>
    <row r="42">
      <c r="D42" s="26"/>
    </row>
    <row r="43">
      <c r="D43" s="26"/>
    </row>
    <row r="44">
      <c r="D44" s="26"/>
    </row>
    <row r="45">
      <c r="D45" s="26"/>
    </row>
    <row r="46">
      <c r="D46" s="26"/>
    </row>
    <row r="47">
      <c r="D47" s="26"/>
    </row>
    <row r="48">
      <c r="D48" s="26"/>
    </row>
    <row r="49">
      <c r="D49" s="26"/>
    </row>
    <row r="50">
      <c r="D50" s="26"/>
    </row>
    <row r="51">
      <c r="D51" s="26"/>
    </row>
    <row r="52">
      <c r="D52" s="26"/>
    </row>
    <row r="53">
      <c r="D53" s="26"/>
    </row>
    <row r="54">
      <c r="D54" s="26"/>
    </row>
    <row r="55">
      <c r="D55" s="26"/>
    </row>
    <row r="56">
      <c r="A56" s="9"/>
      <c r="B56" s="9"/>
      <c r="C56" s="4"/>
      <c r="D56" s="9"/>
      <c r="E56" s="9"/>
      <c r="F56" s="9"/>
    </row>
    <row r="58">
      <c r="A58" s="4" t="s">
        <v>188</v>
      </c>
      <c r="B58" s="9"/>
      <c r="C58" s="9"/>
      <c r="D58" s="9"/>
      <c r="E58" s="9"/>
      <c r="F58" s="9"/>
    </row>
    <row r="59">
      <c r="A59" s="4" t="s">
        <v>189</v>
      </c>
      <c r="B59" s="4" t="s">
        <v>154</v>
      </c>
      <c r="C59" s="4" t="s">
        <v>143</v>
      </c>
      <c r="D59" s="4" t="s">
        <v>191</v>
      </c>
      <c r="E59" s="4" t="s">
        <v>153</v>
      </c>
      <c r="F59" s="9"/>
    </row>
    <row r="60">
      <c r="A60" s="3">
        <v>228427.0</v>
      </c>
      <c r="B60" s="3" t="s">
        <v>91</v>
      </c>
      <c r="C60" s="48" t="s">
        <v>192</v>
      </c>
      <c r="D60" s="26">
        <v>46001.0</v>
      </c>
      <c r="E60" s="3" t="s">
        <v>194</v>
      </c>
    </row>
    <row r="61">
      <c r="A61" s="3">
        <v>228408.0</v>
      </c>
      <c r="B61" s="3" t="s">
        <v>91</v>
      </c>
      <c r="C61" s="48" t="s">
        <v>195</v>
      </c>
      <c r="D61" s="26">
        <v>46001.0</v>
      </c>
      <c r="E61" s="3" t="s">
        <v>194</v>
      </c>
    </row>
    <row r="62">
      <c r="A62" s="3">
        <v>228465.0</v>
      </c>
      <c r="B62" s="3" t="s">
        <v>91</v>
      </c>
      <c r="C62" s="48" t="s">
        <v>192</v>
      </c>
      <c r="D62" s="26">
        <v>46001.0</v>
      </c>
      <c r="E62" s="3" t="s">
        <v>194</v>
      </c>
    </row>
    <row r="63">
      <c r="A63" s="3">
        <v>228496.0</v>
      </c>
      <c r="B63" s="3" t="s">
        <v>91</v>
      </c>
      <c r="C63" s="48" t="s">
        <v>192</v>
      </c>
      <c r="D63" s="26">
        <v>46001.0</v>
      </c>
      <c r="E63" s="3" t="s">
        <v>194</v>
      </c>
    </row>
    <row r="64">
      <c r="A64" s="3">
        <v>228431.0</v>
      </c>
      <c r="B64" s="3" t="s">
        <v>91</v>
      </c>
      <c r="C64" s="48" t="s">
        <v>192</v>
      </c>
      <c r="D64" s="26">
        <v>46001.0</v>
      </c>
      <c r="E64" s="3" t="s">
        <v>194</v>
      </c>
    </row>
    <row r="65">
      <c r="A65" s="3">
        <v>228455.0</v>
      </c>
      <c r="B65" s="3" t="s">
        <v>91</v>
      </c>
      <c r="C65" s="48" t="s">
        <v>192</v>
      </c>
      <c r="D65" s="26">
        <v>46001.0</v>
      </c>
      <c r="E65" s="3" t="s">
        <v>194</v>
      </c>
    </row>
    <row r="66">
      <c r="A66" s="3">
        <v>228458.0</v>
      </c>
      <c r="B66" s="3" t="s">
        <v>91</v>
      </c>
      <c r="C66" s="48" t="s">
        <v>192</v>
      </c>
      <c r="D66" s="26">
        <v>46001.0</v>
      </c>
      <c r="E66" s="3" t="s">
        <v>194</v>
      </c>
    </row>
    <row r="67">
      <c r="A67" s="3">
        <v>228422.0</v>
      </c>
      <c r="B67" s="3" t="s">
        <v>91</v>
      </c>
      <c r="C67" s="48" t="s">
        <v>192</v>
      </c>
      <c r="D67" s="26">
        <v>46001.0</v>
      </c>
      <c r="E67" s="3" t="s">
        <v>194</v>
      </c>
    </row>
    <row r="68">
      <c r="A68" s="3">
        <v>228466.0</v>
      </c>
      <c r="B68" s="3" t="s">
        <v>91</v>
      </c>
      <c r="C68" s="48" t="s">
        <v>192</v>
      </c>
      <c r="D68" s="26">
        <v>46001.0</v>
      </c>
      <c r="E68" s="3" t="s">
        <v>194</v>
      </c>
    </row>
    <row r="69">
      <c r="A69" s="3">
        <v>228462.0</v>
      </c>
      <c r="B69" s="3" t="s">
        <v>91</v>
      </c>
      <c r="C69" s="48" t="s">
        <v>192</v>
      </c>
      <c r="D69" s="26">
        <v>46001.0</v>
      </c>
      <c r="E69" s="3" t="s">
        <v>194</v>
      </c>
    </row>
    <row r="70">
      <c r="A70" s="3">
        <v>228494.0</v>
      </c>
      <c r="B70" s="3" t="s">
        <v>91</v>
      </c>
      <c r="C70" s="48" t="s">
        <v>192</v>
      </c>
      <c r="D70" s="26">
        <v>46001.0</v>
      </c>
      <c r="E70" s="3" t="s">
        <v>194</v>
      </c>
    </row>
    <row r="71">
      <c r="A71" s="3">
        <v>228438.0</v>
      </c>
      <c r="B71" s="3" t="s">
        <v>91</v>
      </c>
      <c r="C71" s="48" t="s">
        <v>192</v>
      </c>
      <c r="D71" s="26">
        <v>46001.0</v>
      </c>
      <c r="E71" s="3" t="s">
        <v>194</v>
      </c>
    </row>
    <row r="72">
      <c r="A72" s="3">
        <v>228403.0</v>
      </c>
      <c r="B72" s="3" t="s">
        <v>91</v>
      </c>
      <c r="C72" s="48" t="s">
        <v>192</v>
      </c>
      <c r="D72" s="26">
        <v>46001.0</v>
      </c>
      <c r="E72" s="3" t="s">
        <v>194</v>
      </c>
    </row>
    <row r="73">
      <c r="A73" s="3">
        <v>228476.0</v>
      </c>
      <c r="B73" s="3" t="s">
        <v>91</v>
      </c>
      <c r="C73" s="48" t="s">
        <v>192</v>
      </c>
      <c r="D73" s="26">
        <v>46001.0</v>
      </c>
      <c r="E73" s="3" t="s">
        <v>194</v>
      </c>
    </row>
    <row r="74">
      <c r="A74" s="9"/>
      <c r="B74" s="9"/>
      <c r="C74" s="4"/>
      <c r="D74" s="9"/>
      <c r="E74" s="9"/>
      <c r="F7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203</v>
      </c>
    </row>
    <row r="4">
      <c r="A4" s="3" t="s">
        <v>0</v>
      </c>
    </row>
    <row r="5">
      <c r="A5" s="3" t="s">
        <v>153</v>
      </c>
      <c r="B5" s="3" t="s">
        <v>154</v>
      </c>
      <c r="C5" s="3" t="s">
        <v>155</v>
      </c>
      <c r="D5" s="3" t="s">
        <v>156</v>
      </c>
      <c r="E5" s="3" t="s">
        <v>204</v>
      </c>
    </row>
    <row r="6">
      <c r="A6" s="3" t="s">
        <v>205</v>
      </c>
      <c r="B6" s="3" t="s">
        <v>127</v>
      </c>
      <c r="C6" s="3" t="s">
        <v>206</v>
      </c>
      <c r="D6" s="15">
        <f>COUNTA(WODO!A11:A23)</f>
        <v>0</v>
      </c>
      <c r="E6" s="3" t="s">
        <v>208</v>
      </c>
    </row>
    <row r="8">
      <c r="A8" s="3" t="s">
        <v>209</v>
      </c>
      <c r="B8" s="6">
        <v>1201.0</v>
      </c>
    </row>
    <row r="10">
      <c r="A10" s="3" t="s">
        <v>211</v>
      </c>
    </row>
    <row r="11">
      <c r="A11" s="3" t="s">
        <v>166</v>
      </c>
      <c r="B11" s="3" t="s">
        <v>167</v>
      </c>
      <c r="C11" s="3" t="s">
        <v>168</v>
      </c>
      <c r="D11" s="3" t="s">
        <v>169</v>
      </c>
      <c r="E11" s="3" t="s">
        <v>170</v>
      </c>
      <c r="F11" s="3" t="s">
        <v>171</v>
      </c>
      <c r="G11" s="3" t="s">
        <v>172</v>
      </c>
    </row>
    <row r="12">
      <c r="B12" s="26"/>
      <c r="D12" s="15">
        <f>$D$6</f>
        <v>0</v>
      </c>
      <c r="E12" s="15" t="str">
        <f>IFERROR(D12/C12,"")</f>
        <v/>
      </c>
      <c r="F12" s="15">
        <f>$B$8</f>
        <v>1201</v>
      </c>
      <c r="G12" s="15">
        <f>IFERROR(E12*F12,"")</f>
        <v>0</v>
      </c>
    </row>
    <row r="14">
      <c r="A14" s="3" t="s">
        <v>95</v>
      </c>
      <c r="C14" s="15">
        <f t="shared" ref="C14:D14" si="1">SUM(C12:C13)</f>
        <v>0</v>
      </c>
      <c r="D14" s="15">
        <f t="shared" si="1"/>
        <v>0</v>
      </c>
      <c r="G14" s="15">
        <f>SUM(G12:G13)</f>
        <v>0</v>
      </c>
    </row>
    <row r="16">
      <c r="A16" s="3" t="s">
        <v>229</v>
      </c>
      <c r="B16" s="15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245</v>
      </c>
    </row>
    <row r="4">
      <c r="A4" s="3" t="s">
        <v>0</v>
      </c>
    </row>
    <row r="5">
      <c r="A5" s="3" t="s">
        <v>153</v>
      </c>
      <c r="B5" s="3" t="s">
        <v>154</v>
      </c>
      <c r="C5" s="3" t="s">
        <v>155</v>
      </c>
      <c r="D5" s="3" t="s">
        <v>156</v>
      </c>
      <c r="E5" s="3" t="s">
        <v>204</v>
      </c>
    </row>
    <row r="6">
      <c r="A6" s="3" t="s">
        <v>5</v>
      </c>
      <c r="B6" s="3" t="s">
        <v>246</v>
      </c>
      <c r="C6" s="3" t="s">
        <v>158</v>
      </c>
      <c r="D6" s="15">
        <f>COUNTA('Whole Oil'!A11:A23)</f>
        <v>5</v>
      </c>
      <c r="E6" s="3" t="s">
        <v>247</v>
      </c>
    </row>
    <row r="8">
      <c r="A8" s="3" t="s">
        <v>209</v>
      </c>
      <c r="B8" s="6">
        <v>1201.0</v>
      </c>
    </row>
    <row r="10">
      <c r="A10" s="3" t="s">
        <v>211</v>
      </c>
    </row>
    <row r="11">
      <c r="A11" s="3" t="s">
        <v>166</v>
      </c>
      <c r="B11" s="3" t="s">
        <v>167</v>
      </c>
      <c r="C11" s="3" t="s">
        <v>168</v>
      </c>
      <c r="D11" s="3" t="s">
        <v>169</v>
      </c>
      <c r="E11" s="3" t="s">
        <v>170</v>
      </c>
      <c r="F11" s="3" t="s">
        <v>171</v>
      </c>
      <c r="G11" s="3" t="s">
        <v>172</v>
      </c>
    </row>
    <row r="12">
      <c r="A12" s="3" t="s">
        <v>248</v>
      </c>
      <c r="B12" s="26">
        <v>46275.0</v>
      </c>
      <c r="C12" s="6">
        <v>18.0</v>
      </c>
      <c r="D12" s="15">
        <f>$D$6</f>
        <v>5</v>
      </c>
      <c r="E12" s="15">
        <f>IFERROR(D12/C12,"")</f>
        <v>0.2777777778</v>
      </c>
      <c r="F12" s="15">
        <f>$B$8</f>
        <v>1201</v>
      </c>
      <c r="G12" s="15">
        <f>IFERROR(E12*F12,"")</f>
        <v>333.6111111</v>
      </c>
    </row>
    <row r="14">
      <c r="A14" s="3" t="s">
        <v>95</v>
      </c>
      <c r="C14" s="15">
        <f t="shared" ref="C14:D14" si="1">SUM(C12:C13)</f>
        <v>18</v>
      </c>
      <c r="D14" s="15">
        <f t="shared" si="1"/>
        <v>5</v>
      </c>
      <c r="G14" s="15">
        <f>SUM(G12:G13)</f>
        <v>333.6111111</v>
      </c>
    </row>
    <row r="16">
      <c r="A16" s="3" t="s">
        <v>229</v>
      </c>
      <c r="B16" s="15" t="str">
        <f>IF($D$14=$D$6,"OK","MISMATCH")</f>
        <v>OK</v>
      </c>
    </row>
  </sheetData>
  <drawing r:id="rId1"/>
</worksheet>
</file>