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2024" sheetId="1" r:id="rId5"/>
    <sheet state="visible" name="2026" sheetId="2" r:id="rId6"/>
    <sheet state="hidden" name="2025" sheetId="3" r:id="rId7"/>
    <sheet state="hidden" name="Truck and Trailer EE 2025" sheetId="4" r:id="rId8"/>
    <sheet state="visible" name="Truck and Trailer EE 2026" sheetId="5" r:id="rId9"/>
    <sheet state="hidden" name="2025 KS Electricity EFs" sheetId="6" r:id="rId10"/>
    <sheet state="hidden" name="2025 CO Electricity EFs" sheetId="7" r:id="rId11"/>
    <sheet state="visible" name="2026 SPSO Electricity EFs" sheetId="8" r:id="rId12"/>
    <sheet state="visible" name="2026 RMPA Electricity EFs" sheetId="9" r:id="rId13"/>
    <sheet state="hidden" name="2025 LA Electricity EFs" sheetId="10" r:id="rId14"/>
    <sheet state="visible" name="2026 SPNO Electricity EFs" sheetId="11" r:id="rId15"/>
    <sheet state="visible" name="ElecInfra Summary" sheetId="12" r:id="rId16"/>
    <sheet state="hidden" name="2025 MRV Sample Shipping" sheetId="13" r:id="rId17"/>
    <sheet state="hidden" name="Copy of 2025 MRV Sample Shippin" sheetId="14" r:id="rId18"/>
    <sheet state="hidden" name="2025 Railcar Embodied Emissions" sheetId="15" r:id="rId19"/>
    <sheet state="hidden" name="Copy of 2025 Railcar Embodied E" sheetId="16" r:id="rId20"/>
    <sheet state="visible" name="2026 Railcar Embodied Emissions" sheetId="17" r:id="rId21"/>
    <sheet state="hidden" name="H1 2025 AECN Process Emissions" sheetId="18" r:id="rId22"/>
    <sheet state="hidden" name="H1 2026 AECN Process Emissions" sheetId="19" r:id="rId23"/>
    <sheet state="visible" name="H2 2026 AECN Process Emissions" sheetId="20" r:id="rId24"/>
    <sheet state="hidden" name="2025 LCS Embodied Emissions" sheetId="21" r:id="rId25"/>
    <sheet state="visible" name="2026 LCS Embodied Emissions" sheetId="22" r:id="rId26"/>
    <sheet state="visible" name="Vaulted- EE 825 Update" sheetId="23" r:id="rId27"/>
    <sheet state="hidden" name="2025 Rock Salt Emissions" sheetId="24" r:id="rId28"/>
    <sheet state="hidden" name="Vaulted EE 825 Update" sheetId="25" r:id="rId29"/>
    <sheet state="visible" name="2026 Methanol" sheetId="26" r:id="rId30"/>
    <sheet state="visible" name="2026 Water" sheetId="27" r:id="rId31"/>
    <sheet state="visible" name="2026 Sample Transport Materiali" sheetId="28" r:id="rId32"/>
    <sheet state="visible" name="2026 Currency Conversions for C" sheetId="29" r:id="rId3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tc={b9541cb2-99fd-47fe-8a98-3d8890fe8636}</author>
  </authors>
  <commentList>
    <comment authorId="0" xr:uid="{b9541cb2-99fd-47fe-8a98-3d8890fe8636}" ref="C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Update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tc={b63a8b7e-41d0-42cc-a4f4-93ca6a2e8493}</author>
    <author>tc={e25b0ca2-4a86-43d2-9f28-95b9f8986cb2}</author>
  </authors>
  <commentList>
    <comment authorId="0" xr:uid="{b63a8b7e-41d0-42cc-a4f4-93ca6a2e8493}" ref="D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this is way better than the EF we had before
Reply:
	It is? https://docs.google.com/spreadsheets/d/1Ousnioby2f_yfIG_HuSsCiT2gkbD3_YQ8_mmo7WAmrI/edit?gid=0#gid=0
Looking at this I'm seeing us go from 1.399 to 1.398
Reply:
	Oh gosh, I meant to put this on Limestone lol
Reply:
	Ah, yes that is much better! GREET FTW
1 total reaction
Garrett Lutz reacted with 👏 at 03/26/2026, 8:35 PM UTC
</t>
      </text>
    </comment>
    <comment authorId="1" xr:uid="{e25b0ca2-4a86-43d2-9f28-95b9f8986cb2}" ref="B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I've been using row 24, but if this is updated, we can use this for SS procurement. I see GREET 2024 instead of 2025 so just double checking
Reply:
	Should be. Have Claude check against the updated DB to be certain.
1 total reaction
Garrett Lutz reacted with 👍 at 04/29/2026, 7:22 PM UTC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tc={acd33908-ebee-43e7-8aa8-decb3e7cc65c}</author>
  </authors>
  <commentList>
    <comment authorId="0" xr:uid="{acd33908-ebee-43e7-8aa8-decb3e7cc65c}" ref="B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Does not exist in updated version. Adding in closest proxy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3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tc={27f5c652-84d1-4ea5-aa67-6e5752d4b370}</author>
    <author>tc={729791e5-c219-427c-a96e-3a4f78ac5a30}</author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  <comment authorId="1" xr:uid="{27f5c652-84d1-4ea5-aa67-6e5752d4b370}" ref="I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EPA data only quantifies loss rates at the interconnect power grid level, not the grid region level. 4.2% is the US average and also the highest option aside from 4.4% in Hawaii, so the choice is methodologically sound.
</t>
      </text>
    </comment>
    <comment authorId="2" xr:uid="{729791e5-c219-427c-a96e-3a4f78ac5a30}" ref="B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Actual power profiler results only sum to 99.4%. To be conservative, I added the extra .6% to solar since it has the highest upstream embodied emissions per mmBTU, so there is no risk of undercounting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tc={794b9c97-4dbf-49cc-9cb8-49a32431f1d9}</author>
    <author>tc={d912ed26-c060-4e32-bd56-67d7a6997954}</author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  <comment authorId="1" xr:uid="{794b9c97-4dbf-49cc-9cb8-49a32431f1d9}" ref="I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EPA data only quantifies loss rates at the interconnect power grid level, not the grid region level. 4.2% is the US average and also the highest option aside from 4.4% in Hawaii, so the choice is methodologically sound.
</t>
      </text>
    </comment>
    <comment authorId="2" xr:uid="{d912ed26-c060-4e32-bd56-67d7a6997954}" ref="B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 values given by power profiler sum to 100.1%. There is no risk of understating emissions due to this error, so the values are presented unchanged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tc={074fc24e-5760-4c3a-b8db-d42f3579e329}</author>
    <author>tc={1aca44f6-7edc-46eb-a100-1e49f2d77238}</author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  <comment authorId="1" xr:uid="{074fc24e-5760-4c3a-b8db-d42f3579e329}" ref="J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going to look for a new one of these, looks like EPA deleted this....
Reply:
	Looks like it still exists, just got moved. Go here
https://www.epa.gov/egrid/detailed-data
Then open the spreadsheet and go to the GGL23 tab, which has the grid losses by region and national average.
In the future there may be a bridge, troll, riddles, etc. required to gain access
1 total reaction
Garrett Lutz reacted with 😂 at 02/03/2026, 5:13 PM UTC
</t>
      </text>
    </comment>
    <comment authorId="2" xr:uid="{1aca44f6-7edc-46eb-a100-1e49f2d77238}" ref="B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This still needs to be filled in I think. The derating value is the same as CO because there are a few cells that need to be filled
Reply:
	Ah, good catch! I'll fix this up today
Reply:
	This should be good to go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tc={833794bd-bcfa-4859-8998-8f97e3078e99}</author>
    <author>tc={c2f72995-29d9-497b-be08-3a324834c96e}</author>
  </authors>
  <commentList>
    <comment authorId="0" ref="C13">
      <text>
        <t xml:space="preserve">GREET does not have a specific value for oil power generation technology. Natural Gas is the closest analogue so that value is used here as a proxy</t>
      </text>
    </comment>
    <comment authorId="1" xr:uid="{833794bd-bcfa-4859-8998-8f97e3078e99}" ref="B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Actual power profiler results only sum to 99.9%. To be conservative, I added the extra .1% to solar since it has the highest upstream embodied emissions per mmBTU, so there is no risk of undercounting
</t>
      </text>
    </comment>
    <comment authorId="2" xr:uid="{c2f72995-29d9-497b-be08-3a324834c96e}" ref="I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EPA data only quantifies loss rates at the interconnect power grid level, not the grid region level. 4.2% is the US average and also the highest option aside from 4.4% in Hawaii, so the choice is methodologically sound.
</t>
      </text>
    </comment>
  </commentList>
</comments>
</file>

<file path=xl/sharedStrings.xml><?xml version="1.0" encoding="utf-8"?>
<sst xmlns="http://schemas.openxmlformats.org/spreadsheetml/2006/main" count="1679" uniqueCount="683">
  <si>
    <t>Updated?</t>
  </si>
  <si>
    <t>GREET 2024 Values</t>
  </si>
  <si>
    <t>Unit</t>
  </si>
  <si>
    <t>g CO2e</t>
  </si>
  <si>
    <t>Baseline Quantity</t>
  </si>
  <si>
    <t>Km per Mile</t>
  </si>
  <si>
    <t>Uncertainty Factor</t>
  </si>
  <si>
    <t>Final Quantity</t>
  </si>
  <si>
    <t>Source</t>
  </si>
  <si>
    <t>MHDV Summary of Energy Consumption and Emissions Related to Part Manufacturing and Vehicle Assembly (VMA): per-vehicle lifetime</t>
  </si>
  <si>
    <t>Normalized</t>
  </si>
  <si>
    <t>Production Emissions for AECN Oil</t>
  </si>
  <si>
    <t>kgCO2e/kg (converted)</t>
  </si>
  <si>
    <t>MHDV Assembly, Disposal and Recyclining (incl. paint production)</t>
  </si>
  <si>
    <t>MTCO2e/MT Oil</t>
  </si>
  <si>
    <t>Constant</t>
  </si>
  <si>
    <t>AECN LCA</t>
  </si>
  <si>
    <t>MHDV Trailer Summary of Energy Consumption and Emissions Related to Part Manufacturing and Trailer Assembly (VMA): per-trailer lifetime</t>
  </si>
  <si>
    <t>Embodied Emissions for AECN Oil</t>
  </si>
  <si>
    <t>N/A</t>
  </si>
  <si>
    <t>MHDV Trailer Assembly, Disposal and Recyclining (incl. paint production)</t>
  </si>
  <si>
    <t>km/t --&gt; T/mi</t>
  </si>
  <si>
    <t>AECN Information, NAICS Supply Chain Emissions Factors</t>
  </si>
  <si>
    <t>Truck Transport Fuel Use (Well to Wheel) -- Tanker Truck</t>
  </si>
  <si>
    <t>MT CO2e/t-mi</t>
  </si>
  <si>
    <t>Updated</t>
  </si>
  <si>
    <t>GLEC V3.0</t>
  </si>
  <si>
    <t>Production Emissions for AECN Oil--H1 2025</t>
  </si>
  <si>
    <t>Total Lifetime Embodied Emissions Truck and Trailer</t>
  </si>
  <si>
    <t>Truck Transport Fuel Use (Well to Wheel) -- Flatbed Truck</t>
  </si>
  <si>
    <t>EPA Vehicle Useful Life Heavy Duty Diesel Engine</t>
  </si>
  <si>
    <t>Total Embodied Emissions (g CO2e)/Mile</t>
  </si>
  <si>
    <t>Truck Transport Fuel Use (Well to Wheel) -- Specialized Truck</t>
  </si>
  <si>
    <t>Self-Loading Truck Lumber Handling (No Transport)</t>
  </si>
  <si>
    <t>MT CO2e/MT logs</t>
  </si>
  <si>
    <t>Production Emissions for AECN Oil--H1 2026</t>
  </si>
  <si>
    <t>Log Handling Emissions</t>
  </si>
  <si>
    <t>Total Embodied Emissions (kg CO2e)/Mile</t>
  </si>
  <si>
    <t>Total Embodied Emissions (MT CO2e)/Mile</t>
  </si>
  <si>
    <t>Production Emissions for AECN Oil--H2 2026</t>
  </si>
  <si>
    <t>2022 Deadhead Average % of Overall Mileage --Tanker Truck</t>
  </si>
  <si>
    <t>FH 2026 LCA w Stack Emissions</t>
  </si>
  <si>
    <t>Tanker Truck Total Embodied Emissions (MTCO2e)/Mile w/ Deadhead</t>
  </si>
  <si>
    <t>GLEC V3.0 2024</t>
  </si>
  <si>
    <t>Air Transport Fuel Use (Well to Wheel) -- Unknown Type</t>
  </si>
  <si>
    <t>MT CO2e/T-mi</t>
  </si>
  <si>
    <t>Rail Transport Fuel Use (Well to Wheel)</t>
  </si>
  <si>
    <t>MTCO2e/T-mi</t>
  </si>
  <si>
    <t>Converted to MTCO2e/km</t>
  </si>
  <si>
    <t>Vehicle Embodied Emissions --Tanker Truck</t>
  </si>
  <si>
    <t>MT CO2e/mi</t>
  </si>
  <si>
    <t>USEPA/GREET 2023</t>
  </si>
  <si>
    <t>Vehicle Embodied Emissions --Non-Tanker Truck</t>
  </si>
  <si>
    <t>Vehicle Embodied Emissions --Railcar</t>
  </si>
  <si>
    <t>Electricity Use -- Kansas</t>
  </si>
  <si>
    <t>MTCO2e/kWh</t>
  </si>
  <si>
    <t>USEPA, GLEC</t>
  </si>
  <si>
    <t>Converted to kgCO2e/km</t>
  </si>
  <si>
    <t>Electricity Use -- Colorado</t>
  </si>
  <si>
    <t>Diesel Fuel Combustion (Total WTW)</t>
  </si>
  <si>
    <t>MTCO2e/kg fuel</t>
  </si>
  <si>
    <t>2022 Deadhead Average % of Overall Mileage -- Non-Tanker Truck</t>
  </si>
  <si>
    <t>LPG Consumption (Total WTW)</t>
  </si>
  <si>
    <t>Non- Tanker Truck Total Embodied Emissions (MTCO2e)/Mile w/ Deadhead</t>
  </si>
  <si>
    <t>Gasoline Consumption (Total WTW)</t>
  </si>
  <si>
    <t>GLEC V3.2 2025</t>
  </si>
  <si>
    <t>Drinking Water -- US</t>
  </si>
  <si>
    <t>MTCO2e/gal water</t>
  </si>
  <si>
    <t>https://www.sciencedirect.com/science/article/abs/pii/S0959652621030110</t>
  </si>
  <si>
    <t>ISOMETRIC</t>
  </si>
  <si>
    <t>Embodied Emissions  -- Steel (Virgin Steel FInal Average Stamped Steel Product: Combined)</t>
  </si>
  <si>
    <t>MTCO2e/T Steel</t>
  </si>
  <si>
    <t>GREET 2023</t>
  </si>
  <si>
    <t>Embodied Emissions -- Stainless Steel (Final Steel Product:Commbined)</t>
  </si>
  <si>
    <t>Embodied Emissions  -- Rubber (Final Average Rubber Product: Combined)</t>
  </si>
  <si>
    <t>MTCO2e/T Rubber</t>
  </si>
  <si>
    <t>Embodied Emissions --HDPE (Fossil HDPE Resin)</t>
  </si>
  <si>
    <t>MTCO2e/T HDPE</t>
  </si>
  <si>
    <t>Embodied Emissions -- Concrete (Ready-mix concrete US nat'l average ton delivered)</t>
  </si>
  <si>
    <t>MTCO2e/T Concrete</t>
  </si>
  <si>
    <t>Embodied Emissions -- Liquid Caustic Soda (50% NaOH)</t>
  </si>
  <si>
    <t>MTCO2e/T LCS</t>
  </si>
  <si>
    <t>Air Transport Fuel Use (Well to Wheel) -- Unknown Type, Long Haul</t>
  </si>
  <si>
    <t>Embodied Emissions -- NAICS Supply Chain Emissions Factors: Other Industrial Machinery Manufacturing</t>
  </si>
  <si>
    <t>MTCO2e/2021 USD, purchaser price</t>
  </si>
  <si>
    <t>NAICS Supply Chain Emissions Factors</t>
  </si>
  <si>
    <t>Embodied Emissions -- NAICS Supply Chain Emissions Factors: Industrial Building Construction</t>
  </si>
  <si>
    <t>Embodied Emissions -- NAICS Supply Chain Emissions Factors: Contractors and Installation (Var.)</t>
  </si>
  <si>
    <t>Embodied Emissions -- NAICS Supply Chain Emissions Factors: Motor and Generator Manufacturing</t>
  </si>
  <si>
    <t>Embodied Emissions -- NAICS Supply Chain Emissions Factors: Construction Machinery Manufacturing</t>
  </si>
  <si>
    <t>Embodied Emissions -- NAICS Supply Chain Emissions Factors: Railroad Rolling Stock Manufacturing</t>
  </si>
  <si>
    <t>Embodied Emissions -- NAICS Supply Chain Emissions Factors: Industrial and Commercial Fan and Blower and Air Purification Equipment Manufacturing</t>
  </si>
  <si>
    <t>Embodied Emissions -- NAICS Supply Chain Emissions Factors: Air-Conditioning and Warm Air Heating Equipment and Commercial and Industrial Refrigeration Equipment Manufacturing</t>
  </si>
  <si>
    <t>Bio-Oil Disposal, Incineration</t>
  </si>
  <si>
    <t>MTCO2e/kg Material</t>
  </si>
  <si>
    <t>Bespoke analysis using Climate change openLCA LCIA Methods 2.4.3/EF 3.1 Method (adapted)</t>
  </si>
  <si>
    <t>Kg CO2e/mi</t>
  </si>
  <si>
    <t>AECN Journey mi</t>
  </si>
  <si>
    <t>% Reduction vs. Tanker</t>
  </si>
  <si>
    <t>Bio-Oil Disposal, Landfilling [IBC Totes]</t>
  </si>
  <si>
    <t>Bio-Oil Disposal, Landfilling [Open Dump]</t>
  </si>
  <si>
    <t>USEPA/GREET 2024</t>
  </si>
  <si>
    <t>--</t>
  </si>
  <si>
    <t>Bio-Oil Contaminated Gravel, Landfilling [Open Dump]</t>
  </si>
  <si>
    <t>MTCO2e/mi</t>
  </si>
  <si>
    <t>Grid Electricity Use -- Kansas</t>
  </si>
  <si>
    <t>Green-E,USEPA, GREET 2025</t>
  </si>
  <si>
    <t>Grid Electricity Use -- Colorado</t>
  </si>
  <si>
    <t>USDOT/USEPA/Cambridge Systematics</t>
  </si>
  <si>
    <t>Grid Electricity Use -- Louisiana</t>
  </si>
  <si>
    <t>Wind RECs Use -- Kansas</t>
  </si>
  <si>
    <t>Green-E,USEPA, GREET 2024</t>
  </si>
  <si>
    <t>Solar RECs Use -- Colorado</t>
  </si>
  <si>
    <t>Solar RECs Use -- Louisiana</t>
  </si>
  <si>
    <t>kgCO2e/kg fuel</t>
  </si>
  <si>
    <t>Sample Transport Emissions</t>
  </si>
  <si>
    <t>MT CO2e/Injection Batch</t>
  </si>
  <si>
    <t>N/A Immaterial</t>
  </si>
  <si>
    <t xml:space="preserve"> </t>
  </si>
  <si>
    <t>GREET 2025 Values</t>
  </si>
  <si>
    <t>Embodied Emissions  -- Copper Cathode</t>
  </si>
  <si>
    <t>kgCO2e/kg Copper</t>
  </si>
  <si>
    <r>
      <rPr>
        <color rgb="FF1155CC"/>
        <u/>
      </rPr>
      <t>International Copper Association</t>
    </r>
    <r>
      <rPr>
        <color rgb="FF1F1F1F"/>
      </rPr>
      <t xml:space="preserve"> (Page 9)</t>
    </r>
  </si>
  <si>
    <t>MHDV Assembly, Disposal and Recycling (incl. paint production)</t>
  </si>
  <si>
    <t>MHDV Trailer Assembly, Disposal and Recycling (incl. paint production)</t>
  </si>
  <si>
    <r>
      <rPr/>
      <t xml:space="preserve">Source: </t>
    </r>
    <r>
      <rPr>
        <color rgb="FF1155CC"/>
        <u/>
      </rPr>
      <t>EPA</t>
    </r>
  </si>
  <si>
    <t>GREET 2025</t>
  </si>
  <si>
    <t>Embodied Emissions -- Stainless Steel (Final Steel Product:Combined)</t>
  </si>
  <si>
    <t>GREET 2024</t>
  </si>
  <si>
    <t>Embodied Emissions --HDPE</t>
  </si>
  <si>
    <t>Embodied Emissions --LDPE</t>
  </si>
  <si>
    <t>MTCO2e/T LDPE</t>
  </si>
  <si>
    <t>Source: ATRI</t>
  </si>
  <si>
    <t>kg CO2e/2024 USD, purchaser price</t>
  </si>
  <si>
    <t>NAICS Supply Chain Emissions Factors 1.4.0</t>
  </si>
  <si>
    <t>kg CO2e/2022 USD, purchaser price</t>
  </si>
  <si>
    <t>Converted to MTCO2e/mi</t>
  </si>
  <si>
    <t>Embodied Emissions -- NAICS Supply Chain Emissions Factors: All Other Specialty Trade Contractors</t>
  </si>
  <si>
    <t>kgCO2e/2022 USD, purchaser price</t>
  </si>
  <si>
    <t>Embodied Emissions -- NAICS Supply Chain Emissions Factors: Prefabricating Wood Building Manufacturing</t>
  </si>
  <si>
    <t>Aluminium, General, North America Cradle to Gate</t>
  </si>
  <si>
    <t>ICE Database 4.0 - ISOMETRIC</t>
  </si>
  <si>
    <t>Methanol</t>
  </si>
  <si>
    <t>kgCO2e/gal</t>
  </si>
  <si>
    <t>Limestone</t>
  </si>
  <si>
    <t>kgCO2e/T Limestone</t>
  </si>
  <si>
    <t>Aggregate from virgin land won resources, bulk, loose</t>
  </si>
  <si>
    <t>kg CO2e/kg Material</t>
  </si>
  <si>
    <t>ICE DB Advanced 4.1 Oct 2025</t>
  </si>
  <si>
    <t>Asphalt -- Road Asphalt Average</t>
  </si>
  <si>
    <t>kgCO2e/kg Material</t>
  </si>
  <si>
    <t>Treated Softwood Lumber</t>
  </si>
  <si>
    <t>kgCO2e/kg</t>
  </si>
  <si>
    <t>ICE DB Advanced 4.1 Oct 2026</t>
  </si>
  <si>
    <t>Embodied Emissions -- NAICS Supply Chain Emissions Factors: All Other Miscellaneous Textile Product Mills (314999)</t>
  </si>
  <si>
    <t>Embodied Emissions -- NAICS Supply Chain Emissions Factors: Paper Bag and Coated and Treated Paper Manufacturing (322220)</t>
  </si>
  <si>
    <t>Embodied Emissions -- NAICS Supply Chain Emissions Factors: Petroleum Lubricating Oil and Grease Manufacturing (324191)</t>
  </si>
  <si>
    <t>Embodied Emissions -- NAICS Supply Chain Emissions Factors: Polish and Other Sanitation Good Manufacturing (325612)</t>
  </si>
  <si>
    <t>Embodied Emissions -- NAICS Supply Chain Emissions Factors: Plastics Pipe and Pipe Fitting Manufacturing (326122)</t>
  </si>
  <si>
    <t>Embodied Emissions -- NAICS Supply Chain Emissions Factors: Urethane and Other Foam Product (except Polystyrene) Manufacturing (326150)</t>
  </si>
  <si>
    <t>Embodied Emissions -- NAICS Supply Chain Emissions Factors: Plastics Bottle Manufacturing (326160)</t>
  </si>
  <si>
    <t>Embodied Emissions -- NAICS Supply Chain Emissions Factors: Rubber and Plastics Hoses and Belting Manufacturing (326220)</t>
  </si>
  <si>
    <t>Embodied Emissions -- NAICS Supply Chain Emissions Factors: Saw Blade and Handtool Manufacturing (332216)</t>
  </si>
  <si>
    <t>Embodied Emissions -- NAICS Supply Chain Emissions Factors: Bolt, Nut, Screw, Rivet, and Washer Manufacturing (332722)</t>
  </si>
  <si>
    <t>Embodied Emissions -- NAICS Supply Chain Emissions Factors: Industrial Valve Manufacturing (332911)</t>
  </si>
  <si>
    <t>Embodied Emissions -- NAICS Supply Chain Emissions Factors: Fabricated Pipe and Pipe Fitting Manufacturing (332996)</t>
  </si>
  <si>
    <t>Embodied Emissions -- NAICS Supply Chain Emissions Factors: All Other Miscellaneous Fabricated Metal Product Manufacturing (332999)</t>
  </si>
  <si>
    <t>Embodied Emissions -- NAICS Supply Chain Emissions Factors: Power-Driven Handtool Manufacturing (333991)</t>
  </si>
  <si>
    <t>Embodied Emissions -- NAICS Supply Chain Emissions Factors: Instruments and Related Products Manufacturing for Measuring, Displaying, and Controlling Industrial Process Variables (334513)</t>
  </si>
  <si>
    <t>Embodied Emissions -- NAICS Supply Chain Emissions Factors: Gasket, Packing, and Sealing Device Manufacturing (339991)</t>
  </si>
  <si>
    <t>Embodied Emissions -- NAICS Supply Chain Emissions Factors: Broom, Brush, and Mop Manufacturing (339994)</t>
  </si>
  <si>
    <t>Residual Mix Emissions</t>
  </si>
  <si>
    <t>Embodied Emissions -- NAICS Supply Chain Emissions Factors: All Other Miscellaneous Manufacturing (339999)</t>
  </si>
  <si>
    <t>Constants</t>
  </si>
  <si>
    <r>
      <rPr>
        <rFont val="Arial"/>
      </rPr>
      <t xml:space="preserve">Emissions Factor Source: </t>
    </r>
    <r>
      <rPr>
        <rFont val="Arial"/>
        <color rgb="FF1155CC"/>
        <u/>
      </rPr>
      <t>Green-e 2024 Residual Grid Mix</t>
    </r>
  </si>
  <si>
    <t>kWh per MWh</t>
  </si>
  <si>
    <t>Total lb CO2e/MWh for eGrid Subregion</t>
  </si>
  <si>
    <t>kWh per mmBTU</t>
  </si>
  <si>
    <t>Convert to lb CO2e/kWh for eGrid Subregion</t>
  </si>
  <si>
    <t>Lbs per MT</t>
  </si>
  <si>
    <t>Convert to MT CO2e/kWh for eGrid Subregion</t>
  </si>
  <si>
    <t>Grams per MT</t>
  </si>
  <si>
    <t>Grid Infrastructure</t>
  </si>
  <si>
    <t>Generation Method</t>
  </si>
  <si>
    <t>% of Infrastructure</t>
  </si>
  <si>
    <t>G CO2e/mmBTU Electricity Available at Plant Gate</t>
  </si>
  <si>
    <t>G CO2e/ Average mmBTU for eGrid Subregion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</si>
  <si>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</si>
  <si>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t>Coal</t>
  </si>
  <si>
    <t>Infrastructure Emissions Source: GREET 2024</t>
  </si>
  <si>
    <t>Wind</t>
  </si>
  <si>
    <t>Nuclear</t>
  </si>
  <si>
    <t>Gas</t>
  </si>
  <si>
    <t>Oil</t>
  </si>
  <si>
    <t>Hydro</t>
  </si>
  <si>
    <t>Biomass</t>
  </si>
  <si>
    <t>Solar</t>
  </si>
  <si>
    <t>Blended Average g CO2e/mmBTU for eGrid Subregion</t>
  </si>
  <si>
    <t>Convert to gCO2e/kWh for eGrid Subregion</t>
  </si>
  <si>
    <t>Convert to MTCO2e/kWh for eGrid Subregion</t>
  </si>
  <si>
    <t>Total Emissions for eGrid Subregion (MTCO2e/kWh)</t>
  </si>
  <si>
    <t>Convert to KgCO2e/kWh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</si>
  <si>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</si>
  <si>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t>kg CO2e/kwh</t>
  </si>
  <si>
    <t>RECs Calc</t>
  </si>
  <si>
    <r>
      <rPr>
        <rFont val="Arial"/>
        <color theme="1"/>
      </rPr>
      <t>m</t>
    </r>
    <r>
      <rPr>
        <rFont val="Arial"/>
        <i/>
        <color theme="1"/>
      </rPr>
      <t>p</t>
    </r>
  </si>
  <si>
    <t>No RECs</t>
  </si>
  <si>
    <t>MJ per MMBTU</t>
  </si>
  <si>
    <t>https://www.inchcalculator.com/convert/million-btu-to-megajoule/</t>
  </si>
  <si>
    <r>
      <rPr>
        <rFont val="Arial"/>
        <color theme="1"/>
      </rPr>
      <t>kwh</t>
    </r>
    <r>
      <rPr>
        <rFont val="Arial"/>
        <i/>
        <color theme="1"/>
      </rPr>
      <t>l</t>
    </r>
  </si>
  <si>
    <t>MJ per kWh</t>
  </si>
  <si>
    <t>https://www.inchcalculator.com/convert/kilowatt-hour-to-megajoule/</t>
  </si>
  <si>
    <r>
      <rPr>
        <rFont val="Arial"/>
        <color theme="1"/>
      </rPr>
      <t>G</t>
    </r>
    <r>
      <rPr>
        <rFont val="Arial"/>
        <i/>
        <color theme="1"/>
      </rPr>
      <t>p</t>
    </r>
  </si>
  <si>
    <t>% Reduction</t>
  </si>
  <si>
    <t>Grid Region Derating Factor</t>
  </si>
  <si>
    <t>https://www.epa.gov/system/files/documents/2025-01/egrid2023_summary_tables_rev1.pdf</t>
  </si>
  <si>
    <t>fp -- No Derating</t>
  </si>
  <si>
    <t>fp -- Derating</t>
  </si>
  <si>
    <t>fp -- Wind</t>
  </si>
  <si>
    <t>mmBTU/kWh</t>
  </si>
  <si>
    <t>g CO2e/mmBTU</t>
  </si>
  <si>
    <t>gCO2e/kWh</t>
  </si>
  <si>
    <t>kgCO2e/kWh</t>
  </si>
  <si>
    <t>Combustion for Energy Production (Green-E 2024 Residual Mix)</t>
  </si>
  <si>
    <t>Green-E 2024</t>
  </si>
  <si>
    <t>Grid Infrastructure (EPA eGrid 2023, GREET 2023)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</si>
  <si>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</si>
  <si>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</si>
  <si>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</si>
  <si>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</si>
  <si>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</si>
  <si>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t>Infrastructure Emissions Source: GREET 2025</t>
  </si>
  <si>
    <r>
      <rPr>
        <rFont val="Arial"/>
        <color theme="1"/>
      </rPr>
      <t>G</t>
    </r>
    <r>
      <rPr>
        <rFont val="Arial"/>
        <i/>
        <color theme="1"/>
      </rPr>
      <t>p</t>
    </r>
  </si>
  <si>
    <t>https://www.epa.gov/egrid/summary-data</t>
  </si>
  <si>
    <t>fp -- Solar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</si>
  <si>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</si>
  <si>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</si>
  <si>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</si>
  <si>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</si>
  <si>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t>https://www.epa.gov/egrid/detailed-data</t>
  </si>
  <si>
    <r>
      <rPr>
        <rFont val="Arial"/>
      </rPr>
      <t xml:space="preserve">Emissions Factor Source: </t>
    </r>
    <r>
      <rPr>
        <rFont val="Arial"/>
        <color rgb="FF1155CC"/>
        <u/>
      </rPr>
      <t>Green-e 2025 Residual Grid Mix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</si>
  <si>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</si>
  <si>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</si>
  <si>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</si>
  <si>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</rPr>
      <t xml:space="preserve">Emissions Factor Source: </t>
    </r>
    <r>
      <rPr>
        <rFont val="Arial"/>
        <color rgb="FF1155CC"/>
        <u/>
      </rPr>
      <t>Green-e 2025 Residual Grid Mix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</si>
  <si>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</si>
  <si>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</si>
  <si>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</si>
  <si>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</si>
  <si>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</si>
  <si>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</si>
  <si>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</si>
  <si>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</si>
  <si>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t>Power Plant Infrastructure Embodied GHG Emission Factors — g CO₂e per mmBtu at Plant Gate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</si>
  <si>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</si>
  <si>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</si>
  <si>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t>Charm Industrial  |  Source: GREET1 2025 (R_D_GREET1_2025.xlsm), Electric sheet, Section 7 (rows 174–176)</t>
  </si>
  <si>
    <r>
      <rPr>
        <rFont val="Arial"/>
        <color theme="1"/>
      </rPr>
      <t>kwh</t>
    </r>
    <r>
      <rPr>
        <rFont val="Arial"/>
        <i/>
        <color theme="1"/>
      </rPr>
      <t>l</t>
    </r>
  </si>
  <si>
    <t>SECTION 1 — AR6 GLOBAL WARMING POTENTIALS (100-yr)</t>
  </si>
  <si>
    <r>
      <rPr>
        <rFont val="Arial"/>
        <color theme="1"/>
      </rPr>
      <t>G</t>
    </r>
    <r>
      <rPr>
        <rFont val="Arial"/>
        <i/>
        <color theme="1"/>
      </rPr>
      <t>p</t>
    </r>
  </si>
  <si>
    <t>GWP (AR6, 100-yr)</t>
  </si>
  <si>
    <t>Units</t>
  </si>
  <si>
    <t>GREET1 2025 Source</t>
  </si>
  <si>
    <t>Note</t>
  </si>
  <si>
    <t>CO₂</t>
  </si>
  <si>
    <t>g CO₂e / g CO₂</t>
  </si>
  <si>
    <t>Fuel_Specs B150</t>
  </si>
  <si>
    <t>By definition</t>
  </si>
  <si>
    <t>CH₄</t>
  </si>
  <si>
    <t>g CO₂e / g CH₄</t>
  </si>
  <si>
    <t>Fuel_Specs B151</t>
  </si>
  <si>
    <t>IPCC AR6, 100-yr GWP including climate-carbon feedbacks</t>
  </si>
  <si>
    <t>N₂O</t>
  </si>
  <si>
    <t>g CO₂e / g N₂O</t>
  </si>
  <si>
    <t>Fuel_Specs B152</t>
  </si>
  <si>
    <t>SECTION 2 — INFRASTRUCTURE EMBODIED GHG BY PLANT TYPE (g CO₂e / mmBtu at Plant Gate)</t>
  </si>
  <si>
    <t>Plant Type</t>
  </si>
  <si>
    <t>CO₂
(g/mmBtu)</t>
  </si>
  <si>
    <t>Source cell</t>
  </si>
  <si>
    <t>CH₄
(g/mmBtu)</t>
  </si>
  <si>
    <t>N₂O
(g/mmBtu)</t>
  </si>
  <si>
    <t>CH₄ as CO₂e
(g/mmBtu)</t>
  </si>
  <si>
    <t>N₂O as CO₂e
(g/mmBtu)</t>
  </si>
  <si>
    <t>Total GHG
(g CO₂e/mmBtu)</t>
  </si>
  <si>
    <t>Notes</t>
  </si>
  <si>
    <t>P176</t>
  </si>
  <si>
    <t>P174</t>
  </si>
  <si>
    <t>P175</t>
  </si>
  <si>
    <t>GREET1 Electric sheet, Section 7</t>
  </si>
  <si>
    <t>Natural Gas</t>
  </si>
  <si>
    <t>H176</t>
  </si>
  <si>
    <t>H174</t>
  </si>
  <si>
    <t>H175</t>
  </si>
  <si>
    <t>B176</t>
  </si>
  <si>
    <t>B174</t>
  </si>
  <si>
    <t>B175</t>
  </si>
  <si>
    <t>T176</t>
  </si>
  <si>
    <t>T174</t>
  </si>
  <si>
    <t>T175</t>
  </si>
  <si>
    <t>X176</t>
  </si>
  <si>
    <t>X174</t>
  </si>
  <si>
    <t>X175</t>
  </si>
  <si>
    <t>AB176</t>
  </si>
  <si>
    <t>AB174</t>
  </si>
  <si>
    <t>AB175</t>
  </si>
  <si>
    <t>AD176</t>
  </si>
  <si>
    <t>AD174</t>
  </si>
  <si>
    <t>AD175</t>
  </si>
  <si>
    <t>Solar PV</t>
  </si>
  <si>
    <t>AF176</t>
  </si>
  <si>
    <t>AF174</t>
  </si>
  <si>
    <t>AF175</t>
  </si>
  <si>
    <t>SECTION 3 — METHODOLOGY NOTES</t>
  </si>
  <si>
    <t>Scope</t>
  </si>
  <si>
    <t>Infrastructure/embodied emissions only — plant construction, manufacturing, and equipment. Excludes all operating/combustion emissions.</t>
  </si>
  <si>
    <t>Source section</t>
  </si>
  <si>
    <t>GREET1 2025, Electric sheet, Section 7: "Energy Use, Water Consumption, and Emissions for Power Plant Infrastructure from GREET2 — per mmBtu of Electricity Available at Power Plant Gate." Infrastructure factors originate from GREET2 calculations.</t>
  </si>
  <si>
    <t>GWP basis</t>
  </si>
  <si>
    <t>IPCC Sixth Assessment Report (AR6), 100-year GWP including climate-carbon feedbacks. Values from GREET1 2025 Fuel_Specs sheet: CH₄=29.8 (B151), N₂O=273 (B152).</t>
  </si>
  <si>
    <t>Unit basis</t>
  </si>
  <si>
    <t>g CO₂e per mmBtu of electricity at the power plant gate (pre-transmission and distribution losses). T&amp;D losses are not reflected in these figures.</t>
  </si>
  <si>
    <t>Pattern note</t>
  </si>
  <si>
    <t>Boiler-type plants (Coal, NG, Oil, Biomass boilers) share identical infrastructure CO₂/CH₄/N₂O values — plant construction emissions in GREET2 depend on configuration type (boiler vs. turbine), not fuel identity.</t>
  </si>
  <si>
    <t>Vintage caveat</t>
  </si>
  <si>
    <t>The ElecInfra sheet that previously housed these values in standalone GREET2 releases has been removed in GREET2 2025. Section 7 values in GREET1 2025 carry forward infrastructure factors from an earlier GREET2 vintage. This is a known limitation.</t>
  </si>
  <si>
    <t>Duplicate Values</t>
  </si>
  <si>
    <t>Where GREET gives multiple options based on specific infrastructure features we don't/can't know, the highest value was selected to ensure a conservative estimate</t>
  </si>
  <si>
    <t>Tests for Each Injection Batch</t>
  </si>
  <si>
    <t>SGS Geo Info</t>
  </si>
  <si>
    <t>Testing Type</t>
  </si>
  <si>
    <t>Address</t>
  </si>
  <si>
    <t>151 James Drive West St Rose, LA 70087</t>
  </si>
  <si>
    <t>Carbon</t>
  </si>
  <si>
    <t>Distance from El Dorado Site (mi)</t>
  </si>
  <si>
    <t>https://drive.google.com/drive/folders/10qP33ema8rcTUsXUzN2qC1qNTEPeZs10</t>
  </si>
  <si>
    <t>Number of Samples</t>
  </si>
  <si>
    <t>Sample Size (oz)</t>
  </si>
  <si>
    <t>Conversions</t>
  </si>
  <si>
    <t>Destination Lab</t>
  </si>
  <si>
    <t>SGS</t>
  </si>
  <si>
    <t>Oz per MT</t>
  </si>
  <si>
    <t>Total Acid Number + Density</t>
  </si>
  <si>
    <t>Total Sample Weight to SGS (oz)</t>
  </si>
  <si>
    <t>Total Sample Weight to SGS (MT)</t>
  </si>
  <si>
    <t>CO2e from Transport to SGS (MT)</t>
  </si>
  <si>
    <t>Total Sample Emissions per Injection Batch (MTCO2e)</t>
  </si>
  <si>
    <t>Convert to Kg CO2e</t>
  </si>
  <si>
    <t>DOT 111 Average Purchase Cost (DOT, 2016)</t>
  </si>
  <si>
    <t>US DOT</t>
  </si>
  <si>
    <t>Convert to 2022 USD</t>
  </si>
  <si>
    <t>BLS CPI Inflation Calculator</t>
  </si>
  <si>
    <t>Railroad Rolling Stock Manufacturing (kgCO2e/2022 USD)</t>
  </si>
  <si>
    <t>NAICS Supply Chain Emission Factors v1.3</t>
  </si>
  <si>
    <t>Embodied Emissions from Manufacture (MTCO2e)</t>
  </si>
  <si>
    <t>Expected Useful Life in Years (Cambridge Systematics)</t>
  </si>
  <si>
    <t>Cambridge Systematics</t>
  </si>
  <si>
    <t>Typical Annual Mileage (Cambridge Systematics)</t>
  </si>
  <si>
    <t>Expected Lifetime Mileage</t>
  </si>
  <si>
    <t>Embodied Emissions per Mile Traveled (MTCO2e)</t>
  </si>
  <si>
    <t>DOT-111 Tank Car — Cradle-to-Grave Embodied Emissions</t>
  </si>
  <si>
    <t>Materials-Based Quantification</t>
  </si>
  <si>
    <t>Charm Industrial — MRV Team | April 2026</t>
  </si>
  <si>
    <t>Blue = source-backed  |  Red = estimate  |  Purple = GREET2 ref  |  Black = formula/derived</t>
  </si>
  <si>
    <t>1. DOT-111 PHYSICAL SPECIFICATIONS</t>
  </si>
  <si>
    <t>Parameter</t>
  </si>
  <si>
    <t>Value</t>
  </si>
  <si>
    <t>Source / Reference</t>
  </si>
  <si>
    <t>Classification</t>
  </si>
  <si>
    <t>Stack Emissions Calculation</t>
  </si>
  <si>
    <t>URL</t>
  </si>
  <si>
    <t>Tare weight (light weight)</t>
  </si>
  <si>
    <t>AECN LCA Data</t>
  </si>
  <si>
    <t>GHGenius Ensyn RTP Model</t>
  </si>
  <si>
    <t>Calculations Based on Model</t>
  </si>
  <si>
    <t>kg (86,350 lbs)</t>
  </si>
  <si>
    <t>GBRX spec sheet (Jan 2021): 29,000-gal DOT 111A100W1, C&amp;I. Quote: "Light weight: 86,350 lbs." Conversion: 86350/2.20462 = 39168 kg.</t>
  </si>
  <si>
    <t>SOURCED</t>
  </si>
  <si>
    <t>Biomass Input (MT)</t>
  </si>
  <si>
    <t>https://www.gbrx.com/wp-content/uploads/2021/06/29000-Gallon-DOT-111-Tank-Car.pdf</t>
  </si>
  <si>
    <t>GHG</t>
  </si>
  <si>
    <t>Configuration</t>
  </si>
  <si>
    <t>g/GJ Feedstock</t>
  </si>
  <si>
    <t>g/MT Bio Oil</t>
  </si>
  <si>
    <t>Coiled &amp; insulated (C&amp;I)</t>
  </si>
  <si>
    <t>g CO2e/MT Bio Oil</t>
  </si>
  <si>
    <t>GBRX spec sheet. Quote: "coiled and insulated tank car...DOT 111A100W1 specification."</t>
  </si>
  <si>
    <t>Bio Oil Output (L)</t>
  </si>
  <si>
    <t>CH4</t>
  </si>
  <si>
    <t>HHV (MJ/L)</t>
  </si>
  <si>
    <t>N2O</t>
  </si>
  <si>
    <t>Emissions Totals</t>
  </si>
  <si>
    <t>Shell material</t>
  </si>
  <si>
    <t>ASTM A516 Gr 70 carbon steel</t>
  </si>
  <si>
    <t>Total HHV (MJ)</t>
  </si>
  <si>
    <t>Total Stack Emissions g CO2e/ MT Bio Oil</t>
  </si>
  <si>
    <t>49 CFR 179.200-7: permits carbon steel. A516 Gr 70 is industry standard, not regulatory mandate.</t>
  </si>
  <si>
    <t>PARTIAL</t>
  </si>
  <si>
    <t>https://www.ecfr.gov/current/title-49/part-179/subpart-D</t>
  </si>
  <si>
    <t>Inputs from LCA</t>
  </si>
  <si>
    <t>MJ/MT Feedstock</t>
  </si>
  <si>
    <t>Total Stack Emissions MT CO2e/ MT Bio Oil</t>
  </si>
  <si>
    <t>Tank outer diameter — feet component (GBRX: 9'-10 3/4")</t>
  </si>
  <si>
    <t>GJ/MT Feedstock</t>
  </si>
  <si>
    <t>Total Other Process Emissions MT COT2e/MT Bio Oil (From Vendor LCA)</t>
  </si>
  <si>
    <t>feet</t>
  </si>
  <si>
    <t>GBRX spec: "Tank, outside diameter: 9'-10 3/4"." Feet component = 9.</t>
  </si>
  <si>
    <t>Kg Feedstock/GJ</t>
  </si>
  <si>
    <t>Total Process Emissions MT CO2e/MT Bio Oil</t>
  </si>
  <si>
    <t>Tank outer diameter — inches component (GBRX: 10 3/4")</t>
  </si>
  <si>
    <t>inches</t>
  </si>
  <si>
    <t>GBRX spec: inches component = 10 3/4 = 10.75 in.</t>
  </si>
  <si>
    <t>Biomass Input (kg)</t>
  </si>
  <si>
    <t>Tank outer diameter — total inches</t>
  </si>
  <si>
    <t>Kg biomass/L BO</t>
  </si>
  <si>
    <t>L BO/MT BO</t>
  </si>
  <si>
    <t>Kg biomass/MT BO</t>
  </si>
  <si>
    <t>DERIVED. =B11*12 + B12.</t>
  </si>
  <si>
    <t>GJ Biomass/MT BO</t>
  </si>
  <si>
    <t>DERIVED</t>
  </si>
  <si>
    <t>Tank outer diameter — meters</t>
  </si>
  <si>
    <t>IPCC AR6 GWPs - 100 Yr</t>
  </si>
  <si>
    <t>Methane - non-fossil</t>
  </si>
  <si>
    <t>m</t>
  </si>
  <si>
    <t>DERIVED. =B13 x 0.0254 m/in.</t>
  </si>
  <si>
    <t>Nitrous Oxide</t>
  </si>
  <si>
    <t>Tank outside length — feet component (GBRX: 53'-4 7/8")</t>
  </si>
  <si>
    <t>GBRX spec: "Tank, outside length: 53'-4 7/8"." Feet component = 53.</t>
  </si>
  <si>
    <t>Tank outside length — inches component (GBRX: 4 7/8")</t>
  </si>
  <si>
    <t>GBRX spec: inches component = 4 7/8 = 4.875 in.</t>
  </si>
  <si>
    <t>Tank outside length — total inches</t>
  </si>
  <si>
    <t>BO Density (kg/L)</t>
  </si>
  <si>
    <t>DERIVED. =B15*12 + B16.</t>
  </si>
  <si>
    <t>Tank outside length — meters</t>
  </si>
  <si>
    <t>DERIVED. =B17 x 0.0254 m/in.</t>
  </si>
  <si>
    <t>Min shell thickness — numerator (49 CFR: 7/16 in)</t>
  </si>
  <si>
    <t>(numerator)</t>
  </si>
  <si>
    <t>49 CFR 179.201-1: "not less than 7/16 inch." Numerator = 7.</t>
  </si>
  <si>
    <t>Min shell thickness — denominator</t>
  </si>
  <si>
    <t>(denominator)</t>
  </si>
  <si>
    <t>49 CFR 179.201-1: denominator = 16.</t>
  </si>
  <si>
    <t>Min shell thickness — meters</t>
  </si>
  <si>
    <t>DERIVED. =(B19/B20) x 0.0254 m/in.</t>
  </si>
  <si>
    <t>Jacket thickness — raw (49 CFR: 11 gauge = 0.1196 in)</t>
  </si>
  <si>
    <t>49 CFR 179.200-4: "not less than 11 gauge (0.1196 inch) nominal." 0.1196 in is the regulatory value.</t>
  </si>
  <si>
    <t>https://www.govregs.com/regulations/expand/title49_chapterI-i1_part179_subpartD_section179.200-4</t>
  </si>
  <si>
    <t>Jacket thickness — meters</t>
  </si>
  <si>
    <t>DERIVED. =B22 x 0.0254 m/in.</t>
  </si>
  <si>
    <t>Steel density (A516 Gr 70)</t>
  </si>
  <si>
    <t>kg/m³</t>
  </si>
  <si>
    <t>AZoM / SSAB: ASTM A516 Gr 70 density 7,850 kg/m³. Standard nominal for carbon steel plate.</t>
  </si>
  <si>
    <t>https://www.azom.com/article.aspx?ArticleID=4787</t>
  </si>
  <si>
    <t>Useful service life</t>
  </si>
  <si>
    <t>years</t>
  </si>
  <si>
    <t>AAR Interchange Rule 88 / OT-24: 50-year condemning limit.</t>
  </si>
  <si>
    <t>https://public.railinc.com/sites/default/files/documents/OT-24.pdf</t>
  </si>
  <si>
    <t>2. NON-STEEL MATERIAL INPUTS &amp; GEOMETRY</t>
  </si>
  <si>
    <t>Input Parameter</t>
  </si>
  <si>
    <t>Insulation thickness</t>
  </si>
  <si>
    <t>m (4 in)</t>
  </si>
  <si>
    <t>PROXY. 49 CFR 179.200-4 sets max thermal conductance of 0.225 Btu/(hr·ft²·°F) but not thickness. Mineral wool k ≈ 0.24 Btu·in/(hr·ft²·°F) (Engineering Toolbox) gives a theoretical minimum of ~1.07 in. UTLX tank car build specifications list 4 inches of fiberglass/mineral wool as industry standard for insulated cars, consistent with FRA-approved thermal protection systems. 4 in = 101.6 mm = 0.1016 m.</t>
  </si>
  <si>
    <t>PROXY</t>
  </si>
  <si>
    <t>https://www.utlx.com/build-a-tank-car/4-jacket.html</t>
  </si>
  <si>
    <t>Insulation density, mineral wool (est.)</t>
  </si>
  <si>
    <t>ESTIMATE. Knauf EPD (DP7-DP8) states rock mineral wool density range 25–200 kg/m³. 113 = midpoint. No railcar-specific density standard identified.</t>
  </si>
  <si>
    <t>ESTIMATE</t>
  </si>
  <si>
    <t>https://www.knaufinsulation.com/sites/ki_com/files/uploads/Rock%20Mineral%20Wool%20DP7-DP8.pdf</t>
  </si>
  <si>
    <t>Insulation overlap/support factor (est.)</t>
  </si>
  <si>
    <t>ESTIMATE. No public source. Accounts for batt overlaps, metal support bands, vapor barrier, and installation wastage. 1.45 is an unsourced engineering estimate.</t>
  </si>
  <si>
    <t>Jacket outer diameter (derived)</t>
  </si>
  <si>
    <t>DERIVED. =Tank OD (B14) + 2 x insulation thickness (B29).</t>
  </si>
  <si>
    <t>Underframe/truck primer area allowance (est.)</t>
  </si>
  <si>
    <t>m²</t>
  </si>
  <si>
    <t>ESTIMATE. No public source for tank car underframe surface area. 23 m² is an unsourced engineering estimate based on geometric approximation: 2 longitudinal sills (~18 m x 0.4 m = ~14 m²), transverse members (~4 m²), truck frame surfaces (~4 m²), draft gear area (~1 m²). Immaterial: at 0.5 kg/m² coating rate, this is ~12 kg of coatings, or 0.03% of tare.</t>
  </si>
  <si>
    <t>Paintable surface area (derived geometry)</t>
  </si>
  <si>
    <t>DERIVED. Jacket exterior cylinder (PI x jacket OD x tank length) + 2 flat-approx heads (2 x PI x (jacket OD/2)²) + underframe allowance (B33).</t>
  </si>
  <si>
    <t>Top fittings mass — brass/bronze (est.)</t>
  </si>
  <si>
    <t>kg</t>
  </si>
  <si>
    <t>ESTIMATE. No public source. Aggregate estimate for manway cover+ring, PRD, safety valve, gauging device, sample/thermo wells, misc nozzle hardware. 350 kg is an unsourced engineering estimate. Immaterial: &lt;1% of tare; even a 50% error changes CTGrave by &lt;0.1 MT.</t>
  </si>
  <si>
    <t>Coating coverage rate (est.)</t>
  </si>
  <si>
    <t>kg/m²</t>
  </si>
  <si>
    <t>PROXY. Standard industrial coating calculation: DFT x density x 10 = kg/m². For a 2-coat system (primer ~40 µm + topcoat ~50 µm = 90 µm DFT) at epoxy density ~1.2 g/cm³: 90 x 1.2 x 10 = 1.08 kg/m² theoretical. 0.50 kg/m² assumes thinner application typical of rail (less corrosion protection than marine). Conservative: understates coating mass, but coatings are immaterial (&lt;0.3% of tare).</t>
  </si>
  <si>
    <t>Rubber/elastomers (draft gear cushions, gaskets) (est.)</t>
  </si>
  <si>
    <t>ESTIMATE. No public source. Draft gear elastomer cushion elements + gaskets/seals. 50 kg is an unsourced engineering estimate. Immaterial: 0.1% of tare. Even if doubled, CTGrave impact &lt; 0.01 MT.</t>
  </si>
  <si>
    <t>Fabrication energy intensity (est.)</t>
  </si>
  <si>
    <t>GJ/t</t>
  </si>
  <si>
    <t>ESTIMATE. No tank car-specific data. LBNL-62806 REV.2 reports best practice hot rolling at 1.28 GJ/t; UNIDO 2014 benchmarking reports 1.0–1.5 GJ/t for rolling/forming/heat treatment. 2.0 GJ/t adds margin for welding, stress relief, and assembly. Conservative upper bound.</t>
  </si>
  <si>
    <t>https://eta-publications.lbl.gov/sites/default/files/industrial_best_practice_en.pdf</t>
  </si>
  <si>
    <t>3. MATERIAL MASS BREAKDOWN</t>
  </si>
  <si>
    <t>Approach: Tare weight is the sourced anchor (GBRX). Non-steel materials are identified and their masses estimated or derived from geometry. Steel mass = tare minus all non-steel. Of the non-steel materials, only thermal insulation is material (~5% of tare). Brass (&lt;1%), coatings (&lt;0.3%), and rubber (0.1%) are marginal.</t>
  </si>
  <si>
    <t>Material Category</t>
  </si>
  <si>
    <t>Mass (kg)</t>
  </si>
  <si>
    <t>% of Tare</t>
  </si>
  <si>
    <t>Formula / Basis</t>
  </si>
  <si>
    <t>EF Applied</t>
  </si>
  <si>
    <t>Thermal insulation (mineral wool)</t>
  </si>
  <si>
    <t>Annular cylinder volume x density x overlap factor. Cylinder only; head insulation (~181 kg) absorbed by steel residual at steel EF — conservative (steel EF &gt; mineral wool EF).</t>
  </si>
  <si>
    <t>DERIVED from estimates</t>
  </si>
  <si>
    <t>Mineral wool</t>
  </si>
  <si>
    <t>Brass fittings (top fittings assembly)</t>
  </si>
  <si>
    <t>From Sec 2. Marginal: &lt;1% of tare. Even a 50% error changes CTGrave by &lt;0.1 MT.</t>
  </si>
  <si>
    <t>Brass (Cu/Zn)</t>
  </si>
  <si>
    <t>Coatings + lining (epoxy/polyurethane)</t>
  </si>
  <si>
    <t>Surface area (B34) x coverage rate (B36).</t>
  </si>
  <si>
    <t>Coatings</t>
  </si>
  <si>
    <t>Rubber/elastomers (draft gear, gaskets)</t>
  </si>
  <si>
    <t>From Sec 2. Immaterial: 0.1% of tare. Even if doubled, CTGrave impact &lt; 0.01 MT.</t>
  </si>
  <si>
    <t>Rubber</t>
  </si>
  <si>
    <t>SUBTOTAL: Non-steel materials</t>
  </si>
  <si>
    <t>Sum of insulation + brass + coatings + rubber.</t>
  </si>
  <si>
    <t>STEEL (all grades — residual)</t>
  </si>
  <si>
    <t>Tare minus non-steel. Covers: shell/heads, jacket, frame, trucks, couplers, draft gear, brakes, heating coils, all structural steel. One blended US steel EF.</t>
  </si>
  <si>
    <t>DERIVED (residual)</t>
  </si>
  <si>
    <t>US blended steel</t>
  </si>
  <si>
    <t>TOTAL BOM</t>
  </si>
  <si>
    <t>Residual (tare − BOM)</t>
  </si>
  <si>
    <t>Must be 0. Steel absorbs the difference by construction.</t>
  </si>
  <si>
    <t>4. EMISSION FACTORS</t>
  </si>
  <si>
    <t>4A. GREET2 2025 Reference Values (Argonne National Lab)</t>
  </si>
  <si>
    <t>Material / Parameter</t>
  </si>
  <si>
    <t>Raw GREET Value</t>
  </si>
  <si>
    <t>Raw Unit</t>
  </si>
  <si>
    <t>Converted EF (kgCO₂e/kg)</t>
  </si>
  <si>
    <t>GREET2 Cell Ref</t>
  </si>
  <si>
    <t>Virgin Steel (BF-BOF)</t>
  </si>
  <si>
    <t>g/lb</t>
  </si>
  <si>
    <t>Mat_Sum, row 65, col B</t>
  </si>
  <si>
    <t>https://greet.anl.gov/</t>
  </si>
  <si>
    <t>Recycled Steel (EAF)</t>
  </si>
  <si>
    <t>Mat_Sum, row 65, col C</t>
  </si>
  <si>
    <t>Copper</t>
  </si>
  <si>
    <t>Mat_Sum, row 65, col BE</t>
  </si>
  <si>
    <t>Zinc</t>
  </si>
  <si>
    <t>Mat_Sum, row 65, col BF</t>
  </si>
  <si>
    <t>Rubber (synthetic)</t>
  </si>
  <si>
    <t>Mat_Sum, row 65, col BU</t>
  </si>
  <si>
    <t>Steel EoL recycling rate</t>
  </si>
  <si>
    <t>(fraction)</t>
  </si>
  <si>
    <t>Mat_Sum, cell B19</t>
  </si>
  <si>
    <t>4B. Derivation Assumptions</t>
  </si>
  <si>
    <t>Assumption</t>
  </si>
  <si>
    <t>US steel: BF-BOF share</t>
  </si>
  <si>
    <t>Hasanbeigi &amp; Springer 2019. US 2018: 33% BF-BOF, 67% EAF. Data is 8 years old; EAF share has likely increased, making this conservative.</t>
  </si>
  <si>
    <t>https://www.bluegreenalliance.org/wp-content/uploads/2021/04/HowCleanistheU.S.SteelIndustry.pdf</t>
  </si>
  <si>
    <t>US steel: EAF share</t>
  </si>
  <si>
    <t>1 − BF-BOF share (B64).</t>
  </si>
  <si>
    <t>Brass: Cu share (C26000)</t>
  </si>
  <si>
    <t>UNS C26000 per ASTM B927: Cu 68.5–71.5%, bal Zn. Nominal 70/30.</t>
  </si>
  <si>
    <t>https://alloys.copper.org/alloy/C26000</t>
  </si>
  <si>
    <t>Brass: Zn share</t>
  </si>
  <si>
    <t>1 − Cu share (B66).</t>
  </si>
  <si>
    <t>US grid EF (eGRID 2023)</t>
  </si>
  <si>
    <t>kgCO₂e/kWh</t>
  </si>
  <si>
    <t>EPA eGRID 2023 (Jan 2025). US avg: 0.81 lbs CO₂/kWh. 0.81 / 2.20462 = 0.367 kg.</t>
  </si>
  <si>
    <t>https://www.epa.gov/egrid</t>
  </si>
  <si>
    <t>US grid EF (per GJ)</t>
  </si>
  <si>
    <t>tCO₂e/GJ</t>
  </si>
  <si>
    <t>DERIVED. B68 x 277.78 kWh/GJ / 1000.</t>
  </si>
  <si>
    <t>4C. Applied Emission Factors</t>
  </si>
  <si>
    <t>EF (kgCO₂e/kg)</t>
  </si>
  <si>
    <t>Formula</t>
  </si>
  <si>
    <t>Source Classification</t>
  </si>
  <si>
    <t>US blended steel (BF-BOF/EAF weighted)</t>
  </si>
  <si>
    <t>BOF_share*BF-BOF_EF + EAF_share*EAF_EF</t>
  </si>
  <si>
    <t>DERIVED — GREET2 + Hasanbeigi mix</t>
  </si>
  <si>
    <t>Mineral wool insulation</t>
  </si>
  <si>
    <t>ICE v4.1: 1.25</t>
  </si>
  <si>
    <t>DIRECT — ICE v4.1</t>
  </si>
  <si>
    <t>Brass/bronze (Cu-Zn, C26000)</t>
  </si>
  <si>
    <t>Cu_share*Cu_EF + Zn_share*Zn_EF</t>
  </si>
  <si>
    <t>DERIVED — GREET2 Cu+Zn weighted</t>
  </si>
  <si>
    <t>Coatings (waterborne paint)</t>
  </si>
  <si>
    <t>ICE v4.1: 2.152</t>
  </si>
  <si>
    <t>DIRECT — ICE v2.0</t>
  </si>
  <si>
    <t>GREET2 synthetic rubber</t>
  </si>
  <si>
    <t>DIRECT — GREET2</t>
  </si>
  <si>
    <t>Manufacturing energy (per kg of tare)</t>
  </si>
  <si>
    <t>Fab_GJ_per_t x Grid_tCO2e_per_GJ</t>
  </si>
  <si>
    <t>ESTIMATE — fab energy is unsourced estimate</t>
  </si>
  <si>
    <t>5. CRADLE-TO-GATE EMISSIONS</t>
  </si>
  <si>
    <t>Emissions (kgCO₂e)</t>
  </si>
  <si>
    <t>Emissions (MT CO₂e)</t>
  </si>
  <si>
    <t>% of Total</t>
  </si>
  <si>
    <t>Steel (all grades)</t>
  </si>
  <si>
    <t>Thermal insulation</t>
  </si>
  <si>
    <t>Brass fittings</t>
  </si>
  <si>
    <t>Coatings + lining</t>
  </si>
  <si>
    <t>Rubber/elastomers</t>
  </si>
  <si>
    <t>Manufacturing / fabrication energy</t>
  </si>
  <si>
    <t>SUBTOTAL: Cradle-to-Gate</t>
  </si>
  <si>
    <t>6. END-OF-LIFE METHOD &amp; CRADLE-TO-GRAVE TOTAL</t>
  </si>
  <si>
    <t>EoL allocation method</t>
  </si>
  <si>
    <t>Cut-off (recycled content)</t>
  </si>
  <si>
    <t>No end-of-life recycling credit. Steel LCA typically shows a net-negative EoL due to high recycling rates (~96%), but computing an avoided-burden credit requires data we do not have (net scrap balance, grade-specific virgin/recycled split, scrap market displacement factors). Rather than fabricate those inputs, we conservatively set the EoL credit to zero. This is the cut-off (recycled content) method: the benefit of recycled content is already partially captured in the blended production EF (67% EAF route).</t>
  </si>
  <si>
    <t>EoL recycling credit</t>
  </si>
  <si>
    <t>MT CO₂e</t>
  </si>
  <si>
    <t>Zero under cut-off method.</t>
  </si>
  <si>
    <t>Lifecycle modules C1-C4</t>
  </si>
  <si>
    <t>Declared, zero impact</t>
  </si>
  <si>
    <t>Cut-off method: EoL modules declared per Isometric GHG Accounting v1.0 but contribute zero net emissions. Single EoL at 50-year condemning limit (AAR Rule 88).</t>
  </si>
  <si>
    <t>CRADLE-TO-GRAVE TOTAL</t>
  </si>
  <si>
    <t>Equal to CTGate under cut-off method (no EoL credit or debit).</t>
  </si>
  <si>
    <t>CRADLE-TO-GATE TOTAL</t>
  </si>
  <si>
    <t>Inputs from LCA — 'FH 2026 LCA w Stack Emissions' (H1 2026 operating data), applies to H2 2026 reporting periods from the Aug 1–31 2026 RP onward</t>
  </si>
  <si>
    <t>Total Other Process Emissions MT CO2e/MT Bio Oil (From Vendor LCA)</t>
  </si>
  <si>
    <t>NOTE</t>
  </si>
  <si>
    <t>I12 is the AECN pyrolysis PROCESS carbon intensity pushed to Isometric Certify (tCO2e/MT == kgCO2e/kg). Embodied CI is unchanged at 0.02116 tCO2e/MT. G4/G5 are intentionally NOT rounded here — the H1 2026 tab's round(,2) understates I12 by 2.2e-7.</t>
  </si>
  <si>
    <t>GREET 2024 EF (g CO2e/T Material)</t>
  </si>
  <si>
    <t>Kg per Tons</t>
  </si>
  <si>
    <t>GREET 2024 EF (g CO2e/T Material) w Uncert.</t>
  </si>
  <si>
    <t>LCS Density (lb/gal)</t>
  </si>
  <si>
    <t>https://labelsds.com/images/user_uploads/Univar%20CausSoda%20.50%20SDS%204-22-21.pdf</t>
  </si>
  <si>
    <t>"" (g CO2e/kg Material)</t>
  </si>
  <si>
    <t>LCS Density (kg/gal)</t>
  </si>
  <si>
    <t>"" (g CO2e/gal Material)</t>
  </si>
  <si>
    <t>Liters/gal</t>
  </si>
  <si>
    <t>"" (kg CO2e/gal Material)</t>
  </si>
  <si>
    <t>Grams/kg</t>
  </si>
  <si>
    <t>"" (kg CO2e/kg Material)</t>
  </si>
  <si>
    <t>GREET 2025 EF (g CO2e/T Material)</t>
  </si>
  <si>
    <t>Original Values</t>
  </si>
  <si>
    <t>Equipment Embodied Emissions</t>
  </si>
  <si>
    <t>Information Source</t>
  </si>
  <si>
    <t>Cavern Emplacement Capacity (MT)</t>
  </si>
  <si>
    <t>Vaulted GHG Statement</t>
  </si>
  <si>
    <t>T Equipment Steel/MT Material Emplaced</t>
  </si>
  <si>
    <t>T Concrete/MT Material Emplaced</t>
  </si>
  <si>
    <t>Embodied Emissions: Steel (MT CO2e/MT Emplaced)</t>
  </si>
  <si>
    <t>Embodied Emissions: Concrete (MT CO2e/MT Emplaced)</t>
  </si>
  <si>
    <t>Total Embodied Emissions/MT Material Emplaced</t>
  </si>
  <si>
    <t>New Values 8/25</t>
  </si>
  <si>
    <t>MT CO2e</t>
  </si>
  <si>
    <t>Processing Cement Pit</t>
  </si>
  <si>
    <t>Processing and Brine Tanks Replacement</t>
  </si>
  <si>
    <t>SW-13</t>
  </si>
  <si>
    <t>AR-05</t>
  </si>
  <si>
    <t>Total MT CO2e</t>
  </si>
  <si>
    <t>Total Embodied Emissions/MT Material Emplaced for 2025 Work</t>
  </si>
  <si>
    <t>"" (kg CO2e/T Material)</t>
  </si>
  <si>
    <t>""(kg CO2e/kg Material)</t>
  </si>
  <si>
    <t>mmBtu/gal</t>
  </si>
  <si>
    <t>kg CO2e/mmBtu</t>
  </si>
  <si>
    <t>kg CO2e/gal</t>
  </si>
  <si>
    <t>Drinking Water Value from Study</t>
  </si>
  <si>
    <t>kgCO2e/m3</t>
  </si>
  <si>
    <t>US Gal/m3</t>
  </si>
  <si>
    <t>kg/MT</t>
  </si>
  <si>
    <t>MTCO2e/gal</t>
  </si>
  <si>
    <t>Max Indiv. Sample Size</t>
  </si>
  <si>
    <t>liter</t>
  </si>
  <si>
    <t>Conservative Density Estimate</t>
  </si>
  <si>
    <t>kg/l</t>
  </si>
  <si>
    <t>Sample Mass</t>
  </si>
  <si>
    <t>Distance from Injection Site to Lab</t>
  </si>
  <si>
    <t>mi</t>
  </si>
  <si>
    <t>https://maps.app.goo.gl/Df3S7FzHb1Q4em3r7</t>
  </si>
  <si>
    <t>NAICS Code</t>
  </si>
  <si>
    <t>Air Transport Emissions/Sample</t>
  </si>
  <si>
    <t>NAICS Title</t>
  </si>
  <si>
    <t>EF without Margins
(kg CO2e/2024 USD)</t>
  </si>
  <si>
    <t>Margins</t>
  </si>
  <si>
    <t>EF with Margins
(kg CO2e/2024 USD)</t>
  </si>
  <si>
    <t>EF with Margins
(kg CO2e/2026] USD)</t>
  </si>
  <si>
    <t>MTCO2e</t>
  </si>
  <si>
    <t>USEEIO Code</t>
  </si>
  <si>
    <t>Cum. Dollar Value Change 2024-2026</t>
  </si>
  <si>
    <t>Q1 Average tCDR/Batch</t>
  </si>
  <si>
    <t>Samples per Batch</t>
  </si>
  <si>
    <t>Sampe Emissions as % of Batch CDR</t>
  </si>
  <si>
    <t>Source: BLS Inflation Calculator</t>
  </si>
  <si>
    <t>Railroad Rolling Stock Manufacturing</t>
  </si>
  <si>
    <t>All GHGs</t>
  </si>
  <si>
    <t>Industrial Building Construction</t>
  </si>
  <si>
    <t>230301, 233230</t>
  </si>
  <si>
    <t>All Other Specialty Trade Contractors</t>
  </si>
  <si>
    <t>230301, 230302, 233210, 233230, 233240, 233262, 2332A0, 2332D0, 233411, 233412, 2334A0</t>
  </si>
  <si>
    <t>Construction Machinery Manufacturing</t>
  </si>
  <si>
    <t>Industrial and Commercial Fan and Blower and Air Purification Equipment Manufacturing</t>
  </si>
  <si>
    <t>Air-Conditioning and Warm Air Heating Equipment and Commercial and Industrial Refrigeration Equipment Manufacturing</t>
  </si>
  <si>
    <t>Prefabricated Wood Building Manufacturing</t>
  </si>
  <si>
    <t>3219A0</t>
  </si>
  <si>
    <t>Other Industrial Machinery Manufacturing</t>
  </si>
  <si>
    <t>33329A</t>
  </si>
  <si>
    <t>Motor and Generator Manufacturing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</si>
</sst>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0.0000000"/>
    <numFmt numFmtId="165" formatCode="0.00000"/>
    <numFmt numFmtId="166" formatCode="#,##0.0000000"/>
    <numFmt numFmtId="167" formatCode="#,##0.0000000000"/>
    <numFmt numFmtId="168" formatCode="#,##0.00000000000"/>
    <numFmt numFmtId="169" formatCode="#,##0.000"/>
    <numFmt numFmtId="170" formatCode="0.000"/>
    <numFmt numFmtId="171" formatCode="#,##0.0"/>
    <numFmt numFmtId="172" formatCode="#,##0.0000"/>
    <numFmt numFmtId="173" formatCode="#,##0.000000"/>
    <numFmt numFmtId="174" formatCode="&quot;$&quot;#,##0.00"/>
    <numFmt numFmtId="175" formatCode="0.0000"/>
    <numFmt numFmtId="176" formatCode="0.0%"/>
    <numFmt numFmtId="177" formatCode="0.000000"/>
    <numFmt numFmtId="178" formatCode="0.000%"/>
  </numFmts>
  <fonts count="41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theme="1"/>
      <name val="Arial"/>
      <scheme val="minor"/>
    </font>
    <font>
      <u/>
      <color rgb="FF0000FF"/>
    </font>
    <font>
      <u/>
      <color rgb="FF0000FF"/>
    </font>
    <font>
      <sz val="10.0"/>
      <color rgb="FF141413"/>
      <name val="Arial"/>
      <scheme val="minor"/>
    </font>
    <font>
      <sz val="10.0"/>
      <color rgb="FF141413"/>
      <name val="&quot;Anthropic Sans&quot;"/>
    </font>
    <font>
      <u/>
      <color rgb="FF0000FF"/>
    </font>
    <font>
      <u/>
      <color rgb="FF0000FF"/>
      <name val="Arial"/>
    </font>
    <font>
      <u/>
      <color rgb="FF1155CC"/>
      <name val="Arial"/>
    </font>
    <font>
      <i/>
      <color theme="1"/>
      <name val="Arial"/>
    </font>
    <font>
      <sz val="10.0"/>
      <color theme="1"/>
      <name val="Arial"/>
      <scheme val="minor"/>
    </font>
    <font>
      <u/>
      <color rgb="FF0000FF"/>
      <name val="Arial"/>
    </font>
    <font>
      <u/>
      <color rgb="FF0000FF"/>
      <name val="Arial"/>
    </font>
    <font>
      <b/>
      <sz val="12.0"/>
      <color theme="1"/>
      <name val="Arial"/>
    </font>
    <font/>
    <font>
      <sz val="11.0"/>
      <color theme="1"/>
      <name val="Calibri"/>
    </font>
    <font>
      <i/>
      <sz val="9.0"/>
      <color rgb="FF595959"/>
      <name val="Arial"/>
    </font>
    <font>
      <b/>
      <color rgb="FFFFFFFF"/>
      <name val="Arial"/>
    </font>
    <font>
      <u/>
      <color rgb="FF1155CC"/>
      <name val="Arial"/>
    </font>
    <font>
      <color rgb="FF0000FF"/>
      <name val="Arial"/>
    </font>
    <font>
      <i/>
      <sz val="8.0"/>
      <color rgb="FF595959"/>
      <name val="Arial"/>
    </font>
    <font>
      <sz val="9.0"/>
      <color theme="1"/>
      <name val="Arial"/>
    </font>
    <font>
      <sz val="9.0"/>
      <color theme="1"/>
      <name val="Arial"/>
      <scheme val="minor"/>
    </font>
    <font>
      <color rgb="FF202124"/>
      <name val="Arial"/>
    </font>
    <font>
      <b/>
      <sz val="11.0"/>
      <color theme="1"/>
      <name val="Arial"/>
    </font>
    <font>
      <sz val="11.0"/>
      <color theme="1"/>
      <name val="Arial"/>
    </font>
    <font>
      <u/>
      <sz val="11.0"/>
      <color rgb="FF1155CC"/>
      <name val="Arial"/>
    </font>
    <font>
      <b/>
      <sz val="14.0"/>
      <color rgb="FF1F4E79"/>
      <name val="Arial"/>
    </font>
    <font>
      <i/>
      <sz val="11.0"/>
      <color theme="1"/>
      <name val="Arial"/>
    </font>
    <font>
      <i/>
      <sz val="9.0"/>
      <color rgb="FF666666"/>
      <name val="Arial"/>
    </font>
    <font>
      <b/>
      <sz val="11.0"/>
      <color rgb="FF1F4E79"/>
      <name val="Arial"/>
    </font>
    <font>
      <b/>
      <sz val="11.0"/>
      <color theme="1"/>
      <name val="Calibri"/>
    </font>
    <font>
      <color rgb="FFFF0000"/>
      <name val="Arial"/>
    </font>
    <font>
      <b/>
      <color rgb="FF0000FF"/>
      <name val="Arial"/>
    </font>
    <font>
      <b/>
      <color rgb="FF7030A0"/>
      <name val="Arial"/>
    </font>
    <font>
      <color rgb="FF7030A0"/>
      <name val="Arial"/>
    </font>
    <font>
      <b/>
      <sz val="12.0"/>
      <color rgb="FF1F4E79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404040"/>
        <bgColor rgb="FF404040"/>
      </patternFill>
    </fill>
    <fill>
      <patternFill patternType="solid">
        <fgColor rgb="FFBDD7EE"/>
        <bgColor rgb="FFBDD7EE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2F5496"/>
        <bgColor rgb="FF2F5496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n">
        <color rgb="FFB0B0B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4" xfId="0" applyAlignment="1" applyFont="1" applyNumberForma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2" numFmtId="164" xfId="0" applyAlignment="1" applyFont="1" applyNumberFormat="1">
      <alignment readingOrder="0"/>
    </xf>
    <xf borderId="0" fillId="0" fontId="4" numFmtId="4" xfId="0" applyAlignment="1" applyFont="1" applyNumberForma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3" numFmtId="164" xfId="0" applyFont="1" applyNumberFormat="1"/>
    <xf borderId="0" fillId="0" fontId="4" numFmtId="4" xfId="0" applyAlignment="1" applyFont="1" applyNumberFormat="1">
      <alignment horizontal="right" vertical="bottom"/>
    </xf>
    <xf borderId="0" fillId="0" fontId="3" numFmtId="165" xfId="0" applyAlignment="1" applyFont="1" applyNumberFormat="1">
      <alignment readingOrder="0"/>
    </xf>
    <xf borderId="0" fillId="0" fontId="3" numFmtId="0" xfId="0" applyFont="1"/>
    <xf borderId="0" fillId="0" fontId="4" numFmtId="4" xfId="0" applyAlignment="1" applyFont="1" applyNumberFormat="1">
      <alignment vertical="bottom"/>
    </xf>
    <xf borderId="0" fillId="0" fontId="3" numFmtId="164" xfId="0" applyAlignment="1" applyFont="1" applyNumberFormat="1">
      <alignment readingOrder="0"/>
    </xf>
    <xf borderId="0" fillId="0" fontId="4" numFmtId="166" xfId="0" applyAlignment="1" applyFont="1" applyNumberFormat="1">
      <alignment horizontal="right" vertical="bottom"/>
    </xf>
    <xf borderId="0" fillId="0" fontId="4" numFmtId="167" xfId="0" applyAlignment="1" applyFont="1" applyNumberFormat="1">
      <alignment horizontal="right" vertical="bottom"/>
    </xf>
    <xf borderId="0" fillId="0" fontId="4" numFmtId="10" xfId="0" applyAlignment="1" applyFont="1" applyNumberFormat="1">
      <alignment horizontal="right" vertical="bottom"/>
    </xf>
    <xf borderId="0" fillId="0" fontId="5" numFmtId="0" xfId="0" applyAlignment="1" applyFont="1">
      <alignment readingOrder="0"/>
    </xf>
    <xf borderId="0" fillId="0" fontId="4" numFmtId="0" xfId="0" applyAlignment="1" applyFont="1">
      <alignment horizontal="right" vertical="bottom"/>
    </xf>
    <xf borderId="0" fillId="0" fontId="4" numFmtId="168" xfId="0" applyAlignment="1" applyFont="1" applyNumberFormat="1">
      <alignment vertical="bottom"/>
    </xf>
    <xf borderId="0" fillId="0" fontId="3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3" numFmtId="168" xfId="0" applyFont="1" applyNumberFormat="1"/>
    <xf borderId="0" fillId="0" fontId="3" numFmtId="167" xfId="0" applyAlignment="1" applyFont="1" applyNumberFormat="1">
      <alignment readingOrder="0"/>
    </xf>
    <xf borderId="0" fillId="0" fontId="3" numFmtId="10" xfId="0" applyFont="1" applyNumberFormat="1"/>
    <xf borderId="0" fillId="0" fontId="3" numFmtId="167" xfId="0" applyFont="1" applyNumberFormat="1"/>
    <xf borderId="0" fillId="0" fontId="3" numFmtId="169" xfId="0" applyAlignment="1" applyFont="1" applyNumberFormat="1">
      <alignment readingOrder="0"/>
    </xf>
    <xf borderId="0" fillId="2" fontId="8" numFmtId="4" xfId="0" applyAlignment="1" applyFill="1" applyFont="1" applyNumberFormat="1">
      <alignment readingOrder="0"/>
    </xf>
    <xf borderId="0" fillId="0" fontId="8" numFmtId="4" xfId="0" applyAlignment="1" applyFont="1" applyNumberFormat="1">
      <alignment readingOrder="0"/>
    </xf>
    <xf borderId="0" fillId="0" fontId="9" numFmtId="4" xfId="0" applyAlignment="1" applyFont="1" applyNumberFormat="1">
      <alignment readingOrder="0"/>
    </xf>
    <xf borderId="0" fillId="0" fontId="10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10" xfId="0" applyAlignment="1" applyFont="1" applyNumberFormat="1">
      <alignment horizontal="right" readingOrder="0" vertical="bottom"/>
    </xf>
    <xf borderId="0" fillId="0" fontId="3" numFmtId="170" xfId="0" applyFont="1" applyNumberFormat="1"/>
    <xf borderId="0" fillId="0" fontId="1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2" fontId="4" numFmtId="0" xfId="0" applyAlignment="1" applyFill="1" applyFont="1">
      <alignment vertical="bottom"/>
    </xf>
    <xf borderId="0" fillId="3" fontId="4" numFmtId="0" xfId="0" applyAlignment="1" applyFill="1" applyFont="1">
      <alignment horizontal="right" vertical="bottom"/>
    </xf>
    <xf borderId="0" fillId="4" fontId="3" numFmtId="0" xfId="0" applyFill="1" applyFont="1"/>
    <xf borderId="0" fillId="0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2" fontId="14" numFmtId="0" xfId="0" applyAlignment="1" applyFill="1" applyFont="1">
      <alignment readingOrder="0"/>
    </xf>
    <xf borderId="0" fillId="0" fontId="15" numFmtId="0" xfId="0" applyAlignment="1" applyFont="1">
      <alignment vertical="bottom"/>
    </xf>
    <xf borderId="0" fillId="0" fontId="16" numFmtId="0" xfId="0" applyAlignment="1" applyFont="1">
      <alignment readingOrder="0" vertical="bottom"/>
    </xf>
    <xf borderId="0" fillId="3" fontId="13" numFmtId="0" xfId="0" applyAlignment="1" applyFill="1" applyFont="1">
      <alignment vertical="bottom"/>
    </xf>
    <xf borderId="0" fillId="3" fontId="4" numFmtId="0" xfId="0" applyAlignment="1" applyFill="1" applyFont="1">
      <alignment vertical="bottom"/>
    </xf>
    <xf borderId="0" fillId="0" fontId="4" numFmtId="10" xfId="0" applyAlignment="1" applyFont="1" applyNumberFormat="1">
      <alignment vertical="bottom"/>
    </xf>
    <xf borderId="1" fillId="5" fontId="17" numFmtId="0" xfId="0" applyAlignment="1" applyBorder="1" applyFill="1" applyFont="1">
      <alignment horizontal="center" shrinkToFit="0" wrapText="1"/>
    </xf>
    <xf borderId="2" fillId="0" fontId="18" numFmtId="0" xfId="0" applyBorder="1" applyFont="1"/>
    <xf borderId="3" fillId="0" fontId="18" numFmtId="0" xfId="0" applyBorder="1" applyFont="1"/>
    <xf borderId="0" fillId="0" fontId="19" numFmtId="0" xfId="0" applyAlignment="1" applyFont="1">
      <alignment vertical="bottom"/>
    </xf>
    <xf borderId="0" fillId="0" fontId="20" numFmtId="0" xfId="0" applyAlignment="1" applyFont="1">
      <alignment horizontal="center" shrinkToFit="0" wrapText="1"/>
    </xf>
    <xf borderId="4" fillId="6" fontId="21" numFmtId="0" xfId="0" applyAlignment="1" applyBorder="1" applyFill="1" applyFont="1">
      <alignment shrinkToFit="0" wrapText="1"/>
    </xf>
    <xf borderId="5" fillId="0" fontId="18" numFmtId="0" xfId="0" applyBorder="1" applyFont="1"/>
    <xf borderId="6" fillId="0" fontId="18" numFmtId="0" xfId="0" applyBorder="1" applyFont="1"/>
    <xf borderId="7" fillId="7" fontId="21" numFmtId="0" xfId="0" applyAlignment="1" applyBorder="1" applyFill="1" applyFont="1">
      <alignment horizontal="center" shrinkToFit="0" wrapText="1"/>
    </xf>
    <xf borderId="4" fillId="7" fontId="21" numFmtId="0" xfId="0" applyAlignment="1" applyBorder="1" applyFill="1" applyFont="1">
      <alignment horizontal="center" shrinkToFit="0" wrapText="1"/>
    </xf>
    <xf borderId="0" fillId="0" fontId="22" numFmtId="0" xfId="0" applyAlignment="1" applyFont="1">
      <alignment readingOrder="0" vertical="bottom"/>
    </xf>
    <xf borderId="7" fillId="0" fontId="4" numFmtId="0" xfId="0" applyAlignment="1" applyBorder="1" applyFont="1">
      <alignment shrinkToFit="0" wrapText="1"/>
    </xf>
    <xf borderId="7" fillId="0" fontId="23" numFmtId="171" xfId="0" applyAlignment="1" applyBorder="1" applyFont="1" applyNumberFormat="1">
      <alignment horizontal="right"/>
    </xf>
    <xf borderId="7" fillId="0" fontId="24" numFmtId="0" xfId="0" applyAlignment="1" applyBorder="1" applyFont="1">
      <alignment shrinkToFit="0" wrapText="1"/>
    </xf>
    <xf borderId="4" fillId="0" fontId="24" numFmtId="0" xfId="0" applyAlignment="1" applyBorder="1" applyFont="1">
      <alignment shrinkToFit="0" wrapText="1"/>
    </xf>
    <xf borderId="7" fillId="5" fontId="1" numFmtId="0" xfId="0" applyAlignment="1" applyBorder="1" applyFill="1" applyFont="1">
      <alignment readingOrder="0" shrinkToFit="0" wrapText="1"/>
    </xf>
    <xf borderId="7" fillId="5" fontId="23" numFmtId="172" xfId="0" applyAlignment="1" applyBorder="1" applyFill="1" applyFont="1" applyNumberFormat="1">
      <alignment horizontal="right"/>
    </xf>
    <xf borderId="7" fillId="5" fontId="24" numFmtId="0" xfId="0" applyAlignment="1" applyBorder="1" applyFill="1" applyFont="1">
      <alignment shrinkToFit="0" wrapText="1"/>
    </xf>
    <xf borderId="7" fillId="5" fontId="23" numFmtId="173" xfId="0" applyAlignment="1" applyBorder="1" applyFill="1" applyFont="1" applyNumberFormat="1">
      <alignment horizontal="right"/>
    </xf>
    <xf borderId="7" fillId="5" fontId="4" numFmtId="172" xfId="0" applyAlignment="1" applyBorder="1" applyFill="1" applyFont="1" applyNumberFormat="1">
      <alignment horizontal="right"/>
    </xf>
    <xf borderId="7" fillId="5" fontId="4" numFmtId="4" xfId="0" applyAlignment="1" applyBorder="1" applyFill="1" applyFont="1" applyNumberFormat="1">
      <alignment horizontal="right"/>
    </xf>
    <xf borderId="7" fillId="0" fontId="1" numFmtId="0" xfId="0" applyAlignment="1" applyBorder="1" applyFont="1">
      <alignment readingOrder="0" shrinkToFit="0" wrapText="1"/>
    </xf>
    <xf borderId="7" fillId="0" fontId="23" numFmtId="172" xfId="0" applyAlignment="1" applyBorder="1" applyFont="1" applyNumberFormat="1">
      <alignment horizontal="right"/>
    </xf>
    <xf borderId="7" fillId="0" fontId="23" numFmtId="173" xfId="0" applyAlignment="1" applyBorder="1" applyFont="1" applyNumberFormat="1">
      <alignment horizontal="right"/>
    </xf>
    <xf borderId="7" fillId="0" fontId="4" numFmtId="172" xfId="0" applyAlignment="1" applyBorder="1" applyFont="1" applyNumberFormat="1">
      <alignment horizontal="right"/>
    </xf>
    <xf borderId="7" fillId="0" fontId="4" numFmtId="4" xfId="0" applyAlignment="1" applyBorder="1" applyFont="1" applyNumberFormat="1">
      <alignment horizontal="right"/>
    </xf>
    <xf borderId="7" fillId="5" fontId="1" numFmtId="0" xfId="0" applyAlignment="1" applyBorder="1" applyFill="1" applyFont="1">
      <alignment shrinkToFit="0" wrapText="1"/>
    </xf>
    <xf borderId="7" fillId="0" fontId="1" numFmtId="0" xfId="0" applyAlignment="1" applyBorder="1" applyFont="1">
      <alignment shrinkToFit="0" wrapText="1"/>
    </xf>
    <xf borderId="4" fillId="0" fontId="25" numFmtId="0" xfId="0" applyAlignment="1" applyBorder="1" applyFont="1">
      <alignment shrinkToFit="0" wrapText="1"/>
    </xf>
    <xf borderId="0" fillId="0" fontId="26" numFmtId="0" xfId="0" applyAlignment="1" applyFont="1">
      <alignment readingOrder="0" vertical="bottom"/>
    </xf>
    <xf borderId="0" fillId="2" fontId="27" numFmtId="0" xfId="0" applyAlignment="1" applyFill="1" applyFont="1">
      <alignment vertical="bottom"/>
    </xf>
    <xf borderId="0" fillId="0" fontId="4" numFmtId="174" xfId="0" applyAlignment="1" applyFont="1" applyNumberFormat="1">
      <alignment horizontal="right" vertical="bottom"/>
    </xf>
    <xf borderId="0" fillId="0" fontId="3" numFmtId="174" xfId="0" applyFont="1" applyNumberFormat="1"/>
    <xf borderId="0" fillId="0" fontId="4" numFmtId="169" xfId="0" applyAlignment="1" applyFont="1" applyNumberFormat="1">
      <alignment horizontal="right" readingOrder="0" vertical="bottom"/>
    </xf>
    <xf borderId="0" fillId="0" fontId="28" numFmtId="0" xfId="0" applyAlignment="1" applyFont="1">
      <alignment shrinkToFit="0" vertical="bottom" wrapText="1"/>
    </xf>
    <xf borderId="0" fillId="0" fontId="29" numFmtId="4" xfId="0" applyAlignment="1" applyFont="1" applyNumberFormat="1">
      <alignment horizontal="right" shrinkToFit="0" vertical="bottom" wrapText="1"/>
    </xf>
    <xf borderId="0" fillId="0" fontId="19" numFmtId="0" xfId="0" applyAlignment="1" applyFont="1">
      <alignment shrinkToFit="0" vertical="bottom" wrapText="1"/>
    </xf>
    <xf borderId="0" fillId="0" fontId="29" numFmtId="0" xfId="0" applyAlignment="1" applyFont="1">
      <alignment horizontal="right" shrinkToFit="0" vertical="bottom" wrapText="1"/>
    </xf>
    <xf borderId="0" fillId="0" fontId="30" numFmtId="0" xfId="0" applyAlignment="1" applyFont="1">
      <alignment shrinkToFit="0" vertical="bottom" wrapText="1"/>
    </xf>
    <xf borderId="0" fillId="0" fontId="29" numFmtId="167" xfId="0" applyAlignment="1" applyFont="1" applyNumberFormat="1">
      <alignment horizontal="right" shrinkToFit="0" vertical="bottom" wrapText="1"/>
    </xf>
    <xf borderId="0" fillId="0" fontId="31" numFmtId="0" xfId="0" applyAlignment="1" applyFont="1">
      <alignment shrinkToFit="0" vertical="bottom" wrapText="1"/>
    </xf>
    <xf borderId="0" fillId="0" fontId="32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33" numFmtId="0" xfId="0" applyAlignment="1" applyFont="1">
      <alignment shrinkToFit="0" vertical="bottom" wrapText="1"/>
    </xf>
    <xf borderId="8" fillId="8" fontId="34" numFmtId="0" xfId="0" applyAlignment="1" applyBorder="1" applyFill="1" applyFont="1">
      <alignment shrinkToFit="0" vertical="bottom" wrapText="1"/>
    </xf>
    <xf borderId="8" fillId="8" fontId="19" numFmtId="0" xfId="0" applyAlignment="1" applyBorder="1" applyFill="1" applyFont="1">
      <alignment shrinkToFit="0" vertical="bottom" wrapText="1"/>
    </xf>
    <xf borderId="8" fillId="9" fontId="1" numFmtId="0" xfId="0" applyAlignment="1" applyBorder="1" applyFill="1" applyFont="1">
      <alignment shrinkToFit="0" vertical="bottom" wrapText="1"/>
    </xf>
    <xf borderId="8" fillId="9" fontId="19" numFmtId="0" xfId="0" applyAlignment="1" applyBorder="1" applyFill="1" applyFont="1">
      <alignment shrinkToFit="0" vertical="bottom" wrapText="1"/>
    </xf>
    <xf borderId="9" fillId="0" fontId="4" numFmtId="0" xfId="0" applyAlignment="1" applyBorder="1" applyFont="1">
      <alignment shrinkToFit="0" vertical="bottom" wrapText="1"/>
    </xf>
    <xf borderId="9" fillId="0" fontId="23" numFmtId="3" xfId="0" applyAlignment="1" applyBorder="1" applyFont="1" applyNumberFormat="1">
      <alignment horizontal="right" shrinkToFit="0" vertical="bottom" wrapText="1"/>
    </xf>
    <xf borderId="9" fillId="0" fontId="19" numFmtId="0" xfId="0" applyAlignment="1" applyBorder="1" applyFont="1">
      <alignment shrinkToFit="0" vertical="bottom" wrapText="1"/>
    </xf>
    <xf borderId="8" fillId="0" fontId="35" numFmtId="3" xfId="0" applyAlignment="1" applyBorder="1" applyFont="1" applyNumberFormat="1">
      <alignment readingOrder="0" vertical="bottom"/>
    </xf>
    <xf borderId="9" fillId="0" fontId="23" numFmtId="0" xfId="0" applyAlignment="1" applyBorder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3" fontId="4" numFmtId="0" xfId="0" applyAlignment="1" applyFill="1" applyFont="1">
      <alignment shrinkToFit="0" vertical="bottom" wrapText="1"/>
    </xf>
    <xf borderId="9" fillId="0" fontId="23" numFmtId="0" xfId="0" applyAlignment="1" applyBorder="1" applyFont="1">
      <alignment horizontal="right" shrinkToFit="0" vertical="bottom" wrapText="1"/>
    </xf>
    <xf borderId="0" fillId="0" fontId="4" numFmtId="165" xfId="0" applyAlignment="1" applyFont="1" applyNumberFormat="1">
      <alignment horizontal="right" readingOrder="0" vertical="bottom"/>
    </xf>
    <xf borderId="9" fillId="0" fontId="23" numFmtId="2" xfId="0" applyAlignment="1" applyBorder="1" applyFont="1" applyNumberFormat="1">
      <alignment horizontal="right" shrinkToFit="0" vertical="bottom" wrapText="1"/>
    </xf>
    <xf borderId="0" fillId="3" fontId="4" numFmtId="3" xfId="0" applyAlignment="1" applyFill="1" applyFont="1" applyNumberFormat="1">
      <alignment horizontal="right" readingOrder="0"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horizontal="right" shrinkToFit="0" vertical="bottom" wrapText="1"/>
    </xf>
    <xf borderId="9" fillId="0" fontId="4" numFmtId="2" xfId="0" applyAlignment="1" applyBorder="1" applyFont="1" applyNumberFormat="1">
      <alignment horizontal="right" shrinkToFit="0" vertical="bottom" wrapText="1"/>
    </xf>
    <xf borderId="9" fillId="0" fontId="4" numFmtId="175" xfId="0" applyAlignment="1" applyBorder="1" applyFont="1" applyNumberFormat="1">
      <alignment horizontal="right" shrinkToFit="0" vertical="bottom" wrapText="1"/>
    </xf>
    <xf borderId="0" fillId="3" fontId="4" numFmtId="0" xfId="0" applyAlignment="1" applyFill="1" applyFont="1">
      <alignment horizontal="right" readingOrder="0" shrinkToFit="0" vertical="bottom" wrapText="1"/>
    </xf>
    <xf borderId="9" fillId="0" fontId="23" numFmtId="170" xfId="0" applyAlignment="1" applyBorder="1" applyFont="1" applyNumberFormat="1">
      <alignment horizontal="right" shrinkToFit="0" vertical="bottom" wrapText="1"/>
    </xf>
    <xf borderId="0" fillId="0" fontId="1" numFmtId="0" xfId="0" applyAlignment="1" applyFont="1">
      <alignment shrinkToFit="0" vertical="bottom" wrapText="1"/>
    </xf>
    <xf borderId="0" fillId="0" fontId="4" numFmtId="0" xfId="0" applyAlignment="1" applyFont="1">
      <alignment horizontal="right" shrinkToFit="0" vertical="bottom" wrapText="1"/>
    </xf>
    <xf borderId="9" fillId="0" fontId="4" numFmtId="170" xfId="0" applyAlignment="1" applyBorder="1" applyFont="1" applyNumberFormat="1">
      <alignment horizontal="right" shrinkToFit="0" vertical="bottom" wrapText="1"/>
    </xf>
    <xf borderId="0" fillId="0" fontId="4" numFmtId="0" xfId="0" applyAlignment="1" applyFont="1">
      <alignment vertical="bottom"/>
    </xf>
    <xf borderId="9" fillId="0" fontId="4" numFmtId="165" xfId="0" applyAlignment="1" applyBorder="1" applyFont="1" applyNumberFormat="1">
      <alignment horizontal="right" shrinkToFit="0" vertical="bottom" wrapText="1"/>
    </xf>
    <xf borderId="9" fillId="0" fontId="23" numFmtId="175" xfId="0" applyAlignment="1" applyBorder="1" applyFont="1" applyNumberFormat="1">
      <alignment horizontal="right" shrinkToFit="0" vertical="bottom" wrapText="1"/>
    </xf>
    <xf borderId="0" fillId="3" fontId="4" numFmtId="165" xfId="0" applyAlignment="1" applyFill="1" applyFont="1" applyNumberFormat="1">
      <alignment horizontal="right" readingOrder="0" shrinkToFit="0" vertical="bottom" wrapText="1"/>
    </xf>
    <xf borderId="9" fillId="0" fontId="36" numFmtId="3" xfId="0" applyAlignment="1" applyBorder="1" applyFont="1" applyNumberFormat="1">
      <alignment horizontal="right" shrinkToFit="0" vertical="bottom" wrapText="1"/>
    </xf>
    <xf borderId="9" fillId="0" fontId="36" numFmtId="2" xfId="0" applyAlignment="1" applyBorder="1" applyFont="1" applyNumberFormat="1">
      <alignment horizontal="right" shrinkToFit="0" vertical="bottom" wrapText="1"/>
    </xf>
    <xf borderId="9" fillId="0" fontId="4" numFmtId="3" xfId="0" applyAlignment="1" applyBorder="1" applyFont="1" applyNumberFormat="1">
      <alignment horizontal="right" shrinkToFit="0" vertical="bottom" wrapText="1"/>
    </xf>
    <xf borderId="9" fillId="0" fontId="36" numFmtId="0" xfId="0" applyAlignment="1" applyBorder="1" applyFont="1">
      <alignment horizontal="right" shrinkToFit="0" vertical="bottom" wrapText="1"/>
    </xf>
    <xf borderId="9" fillId="0" fontId="4" numFmtId="176" xfId="0" applyAlignment="1" applyBorder="1" applyFont="1" applyNumberFormat="1">
      <alignment horizontal="right" shrinkToFit="0" vertical="bottom" wrapText="1"/>
    </xf>
    <xf borderId="9" fillId="10" fontId="1" numFmtId="0" xfId="0" applyAlignment="1" applyBorder="1" applyFill="1" applyFont="1">
      <alignment shrinkToFit="0" vertical="bottom" wrapText="1"/>
    </xf>
    <xf borderId="9" fillId="10" fontId="1" numFmtId="3" xfId="0" applyAlignment="1" applyBorder="1" applyFill="1" applyFont="1" applyNumberFormat="1">
      <alignment horizontal="right" shrinkToFit="0" vertical="bottom" wrapText="1"/>
    </xf>
    <xf borderId="9" fillId="10" fontId="1" numFmtId="176" xfId="0" applyAlignment="1" applyBorder="1" applyFill="1" applyFont="1" applyNumberFormat="1">
      <alignment horizontal="right" shrinkToFit="0" vertical="bottom" wrapText="1"/>
    </xf>
    <xf borderId="9" fillId="10" fontId="4" numFmtId="0" xfId="0" applyAlignment="1" applyBorder="1" applyFill="1" applyFont="1">
      <alignment shrinkToFit="0" vertical="bottom" wrapText="1"/>
    </xf>
    <xf borderId="9" fillId="10" fontId="19" numFmtId="0" xfId="0" applyAlignment="1" applyBorder="1" applyFill="1" applyFont="1">
      <alignment shrinkToFit="0" vertical="bottom" wrapText="1"/>
    </xf>
    <xf borderId="9" fillId="10" fontId="37" numFmtId="3" xfId="0" applyAlignment="1" applyBorder="1" applyFill="1" applyFont="1" applyNumberFormat="1">
      <alignment horizontal="right" shrinkToFit="0" vertical="bottom" wrapText="1"/>
    </xf>
    <xf borderId="0" fillId="0" fontId="4" numFmtId="3" xfId="0" applyAlignment="1" applyFont="1" applyNumberFormat="1">
      <alignment horizontal="right" shrinkToFit="0" vertical="bottom" wrapText="1"/>
    </xf>
    <xf borderId="0" fillId="0" fontId="38" numFmtId="0" xfId="0" applyAlignment="1" applyFont="1">
      <alignment shrinkToFit="0" vertical="bottom" wrapText="1"/>
    </xf>
    <xf borderId="9" fillId="0" fontId="39" numFmtId="0" xfId="0" applyAlignment="1" applyBorder="1" applyFont="1">
      <alignment shrinkToFit="0" vertical="bottom" wrapText="1"/>
    </xf>
    <xf borderId="9" fillId="0" fontId="39" numFmtId="0" xfId="0" applyAlignment="1" applyBorder="1" applyFont="1">
      <alignment horizontal="right" shrinkToFit="0" vertical="bottom" wrapText="1"/>
    </xf>
    <xf borderId="9" fillId="0" fontId="39" numFmtId="177" xfId="0" applyAlignment="1" applyBorder="1" applyFont="1" applyNumberFormat="1">
      <alignment horizontal="right" shrinkToFit="0" vertical="bottom" wrapText="1"/>
    </xf>
    <xf borderId="9" fillId="0" fontId="4" numFmtId="177" xfId="0" applyAlignment="1" applyBorder="1" applyFont="1" applyNumberFormat="1">
      <alignment horizontal="right" shrinkToFit="0" vertical="bottom" wrapText="1"/>
    </xf>
    <xf borderId="9" fillId="0" fontId="23" numFmtId="177" xfId="0" applyAlignment="1" applyBorder="1" applyFont="1" applyNumberFormat="1">
      <alignment horizontal="right" shrinkToFit="0" vertical="bottom" wrapText="1"/>
    </xf>
    <xf borderId="9" fillId="0" fontId="4" numFmtId="171" xfId="0" applyAlignment="1" applyBorder="1" applyFont="1" applyNumberFormat="1">
      <alignment horizontal="right" shrinkToFit="0" vertical="bottom" wrapText="1"/>
    </xf>
    <xf borderId="9" fillId="10" fontId="1" numFmtId="171" xfId="0" applyAlignment="1" applyBorder="1" applyFill="1" applyFont="1" applyNumberFormat="1">
      <alignment horizontal="right" shrinkToFit="0" vertical="bottom" wrapText="1"/>
    </xf>
    <xf borderId="9" fillId="10" fontId="1" numFmtId="170" xfId="0" applyAlignment="1" applyBorder="1" applyFill="1" applyFont="1" applyNumberFormat="1">
      <alignment horizontal="right" shrinkToFit="0" vertical="bottom" wrapText="1"/>
    </xf>
    <xf borderId="9" fillId="0" fontId="1" numFmtId="0" xfId="0" applyAlignment="1" applyBorder="1" applyFont="1">
      <alignment shrinkToFit="0" vertical="bottom" wrapText="1"/>
    </xf>
    <xf borderId="9" fillId="0" fontId="18" numFmtId="0" xfId="0" applyBorder="1" applyFont="1"/>
    <xf borderId="8" fillId="11" fontId="40" numFmtId="0" xfId="0" applyAlignment="1" applyBorder="1" applyFill="1" applyFont="1">
      <alignment shrinkToFit="0" vertical="bottom" wrapText="1"/>
    </xf>
    <xf borderId="8" fillId="11" fontId="40" numFmtId="2" xfId="0" applyAlignment="1" applyBorder="1" applyFill="1" applyFont="1" applyNumberFormat="1">
      <alignment horizontal="right" shrinkToFit="0" vertical="bottom" wrapText="1"/>
    </xf>
    <xf borderId="8" fillId="11" fontId="4" numFmtId="0" xfId="0" applyAlignment="1" applyBorder="1" applyFill="1" applyFont="1">
      <alignment shrinkToFit="0" vertical="bottom" wrapText="1"/>
    </xf>
    <xf borderId="8" fillId="11" fontId="19" numFmtId="0" xfId="0" applyAlignment="1" applyBorder="1" applyFill="1" applyFont="1">
      <alignment shrinkToFit="0" vertical="bottom" wrapText="1"/>
    </xf>
    <xf borderId="8" fillId="11" fontId="28" numFmtId="2" xfId="0" applyAlignment="1" applyBorder="1" applyFill="1" applyFont="1" applyNumberFormat="1">
      <alignment horizontal="right" shrinkToFit="0" vertical="bottom" wrapText="1"/>
    </xf>
    <xf borderId="8" fillId="11" fontId="28" numFmtId="0" xfId="0" applyAlignment="1" applyBorder="1" applyFill="1" applyFont="1">
      <alignment shrinkToFit="0" vertical="bottom" wrapText="1"/>
    </xf>
    <xf borderId="0" fillId="0" fontId="3" numFmtId="3" xfId="0" applyAlignment="1" applyFont="1" applyNumberFormat="1">
      <alignment readingOrder="0"/>
    </xf>
    <xf borderId="0" fillId="3" fontId="3" numFmtId="0" xfId="0" applyFill="1" applyFont="1"/>
    <xf borderId="0" fillId="0" fontId="3" numFmtId="0" xfId="0" applyAlignment="1" applyFont="1">
      <alignment shrinkToFit="0" wrapText="1"/>
    </xf>
    <xf borderId="7" fillId="12" fontId="21" numFmtId="0" xfId="0" applyAlignment="1" applyBorder="1" applyFill="1" applyFont="1">
      <alignment horizontal="center" shrinkToFit="0" wrapText="1"/>
    </xf>
    <xf borderId="7" fillId="12" fontId="21" numFmtId="0" xfId="0" applyAlignment="1" applyBorder="1" applyFill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178" xfId="0" applyFont="1" applyNumberFormat="1"/>
    <xf borderId="7" fillId="0" fontId="4" numFmtId="1" xfId="0" applyAlignment="1" applyBorder="1" applyFont="1" applyNumberFormat="1">
      <alignment horizontal="center" vertical="bottom"/>
    </xf>
    <xf borderId="7" fillId="0" fontId="4" numFmtId="0" xfId="0" applyAlignment="1" applyBorder="1" applyFont="1">
      <alignment shrinkToFit="0" vertical="bottom" wrapText="1"/>
    </xf>
    <xf borderId="7" fillId="0" fontId="4" numFmtId="0" xfId="0" applyAlignment="1" applyBorder="1" applyFont="1">
      <alignment vertical="bottom"/>
    </xf>
    <xf borderId="7" fillId="0" fontId="4" numFmtId="170" xfId="0" applyAlignment="1" applyBorder="1" applyFont="1" applyNumberFormat="1">
      <alignment horizontal="center" vertical="bottom"/>
    </xf>
    <xf borderId="7" fillId="0" fontId="4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x Lavine" id="{fef40704-0ac1-48ba-8b32-d98171b49af5}" providerId="google-sheets"/>
  <x18tc:person displayName="Garrett Lutz" id="{fa565e4a-e58b-45ba-853e-e21b83c8916f}" providerId="google-sheets"/>
  <x18tc:person displayName="max@charmindustrial.com" id="{df1f1056-adf9-4e33-ba72-1f317cf9f830}" userId="max@charmindustrial.com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37" dT="2025-02-18T23:59:03.00" personId="{fef40704-0ac1-48ba-8b32-d98171b49af5}" id="{b9541cb2-99fd-47fe-8a98-3d8890fe8636}" done="0">
    <x18tc:text xml:space="preserve">@max@charmindustrial.com Update</x18tc:text>
    <x18tc:mentions>
      <x18tc:mention mentionpersonId="{df1f1056-adf9-4e33-ba72-1f317cf9f830}" mentionId="{5215c6c5-e914-4be2-b90e-3071e1678439}" startIndex="0" length="24"/>
    </x18tc:mentions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47" dT="2026-03-26T19:35:39.00" personId="{fa565e4a-e58b-45ba-853e-e21b83c8916f}" id="{b63a8b7e-41d0-42cc-a4f4-93ca6a2e8493}" done="1">
    <x18tc:text xml:space="preserve">@max@charmindustrial.com this is way better than the EF we had before</x18tc:text>
    <x18tc:mentions>
      <x18tc:mention mentionpersonId="{df1f1056-adf9-4e33-ba72-1f317cf9f830}" mentionId="{dbd96a37-dcb1-44c1-ad5a-c22f97a0ee08}" startIndex="0" length="24"/>
    </x18tc:mentions>
  </x18tc:threadedComment>
  <x18tc:threadedComment ref="D47" dT="2026-03-26T20:12:47.00" personId="{fef40704-0ac1-48ba-8b32-d98171b49af5}" id="{db035f9f-e110-452e-9e93-89bcb1009977}" parentId="{b63a8b7e-41d0-42cc-a4f4-93ca6a2e8493}">
    <x18tc:text xml:space="preserve">It is? https://docs.google.com/spreadsheets/d/1Ousnioby2f_yfIG_HuSsCiT2gkbD3_YQ8_mmo7WAmrI/edit?gid=0#gid=0
Looking at this I'm seeing us go from 1.399 to 1.398</x18tc:text>
    <x18tc:extLst>
      <ext uri="{F7C98A9C-CBB3-438F-8F68-D28B6AF4A901}">
        <xltc2:checksum/>
        <xltc2:hyperlink startIndex="7" length="100" url="https://docs.google.com/spreadsheets/d/1Ousnioby2f_yfIG_HuSsCiT2gkbD3_YQ8_mmo7WAmrI/edit?gid=0#gid=0"/>
      </ext>
    </x18tc:extLst>
  </x18tc:threadedComment>
  <x18tc:threadedComment ref="D47" dT="2026-03-26T20:14:12.00" personId="{fa565e4a-e58b-45ba-853e-e21b83c8916f}" id="{57e93155-25a3-47dd-bf2a-f1f13d0423bc}" parentId="{b63a8b7e-41d0-42cc-a4f4-93ca6a2e8493}">
    <x18tc:text xml:space="preserve">Oh gosh, I meant to put this on Limestone lol</x18tc:text>
  </x18tc:threadedComment>
  <x18tc:threadedComment ref="D47" dT="2026-03-26T20:35:04.00" personId="{fef40704-0ac1-48ba-8b32-d98171b49af5}" id="{4f58865f-3171-4384-a73f-14a3158ecd8e}" parentId="{b63a8b7e-41d0-42cc-a4f4-93ca6a2e8493}">
    <x18tc:text xml:space="preserve">Ah, yes that is much better! GREET FTW
1 total reaction
Garrett Lutz reacted with 👏 at 03/26/2026, 8:35 PM UTC</x18tc:text>
  </x18tc:threadedComment>
  <x18tc:threadedComment ref="B27" dT="2026-04-29T18:58:58.00" personId="{fa565e4a-e58b-45ba-853e-e21b83c8916f}" id="{e25b0ca2-4a86-43d2-9f28-95b9f8986cb2}" done="1">
    <x18tc:text xml:space="preserve">@max@charmindustrial.com I've been using row 24, but if this is updated, we can use this for SS procurement. I see GREET 2024 instead of 2025 so just double checking</x18tc:text>
    <x18tc:mentions>
      <x18tc:mention mentionpersonId="{df1f1056-adf9-4e33-ba72-1f317cf9f830}" mentionId="{d3ad7742-0cad-40d4-b4ba-77e738f56391}" startIndex="0" length="24"/>
    </x18tc:mentions>
  </x18tc:threadedComment>
  <x18tc:threadedComment ref="B27" dT="2026-04-29T19:21:34.00" personId="{fef40704-0ac1-48ba-8b32-d98171b49af5}" id="{b4dc2bdb-3d4d-4556-89ad-d9038762b6f4}" parentId="{e25b0ca2-4a86-43d2-9f28-95b9f8986cb2}">
    <x18tc:text xml:space="preserve">Should be. Have Claude check against the updated DB to be certain.
1 total reaction
Garrett Lutz reacted with 👍 at 04/29/2026, 7:22 PM UTC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2" dT="2025-04-25T17:50:10.00" personId="{fa565e4a-e58b-45ba-853e-e21b83c8916f}" id="{acd33908-ebee-43e7-8aa8-decb3e7cc65c}" done="1">
    <x18tc:text xml:space="preserve">Does not exist in updated version. Adding in closest proxy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9" dT="2026-03-24T21:29:36.00" personId="{fef40704-0ac1-48ba-8b32-d98171b49af5}" id="{729791e5-c219-427c-a96e-3a4f78ac5a30}" done="0">
    <x18tc:text xml:space="preserve">Actual power profiler results only sum to 99.4%. To be conservative, I added the extra .6% to solar since it has the highest upstream embodied emissions per mmBTU, so there is no risk of undercounting</x18tc:text>
  </x18tc:threadedComment>
  <x18tc:threadedComment ref="I31" dT="2026-03-25T17:58:47.00" personId="{fef40704-0ac1-48ba-8b32-d98171b49af5}" id="{27f5c652-84d1-4ea5-aa67-6e5752d4b370}" done="0">
    <x18tc:text xml:space="preserve">EPA data only quantifies loss rates at the interconnect power grid level, not the grid region level. 4.2% is the US average and also the highest option aside from 4.4% in Hawaii, so the choice is methodologically sound.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1" dT="2026-03-24T21:04:59.00" personId="{fef40704-0ac1-48ba-8b32-d98171b49af5}" id="{d912ed26-c060-4e32-bd56-67d7a6997954}" done="0">
    <x18tc:text xml:space="preserve">The values given by power profiler sum to 100.1%. There is no risk of understating emissions due to this error, so the values are presented unchanged</x18tc:text>
  </x18tc:threadedComment>
  <x18tc:threadedComment ref="I31" dT="2026-03-25T17:58:41.00" personId="{fef40704-0ac1-48ba-8b32-d98171b49af5}" id="{794b9c97-4dbf-49cc-9cb8-49a32431f1d9}" done="0">
    <x18tc:text xml:space="preserve">EPA data only quantifies loss rates at the interconnect power grid level, not the grid region level. 4.2% is the US average and also the highest option aside from 4.4% in Hawaii, so the choice is methodologically sound.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1" dT="2026-01-06T16:56:05.00" personId="{fa565e4a-e58b-45ba-853e-e21b83c8916f}" id="{1aca44f6-7edc-46eb-a100-1e49f2d77238}" done="1">
    <x18tc:text xml:space="preserve">@max@charmindustrial.com This still needs to be filled in I think. The derating value is the same as CO because there are a few cells that need to be filled</x18tc:text>
    <x18tc:mentions>
      <x18tc:mention mentionpersonId="{df1f1056-adf9-4e33-ba72-1f317cf9f830}" mentionId="{903a94d5-c0c6-4038-8e40-cc9809357306}" startIndex="0" length="24"/>
    </x18tc:mentions>
  </x18tc:threadedComment>
  <x18tc:threadedComment ref="B31" dT="2026-01-06T17:00:28.00" personId="{fef40704-0ac1-48ba-8b32-d98171b49af5}" id="{00e107e2-5ca9-44d4-8f47-ebcd55af320b}" parentId="{1aca44f6-7edc-46eb-a100-1e49f2d77238}">
    <x18tc:text xml:space="preserve">Ah, good catch! I'll fix this up today</x18tc:text>
  </x18tc:threadedComment>
  <x18tc:threadedComment ref="B31" dT="2026-01-06T21:41:21.00" personId="{fef40704-0ac1-48ba-8b32-d98171b49af5}" id="{a2c92a5e-622f-4cba-b2e0-f07da361cf63}" parentId="{1aca44f6-7edc-46eb-a100-1e49f2d77238}">
    <x18tc:text xml:space="preserve">This should be good to go</x18tc:text>
  </x18tc:threadedComment>
  <x18tc:threadedComment ref="J31" dT="2026-02-03T16:55:48.00" personId="{fa565e4a-e58b-45ba-853e-e21b83c8916f}" id="{074fc24e-5760-4c3a-b8db-d42f3579e329}" done="1">
    <x18tc:text xml:space="preserve">@max@charmindustrial.com going to look for a new one of these, looks like EPA deleted this....</x18tc:text>
    <x18tc:mentions>
      <x18tc:mention mentionpersonId="{df1f1056-adf9-4e33-ba72-1f317cf9f830}" mentionId="{d2cddd25-4ea0-462e-800f-86af6c5fd34d}" startIndex="0" length="24"/>
    </x18tc:mentions>
  </x18tc:threadedComment>
  <x18tc:threadedComment ref="J31" dT="2026-02-03T17:06:08.00" personId="{fef40704-0ac1-48ba-8b32-d98171b49af5}" id="{d6042137-006f-41e9-b454-3fa20f972996}" parentId="{074fc24e-5760-4c3a-b8db-d42f3579e329}">
    <x18tc:text xml:space="preserve">Looks like it still exists, just got moved. Go here
https://www.epa.gov/egrid/detailed-data
Then open the spreadsheet and go to the GGL23 tab, which has the grid losses by region and national average.
In the future there may be a bridge, troll, riddles, etc. required to gain access
1 total reaction
Garrett Lutz reacted with 😂 at 02/03/2026, 5:13 PM UTC</x18tc:text>
    <x18tc:extLst>
      <ext uri="{F7C98A9C-CBB3-438F-8F68-D28B6AF4A901}">
        <xltc2:checksum/>
        <xltc2:hyperlink startIndex="52" length="39" url="https://www.epa.gov/egrid/detailed-data"/>
      </ext>
    </x18tc:extLs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6" dT="2026-03-24T20:57:00.00" personId="{fef40704-0ac1-48ba-8b32-d98171b49af5}" id="{833794bd-bcfa-4859-8998-8f97e3078e99}" done="0">
    <x18tc:text xml:space="preserve">Actual power profiler results only sum to 99.9%. To be conservative, I added the extra .1% to solar since it has the highest upstream embodied emissions per mmBTU, so there is no risk of undercounting</x18tc:text>
  </x18tc:threadedComment>
  <x18tc:threadedComment ref="I28" dT="2026-03-25T17:58:34.00" personId="{fef40704-0ac1-48ba-8b32-d98171b49af5}" id="{c2f72995-29d9-497b-be08-3a324834c96e}" done="0">
    <x18tc:text xml:space="preserve">EPA data only quantifies loss rates at the interconnect power grid level, not the grid region level. 4.2% is the US average and also the highest option aside from 4.4% in Hawaii, so the choice is methodologically sound.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spreadsheets/d/1-CDzUHS4Ac0WfJuG6jX1TPZC6yyomRj2VMJVJYUAFzU/edit?gid=0" TargetMode="External"/><Relationship Id="rId5" Type="http://schemas.openxmlformats.org/officeDocument/2006/relationships/hyperlink" Target="https://www.sciencedirect.com/science/article/abs/pii/S0959652621030110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smart-freight-centre-media.s3.amazonaws.com/documents/GLEC_FRAMEWORK_v3.2_21_10_25_1.pdf" TargetMode="External"/><Relationship Id="rId10" Type="http://schemas.openxmlformats.org/officeDocument/2006/relationships/hyperlink" Target="https://smart-freight-centre-media.s3.amazonaws.com/documents/GLEC_FRAMEWORK_v3.2_21_10_25_1.pdf" TargetMode="External"/><Relationship Id="rId13" Type="http://schemas.openxmlformats.org/officeDocument/2006/relationships/hyperlink" Target="https://smart-freight-centre-media.s3.amazonaws.com/documents/GLEC_FRAMEWORK_v3.2_21_10_25_1.pdf" TargetMode="External"/><Relationship Id="rId12" Type="http://schemas.openxmlformats.org/officeDocument/2006/relationships/hyperlink" Target="https://smart-freight-centre-media.s3.amazonaws.com/documents/GLEC_FRAMEWORK_v3.2_21_10_25_1.pdf" TargetMode="Externa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docs.google.com/spreadsheets/d/1ud_LV-aAeh6wPMoTPMBXlYqoQGzuqHvq9aC2QJ_fNk0/edit?usp=sharing" TargetMode="External"/><Relationship Id="rId9" Type="http://schemas.openxmlformats.org/officeDocument/2006/relationships/hyperlink" Target="https://smart-freight-centre-media.s3.amazonaws.com/documents/GLEC_FRAMEWORK_v3.2_21_10_25_1.pdf" TargetMode="External"/><Relationship Id="rId15" Type="http://schemas.openxmlformats.org/officeDocument/2006/relationships/hyperlink" Target="https://smart-freight-centre-media.s3.amazonaws.com/documents/GLEC_FRAMEWORK_v3.2_21_10_25_1.pdf" TargetMode="External"/><Relationship Id="rId14" Type="http://schemas.openxmlformats.org/officeDocument/2006/relationships/hyperlink" Target="https://smart-freight-centre-media.s3.amazonaws.com/documents/GLEC_FRAMEWORK_v3.2_21_10_25_1.pdf" TargetMode="External"/><Relationship Id="rId17" Type="http://schemas.openxmlformats.org/officeDocument/2006/relationships/hyperlink" Target="https://acrobat.adobe.com/id/urn:aaid:sc:US:26fdce61-9987-49bc-a6d8-6a7f4781adac" TargetMode="External"/><Relationship Id="rId16" Type="http://schemas.openxmlformats.org/officeDocument/2006/relationships/hyperlink" Target="https://www.sciencedirect.com/science/article/abs/pii/S0959652621030110" TargetMode="External"/><Relationship Id="rId5" Type="http://schemas.openxmlformats.org/officeDocument/2006/relationships/hyperlink" Target="https://smart-freight-centre-media.s3.amazonaws.com/documents/GLEC_FRAMEWORK_v3.2_21_10_25_1.pdf" TargetMode="External"/><Relationship Id="rId19" Type="http://schemas.openxmlformats.org/officeDocument/2006/relationships/vmlDrawing" Target="../drawings/vmlDrawing2.vml"/><Relationship Id="rId6" Type="http://schemas.openxmlformats.org/officeDocument/2006/relationships/hyperlink" Target="https://smart-freight-centre-media.s3.amazonaws.com/documents/GLEC_FRAMEWORK_v3.2_21_10_25_1.pdf" TargetMode="External"/><Relationship Id="rId18" Type="http://schemas.openxmlformats.org/officeDocument/2006/relationships/drawing" Target="../drawings/drawing2.xml"/><Relationship Id="rId7" Type="http://schemas.openxmlformats.org/officeDocument/2006/relationships/hyperlink" Target="https://docs.google.com/spreadsheets/d/1-CDzUHS4Ac0WfJuG6jX1TPZC6yyomRj2VMJVJYUAFzU/edit?gid=0" TargetMode="External"/><Relationship Id="rId8" Type="http://schemas.openxmlformats.org/officeDocument/2006/relationships/hyperlink" Target="https://smart-freight-centre-media.s3.amazonaws.com/documents/GLEC_FRAMEWORK_v3.2_21_10_25_1.pdf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smart-freight-centre-media.s3.amazonaws.com/documents/GLEC_FRAMEWORK_v3_UPDATED_04_12_24.pdf" TargetMode="External"/><Relationship Id="rId10" Type="http://schemas.openxmlformats.org/officeDocument/2006/relationships/hyperlink" Target="https://smart-freight-centre-media.s3.amazonaws.com/documents/GLEC_FRAMEWORK_v3_UPDATED_04_12_24.pdf" TargetMode="External"/><Relationship Id="rId13" Type="http://schemas.openxmlformats.org/officeDocument/2006/relationships/drawing" Target="../drawings/drawing3.xml"/><Relationship Id="rId12" Type="http://schemas.openxmlformats.org/officeDocument/2006/relationships/hyperlink" Target="https://www.sciencedirect.com/science/article/abs/pii/S0959652621030110" TargetMode="External"/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https://smart-freight-centre-media.s3.amazonaws.com/documents/GLEC_FRAMEWORK_v3_UPDATED_04_12_24.pdf" TargetMode="External"/><Relationship Id="rId9" Type="http://schemas.openxmlformats.org/officeDocument/2006/relationships/hyperlink" Target="https://smart-freight-centre-media.s3.amazonaws.com/documents/GLEC_FRAMEWORK_v3_UPDATED_04_12_24.pdf" TargetMode="External"/><Relationship Id="rId14" Type="http://schemas.openxmlformats.org/officeDocument/2006/relationships/vmlDrawing" Target="../drawings/vmlDrawing3.vml"/><Relationship Id="rId5" Type="http://schemas.openxmlformats.org/officeDocument/2006/relationships/hyperlink" Target="https://smart-freight-centre-media.s3.amazonaws.com/documents/GLEC_FRAMEWORK_v3_UPDATED_04_12_24.pdf" TargetMode="External"/><Relationship Id="rId6" Type="http://schemas.openxmlformats.org/officeDocument/2006/relationships/hyperlink" Target="https://docs.google.com/spreadsheets/d/1-CDzUHS4Ac0WfJuG6jX1TPZC6yyomRj2VMJVJYUAFzU/edit?gid=0" TargetMode="External"/><Relationship Id="rId7" Type="http://schemas.openxmlformats.org/officeDocument/2006/relationships/hyperlink" Target="https://smart-freight-centre-media.s3.amazonaws.com/documents/GLEC_FRAMEWORK_v3_UPDATED_04_12_24.pdf" TargetMode="External"/><Relationship Id="rId8" Type="http://schemas.openxmlformats.org/officeDocument/2006/relationships/hyperlink" Target="https://smart-freight-centre-media.s3.amazonaws.com/documents/GLEC_FRAMEWORK_v3_UPDATED_04_12_24.pdf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ederalregister.gov/documents/2023/01/24/2022-27957/control-of-air-pollution-from-new-motor-vehicles-heavy-duty-engine-and-vehicle-standards" TargetMode="External"/><Relationship Id="rId2" Type="http://schemas.openxmlformats.org/officeDocument/2006/relationships/hyperlink" Target="https://truckingresearch.org/wp-content/uploads/2025/07/ATRI-Operational-Costs-of-Trucking-07-2025.pdf" TargetMode="External"/><Relationship Id="rId3" Type="http://schemas.openxmlformats.org/officeDocument/2006/relationships/hyperlink" Target="https://truckingresearch.org/wp-content/uploads/2025/07/ATRI-Operational-Costs-of-Trucking-07-2025.pdf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system/files/documents/2025-01/egrid2023_summary_tables_rev1.pdf" TargetMode="External"/><Relationship Id="rId7" Type="http://schemas.openxmlformats.org/officeDocument/2006/relationships/drawing" Target="../drawings/drawing6.xml"/><Relationship Id="rId8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egrid/summary-data" TargetMode="External"/><Relationship Id="rId7" Type="http://schemas.openxmlformats.org/officeDocument/2006/relationships/drawing" Target="../drawings/drawing7.xml"/><Relationship Id="rId8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6.vml"/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hyperlink" Target="https://www.green-e.org/2024-residual-mix" TargetMode="External"/><Relationship Id="rId9" Type="http://schemas.openxmlformats.org/officeDocument/2006/relationships/drawing" Target="../drawings/drawing8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egrid/detailed-data" TargetMode="External"/></Relationships>
</file>

<file path=xl/worksheets/_rels/sheet9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7.vml"/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hyperlink" Target="https://resource-solutions.org/2025-residual-mix/" TargetMode="External"/><Relationship Id="rId9" Type="http://schemas.openxmlformats.org/officeDocument/2006/relationships/drawing" Target="../drawings/drawing9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egrid/detailed-data" TargetMode="External"/></Relationships>
</file>

<file path=xl/worksheets/_rels/sheet10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8.vml"/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hyperlink" Target="https://www.green-e.org/2024-residual-mix" TargetMode="External"/><Relationship Id="rId9" Type="http://schemas.openxmlformats.org/officeDocument/2006/relationships/drawing" Target="../drawings/drawing10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system/files/documents/2025-01/egrid2023_summary_tables_rev1.pdf" TargetMode="External"/></Relationships>
</file>

<file path=xl/worksheets/_rels/sheet11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9.vml"/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hyperlink" Target="https://resource-solutions.org/2025-residual-mix/" TargetMode="External"/><Relationship Id="rId9" Type="http://schemas.openxmlformats.org/officeDocument/2006/relationships/drawing" Target="../drawings/drawing11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egrid/detailed-data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0qP33ema8rcTUsXUzN2qC1qNTEPeZs10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0qP33ema8rcTUsXUzN2qC1qNTEPeZs10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www.bls.gov/data/inflation_calculator.htm" TargetMode="External"/><Relationship Id="rId3" Type="http://schemas.openxmlformats.org/officeDocument/2006/relationships/hyperlink" Target="https://catalog.data.gov/dataset/supply-chain-greenhouse-gas-emission-factors-v1-3-by-naics-6" TargetMode="External"/><Relationship Id="rId4" Type="http://schemas.openxmlformats.org/officeDocument/2006/relationships/hyperlink" Target="https://drive.google.com/drive/folders/1wonPz0u03V1o3IZLoay09Sv_o0FddMv9" TargetMode="External"/><Relationship Id="rId5" Type="http://schemas.openxmlformats.org/officeDocument/2006/relationships/hyperlink" Target="https://drive.google.com/drive/folders/1wonPz0u03V1o3IZLoay09Sv_o0FddMv9" TargetMode="External"/><Relationship Id="rId6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www.bls.gov/data/inflation_calculator.htm" TargetMode="External"/><Relationship Id="rId3" Type="http://schemas.openxmlformats.org/officeDocument/2006/relationships/hyperlink" Target="https://catalog.data.gov/dataset/supply-chain-greenhouse-gas-emission-factors-v1-3-by-naics-6" TargetMode="External"/><Relationship Id="rId4" Type="http://schemas.openxmlformats.org/officeDocument/2006/relationships/hyperlink" Target="https://drive.google.com/drive/folders/1wonPz0u03V1o3IZLoay09Sv_o0FddMv9" TargetMode="External"/><Relationship Id="rId5" Type="http://schemas.openxmlformats.org/officeDocument/2006/relationships/hyperlink" Target="https://drive.google.com/drive/folders/1wonPz0u03V1o3IZLoay09Sv_o0FddMv9" TargetMode="External"/><Relationship Id="rId6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drive.google.com/drive/folders/1wonPz0u03V1o3IZLoay09Sv_o0FddMv9" TargetMode="External"/><Relationship Id="rId3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labelsds.com/images/user_uploads/Univar%20CausSoda%20.50%20SDS%204-22-21.pdf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labelsds.com/images/user_uploads/Univar%20CausSoda%20.50%20SDS%204-22-21.pdf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Df3S7FzHb1Q4em3r7" TargetMode="External"/><Relationship Id="rId2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ls.gov/data/inflation_calculator.htm" TargetMode="External"/><Relationship Id="rId2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3.38"/>
    <col customWidth="1" min="2" max="2" width="28.75"/>
    <col customWidth="1" min="3" max="3" width="14.88"/>
    <col customWidth="1" min="4" max="4" width="45.88"/>
    <col customWidth="1" min="5" max="5" width="16.25"/>
  </cols>
  <sheetData>
    <row r="1">
      <c r="A1" s="1"/>
      <c r="B1" s="1" t="s">
        <v>2</v>
      </c>
      <c r="C1" s="3" t="s">
        <v>4</v>
      </c>
      <c r="D1" s="1" t="s">
        <v>6</v>
      </c>
      <c r="E1" s="4" t="s">
        <v>7</v>
      </c>
      <c r="F1" s="4" t="s">
        <v>8</v>
      </c>
    </row>
    <row r="2">
      <c r="A2" s="1" t="s">
        <v>10</v>
      </c>
      <c r="B2" s="5"/>
      <c r="D2" s="5"/>
    </row>
    <row r="3">
      <c r="A3" s="8" t="s">
        <v>11</v>
      </c>
      <c r="B3" s="8" t="s">
        <v>14</v>
      </c>
      <c r="C3" s="4">
        <v>0.1267825263</v>
      </c>
      <c r="D3" s="8">
        <v>0.002088061302</v>
      </c>
      <c r="E3" s="4">
        <v>0.127047256</v>
      </c>
      <c r="F3" s="4" t="s">
        <v>16</v>
      </c>
    </row>
    <row r="4">
      <c r="A4" s="8" t="s">
        <v>18</v>
      </c>
      <c r="B4" s="8" t="s">
        <v>14</v>
      </c>
      <c r="C4" s="4">
        <v>0.02115941123</v>
      </c>
      <c r="D4" s="8" t="s">
        <v>19</v>
      </c>
      <c r="E4" s="4">
        <v>0.02115941123</v>
      </c>
      <c r="F4" s="4" t="s">
        <v>22</v>
      </c>
    </row>
    <row r="5">
      <c r="A5" s="8" t="s">
        <v>23</v>
      </c>
      <c r="B5" s="8" t="s">
        <v>24</v>
      </c>
      <c r="C5" s="4">
        <v>1.287472E-4</v>
      </c>
      <c r="D5" s="8" t="s">
        <v>19</v>
      </c>
      <c r="E5" s="4">
        <v>1.287472E-4</v>
      </c>
      <c r="F5" s="4" t="s">
        <v>26</v>
      </c>
    </row>
    <row r="6">
      <c r="A6" s="8" t="s">
        <v>29</v>
      </c>
      <c r="B6" s="8" t="s">
        <v>24</v>
      </c>
      <c r="C6" s="4">
        <v>1.367939E-4</v>
      </c>
      <c r="D6" s="8" t="s">
        <v>19</v>
      </c>
      <c r="E6" s="4">
        <v>1.367939E-4</v>
      </c>
      <c r="F6" s="4" t="s">
        <v>26</v>
      </c>
      <c r="G6" s="12">
        <f>E6*1000</f>
        <v>0.1367939</v>
      </c>
    </row>
    <row r="7">
      <c r="A7" s="8" t="s">
        <v>32</v>
      </c>
      <c r="B7" s="8" t="s">
        <v>24</v>
      </c>
      <c r="C7" s="4">
        <v>2.0760486E-4</v>
      </c>
      <c r="D7" s="8" t="s">
        <v>19</v>
      </c>
      <c r="E7" s="4">
        <v>2.0760486E-4</v>
      </c>
      <c r="F7" s="4" t="s">
        <v>26</v>
      </c>
    </row>
    <row r="8">
      <c r="A8" s="8" t="s">
        <v>33</v>
      </c>
      <c r="B8" s="8" t="s">
        <v>34</v>
      </c>
      <c r="C8" s="4">
        <v>0.001518790827</v>
      </c>
      <c r="D8" s="8" t="s">
        <v>19</v>
      </c>
      <c r="E8" s="4">
        <v>0.001518790827</v>
      </c>
      <c r="F8" s="18" t="s">
        <v>36</v>
      </c>
    </row>
    <row r="9">
      <c r="A9" s="8" t="s">
        <v>44</v>
      </c>
      <c r="B9" s="8" t="s">
        <v>45</v>
      </c>
      <c r="C9" s="4">
        <v>0.00131483078</v>
      </c>
      <c r="D9" s="8" t="s">
        <v>19</v>
      </c>
      <c r="E9" s="4">
        <v>0.00131483078</v>
      </c>
      <c r="F9" s="4" t="s">
        <v>26</v>
      </c>
    </row>
    <row r="10">
      <c r="A10" s="8" t="s">
        <v>46</v>
      </c>
      <c r="B10" s="8" t="s">
        <v>47</v>
      </c>
      <c r="C10" s="4">
        <v>2.6071308E-5</v>
      </c>
      <c r="D10" s="8" t="s">
        <v>19</v>
      </c>
      <c r="E10" s="4">
        <v>2.6071308E-5</v>
      </c>
      <c r="F10" s="4" t="s">
        <v>26</v>
      </c>
    </row>
    <row r="11">
      <c r="A11" s="8" t="s">
        <v>49</v>
      </c>
      <c r="B11" s="8" t="s">
        <v>50</v>
      </c>
      <c r="C11" s="4">
        <v>7.674901106E-5</v>
      </c>
      <c r="D11" s="8" t="s">
        <v>19</v>
      </c>
      <c r="E11" s="4">
        <v>7.674901106E-5</v>
      </c>
      <c r="F11" s="4" t="s">
        <v>51</v>
      </c>
    </row>
    <row r="12">
      <c r="A12" s="8" t="s">
        <v>52</v>
      </c>
      <c r="B12" s="8" t="s">
        <v>50</v>
      </c>
      <c r="C12" s="4">
        <v>6.281443884E-5</v>
      </c>
      <c r="D12" s="8" t="s">
        <v>19</v>
      </c>
      <c r="E12" s="4">
        <v>6.281443884E-5</v>
      </c>
      <c r="F12" s="4" t="s">
        <v>51</v>
      </c>
    </row>
    <row r="13">
      <c r="A13" s="8" t="s">
        <v>53</v>
      </c>
      <c r="B13" s="8" t="s">
        <v>50</v>
      </c>
      <c r="C13" s="4">
        <v>5.533333333E-5</v>
      </c>
      <c r="D13" s="8" t="s">
        <v>19</v>
      </c>
      <c r="E13" s="4">
        <v>5.533333333E-5</v>
      </c>
    </row>
    <row r="14">
      <c r="A14" s="8" t="s">
        <v>54</v>
      </c>
      <c r="B14" s="8" t="s">
        <v>55</v>
      </c>
      <c r="C14" s="4">
        <v>4.572764745E-4</v>
      </c>
      <c r="D14" s="8" t="s">
        <v>19</v>
      </c>
      <c r="E14" s="4">
        <v>4.572764745E-4</v>
      </c>
      <c r="F14" s="4" t="s">
        <v>56</v>
      </c>
    </row>
    <row r="15">
      <c r="A15" s="8" t="s">
        <v>58</v>
      </c>
      <c r="B15" s="8" t="s">
        <v>55</v>
      </c>
      <c r="C15" s="4">
        <v>5.341200097E-4</v>
      </c>
      <c r="D15" s="8" t="s">
        <v>19</v>
      </c>
      <c r="E15" s="4">
        <v>5.341200097E-4</v>
      </c>
      <c r="F15" s="4" t="s">
        <v>56</v>
      </c>
    </row>
    <row r="16">
      <c r="A16" s="8" t="s">
        <v>59</v>
      </c>
      <c r="B16" s="8" t="s">
        <v>60</v>
      </c>
      <c r="C16" s="4">
        <v>0.00389</v>
      </c>
      <c r="D16" s="21" t="s">
        <v>19</v>
      </c>
      <c r="E16" s="4">
        <v>0.00389</v>
      </c>
      <c r="F16" s="4" t="s">
        <v>26</v>
      </c>
    </row>
    <row r="17">
      <c r="A17" s="8" t="s">
        <v>62</v>
      </c>
      <c r="B17" s="8" t="s">
        <v>60</v>
      </c>
      <c r="C17" s="4">
        <v>0.00366</v>
      </c>
      <c r="D17" s="21" t="s">
        <v>19</v>
      </c>
      <c r="E17" s="4">
        <v>0.00366</v>
      </c>
      <c r="F17" s="4" t="s">
        <v>26</v>
      </c>
    </row>
    <row r="18">
      <c r="A18" s="8" t="s">
        <v>64</v>
      </c>
      <c r="B18" s="8" t="s">
        <v>60</v>
      </c>
      <c r="C18" s="4">
        <v>0.00374</v>
      </c>
      <c r="D18" s="21" t="s">
        <v>19</v>
      </c>
      <c r="E18" s="4">
        <v>0.00374</v>
      </c>
      <c r="F18" s="4"/>
    </row>
    <row r="19">
      <c r="A19" s="8" t="s">
        <v>66</v>
      </c>
      <c r="B19" s="8" t="s">
        <v>67</v>
      </c>
      <c r="C19" s="4">
        <v>1.741289766E-6</v>
      </c>
      <c r="D19" s="8" t="s">
        <v>19</v>
      </c>
      <c r="E19" s="4">
        <v>1.741289766E-6</v>
      </c>
      <c r="F19" s="23" t="s">
        <v>68</v>
      </c>
    </row>
    <row r="20">
      <c r="A20" s="8" t="s">
        <v>70</v>
      </c>
      <c r="B20" s="8" t="s">
        <v>71</v>
      </c>
      <c r="C20" s="4">
        <v>2.750989</v>
      </c>
      <c r="D20" s="8" t="s">
        <v>19</v>
      </c>
      <c r="E20" s="4">
        <v>2.750989</v>
      </c>
      <c r="F20" s="4" t="s">
        <v>72</v>
      </c>
    </row>
    <row r="21">
      <c r="A21" s="8" t="s">
        <v>73</v>
      </c>
      <c r="B21" s="8" t="s">
        <v>71</v>
      </c>
      <c r="C21" s="4">
        <v>0.784292</v>
      </c>
      <c r="D21" s="8" t="s">
        <v>19</v>
      </c>
      <c r="E21" s="4">
        <v>0.784292</v>
      </c>
      <c r="F21" s="4" t="s">
        <v>72</v>
      </c>
    </row>
    <row r="22">
      <c r="A22" s="8" t="s">
        <v>74</v>
      </c>
      <c r="B22" s="8" t="s">
        <v>75</v>
      </c>
      <c r="C22" s="4">
        <v>3.504988</v>
      </c>
      <c r="D22" s="8" t="s">
        <v>19</v>
      </c>
      <c r="E22" s="4">
        <v>3.504988</v>
      </c>
      <c r="F22" s="4" t="s">
        <v>72</v>
      </c>
    </row>
    <row r="23">
      <c r="A23" s="8" t="s">
        <v>76</v>
      </c>
      <c r="B23" s="8" t="s">
        <v>77</v>
      </c>
      <c r="C23" s="4">
        <v>1.171796</v>
      </c>
      <c r="D23" s="8" t="s">
        <v>19</v>
      </c>
      <c r="E23" s="4">
        <v>1.171796</v>
      </c>
      <c r="F23" s="4" t="s">
        <v>72</v>
      </c>
    </row>
    <row r="24">
      <c r="A24" s="8" t="s">
        <v>78</v>
      </c>
      <c r="B24" s="8" t="s">
        <v>79</v>
      </c>
      <c r="C24" s="4">
        <v>0.087248</v>
      </c>
      <c r="D24" s="8" t="s">
        <v>19</v>
      </c>
      <c r="E24" s="4">
        <v>0.087248</v>
      </c>
      <c r="F24" s="4" t="s">
        <v>72</v>
      </c>
    </row>
    <row r="25">
      <c r="A25" s="8" t="s">
        <v>80</v>
      </c>
      <c r="B25" s="8" t="s">
        <v>81</v>
      </c>
      <c r="C25" s="4">
        <v>0.930829</v>
      </c>
      <c r="D25" s="8">
        <v>0.001200260388</v>
      </c>
      <c r="E25" s="4">
        <f>C25*(1+D25)</f>
        <v>0.9319462372</v>
      </c>
      <c r="F25" s="4" t="s">
        <v>72</v>
      </c>
    </row>
    <row r="26">
      <c r="A26" s="8" t="s">
        <v>83</v>
      </c>
      <c r="B26" s="8" t="s">
        <v>84</v>
      </c>
      <c r="C26" s="4">
        <v>2.1E-4</v>
      </c>
      <c r="D26" s="8" t="s">
        <v>19</v>
      </c>
      <c r="E26" s="4">
        <v>2.1E-4</v>
      </c>
      <c r="F26" s="4" t="s">
        <v>85</v>
      </c>
    </row>
    <row r="27">
      <c r="A27" s="8" t="s">
        <v>86</v>
      </c>
      <c r="B27" s="8" t="s">
        <v>84</v>
      </c>
      <c r="C27" s="4">
        <v>3.1E-4</v>
      </c>
      <c r="D27" s="8" t="s">
        <v>19</v>
      </c>
      <c r="E27" s="4">
        <v>3.1E-4</v>
      </c>
      <c r="F27" s="4" t="s">
        <v>85</v>
      </c>
    </row>
    <row r="28">
      <c r="A28" s="8" t="s">
        <v>87</v>
      </c>
      <c r="B28" s="8" t="s">
        <v>84</v>
      </c>
      <c r="C28" s="4">
        <v>2.45E-4</v>
      </c>
      <c r="D28" s="8" t="s">
        <v>19</v>
      </c>
      <c r="E28" s="4">
        <v>2.45E-4</v>
      </c>
      <c r="F28" s="4" t="s">
        <v>85</v>
      </c>
    </row>
    <row r="29">
      <c r="A29" s="8" t="s">
        <v>88</v>
      </c>
      <c r="B29" s="8" t="s">
        <v>84</v>
      </c>
      <c r="C29" s="4">
        <v>2.29E-4</v>
      </c>
      <c r="D29" s="8" t="s">
        <v>19</v>
      </c>
      <c r="E29" s="4">
        <v>2.29E-4</v>
      </c>
      <c r="F29" s="4" t="s">
        <v>85</v>
      </c>
    </row>
    <row r="30">
      <c r="A30" s="8" t="s">
        <v>89</v>
      </c>
      <c r="B30" s="8" t="s">
        <v>84</v>
      </c>
      <c r="C30" s="4">
        <v>2.46E-4</v>
      </c>
      <c r="D30" s="8" t="s">
        <v>19</v>
      </c>
      <c r="E30" s="4">
        <v>2.46E-4</v>
      </c>
      <c r="F30" s="4" t="s">
        <v>85</v>
      </c>
    </row>
    <row r="31">
      <c r="A31" s="8" t="s">
        <v>90</v>
      </c>
      <c r="B31" s="8" t="s">
        <v>84</v>
      </c>
      <c r="C31" s="4">
        <v>4.15E-4</v>
      </c>
      <c r="D31" s="8" t="s">
        <v>19</v>
      </c>
      <c r="E31" s="4">
        <v>4.15E-4</v>
      </c>
      <c r="F31" s="4" t="s">
        <v>85</v>
      </c>
    </row>
    <row r="32">
      <c r="A32" s="8" t="s">
        <v>91</v>
      </c>
      <c r="B32" s="8" t="s">
        <v>84</v>
      </c>
      <c r="C32" s="4">
        <v>2.42E-4</v>
      </c>
      <c r="D32" s="8" t="s">
        <v>19</v>
      </c>
      <c r="E32" s="4">
        <v>2.42E-4</v>
      </c>
      <c r="F32" s="4" t="s">
        <v>85</v>
      </c>
    </row>
    <row r="33">
      <c r="A33" s="8" t="s">
        <v>92</v>
      </c>
      <c r="B33" s="8" t="s">
        <v>84</v>
      </c>
      <c r="C33" s="4">
        <v>2.36E-4</v>
      </c>
      <c r="D33" s="8" t="s">
        <v>19</v>
      </c>
      <c r="E33" s="4">
        <v>2.36E-4</v>
      </c>
      <c r="F33" s="4" t="s">
        <v>85</v>
      </c>
    </row>
    <row r="34">
      <c r="A34" s="5" t="s">
        <v>93</v>
      </c>
      <c r="B34" s="5" t="s">
        <v>94</v>
      </c>
      <c r="C34" s="19">
        <f>0.0377/1000</f>
        <v>0.0000377</v>
      </c>
      <c r="D34" s="5" t="s">
        <v>95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 t="s">
        <v>99</v>
      </c>
      <c r="B35" s="5" t="s">
        <v>94</v>
      </c>
      <c r="C35" s="19">
        <f>0.0121/1000</f>
        <v>0.0000121</v>
      </c>
      <c r="D35" s="5" t="s">
        <v>95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 t="s">
        <v>100</v>
      </c>
      <c r="B36" s="5" t="s">
        <v>94</v>
      </c>
      <c r="C36" s="19">
        <f>0.603/1000</f>
        <v>0.000603</v>
      </c>
      <c r="D36" s="5" t="s">
        <v>95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 t="s">
        <v>103</v>
      </c>
      <c r="B37" s="5" t="s">
        <v>94</v>
      </c>
      <c r="C37" s="19">
        <f>0.07776/1000</f>
        <v>0.00007776</v>
      </c>
      <c r="D37" s="5" t="s">
        <v>95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D38" s="5"/>
    </row>
    <row r="39">
      <c r="A39" s="5"/>
      <c r="B39" s="5"/>
      <c r="D39" s="5"/>
    </row>
    <row r="40">
      <c r="A40" s="5"/>
      <c r="B40" s="5"/>
      <c r="D40" s="5"/>
    </row>
    <row r="41">
      <c r="A41" s="5"/>
      <c r="B41" s="5"/>
      <c r="D41" s="5"/>
    </row>
    <row r="42">
      <c r="A42" s="5"/>
      <c r="B42" s="5"/>
      <c r="D42" s="5"/>
      <c r="E42" s="12">
        <f>E14*1000</f>
        <v>0.4572764745</v>
      </c>
    </row>
    <row r="43">
      <c r="A43" s="5"/>
      <c r="B43" s="5"/>
      <c r="D43" s="5"/>
      <c r="E43" s="12">
        <f>35712*E42</f>
        <v>16330.25746</v>
      </c>
    </row>
    <row r="44">
      <c r="A44" s="5"/>
      <c r="B44" s="5"/>
      <c r="D44" s="5"/>
    </row>
    <row r="45">
      <c r="A45" s="5"/>
      <c r="B45" s="5"/>
      <c r="D45" s="5"/>
    </row>
    <row r="46">
      <c r="A46" s="5"/>
      <c r="B46" s="5"/>
      <c r="D46" s="5"/>
    </row>
    <row r="47">
      <c r="A47" s="5"/>
      <c r="B47" s="5"/>
      <c r="D47" s="5"/>
    </row>
    <row r="48">
      <c r="A48" s="5"/>
      <c r="B48" s="5"/>
      <c r="D48" s="5"/>
    </row>
    <row r="49">
      <c r="A49" s="5"/>
      <c r="B49" s="5"/>
      <c r="D49" s="5"/>
    </row>
    <row r="50">
      <c r="A50" s="5"/>
      <c r="B50" s="5"/>
      <c r="D50" s="5"/>
    </row>
    <row r="51">
      <c r="A51" s="5"/>
      <c r="B51" s="5"/>
      <c r="D51" s="5"/>
    </row>
    <row r="52">
      <c r="A52" s="5"/>
      <c r="B52" s="5"/>
      <c r="D52" s="5"/>
    </row>
    <row r="53">
      <c r="A53" s="5"/>
      <c r="B53" s="5"/>
      <c r="D53" s="5"/>
    </row>
    <row r="54">
      <c r="A54" s="5"/>
      <c r="B54" s="5"/>
      <c r="D54" s="5"/>
    </row>
    <row r="55">
      <c r="A55" s="5"/>
      <c r="B55" s="5"/>
      <c r="D55" s="5"/>
    </row>
    <row r="56">
      <c r="A56" s="5"/>
      <c r="B56" s="5"/>
      <c r="D56" s="5"/>
    </row>
    <row r="57">
      <c r="A57" s="5"/>
      <c r="B57" s="5"/>
      <c r="D57" s="5"/>
    </row>
    <row r="58">
      <c r="A58" s="5"/>
      <c r="B58" s="5"/>
      <c r="D58" s="5"/>
    </row>
    <row r="59">
      <c r="A59" s="5"/>
      <c r="B59" s="5"/>
      <c r="D59" s="5"/>
    </row>
    <row r="60">
      <c r="A60" s="5"/>
      <c r="B60" s="5"/>
      <c r="D60" s="5"/>
    </row>
    <row r="61">
      <c r="A61" s="5"/>
      <c r="B61" s="5"/>
      <c r="D61" s="5"/>
    </row>
    <row r="62">
      <c r="A62" s="5"/>
      <c r="B62" s="5"/>
      <c r="D62" s="5"/>
    </row>
    <row r="63">
      <c r="A63" s="5"/>
      <c r="B63" s="5"/>
      <c r="D63" s="5"/>
    </row>
    <row r="64">
      <c r="A64" s="5"/>
      <c r="B64" s="5"/>
      <c r="D64" s="5"/>
    </row>
    <row r="65">
      <c r="A65" s="5"/>
      <c r="B65" s="5"/>
      <c r="D65" s="5"/>
    </row>
    <row r="66">
      <c r="A66" s="5"/>
      <c r="B66" s="5"/>
      <c r="D66" s="5"/>
    </row>
    <row r="67">
      <c r="A67" s="5"/>
      <c r="B67" s="5"/>
      <c r="D67" s="5"/>
    </row>
    <row r="68">
      <c r="A68" s="5"/>
      <c r="B68" s="5"/>
      <c r="D68" s="5"/>
    </row>
    <row r="69">
      <c r="A69" s="5"/>
      <c r="B69" s="5"/>
      <c r="D69" s="5"/>
    </row>
    <row r="70">
      <c r="A70" s="5"/>
      <c r="B70" s="5"/>
      <c r="D70" s="5"/>
    </row>
    <row r="71">
      <c r="A71" s="5"/>
      <c r="B71" s="5"/>
      <c r="D71" s="5"/>
    </row>
    <row r="72">
      <c r="A72" s="5"/>
      <c r="B72" s="5"/>
      <c r="D72" s="5"/>
    </row>
    <row r="73">
      <c r="A73" s="5"/>
      <c r="B73" s="5"/>
      <c r="D73" s="5"/>
    </row>
    <row r="74">
      <c r="A74" s="5"/>
      <c r="B74" s="5"/>
      <c r="D74" s="5"/>
    </row>
    <row r="75">
      <c r="A75" s="5"/>
      <c r="B75" s="5"/>
      <c r="D75" s="5"/>
    </row>
    <row r="76">
      <c r="A76" s="5"/>
      <c r="B76" s="5"/>
      <c r="D76" s="5"/>
    </row>
    <row r="77">
      <c r="A77" s="5"/>
      <c r="B77" s="5"/>
      <c r="D77" s="5"/>
    </row>
    <row r="78">
      <c r="A78" s="5"/>
      <c r="B78" s="5"/>
      <c r="D78" s="5"/>
    </row>
    <row r="79">
      <c r="A79" s="5"/>
      <c r="B79" s="5"/>
      <c r="D79" s="5"/>
    </row>
    <row r="80">
      <c r="A80" s="5"/>
      <c r="B80" s="5"/>
      <c r="D80" s="5"/>
    </row>
    <row r="81">
      <c r="A81" s="5"/>
      <c r="B81" s="5"/>
      <c r="D81" s="5"/>
    </row>
    <row r="82">
      <c r="A82" s="5"/>
      <c r="B82" s="5"/>
      <c r="D82" s="5"/>
    </row>
    <row r="83">
      <c r="A83" s="5"/>
      <c r="B83" s="5"/>
      <c r="D83" s="5"/>
    </row>
    <row r="84">
      <c r="A84" s="5"/>
      <c r="B84" s="5"/>
      <c r="D84" s="5"/>
    </row>
    <row r="85">
      <c r="A85" s="5"/>
      <c r="B85" s="5"/>
      <c r="D85" s="5"/>
    </row>
    <row r="86">
      <c r="A86" s="5"/>
      <c r="B86" s="5"/>
      <c r="D86" s="5"/>
    </row>
    <row r="87">
      <c r="A87" s="5"/>
      <c r="B87" s="5"/>
      <c r="D87" s="5"/>
    </row>
    <row r="88">
      <c r="A88" s="5"/>
      <c r="B88" s="5"/>
      <c r="D88" s="5"/>
    </row>
    <row r="89">
      <c r="A89" s="5"/>
      <c r="B89" s="5"/>
      <c r="D89" s="5"/>
    </row>
    <row r="90">
      <c r="A90" s="5"/>
      <c r="B90" s="5"/>
      <c r="D90" s="5"/>
    </row>
    <row r="91">
      <c r="A91" s="5"/>
      <c r="B91" s="5"/>
      <c r="D91" s="5"/>
    </row>
    <row r="92">
      <c r="A92" s="5"/>
      <c r="B92" s="5"/>
      <c r="D92" s="5"/>
    </row>
    <row r="93">
      <c r="A93" s="5"/>
      <c r="B93" s="5"/>
      <c r="D93" s="5"/>
    </row>
    <row r="94">
      <c r="A94" s="5"/>
      <c r="B94" s="5"/>
      <c r="D94" s="5"/>
    </row>
    <row r="95">
      <c r="A95" s="5"/>
      <c r="B95" s="5"/>
      <c r="D95" s="5"/>
    </row>
    <row r="96">
      <c r="A96" s="5"/>
      <c r="B96" s="5"/>
      <c r="D96" s="5"/>
    </row>
    <row r="97">
      <c r="A97" s="5"/>
      <c r="B97" s="5"/>
      <c r="D97" s="5"/>
    </row>
    <row r="98">
      <c r="A98" s="5"/>
      <c r="B98" s="5"/>
      <c r="D98" s="5"/>
    </row>
    <row r="99">
      <c r="A99" s="5"/>
      <c r="B99" s="5"/>
      <c r="D99" s="5"/>
    </row>
    <row r="100">
      <c r="A100" s="5"/>
      <c r="B100" s="5"/>
      <c r="D100" s="5"/>
    </row>
    <row r="101">
      <c r="A101" s="5"/>
      <c r="B101" s="5"/>
      <c r="D101" s="5"/>
    </row>
    <row r="102">
      <c r="A102" s="5"/>
      <c r="B102" s="5"/>
      <c r="D102" s="5"/>
    </row>
    <row r="103">
      <c r="A103" s="5"/>
      <c r="B103" s="5"/>
      <c r="D103" s="5"/>
    </row>
    <row r="104">
      <c r="A104" s="5"/>
      <c r="B104" s="5"/>
      <c r="D104" s="5"/>
    </row>
    <row r="105">
      <c r="A105" s="5"/>
      <c r="B105" s="5"/>
      <c r="D105" s="5"/>
    </row>
    <row r="106">
      <c r="A106" s="5"/>
      <c r="B106" s="5"/>
      <c r="D106" s="5"/>
    </row>
    <row r="107">
      <c r="A107" s="5"/>
      <c r="B107" s="5"/>
      <c r="D107" s="5"/>
    </row>
    <row r="108">
      <c r="A108" s="5"/>
      <c r="B108" s="5"/>
      <c r="D108" s="5"/>
    </row>
    <row r="109">
      <c r="A109" s="5"/>
      <c r="B109" s="5"/>
      <c r="D109" s="5"/>
    </row>
    <row r="110">
      <c r="A110" s="5"/>
      <c r="B110" s="5"/>
      <c r="D110" s="5"/>
    </row>
    <row r="111">
      <c r="A111" s="5"/>
      <c r="B111" s="5"/>
      <c r="D111" s="5"/>
    </row>
    <row r="112">
      <c r="A112" s="5"/>
      <c r="B112" s="5"/>
      <c r="D112" s="5"/>
    </row>
    <row r="113">
      <c r="A113" s="5"/>
      <c r="B113" s="5"/>
      <c r="D113" s="5"/>
    </row>
    <row r="114">
      <c r="A114" s="5"/>
      <c r="B114" s="5"/>
      <c r="D114" s="5"/>
    </row>
    <row r="115">
      <c r="A115" s="5"/>
      <c r="B115" s="5"/>
      <c r="D115" s="5"/>
    </row>
    <row r="116">
      <c r="A116" s="5"/>
      <c r="B116" s="5"/>
      <c r="D116" s="5"/>
    </row>
    <row r="117">
      <c r="A117" s="5"/>
      <c r="B117" s="5"/>
      <c r="D117" s="5"/>
    </row>
    <row r="118">
      <c r="A118" s="5"/>
      <c r="B118" s="5"/>
      <c r="D118" s="5"/>
    </row>
    <row r="119">
      <c r="A119" s="5"/>
      <c r="B119" s="5"/>
      <c r="D119" s="5"/>
    </row>
    <row r="120">
      <c r="A120" s="5"/>
      <c r="B120" s="5"/>
      <c r="D120" s="5"/>
    </row>
    <row r="121">
      <c r="A121" s="5"/>
      <c r="B121" s="5"/>
      <c r="D121" s="5"/>
    </row>
    <row r="122">
      <c r="A122" s="5"/>
      <c r="B122" s="5"/>
      <c r="D122" s="5"/>
    </row>
    <row r="123">
      <c r="A123" s="5"/>
      <c r="B123" s="5"/>
      <c r="D123" s="5"/>
    </row>
    <row r="124">
      <c r="A124" s="5"/>
      <c r="B124" s="5"/>
      <c r="D124" s="5"/>
    </row>
    <row r="125">
      <c r="A125" s="5"/>
      <c r="B125" s="5"/>
      <c r="D125" s="5"/>
    </row>
    <row r="126">
      <c r="A126" s="5"/>
      <c r="B126" s="5"/>
      <c r="D126" s="5"/>
    </row>
    <row r="127">
      <c r="A127" s="5"/>
      <c r="B127" s="5"/>
      <c r="D127" s="5"/>
    </row>
    <row r="128">
      <c r="A128" s="5"/>
      <c r="B128" s="5"/>
      <c r="D128" s="5"/>
    </row>
    <row r="129">
      <c r="A129" s="5"/>
      <c r="B129" s="5"/>
      <c r="D129" s="5"/>
    </row>
    <row r="130">
      <c r="A130" s="5"/>
      <c r="B130" s="5"/>
      <c r="D130" s="5"/>
    </row>
    <row r="131">
      <c r="A131" s="5"/>
      <c r="B131" s="5"/>
      <c r="D131" s="5"/>
    </row>
    <row r="132">
      <c r="A132" s="5"/>
      <c r="B132" s="5"/>
      <c r="D132" s="5"/>
    </row>
    <row r="133">
      <c r="A133" s="5"/>
      <c r="B133" s="5"/>
      <c r="D133" s="5"/>
    </row>
    <row r="134">
      <c r="A134" s="5"/>
      <c r="B134" s="5"/>
      <c r="D134" s="5"/>
    </row>
    <row r="135">
      <c r="A135" s="5"/>
      <c r="B135" s="5"/>
      <c r="D135" s="5"/>
    </row>
    <row r="136">
      <c r="A136" s="5"/>
      <c r="B136" s="5"/>
      <c r="D136" s="5"/>
    </row>
    <row r="137">
      <c r="A137" s="5"/>
      <c r="B137" s="5"/>
      <c r="D137" s="5"/>
    </row>
    <row r="138">
      <c r="A138" s="5"/>
      <c r="B138" s="5"/>
      <c r="D138" s="5"/>
    </row>
    <row r="139">
      <c r="A139" s="5"/>
      <c r="B139" s="5"/>
      <c r="D139" s="5"/>
    </row>
    <row r="140">
      <c r="A140" s="5"/>
      <c r="B140" s="5"/>
      <c r="D140" s="5"/>
    </row>
    <row r="141">
      <c r="A141" s="5"/>
      <c r="B141" s="5"/>
      <c r="D141" s="5"/>
    </row>
    <row r="142">
      <c r="A142" s="5"/>
      <c r="B142" s="5"/>
      <c r="D142" s="5"/>
    </row>
    <row r="143">
      <c r="A143" s="5"/>
      <c r="B143" s="5"/>
      <c r="D143" s="5"/>
    </row>
    <row r="144">
      <c r="A144" s="5"/>
      <c r="B144" s="5"/>
      <c r="D144" s="5"/>
    </row>
    <row r="145">
      <c r="A145" s="5"/>
      <c r="B145" s="5"/>
      <c r="D145" s="5"/>
    </row>
    <row r="146">
      <c r="A146" s="5"/>
      <c r="B146" s="5"/>
      <c r="D146" s="5"/>
    </row>
    <row r="147">
      <c r="A147" s="5"/>
      <c r="B147" s="5"/>
      <c r="D147" s="5"/>
    </row>
    <row r="148">
      <c r="A148" s="5"/>
      <c r="B148" s="5"/>
      <c r="D148" s="5"/>
    </row>
    <row r="149">
      <c r="A149" s="5"/>
      <c r="B149" s="5"/>
      <c r="D149" s="5"/>
    </row>
    <row r="150">
      <c r="A150" s="5"/>
      <c r="B150" s="5"/>
      <c r="D150" s="5"/>
    </row>
    <row r="151">
      <c r="A151" s="5"/>
      <c r="B151" s="5"/>
      <c r="D151" s="5"/>
    </row>
    <row r="152">
      <c r="A152" s="5"/>
      <c r="B152" s="5"/>
      <c r="D152" s="5"/>
    </row>
    <row r="153">
      <c r="A153" s="5"/>
      <c r="B153" s="5"/>
      <c r="D153" s="5"/>
    </row>
    <row r="154">
      <c r="A154" s="5"/>
      <c r="B154" s="5"/>
      <c r="D154" s="5"/>
    </row>
    <row r="155">
      <c r="A155" s="5"/>
      <c r="B155" s="5"/>
      <c r="D155" s="5"/>
    </row>
    <row r="156">
      <c r="A156" s="5"/>
      <c r="B156" s="5"/>
      <c r="D156" s="5"/>
    </row>
    <row r="157">
      <c r="A157" s="5"/>
      <c r="B157" s="5"/>
      <c r="D157" s="5"/>
    </row>
    <row r="158">
      <c r="A158" s="5"/>
      <c r="B158" s="5"/>
      <c r="D158" s="5"/>
    </row>
    <row r="159">
      <c r="A159" s="5"/>
      <c r="B159" s="5"/>
      <c r="D159" s="5"/>
    </row>
    <row r="160">
      <c r="A160" s="5"/>
      <c r="B160" s="5"/>
      <c r="D160" s="5"/>
    </row>
    <row r="161">
      <c r="A161" s="5"/>
      <c r="B161" s="5"/>
      <c r="D161" s="5"/>
    </row>
    <row r="162">
      <c r="A162" s="5"/>
      <c r="B162" s="5"/>
      <c r="D162" s="5"/>
    </row>
    <row r="163">
      <c r="A163" s="5"/>
      <c r="B163" s="5"/>
      <c r="D163" s="5"/>
    </row>
    <row r="164">
      <c r="A164" s="5"/>
      <c r="B164" s="5"/>
      <c r="D164" s="5"/>
    </row>
    <row r="165">
      <c r="A165" s="5"/>
      <c r="B165" s="5"/>
      <c r="D165" s="5"/>
    </row>
    <row r="166">
      <c r="A166" s="5"/>
      <c r="B166" s="5"/>
      <c r="D166" s="5"/>
    </row>
    <row r="167">
      <c r="A167" s="5"/>
      <c r="B167" s="5"/>
      <c r="D167" s="5"/>
    </row>
    <row r="168">
      <c r="A168" s="5"/>
      <c r="B168" s="5"/>
      <c r="D168" s="5"/>
    </row>
    <row r="169">
      <c r="A169" s="5"/>
      <c r="B169" s="5"/>
      <c r="D169" s="5"/>
    </row>
    <row r="170">
      <c r="A170" s="5"/>
      <c r="B170" s="5"/>
      <c r="D170" s="5"/>
    </row>
    <row r="171">
      <c r="A171" s="5"/>
      <c r="B171" s="5"/>
      <c r="D171" s="5"/>
    </row>
    <row r="172">
      <c r="A172" s="5"/>
      <c r="B172" s="5"/>
      <c r="D172" s="5"/>
    </row>
    <row r="173">
      <c r="A173" s="5"/>
      <c r="B173" s="5"/>
      <c r="D173" s="5"/>
    </row>
    <row r="174">
      <c r="A174" s="5"/>
      <c r="B174" s="5"/>
      <c r="D174" s="5"/>
    </row>
    <row r="175">
      <c r="A175" s="5"/>
      <c r="B175" s="5"/>
      <c r="D175" s="5"/>
    </row>
    <row r="176">
      <c r="A176" s="5"/>
      <c r="B176" s="5"/>
      <c r="D176" s="5"/>
    </row>
    <row r="177">
      <c r="A177" s="5"/>
      <c r="B177" s="5"/>
      <c r="D177" s="5"/>
    </row>
    <row r="178">
      <c r="A178" s="5"/>
      <c r="B178" s="5"/>
      <c r="D178" s="5"/>
    </row>
    <row r="179">
      <c r="A179" s="5"/>
      <c r="B179" s="5"/>
      <c r="D179" s="5"/>
    </row>
    <row r="180">
      <c r="A180" s="5"/>
      <c r="B180" s="5"/>
      <c r="D180" s="5"/>
    </row>
    <row r="181">
      <c r="A181" s="5"/>
      <c r="B181" s="5"/>
      <c r="D181" s="5"/>
    </row>
    <row r="182">
      <c r="A182" s="5"/>
      <c r="B182" s="5"/>
      <c r="D182" s="5"/>
    </row>
    <row r="183">
      <c r="A183" s="5"/>
      <c r="B183" s="5"/>
      <c r="D183" s="5"/>
    </row>
    <row r="184">
      <c r="A184" s="5"/>
      <c r="B184" s="5"/>
      <c r="D184" s="5"/>
    </row>
    <row r="185">
      <c r="A185" s="5"/>
      <c r="B185" s="5"/>
      <c r="D185" s="5"/>
    </row>
    <row r="186">
      <c r="A186" s="5"/>
      <c r="B186" s="5"/>
      <c r="D186" s="5"/>
    </row>
    <row r="187">
      <c r="A187" s="5"/>
      <c r="B187" s="5"/>
      <c r="D187" s="5"/>
    </row>
    <row r="188">
      <c r="A188" s="5"/>
      <c r="B188" s="5"/>
      <c r="D188" s="5"/>
    </row>
    <row r="189">
      <c r="A189" s="5"/>
      <c r="B189" s="5"/>
      <c r="D189" s="5"/>
    </row>
    <row r="190">
      <c r="A190" s="5"/>
      <c r="B190" s="5"/>
      <c r="D190" s="5"/>
    </row>
    <row r="191">
      <c r="A191" s="5"/>
      <c r="B191" s="5"/>
      <c r="D191" s="5"/>
    </row>
    <row r="192">
      <c r="A192" s="5"/>
      <c r="B192" s="5"/>
      <c r="D192" s="5"/>
    </row>
    <row r="193">
      <c r="A193" s="5"/>
      <c r="B193" s="5"/>
      <c r="D193" s="5"/>
    </row>
    <row r="194">
      <c r="A194" s="5"/>
      <c r="B194" s="5"/>
      <c r="D194" s="5"/>
    </row>
    <row r="195">
      <c r="A195" s="5"/>
      <c r="B195" s="5"/>
      <c r="D195" s="5"/>
    </row>
    <row r="196">
      <c r="A196" s="5"/>
      <c r="B196" s="5"/>
      <c r="D196" s="5"/>
    </row>
    <row r="197">
      <c r="A197" s="5"/>
      <c r="B197" s="5"/>
      <c r="D197" s="5"/>
    </row>
    <row r="198">
      <c r="A198" s="5"/>
      <c r="B198" s="5"/>
      <c r="D198" s="5"/>
    </row>
    <row r="199">
      <c r="A199" s="5"/>
      <c r="B199" s="5"/>
      <c r="D199" s="5"/>
    </row>
    <row r="200">
      <c r="A200" s="5"/>
      <c r="B200" s="5"/>
      <c r="D200" s="5"/>
    </row>
    <row r="201">
      <c r="A201" s="5"/>
      <c r="B201" s="5"/>
      <c r="D201" s="5"/>
    </row>
    <row r="202">
      <c r="A202" s="5"/>
      <c r="B202" s="5"/>
      <c r="D202" s="5"/>
    </row>
    <row r="203">
      <c r="A203" s="5"/>
      <c r="B203" s="5"/>
      <c r="D203" s="5"/>
    </row>
    <row r="204">
      <c r="A204" s="5"/>
      <c r="B204" s="5"/>
      <c r="D204" s="5"/>
    </row>
    <row r="205">
      <c r="A205" s="5"/>
      <c r="B205" s="5"/>
      <c r="D205" s="5"/>
    </row>
    <row r="206">
      <c r="A206" s="5"/>
      <c r="B206" s="5"/>
      <c r="D206" s="5"/>
    </row>
    <row r="207">
      <c r="A207" s="5"/>
      <c r="B207" s="5"/>
      <c r="D207" s="5"/>
    </row>
    <row r="208">
      <c r="A208" s="5"/>
      <c r="B208" s="5"/>
      <c r="D208" s="5"/>
    </row>
    <row r="209">
      <c r="A209" s="5"/>
      <c r="B209" s="5"/>
      <c r="D209" s="5"/>
    </row>
    <row r="210">
      <c r="A210" s="5"/>
      <c r="B210" s="5"/>
      <c r="D210" s="5"/>
    </row>
    <row r="211">
      <c r="A211" s="5"/>
      <c r="B211" s="5"/>
      <c r="D211" s="5"/>
    </row>
    <row r="212">
      <c r="A212" s="5"/>
      <c r="B212" s="5"/>
      <c r="D212" s="5"/>
    </row>
    <row r="213">
      <c r="A213" s="5"/>
      <c r="B213" s="5"/>
      <c r="D213" s="5"/>
    </row>
    <row r="214">
      <c r="A214" s="5"/>
      <c r="B214" s="5"/>
      <c r="D214" s="5"/>
    </row>
    <row r="215">
      <c r="A215" s="5"/>
      <c r="B215" s="5"/>
      <c r="D215" s="5"/>
    </row>
    <row r="216">
      <c r="A216" s="5"/>
      <c r="B216" s="5"/>
      <c r="D216" s="5"/>
    </row>
    <row r="217">
      <c r="A217" s="5"/>
      <c r="B217" s="5"/>
      <c r="D217" s="5"/>
    </row>
    <row r="218">
      <c r="A218" s="5"/>
      <c r="B218" s="5"/>
      <c r="D218" s="5"/>
    </row>
    <row r="219">
      <c r="A219" s="5"/>
      <c r="B219" s="5"/>
      <c r="D219" s="5"/>
    </row>
    <row r="220">
      <c r="A220" s="5"/>
      <c r="B220" s="5"/>
      <c r="D220" s="5"/>
    </row>
    <row r="221">
      <c r="A221" s="5"/>
      <c r="B221" s="5"/>
      <c r="D221" s="5"/>
    </row>
    <row r="222">
      <c r="A222" s="5"/>
      <c r="B222" s="5"/>
      <c r="D222" s="5"/>
    </row>
    <row r="223">
      <c r="A223" s="5"/>
      <c r="B223" s="5"/>
      <c r="D223" s="5"/>
    </row>
    <row r="224">
      <c r="A224" s="5"/>
      <c r="B224" s="5"/>
      <c r="D224" s="5"/>
    </row>
    <row r="225">
      <c r="A225" s="5"/>
      <c r="B225" s="5"/>
      <c r="D225" s="5"/>
    </row>
    <row r="226">
      <c r="A226" s="5"/>
      <c r="B226" s="5"/>
      <c r="D226" s="5"/>
    </row>
    <row r="227">
      <c r="A227" s="5"/>
      <c r="B227" s="5"/>
      <c r="D227" s="5"/>
    </row>
    <row r="228">
      <c r="A228" s="5"/>
      <c r="B228" s="5"/>
      <c r="D228" s="5"/>
    </row>
    <row r="229">
      <c r="A229" s="5"/>
      <c r="B229" s="5"/>
      <c r="D229" s="5"/>
    </row>
    <row r="230">
      <c r="A230" s="5"/>
      <c r="B230" s="5"/>
      <c r="D230" s="5"/>
    </row>
    <row r="231">
      <c r="A231" s="5"/>
      <c r="B231" s="5"/>
      <c r="D231" s="5"/>
    </row>
    <row r="232">
      <c r="A232" s="5"/>
      <c r="B232" s="5"/>
      <c r="D232" s="5"/>
    </row>
    <row r="233">
      <c r="A233" s="5"/>
      <c r="B233" s="5"/>
      <c r="D233" s="5"/>
    </row>
    <row r="234">
      <c r="A234" s="5"/>
      <c r="B234" s="5"/>
      <c r="D234" s="5"/>
    </row>
    <row r="235">
      <c r="A235" s="5"/>
      <c r="B235" s="5"/>
      <c r="D235" s="5"/>
    </row>
    <row r="236">
      <c r="A236" s="5"/>
      <c r="B236" s="5"/>
      <c r="D236" s="5"/>
    </row>
    <row r="237">
      <c r="A237" s="5"/>
      <c r="B237" s="5"/>
      <c r="D237" s="5"/>
    </row>
    <row r="238">
      <c r="A238" s="5"/>
      <c r="B238" s="5"/>
      <c r="D238" s="5"/>
    </row>
    <row r="239">
      <c r="A239" s="5"/>
      <c r="B239" s="5"/>
      <c r="D239" s="5"/>
    </row>
    <row r="240">
      <c r="A240" s="5"/>
      <c r="B240" s="5"/>
      <c r="D240" s="5"/>
    </row>
    <row r="241">
      <c r="A241" s="5"/>
      <c r="B241" s="5"/>
      <c r="D241" s="5"/>
    </row>
    <row r="242">
      <c r="A242" s="5"/>
      <c r="B242" s="5"/>
      <c r="D242" s="5"/>
    </row>
    <row r="243">
      <c r="A243" s="5"/>
      <c r="B243" s="5"/>
      <c r="D243" s="5"/>
    </row>
    <row r="244">
      <c r="A244" s="5"/>
      <c r="B244" s="5"/>
      <c r="D244" s="5"/>
    </row>
    <row r="245">
      <c r="A245" s="5"/>
      <c r="B245" s="5"/>
      <c r="D245" s="5"/>
    </row>
    <row r="246">
      <c r="A246" s="5"/>
      <c r="B246" s="5"/>
      <c r="D246" s="5"/>
    </row>
    <row r="247">
      <c r="A247" s="5"/>
      <c r="B247" s="5"/>
      <c r="D247" s="5"/>
    </row>
    <row r="248">
      <c r="A248" s="5"/>
      <c r="B248" s="5"/>
      <c r="D248" s="5"/>
    </row>
    <row r="249">
      <c r="A249" s="5"/>
      <c r="B249" s="5"/>
      <c r="D249" s="5"/>
    </row>
    <row r="250">
      <c r="A250" s="5"/>
      <c r="B250" s="5"/>
      <c r="D250" s="5"/>
    </row>
    <row r="251">
      <c r="A251" s="5"/>
      <c r="B251" s="5"/>
      <c r="D251" s="5"/>
    </row>
    <row r="252">
      <c r="A252" s="5"/>
      <c r="B252" s="5"/>
      <c r="D252" s="5"/>
    </row>
    <row r="253">
      <c r="A253" s="5"/>
      <c r="B253" s="5"/>
      <c r="D253" s="5"/>
    </row>
    <row r="254">
      <c r="A254" s="5"/>
      <c r="B254" s="5"/>
      <c r="D254" s="5"/>
    </row>
    <row r="255">
      <c r="A255" s="5"/>
      <c r="B255" s="5"/>
      <c r="D255" s="5"/>
    </row>
    <row r="256">
      <c r="A256" s="5"/>
      <c r="B256" s="5"/>
      <c r="D256" s="5"/>
    </row>
    <row r="257">
      <c r="A257" s="5"/>
      <c r="B257" s="5"/>
      <c r="D257" s="5"/>
    </row>
    <row r="258">
      <c r="A258" s="5"/>
      <c r="B258" s="5"/>
      <c r="D258" s="5"/>
    </row>
    <row r="259">
      <c r="A259" s="5"/>
      <c r="B259" s="5"/>
      <c r="D259" s="5"/>
    </row>
    <row r="260">
      <c r="A260" s="5"/>
      <c r="B260" s="5"/>
      <c r="D260" s="5"/>
    </row>
    <row r="261">
      <c r="A261" s="5"/>
      <c r="B261" s="5"/>
      <c r="D261" s="5"/>
    </row>
    <row r="262">
      <c r="A262" s="5"/>
      <c r="B262" s="5"/>
      <c r="D262" s="5"/>
    </row>
    <row r="263">
      <c r="A263" s="5"/>
      <c r="B263" s="5"/>
      <c r="D263" s="5"/>
    </row>
    <row r="264">
      <c r="A264" s="5"/>
      <c r="B264" s="5"/>
      <c r="D264" s="5"/>
    </row>
    <row r="265">
      <c r="A265" s="5"/>
      <c r="B265" s="5"/>
      <c r="D265" s="5"/>
    </row>
    <row r="266">
      <c r="A266" s="5"/>
      <c r="B266" s="5"/>
      <c r="D266" s="5"/>
    </row>
    <row r="267">
      <c r="A267" s="5"/>
      <c r="B267" s="5"/>
      <c r="D267" s="5"/>
    </row>
    <row r="268">
      <c r="A268" s="5"/>
      <c r="B268" s="5"/>
      <c r="D268" s="5"/>
    </row>
    <row r="269">
      <c r="A269" s="5"/>
      <c r="B269" s="5"/>
      <c r="D269" s="5"/>
    </row>
    <row r="270">
      <c r="A270" s="5"/>
      <c r="B270" s="5"/>
      <c r="D270" s="5"/>
    </row>
    <row r="271">
      <c r="A271" s="5"/>
      <c r="B271" s="5"/>
      <c r="D271" s="5"/>
    </row>
    <row r="272">
      <c r="A272" s="5"/>
      <c r="B272" s="5"/>
      <c r="D272" s="5"/>
    </row>
    <row r="273">
      <c r="A273" s="5"/>
      <c r="B273" s="5"/>
      <c r="D273" s="5"/>
    </row>
    <row r="274">
      <c r="A274" s="5"/>
      <c r="B274" s="5"/>
      <c r="D274" s="5"/>
    </row>
    <row r="275">
      <c r="A275" s="5"/>
      <c r="B275" s="5"/>
      <c r="D275" s="5"/>
    </row>
    <row r="276">
      <c r="A276" s="5"/>
      <c r="B276" s="5"/>
      <c r="D276" s="5"/>
    </row>
    <row r="277">
      <c r="A277" s="5"/>
      <c r="B277" s="5"/>
      <c r="D277" s="5"/>
    </row>
    <row r="278">
      <c r="A278" s="5"/>
      <c r="B278" s="5"/>
      <c r="D278" s="5"/>
    </row>
    <row r="279">
      <c r="A279" s="5"/>
      <c r="B279" s="5"/>
      <c r="D279" s="5"/>
    </row>
    <row r="280">
      <c r="A280" s="5"/>
      <c r="B280" s="5"/>
      <c r="D280" s="5"/>
    </row>
    <row r="281">
      <c r="A281" s="5"/>
      <c r="B281" s="5"/>
      <c r="D281" s="5"/>
    </row>
    <row r="282">
      <c r="A282" s="5"/>
      <c r="B282" s="5"/>
      <c r="D282" s="5"/>
    </row>
    <row r="283">
      <c r="A283" s="5"/>
      <c r="B283" s="5"/>
      <c r="D283" s="5"/>
    </row>
    <row r="284">
      <c r="A284" s="5"/>
      <c r="B284" s="5"/>
      <c r="D284" s="5"/>
    </row>
    <row r="285">
      <c r="A285" s="5"/>
      <c r="B285" s="5"/>
      <c r="D285" s="5"/>
    </row>
    <row r="286">
      <c r="A286" s="5"/>
      <c r="B286" s="5"/>
      <c r="D286" s="5"/>
    </row>
    <row r="287">
      <c r="A287" s="5"/>
      <c r="B287" s="5"/>
      <c r="D287" s="5"/>
    </row>
    <row r="288">
      <c r="A288" s="5"/>
      <c r="B288" s="5"/>
      <c r="D288" s="5"/>
    </row>
    <row r="289">
      <c r="A289" s="5"/>
      <c r="B289" s="5"/>
      <c r="D289" s="5"/>
    </row>
    <row r="290">
      <c r="A290" s="5"/>
      <c r="B290" s="5"/>
      <c r="D290" s="5"/>
    </row>
    <row r="291">
      <c r="A291" s="5"/>
      <c r="B291" s="5"/>
      <c r="D291" s="5"/>
    </row>
    <row r="292">
      <c r="A292" s="5"/>
      <c r="B292" s="5"/>
      <c r="D292" s="5"/>
    </row>
    <row r="293">
      <c r="A293" s="5"/>
      <c r="B293" s="5"/>
      <c r="D293" s="5"/>
    </row>
    <row r="294">
      <c r="A294" s="5"/>
      <c r="B294" s="5"/>
      <c r="D294" s="5"/>
    </row>
    <row r="295">
      <c r="A295" s="5"/>
      <c r="B295" s="5"/>
      <c r="D295" s="5"/>
    </row>
    <row r="296">
      <c r="A296" s="5"/>
      <c r="B296" s="5"/>
      <c r="D296" s="5"/>
    </row>
    <row r="297">
      <c r="A297" s="5"/>
      <c r="B297" s="5"/>
      <c r="D297" s="5"/>
    </row>
    <row r="298">
      <c r="A298" s="5"/>
      <c r="B298" s="5"/>
      <c r="D298" s="5"/>
    </row>
    <row r="299">
      <c r="A299" s="5"/>
      <c r="B299" s="5"/>
      <c r="D299" s="5"/>
    </row>
    <row r="300">
      <c r="A300" s="5"/>
      <c r="B300" s="5"/>
      <c r="D300" s="5"/>
    </row>
    <row r="301">
      <c r="A301" s="5"/>
      <c r="B301" s="5"/>
      <c r="D301" s="5"/>
    </row>
    <row r="302">
      <c r="A302" s="5"/>
      <c r="B302" s="5"/>
      <c r="D302" s="5"/>
    </row>
    <row r="303">
      <c r="A303" s="5"/>
      <c r="B303" s="5"/>
      <c r="D303" s="5"/>
    </row>
    <row r="304">
      <c r="A304" s="5"/>
      <c r="B304" s="5"/>
      <c r="D304" s="5"/>
    </row>
    <row r="305">
      <c r="A305" s="5"/>
      <c r="B305" s="5"/>
      <c r="D305" s="5"/>
    </row>
    <row r="306">
      <c r="A306" s="5"/>
      <c r="B306" s="5"/>
      <c r="D306" s="5"/>
    </row>
    <row r="307">
      <c r="A307" s="5"/>
      <c r="B307" s="5"/>
      <c r="D307" s="5"/>
    </row>
    <row r="308">
      <c r="A308" s="5"/>
      <c r="B308" s="5"/>
      <c r="D308" s="5"/>
    </row>
    <row r="309">
      <c r="A309" s="5"/>
      <c r="B309" s="5"/>
      <c r="D309" s="5"/>
    </row>
    <row r="310">
      <c r="A310" s="5"/>
      <c r="B310" s="5"/>
      <c r="D310" s="5"/>
    </row>
    <row r="311">
      <c r="A311" s="5"/>
      <c r="B311" s="5"/>
      <c r="D311" s="5"/>
    </row>
    <row r="312">
      <c r="A312" s="5"/>
      <c r="B312" s="5"/>
      <c r="D312" s="5"/>
    </row>
    <row r="313">
      <c r="A313" s="5"/>
      <c r="B313" s="5"/>
      <c r="D313" s="5"/>
    </row>
    <row r="314">
      <c r="A314" s="5"/>
      <c r="B314" s="5"/>
      <c r="D314" s="5"/>
    </row>
    <row r="315">
      <c r="A315" s="5"/>
      <c r="B315" s="5"/>
      <c r="D315" s="5"/>
    </row>
    <row r="316">
      <c r="A316" s="5"/>
      <c r="B316" s="5"/>
      <c r="D316" s="5"/>
    </row>
    <row r="317">
      <c r="A317" s="5"/>
      <c r="B317" s="5"/>
      <c r="D317" s="5"/>
    </row>
    <row r="318">
      <c r="A318" s="5"/>
      <c r="B318" s="5"/>
      <c r="D318" s="5"/>
    </row>
    <row r="319">
      <c r="A319" s="5"/>
      <c r="B319" s="5"/>
      <c r="D319" s="5"/>
    </row>
    <row r="320">
      <c r="A320" s="5"/>
      <c r="B320" s="5"/>
      <c r="D320" s="5"/>
    </row>
    <row r="321">
      <c r="A321" s="5"/>
      <c r="B321" s="5"/>
      <c r="D321" s="5"/>
    </row>
    <row r="322">
      <c r="A322" s="5"/>
      <c r="B322" s="5"/>
      <c r="D322" s="5"/>
    </row>
    <row r="323">
      <c r="A323" s="5"/>
      <c r="B323" s="5"/>
      <c r="D323" s="5"/>
    </row>
    <row r="324">
      <c r="A324" s="5"/>
      <c r="B324" s="5"/>
      <c r="D324" s="5"/>
    </row>
    <row r="325">
      <c r="A325" s="5"/>
      <c r="B325" s="5"/>
      <c r="D325" s="5"/>
    </row>
    <row r="326">
      <c r="A326" s="5"/>
      <c r="B326" s="5"/>
      <c r="D326" s="5"/>
    </row>
    <row r="327">
      <c r="A327" s="5"/>
      <c r="B327" s="5"/>
      <c r="D327" s="5"/>
    </row>
    <row r="328">
      <c r="A328" s="5"/>
      <c r="B328" s="5"/>
      <c r="D328" s="5"/>
    </row>
    <row r="329">
      <c r="A329" s="5"/>
      <c r="B329" s="5"/>
      <c r="D329" s="5"/>
    </row>
    <row r="330">
      <c r="A330" s="5"/>
      <c r="B330" s="5"/>
      <c r="D330" s="5"/>
    </row>
    <row r="331">
      <c r="A331" s="5"/>
      <c r="B331" s="5"/>
      <c r="D331" s="5"/>
    </row>
    <row r="332">
      <c r="A332" s="5"/>
      <c r="B332" s="5"/>
      <c r="D332" s="5"/>
    </row>
    <row r="333">
      <c r="A333" s="5"/>
      <c r="B333" s="5"/>
      <c r="D333" s="5"/>
    </row>
    <row r="334">
      <c r="A334" s="5"/>
      <c r="B334" s="5"/>
      <c r="D334" s="5"/>
    </row>
    <row r="335">
      <c r="A335" s="5"/>
      <c r="B335" s="5"/>
      <c r="D335" s="5"/>
    </row>
    <row r="336">
      <c r="A336" s="5"/>
      <c r="B336" s="5"/>
      <c r="D336" s="5"/>
    </row>
    <row r="337">
      <c r="A337" s="5"/>
      <c r="B337" s="5"/>
      <c r="D337" s="5"/>
    </row>
    <row r="338">
      <c r="A338" s="5"/>
      <c r="B338" s="5"/>
      <c r="D338" s="5"/>
    </row>
    <row r="339">
      <c r="A339" s="5"/>
      <c r="B339" s="5"/>
      <c r="D339" s="5"/>
    </row>
    <row r="340">
      <c r="A340" s="5"/>
      <c r="B340" s="5"/>
      <c r="D340" s="5"/>
    </row>
    <row r="341">
      <c r="A341" s="5"/>
      <c r="B341" s="5"/>
      <c r="D341" s="5"/>
    </row>
    <row r="342">
      <c r="A342" s="5"/>
      <c r="B342" s="5"/>
      <c r="D342" s="5"/>
    </row>
    <row r="343">
      <c r="A343" s="5"/>
      <c r="B343" s="5"/>
      <c r="D343" s="5"/>
    </row>
    <row r="344">
      <c r="A344" s="5"/>
      <c r="B344" s="5"/>
      <c r="D344" s="5"/>
    </row>
    <row r="345">
      <c r="A345" s="5"/>
      <c r="B345" s="5"/>
      <c r="D345" s="5"/>
    </row>
    <row r="346">
      <c r="A346" s="5"/>
      <c r="B346" s="5"/>
      <c r="D346" s="5"/>
    </row>
    <row r="347">
      <c r="A347" s="5"/>
      <c r="B347" s="5"/>
      <c r="D347" s="5"/>
    </row>
    <row r="348">
      <c r="A348" s="5"/>
      <c r="B348" s="5"/>
      <c r="D348" s="5"/>
    </row>
    <row r="349">
      <c r="A349" s="5"/>
      <c r="B349" s="5"/>
      <c r="D349" s="5"/>
    </row>
    <row r="350">
      <c r="A350" s="5"/>
      <c r="B350" s="5"/>
      <c r="D350" s="5"/>
    </row>
    <row r="351">
      <c r="A351" s="5"/>
      <c r="B351" s="5"/>
      <c r="D351" s="5"/>
    </row>
    <row r="352">
      <c r="A352" s="5"/>
      <c r="B352" s="5"/>
      <c r="D352" s="5"/>
    </row>
    <row r="353">
      <c r="A353" s="5"/>
      <c r="B353" s="5"/>
      <c r="D353" s="5"/>
    </row>
    <row r="354">
      <c r="A354" s="5"/>
      <c r="B354" s="5"/>
      <c r="D354" s="5"/>
    </row>
    <row r="355">
      <c r="A355" s="5"/>
      <c r="B355" s="5"/>
      <c r="D355" s="5"/>
    </row>
    <row r="356">
      <c r="A356" s="5"/>
      <c r="B356" s="5"/>
      <c r="D356" s="5"/>
    </row>
    <row r="357">
      <c r="A357" s="5"/>
      <c r="B357" s="5"/>
      <c r="D357" s="5"/>
    </row>
    <row r="358">
      <c r="A358" s="5"/>
      <c r="B358" s="5"/>
      <c r="D358" s="5"/>
    </row>
    <row r="359">
      <c r="A359" s="5"/>
      <c r="B359" s="5"/>
      <c r="D359" s="5"/>
    </row>
    <row r="360">
      <c r="A360" s="5"/>
      <c r="B360" s="5"/>
      <c r="D360" s="5"/>
    </row>
    <row r="361">
      <c r="A361" s="5"/>
      <c r="B361" s="5"/>
      <c r="D361" s="5"/>
    </row>
    <row r="362">
      <c r="A362" s="5"/>
      <c r="B362" s="5"/>
      <c r="D362" s="5"/>
    </row>
    <row r="363">
      <c r="A363" s="5"/>
      <c r="B363" s="5"/>
      <c r="D363" s="5"/>
    </row>
    <row r="364">
      <c r="A364" s="5"/>
      <c r="B364" s="5"/>
      <c r="D364" s="5"/>
    </row>
    <row r="365">
      <c r="A365" s="5"/>
      <c r="B365" s="5"/>
      <c r="D365" s="5"/>
    </row>
    <row r="366">
      <c r="A366" s="5"/>
      <c r="B366" s="5"/>
      <c r="D366" s="5"/>
    </row>
    <row r="367">
      <c r="A367" s="5"/>
      <c r="B367" s="5"/>
      <c r="D367" s="5"/>
    </row>
    <row r="368">
      <c r="A368" s="5"/>
      <c r="B368" s="5"/>
      <c r="D368" s="5"/>
    </row>
    <row r="369">
      <c r="A369" s="5"/>
      <c r="B369" s="5"/>
      <c r="D369" s="5"/>
    </row>
    <row r="370">
      <c r="A370" s="5"/>
      <c r="B370" s="5"/>
      <c r="D370" s="5"/>
    </row>
    <row r="371">
      <c r="A371" s="5"/>
      <c r="B371" s="5"/>
      <c r="D371" s="5"/>
    </row>
    <row r="372">
      <c r="A372" s="5"/>
      <c r="B372" s="5"/>
      <c r="D372" s="5"/>
    </row>
    <row r="373">
      <c r="A373" s="5"/>
      <c r="B373" s="5"/>
      <c r="D373" s="5"/>
    </row>
    <row r="374">
      <c r="A374" s="5"/>
      <c r="B374" s="5"/>
      <c r="D374" s="5"/>
    </row>
    <row r="375">
      <c r="A375" s="5"/>
      <c r="B375" s="5"/>
      <c r="D375" s="5"/>
    </row>
    <row r="376">
      <c r="A376" s="5"/>
      <c r="B376" s="5"/>
      <c r="D376" s="5"/>
    </row>
    <row r="377">
      <c r="A377" s="5"/>
      <c r="B377" s="5"/>
      <c r="D377" s="5"/>
    </row>
    <row r="378">
      <c r="A378" s="5"/>
      <c r="B378" s="5"/>
      <c r="D378" s="5"/>
    </row>
    <row r="379">
      <c r="A379" s="5"/>
      <c r="B379" s="5"/>
      <c r="D379" s="5"/>
    </row>
    <row r="380">
      <c r="A380" s="5"/>
      <c r="B380" s="5"/>
      <c r="D380" s="5"/>
    </row>
    <row r="381">
      <c r="A381" s="5"/>
      <c r="B381" s="5"/>
      <c r="D381" s="5"/>
    </row>
    <row r="382">
      <c r="A382" s="5"/>
      <c r="B382" s="5"/>
      <c r="D382" s="5"/>
    </row>
    <row r="383">
      <c r="A383" s="5"/>
      <c r="B383" s="5"/>
      <c r="D383" s="5"/>
    </row>
    <row r="384">
      <c r="A384" s="5"/>
      <c r="B384" s="5"/>
      <c r="D384" s="5"/>
    </row>
    <row r="385">
      <c r="A385" s="5"/>
      <c r="B385" s="5"/>
      <c r="D385" s="5"/>
    </row>
    <row r="386">
      <c r="A386" s="5"/>
      <c r="B386" s="5"/>
      <c r="D386" s="5"/>
    </row>
    <row r="387">
      <c r="A387" s="5"/>
      <c r="B387" s="5"/>
      <c r="D387" s="5"/>
    </row>
    <row r="388">
      <c r="A388" s="5"/>
      <c r="B388" s="5"/>
      <c r="D388" s="5"/>
    </row>
    <row r="389">
      <c r="A389" s="5"/>
      <c r="B389" s="5"/>
      <c r="D389" s="5"/>
    </row>
    <row r="390">
      <c r="A390" s="5"/>
      <c r="B390" s="5"/>
      <c r="D390" s="5"/>
    </row>
    <row r="391">
      <c r="A391" s="5"/>
      <c r="B391" s="5"/>
      <c r="D391" s="5"/>
    </row>
    <row r="392">
      <c r="A392" s="5"/>
      <c r="B392" s="5"/>
      <c r="D392" s="5"/>
    </row>
    <row r="393">
      <c r="A393" s="5"/>
      <c r="B393" s="5"/>
      <c r="D393" s="5"/>
    </row>
    <row r="394">
      <c r="A394" s="5"/>
      <c r="B394" s="5"/>
      <c r="D394" s="5"/>
    </row>
    <row r="395">
      <c r="A395" s="5"/>
      <c r="B395" s="5"/>
      <c r="D395" s="5"/>
    </row>
    <row r="396">
      <c r="A396" s="5"/>
      <c r="B396" s="5"/>
      <c r="D396" s="5"/>
    </row>
    <row r="397">
      <c r="A397" s="5"/>
      <c r="B397" s="5"/>
      <c r="D397" s="5"/>
    </row>
    <row r="398">
      <c r="A398" s="5"/>
      <c r="B398" s="5"/>
      <c r="D398" s="5"/>
    </row>
    <row r="399">
      <c r="A399" s="5"/>
      <c r="B399" s="5"/>
      <c r="D399" s="5"/>
    </row>
    <row r="400">
      <c r="A400" s="5"/>
      <c r="B400" s="5"/>
      <c r="D400" s="5"/>
    </row>
    <row r="401">
      <c r="A401" s="5"/>
      <c r="B401" s="5"/>
      <c r="D401" s="5"/>
    </row>
    <row r="402">
      <c r="A402" s="5"/>
      <c r="B402" s="5"/>
      <c r="D402" s="5"/>
    </row>
    <row r="403">
      <c r="A403" s="5"/>
      <c r="B403" s="5"/>
      <c r="D403" s="5"/>
    </row>
    <row r="404">
      <c r="A404" s="5"/>
      <c r="B404" s="5"/>
      <c r="D404" s="5"/>
    </row>
    <row r="405">
      <c r="A405" s="5"/>
      <c r="B405" s="5"/>
      <c r="D405" s="5"/>
    </row>
    <row r="406">
      <c r="A406" s="5"/>
      <c r="B406" s="5"/>
      <c r="D406" s="5"/>
    </row>
    <row r="407">
      <c r="A407" s="5"/>
      <c r="B407" s="5"/>
      <c r="D407" s="5"/>
    </row>
    <row r="408">
      <c r="A408" s="5"/>
      <c r="B408" s="5"/>
      <c r="D408" s="5"/>
    </row>
    <row r="409">
      <c r="A409" s="5"/>
      <c r="B409" s="5"/>
      <c r="D409" s="5"/>
    </row>
    <row r="410">
      <c r="A410" s="5"/>
      <c r="B410" s="5"/>
      <c r="D410" s="5"/>
    </row>
    <row r="411">
      <c r="A411" s="5"/>
      <c r="B411" s="5"/>
      <c r="D411" s="5"/>
    </row>
    <row r="412">
      <c r="A412" s="5"/>
      <c r="B412" s="5"/>
      <c r="D412" s="5"/>
    </row>
    <row r="413">
      <c r="A413" s="5"/>
      <c r="B413" s="5"/>
      <c r="D413" s="5"/>
    </row>
    <row r="414">
      <c r="A414" s="5"/>
      <c r="B414" s="5"/>
      <c r="D414" s="5"/>
    </row>
    <row r="415">
      <c r="A415" s="5"/>
      <c r="B415" s="5"/>
      <c r="D415" s="5"/>
    </row>
    <row r="416">
      <c r="A416" s="5"/>
      <c r="B416" s="5"/>
      <c r="D416" s="5"/>
    </row>
    <row r="417">
      <c r="A417" s="5"/>
      <c r="B417" s="5"/>
      <c r="D417" s="5"/>
    </row>
    <row r="418">
      <c r="A418" s="5"/>
      <c r="B418" s="5"/>
      <c r="D418" s="5"/>
    </row>
    <row r="419">
      <c r="A419" s="5"/>
      <c r="B419" s="5"/>
      <c r="D419" s="5"/>
    </row>
    <row r="420">
      <c r="A420" s="5"/>
      <c r="B420" s="5"/>
      <c r="D420" s="5"/>
    </row>
    <row r="421">
      <c r="A421" s="5"/>
      <c r="B421" s="5"/>
      <c r="D421" s="5"/>
    </row>
    <row r="422">
      <c r="A422" s="5"/>
      <c r="B422" s="5"/>
      <c r="D422" s="5"/>
    </row>
    <row r="423">
      <c r="A423" s="5"/>
      <c r="B423" s="5"/>
      <c r="D423" s="5"/>
    </row>
    <row r="424">
      <c r="A424" s="5"/>
      <c r="B424" s="5"/>
      <c r="D424" s="5"/>
    </row>
    <row r="425">
      <c r="A425" s="5"/>
      <c r="B425" s="5"/>
      <c r="D425" s="5"/>
    </row>
    <row r="426">
      <c r="A426" s="5"/>
      <c r="B426" s="5"/>
      <c r="D426" s="5"/>
    </row>
    <row r="427">
      <c r="A427" s="5"/>
      <c r="B427" s="5"/>
      <c r="D427" s="5"/>
    </row>
    <row r="428">
      <c r="A428" s="5"/>
      <c r="B428" s="5"/>
      <c r="D428" s="5"/>
    </row>
    <row r="429">
      <c r="A429" s="5"/>
      <c r="B429" s="5"/>
      <c r="D429" s="5"/>
    </row>
    <row r="430">
      <c r="A430" s="5"/>
      <c r="B430" s="5"/>
      <c r="D430" s="5"/>
    </row>
    <row r="431">
      <c r="A431" s="5"/>
      <c r="B431" s="5"/>
      <c r="D431" s="5"/>
    </row>
    <row r="432">
      <c r="A432" s="5"/>
      <c r="B432" s="5"/>
      <c r="D432" s="5"/>
    </row>
    <row r="433">
      <c r="A433" s="5"/>
      <c r="B433" s="5"/>
      <c r="D433" s="5"/>
    </row>
    <row r="434">
      <c r="A434" s="5"/>
      <c r="B434" s="5"/>
      <c r="D434" s="5"/>
    </row>
    <row r="435">
      <c r="A435" s="5"/>
      <c r="B435" s="5"/>
      <c r="D435" s="5"/>
    </row>
    <row r="436">
      <c r="A436" s="5"/>
      <c r="B436" s="5"/>
      <c r="D436" s="5"/>
    </row>
    <row r="437">
      <c r="A437" s="5"/>
      <c r="B437" s="5"/>
      <c r="D437" s="5"/>
    </row>
    <row r="438">
      <c r="A438" s="5"/>
      <c r="B438" s="5"/>
      <c r="D438" s="5"/>
    </row>
    <row r="439">
      <c r="A439" s="5"/>
      <c r="B439" s="5"/>
      <c r="D439" s="5"/>
    </row>
    <row r="440">
      <c r="A440" s="5"/>
      <c r="B440" s="5"/>
      <c r="D440" s="5"/>
    </row>
    <row r="441">
      <c r="A441" s="5"/>
      <c r="B441" s="5"/>
      <c r="D441" s="5"/>
    </row>
    <row r="442">
      <c r="A442" s="5"/>
      <c r="B442" s="5"/>
      <c r="D442" s="5"/>
    </row>
    <row r="443">
      <c r="A443" s="5"/>
      <c r="B443" s="5"/>
      <c r="D443" s="5"/>
    </row>
    <row r="444">
      <c r="A444" s="5"/>
      <c r="B444" s="5"/>
      <c r="D444" s="5"/>
    </row>
    <row r="445">
      <c r="A445" s="5"/>
      <c r="B445" s="5"/>
      <c r="D445" s="5"/>
    </row>
    <row r="446">
      <c r="A446" s="5"/>
      <c r="B446" s="5"/>
      <c r="D446" s="5"/>
    </row>
    <row r="447">
      <c r="A447" s="5"/>
      <c r="B447" s="5"/>
      <c r="D447" s="5"/>
    </row>
    <row r="448">
      <c r="A448" s="5"/>
      <c r="B448" s="5"/>
      <c r="D448" s="5"/>
    </row>
    <row r="449">
      <c r="A449" s="5"/>
      <c r="B449" s="5"/>
      <c r="D449" s="5"/>
    </row>
    <row r="450">
      <c r="A450" s="5"/>
      <c r="B450" s="5"/>
      <c r="D450" s="5"/>
    </row>
    <row r="451">
      <c r="A451" s="5"/>
      <c r="B451" s="5"/>
      <c r="D451" s="5"/>
    </row>
    <row r="452">
      <c r="A452" s="5"/>
      <c r="B452" s="5"/>
      <c r="D452" s="5"/>
    </row>
    <row r="453">
      <c r="A453" s="5"/>
      <c r="B453" s="5"/>
      <c r="D453" s="5"/>
    </row>
    <row r="454">
      <c r="A454" s="5"/>
      <c r="B454" s="5"/>
      <c r="D454" s="5"/>
    </row>
    <row r="455">
      <c r="A455" s="5"/>
      <c r="B455" s="5"/>
      <c r="D455" s="5"/>
    </row>
    <row r="456">
      <c r="A456" s="5"/>
      <c r="B456" s="5"/>
      <c r="D456" s="5"/>
    </row>
    <row r="457">
      <c r="A457" s="5"/>
      <c r="B457" s="5"/>
      <c r="D457" s="5"/>
    </row>
    <row r="458">
      <c r="A458" s="5"/>
      <c r="B458" s="5"/>
      <c r="D458" s="5"/>
    </row>
    <row r="459">
      <c r="A459" s="5"/>
      <c r="B459" s="5"/>
      <c r="D459" s="5"/>
    </row>
    <row r="460">
      <c r="A460" s="5"/>
      <c r="B460" s="5"/>
      <c r="D460" s="5"/>
    </row>
    <row r="461">
      <c r="A461" s="5"/>
      <c r="B461" s="5"/>
      <c r="D461" s="5"/>
    </row>
    <row r="462">
      <c r="A462" s="5"/>
      <c r="B462" s="5"/>
      <c r="D462" s="5"/>
    </row>
    <row r="463">
      <c r="A463" s="5"/>
      <c r="B463" s="5"/>
      <c r="D463" s="5"/>
    </row>
    <row r="464">
      <c r="A464" s="5"/>
      <c r="B464" s="5"/>
      <c r="D464" s="5"/>
    </row>
    <row r="465">
      <c r="A465" s="5"/>
      <c r="B465" s="5"/>
      <c r="D465" s="5"/>
    </row>
    <row r="466">
      <c r="A466" s="5"/>
      <c r="B466" s="5"/>
      <c r="D466" s="5"/>
    </row>
    <row r="467">
      <c r="A467" s="5"/>
      <c r="B467" s="5"/>
      <c r="D467" s="5"/>
    </row>
    <row r="468">
      <c r="A468" s="5"/>
      <c r="B468" s="5"/>
      <c r="D468" s="5"/>
    </row>
    <row r="469">
      <c r="A469" s="5"/>
      <c r="B469" s="5"/>
      <c r="D469" s="5"/>
    </row>
    <row r="470">
      <c r="A470" s="5"/>
      <c r="B470" s="5"/>
      <c r="D470" s="5"/>
    </row>
    <row r="471">
      <c r="A471" s="5"/>
      <c r="B471" s="5"/>
      <c r="D471" s="5"/>
    </row>
    <row r="472">
      <c r="A472" s="5"/>
      <c r="B472" s="5"/>
      <c r="D472" s="5"/>
    </row>
    <row r="473">
      <c r="A473" s="5"/>
      <c r="B473" s="5"/>
      <c r="D473" s="5"/>
    </row>
    <row r="474">
      <c r="A474" s="5"/>
      <c r="B474" s="5"/>
      <c r="D474" s="5"/>
    </row>
    <row r="475">
      <c r="A475" s="5"/>
      <c r="B475" s="5"/>
      <c r="D475" s="5"/>
    </row>
    <row r="476">
      <c r="A476" s="5"/>
      <c r="B476" s="5"/>
      <c r="D476" s="5"/>
    </row>
    <row r="477">
      <c r="A477" s="5"/>
      <c r="B477" s="5"/>
      <c r="D477" s="5"/>
    </row>
    <row r="478">
      <c r="A478" s="5"/>
      <c r="B478" s="5"/>
      <c r="D478" s="5"/>
    </row>
    <row r="479">
      <c r="A479" s="5"/>
      <c r="B479" s="5"/>
      <c r="D479" s="5"/>
    </row>
    <row r="480">
      <c r="A480" s="5"/>
      <c r="B480" s="5"/>
      <c r="D480" s="5"/>
    </row>
    <row r="481">
      <c r="A481" s="5"/>
      <c r="B481" s="5"/>
      <c r="D481" s="5"/>
    </row>
    <row r="482">
      <c r="A482" s="5"/>
      <c r="B482" s="5"/>
      <c r="D482" s="5"/>
    </row>
    <row r="483">
      <c r="A483" s="5"/>
      <c r="B483" s="5"/>
      <c r="D483" s="5"/>
    </row>
    <row r="484">
      <c r="A484" s="5"/>
      <c r="B484" s="5"/>
      <c r="D484" s="5"/>
    </row>
    <row r="485">
      <c r="A485" s="5"/>
      <c r="B485" s="5"/>
      <c r="D485" s="5"/>
    </row>
    <row r="486">
      <c r="A486" s="5"/>
      <c r="B486" s="5"/>
      <c r="D486" s="5"/>
    </row>
    <row r="487">
      <c r="A487" s="5"/>
      <c r="B487" s="5"/>
      <c r="D487" s="5"/>
    </row>
    <row r="488">
      <c r="A488" s="5"/>
      <c r="B488" s="5"/>
      <c r="D488" s="5"/>
    </row>
    <row r="489">
      <c r="A489" s="5"/>
      <c r="B489" s="5"/>
      <c r="D489" s="5"/>
    </row>
    <row r="490">
      <c r="A490" s="5"/>
      <c r="B490" s="5"/>
      <c r="D490" s="5"/>
    </row>
    <row r="491">
      <c r="A491" s="5"/>
      <c r="B491" s="5"/>
      <c r="D491" s="5"/>
    </row>
    <row r="492">
      <c r="A492" s="5"/>
      <c r="B492" s="5"/>
      <c r="D492" s="5"/>
    </row>
    <row r="493">
      <c r="A493" s="5"/>
      <c r="B493" s="5"/>
      <c r="D493" s="5"/>
    </row>
    <row r="494">
      <c r="A494" s="5"/>
      <c r="B494" s="5"/>
      <c r="D494" s="5"/>
    </row>
    <row r="495">
      <c r="A495" s="5"/>
      <c r="B495" s="5"/>
      <c r="D495" s="5"/>
    </row>
    <row r="496">
      <c r="A496" s="5"/>
      <c r="B496" s="5"/>
      <c r="D496" s="5"/>
    </row>
    <row r="497">
      <c r="A497" s="5"/>
      <c r="B497" s="5"/>
      <c r="D497" s="5"/>
    </row>
    <row r="498">
      <c r="A498" s="5"/>
      <c r="B498" s="5"/>
      <c r="D498" s="5"/>
    </row>
    <row r="499">
      <c r="A499" s="5"/>
      <c r="B499" s="5"/>
      <c r="D499" s="5"/>
    </row>
    <row r="500">
      <c r="A500" s="5"/>
      <c r="B500" s="5"/>
      <c r="D500" s="5"/>
    </row>
    <row r="501">
      <c r="A501" s="5"/>
      <c r="B501" s="5"/>
      <c r="D501" s="5"/>
    </row>
    <row r="502">
      <c r="A502" s="5"/>
      <c r="B502" s="5"/>
      <c r="D502" s="5"/>
    </row>
    <row r="503">
      <c r="A503" s="5"/>
      <c r="B503" s="5"/>
      <c r="D503" s="5"/>
    </row>
    <row r="504">
      <c r="A504" s="5"/>
      <c r="B504" s="5"/>
      <c r="D504" s="5"/>
    </row>
    <row r="505">
      <c r="A505" s="5"/>
      <c r="B505" s="5"/>
      <c r="D505" s="5"/>
    </row>
    <row r="506">
      <c r="A506" s="5"/>
      <c r="B506" s="5"/>
      <c r="D506" s="5"/>
    </row>
    <row r="507">
      <c r="A507" s="5"/>
      <c r="B507" s="5"/>
      <c r="D507" s="5"/>
    </row>
    <row r="508">
      <c r="A508" s="5"/>
      <c r="B508" s="5"/>
      <c r="D508" s="5"/>
    </row>
    <row r="509">
      <c r="A509" s="5"/>
      <c r="B509" s="5"/>
      <c r="D509" s="5"/>
    </row>
    <row r="510">
      <c r="A510" s="5"/>
      <c r="B510" s="5"/>
      <c r="D510" s="5"/>
    </row>
    <row r="511">
      <c r="A511" s="5"/>
      <c r="B511" s="5"/>
      <c r="D511" s="5"/>
    </row>
    <row r="512">
      <c r="A512" s="5"/>
      <c r="B512" s="5"/>
      <c r="D512" s="5"/>
    </row>
    <row r="513">
      <c r="A513" s="5"/>
      <c r="B513" s="5"/>
      <c r="D513" s="5"/>
    </row>
    <row r="514">
      <c r="A514" s="5"/>
      <c r="B514" s="5"/>
      <c r="D514" s="5"/>
    </row>
    <row r="515">
      <c r="A515" s="5"/>
      <c r="B515" s="5"/>
      <c r="D515" s="5"/>
    </row>
    <row r="516">
      <c r="A516" s="5"/>
      <c r="B516" s="5"/>
      <c r="D516" s="5"/>
    </row>
    <row r="517">
      <c r="A517" s="5"/>
      <c r="B517" s="5"/>
      <c r="D517" s="5"/>
    </row>
    <row r="518">
      <c r="A518" s="5"/>
      <c r="B518" s="5"/>
      <c r="D518" s="5"/>
    </row>
    <row r="519">
      <c r="A519" s="5"/>
      <c r="B519" s="5"/>
      <c r="D519" s="5"/>
    </row>
    <row r="520">
      <c r="A520" s="5"/>
      <c r="B520" s="5"/>
      <c r="D520" s="5"/>
    </row>
    <row r="521">
      <c r="A521" s="5"/>
      <c r="B521" s="5"/>
      <c r="D521" s="5"/>
    </row>
    <row r="522">
      <c r="A522" s="5"/>
      <c r="B522" s="5"/>
      <c r="D522" s="5"/>
    </row>
    <row r="523">
      <c r="A523" s="5"/>
      <c r="B523" s="5"/>
      <c r="D523" s="5"/>
    </row>
    <row r="524">
      <c r="A524" s="5"/>
      <c r="B524" s="5"/>
      <c r="D524" s="5"/>
    </row>
    <row r="525">
      <c r="A525" s="5"/>
      <c r="B525" s="5"/>
      <c r="D525" s="5"/>
    </row>
    <row r="526">
      <c r="A526" s="5"/>
      <c r="B526" s="5"/>
      <c r="D526" s="5"/>
    </row>
    <row r="527">
      <c r="A527" s="5"/>
      <c r="B527" s="5"/>
      <c r="D527" s="5"/>
    </row>
    <row r="528">
      <c r="A528" s="5"/>
      <c r="B528" s="5"/>
      <c r="D528" s="5"/>
    </row>
    <row r="529">
      <c r="A529" s="5"/>
      <c r="B529" s="5"/>
      <c r="D529" s="5"/>
    </row>
    <row r="530">
      <c r="A530" s="5"/>
      <c r="B530" s="5"/>
      <c r="D530" s="5"/>
    </row>
    <row r="531">
      <c r="A531" s="5"/>
      <c r="B531" s="5"/>
      <c r="D531" s="5"/>
    </row>
    <row r="532">
      <c r="A532" s="5"/>
      <c r="B532" s="5"/>
      <c r="D532" s="5"/>
    </row>
    <row r="533">
      <c r="A533" s="5"/>
      <c r="B533" s="5"/>
      <c r="D533" s="5"/>
    </row>
    <row r="534">
      <c r="A534" s="5"/>
      <c r="B534" s="5"/>
      <c r="D534" s="5"/>
    </row>
    <row r="535">
      <c r="A535" s="5"/>
      <c r="B535" s="5"/>
      <c r="D535" s="5"/>
    </row>
    <row r="536">
      <c r="A536" s="5"/>
      <c r="B536" s="5"/>
      <c r="D536" s="5"/>
    </row>
    <row r="537">
      <c r="A537" s="5"/>
      <c r="B537" s="5"/>
      <c r="D537" s="5"/>
    </row>
    <row r="538">
      <c r="A538" s="5"/>
      <c r="B538" s="5"/>
      <c r="D538" s="5"/>
    </row>
    <row r="539">
      <c r="A539" s="5"/>
      <c r="B539" s="5"/>
      <c r="D539" s="5"/>
    </row>
    <row r="540">
      <c r="A540" s="5"/>
      <c r="B540" s="5"/>
      <c r="D540" s="5"/>
    </row>
    <row r="541">
      <c r="A541" s="5"/>
      <c r="B541" s="5"/>
      <c r="D541" s="5"/>
    </row>
    <row r="542">
      <c r="A542" s="5"/>
      <c r="B542" s="5"/>
      <c r="D542" s="5"/>
    </row>
    <row r="543">
      <c r="A543" s="5"/>
      <c r="B543" s="5"/>
      <c r="D543" s="5"/>
    </row>
    <row r="544">
      <c r="A544" s="5"/>
      <c r="B544" s="5"/>
      <c r="D544" s="5"/>
    </row>
    <row r="545">
      <c r="A545" s="5"/>
      <c r="B545" s="5"/>
      <c r="D545" s="5"/>
    </row>
    <row r="546">
      <c r="A546" s="5"/>
      <c r="B546" s="5"/>
      <c r="D546" s="5"/>
    </row>
    <row r="547">
      <c r="A547" s="5"/>
      <c r="B547" s="5"/>
      <c r="D547" s="5"/>
    </row>
    <row r="548">
      <c r="A548" s="5"/>
      <c r="B548" s="5"/>
      <c r="D548" s="5"/>
    </row>
    <row r="549">
      <c r="A549" s="5"/>
      <c r="B549" s="5"/>
      <c r="D549" s="5"/>
    </row>
    <row r="550">
      <c r="A550" s="5"/>
      <c r="B550" s="5"/>
      <c r="D550" s="5"/>
    </row>
    <row r="551">
      <c r="A551" s="5"/>
      <c r="B551" s="5"/>
      <c r="D551" s="5"/>
    </row>
    <row r="552">
      <c r="A552" s="5"/>
      <c r="B552" s="5"/>
      <c r="D552" s="5"/>
    </row>
    <row r="553">
      <c r="A553" s="5"/>
      <c r="B553" s="5"/>
      <c r="D553" s="5"/>
    </row>
    <row r="554">
      <c r="A554" s="5"/>
      <c r="B554" s="5"/>
      <c r="D554" s="5"/>
    </row>
    <row r="555">
      <c r="A555" s="5"/>
      <c r="B555" s="5"/>
      <c r="D555" s="5"/>
    </row>
    <row r="556">
      <c r="A556" s="5"/>
      <c r="B556" s="5"/>
      <c r="D556" s="5"/>
    </row>
    <row r="557">
      <c r="A557" s="5"/>
      <c r="B557" s="5"/>
      <c r="D557" s="5"/>
    </row>
    <row r="558">
      <c r="A558" s="5"/>
      <c r="B558" s="5"/>
      <c r="D558" s="5"/>
    </row>
    <row r="559">
      <c r="A559" s="5"/>
      <c r="B559" s="5"/>
      <c r="D559" s="5"/>
    </row>
    <row r="560">
      <c r="A560" s="5"/>
      <c r="B560" s="5"/>
      <c r="D560" s="5"/>
    </row>
    <row r="561">
      <c r="A561" s="5"/>
      <c r="B561" s="5"/>
      <c r="D561" s="5"/>
    </row>
    <row r="562">
      <c r="A562" s="5"/>
      <c r="B562" s="5"/>
      <c r="D562" s="5"/>
    </row>
    <row r="563">
      <c r="A563" s="5"/>
      <c r="B563" s="5"/>
      <c r="D563" s="5"/>
    </row>
    <row r="564">
      <c r="A564" s="5"/>
      <c r="B564" s="5"/>
      <c r="D564" s="5"/>
    </row>
    <row r="565">
      <c r="A565" s="5"/>
      <c r="B565" s="5"/>
      <c r="D565" s="5"/>
    </row>
    <row r="566">
      <c r="A566" s="5"/>
      <c r="B566" s="5"/>
      <c r="D566" s="5"/>
    </row>
    <row r="567">
      <c r="A567" s="5"/>
      <c r="B567" s="5"/>
      <c r="D567" s="5"/>
    </row>
    <row r="568">
      <c r="A568" s="5"/>
      <c r="B568" s="5"/>
      <c r="D568" s="5"/>
    </row>
    <row r="569">
      <c r="A569" s="5"/>
      <c r="B569" s="5"/>
      <c r="D569" s="5"/>
    </row>
    <row r="570">
      <c r="A570" s="5"/>
      <c r="B570" s="5"/>
      <c r="D570" s="5"/>
    </row>
    <row r="571">
      <c r="A571" s="5"/>
      <c r="B571" s="5"/>
      <c r="D571" s="5"/>
    </row>
    <row r="572">
      <c r="A572" s="5"/>
      <c r="B572" s="5"/>
      <c r="D572" s="5"/>
    </row>
    <row r="573">
      <c r="A573" s="5"/>
      <c r="B573" s="5"/>
      <c r="D573" s="5"/>
    </row>
    <row r="574">
      <c r="A574" s="5"/>
      <c r="B574" s="5"/>
      <c r="D574" s="5"/>
    </row>
    <row r="575">
      <c r="A575" s="5"/>
      <c r="B575" s="5"/>
      <c r="D575" s="5"/>
    </row>
    <row r="576">
      <c r="A576" s="5"/>
      <c r="B576" s="5"/>
      <c r="D576" s="5"/>
    </row>
    <row r="577">
      <c r="A577" s="5"/>
      <c r="B577" s="5"/>
      <c r="D577" s="5"/>
    </row>
    <row r="578">
      <c r="A578" s="5"/>
      <c r="B578" s="5"/>
      <c r="D578" s="5"/>
    </row>
    <row r="579">
      <c r="A579" s="5"/>
      <c r="B579" s="5"/>
      <c r="D579" s="5"/>
    </row>
    <row r="580">
      <c r="A580" s="5"/>
      <c r="B580" s="5"/>
      <c r="D580" s="5"/>
    </row>
    <row r="581">
      <c r="A581" s="5"/>
      <c r="B581" s="5"/>
      <c r="D581" s="5"/>
    </row>
    <row r="582">
      <c r="A582" s="5"/>
      <c r="B582" s="5"/>
      <c r="D582" s="5"/>
    </row>
    <row r="583">
      <c r="A583" s="5"/>
      <c r="B583" s="5"/>
      <c r="D583" s="5"/>
    </row>
    <row r="584">
      <c r="A584" s="5"/>
      <c r="B584" s="5"/>
      <c r="D584" s="5"/>
    </row>
    <row r="585">
      <c r="A585" s="5"/>
      <c r="B585" s="5"/>
      <c r="D585" s="5"/>
    </row>
    <row r="586">
      <c r="A586" s="5"/>
      <c r="B586" s="5"/>
      <c r="D586" s="5"/>
    </row>
    <row r="587">
      <c r="A587" s="5"/>
      <c r="B587" s="5"/>
      <c r="D587" s="5"/>
    </row>
    <row r="588">
      <c r="A588" s="5"/>
      <c r="B588" s="5"/>
      <c r="D588" s="5"/>
    </row>
    <row r="589">
      <c r="A589" s="5"/>
      <c r="B589" s="5"/>
      <c r="D589" s="5"/>
    </row>
    <row r="590">
      <c r="A590" s="5"/>
      <c r="B590" s="5"/>
      <c r="D590" s="5"/>
    </row>
    <row r="591">
      <c r="A591" s="5"/>
      <c r="B591" s="5"/>
      <c r="D591" s="5"/>
    </row>
    <row r="592">
      <c r="A592" s="5"/>
      <c r="B592" s="5"/>
      <c r="D592" s="5"/>
    </row>
    <row r="593">
      <c r="A593" s="5"/>
      <c r="B593" s="5"/>
      <c r="D593" s="5"/>
    </row>
    <row r="594">
      <c r="A594" s="5"/>
      <c r="B594" s="5"/>
      <c r="D594" s="5"/>
    </row>
    <row r="595">
      <c r="A595" s="5"/>
      <c r="B595" s="5"/>
      <c r="D595" s="5"/>
    </row>
    <row r="596">
      <c r="A596" s="5"/>
      <c r="B596" s="5"/>
      <c r="D596" s="5"/>
    </row>
    <row r="597">
      <c r="A597" s="5"/>
      <c r="B597" s="5"/>
      <c r="D597" s="5"/>
    </row>
    <row r="598">
      <c r="A598" s="5"/>
      <c r="B598" s="5"/>
      <c r="D598" s="5"/>
    </row>
    <row r="599">
      <c r="A599" s="5"/>
      <c r="B599" s="5"/>
      <c r="D599" s="5"/>
    </row>
    <row r="600">
      <c r="A600" s="5"/>
      <c r="B600" s="5"/>
      <c r="D600" s="5"/>
    </row>
    <row r="601">
      <c r="A601" s="5"/>
      <c r="B601" s="5"/>
      <c r="D601" s="5"/>
    </row>
    <row r="602">
      <c r="A602" s="5"/>
      <c r="B602" s="5"/>
      <c r="D602" s="5"/>
    </row>
    <row r="603">
      <c r="A603" s="5"/>
      <c r="B603" s="5"/>
      <c r="D603" s="5"/>
    </row>
    <row r="604">
      <c r="A604" s="5"/>
      <c r="B604" s="5"/>
      <c r="D604" s="5"/>
    </row>
    <row r="605">
      <c r="A605" s="5"/>
      <c r="B605" s="5"/>
      <c r="D605" s="5"/>
    </row>
    <row r="606">
      <c r="A606" s="5"/>
      <c r="B606" s="5"/>
      <c r="D606" s="5"/>
    </row>
    <row r="607">
      <c r="A607" s="5"/>
      <c r="B607" s="5"/>
      <c r="D607" s="5"/>
    </row>
    <row r="608">
      <c r="A608" s="5"/>
      <c r="B608" s="5"/>
      <c r="D608" s="5"/>
    </row>
    <row r="609">
      <c r="A609" s="5"/>
      <c r="B609" s="5"/>
      <c r="D609" s="5"/>
    </row>
    <row r="610">
      <c r="A610" s="5"/>
      <c r="B610" s="5"/>
      <c r="D610" s="5"/>
    </row>
    <row r="611">
      <c r="A611" s="5"/>
      <c r="B611" s="5"/>
      <c r="D611" s="5"/>
    </row>
    <row r="612">
      <c r="A612" s="5"/>
      <c r="B612" s="5"/>
      <c r="D612" s="5"/>
    </row>
    <row r="613">
      <c r="A613" s="5"/>
      <c r="B613" s="5"/>
      <c r="D613" s="5"/>
    </row>
    <row r="614">
      <c r="A614" s="5"/>
      <c r="B614" s="5"/>
      <c r="D614" s="5"/>
    </row>
    <row r="615">
      <c r="A615" s="5"/>
      <c r="B615" s="5"/>
      <c r="D615" s="5"/>
    </row>
    <row r="616">
      <c r="A616" s="5"/>
      <c r="B616" s="5"/>
      <c r="D616" s="5"/>
    </row>
    <row r="617">
      <c r="A617" s="5"/>
      <c r="B617" s="5"/>
      <c r="D617" s="5"/>
    </row>
    <row r="618">
      <c r="A618" s="5"/>
      <c r="B618" s="5"/>
      <c r="D618" s="5"/>
    </row>
    <row r="619">
      <c r="A619" s="5"/>
      <c r="B619" s="5"/>
      <c r="D619" s="5"/>
    </row>
    <row r="620">
      <c r="A620" s="5"/>
      <c r="B620" s="5"/>
      <c r="D620" s="5"/>
    </row>
    <row r="621">
      <c r="A621" s="5"/>
      <c r="B621" s="5"/>
      <c r="D621" s="5"/>
    </row>
    <row r="622">
      <c r="A622" s="5"/>
      <c r="B622" s="5"/>
      <c r="D622" s="5"/>
    </row>
    <row r="623">
      <c r="A623" s="5"/>
      <c r="B623" s="5"/>
      <c r="D623" s="5"/>
    </row>
    <row r="624">
      <c r="A624" s="5"/>
      <c r="B624" s="5"/>
      <c r="D624" s="5"/>
    </row>
    <row r="625">
      <c r="A625" s="5"/>
      <c r="B625" s="5"/>
      <c r="D625" s="5"/>
    </row>
    <row r="626">
      <c r="A626" s="5"/>
      <c r="B626" s="5"/>
      <c r="D626" s="5"/>
    </row>
    <row r="627">
      <c r="A627" s="5"/>
      <c r="B627" s="5"/>
      <c r="D627" s="5"/>
    </row>
    <row r="628">
      <c r="A628" s="5"/>
      <c r="B628" s="5"/>
      <c r="D628" s="5"/>
    </row>
    <row r="629">
      <c r="A629" s="5"/>
      <c r="B629" s="5"/>
      <c r="D629" s="5"/>
    </row>
    <row r="630">
      <c r="A630" s="5"/>
      <c r="B630" s="5"/>
      <c r="D630" s="5"/>
    </row>
    <row r="631">
      <c r="A631" s="5"/>
      <c r="B631" s="5"/>
      <c r="D631" s="5"/>
    </row>
    <row r="632">
      <c r="A632" s="5"/>
      <c r="B632" s="5"/>
      <c r="D632" s="5"/>
    </row>
    <row r="633">
      <c r="A633" s="5"/>
      <c r="B633" s="5"/>
      <c r="D633" s="5"/>
    </row>
    <row r="634">
      <c r="A634" s="5"/>
      <c r="B634" s="5"/>
      <c r="D634" s="5"/>
    </row>
    <row r="635">
      <c r="A635" s="5"/>
      <c r="B635" s="5"/>
      <c r="D635" s="5"/>
    </row>
    <row r="636">
      <c r="A636" s="5"/>
      <c r="B636" s="5"/>
      <c r="D636" s="5"/>
    </row>
    <row r="637">
      <c r="A637" s="5"/>
      <c r="B637" s="5"/>
      <c r="D637" s="5"/>
    </row>
    <row r="638">
      <c r="A638" s="5"/>
      <c r="B638" s="5"/>
      <c r="D638" s="5"/>
    </row>
    <row r="639">
      <c r="A639" s="5"/>
      <c r="B639" s="5"/>
      <c r="D639" s="5"/>
    </row>
    <row r="640">
      <c r="A640" s="5"/>
      <c r="B640" s="5"/>
      <c r="D640" s="5"/>
    </row>
    <row r="641">
      <c r="A641" s="5"/>
      <c r="B641" s="5"/>
      <c r="D641" s="5"/>
    </row>
    <row r="642">
      <c r="A642" s="5"/>
      <c r="B642" s="5"/>
      <c r="D642" s="5"/>
    </row>
    <row r="643">
      <c r="A643" s="5"/>
      <c r="B643" s="5"/>
      <c r="D643" s="5"/>
    </row>
    <row r="644">
      <c r="A644" s="5"/>
      <c r="B644" s="5"/>
      <c r="D644" s="5"/>
    </row>
    <row r="645">
      <c r="A645" s="5"/>
      <c r="B645" s="5"/>
      <c r="D645" s="5"/>
    </row>
    <row r="646">
      <c r="A646" s="5"/>
      <c r="B646" s="5"/>
      <c r="D646" s="5"/>
    </row>
    <row r="647">
      <c r="A647" s="5"/>
      <c r="B647" s="5"/>
      <c r="D647" s="5"/>
    </row>
    <row r="648">
      <c r="A648" s="5"/>
      <c r="B648" s="5"/>
      <c r="D648" s="5"/>
    </row>
    <row r="649">
      <c r="A649" s="5"/>
      <c r="B649" s="5"/>
      <c r="D649" s="5"/>
    </row>
    <row r="650">
      <c r="A650" s="5"/>
      <c r="B650" s="5"/>
      <c r="D650" s="5"/>
    </row>
    <row r="651">
      <c r="A651" s="5"/>
      <c r="B651" s="5"/>
      <c r="D651" s="5"/>
    </row>
    <row r="652">
      <c r="A652" s="5"/>
      <c r="B652" s="5"/>
      <c r="D652" s="5"/>
    </row>
    <row r="653">
      <c r="A653" s="5"/>
      <c r="B653" s="5"/>
      <c r="D653" s="5"/>
    </row>
    <row r="654">
      <c r="A654" s="5"/>
      <c r="B654" s="5"/>
      <c r="D654" s="5"/>
    </row>
    <row r="655">
      <c r="A655" s="5"/>
      <c r="B655" s="5"/>
      <c r="D655" s="5"/>
    </row>
    <row r="656">
      <c r="A656" s="5"/>
      <c r="B656" s="5"/>
      <c r="D656" s="5"/>
    </row>
    <row r="657">
      <c r="A657" s="5"/>
      <c r="B657" s="5"/>
      <c r="D657" s="5"/>
    </row>
    <row r="658">
      <c r="A658" s="5"/>
      <c r="B658" s="5"/>
      <c r="D658" s="5"/>
    </row>
    <row r="659">
      <c r="A659" s="5"/>
      <c r="B659" s="5"/>
      <c r="D659" s="5"/>
    </row>
    <row r="660">
      <c r="A660" s="5"/>
      <c r="B660" s="5"/>
      <c r="D660" s="5"/>
    </row>
    <row r="661">
      <c r="A661" s="5"/>
      <c r="B661" s="5"/>
      <c r="D661" s="5"/>
    </row>
    <row r="662">
      <c r="A662" s="5"/>
      <c r="B662" s="5"/>
      <c r="D662" s="5"/>
    </row>
    <row r="663">
      <c r="A663" s="5"/>
      <c r="B663" s="5"/>
      <c r="D663" s="5"/>
    </row>
    <row r="664">
      <c r="A664" s="5"/>
      <c r="B664" s="5"/>
      <c r="D664" s="5"/>
    </row>
    <row r="665">
      <c r="A665" s="5"/>
      <c r="B665" s="5"/>
      <c r="D665" s="5"/>
    </row>
    <row r="666">
      <c r="A666" s="5"/>
      <c r="B666" s="5"/>
      <c r="D666" s="5"/>
    </row>
    <row r="667">
      <c r="A667" s="5"/>
      <c r="B667" s="5"/>
      <c r="D667" s="5"/>
    </row>
    <row r="668">
      <c r="A668" s="5"/>
      <c r="B668" s="5"/>
      <c r="D668" s="5"/>
    </row>
    <row r="669">
      <c r="A669" s="5"/>
      <c r="B669" s="5"/>
      <c r="D669" s="5"/>
    </row>
    <row r="670">
      <c r="A670" s="5"/>
      <c r="B670" s="5"/>
      <c r="D670" s="5"/>
    </row>
    <row r="671">
      <c r="A671" s="5"/>
      <c r="B671" s="5"/>
      <c r="D671" s="5"/>
    </row>
    <row r="672">
      <c r="A672" s="5"/>
      <c r="B672" s="5"/>
      <c r="D672" s="5"/>
    </row>
    <row r="673">
      <c r="A673" s="5"/>
      <c r="B673" s="5"/>
      <c r="D673" s="5"/>
    </row>
    <row r="674">
      <c r="A674" s="5"/>
      <c r="B674" s="5"/>
      <c r="D674" s="5"/>
    </row>
    <row r="675">
      <c r="A675" s="5"/>
      <c r="B675" s="5"/>
      <c r="D675" s="5"/>
    </row>
    <row r="676">
      <c r="A676" s="5"/>
      <c r="B676" s="5"/>
      <c r="D676" s="5"/>
    </row>
    <row r="677">
      <c r="A677" s="5"/>
      <c r="B677" s="5"/>
      <c r="D677" s="5"/>
    </row>
    <row r="678">
      <c r="A678" s="5"/>
      <c r="B678" s="5"/>
      <c r="D678" s="5"/>
    </row>
    <row r="679">
      <c r="A679" s="5"/>
      <c r="B679" s="5"/>
      <c r="D679" s="5"/>
    </row>
    <row r="680">
      <c r="A680" s="5"/>
      <c r="B680" s="5"/>
      <c r="D680" s="5"/>
    </row>
    <row r="681">
      <c r="A681" s="5"/>
      <c r="B681" s="5"/>
      <c r="D681" s="5"/>
    </row>
    <row r="682">
      <c r="A682" s="5"/>
      <c r="B682" s="5"/>
      <c r="D682" s="5"/>
    </row>
    <row r="683">
      <c r="A683" s="5"/>
      <c r="B683" s="5"/>
      <c r="D683" s="5"/>
    </row>
    <row r="684">
      <c r="A684" s="5"/>
      <c r="B684" s="5"/>
      <c r="D684" s="5"/>
    </row>
    <row r="685">
      <c r="A685" s="5"/>
      <c r="B685" s="5"/>
      <c r="D685" s="5"/>
    </row>
    <row r="686">
      <c r="A686" s="5"/>
      <c r="B686" s="5"/>
      <c r="D686" s="5"/>
    </row>
    <row r="687">
      <c r="A687" s="5"/>
      <c r="B687" s="5"/>
      <c r="D687" s="5"/>
    </row>
    <row r="688">
      <c r="A688" s="5"/>
      <c r="B688" s="5"/>
      <c r="D688" s="5"/>
    </row>
    <row r="689">
      <c r="A689" s="5"/>
      <c r="B689" s="5"/>
      <c r="D689" s="5"/>
    </row>
    <row r="690">
      <c r="A690" s="5"/>
      <c r="B690" s="5"/>
      <c r="D690" s="5"/>
    </row>
    <row r="691">
      <c r="A691" s="5"/>
      <c r="B691" s="5"/>
      <c r="D691" s="5"/>
    </row>
    <row r="692">
      <c r="A692" s="5"/>
      <c r="B692" s="5"/>
      <c r="D692" s="5"/>
    </row>
    <row r="693">
      <c r="A693" s="5"/>
      <c r="B693" s="5"/>
      <c r="D693" s="5"/>
    </row>
    <row r="694">
      <c r="A694" s="5"/>
      <c r="B694" s="5"/>
      <c r="D694" s="5"/>
    </row>
    <row r="695">
      <c r="A695" s="5"/>
      <c r="B695" s="5"/>
      <c r="D695" s="5"/>
    </row>
    <row r="696">
      <c r="A696" s="5"/>
      <c r="B696" s="5"/>
      <c r="D696" s="5"/>
    </row>
    <row r="697">
      <c r="A697" s="5"/>
      <c r="B697" s="5"/>
      <c r="D697" s="5"/>
    </row>
    <row r="698">
      <c r="A698" s="5"/>
      <c r="B698" s="5"/>
      <c r="D698" s="5"/>
    </row>
    <row r="699">
      <c r="A699" s="5"/>
      <c r="B699" s="5"/>
      <c r="D699" s="5"/>
    </row>
    <row r="700">
      <c r="A700" s="5"/>
      <c r="B700" s="5"/>
      <c r="D700" s="5"/>
    </row>
    <row r="701">
      <c r="A701" s="5"/>
      <c r="B701" s="5"/>
      <c r="D701" s="5"/>
    </row>
    <row r="702">
      <c r="A702" s="5"/>
      <c r="B702" s="5"/>
      <c r="D702" s="5"/>
    </row>
    <row r="703">
      <c r="A703" s="5"/>
      <c r="B703" s="5"/>
      <c r="D703" s="5"/>
    </row>
    <row r="704">
      <c r="A704" s="5"/>
      <c r="B704" s="5"/>
      <c r="D704" s="5"/>
    </row>
    <row r="705">
      <c r="A705" s="5"/>
      <c r="B705" s="5"/>
      <c r="D705" s="5"/>
    </row>
    <row r="706">
      <c r="A706" s="5"/>
      <c r="B706" s="5"/>
      <c r="D706" s="5"/>
    </row>
    <row r="707">
      <c r="A707" s="5"/>
      <c r="B707" s="5"/>
      <c r="D707" s="5"/>
    </row>
    <row r="708">
      <c r="A708" s="5"/>
      <c r="B708" s="5"/>
      <c r="D708" s="5"/>
    </row>
    <row r="709">
      <c r="A709" s="5"/>
      <c r="B709" s="5"/>
      <c r="D709" s="5"/>
    </row>
    <row r="710">
      <c r="A710" s="5"/>
      <c r="B710" s="5"/>
      <c r="D710" s="5"/>
    </row>
    <row r="711">
      <c r="A711" s="5"/>
      <c r="B711" s="5"/>
      <c r="D711" s="5"/>
    </row>
    <row r="712">
      <c r="A712" s="5"/>
      <c r="B712" s="5"/>
      <c r="D712" s="5"/>
    </row>
    <row r="713">
      <c r="A713" s="5"/>
      <c r="B713" s="5"/>
      <c r="D713" s="5"/>
    </row>
    <row r="714">
      <c r="A714" s="5"/>
      <c r="B714" s="5"/>
      <c r="D714" s="5"/>
    </row>
    <row r="715">
      <c r="A715" s="5"/>
      <c r="B715" s="5"/>
      <c r="D715" s="5"/>
    </row>
    <row r="716">
      <c r="A716" s="5"/>
      <c r="B716" s="5"/>
      <c r="D716" s="5"/>
    </row>
    <row r="717">
      <c r="A717" s="5"/>
      <c r="B717" s="5"/>
      <c r="D717" s="5"/>
    </row>
    <row r="718">
      <c r="A718" s="5"/>
      <c r="B718" s="5"/>
      <c r="D718" s="5"/>
    </row>
    <row r="719">
      <c r="A719" s="5"/>
      <c r="B719" s="5"/>
      <c r="D719" s="5"/>
    </row>
    <row r="720">
      <c r="A720" s="5"/>
      <c r="B720" s="5"/>
      <c r="D720" s="5"/>
    </row>
    <row r="721">
      <c r="A721" s="5"/>
      <c r="B721" s="5"/>
      <c r="D721" s="5"/>
    </row>
    <row r="722">
      <c r="A722" s="5"/>
      <c r="B722" s="5"/>
      <c r="D722" s="5"/>
    </row>
    <row r="723">
      <c r="A723" s="5"/>
      <c r="B723" s="5"/>
      <c r="D723" s="5"/>
    </row>
    <row r="724">
      <c r="A724" s="5"/>
      <c r="B724" s="5"/>
      <c r="D724" s="5"/>
    </row>
    <row r="725">
      <c r="A725" s="5"/>
      <c r="B725" s="5"/>
      <c r="D725" s="5"/>
    </row>
    <row r="726">
      <c r="A726" s="5"/>
      <c r="B726" s="5"/>
      <c r="D726" s="5"/>
    </row>
    <row r="727">
      <c r="A727" s="5"/>
      <c r="B727" s="5"/>
      <c r="D727" s="5"/>
    </row>
    <row r="728">
      <c r="A728" s="5"/>
      <c r="B728" s="5"/>
      <c r="D728" s="5"/>
    </row>
    <row r="729">
      <c r="A729" s="5"/>
      <c r="B729" s="5"/>
      <c r="D729" s="5"/>
    </row>
    <row r="730">
      <c r="A730" s="5"/>
      <c r="B730" s="5"/>
      <c r="D730" s="5"/>
    </row>
    <row r="731">
      <c r="A731" s="5"/>
      <c r="B731" s="5"/>
      <c r="D731" s="5"/>
    </row>
    <row r="732">
      <c r="A732" s="5"/>
      <c r="B732" s="5"/>
      <c r="D732" s="5"/>
    </row>
    <row r="733">
      <c r="A733" s="5"/>
      <c r="B733" s="5"/>
      <c r="D733" s="5"/>
    </row>
    <row r="734">
      <c r="A734" s="5"/>
      <c r="B734" s="5"/>
      <c r="D734" s="5"/>
    </row>
    <row r="735">
      <c r="A735" s="5"/>
      <c r="B735" s="5"/>
      <c r="D735" s="5"/>
    </row>
    <row r="736">
      <c r="A736" s="5"/>
      <c r="B736" s="5"/>
      <c r="D736" s="5"/>
    </row>
    <row r="737">
      <c r="A737" s="5"/>
      <c r="B737" s="5"/>
      <c r="D737" s="5"/>
    </row>
    <row r="738">
      <c r="A738" s="5"/>
      <c r="B738" s="5"/>
      <c r="D738" s="5"/>
    </row>
    <row r="739">
      <c r="A739" s="5"/>
      <c r="B739" s="5"/>
      <c r="D739" s="5"/>
    </row>
    <row r="740">
      <c r="A740" s="5"/>
      <c r="B740" s="5"/>
      <c r="D740" s="5"/>
    </row>
    <row r="741">
      <c r="A741" s="5"/>
      <c r="B741" s="5"/>
      <c r="D741" s="5"/>
    </row>
    <row r="742">
      <c r="A742" s="5"/>
      <c r="B742" s="5"/>
      <c r="D742" s="5"/>
    </row>
    <row r="743">
      <c r="A743" s="5"/>
      <c r="B743" s="5"/>
      <c r="D743" s="5"/>
    </row>
    <row r="744">
      <c r="A744" s="5"/>
      <c r="B744" s="5"/>
      <c r="D744" s="5"/>
    </row>
    <row r="745">
      <c r="A745" s="5"/>
      <c r="B745" s="5"/>
      <c r="D745" s="5"/>
    </row>
    <row r="746">
      <c r="A746" s="5"/>
      <c r="B746" s="5"/>
      <c r="D746" s="5"/>
    </row>
    <row r="747">
      <c r="A747" s="5"/>
      <c r="B747" s="5"/>
      <c r="D747" s="5"/>
    </row>
    <row r="748">
      <c r="A748" s="5"/>
      <c r="B748" s="5"/>
      <c r="D748" s="5"/>
    </row>
    <row r="749">
      <c r="A749" s="5"/>
      <c r="B749" s="5"/>
      <c r="D749" s="5"/>
    </row>
    <row r="750">
      <c r="A750" s="5"/>
      <c r="B750" s="5"/>
      <c r="D750" s="5"/>
    </row>
    <row r="751">
      <c r="A751" s="5"/>
      <c r="B751" s="5"/>
      <c r="D751" s="5"/>
    </row>
    <row r="752">
      <c r="A752" s="5"/>
      <c r="B752" s="5"/>
      <c r="D752" s="5"/>
    </row>
    <row r="753">
      <c r="A753" s="5"/>
      <c r="B753" s="5"/>
      <c r="D753" s="5"/>
    </row>
    <row r="754">
      <c r="A754" s="5"/>
      <c r="B754" s="5"/>
      <c r="D754" s="5"/>
    </row>
    <row r="755">
      <c r="A755" s="5"/>
      <c r="B755" s="5"/>
      <c r="D755" s="5"/>
    </row>
    <row r="756">
      <c r="A756" s="5"/>
      <c r="B756" s="5"/>
      <c r="D756" s="5"/>
    </row>
    <row r="757">
      <c r="A757" s="5"/>
      <c r="B757" s="5"/>
      <c r="D757" s="5"/>
    </row>
    <row r="758">
      <c r="A758" s="5"/>
      <c r="B758" s="5"/>
      <c r="D758" s="5"/>
    </row>
    <row r="759">
      <c r="A759" s="5"/>
      <c r="B759" s="5"/>
      <c r="D759" s="5"/>
    </row>
    <row r="760">
      <c r="A760" s="5"/>
      <c r="B760" s="5"/>
      <c r="D760" s="5"/>
    </row>
    <row r="761">
      <c r="A761" s="5"/>
      <c r="B761" s="5"/>
      <c r="D761" s="5"/>
    </row>
    <row r="762">
      <c r="A762" s="5"/>
      <c r="B762" s="5"/>
      <c r="D762" s="5"/>
    </row>
    <row r="763">
      <c r="A763" s="5"/>
      <c r="B763" s="5"/>
      <c r="D763" s="5"/>
    </row>
    <row r="764">
      <c r="A764" s="5"/>
      <c r="B764" s="5"/>
      <c r="D764" s="5"/>
    </row>
    <row r="765">
      <c r="A765" s="5"/>
      <c r="B765" s="5"/>
      <c r="D765" s="5"/>
    </row>
    <row r="766">
      <c r="A766" s="5"/>
      <c r="B766" s="5"/>
      <c r="D766" s="5"/>
    </row>
    <row r="767">
      <c r="A767" s="5"/>
      <c r="B767" s="5"/>
      <c r="D767" s="5"/>
    </row>
    <row r="768">
      <c r="A768" s="5"/>
      <c r="B768" s="5"/>
      <c r="D768" s="5"/>
    </row>
    <row r="769">
      <c r="A769" s="5"/>
      <c r="B769" s="5"/>
      <c r="D769" s="5"/>
    </row>
    <row r="770">
      <c r="A770" s="5"/>
      <c r="B770" s="5"/>
      <c r="D770" s="5"/>
    </row>
    <row r="771">
      <c r="A771" s="5"/>
      <c r="B771" s="5"/>
      <c r="D771" s="5"/>
    </row>
    <row r="772">
      <c r="A772" s="5"/>
      <c r="B772" s="5"/>
      <c r="D772" s="5"/>
    </row>
    <row r="773">
      <c r="A773" s="5"/>
      <c r="B773" s="5"/>
      <c r="D773" s="5"/>
    </row>
    <row r="774">
      <c r="A774" s="5"/>
      <c r="B774" s="5"/>
      <c r="D774" s="5"/>
    </row>
    <row r="775">
      <c r="A775" s="5"/>
      <c r="B775" s="5"/>
      <c r="D775" s="5"/>
    </row>
    <row r="776">
      <c r="A776" s="5"/>
      <c r="B776" s="5"/>
      <c r="D776" s="5"/>
    </row>
    <row r="777">
      <c r="A777" s="5"/>
      <c r="B777" s="5"/>
      <c r="D777" s="5"/>
    </row>
    <row r="778">
      <c r="A778" s="5"/>
      <c r="B778" s="5"/>
      <c r="D778" s="5"/>
    </row>
    <row r="779">
      <c r="A779" s="5"/>
      <c r="B779" s="5"/>
      <c r="D779" s="5"/>
    </row>
    <row r="780">
      <c r="A780" s="5"/>
      <c r="B780" s="5"/>
      <c r="D780" s="5"/>
    </row>
    <row r="781">
      <c r="A781" s="5"/>
      <c r="B781" s="5"/>
      <c r="D781" s="5"/>
    </row>
    <row r="782">
      <c r="A782" s="5"/>
      <c r="B782" s="5"/>
      <c r="D782" s="5"/>
    </row>
    <row r="783">
      <c r="A783" s="5"/>
      <c r="B783" s="5"/>
      <c r="D783" s="5"/>
    </row>
    <row r="784">
      <c r="A784" s="5"/>
      <c r="B784" s="5"/>
      <c r="D784" s="5"/>
    </row>
    <row r="785">
      <c r="A785" s="5"/>
      <c r="B785" s="5"/>
      <c r="D785" s="5"/>
    </row>
    <row r="786">
      <c r="A786" s="5"/>
      <c r="B786" s="5"/>
      <c r="D786" s="5"/>
    </row>
    <row r="787">
      <c r="A787" s="5"/>
      <c r="B787" s="5"/>
      <c r="D787" s="5"/>
    </row>
    <row r="788">
      <c r="A788" s="5"/>
      <c r="B788" s="5"/>
      <c r="D788" s="5"/>
    </row>
    <row r="789">
      <c r="A789" s="5"/>
      <c r="B789" s="5"/>
      <c r="D789" s="5"/>
    </row>
    <row r="790">
      <c r="A790" s="5"/>
      <c r="B790" s="5"/>
      <c r="D790" s="5"/>
    </row>
    <row r="791">
      <c r="A791" s="5"/>
      <c r="B791" s="5"/>
      <c r="D791" s="5"/>
    </row>
    <row r="792">
      <c r="A792" s="5"/>
      <c r="B792" s="5"/>
      <c r="D792" s="5"/>
    </row>
    <row r="793">
      <c r="A793" s="5"/>
      <c r="B793" s="5"/>
      <c r="D793" s="5"/>
    </row>
    <row r="794">
      <c r="A794" s="5"/>
      <c r="B794" s="5"/>
      <c r="D794" s="5"/>
    </row>
    <row r="795">
      <c r="A795" s="5"/>
      <c r="B795" s="5"/>
      <c r="D795" s="5"/>
    </row>
    <row r="796">
      <c r="A796" s="5"/>
      <c r="B796" s="5"/>
      <c r="D796" s="5"/>
    </row>
    <row r="797">
      <c r="A797" s="5"/>
      <c r="B797" s="5"/>
      <c r="D797" s="5"/>
    </row>
    <row r="798">
      <c r="A798" s="5"/>
      <c r="B798" s="5"/>
      <c r="D798" s="5"/>
    </row>
    <row r="799">
      <c r="A799" s="5"/>
      <c r="B799" s="5"/>
      <c r="D799" s="5"/>
    </row>
    <row r="800">
      <c r="A800" s="5"/>
      <c r="B800" s="5"/>
      <c r="D800" s="5"/>
    </row>
    <row r="801">
      <c r="A801" s="5"/>
      <c r="B801" s="5"/>
      <c r="D801" s="5"/>
    </row>
    <row r="802">
      <c r="A802" s="5"/>
      <c r="B802" s="5"/>
      <c r="D802" s="5"/>
    </row>
    <row r="803">
      <c r="A803" s="5"/>
      <c r="B803" s="5"/>
      <c r="D803" s="5"/>
    </row>
    <row r="804">
      <c r="A804" s="5"/>
      <c r="B804" s="5"/>
      <c r="D804" s="5"/>
    </row>
    <row r="805">
      <c r="A805" s="5"/>
      <c r="B805" s="5"/>
      <c r="D805" s="5"/>
    </row>
    <row r="806">
      <c r="A806" s="5"/>
      <c r="B806" s="5"/>
      <c r="D806" s="5"/>
    </row>
    <row r="807">
      <c r="A807" s="5"/>
      <c r="B807" s="5"/>
      <c r="D807" s="5"/>
    </row>
    <row r="808">
      <c r="A808" s="5"/>
      <c r="B808" s="5"/>
      <c r="D808" s="5"/>
    </row>
    <row r="809">
      <c r="A809" s="5"/>
      <c r="B809" s="5"/>
      <c r="D809" s="5"/>
    </row>
    <row r="810">
      <c r="A810" s="5"/>
      <c r="B810" s="5"/>
      <c r="D810" s="5"/>
    </row>
    <row r="811">
      <c r="A811" s="5"/>
      <c r="B811" s="5"/>
      <c r="D811" s="5"/>
    </row>
    <row r="812">
      <c r="A812" s="5"/>
      <c r="B812" s="5"/>
      <c r="D812" s="5"/>
    </row>
    <row r="813">
      <c r="A813" s="5"/>
      <c r="B813" s="5"/>
      <c r="D813" s="5"/>
    </row>
    <row r="814">
      <c r="A814" s="5"/>
      <c r="B814" s="5"/>
      <c r="D814" s="5"/>
    </row>
    <row r="815">
      <c r="A815" s="5"/>
      <c r="B815" s="5"/>
      <c r="D815" s="5"/>
    </row>
    <row r="816">
      <c r="A816" s="5"/>
      <c r="B816" s="5"/>
      <c r="D816" s="5"/>
    </row>
    <row r="817">
      <c r="A817" s="5"/>
      <c r="B817" s="5"/>
      <c r="D817" s="5"/>
    </row>
    <row r="818">
      <c r="A818" s="5"/>
      <c r="B818" s="5"/>
      <c r="D818" s="5"/>
    </row>
    <row r="819">
      <c r="A819" s="5"/>
      <c r="B819" s="5"/>
      <c r="D819" s="5"/>
    </row>
    <row r="820">
      <c r="A820" s="5"/>
      <c r="B820" s="5"/>
      <c r="D820" s="5"/>
    </row>
    <row r="821">
      <c r="A821" s="5"/>
      <c r="B821" s="5"/>
      <c r="D821" s="5"/>
    </row>
    <row r="822">
      <c r="A822" s="5"/>
      <c r="B822" s="5"/>
      <c r="D822" s="5"/>
    </row>
    <row r="823">
      <c r="A823" s="5"/>
      <c r="B823" s="5"/>
      <c r="D823" s="5"/>
    </row>
    <row r="824">
      <c r="A824" s="5"/>
      <c r="B824" s="5"/>
      <c r="D824" s="5"/>
    </row>
    <row r="825">
      <c r="A825" s="5"/>
      <c r="B825" s="5"/>
      <c r="D825" s="5"/>
    </row>
    <row r="826">
      <c r="A826" s="5"/>
      <c r="B826" s="5"/>
      <c r="D826" s="5"/>
    </row>
    <row r="827">
      <c r="A827" s="5"/>
      <c r="B827" s="5"/>
      <c r="D827" s="5"/>
    </row>
    <row r="828">
      <c r="A828" s="5"/>
      <c r="B828" s="5"/>
      <c r="D828" s="5"/>
    </row>
    <row r="829">
      <c r="A829" s="5"/>
      <c r="B829" s="5"/>
      <c r="D829" s="5"/>
    </row>
    <row r="830">
      <c r="A830" s="5"/>
      <c r="B830" s="5"/>
      <c r="D830" s="5"/>
    </row>
    <row r="831">
      <c r="A831" s="5"/>
      <c r="B831" s="5"/>
      <c r="D831" s="5"/>
    </row>
    <row r="832">
      <c r="A832" s="5"/>
      <c r="B832" s="5"/>
      <c r="D832" s="5"/>
    </row>
    <row r="833">
      <c r="A833" s="5"/>
      <c r="B833" s="5"/>
      <c r="D833" s="5"/>
    </row>
    <row r="834">
      <c r="A834" s="5"/>
      <c r="B834" s="5"/>
      <c r="D834" s="5"/>
    </row>
    <row r="835">
      <c r="A835" s="5"/>
      <c r="B835" s="5"/>
      <c r="D835" s="5"/>
    </row>
    <row r="836">
      <c r="A836" s="5"/>
      <c r="B836" s="5"/>
      <c r="D836" s="5"/>
    </row>
    <row r="837">
      <c r="A837" s="5"/>
      <c r="B837" s="5"/>
      <c r="D837" s="5"/>
    </row>
    <row r="838">
      <c r="A838" s="5"/>
      <c r="B838" s="5"/>
      <c r="D838" s="5"/>
    </row>
    <row r="839">
      <c r="A839" s="5"/>
      <c r="B839" s="5"/>
      <c r="D839" s="5"/>
    </row>
    <row r="840">
      <c r="A840" s="5"/>
      <c r="B840" s="5"/>
      <c r="D840" s="5"/>
    </row>
    <row r="841">
      <c r="A841" s="5"/>
      <c r="B841" s="5"/>
      <c r="D841" s="5"/>
    </row>
    <row r="842">
      <c r="A842" s="5"/>
      <c r="B842" s="5"/>
      <c r="D842" s="5"/>
    </row>
    <row r="843">
      <c r="A843" s="5"/>
      <c r="B843" s="5"/>
      <c r="D843" s="5"/>
    </row>
    <row r="844">
      <c r="A844" s="5"/>
      <c r="B844" s="5"/>
      <c r="D844" s="5"/>
    </row>
    <row r="845">
      <c r="A845" s="5"/>
      <c r="B845" s="5"/>
      <c r="D845" s="5"/>
    </row>
    <row r="846">
      <c r="A846" s="5"/>
      <c r="B846" s="5"/>
      <c r="D846" s="5"/>
    </row>
    <row r="847">
      <c r="A847" s="5"/>
      <c r="B847" s="5"/>
      <c r="D847" s="5"/>
    </row>
    <row r="848">
      <c r="A848" s="5"/>
      <c r="B848" s="5"/>
      <c r="D848" s="5"/>
    </row>
    <row r="849">
      <c r="A849" s="5"/>
      <c r="B849" s="5"/>
      <c r="D849" s="5"/>
    </row>
    <row r="850">
      <c r="A850" s="5"/>
      <c r="B850" s="5"/>
      <c r="D850" s="5"/>
    </row>
    <row r="851">
      <c r="A851" s="5"/>
      <c r="B851" s="5"/>
      <c r="D851" s="5"/>
    </row>
    <row r="852">
      <c r="A852" s="5"/>
      <c r="B852" s="5"/>
      <c r="D852" s="5"/>
    </row>
    <row r="853">
      <c r="A853" s="5"/>
      <c r="B853" s="5"/>
      <c r="D853" s="5"/>
    </row>
    <row r="854">
      <c r="A854" s="5"/>
      <c r="B854" s="5"/>
      <c r="D854" s="5"/>
    </row>
    <row r="855">
      <c r="A855" s="5"/>
      <c r="B855" s="5"/>
      <c r="D855" s="5"/>
    </row>
    <row r="856">
      <c r="A856" s="5"/>
      <c r="B856" s="5"/>
      <c r="D856" s="5"/>
    </row>
    <row r="857">
      <c r="A857" s="5"/>
      <c r="B857" s="5"/>
      <c r="D857" s="5"/>
    </row>
    <row r="858">
      <c r="A858" s="5"/>
      <c r="B858" s="5"/>
      <c r="D858" s="5"/>
    </row>
    <row r="859">
      <c r="A859" s="5"/>
      <c r="B859" s="5"/>
      <c r="D859" s="5"/>
    </row>
    <row r="860">
      <c r="A860" s="5"/>
      <c r="B860" s="5"/>
      <c r="D860" s="5"/>
    </row>
    <row r="861">
      <c r="A861" s="5"/>
      <c r="B861" s="5"/>
      <c r="D861" s="5"/>
    </row>
    <row r="862">
      <c r="A862" s="5"/>
      <c r="B862" s="5"/>
      <c r="D862" s="5"/>
    </row>
    <row r="863">
      <c r="A863" s="5"/>
      <c r="B863" s="5"/>
      <c r="D863" s="5"/>
    </row>
    <row r="864">
      <c r="A864" s="5"/>
      <c r="B864" s="5"/>
      <c r="D864" s="5"/>
    </row>
    <row r="865">
      <c r="A865" s="5"/>
      <c r="B865" s="5"/>
      <c r="D865" s="5"/>
    </row>
    <row r="866">
      <c r="A866" s="5"/>
      <c r="B866" s="5"/>
      <c r="D866" s="5"/>
    </row>
    <row r="867">
      <c r="A867" s="5"/>
      <c r="B867" s="5"/>
      <c r="D867" s="5"/>
    </row>
    <row r="868">
      <c r="A868" s="5"/>
      <c r="B868" s="5"/>
      <c r="D868" s="5"/>
    </row>
    <row r="869">
      <c r="A869" s="5"/>
      <c r="B869" s="5"/>
      <c r="D869" s="5"/>
    </row>
    <row r="870">
      <c r="A870" s="5"/>
      <c r="B870" s="5"/>
      <c r="D870" s="5"/>
    </row>
    <row r="871">
      <c r="A871" s="5"/>
      <c r="B871" s="5"/>
      <c r="D871" s="5"/>
    </row>
    <row r="872">
      <c r="A872" s="5"/>
      <c r="B872" s="5"/>
      <c r="D872" s="5"/>
    </row>
    <row r="873">
      <c r="A873" s="5"/>
      <c r="B873" s="5"/>
      <c r="D873" s="5"/>
    </row>
    <row r="874">
      <c r="A874" s="5"/>
      <c r="B874" s="5"/>
      <c r="D874" s="5"/>
    </row>
    <row r="875">
      <c r="A875" s="5"/>
      <c r="B875" s="5"/>
      <c r="D875" s="5"/>
    </row>
    <row r="876">
      <c r="A876" s="5"/>
      <c r="B876" s="5"/>
      <c r="D876" s="5"/>
    </row>
    <row r="877">
      <c r="A877" s="5"/>
      <c r="B877" s="5"/>
      <c r="D877" s="5"/>
    </row>
    <row r="878">
      <c r="A878" s="5"/>
      <c r="B878" s="5"/>
      <c r="D878" s="5"/>
    </row>
    <row r="879">
      <c r="A879" s="5"/>
      <c r="B879" s="5"/>
      <c r="D879" s="5"/>
    </row>
    <row r="880">
      <c r="A880" s="5"/>
      <c r="B880" s="5"/>
      <c r="D880" s="5"/>
    </row>
    <row r="881">
      <c r="A881" s="5"/>
      <c r="B881" s="5"/>
      <c r="D881" s="5"/>
    </row>
    <row r="882">
      <c r="A882" s="5"/>
      <c r="B882" s="5"/>
      <c r="D882" s="5"/>
    </row>
    <row r="883">
      <c r="A883" s="5"/>
      <c r="B883" s="5"/>
      <c r="D883" s="5"/>
    </row>
    <row r="884">
      <c r="A884" s="5"/>
      <c r="B884" s="5"/>
      <c r="D884" s="5"/>
    </row>
    <row r="885">
      <c r="A885" s="5"/>
      <c r="B885" s="5"/>
      <c r="D885" s="5"/>
    </row>
    <row r="886">
      <c r="A886" s="5"/>
      <c r="B886" s="5"/>
      <c r="D886" s="5"/>
    </row>
    <row r="887">
      <c r="A887" s="5"/>
      <c r="B887" s="5"/>
      <c r="D887" s="5"/>
    </row>
    <row r="888">
      <c r="A888" s="5"/>
      <c r="B888" s="5"/>
      <c r="D888" s="5"/>
    </row>
    <row r="889">
      <c r="A889" s="5"/>
      <c r="B889" s="5"/>
      <c r="D889" s="5"/>
    </row>
    <row r="890">
      <c r="A890" s="5"/>
      <c r="B890" s="5"/>
      <c r="D890" s="5"/>
    </row>
    <row r="891">
      <c r="A891" s="5"/>
      <c r="B891" s="5"/>
      <c r="D891" s="5"/>
    </row>
    <row r="892">
      <c r="A892" s="5"/>
      <c r="B892" s="5"/>
      <c r="D892" s="5"/>
    </row>
    <row r="893">
      <c r="A893" s="5"/>
      <c r="B893" s="5"/>
      <c r="D893" s="5"/>
    </row>
    <row r="894">
      <c r="A894" s="5"/>
      <c r="B894" s="5"/>
      <c r="D894" s="5"/>
    </row>
    <row r="895">
      <c r="A895" s="5"/>
      <c r="B895" s="5"/>
      <c r="D895" s="5"/>
    </row>
    <row r="896">
      <c r="A896" s="5"/>
      <c r="B896" s="5"/>
      <c r="D896" s="5"/>
    </row>
    <row r="897">
      <c r="A897" s="5"/>
      <c r="B897" s="5"/>
      <c r="D897" s="5"/>
    </row>
    <row r="898">
      <c r="A898" s="5"/>
      <c r="B898" s="5"/>
      <c r="D898" s="5"/>
    </row>
    <row r="899">
      <c r="A899" s="5"/>
      <c r="B899" s="5"/>
      <c r="D899" s="5"/>
    </row>
    <row r="900">
      <c r="A900" s="5"/>
      <c r="B900" s="5"/>
      <c r="D900" s="5"/>
    </row>
    <row r="901">
      <c r="A901" s="5"/>
      <c r="B901" s="5"/>
      <c r="D901" s="5"/>
    </row>
    <row r="902">
      <c r="A902" s="5"/>
      <c r="B902" s="5"/>
      <c r="D902" s="5"/>
    </row>
    <row r="903">
      <c r="A903" s="5"/>
      <c r="B903" s="5"/>
      <c r="D903" s="5"/>
    </row>
    <row r="904">
      <c r="A904" s="5"/>
      <c r="B904" s="5"/>
      <c r="D904" s="5"/>
    </row>
    <row r="905">
      <c r="A905" s="5"/>
      <c r="B905" s="5"/>
      <c r="D905" s="5"/>
    </row>
    <row r="906">
      <c r="A906" s="5"/>
      <c r="B906" s="5"/>
      <c r="D906" s="5"/>
    </row>
    <row r="907">
      <c r="A907" s="5"/>
      <c r="B907" s="5"/>
      <c r="D907" s="5"/>
    </row>
    <row r="908">
      <c r="A908" s="5"/>
      <c r="B908" s="5"/>
      <c r="D908" s="5"/>
    </row>
    <row r="909">
      <c r="A909" s="5"/>
      <c r="B909" s="5"/>
      <c r="D909" s="5"/>
    </row>
    <row r="910">
      <c r="A910" s="5"/>
      <c r="B910" s="5"/>
      <c r="D910" s="5"/>
    </row>
    <row r="911">
      <c r="A911" s="5"/>
      <c r="B911" s="5"/>
      <c r="D911" s="5"/>
    </row>
    <row r="912">
      <c r="A912" s="5"/>
      <c r="B912" s="5"/>
      <c r="D912" s="5"/>
    </row>
    <row r="913">
      <c r="A913" s="5"/>
      <c r="B913" s="5"/>
      <c r="D913" s="5"/>
    </row>
    <row r="914">
      <c r="A914" s="5"/>
      <c r="B914" s="5"/>
      <c r="D914" s="5"/>
    </row>
    <row r="915">
      <c r="A915" s="5"/>
      <c r="B915" s="5"/>
      <c r="D915" s="5"/>
    </row>
    <row r="916">
      <c r="A916" s="5"/>
      <c r="B916" s="5"/>
      <c r="D916" s="5"/>
    </row>
    <row r="917">
      <c r="A917" s="5"/>
      <c r="B917" s="5"/>
      <c r="D917" s="5"/>
    </row>
    <row r="918">
      <c r="A918" s="5"/>
      <c r="B918" s="5"/>
      <c r="D918" s="5"/>
    </row>
    <row r="919">
      <c r="A919" s="5"/>
      <c r="B919" s="5"/>
      <c r="D919" s="5"/>
    </row>
    <row r="920">
      <c r="A920" s="5"/>
      <c r="B920" s="5"/>
      <c r="D920" s="5"/>
    </row>
    <row r="921">
      <c r="A921" s="5"/>
      <c r="B921" s="5"/>
      <c r="D921" s="5"/>
    </row>
    <row r="922">
      <c r="A922" s="5"/>
      <c r="B922" s="5"/>
      <c r="D922" s="5"/>
    </row>
    <row r="923">
      <c r="A923" s="5"/>
      <c r="B923" s="5"/>
      <c r="D923" s="5"/>
    </row>
    <row r="924">
      <c r="A924" s="5"/>
      <c r="B924" s="5"/>
      <c r="D924" s="5"/>
    </row>
    <row r="925">
      <c r="A925" s="5"/>
      <c r="B925" s="5"/>
      <c r="D925" s="5"/>
    </row>
    <row r="926">
      <c r="A926" s="5"/>
      <c r="B926" s="5"/>
      <c r="D926" s="5"/>
    </row>
    <row r="927">
      <c r="A927" s="5"/>
      <c r="B927" s="5"/>
      <c r="D927" s="5"/>
    </row>
    <row r="928">
      <c r="A928" s="5"/>
      <c r="B928" s="5"/>
      <c r="D928" s="5"/>
    </row>
    <row r="929">
      <c r="A929" s="5"/>
      <c r="B929" s="5"/>
      <c r="D929" s="5"/>
    </row>
    <row r="930">
      <c r="A930" s="5"/>
      <c r="B930" s="5"/>
      <c r="D930" s="5"/>
    </row>
    <row r="931">
      <c r="A931" s="5"/>
      <c r="B931" s="5"/>
      <c r="D931" s="5"/>
    </row>
    <row r="932">
      <c r="A932" s="5"/>
      <c r="B932" s="5"/>
      <c r="D932" s="5"/>
    </row>
    <row r="933">
      <c r="A933" s="5"/>
      <c r="B933" s="5"/>
      <c r="D933" s="5"/>
    </row>
    <row r="934">
      <c r="A934" s="5"/>
      <c r="B934" s="5"/>
      <c r="D934" s="5"/>
    </row>
    <row r="935">
      <c r="A935" s="5"/>
      <c r="B935" s="5"/>
      <c r="D935" s="5"/>
    </row>
    <row r="936">
      <c r="A936" s="5"/>
      <c r="B936" s="5"/>
      <c r="D936" s="5"/>
    </row>
    <row r="937">
      <c r="A937" s="5"/>
      <c r="B937" s="5"/>
      <c r="D937" s="5"/>
    </row>
    <row r="938">
      <c r="A938" s="5"/>
      <c r="B938" s="5"/>
      <c r="D938" s="5"/>
    </row>
    <row r="939">
      <c r="A939" s="5"/>
      <c r="B939" s="5"/>
      <c r="D939" s="5"/>
    </row>
    <row r="940">
      <c r="A940" s="5"/>
      <c r="B940" s="5"/>
      <c r="D940" s="5"/>
    </row>
    <row r="941">
      <c r="A941" s="5"/>
      <c r="B941" s="5"/>
      <c r="D941" s="5"/>
    </row>
    <row r="942">
      <c r="A942" s="5"/>
      <c r="B942" s="5"/>
      <c r="D942" s="5"/>
    </row>
    <row r="943">
      <c r="A943" s="5"/>
      <c r="B943" s="5"/>
      <c r="D943" s="5"/>
    </row>
    <row r="944">
      <c r="A944" s="5"/>
      <c r="B944" s="5"/>
      <c r="D944" s="5"/>
    </row>
    <row r="945">
      <c r="A945" s="5"/>
      <c r="B945" s="5"/>
      <c r="D945" s="5"/>
    </row>
    <row r="946">
      <c r="A946" s="5"/>
      <c r="B946" s="5"/>
      <c r="D946" s="5"/>
    </row>
    <row r="947">
      <c r="A947" s="5"/>
      <c r="B947" s="5"/>
      <c r="D947" s="5"/>
    </row>
    <row r="948">
      <c r="A948" s="5"/>
      <c r="B948" s="5"/>
      <c r="D948" s="5"/>
    </row>
    <row r="949">
      <c r="A949" s="5"/>
      <c r="B949" s="5"/>
      <c r="D949" s="5"/>
    </row>
    <row r="950">
      <c r="A950" s="5"/>
      <c r="B950" s="5"/>
      <c r="D950" s="5"/>
    </row>
    <row r="951">
      <c r="A951" s="5"/>
      <c r="B951" s="5"/>
      <c r="D951" s="5"/>
    </row>
    <row r="952">
      <c r="A952" s="5"/>
      <c r="B952" s="5"/>
      <c r="D952" s="5"/>
    </row>
    <row r="953">
      <c r="A953" s="5"/>
      <c r="B953" s="5"/>
      <c r="D953" s="5"/>
    </row>
    <row r="954">
      <c r="A954" s="5"/>
      <c r="B954" s="5"/>
      <c r="D954" s="5"/>
    </row>
    <row r="955">
      <c r="A955" s="5"/>
      <c r="B955" s="5"/>
      <c r="D955" s="5"/>
    </row>
    <row r="956">
      <c r="A956" s="5"/>
      <c r="B956" s="5"/>
      <c r="D956" s="5"/>
    </row>
    <row r="957">
      <c r="A957" s="5"/>
      <c r="B957" s="5"/>
      <c r="D957" s="5"/>
    </row>
    <row r="958">
      <c r="A958" s="5"/>
      <c r="B958" s="5"/>
      <c r="D958" s="5"/>
    </row>
    <row r="959">
      <c r="A959" s="5"/>
      <c r="B959" s="5"/>
      <c r="D959" s="5"/>
    </row>
    <row r="960">
      <c r="A960" s="5"/>
      <c r="B960" s="5"/>
      <c r="D960" s="5"/>
    </row>
    <row r="961">
      <c r="A961" s="5"/>
      <c r="B961" s="5"/>
      <c r="D961" s="5"/>
    </row>
    <row r="962">
      <c r="A962" s="5"/>
      <c r="B962" s="5"/>
      <c r="D962" s="5"/>
    </row>
    <row r="963">
      <c r="A963" s="5"/>
      <c r="B963" s="5"/>
      <c r="D963" s="5"/>
    </row>
    <row r="964">
      <c r="A964" s="5"/>
      <c r="B964" s="5"/>
      <c r="D964" s="5"/>
    </row>
    <row r="965">
      <c r="A965" s="5"/>
      <c r="B965" s="5"/>
      <c r="D965" s="5"/>
    </row>
    <row r="966">
      <c r="A966" s="5"/>
      <c r="B966" s="5"/>
      <c r="D966" s="5"/>
    </row>
    <row r="967">
      <c r="A967" s="5"/>
      <c r="B967" s="5"/>
      <c r="D967" s="5"/>
    </row>
    <row r="968">
      <c r="A968" s="5"/>
      <c r="B968" s="5"/>
      <c r="D968" s="5"/>
    </row>
    <row r="969">
      <c r="A969" s="5"/>
      <c r="B969" s="5"/>
      <c r="D969" s="5"/>
    </row>
    <row r="970">
      <c r="A970" s="5"/>
      <c r="B970" s="5"/>
      <c r="D970" s="5"/>
    </row>
    <row r="971">
      <c r="A971" s="5"/>
      <c r="B971" s="5"/>
      <c r="D971" s="5"/>
    </row>
    <row r="972">
      <c r="A972" s="5"/>
      <c r="B972" s="5"/>
      <c r="D972" s="5"/>
    </row>
    <row r="973">
      <c r="A973" s="5"/>
      <c r="B973" s="5"/>
      <c r="D973" s="5"/>
    </row>
    <row r="974">
      <c r="A974" s="5"/>
      <c r="B974" s="5"/>
      <c r="D974" s="5"/>
    </row>
    <row r="975">
      <c r="A975" s="5"/>
      <c r="B975" s="5"/>
      <c r="D975" s="5"/>
    </row>
    <row r="976">
      <c r="A976" s="5"/>
      <c r="B976" s="5"/>
      <c r="D976" s="5"/>
    </row>
    <row r="977">
      <c r="A977" s="5"/>
      <c r="B977" s="5"/>
      <c r="D977" s="5"/>
    </row>
    <row r="978">
      <c r="A978" s="5"/>
      <c r="B978" s="5"/>
      <c r="D978" s="5"/>
    </row>
    <row r="979">
      <c r="A979" s="5"/>
      <c r="B979" s="5"/>
      <c r="D979" s="5"/>
    </row>
    <row r="980">
      <c r="A980" s="5"/>
      <c r="B980" s="5"/>
      <c r="D980" s="5"/>
    </row>
    <row r="981">
      <c r="A981" s="5"/>
      <c r="B981" s="5"/>
      <c r="D981" s="5"/>
    </row>
    <row r="982">
      <c r="A982" s="5"/>
      <c r="B982" s="5"/>
      <c r="D982" s="5"/>
    </row>
    <row r="983">
      <c r="A983" s="5"/>
      <c r="B983" s="5"/>
      <c r="D983" s="5"/>
    </row>
    <row r="984">
      <c r="A984" s="5"/>
      <c r="B984" s="5"/>
      <c r="D984" s="5"/>
    </row>
    <row r="985">
      <c r="A985" s="5"/>
      <c r="B985" s="5"/>
      <c r="D985" s="5"/>
    </row>
    <row r="986">
      <c r="A986" s="5"/>
      <c r="B986" s="5"/>
      <c r="D986" s="5"/>
    </row>
    <row r="987">
      <c r="A987" s="5"/>
      <c r="B987" s="5"/>
      <c r="D987" s="5"/>
    </row>
    <row r="988">
      <c r="A988" s="5"/>
      <c r="B988" s="5"/>
      <c r="D988" s="5"/>
    </row>
    <row r="989">
      <c r="A989" s="5"/>
      <c r="B989" s="5"/>
      <c r="D989" s="5"/>
    </row>
    <row r="990">
      <c r="A990" s="5"/>
      <c r="B990" s="5"/>
      <c r="D990" s="5"/>
    </row>
    <row r="991">
      <c r="A991" s="5"/>
      <c r="B991" s="5"/>
      <c r="D991" s="5"/>
    </row>
    <row r="992">
      <c r="A992" s="5"/>
      <c r="B992" s="5"/>
      <c r="D992" s="5"/>
    </row>
    <row r="993">
      <c r="A993" s="5"/>
      <c r="B993" s="5"/>
      <c r="D993" s="5"/>
    </row>
    <row r="994">
      <c r="A994" s="5"/>
      <c r="B994" s="5"/>
      <c r="D994" s="5"/>
    </row>
    <row r="995">
      <c r="A995" s="5"/>
      <c r="B995" s="5"/>
      <c r="D995" s="5"/>
    </row>
    <row r="996">
      <c r="A996" s="5"/>
      <c r="B996" s="5"/>
      <c r="D996" s="5"/>
    </row>
    <row r="997">
      <c r="A997" s="5"/>
      <c r="B997" s="5"/>
      <c r="D997" s="5"/>
    </row>
    <row r="998">
      <c r="A998" s="5"/>
      <c r="B998" s="5"/>
      <c r="D998" s="5"/>
    </row>
    <row r="999">
      <c r="A999" s="5"/>
      <c r="B999" s="5"/>
      <c r="D999" s="5"/>
    </row>
    <row r="1000">
      <c r="A1000" s="5"/>
      <c r="B1000" s="5"/>
      <c r="D1000" s="5"/>
    </row>
    <row r="1001">
      <c r="A1001" s="5"/>
      <c r="B1001" s="5"/>
      <c r="D1001" s="5"/>
    </row>
    <row r="1002">
      <c r="A1002" s="5"/>
      <c r="B1002" s="5"/>
      <c r="D1002" s="5"/>
    </row>
    <row r="1003">
      <c r="A1003" s="5"/>
      <c r="B1003" s="5"/>
      <c r="D1003" s="5"/>
    </row>
    <row r="1004">
      <c r="A1004" s="5"/>
      <c r="B1004" s="5"/>
      <c r="D1004" s="5"/>
    </row>
    <row r="1005">
      <c r="A1005" s="5"/>
      <c r="B1005" s="5"/>
      <c r="D1005" s="5"/>
    </row>
    <row r="1006">
      <c r="A1006" s="5"/>
      <c r="B1006" s="5"/>
      <c r="D1006" s="5"/>
    </row>
    <row r="1007">
      <c r="A1007" s="5"/>
      <c r="B1007" s="5"/>
      <c r="D1007" s="5"/>
    </row>
    <row r="1008">
      <c r="A1008" s="5"/>
      <c r="B1008" s="5"/>
      <c r="D1008" s="5"/>
    </row>
  </sheetData>
  <hyperlinks>
    <hyperlink r:id="rId4" location="gid=0" ref="F8"/>
    <hyperlink r:id="rId5" ref="F19"/>
  </hyperlinks>
  <drawing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44.75"/>
    <col customWidth="1" min="3" max="3" width="28.75"/>
    <col customWidth="1" min="4" max="4" width="16.25"/>
    <col customWidth="1" min="5" max="5" width="72.0"/>
    <col customWidth="1" min="6" max="6" width="20.13"/>
    <col customWidth="1" min="7" max="7" width="72.0"/>
    <col customWidth="1" min="15" max="15" width="38.5"/>
    <col customWidth="1" min="18" max="18" width="21.0"/>
  </cols>
  <sheetData>
    <row r="1">
      <c r="A1" s="1" t="s">
        <v>0</v>
      </c>
      <c r="B1" s="1"/>
      <c r="C1" s="1" t="s">
        <v>2</v>
      </c>
      <c r="D1" s="3" t="s">
        <v>4</v>
      </c>
      <c r="E1" s="1" t="s">
        <v>6</v>
      </c>
      <c r="F1" s="6" t="s">
        <v>7</v>
      </c>
      <c r="G1" s="4" t="s">
        <v>8</v>
      </c>
      <c r="H1" s="4" t="s">
        <v>12</v>
      </c>
      <c r="N1" s="4" t="s">
        <v>15</v>
      </c>
    </row>
    <row r="2">
      <c r="A2" s="1"/>
      <c r="B2" s="1"/>
      <c r="C2" s="5"/>
      <c r="E2" s="5"/>
      <c r="F2" s="9"/>
      <c r="N2" s="4" t="s">
        <v>21</v>
      </c>
      <c r="O2" s="12">
        <f>1.60934</f>
        <v>1.60934</v>
      </c>
    </row>
    <row r="3">
      <c r="A3" s="8" t="s">
        <v>25</v>
      </c>
      <c r="B3" s="8" t="s">
        <v>35</v>
      </c>
      <c r="C3" s="8" t="s">
        <v>14</v>
      </c>
      <c r="D3" s="11">
        <v>0.1038</v>
      </c>
      <c r="E3" s="8">
        <v>0.002088061302</v>
      </c>
      <c r="F3" s="14">
        <f t="shared" ref="F3:F23" si="1">D3*(1+E3)</f>
        <v>0.1040167408</v>
      </c>
      <c r="G3" s="4" t="s">
        <v>16</v>
      </c>
    </row>
    <row r="4">
      <c r="A4" s="8" t="s">
        <v>25</v>
      </c>
      <c r="B4" s="8" t="s">
        <v>39</v>
      </c>
      <c r="C4" s="8" t="s">
        <v>14</v>
      </c>
      <c r="D4" s="11">
        <v>0.1371171258</v>
      </c>
      <c r="E4" s="8">
        <v>0.0</v>
      </c>
      <c r="F4" s="14">
        <f t="shared" si="1"/>
        <v>0.1371171258</v>
      </c>
      <c r="G4" s="18" t="s">
        <v>41</v>
      </c>
    </row>
    <row r="5">
      <c r="A5" s="8" t="s">
        <v>25</v>
      </c>
      <c r="B5" s="8" t="s">
        <v>18</v>
      </c>
      <c r="C5" s="8" t="s">
        <v>14</v>
      </c>
      <c r="D5" s="4">
        <v>0.02116</v>
      </c>
      <c r="E5" s="8">
        <v>0.0</v>
      </c>
      <c r="F5" s="14">
        <f t="shared" si="1"/>
        <v>0.02116</v>
      </c>
      <c r="G5" s="4" t="s">
        <v>22</v>
      </c>
    </row>
    <row r="6">
      <c r="A6" s="8" t="s">
        <v>25</v>
      </c>
      <c r="B6" s="8" t="s">
        <v>23</v>
      </c>
      <c r="C6" s="8" t="s">
        <v>24</v>
      </c>
      <c r="D6" s="4">
        <v>1.143E-4</v>
      </c>
      <c r="E6" s="8">
        <v>0.0</v>
      </c>
      <c r="F6" s="14">
        <f t="shared" si="1"/>
        <v>0.0001143</v>
      </c>
      <c r="G6" s="22" t="s">
        <v>65</v>
      </c>
      <c r="H6" s="4" t="s">
        <v>69</v>
      </c>
    </row>
    <row r="7">
      <c r="A7" s="8" t="s">
        <v>25</v>
      </c>
      <c r="B7" s="8" t="s">
        <v>29</v>
      </c>
      <c r="C7" s="8" t="s">
        <v>24</v>
      </c>
      <c r="D7" s="4">
        <v>1.384E-4</v>
      </c>
      <c r="E7" s="8">
        <v>0.0</v>
      </c>
      <c r="F7" s="14">
        <f t="shared" si="1"/>
        <v>0.0001384</v>
      </c>
      <c r="G7" s="22" t="s">
        <v>65</v>
      </c>
      <c r="H7" s="4" t="s">
        <v>69</v>
      </c>
    </row>
    <row r="8">
      <c r="A8" s="8" t="s">
        <v>25</v>
      </c>
      <c r="B8" s="8" t="s">
        <v>33</v>
      </c>
      <c r="C8" s="8" t="s">
        <v>34</v>
      </c>
      <c r="D8" s="4">
        <v>0.001518790827</v>
      </c>
      <c r="E8" s="8">
        <v>0.0</v>
      </c>
      <c r="F8" s="14">
        <f t="shared" si="1"/>
        <v>0.001518790827</v>
      </c>
      <c r="G8" s="18" t="s">
        <v>36</v>
      </c>
    </row>
    <row r="9">
      <c r="A9" s="8" t="s">
        <v>25</v>
      </c>
      <c r="B9" s="8" t="s">
        <v>82</v>
      </c>
      <c r="C9" s="8" t="s">
        <v>45</v>
      </c>
      <c r="D9" s="4">
        <f>(788/1000000)*1.609</f>
        <v>0.001267892</v>
      </c>
      <c r="E9" s="8">
        <v>0.0</v>
      </c>
      <c r="F9" s="14">
        <f t="shared" si="1"/>
        <v>0.001267892</v>
      </c>
      <c r="G9" s="22" t="s">
        <v>65</v>
      </c>
    </row>
    <row r="10">
      <c r="A10" s="8" t="s">
        <v>25</v>
      </c>
      <c r="B10" s="8" t="s">
        <v>46</v>
      </c>
      <c r="C10" s="8" t="s">
        <v>47</v>
      </c>
      <c r="D10" s="12">
        <f>(0.0161*O2)/1000</f>
        <v>0.000025910374</v>
      </c>
      <c r="E10" s="8">
        <v>0.0</v>
      </c>
      <c r="F10" s="14">
        <f t="shared" si="1"/>
        <v>0.000025910374</v>
      </c>
      <c r="G10" s="22" t="s">
        <v>65</v>
      </c>
      <c r="H10" s="4" t="s">
        <v>69</v>
      </c>
    </row>
    <row r="11">
      <c r="A11" s="8" t="s">
        <v>25</v>
      </c>
      <c r="B11" s="8" t="s">
        <v>49</v>
      </c>
      <c r="C11" s="8" t="s">
        <v>50</v>
      </c>
      <c r="D11" s="24">
        <f>'Truck and Trailer EE 2026'!B17</f>
        <v>0.0002375605888</v>
      </c>
      <c r="E11" s="8">
        <v>0.0</v>
      </c>
      <c r="F11" s="14">
        <f t="shared" si="1"/>
        <v>0.0002375605888</v>
      </c>
      <c r="G11" s="22" t="s">
        <v>65</v>
      </c>
      <c r="O11" s="8"/>
    </row>
    <row r="12">
      <c r="A12" s="8" t="s">
        <v>25</v>
      </c>
      <c r="B12" s="8" t="s">
        <v>52</v>
      </c>
      <c r="C12" s="8" t="s">
        <v>50</v>
      </c>
      <c r="D12" s="12">
        <f>'Truck and Trailer EE 2026'!B23</f>
        <v>0.0001927908256</v>
      </c>
      <c r="E12" s="8">
        <v>0.0</v>
      </c>
      <c r="F12" s="14">
        <f t="shared" si="1"/>
        <v>0.0001927908256</v>
      </c>
      <c r="G12" s="22" t="s">
        <v>65</v>
      </c>
      <c r="O12" s="8"/>
      <c r="P12" s="25"/>
      <c r="T12" s="26"/>
    </row>
    <row r="13">
      <c r="A13" s="8" t="s">
        <v>25</v>
      </c>
      <c r="B13" s="8" t="s">
        <v>53</v>
      </c>
      <c r="C13" s="8" t="s">
        <v>104</v>
      </c>
      <c r="D13" s="27">
        <f>'2026 Railcar Embodied Emissions'!B5</f>
        <v>0.00003113066508</v>
      </c>
      <c r="E13" s="8">
        <v>0.0</v>
      </c>
      <c r="F13" s="14">
        <f t="shared" si="1"/>
        <v>0.00003113066508</v>
      </c>
      <c r="G13" s="22" t="s">
        <v>65</v>
      </c>
      <c r="J13" s="25"/>
      <c r="O13" s="8"/>
      <c r="P13" s="25"/>
      <c r="T13" s="26"/>
    </row>
    <row r="14">
      <c r="A14" s="8" t="s">
        <v>25</v>
      </c>
      <c r="B14" s="8" t="s">
        <v>105</v>
      </c>
      <c r="C14" s="8" t="s">
        <v>55</v>
      </c>
      <c r="D14" s="12">
        <f>'2026 SPNO Electricity EFs'!D23/1000</f>
        <v>0.0004655516852</v>
      </c>
      <c r="E14" s="8">
        <v>0.0</v>
      </c>
      <c r="F14" s="14">
        <f t="shared" si="1"/>
        <v>0.0004655516852</v>
      </c>
      <c r="G14" s="4" t="s">
        <v>106</v>
      </c>
    </row>
    <row r="15">
      <c r="A15" s="8" t="s">
        <v>25</v>
      </c>
      <c r="B15" s="8" t="s">
        <v>107</v>
      </c>
      <c r="C15" s="8" t="s">
        <v>55</v>
      </c>
      <c r="D15" s="12">
        <f>'2026 RMPA Electricity EFs'!D26/1000</f>
        <v>0.0004890238251</v>
      </c>
      <c r="E15" s="8">
        <v>0.0</v>
      </c>
      <c r="F15" s="14">
        <f t="shared" si="1"/>
        <v>0.0004890238251</v>
      </c>
      <c r="G15" s="4" t="s">
        <v>106</v>
      </c>
    </row>
    <row r="16">
      <c r="A16" s="8" t="s">
        <v>25</v>
      </c>
      <c r="B16" s="8" t="s">
        <v>109</v>
      </c>
      <c r="C16" s="8" t="s">
        <v>55</v>
      </c>
      <c r="D16" s="12">
        <f>'2026 SPSO Electricity EFs'!D5</f>
        <v>0.0004630140342</v>
      </c>
      <c r="E16" s="8">
        <v>0.0</v>
      </c>
      <c r="F16" s="14">
        <f t="shared" si="1"/>
        <v>0.0004630140342</v>
      </c>
      <c r="G16" s="4"/>
    </row>
    <row r="17">
      <c r="A17" s="8" t="s">
        <v>25</v>
      </c>
      <c r="B17" s="8" t="s">
        <v>110</v>
      </c>
      <c r="C17" s="8" t="s">
        <v>55</v>
      </c>
      <c r="D17" s="12">
        <f>'2026 SPNO Electricity EFs'!B30/1000</f>
        <v>0.00001002719674</v>
      </c>
      <c r="E17" s="8">
        <v>0.0</v>
      </c>
      <c r="F17" s="14">
        <f t="shared" si="1"/>
        <v>0.00001002719674</v>
      </c>
      <c r="G17" s="4" t="s">
        <v>106</v>
      </c>
    </row>
    <row r="18">
      <c r="A18" s="8" t="s">
        <v>25</v>
      </c>
      <c r="B18" s="8" t="s">
        <v>112</v>
      </c>
      <c r="C18" s="8" t="s">
        <v>55</v>
      </c>
      <c r="D18" s="12">
        <f>'2026 RMPA Electricity EFs'!B33/1000</f>
        <v>0.00003664154577</v>
      </c>
      <c r="E18" s="8">
        <v>0.0</v>
      </c>
      <c r="F18" s="14">
        <f t="shared" si="1"/>
        <v>0.00003664154577</v>
      </c>
      <c r="G18" s="4" t="s">
        <v>106</v>
      </c>
    </row>
    <row r="19">
      <c r="A19" s="8" t="s">
        <v>25</v>
      </c>
      <c r="B19" s="8" t="s">
        <v>113</v>
      </c>
      <c r="C19" s="8" t="s">
        <v>55</v>
      </c>
      <c r="D19" s="12">
        <f>'2026 SPSO Electricity EFs'!B33/1000</f>
        <v>0.00003664154577</v>
      </c>
      <c r="E19" s="8">
        <v>0.0</v>
      </c>
      <c r="F19" s="14">
        <f t="shared" si="1"/>
        <v>0.00003664154577</v>
      </c>
      <c r="G19" s="4" t="s">
        <v>106</v>
      </c>
    </row>
    <row r="20">
      <c r="A20" s="8" t="s">
        <v>25</v>
      </c>
      <c r="B20" s="8" t="s">
        <v>59</v>
      </c>
      <c r="C20" s="8" t="s">
        <v>114</v>
      </c>
      <c r="D20" s="4">
        <v>3.87</v>
      </c>
      <c r="E20" s="8">
        <v>0.0</v>
      </c>
      <c r="F20" s="14">
        <f t="shared" si="1"/>
        <v>3.87</v>
      </c>
      <c r="G20" s="22" t="s">
        <v>65</v>
      </c>
      <c r="H20" s="4" t="s">
        <v>69</v>
      </c>
    </row>
    <row r="21">
      <c r="A21" s="8" t="s">
        <v>25</v>
      </c>
      <c r="B21" s="8" t="s">
        <v>62</v>
      </c>
      <c r="C21" s="8" t="s">
        <v>114</v>
      </c>
      <c r="D21" s="4">
        <v>3.63</v>
      </c>
      <c r="E21" s="8">
        <v>0.0</v>
      </c>
      <c r="F21" s="14">
        <f t="shared" si="1"/>
        <v>3.63</v>
      </c>
      <c r="G21" s="22" t="s">
        <v>65</v>
      </c>
      <c r="H21" s="4" t="s">
        <v>69</v>
      </c>
    </row>
    <row r="22">
      <c r="A22" s="8" t="s">
        <v>25</v>
      </c>
      <c r="B22" s="8" t="s">
        <v>64</v>
      </c>
      <c r="C22" s="8" t="s">
        <v>114</v>
      </c>
      <c r="D22" s="4">
        <v>3.74</v>
      </c>
      <c r="E22" s="8">
        <v>0.0</v>
      </c>
      <c r="F22" s="14">
        <f t="shared" si="1"/>
        <v>3.74</v>
      </c>
      <c r="G22" s="22" t="s">
        <v>65</v>
      </c>
      <c r="H22" s="4" t="s">
        <v>69</v>
      </c>
    </row>
    <row r="23">
      <c r="A23" s="8" t="s">
        <v>25</v>
      </c>
      <c r="B23" s="8" t="s">
        <v>66</v>
      </c>
      <c r="C23" s="8" t="s">
        <v>67</v>
      </c>
      <c r="D23" s="4">
        <f>'2026 Water'!A4</f>
        <v>0.000001741289766</v>
      </c>
      <c r="E23" s="8">
        <v>0.0</v>
      </c>
      <c r="F23" s="14">
        <f t="shared" si="1"/>
        <v>0.000001741289766</v>
      </c>
      <c r="G23" s="22" t="s">
        <v>68</v>
      </c>
    </row>
    <row r="24">
      <c r="A24" s="8" t="s">
        <v>25</v>
      </c>
      <c r="B24" s="8" t="s">
        <v>115</v>
      </c>
      <c r="C24" s="8" t="s">
        <v>116</v>
      </c>
      <c r="D24" s="4" t="s">
        <v>117</v>
      </c>
      <c r="E24" s="8" t="s">
        <v>118</v>
      </c>
      <c r="F24" s="14" t="s">
        <v>117</v>
      </c>
    </row>
    <row r="25">
      <c r="A25" s="8" t="s">
        <v>25</v>
      </c>
      <c r="B25" s="8" t="s">
        <v>120</v>
      </c>
      <c r="C25" s="8" t="s">
        <v>121</v>
      </c>
      <c r="D25" s="28">
        <v>3.965</v>
      </c>
      <c r="E25" s="8">
        <v>0.0</v>
      </c>
      <c r="F25" s="14">
        <f t="shared" ref="F25:F51" si="2">D25*(1+E25)</f>
        <v>3.965</v>
      </c>
      <c r="G25" s="32" t="s">
        <v>122</v>
      </c>
      <c r="H25" s="33"/>
    </row>
    <row r="26">
      <c r="A26" s="8" t="s">
        <v>25</v>
      </c>
      <c r="B26" s="8" t="s">
        <v>70</v>
      </c>
      <c r="C26" s="8" t="s">
        <v>71</v>
      </c>
      <c r="D26" s="28">
        <f>2817607/1000000</f>
        <v>2.817607</v>
      </c>
      <c r="E26" s="8">
        <v>0.0</v>
      </c>
      <c r="F26" s="14">
        <f t="shared" si="2"/>
        <v>2.817607</v>
      </c>
      <c r="G26" s="4" t="s">
        <v>126</v>
      </c>
      <c r="H26" s="33">
        <v>3.106312</v>
      </c>
    </row>
    <row r="27">
      <c r="A27" s="8" t="s">
        <v>25</v>
      </c>
      <c r="B27" s="8" t="s">
        <v>127</v>
      </c>
      <c r="C27" s="8" t="s">
        <v>71</v>
      </c>
      <c r="D27" s="12">
        <f>720746/1000000</f>
        <v>0.720746</v>
      </c>
      <c r="E27" s="8">
        <v>0.0</v>
      </c>
      <c r="F27" s="14">
        <f t="shared" si="2"/>
        <v>0.720746</v>
      </c>
      <c r="G27" s="4" t="s">
        <v>126</v>
      </c>
      <c r="H27" s="33">
        <v>0.794486</v>
      </c>
    </row>
    <row r="28">
      <c r="A28" s="8" t="s">
        <v>25</v>
      </c>
      <c r="B28" s="8" t="s">
        <v>74</v>
      </c>
      <c r="C28" s="8" t="s">
        <v>75</v>
      </c>
      <c r="D28" s="12">
        <f>3372324/1000000</f>
        <v>3.372324</v>
      </c>
      <c r="E28" s="8">
        <v>0.0</v>
      </c>
      <c r="F28" s="14">
        <f t="shared" si="2"/>
        <v>3.372324</v>
      </c>
      <c r="G28" s="4" t="s">
        <v>126</v>
      </c>
      <c r="H28" s="33">
        <v>3.71735</v>
      </c>
    </row>
    <row r="29">
      <c r="A29" s="8" t="s">
        <v>25</v>
      </c>
      <c r="B29" s="8" t="s">
        <v>129</v>
      </c>
      <c r="C29" s="8" t="s">
        <v>77</v>
      </c>
      <c r="D29" s="12">
        <f>1702514/1000000</f>
        <v>1.702514</v>
      </c>
      <c r="E29" s="8">
        <v>0.0</v>
      </c>
      <c r="F29" s="14">
        <f t="shared" si="2"/>
        <v>1.702514</v>
      </c>
      <c r="G29" s="4" t="s">
        <v>126</v>
      </c>
      <c r="H29" s="33">
        <v>1.8767</v>
      </c>
    </row>
    <row r="30">
      <c r="A30" s="8" t="s">
        <v>25</v>
      </c>
      <c r="B30" s="8" t="s">
        <v>130</v>
      </c>
      <c r="C30" s="8" t="s">
        <v>131</v>
      </c>
      <c r="D30" s="12">
        <f>1980563/1000000</f>
        <v>1.980563</v>
      </c>
      <c r="E30" s="8">
        <v>0.0</v>
      </c>
      <c r="F30" s="14">
        <f t="shared" si="2"/>
        <v>1.980563</v>
      </c>
      <c r="G30" s="4" t="s">
        <v>126</v>
      </c>
      <c r="H30" s="33">
        <v>2.183196</v>
      </c>
    </row>
    <row r="31">
      <c r="A31" s="8" t="s">
        <v>25</v>
      </c>
      <c r="B31" s="8" t="s">
        <v>78</v>
      </c>
      <c r="C31" s="8" t="s">
        <v>79</v>
      </c>
      <c r="D31" s="12">
        <f>86234/1000000</f>
        <v>0.086234</v>
      </c>
      <c r="E31" s="8">
        <v>0.0</v>
      </c>
      <c r="F31" s="14">
        <f t="shared" si="2"/>
        <v>0.086234</v>
      </c>
      <c r="G31" s="4" t="s">
        <v>126</v>
      </c>
      <c r="H31" s="33">
        <v>0.095057</v>
      </c>
    </row>
    <row r="32">
      <c r="A32" s="8" t="s">
        <v>25</v>
      </c>
      <c r="B32" s="8" t="s">
        <v>80</v>
      </c>
      <c r="C32" s="8" t="s">
        <v>81</v>
      </c>
      <c r="D32" s="12">
        <f>'2026 LCS Embodied Emissions'!B7</f>
        <v>0.9524085988</v>
      </c>
      <c r="E32" s="8">
        <v>0.001200260388</v>
      </c>
      <c r="F32" s="14">
        <f t="shared" si="2"/>
        <v>0.9535517371</v>
      </c>
      <c r="G32" s="4" t="s">
        <v>126</v>
      </c>
      <c r="H32" s="33">
        <v>1.051111</v>
      </c>
    </row>
    <row r="33">
      <c r="A33" s="8" t="s">
        <v>25</v>
      </c>
      <c r="B33" s="8" t="s">
        <v>83</v>
      </c>
      <c r="C33" s="8" t="s">
        <v>133</v>
      </c>
      <c r="D33" s="35">
        <f>'2026 Currency Conversions for C'!H9</f>
        <v>0.1577</v>
      </c>
      <c r="E33" s="8">
        <v>0.0</v>
      </c>
      <c r="F33" s="14">
        <f t="shared" si="2"/>
        <v>0.1577</v>
      </c>
      <c r="G33" s="4" t="s">
        <v>134</v>
      </c>
    </row>
    <row r="34">
      <c r="A34" s="8" t="s">
        <v>25</v>
      </c>
      <c r="B34" s="8" t="s">
        <v>86</v>
      </c>
      <c r="C34" s="8" t="s">
        <v>133</v>
      </c>
      <c r="D34" s="35">
        <f>'2026 Currency Conversions for C'!H3</f>
        <v>0.1995</v>
      </c>
      <c r="E34" s="8">
        <v>0.0</v>
      </c>
      <c r="F34" s="14">
        <f t="shared" si="2"/>
        <v>0.1995</v>
      </c>
      <c r="G34" s="4" t="s">
        <v>134</v>
      </c>
    </row>
    <row r="35">
      <c r="A35" s="8" t="s">
        <v>25</v>
      </c>
      <c r="B35" s="8" t="s">
        <v>137</v>
      </c>
      <c r="C35" s="8" t="s">
        <v>133</v>
      </c>
      <c r="D35" s="35">
        <f>'2026 Currency Conversions for C'!H4</f>
        <v>0.19095</v>
      </c>
      <c r="E35" s="8">
        <v>0.0</v>
      </c>
      <c r="F35" s="14">
        <f t="shared" si="2"/>
        <v>0.19095</v>
      </c>
      <c r="G35" s="4" t="s">
        <v>134</v>
      </c>
    </row>
    <row r="36">
      <c r="A36" s="8" t="s">
        <v>25</v>
      </c>
      <c r="B36" s="8" t="s">
        <v>88</v>
      </c>
      <c r="C36" s="8" t="s">
        <v>133</v>
      </c>
      <c r="D36" s="35">
        <f>'2026 Currency Conversions for C'!H10</f>
        <v>0.1235</v>
      </c>
      <c r="E36" s="8">
        <v>0.0</v>
      </c>
      <c r="F36" s="14">
        <f t="shared" si="2"/>
        <v>0.1235</v>
      </c>
      <c r="G36" s="4" t="s">
        <v>134</v>
      </c>
    </row>
    <row r="37">
      <c r="A37" s="8" t="s">
        <v>25</v>
      </c>
      <c r="B37" s="8" t="s">
        <v>89</v>
      </c>
      <c r="C37" s="8" t="s">
        <v>133</v>
      </c>
      <c r="D37" s="35">
        <f>'2026 Currency Conversions for C'!H5</f>
        <v>0.17765</v>
      </c>
      <c r="E37" s="8">
        <v>0.0</v>
      </c>
      <c r="F37" s="14">
        <f t="shared" si="2"/>
        <v>0.17765</v>
      </c>
      <c r="G37" s="4" t="s">
        <v>134</v>
      </c>
    </row>
    <row r="38">
      <c r="A38" s="8" t="s">
        <v>25</v>
      </c>
      <c r="B38" s="8" t="s">
        <v>90</v>
      </c>
      <c r="C38" s="8" t="s">
        <v>133</v>
      </c>
      <c r="D38" s="35">
        <f>'2026 Currency Conversions for C'!H2</f>
        <v>0.37715</v>
      </c>
      <c r="E38" s="8">
        <v>0.0</v>
      </c>
      <c r="F38" s="14">
        <f t="shared" si="2"/>
        <v>0.37715</v>
      </c>
      <c r="G38" s="4" t="s">
        <v>134</v>
      </c>
    </row>
    <row r="39">
      <c r="A39" s="8" t="s">
        <v>25</v>
      </c>
      <c r="B39" s="8" t="s">
        <v>91</v>
      </c>
      <c r="C39" s="8" t="s">
        <v>133</v>
      </c>
      <c r="D39" s="35">
        <f>'2026 Currency Conversions for C'!H6</f>
        <v>0.1767</v>
      </c>
      <c r="E39" s="8">
        <v>0.0</v>
      </c>
      <c r="F39" s="14">
        <f t="shared" si="2"/>
        <v>0.1767</v>
      </c>
      <c r="G39" s="4" t="s">
        <v>134</v>
      </c>
    </row>
    <row r="40">
      <c r="A40" s="8" t="s">
        <v>25</v>
      </c>
      <c r="B40" s="8" t="s">
        <v>92</v>
      </c>
      <c r="C40" s="8" t="s">
        <v>133</v>
      </c>
      <c r="D40" s="35">
        <f>'2026 Currency Conversions for C'!H7</f>
        <v>0.1748</v>
      </c>
      <c r="E40" s="8">
        <v>0.0</v>
      </c>
      <c r="F40" s="14">
        <f t="shared" si="2"/>
        <v>0.1748</v>
      </c>
      <c r="G40" s="4" t="s">
        <v>134</v>
      </c>
    </row>
    <row r="41">
      <c r="A41" s="8" t="s">
        <v>25</v>
      </c>
      <c r="B41" s="5" t="s">
        <v>93</v>
      </c>
      <c r="C41" s="5" t="s">
        <v>94</v>
      </c>
      <c r="D41" s="19">
        <f>0.0377/1000</f>
        <v>0.0000377</v>
      </c>
      <c r="E41" s="8">
        <v>0.0</v>
      </c>
      <c r="F41" s="14">
        <f t="shared" si="2"/>
        <v>0.0000377</v>
      </c>
      <c r="G41" s="5" t="s">
        <v>95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8" t="s">
        <v>25</v>
      </c>
      <c r="B42" s="5" t="s">
        <v>99</v>
      </c>
      <c r="C42" s="5" t="s">
        <v>94</v>
      </c>
      <c r="D42" s="19">
        <f>0.0121/1000</f>
        <v>0.0000121</v>
      </c>
      <c r="E42" s="8">
        <v>0.0</v>
      </c>
      <c r="F42" s="14">
        <f t="shared" si="2"/>
        <v>0.0000121</v>
      </c>
      <c r="G42" s="5" t="s">
        <v>95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8" t="s">
        <v>25</v>
      </c>
      <c r="B43" s="5" t="s">
        <v>100</v>
      </c>
      <c r="C43" s="5" t="s">
        <v>94</v>
      </c>
      <c r="D43" s="19">
        <f>0.603/1000</f>
        <v>0.000603</v>
      </c>
      <c r="E43" s="8">
        <v>0.0</v>
      </c>
      <c r="F43" s="14">
        <f t="shared" si="2"/>
        <v>0.000603</v>
      </c>
      <c r="G43" s="5" t="s">
        <v>95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8" t="s">
        <v>25</v>
      </c>
      <c r="B44" s="5" t="s">
        <v>103</v>
      </c>
      <c r="C44" s="5" t="s">
        <v>94</v>
      </c>
      <c r="D44" s="19">
        <f>0.259/1000</f>
        <v>0.000259</v>
      </c>
      <c r="E44" s="8">
        <v>0.0</v>
      </c>
      <c r="F44" s="14">
        <f t="shared" si="2"/>
        <v>0.000259</v>
      </c>
      <c r="G44" s="5" t="s">
        <v>95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8" t="s">
        <v>25</v>
      </c>
      <c r="B45" s="8" t="s">
        <v>139</v>
      </c>
      <c r="C45" s="8" t="s">
        <v>138</v>
      </c>
      <c r="D45" s="35">
        <f>'2026 Currency Conversions for C'!H8</f>
        <v>0.16815</v>
      </c>
      <c r="E45" s="8">
        <v>0.0</v>
      </c>
      <c r="F45" s="14">
        <f t="shared" si="2"/>
        <v>0.16815</v>
      </c>
      <c r="G45" s="4" t="s">
        <v>134</v>
      </c>
    </row>
    <row r="46">
      <c r="A46" s="8" t="s">
        <v>25</v>
      </c>
      <c r="B46" s="8" t="s">
        <v>140</v>
      </c>
      <c r="C46" s="8" t="s">
        <v>114</v>
      </c>
      <c r="D46" s="4">
        <v>5.65</v>
      </c>
      <c r="E46" s="8">
        <v>0.0</v>
      </c>
      <c r="F46" s="14">
        <f t="shared" si="2"/>
        <v>5.65</v>
      </c>
      <c r="G46" s="4" t="s">
        <v>141</v>
      </c>
      <c r="H46" s="33">
        <v>5.65</v>
      </c>
    </row>
    <row r="47">
      <c r="A47" s="8" t="s">
        <v>25</v>
      </c>
      <c r="B47" s="8" t="s">
        <v>142</v>
      </c>
      <c r="C47" s="8" t="s">
        <v>143</v>
      </c>
      <c r="D47" s="12">
        <f>'2026 Methanol'!C2</f>
        <v>1.3988008</v>
      </c>
      <c r="E47" s="8">
        <v>0.0</v>
      </c>
      <c r="F47" s="14">
        <f t="shared" si="2"/>
        <v>1.3988008</v>
      </c>
      <c r="G47" s="4" t="s">
        <v>126</v>
      </c>
    </row>
    <row r="48">
      <c r="A48" s="8" t="s">
        <v>25</v>
      </c>
      <c r="B48" s="8" t="s">
        <v>144</v>
      </c>
      <c r="C48" s="8" t="s">
        <v>145</v>
      </c>
      <c r="D48" s="12">
        <f>8179/1000</f>
        <v>8.179</v>
      </c>
      <c r="E48" s="8">
        <v>0.0</v>
      </c>
      <c r="F48" s="14">
        <f t="shared" si="2"/>
        <v>8.179</v>
      </c>
      <c r="G48" s="4" t="s">
        <v>126</v>
      </c>
      <c r="H48" s="33">
        <v>0.009016</v>
      </c>
    </row>
    <row r="49">
      <c r="A49" s="8" t="s">
        <v>25</v>
      </c>
      <c r="B49" s="8" t="s">
        <v>146</v>
      </c>
      <c r="C49" s="8" t="s">
        <v>147</v>
      </c>
      <c r="D49" s="4">
        <v>0.00436</v>
      </c>
      <c r="E49" s="8">
        <v>0.0</v>
      </c>
      <c r="F49" s="14">
        <f t="shared" si="2"/>
        <v>0.00436</v>
      </c>
      <c r="G49" s="4" t="s">
        <v>148</v>
      </c>
      <c r="H49" s="33">
        <v>0.00436</v>
      </c>
    </row>
    <row r="50">
      <c r="A50" s="8" t="s">
        <v>25</v>
      </c>
      <c r="B50" s="8" t="s">
        <v>149</v>
      </c>
      <c r="C50" s="8" t="s">
        <v>150</v>
      </c>
      <c r="D50" s="4">
        <v>0.048</v>
      </c>
      <c r="E50" s="8">
        <v>0.0</v>
      </c>
      <c r="F50" s="14">
        <f t="shared" si="2"/>
        <v>0.048</v>
      </c>
      <c r="G50" s="4" t="s">
        <v>148</v>
      </c>
      <c r="H50" s="33">
        <v>0.048</v>
      </c>
    </row>
    <row r="51">
      <c r="A51" s="8" t="s">
        <v>25</v>
      </c>
      <c r="B51" s="8" t="s">
        <v>151</v>
      </c>
      <c r="C51" s="4" t="s">
        <v>152</v>
      </c>
      <c r="D51" s="4">
        <v>0.263</v>
      </c>
      <c r="E51" s="8">
        <v>0.0</v>
      </c>
      <c r="F51" s="14">
        <f t="shared" si="2"/>
        <v>0.263</v>
      </c>
      <c r="G51" s="4" t="s">
        <v>153</v>
      </c>
      <c r="H51" s="33">
        <v>0.263</v>
      </c>
    </row>
    <row r="52">
      <c r="A52" s="8" t="s">
        <v>25</v>
      </c>
      <c r="B52" s="8" t="s">
        <v>154</v>
      </c>
      <c r="C52" s="8" t="s">
        <v>133</v>
      </c>
      <c r="D52" s="4">
        <v>0.22</v>
      </c>
      <c r="E52" s="8">
        <v>0.0</v>
      </c>
      <c r="F52" s="14">
        <v>0.22</v>
      </c>
      <c r="G52" s="4" t="s">
        <v>134</v>
      </c>
    </row>
    <row r="53">
      <c r="A53" s="8" t="s">
        <v>25</v>
      </c>
      <c r="B53" s="8" t="s">
        <v>155</v>
      </c>
      <c r="C53" s="8" t="s">
        <v>133</v>
      </c>
      <c r="D53" s="4">
        <v>0.325</v>
      </c>
      <c r="E53" s="8">
        <v>0.0</v>
      </c>
      <c r="F53" s="14">
        <v>0.325</v>
      </c>
      <c r="G53" s="4" t="s">
        <v>134</v>
      </c>
    </row>
    <row r="54">
      <c r="A54" s="8" t="s">
        <v>25</v>
      </c>
      <c r="B54" s="8" t="s">
        <v>156</v>
      </c>
      <c r="C54" s="8" t="s">
        <v>133</v>
      </c>
      <c r="D54" s="4">
        <v>0.544</v>
      </c>
      <c r="E54" s="8">
        <v>0.0</v>
      </c>
      <c r="F54" s="14">
        <v>0.544</v>
      </c>
      <c r="G54" s="4" t="s">
        <v>134</v>
      </c>
    </row>
    <row r="55">
      <c r="A55" s="8" t="s">
        <v>25</v>
      </c>
      <c r="B55" s="8" t="s">
        <v>157</v>
      </c>
      <c r="C55" s="8" t="s">
        <v>133</v>
      </c>
      <c r="D55" s="4">
        <v>0.298</v>
      </c>
      <c r="E55" s="8">
        <v>0.0</v>
      </c>
      <c r="F55" s="14">
        <v>0.298</v>
      </c>
      <c r="G55" s="4" t="s">
        <v>134</v>
      </c>
    </row>
    <row r="56">
      <c r="A56" s="8" t="s">
        <v>25</v>
      </c>
      <c r="B56" s="8" t="s">
        <v>158</v>
      </c>
      <c r="C56" s="8" t="s">
        <v>133</v>
      </c>
      <c r="D56" s="4">
        <v>0.348</v>
      </c>
      <c r="E56" s="8">
        <v>0.0</v>
      </c>
      <c r="F56" s="14">
        <v>0.348</v>
      </c>
      <c r="G56" s="4" t="s">
        <v>134</v>
      </c>
    </row>
    <row r="57">
      <c r="A57" s="8" t="s">
        <v>25</v>
      </c>
      <c r="B57" s="8" t="s">
        <v>159</v>
      </c>
      <c r="C57" s="8" t="s">
        <v>133</v>
      </c>
      <c r="D57" s="4">
        <v>0.346</v>
      </c>
      <c r="E57" s="8">
        <v>0.0</v>
      </c>
      <c r="F57" s="14">
        <v>0.346</v>
      </c>
      <c r="G57" s="4" t="s">
        <v>134</v>
      </c>
    </row>
    <row r="58">
      <c r="A58" s="8" t="s">
        <v>25</v>
      </c>
      <c r="B58" s="8" t="s">
        <v>160</v>
      </c>
      <c r="C58" s="8" t="s">
        <v>133</v>
      </c>
      <c r="D58" s="4">
        <v>0.526</v>
      </c>
      <c r="E58" s="8">
        <v>0.0</v>
      </c>
      <c r="F58" s="14">
        <v>0.526</v>
      </c>
      <c r="G58" s="4" t="s">
        <v>134</v>
      </c>
    </row>
    <row r="59">
      <c r="A59" s="8" t="s">
        <v>25</v>
      </c>
      <c r="B59" s="8" t="s">
        <v>161</v>
      </c>
      <c r="C59" s="8" t="s">
        <v>133</v>
      </c>
      <c r="D59" s="4">
        <v>0.281</v>
      </c>
      <c r="E59" s="8">
        <v>0.0</v>
      </c>
      <c r="F59" s="14">
        <v>0.281</v>
      </c>
      <c r="G59" s="4" t="s">
        <v>134</v>
      </c>
    </row>
    <row r="60">
      <c r="A60" s="8" t="s">
        <v>25</v>
      </c>
      <c r="B60" s="8" t="s">
        <v>162</v>
      </c>
      <c r="C60" s="8" t="s">
        <v>133</v>
      </c>
      <c r="D60" s="4">
        <v>0.192</v>
      </c>
      <c r="E60" s="8">
        <v>0.0</v>
      </c>
      <c r="F60" s="14">
        <v>0.192</v>
      </c>
      <c r="G60" s="4" t="s">
        <v>134</v>
      </c>
    </row>
    <row r="61">
      <c r="A61" s="8" t="s">
        <v>25</v>
      </c>
      <c r="B61" s="8" t="s">
        <v>163</v>
      </c>
      <c r="C61" s="8" t="s">
        <v>133</v>
      </c>
      <c r="D61" s="4">
        <v>0.207</v>
      </c>
      <c r="E61" s="8">
        <v>0.0</v>
      </c>
      <c r="F61" s="14">
        <v>0.207</v>
      </c>
      <c r="G61" s="4" t="s">
        <v>134</v>
      </c>
    </row>
    <row r="62">
      <c r="A62" s="8" t="s">
        <v>25</v>
      </c>
      <c r="B62" s="8" t="s">
        <v>164</v>
      </c>
      <c r="C62" s="8" t="s">
        <v>133</v>
      </c>
      <c r="D62" s="4">
        <v>0.14</v>
      </c>
      <c r="E62" s="8">
        <v>0.0</v>
      </c>
      <c r="F62" s="14">
        <v>0.14</v>
      </c>
      <c r="G62" s="4" t="s">
        <v>134</v>
      </c>
    </row>
    <row r="63">
      <c r="A63" s="8" t="s">
        <v>25</v>
      </c>
      <c r="B63" s="8" t="s">
        <v>165</v>
      </c>
      <c r="C63" s="8" t="s">
        <v>133</v>
      </c>
      <c r="D63" s="4">
        <v>0.213</v>
      </c>
      <c r="E63" s="8">
        <v>0.0</v>
      </c>
      <c r="F63" s="14">
        <v>0.213</v>
      </c>
      <c r="G63" s="4" t="s">
        <v>134</v>
      </c>
    </row>
    <row r="64">
      <c r="A64" s="8" t="s">
        <v>25</v>
      </c>
      <c r="B64" s="8" t="s">
        <v>166</v>
      </c>
      <c r="C64" s="8" t="s">
        <v>133</v>
      </c>
      <c r="D64" s="4">
        <v>0.256</v>
      </c>
      <c r="E64" s="8">
        <v>0.0</v>
      </c>
      <c r="F64" s="14">
        <v>0.256</v>
      </c>
      <c r="G64" s="4" t="s">
        <v>134</v>
      </c>
    </row>
    <row r="65">
      <c r="A65" s="8" t="s">
        <v>25</v>
      </c>
      <c r="B65" s="8" t="s">
        <v>167</v>
      </c>
      <c r="C65" s="8" t="s">
        <v>133</v>
      </c>
      <c r="D65" s="4">
        <v>0.113</v>
      </c>
      <c r="E65" s="8">
        <v>0.0</v>
      </c>
      <c r="F65" s="14">
        <v>0.113</v>
      </c>
      <c r="G65" s="4" t="s">
        <v>134</v>
      </c>
    </row>
    <row r="66">
      <c r="A66" s="8" t="s">
        <v>25</v>
      </c>
      <c r="B66" s="8" t="s">
        <v>168</v>
      </c>
      <c r="C66" s="8" t="s">
        <v>133</v>
      </c>
      <c r="D66" s="4">
        <v>0.053</v>
      </c>
      <c r="E66" s="8">
        <v>0.0</v>
      </c>
      <c r="F66" s="14">
        <v>0.053</v>
      </c>
      <c r="G66" s="4" t="s">
        <v>134</v>
      </c>
    </row>
    <row r="67">
      <c r="A67" s="8" t="s">
        <v>25</v>
      </c>
      <c r="B67" s="8" t="s">
        <v>169</v>
      </c>
      <c r="C67" s="8" t="s">
        <v>133</v>
      </c>
      <c r="D67" s="4">
        <v>0.159</v>
      </c>
      <c r="E67" s="8">
        <v>0.0</v>
      </c>
      <c r="F67" s="14">
        <v>0.159</v>
      </c>
      <c r="G67" s="4" t="s">
        <v>134</v>
      </c>
    </row>
    <row r="68">
      <c r="A68" s="8" t="s">
        <v>25</v>
      </c>
      <c r="B68" s="8" t="s">
        <v>170</v>
      </c>
      <c r="C68" s="8" t="s">
        <v>133</v>
      </c>
      <c r="D68" s="4">
        <v>0.159</v>
      </c>
      <c r="E68" s="8">
        <v>0.0</v>
      </c>
      <c r="F68" s="14">
        <v>0.159</v>
      </c>
      <c r="G68" s="4" t="s">
        <v>134</v>
      </c>
    </row>
    <row r="69">
      <c r="A69" s="8" t="s">
        <v>25</v>
      </c>
      <c r="B69" s="8" t="s">
        <v>172</v>
      </c>
      <c r="C69" s="8" t="s">
        <v>133</v>
      </c>
      <c r="D69" s="4">
        <v>0.159</v>
      </c>
      <c r="E69" s="8">
        <v>0.0</v>
      </c>
      <c r="F69" s="14">
        <v>0.159</v>
      </c>
      <c r="G69" s="4" t="s">
        <v>134</v>
      </c>
    </row>
    <row r="70">
      <c r="A70" s="5"/>
      <c r="B70" s="5"/>
      <c r="C70" s="5"/>
      <c r="E70" s="5"/>
      <c r="F70" s="9"/>
    </row>
    <row r="71">
      <c r="A71" s="5"/>
      <c r="B71" s="5"/>
      <c r="C71" s="5"/>
      <c r="E71" s="5"/>
      <c r="F71" s="9"/>
    </row>
    <row r="72">
      <c r="A72" s="5"/>
      <c r="B72" s="5"/>
      <c r="C72" s="5"/>
      <c r="E72" s="5"/>
      <c r="F72" s="9"/>
    </row>
    <row r="73">
      <c r="A73" s="5"/>
      <c r="B73" s="5"/>
      <c r="C73" s="5"/>
      <c r="E73" s="5"/>
      <c r="F73" s="9"/>
    </row>
    <row r="74">
      <c r="A74" s="5"/>
      <c r="B74" s="5"/>
      <c r="C74" s="5"/>
      <c r="E74" s="5"/>
      <c r="F74" s="9"/>
    </row>
    <row r="75">
      <c r="A75" s="5"/>
      <c r="B75" s="5"/>
      <c r="C75" s="5"/>
      <c r="E75" s="5"/>
      <c r="F75" s="9"/>
    </row>
    <row r="76">
      <c r="A76" s="5"/>
      <c r="B76" s="5"/>
      <c r="C76" s="5"/>
      <c r="E76" s="5"/>
      <c r="F76" s="9"/>
    </row>
    <row r="77">
      <c r="A77" s="5"/>
      <c r="B77" s="5"/>
      <c r="C77" s="5"/>
      <c r="E77" s="5"/>
      <c r="F77" s="9"/>
    </row>
    <row r="78">
      <c r="A78" s="5"/>
      <c r="B78" s="5"/>
      <c r="C78" s="5"/>
      <c r="E78" s="5"/>
      <c r="F78" s="9"/>
    </row>
    <row r="79">
      <c r="A79" s="5"/>
      <c r="B79" s="5"/>
      <c r="C79" s="5"/>
      <c r="E79" s="5"/>
      <c r="F79" s="9"/>
    </row>
    <row r="80">
      <c r="A80" s="5"/>
      <c r="B80" s="5"/>
      <c r="C80" s="5"/>
      <c r="E80" s="5"/>
      <c r="F80" s="9"/>
    </row>
    <row r="81">
      <c r="A81" s="5"/>
      <c r="B81" s="5"/>
      <c r="C81" s="5"/>
      <c r="E81" s="5"/>
      <c r="F81" s="9"/>
    </row>
    <row r="82">
      <c r="A82" s="5"/>
      <c r="B82" s="5"/>
      <c r="C82" s="5"/>
      <c r="E82" s="5"/>
      <c r="F82" s="9"/>
    </row>
    <row r="83">
      <c r="A83" s="5"/>
      <c r="B83" s="5"/>
      <c r="C83" s="5"/>
      <c r="E83" s="5"/>
      <c r="F83" s="9"/>
    </row>
    <row r="84">
      <c r="A84" s="5"/>
      <c r="B84" s="5"/>
      <c r="C84" s="5"/>
      <c r="E84" s="5"/>
      <c r="F84" s="9"/>
    </row>
    <row r="85">
      <c r="A85" s="5"/>
      <c r="B85" s="5"/>
      <c r="C85" s="5"/>
      <c r="E85" s="5"/>
      <c r="F85" s="9"/>
    </row>
    <row r="86">
      <c r="A86" s="5"/>
      <c r="B86" s="5"/>
      <c r="C86" s="5"/>
      <c r="E86" s="5"/>
      <c r="F86" s="9"/>
    </row>
    <row r="87">
      <c r="A87" s="5"/>
      <c r="B87" s="5"/>
      <c r="C87" s="5"/>
      <c r="E87" s="5"/>
      <c r="F87" s="9"/>
    </row>
    <row r="88">
      <c r="A88" s="5"/>
      <c r="B88" s="5"/>
      <c r="C88" s="5"/>
      <c r="E88" s="5"/>
      <c r="F88" s="9"/>
    </row>
    <row r="89">
      <c r="A89" s="5"/>
      <c r="B89" s="5"/>
      <c r="C89" s="5"/>
      <c r="E89" s="5"/>
      <c r="F89" s="9"/>
    </row>
    <row r="90">
      <c r="A90" s="5"/>
      <c r="B90" s="5"/>
      <c r="C90" s="5"/>
      <c r="E90" s="5"/>
      <c r="F90" s="9"/>
    </row>
    <row r="91">
      <c r="A91" s="5"/>
      <c r="B91" s="5"/>
      <c r="C91" s="5"/>
      <c r="E91" s="5"/>
      <c r="F91" s="9"/>
    </row>
    <row r="92">
      <c r="A92" s="5"/>
      <c r="B92" s="5"/>
      <c r="C92" s="5"/>
      <c r="E92" s="5"/>
      <c r="F92" s="9"/>
    </row>
    <row r="93">
      <c r="A93" s="5"/>
      <c r="B93" s="5"/>
      <c r="C93" s="5"/>
      <c r="E93" s="5"/>
      <c r="F93" s="9"/>
    </row>
    <row r="94">
      <c r="A94" s="5"/>
      <c r="B94" s="5"/>
      <c r="C94" s="5"/>
      <c r="E94" s="5"/>
      <c r="F94" s="9"/>
    </row>
    <row r="95">
      <c r="A95" s="5"/>
      <c r="B95" s="5"/>
      <c r="C95" s="5"/>
      <c r="E95" s="5"/>
      <c r="F95" s="9"/>
    </row>
    <row r="96">
      <c r="A96" s="5"/>
      <c r="B96" s="5"/>
      <c r="C96" s="5"/>
      <c r="E96" s="5"/>
      <c r="F96" s="9"/>
    </row>
    <row r="97">
      <c r="A97" s="5"/>
      <c r="B97" s="5"/>
      <c r="C97" s="5"/>
      <c r="E97" s="5"/>
      <c r="F97" s="9"/>
    </row>
    <row r="98">
      <c r="A98" s="5"/>
      <c r="B98" s="5"/>
      <c r="C98" s="5"/>
      <c r="E98" s="5"/>
      <c r="F98" s="9"/>
    </row>
    <row r="99">
      <c r="A99" s="5"/>
      <c r="B99" s="5"/>
      <c r="C99" s="5"/>
      <c r="E99" s="5"/>
      <c r="F99" s="9"/>
    </row>
    <row r="100">
      <c r="A100" s="5"/>
      <c r="B100" s="5"/>
      <c r="C100" s="5"/>
      <c r="E100" s="5"/>
      <c r="F100" s="9"/>
    </row>
    <row r="101">
      <c r="A101" s="5"/>
      <c r="B101" s="5"/>
      <c r="C101" s="5"/>
      <c r="E101" s="5"/>
      <c r="F101" s="9"/>
    </row>
    <row r="102">
      <c r="A102" s="5"/>
      <c r="B102" s="5"/>
      <c r="C102" s="5"/>
      <c r="E102" s="5"/>
      <c r="F102" s="9"/>
    </row>
    <row r="103">
      <c r="A103" s="5"/>
      <c r="B103" s="5"/>
      <c r="C103" s="5"/>
      <c r="E103" s="5"/>
      <c r="F103" s="9"/>
    </row>
    <row r="104">
      <c r="A104" s="5"/>
      <c r="B104" s="5"/>
      <c r="C104" s="5"/>
      <c r="E104" s="5"/>
      <c r="F104" s="9"/>
    </row>
    <row r="105">
      <c r="A105" s="5"/>
      <c r="B105" s="5"/>
      <c r="C105" s="5"/>
      <c r="E105" s="5"/>
      <c r="F105" s="9"/>
    </row>
    <row r="106">
      <c r="A106" s="5"/>
      <c r="B106" s="5"/>
      <c r="C106" s="5"/>
      <c r="E106" s="5"/>
      <c r="F106" s="9"/>
    </row>
    <row r="107">
      <c r="A107" s="5"/>
      <c r="B107" s="5"/>
      <c r="C107" s="5"/>
      <c r="E107" s="5"/>
      <c r="F107" s="9"/>
    </row>
    <row r="108">
      <c r="A108" s="5"/>
      <c r="B108" s="5"/>
      <c r="C108" s="5"/>
      <c r="E108" s="5"/>
      <c r="F108" s="9"/>
    </row>
    <row r="109">
      <c r="A109" s="5"/>
      <c r="B109" s="5"/>
      <c r="C109" s="5"/>
      <c r="E109" s="5"/>
      <c r="F109" s="9"/>
    </row>
    <row r="110">
      <c r="A110" s="5"/>
      <c r="B110" s="5"/>
      <c r="C110" s="5"/>
      <c r="E110" s="5"/>
      <c r="F110" s="9"/>
    </row>
    <row r="111">
      <c r="A111" s="5"/>
      <c r="B111" s="5"/>
      <c r="C111" s="5"/>
      <c r="E111" s="5"/>
      <c r="F111" s="9"/>
    </row>
    <row r="112">
      <c r="A112" s="5"/>
      <c r="B112" s="5"/>
      <c r="C112" s="5"/>
      <c r="E112" s="5"/>
      <c r="F112" s="9"/>
    </row>
    <row r="113">
      <c r="A113" s="5"/>
      <c r="B113" s="5"/>
      <c r="C113" s="5"/>
      <c r="E113" s="5"/>
      <c r="F113" s="9"/>
    </row>
    <row r="114">
      <c r="A114" s="5"/>
      <c r="B114" s="5"/>
      <c r="C114" s="5"/>
      <c r="E114" s="5"/>
      <c r="F114" s="9"/>
    </row>
    <row r="115">
      <c r="A115" s="5"/>
      <c r="B115" s="5"/>
      <c r="C115" s="5"/>
      <c r="E115" s="5"/>
      <c r="F115" s="9"/>
    </row>
    <row r="116">
      <c r="A116" s="5"/>
      <c r="B116" s="5"/>
      <c r="C116" s="5"/>
      <c r="E116" s="5"/>
      <c r="F116" s="9"/>
    </row>
    <row r="117">
      <c r="A117" s="5"/>
      <c r="B117" s="5"/>
      <c r="C117" s="5"/>
      <c r="E117" s="5"/>
      <c r="F117" s="9"/>
    </row>
    <row r="118">
      <c r="A118" s="5"/>
      <c r="B118" s="5"/>
      <c r="C118" s="5"/>
      <c r="E118" s="5"/>
      <c r="F118" s="9"/>
    </row>
    <row r="119">
      <c r="A119" s="5"/>
      <c r="B119" s="5"/>
      <c r="C119" s="5"/>
      <c r="E119" s="5"/>
      <c r="F119" s="9"/>
    </row>
    <row r="120">
      <c r="A120" s="5"/>
      <c r="B120" s="5"/>
      <c r="C120" s="5"/>
      <c r="E120" s="5"/>
      <c r="F120" s="9"/>
    </row>
    <row r="121">
      <c r="A121" s="5"/>
      <c r="B121" s="5"/>
      <c r="C121" s="5"/>
      <c r="E121" s="5"/>
      <c r="F121" s="9"/>
    </row>
    <row r="122">
      <c r="A122" s="5"/>
      <c r="B122" s="5"/>
      <c r="C122" s="5"/>
      <c r="E122" s="5"/>
      <c r="F122" s="9"/>
    </row>
    <row r="123">
      <c r="A123" s="5"/>
      <c r="B123" s="5"/>
      <c r="C123" s="5"/>
      <c r="E123" s="5"/>
      <c r="F123" s="9"/>
    </row>
    <row r="124">
      <c r="A124" s="5"/>
      <c r="B124" s="5"/>
      <c r="C124" s="5"/>
      <c r="E124" s="5"/>
      <c r="F124" s="9"/>
    </row>
    <row r="125">
      <c r="A125" s="5"/>
      <c r="B125" s="5"/>
      <c r="C125" s="5"/>
      <c r="E125" s="5"/>
      <c r="F125" s="9"/>
    </row>
    <row r="126">
      <c r="A126" s="5"/>
      <c r="B126" s="5"/>
      <c r="C126" s="5"/>
      <c r="E126" s="5"/>
      <c r="F126" s="9"/>
    </row>
    <row r="127">
      <c r="A127" s="5"/>
      <c r="B127" s="5"/>
      <c r="C127" s="5"/>
      <c r="E127" s="5"/>
      <c r="F127" s="9"/>
    </row>
    <row r="128">
      <c r="A128" s="5"/>
      <c r="B128" s="5"/>
      <c r="C128" s="5"/>
      <c r="E128" s="5"/>
      <c r="F128" s="9"/>
    </row>
    <row r="129">
      <c r="A129" s="5"/>
      <c r="B129" s="5"/>
      <c r="C129" s="5"/>
      <c r="E129" s="5"/>
      <c r="F129" s="9"/>
    </row>
    <row r="130">
      <c r="A130" s="5"/>
      <c r="B130" s="5"/>
      <c r="C130" s="5"/>
      <c r="E130" s="5"/>
      <c r="F130" s="9"/>
    </row>
    <row r="131">
      <c r="A131" s="5"/>
      <c r="B131" s="5"/>
      <c r="C131" s="5"/>
      <c r="E131" s="5"/>
      <c r="F131" s="9"/>
    </row>
    <row r="132">
      <c r="A132" s="5"/>
      <c r="B132" s="5"/>
      <c r="C132" s="5"/>
      <c r="E132" s="5"/>
      <c r="F132" s="9"/>
    </row>
    <row r="133">
      <c r="A133" s="5"/>
      <c r="B133" s="5"/>
      <c r="C133" s="5"/>
      <c r="E133" s="5"/>
      <c r="F133" s="9"/>
    </row>
    <row r="134">
      <c r="A134" s="5"/>
      <c r="B134" s="5"/>
      <c r="C134" s="5"/>
      <c r="E134" s="5"/>
      <c r="F134" s="9"/>
    </row>
    <row r="135">
      <c r="A135" s="5"/>
      <c r="B135" s="5"/>
      <c r="C135" s="5"/>
      <c r="E135" s="5"/>
      <c r="F135" s="9"/>
    </row>
    <row r="136">
      <c r="A136" s="5"/>
      <c r="B136" s="5"/>
      <c r="C136" s="5"/>
      <c r="E136" s="5"/>
      <c r="F136" s="9"/>
    </row>
    <row r="137">
      <c r="A137" s="5"/>
      <c r="B137" s="5"/>
      <c r="C137" s="5"/>
      <c r="E137" s="5"/>
      <c r="F137" s="9"/>
    </row>
    <row r="138">
      <c r="A138" s="5"/>
      <c r="B138" s="5"/>
      <c r="C138" s="5"/>
      <c r="E138" s="5"/>
      <c r="F138" s="9"/>
    </row>
    <row r="139">
      <c r="A139" s="5"/>
      <c r="B139" s="5"/>
      <c r="C139" s="5"/>
      <c r="E139" s="5"/>
      <c r="F139" s="9"/>
    </row>
    <row r="140">
      <c r="A140" s="5"/>
      <c r="B140" s="5"/>
      <c r="C140" s="5"/>
      <c r="E140" s="5"/>
      <c r="F140" s="9"/>
    </row>
    <row r="141">
      <c r="A141" s="5"/>
      <c r="B141" s="5"/>
      <c r="C141" s="5"/>
      <c r="E141" s="5"/>
      <c r="F141" s="9"/>
    </row>
    <row r="142">
      <c r="A142" s="5"/>
      <c r="B142" s="5"/>
      <c r="C142" s="5"/>
      <c r="E142" s="5"/>
      <c r="F142" s="9"/>
    </row>
    <row r="143">
      <c r="A143" s="5"/>
      <c r="B143" s="5"/>
      <c r="C143" s="5"/>
      <c r="E143" s="5"/>
      <c r="F143" s="9"/>
    </row>
    <row r="144">
      <c r="A144" s="5"/>
      <c r="B144" s="5"/>
      <c r="C144" s="5"/>
      <c r="E144" s="5"/>
      <c r="F144" s="9"/>
    </row>
    <row r="145">
      <c r="A145" s="5"/>
      <c r="B145" s="5"/>
      <c r="C145" s="5"/>
      <c r="E145" s="5"/>
      <c r="F145" s="9"/>
    </row>
    <row r="146">
      <c r="A146" s="5"/>
      <c r="B146" s="5"/>
      <c r="C146" s="5"/>
      <c r="E146" s="5"/>
      <c r="F146" s="9"/>
    </row>
    <row r="147">
      <c r="A147" s="5"/>
      <c r="B147" s="5"/>
      <c r="C147" s="5"/>
      <c r="E147" s="5"/>
      <c r="F147" s="9"/>
    </row>
    <row r="148">
      <c r="A148" s="5"/>
      <c r="B148" s="5"/>
      <c r="C148" s="5"/>
      <c r="E148" s="5"/>
      <c r="F148" s="9"/>
    </row>
    <row r="149">
      <c r="A149" s="5"/>
      <c r="B149" s="5"/>
      <c r="C149" s="5"/>
      <c r="E149" s="5"/>
      <c r="F149" s="9"/>
    </row>
    <row r="150">
      <c r="A150" s="5"/>
      <c r="B150" s="5"/>
      <c r="C150" s="5"/>
      <c r="E150" s="5"/>
      <c r="F150" s="9"/>
    </row>
    <row r="151">
      <c r="A151" s="5"/>
      <c r="B151" s="5"/>
      <c r="C151" s="5"/>
      <c r="E151" s="5"/>
      <c r="F151" s="9"/>
    </row>
    <row r="152">
      <c r="A152" s="5"/>
      <c r="B152" s="5"/>
      <c r="C152" s="5"/>
      <c r="E152" s="5"/>
      <c r="F152" s="9"/>
    </row>
    <row r="153">
      <c r="A153" s="5"/>
      <c r="B153" s="5"/>
      <c r="C153" s="5"/>
      <c r="E153" s="5"/>
      <c r="F153" s="9"/>
    </row>
    <row r="154">
      <c r="A154" s="5"/>
      <c r="B154" s="5"/>
      <c r="C154" s="5"/>
      <c r="E154" s="5"/>
      <c r="F154" s="9"/>
    </row>
    <row r="155">
      <c r="A155" s="5"/>
      <c r="B155" s="5"/>
      <c r="C155" s="5"/>
      <c r="E155" s="5"/>
      <c r="F155" s="9"/>
    </row>
    <row r="156">
      <c r="A156" s="5"/>
      <c r="B156" s="5"/>
      <c r="C156" s="5"/>
      <c r="E156" s="5"/>
      <c r="F156" s="9"/>
    </row>
    <row r="157">
      <c r="A157" s="5"/>
      <c r="B157" s="5"/>
      <c r="C157" s="5"/>
      <c r="E157" s="5"/>
      <c r="F157" s="9"/>
    </row>
    <row r="158">
      <c r="A158" s="5"/>
      <c r="B158" s="5"/>
      <c r="C158" s="5"/>
      <c r="E158" s="5"/>
      <c r="F158" s="9"/>
    </row>
    <row r="159">
      <c r="A159" s="5"/>
      <c r="B159" s="5"/>
      <c r="C159" s="5"/>
      <c r="E159" s="5"/>
      <c r="F159" s="9"/>
    </row>
    <row r="160">
      <c r="A160" s="5"/>
      <c r="B160" s="5"/>
      <c r="C160" s="5"/>
      <c r="E160" s="5"/>
      <c r="F160" s="9"/>
    </row>
    <row r="161">
      <c r="A161" s="5"/>
      <c r="B161" s="5"/>
      <c r="C161" s="5"/>
      <c r="E161" s="5"/>
      <c r="F161" s="9"/>
    </row>
    <row r="162">
      <c r="A162" s="5"/>
      <c r="B162" s="5"/>
      <c r="C162" s="5"/>
      <c r="E162" s="5"/>
      <c r="F162" s="9"/>
    </row>
    <row r="163">
      <c r="A163" s="5"/>
      <c r="B163" s="5"/>
      <c r="C163" s="5"/>
      <c r="E163" s="5"/>
      <c r="F163" s="9"/>
    </row>
    <row r="164">
      <c r="A164" s="5"/>
      <c r="B164" s="5"/>
      <c r="C164" s="5"/>
      <c r="E164" s="5"/>
      <c r="F164" s="9"/>
    </row>
    <row r="165">
      <c r="A165" s="5"/>
      <c r="B165" s="5"/>
      <c r="C165" s="5"/>
      <c r="E165" s="5"/>
      <c r="F165" s="9"/>
    </row>
    <row r="166">
      <c r="A166" s="5"/>
      <c r="B166" s="5"/>
      <c r="C166" s="5"/>
      <c r="E166" s="5"/>
      <c r="F166" s="9"/>
    </row>
    <row r="167">
      <c r="A167" s="5"/>
      <c r="B167" s="5"/>
      <c r="C167" s="5"/>
      <c r="E167" s="5"/>
      <c r="F167" s="9"/>
    </row>
    <row r="168">
      <c r="A168" s="5"/>
      <c r="B168" s="5"/>
      <c r="C168" s="5"/>
      <c r="E168" s="5"/>
      <c r="F168" s="9"/>
    </row>
    <row r="169">
      <c r="A169" s="5"/>
      <c r="B169" s="5"/>
      <c r="C169" s="5"/>
      <c r="E169" s="5"/>
      <c r="F169" s="9"/>
    </row>
    <row r="170">
      <c r="A170" s="5"/>
      <c r="B170" s="5"/>
      <c r="C170" s="5"/>
      <c r="E170" s="5"/>
      <c r="F170" s="9"/>
    </row>
    <row r="171">
      <c r="A171" s="5"/>
      <c r="B171" s="5"/>
      <c r="C171" s="5"/>
      <c r="E171" s="5"/>
      <c r="F171" s="9"/>
    </row>
    <row r="172">
      <c r="A172" s="5"/>
      <c r="B172" s="5"/>
      <c r="C172" s="5"/>
      <c r="E172" s="5"/>
      <c r="F172" s="9"/>
    </row>
    <row r="173">
      <c r="A173" s="5"/>
      <c r="B173" s="5"/>
      <c r="C173" s="5"/>
      <c r="E173" s="5"/>
      <c r="F173" s="9"/>
    </row>
    <row r="174">
      <c r="A174" s="5"/>
      <c r="B174" s="5"/>
      <c r="C174" s="5"/>
      <c r="E174" s="5"/>
      <c r="F174" s="9"/>
    </row>
    <row r="175">
      <c r="A175" s="5"/>
      <c r="B175" s="5"/>
      <c r="C175" s="5"/>
      <c r="E175" s="5"/>
      <c r="F175" s="9"/>
    </row>
    <row r="176">
      <c r="A176" s="5"/>
      <c r="B176" s="5"/>
      <c r="C176" s="5"/>
      <c r="E176" s="5"/>
      <c r="F176" s="9"/>
    </row>
    <row r="177">
      <c r="A177" s="5"/>
      <c r="B177" s="5"/>
      <c r="C177" s="5"/>
      <c r="E177" s="5"/>
      <c r="F177" s="9"/>
    </row>
    <row r="178">
      <c r="A178" s="5"/>
      <c r="B178" s="5"/>
      <c r="C178" s="5"/>
      <c r="E178" s="5"/>
      <c r="F178" s="9"/>
    </row>
    <row r="179">
      <c r="A179" s="5"/>
      <c r="B179" s="5"/>
      <c r="C179" s="5"/>
      <c r="E179" s="5"/>
      <c r="F179" s="9"/>
    </row>
    <row r="180">
      <c r="A180" s="5"/>
      <c r="B180" s="5"/>
      <c r="C180" s="5"/>
      <c r="E180" s="5"/>
      <c r="F180" s="9"/>
    </row>
    <row r="181">
      <c r="A181" s="5"/>
      <c r="B181" s="5"/>
      <c r="C181" s="5"/>
      <c r="E181" s="5"/>
      <c r="F181" s="9"/>
    </row>
    <row r="182">
      <c r="A182" s="5"/>
      <c r="B182" s="5"/>
      <c r="C182" s="5"/>
      <c r="E182" s="5"/>
      <c r="F182" s="9"/>
    </row>
    <row r="183">
      <c r="A183" s="5"/>
      <c r="B183" s="5"/>
      <c r="C183" s="5"/>
      <c r="E183" s="5"/>
      <c r="F183" s="9"/>
    </row>
    <row r="184">
      <c r="A184" s="5"/>
      <c r="B184" s="5"/>
      <c r="C184" s="5"/>
      <c r="E184" s="5"/>
      <c r="F184" s="9"/>
    </row>
    <row r="185">
      <c r="A185" s="5"/>
      <c r="B185" s="5"/>
      <c r="C185" s="5"/>
      <c r="E185" s="5"/>
      <c r="F185" s="9"/>
    </row>
    <row r="186">
      <c r="A186" s="5"/>
      <c r="B186" s="5"/>
      <c r="C186" s="5"/>
      <c r="E186" s="5"/>
      <c r="F186" s="9"/>
    </row>
    <row r="187">
      <c r="A187" s="5"/>
      <c r="B187" s="5"/>
      <c r="C187" s="5"/>
      <c r="E187" s="5"/>
      <c r="F187" s="9"/>
    </row>
    <row r="188">
      <c r="A188" s="5"/>
      <c r="B188" s="5"/>
      <c r="C188" s="5"/>
      <c r="E188" s="5"/>
      <c r="F188" s="9"/>
    </row>
    <row r="189">
      <c r="A189" s="5"/>
      <c r="B189" s="5"/>
      <c r="C189" s="5"/>
      <c r="E189" s="5"/>
      <c r="F189" s="9"/>
    </row>
    <row r="190">
      <c r="A190" s="5"/>
      <c r="B190" s="5"/>
      <c r="C190" s="5"/>
      <c r="E190" s="5"/>
      <c r="F190" s="9"/>
    </row>
    <row r="191">
      <c r="A191" s="5"/>
      <c r="B191" s="5"/>
      <c r="C191" s="5"/>
      <c r="E191" s="5"/>
      <c r="F191" s="9"/>
    </row>
    <row r="192">
      <c r="A192" s="5"/>
      <c r="B192" s="5"/>
      <c r="C192" s="5"/>
      <c r="E192" s="5"/>
      <c r="F192" s="9"/>
    </row>
    <row r="193">
      <c r="A193" s="5"/>
      <c r="B193" s="5"/>
      <c r="C193" s="5"/>
      <c r="E193" s="5"/>
      <c r="F193" s="9"/>
    </row>
    <row r="194">
      <c r="A194" s="5"/>
      <c r="B194" s="5"/>
      <c r="C194" s="5"/>
      <c r="E194" s="5"/>
      <c r="F194" s="9"/>
    </row>
    <row r="195">
      <c r="A195" s="5"/>
      <c r="B195" s="5"/>
      <c r="C195" s="5"/>
      <c r="E195" s="5"/>
      <c r="F195" s="9"/>
    </row>
    <row r="196">
      <c r="A196" s="5"/>
      <c r="B196" s="5"/>
      <c r="C196" s="5"/>
      <c r="E196" s="5"/>
      <c r="F196" s="9"/>
    </row>
    <row r="197">
      <c r="A197" s="5"/>
      <c r="B197" s="5"/>
      <c r="C197" s="5"/>
      <c r="E197" s="5"/>
      <c r="F197" s="9"/>
    </row>
    <row r="198">
      <c r="A198" s="5"/>
      <c r="B198" s="5"/>
      <c r="C198" s="5"/>
      <c r="E198" s="5"/>
      <c r="F198" s="9"/>
    </row>
    <row r="199">
      <c r="A199" s="5"/>
      <c r="B199" s="5"/>
      <c r="C199" s="5"/>
      <c r="E199" s="5"/>
      <c r="F199" s="9"/>
    </row>
    <row r="200">
      <c r="A200" s="5"/>
      <c r="B200" s="5"/>
      <c r="C200" s="5"/>
      <c r="E200" s="5"/>
      <c r="F200" s="9"/>
    </row>
    <row r="201">
      <c r="A201" s="5"/>
      <c r="B201" s="5"/>
      <c r="C201" s="5"/>
      <c r="E201" s="5"/>
      <c r="F201" s="9"/>
    </row>
    <row r="202">
      <c r="A202" s="5"/>
      <c r="B202" s="5"/>
      <c r="C202" s="5"/>
      <c r="E202" s="5"/>
      <c r="F202" s="9"/>
    </row>
    <row r="203">
      <c r="A203" s="5"/>
      <c r="B203" s="5"/>
      <c r="C203" s="5"/>
      <c r="E203" s="5"/>
      <c r="F203" s="9"/>
    </row>
    <row r="204">
      <c r="A204" s="5"/>
      <c r="B204" s="5"/>
      <c r="C204" s="5"/>
      <c r="E204" s="5"/>
      <c r="F204" s="9"/>
    </row>
    <row r="205">
      <c r="A205" s="5"/>
      <c r="B205" s="5"/>
      <c r="C205" s="5"/>
      <c r="E205" s="5"/>
      <c r="F205" s="9"/>
    </row>
    <row r="206">
      <c r="A206" s="5"/>
      <c r="B206" s="5"/>
      <c r="C206" s="5"/>
      <c r="E206" s="5"/>
      <c r="F206" s="9"/>
    </row>
    <row r="207">
      <c r="A207" s="5"/>
      <c r="B207" s="5"/>
      <c r="C207" s="5"/>
      <c r="E207" s="5"/>
      <c r="F207" s="9"/>
    </row>
    <row r="208">
      <c r="A208" s="5"/>
      <c r="B208" s="5"/>
      <c r="C208" s="5"/>
      <c r="E208" s="5"/>
      <c r="F208" s="9"/>
    </row>
    <row r="209">
      <c r="A209" s="5"/>
      <c r="B209" s="5"/>
      <c r="C209" s="5"/>
      <c r="E209" s="5"/>
      <c r="F209" s="9"/>
    </row>
    <row r="210">
      <c r="A210" s="5"/>
      <c r="B210" s="5"/>
      <c r="C210" s="5"/>
      <c r="E210" s="5"/>
      <c r="F210" s="9"/>
    </row>
    <row r="211">
      <c r="A211" s="5"/>
      <c r="B211" s="5"/>
      <c r="C211" s="5"/>
      <c r="E211" s="5"/>
      <c r="F211" s="9"/>
    </row>
    <row r="212">
      <c r="A212" s="5"/>
      <c r="B212" s="5"/>
      <c r="C212" s="5"/>
      <c r="E212" s="5"/>
      <c r="F212" s="9"/>
    </row>
    <row r="213">
      <c r="A213" s="5"/>
      <c r="B213" s="5"/>
      <c r="C213" s="5"/>
      <c r="E213" s="5"/>
      <c r="F213" s="9"/>
    </row>
    <row r="214">
      <c r="A214" s="5"/>
      <c r="B214" s="5"/>
      <c r="C214" s="5"/>
      <c r="E214" s="5"/>
      <c r="F214" s="9"/>
    </row>
    <row r="215">
      <c r="A215" s="5"/>
      <c r="B215" s="5"/>
      <c r="C215" s="5"/>
      <c r="E215" s="5"/>
      <c r="F215" s="9"/>
    </row>
    <row r="216">
      <c r="A216" s="5"/>
      <c r="B216" s="5"/>
      <c r="C216" s="5"/>
      <c r="E216" s="5"/>
      <c r="F216" s="9"/>
    </row>
    <row r="217">
      <c r="A217" s="5"/>
      <c r="B217" s="5"/>
      <c r="C217" s="5"/>
      <c r="E217" s="5"/>
      <c r="F217" s="9"/>
    </row>
    <row r="218">
      <c r="A218" s="5"/>
      <c r="B218" s="5"/>
      <c r="C218" s="5"/>
      <c r="E218" s="5"/>
      <c r="F218" s="9"/>
    </row>
    <row r="219">
      <c r="A219" s="5"/>
      <c r="B219" s="5"/>
      <c r="C219" s="5"/>
      <c r="E219" s="5"/>
      <c r="F219" s="9"/>
    </row>
    <row r="220">
      <c r="A220" s="5"/>
      <c r="B220" s="5"/>
      <c r="C220" s="5"/>
      <c r="E220" s="5"/>
      <c r="F220" s="9"/>
    </row>
    <row r="221">
      <c r="A221" s="5"/>
      <c r="B221" s="5"/>
      <c r="C221" s="5"/>
      <c r="E221" s="5"/>
      <c r="F221" s="9"/>
    </row>
    <row r="222">
      <c r="A222" s="5"/>
      <c r="B222" s="5"/>
      <c r="C222" s="5"/>
      <c r="E222" s="5"/>
      <c r="F222" s="9"/>
    </row>
    <row r="223">
      <c r="A223" s="5"/>
      <c r="B223" s="5"/>
      <c r="C223" s="5"/>
      <c r="E223" s="5"/>
      <c r="F223" s="9"/>
    </row>
    <row r="224">
      <c r="A224" s="5"/>
      <c r="B224" s="5"/>
      <c r="C224" s="5"/>
      <c r="E224" s="5"/>
      <c r="F224" s="9"/>
    </row>
    <row r="225">
      <c r="A225" s="5"/>
      <c r="B225" s="5"/>
      <c r="C225" s="5"/>
      <c r="E225" s="5"/>
      <c r="F225" s="9"/>
    </row>
    <row r="226">
      <c r="A226" s="5"/>
      <c r="B226" s="5"/>
      <c r="C226" s="5"/>
      <c r="E226" s="5"/>
      <c r="F226" s="9"/>
    </row>
    <row r="227">
      <c r="A227" s="5"/>
      <c r="B227" s="5"/>
      <c r="C227" s="5"/>
      <c r="E227" s="5"/>
      <c r="F227" s="9"/>
    </row>
    <row r="228">
      <c r="A228" s="5"/>
      <c r="B228" s="5"/>
      <c r="C228" s="5"/>
      <c r="E228" s="5"/>
      <c r="F228" s="9"/>
    </row>
    <row r="229">
      <c r="A229" s="5"/>
      <c r="B229" s="5"/>
      <c r="C229" s="5"/>
      <c r="E229" s="5"/>
      <c r="F229" s="9"/>
    </row>
    <row r="230">
      <c r="A230" s="5"/>
      <c r="B230" s="5"/>
      <c r="C230" s="5"/>
      <c r="E230" s="5"/>
      <c r="F230" s="9"/>
    </row>
    <row r="231">
      <c r="A231" s="5"/>
      <c r="B231" s="5"/>
      <c r="C231" s="5"/>
      <c r="E231" s="5"/>
      <c r="F231" s="9"/>
    </row>
    <row r="232">
      <c r="A232" s="5"/>
      <c r="B232" s="5"/>
      <c r="C232" s="5"/>
      <c r="E232" s="5"/>
      <c r="F232" s="9"/>
    </row>
    <row r="233">
      <c r="A233" s="5"/>
      <c r="B233" s="5"/>
      <c r="C233" s="5"/>
      <c r="E233" s="5"/>
      <c r="F233" s="9"/>
    </row>
    <row r="234">
      <c r="A234" s="5"/>
      <c r="B234" s="5"/>
      <c r="C234" s="5"/>
      <c r="E234" s="5"/>
      <c r="F234" s="9"/>
    </row>
    <row r="235">
      <c r="A235" s="5"/>
      <c r="B235" s="5"/>
      <c r="C235" s="5"/>
      <c r="E235" s="5"/>
      <c r="F235" s="9"/>
    </row>
    <row r="236">
      <c r="A236" s="5"/>
      <c r="B236" s="5"/>
      <c r="C236" s="5"/>
      <c r="E236" s="5"/>
      <c r="F236" s="9"/>
    </row>
    <row r="237">
      <c r="A237" s="5"/>
      <c r="B237" s="5"/>
      <c r="C237" s="5"/>
      <c r="E237" s="5"/>
      <c r="F237" s="9"/>
    </row>
    <row r="238">
      <c r="A238" s="5"/>
      <c r="B238" s="5"/>
      <c r="C238" s="5"/>
      <c r="E238" s="5"/>
      <c r="F238" s="9"/>
    </row>
    <row r="239">
      <c r="A239" s="5"/>
      <c r="B239" s="5"/>
      <c r="C239" s="5"/>
      <c r="E239" s="5"/>
      <c r="F239" s="9"/>
    </row>
    <row r="240">
      <c r="A240" s="5"/>
      <c r="B240" s="5"/>
      <c r="C240" s="5"/>
      <c r="E240" s="5"/>
      <c r="F240" s="9"/>
    </row>
    <row r="241">
      <c r="A241" s="5"/>
      <c r="B241" s="5"/>
      <c r="C241" s="5"/>
      <c r="E241" s="5"/>
      <c r="F241" s="9"/>
    </row>
    <row r="242">
      <c r="A242" s="5"/>
      <c r="B242" s="5"/>
      <c r="C242" s="5"/>
      <c r="E242" s="5"/>
      <c r="F242" s="9"/>
    </row>
    <row r="243">
      <c r="A243" s="5"/>
      <c r="B243" s="5"/>
      <c r="C243" s="5"/>
      <c r="E243" s="5"/>
      <c r="F243" s="9"/>
    </row>
    <row r="244">
      <c r="A244" s="5"/>
      <c r="B244" s="5"/>
      <c r="C244" s="5"/>
      <c r="E244" s="5"/>
      <c r="F244" s="9"/>
    </row>
    <row r="245">
      <c r="A245" s="5"/>
      <c r="B245" s="5"/>
      <c r="C245" s="5"/>
      <c r="E245" s="5"/>
      <c r="F245" s="9"/>
    </row>
    <row r="246">
      <c r="A246" s="5"/>
      <c r="B246" s="5"/>
      <c r="C246" s="5"/>
      <c r="E246" s="5"/>
      <c r="F246" s="9"/>
    </row>
    <row r="247">
      <c r="A247" s="5"/>
      <c r="B247" s="5"/>
      <c r="C247" s="5"/>
      <c r="E247" s="5"/>
      <c r="F247" s="9"/>
    </row>
    <row r="248">
      <c r="A248" s="5"/>
      <c r="B248" s="5"/>
      <c r="C248" s="5"/>
      <c r="E248" s="5"/>
      <c r="F248" s="9"/>
    </row>
    <row r="249">
      <c r="A249" s="5"/>
      <c r="B249" s="5"/>
      <c r="C249" s="5"/>
      <c r="E249" s="5"/>
      <c r="F249" s="9"/>
    </row>
    <row r="250">
      <c r="A250" s="5"/>
      <c r="B250" s="5"/>
      <c r="C250" s="5"/>
      <c r="E250" s="5"/>
      <c r="F250" s="9"/>
    </row>
    <row r="251">
      <c r="A251" s="5"/>
      <c r="B251" s="5"/>
      <c r="C251" s="5"/>
      <c r="E251" s="5"/>
      <c r="F251" s="9"/>
    </row>
    <row r="252">
      <c r="A252" s="5"/>
      <c r="B252" s="5"/>
      <c r="C252" s="5"/>
      <c r="E252" s="5"/>
      <c r="F252" s="9"/>
    </row>
    <row r="253">
      <c r="A253" s="5"/>
      <c r="B253" s="5"/>
      <c r="C253" s="5"/>
      <c r="E253" s="5"/>
      <c r="F253" s="9"/>
    </row>
    <row r="254">
      <c r="A254" s="5"/>
      <c r="B254" s="5"/>
      <c r="C254" s="5"/>
      <c r="E254" s="5"/>
      <c r="F254" s="9"/>
    </row>
    <row r="255">
      <c r="A255" s="5"/>
      <c r="B255" s="5"/>
      <c r="C255" s="5"/>
      <c r="E255" s="5"/>
      <c r="F255" s="9"/>
    </row>
    <row r="256">
      <c r="A256" s="5"/>
      <c r="B256" s="5"/>
      <c r="C256" s="5"/>
      <c r="E256" s="5"/>
      <c r="F256" s="9"/>
    </row>
    <row r="257">
      <c r="A257" s="5"/>
      <c r="B257" s="5"/>
      <c r="C257" s="5"/>
      <c r="E257" s="5"/>
      <c r="F257" s="9"/>
    </row>
    <row r="258">
      <c r="A258" s="5"/>
      <c r="B258" s="5"/>
      <c r="C258" s="5"/>
      <c r="E258" s="5"/>
      <c r="F258" s="9"/>
    </row>
    <row r="259">
      <c r="A259" s="5"/>
      <c r="B259" s="5"/>
      <c r="C259" s="5"/>
      <c r="E259" s="5"/>
      <c r="F259" s="9"/>
    </row>
    <row r="260">
      <c r="A260" s="5"/>
      <c r="B260" s="5"/>
      <c r="C260" s="5"/>
      <c r="E260" s="5"/>
      <c r="F260" s="9"/>
    </row>
    <row r="261">
      <c r="A261" s="5"/>
      <c r="B261" s="5"/>
      <c r="C261" s="5"/>
      <c r="E261" s="5"/>
      <c r="F261" s="9"/>
    </row>
    <row r="262">
      <c r="A262" s="5"/>
      <c r="B262" s="5"/>
      <c r="C262" s="5"/>
      <c r="E262" s="5"/>
      <c r="F262" s="9"/>
    </row>
    <row r="263">
      <c r="A263" s="5"/>
      <c r="B263" s="5"/>
      <c r="C263" s="5"/>
      <c r="E263" s="5"/>
      <c r="F263" s="9"/>
    </row>
    <row r="264">
      <c r="A264" s="5"/>
      <c r="B264" s="5"/>
      <c r="C264" s="5"/>
      <c r="E264" s="5"/>
      <c r="F264" s="9"/>
    </row>
    <row r="265">
      <c r="A265" s="5"/>
      <c r="B265" s="5"/>
      <c r="C265" s="5"/>
      <c r="E265" s="5"/>
      <c r="F265" s="9"/>
    </row>
    <row r="266">
      <c r="A266" s="5"/>
      <c r="B266" s="5"/>
      <c r="C266" s="5"/>
      <c r="E266" s="5"/>
      <c r="F266" s="9"/>
    </row>
    <row r="267">
      <c r="A267" s="5"/>
      <c r="B267" s="5"/>
      <c r="C267" s="5"/>
      <c r="E267" s="5"/>
      <c r="F267" s="9"/>
    </row>
    <row r="268">
      <c r="A268" s="5"/>
      <c r="B268" s="5"/>
      <c r="C268" s="5"/>
      <c r="E268" s="5"/>
      <c r="F268" s="9"/>
    </row>
    <row r="269">
      <c r="A269" s="5"/>
      <c r="B269" s="5"/>
      <c r="C269" s="5"/>
      <c r="E269" s="5"/>
      <c r="F269" s="9"/>
    </row>
    <row r="270">
      <c r="A270" s="5"/>
      <c r="B270" s="5"/>
      <c r="C270" s="5"/>
      <c r="E270" s="5"/>
      <c r="F270" s="9"/>
    </row>
    <row r="271">
      <c r="A271" s="5"/>
      <c r="B271" s="5"/>
      <c r="C271" s="5"/>
      <c r="E271" s="5"/>
      <c r="F271" s="9"/>
    </row>
    <row r="272">
      <c r="A272" s="5"/>
      <c r="B272" s="5"/>
      <c r="C272" s="5"/>
      <c r="E272" s="5"/>
      <c r="F272" s="9"/>
    </row>
    <row r="273">
      <c r="A273" s="5"/>
      <c r="B273" s="5"/>
      <c r="C273" s="5"/>
      <c r="E273" s="5"/>
      <c r="F273" s="9"/>
    </row>
    <row r="274">
      <c r="A274" s="5"/>
      <c r="B274" s="5"/>
      <c r="C274" s="5"/>
      <c r="E274" s="5"/>
      <c r="F274" s="9"/>
    </row>
    <row r="275">
      <c r="A275" s="5"/>
      <c r="B275" s="5"/>
      <c r="C275" s="5"/>
      <c r="E275" s="5"/>
      <c r="F275" s="9"/>
    </row>
    <row r="276">
      <c r="A276" s="5"/>
      <c r="B276" s="5"/>
      <c r="C276" s="5"/>
      <c r="E276" s="5"/>
      <c r="F276" s="9"/>
    </row>
    <row r="277">
      <c r="A277" s="5"/>
      <c r="B277" s="5"/>
      <c r="C277" s="5"/>
      <c r="E277" s="5"/>
      <c r="F277" s="9"/>
    </row>
    <row r="278">
      <c r="A278" s="5"/>
      <c r="B278" s="5"/>
      <c r="C278" s="5"/>
      <c r="E278" s="5"/>
      <c r="F278" s="9"/>
    </row>
    <row r="279">
      <c r="A279" s="5"/>
      <c r="B279" s="5"/>
      <c r="C279" s="5"/>
      <c r="E279" s="5"/>
      <c r="F279" s="9"/>
    </row>
    <row r="280">
      <c r="A280" s="5"/>
      <c r="B280" s="5"/>
      <c r="C280" s="5"/>
      <c r="E280" s="5"/>
      <c r="F280" s="9"/>
    </row>
    <row r="281">
      <c r="A281" s="5"/>
      <c r="B281" s="5"/>
      <c r="C281" s="5"/>
      <c r="E281" s="5"/>
      <c r="F281" s="9"/>
    </row>
    <row r="282">
      <c r="A282" s="5"/>
      <c r="B282" s="5"/>
      <c r="C282" s="5"/>
      <c r="E282" s="5"/>
      <c r="F282" s="9"/>
    </row>
    <row r="283">
      <c r="A283" s="5"/>
      <c r="B283" s="5"/>
      <c r="C283" s="5"/>
      <c r="E283" s="5"/>
      <c r="F283" s="9"/>
    </row>
    <row r="284">
      <c r="A284" s="5"/>
      <c r="B284" s="5"/>
      <c r="C284" s="5"/>
      <c r="E284" s="5"/>
      <c r="F284" s="9"/>
    </row>
    <row r="285">
      <c r="A285" s="5"/>
      <c r="B285" s="5"/>
      <c r="C285" s="5"/>
      <c r="E285" s="5"/>
      <c r="F285" s="9"/>
    </row>
    <row r="286">
      <c r="A286" s="5"/>
      <c r="B286" s="5"/>
      <c r="C286" s="5"/>
      <c r="E286" s="5"/>
      <c r="F286" s="9"/>
    </row>
    <row r="287">
      <c r="A287" s="5"/>
      <c r="B287" s="5"/>
      <c r="C287" s="5"/>
      <c r="E287" s="5"/>
      <c r="F287" s="9"/>
    </row>
    <row r="288">
      <c r="A288" s="5"/>
      <c r="B288" s="5"/>
      <c r="C288" s="5"/>
      <c r="E288" s="5"/>
      <c r="F288" s="9"/>
    </row>
    <row r="289">
      <c r="A289" s="5"/>
      <c r="B289" s="5"/>
      <c r="C289" s="5"/>
      <c r="E289" s="5"/>
      <c r="F289" s="9"/>
    </row>
    <row r="290">
      <c r="A290" s="5"/>
      <c r="B290" s="5"/>
      <c r="C290" s="5"/>
      <c r="E290" s="5"/>
      <c r="F290" s="9"/>
    </row>
    <row r="291">
      <c r="A291" s="5"/>
      <c r="B291" s="5"/>
      <c r="C291" s="5"/>
      <c r="E291" s="5"/>
      <c r="F291" s="9"/>
    </row>
    <row r="292">
      <c r="A292" s="5"/>
      <c r="B292" s="5"/>
      <c r="C292" s="5"/>
      <c r="E292" s="5"/>
      <c r="F292" s="9"/>
    </row>
    <row r="293">
      <c r="A293" s="5"/>
      <c r="B293" s="5"/>
      <c r="C293" s="5"/>
      <c r="E293" s="5"/>
      <c r="F293" s="9"/>
    </row>
    <row r="294">
      <c r="A294" s="5"/>
      <c r="B294" s="5"/>
      <c r="C294" s="5"/>
      <c r="E294" s="5"/>
      <c r="F294" s="9"/>
    </row>
    <row r="295">
      <c r="A295" s="5"/>
      <c r="B295" s="5"/>
      <c r="C295" s="5"/>
      <c r="E295" s="5"/>
      <c r="F295" s="9"/>
    </row>
    <row r="296">
      <c r="A296" s="5"/>
      <c r="B296" s="5"/>
      <c r="C296" s="5"/>
      <c r="E296" s="5"/>
      <c r="F296" s="9"/>
    </row>
    <row r="297">
      <c r="A297" s="5"/>
      <c r="B297" s="5"/>
      <c r="C297" s="5"/>
      <c r="E297" s="5"/>
      <c r="F297" s="9"/>
    </row>
    <row r="298">
      <c r="A298" s="5"/>
      <c r="B298" s="5"/>
      <c r="C298" s="5"/>
      <c r="E298" s="5"/>
      <c r="F298" s="9"/>
    </row>
    <row r="299">
      <c r="A299" s="5"/>
      <c r="B299" s="5"/>
      <c r="C299" s="5"/>
      <c r="E299" s="5"/>
      <c r="F299" s="9"/>
    </row>
    <row r="300">
      <c r="A300" s="5"/>
      <c r="B300" s="5"/>
      <c r="C300" s="5"/>
      <c r="E300" s="5"/>
      <c r="F300" s="9"/>
    </row>
    <row r="301">
      <c r="A301" s="5"/>
      <c r="B301" s="5"/>
      <c r="C301" s="5"/>
      <c r="E301" s="5"/>
      <c r="F301" s="9"/>
    </row>
    <row r="302">
      <c r="A302" s="5"/>
      <c r="B302" s="5"/>
      <c r="C302" s="5"/>
      <c r="E302" s="5"/>
      <c r="F302" s="9"/>
    </row>
    <row r="303">
      <c r="A303" s="5"/>
      <c r="B303" s="5"/>
      <c r="C303" s="5"/>
      <c r="E303" s="5"/>
      <c r="F303" s="9"/>
    </row>
    <row r="304">
      <c r="A304" s="5"/>
      <c r="B304" s="5"/>
      <c r="C304" s="5"/>
      <c r="E304" s="5"/>
      <c r="F304" s="9"/>
    </row>
    <row r="305">
      <c r="A305" s="5"/>
      <c r="B305" s="5"/>
      <c r="C305" s="5"/>
      <c r="E305" s="5"/>
      <c r="F305" s="9"/>
    </row>
    <row r="306">
      <c r="A306" s="5"/>
      <c r="B306" s="5"/>
      <c r="C306" s="5"/>
      <c r="E306" s="5"/>
      <c r="F306" s="9"/>
    </row>
    <row r="307">
      <c r="A307" s="5"/>
      <c r="B307" s="5"/>
      <c r="C307" s="5"/>
      <c r="E307" s="5"/>
      <c r="F307" s="9"/>
    </row>
    <row r="308">
      <c r="A308" s="5"/>
      <c r="B308" s="5"/>
      <c r="C308" s="5"/>
      <c r="E308" s="5"/>
      <c r="F308" s="9"/>
    </row>
    <row r="309">
      <c r="A309" s="5"/>
      <c r="B309" s="5"/>
      <c r="C309" s="5"/>
      <c r="E309" s="5"/>
      <c r="F309" s="9"/>
    </row>
    <row r="310">
      <c r="A310" s="5"/>
      <c r="B310" s="5"/>
      <c r="C310" s="5"/>
      <c r="E310" s="5"/>
      <c r="F310" s="9"/>
    </row>
    <row r="311">
      <c r="A311" s="5"/>
      <c r="B311" s="5"/>
      <c r="C311" s="5"/>
      <c r="E311" s="5"/>
      <c r="F311" s="9"/>
    </row>
    <row r="312">
      <c r="A312" s="5"/>
      <c r="B312" s="5"/>
      <c r="C312" s="5"/>
      <c r="E312" s="5"/>
      <c r="F312" s="9"/>
    </row>
    <row r="313">
      <c r="A313" s="5"/>
      <c r="B313" s="5"/>
      <c r="C313" s="5"/>
      <c r="E313" s="5"/>
      <c r="F313" s="9"/>
    </row>
    <row r="314">
      <c r="A314" s="5"/>
      <c r="B314" s="5"/>
      <c r="C314" s="5"/>
      <c r="E314" s="5"/>
      <c r="F314" s="9"/>
    </row>
    <row r="315">
      <c r="A315" s="5"/>
      <c r="B315" s="5"/>
      <c r="C315" s="5"/>
      <c r="E315" s="5"/>
      <c r="F315" s="9"/>
    </row>
    <row r="316">
      <c r="A316" s="5"/>
      <c r="B316" s="5"/>
      <c r="C316" s="5"/>
      <c r="E316" s="5"/>
      <c r="F316" s="9"/>
    </row>
    <row r="317">
      <c r="A317" s="5"/>
      <c r="B317" s="5"/>
      <c r="C317" s="5"/>
      <c r="E317" s="5"/>
      <c r="F317" s="9"/>
    </row>
    <row r="318">
      <c r="A318" s="5"/>
      <c r="B318" s="5"/>
      <c r="C318" s="5"/>
      <c r="E318" s="5"/>
      <c r="F318" s="9"/>
    </row>
    <row r="319">
      <c r="A319" s="5"/>
      <c r="B319" s="5"/>
      <c r="C319" s="5"/>
      <c r="E319" s="5"/>
      <c r="F319" s="9"/>
    </row>
    <row r="320">
      <c r="A320" s="5"/>
      <c r="B320" s="5"/>
      <c r="C320" s="5"/>
      <c r="E320" s="5"/>
      <c r="F320" s="9"/>
    </row>
    <row r="321">
      <c r="A321" s="5"/>
      <c r="B321" s="5"/>
      <c r="C321" s="5"/>
      <c r="E321" s="5"/>
      <c r="F321" s="9"/>
    </row>
    <row r="322">
      <c r="A322" s="5"/>
      <c r="B322" s="5"/>
      <c r="C322" s="5"/>
      <c r="E322" s="5"/>
      <c r="F322" s="9"/>
    </row>
    <row r="323">
      <c r="A323" s="5"/>
      <c r="B323" s="5"/>
      <c r="C323" s="5"/>
      <c r="E323" s="5"/>
      <c r="F323" s="9"/>
    </row>
    <row r="324">
      <c r="A324" s="5"/>
      <c r="B324" s="5"/>
      <c r="C324" s="5"/>
      <c r="E324" s="5"/>
      <c r="F324" s="9"/>
    </row>
    <row r="325">
      <c r="A325" s="5"/>
      <c r="B325" s="5"/>
      <c r="C325" s="5"/>
      <c r="E325" s="5"/>
      <c r="F325" s="9"/>
    </row>
    <row r="326">
      <c r="A326" s="5"/>
      <c r="B326" s="5"/>
      <c r="C326" s="5"/>
      <c r="E326" s="5"/>
      <c r="F326" s="9"/>
    </row>
    <row r="327">
      <c r="A327" s="5"/>
      <c r="B327" s="5"/>
      <c r="C327" s="5"/>
      <c r="E327" s="5"/>
      <c r="F327" s="9"/>
    </row>
    <row r="328">
      <c r="A328" s="5"/>
      <c r="B328" s="5"/>
      <c r="C328" s="5"/>
      <c r="E328" s="5"/>
      <c r="F328" s="9"/>
    </row>
    <row r="329">
      <c r="A329" s="5"/>
      <c r="B329" s="5"/>
      <c r="C329" s="5"/>
      <c r="E329" s="5"/>
      <c r="F329" s="9"/>
    </row>
    <row r="330">
      <c r="A330" s="5"/>
      <c r="B330" s="5"/>
      <c r="C330" s="5"/>
      <c r="E330" s="5"/>
      <c r="F330" s="9"/>
    </row>
    <row r="331">
      <c r="A331" s="5"/>
      <c r="B331" s="5"/>
      <c r="C331" s="5"/>
      <c r="E331" s="5"/>
      <c r="F331" s="9"/>
    </row>
    <row r="332">
      <c r="A332" s="5"/>
      <c r="B332" s="5"/>
      <c r="C332" s="5"/>
      <c r="E332" s="5"/>
      <c r="F332" s="9"/>
    </row>
    <row r="333">
      <c r="A333" s="5"/>
      <c r="B333" s="5"/>
      <c r="C333" s="5"/>
      <c r="E333" s="5"/>
      <c r="F333" s="9"/>
    </row>
    <row r="334">
      <c r="A334" s="5"/>
      <c r="B334" s="5"/>
      <c r="C334" s="5"/>
      <c r="E334" s="5"/>
      <c r="F334" s="9"/>
    </row>
    <row r="335">
      <c r="A335" s="5"/>
      <c r="B335" s="5"/>
      <c r="C335" s="5"/>
      <c r="E335" s="5"/>
      <c r="F335" s="9"/>
    </row>
    <row r="336">
      <c r="A336" s="5"/>
      <c r="B336" s="5"/>
      <c r="C336" s="5"/>
      <c r="E336" s="5"/>
      <c r="F336" s="9"/>
    </row>
    <row r="337">
      <c r="A337" s="5"/>
      <c r="B337" s="5"/>
      <c r="C337" s="5"/>
      <c r="E337" s="5"/>
      <c r="F337" s="9"/>
    </row>
    <row r="338">
      <c r="A338" s="5"/>
      <c r="B338" s="5"/>
      <c r="C338" s="5"/>
      <c r="E338" s="5"/>
      <c r="F338" s="9"/>
    </row>
    <row r="339">
      <c r="A339" s="5"/>
      <c r="B339" s="5"/>
      <c r="C339" s="5"/>
      <c r="E339" s="5"/>
      <c r="F339" s="9"/>
    </row>
    <row r="340">
      <c r="A340" s="5"/>
      <c r="B340" s="5"/>
      <c r="C340" s="5"/>
      <c r="E340" s="5"/>
      <c r="F340" s="9"/>
    </row>
    <row r="341">
      <c r="A341" s="5"/>
      <c r="B341" s="5"/>
      <c r="C341" s="5"/>
      <c r="E341" s="5"/>
      <c r="F341" s="9"/>
    </row>
    <row r="342">
      <c r="A342" s="5"/>
      <c r="B342" s="5"/>
      <c r="C342" s="5"/>
      <c r="E342" s="5"/>
      <c r="F342" s="9"/>
    </row>
    <row r="343">
      <c r="A343" s="5"/>
      <c r="B343" s="5"/>
      <c r="C343" s="5"/>
      <c r="E343" s="5"/>
      <c r="F343" s="9"/>
    </row>
    <row r="344">
      <c r="A344" s="5"/>
      <c r="B344" s="5"/>
      <c r="C344" s="5"/>
      <c r="E344" s="5"/>
      <c r="F344" s="9"/>
    </row>
    <row r="345">
      <c r="A345" s="5"/>
      <c r="B345" s="5"/>
      <c r="C345" s="5"/>
      <c r="E345" s="5"/>
      <c r="F345" s="9"/>
    </row>
    <row r="346">
      <c r="A346" s="5"/>
      <c r="B346" s="5"/>
      <c r="C346" s="5"/>
      <c r="E346" s="5"/>
      <c r="F346" s="9"/>
    </row>
    <row r="347">
      <c r="A347" s="5"/>
      <c r="B347" s="5"/>
      <c r="C347" s="5"/>
      <c r="E347" s="5"/>
      <c r="F347" s="9"/>
    </row>
    <row r="348">
      <c r="A348" s="5"/>
      <c r="B348" s="5"/>
      <c r="C348" s="5"/>
      <c r="E348" s="5"/>
      <c r="F348" s="9"/>
    </row>
    <row r="349">
      <c r="A349" s="5"/>
      <c r="B349" s="5"/>
      <c r="C349" s="5"/>
      <c r="E349" s="5"/>
      <c r="F349" s="9"/>
    </row>
    <row r="350">
      <c r="A350" s="5"/>
      <c r="B350" s="5"/>
      <c r="C350" s="5"/>
      <c r="E350" s="5"/>
      <c r="F350" s="9"/>
    </row>
    <row r="351">
      <c r="A351" s="5"/>
      <c r="B351" s="5"/>
      <c r="C351" s="5"/>
      <c r="E351" s="5"/>
      <c r="F351" s="9"/>
    </row>
    <row r="352">
      <c r="A352" s="5"/>
      <c r="B352" s="5"/>
      <c r="C352" s="5"/>
      <c r="E352" s="5"/>
      <c r="F352" s="9"/>
    </row>
    <row r="353">
      <c r="A353" s="5"/>
      <c r="B353" s="5"/>
      <c r="C353" s="5"/>
      <c r="E353" s="5"/>
      <c r="F353" s="9"/>
    </row>
    <row r="354">
      <c r="A354" s="5"/>
      <c r="B354" s="5"/>
      <c r="C354" s="5"/>
      <c r="E354" s="5"/>
      <c r="F354" s="9"/>
    </row>
    <row r="355">
      <c r="A355" s="5"/>
      <c r="B355" s="5"/>
      <c r="C355" s="5"/>
      <c r="E355" s="5"/>
      <c r="F355" s="9"/>
    </row>
    <row r="356">
      <c r="A356" s="5"/>
      <c r="B356" s="5"/>
      <c r="C356" s="5"/>
      <c r="E356" s="5"/>
      <c r="F356" s="9"/>
    </row>
    <row r="357">
      <c r="A357" s="5"/>
      <c r="B357" s="5"/>
      <c r="C357" s="5"/>
      <c r="E357" s="5"/>
      <c r="F357" s="9"/>
    </row>
    <row r="358">
      <c r="A358" s="5"/>
      <c r="B358" s="5"/>
      <c r="C358" s="5"/>
      <c r="E358" s="5"/>
      <c r="F358" s="9"/>
    </row>
    <row r="359">
      <c r="A359" s="5"/>
      <c r="B359" s="5"/>
      <c r="C359" s="5"/>
      <c r="E359" s="5"/>
      <c r="F359" s="9"/>
    </row>
    <row r="360">
      <c r="A360" s="5"/>
      <c r="B360" s="5"/>
      <c r="C360" s="5"/>
      <c r="E360" s="5"/>
      <c r="F360" s="9"/>
    </row>
    <row r="361">
      <c r="A361" s="5"/>
      <c r="B361" s="5"/>
      <c r="C361" s="5"/>
      <c r="E361" s="5"/>
      <c r="F361" s="9"/>
    </row>
    <row r="362">
      <c r="A362" s="5"/>
      <c r="B362" s="5"/>
      <c r="C362" s="5"/>
      <c r="E362" s="5"/>
      <c r="F362" s="9"/>
    </row>
    <row r="363">
      <c r="A363" s="5"/>
      <c r="B363" s="5"/>
      <c r="C363" s="5"/>
      <c r="E363" s="5"/>
      <c r="F363" s="9"/>
    </row>
    <row r="364">
      <c r="A364" s="5"/>
      <c r="B364" s="5"/>
      <c r="C364" s="5"/>
      <c r="E364" s="5"/>
      <c r="F364" s="9"/>
    </row>
    <row r="365">
      <c r="A365" s="5"/>
      <c r="B365" s="5"/>
      <c r="C365" s="5"/>
      <c r="E365" s="5"/>
      <c r="F365" s="9"/>
    </row>
    <row r="366">
      <c r="A366" s="5"/>
      <c r="B366" s="5"/>
      <c r="C366" s="5"/>
      <c r="E366" s="5"/>
      <c r="F366" s="9"/>
    </row>
    <row r="367">
      <c r="A367" s="5"/>
      <c r="B367" s="5"/>
      <c r="C367" s="5"/>
      <c r="E367" s="5"/>
      <c r="F367" s="9"/>
    </row>
    <row r="368">
      <c r="A368" s="5"/>
      <c r="B368" s="5"/>
      <c r="C368" s="5"/>
      <c r="E368" s="5"/>
      <c r="F368" s="9"/>
    </row>
    <row r="369">
      <c r="A369" s="5"/>
      <c r="B369" s="5"/>
      <c r="C369" s="5"/>
      <c r="E369" s="5"/>
      <c r="F369" s="9"/>
    </row>
    <row r="370">
      <c r="A370" s="5"/>
      <c r="B370" s="5"/>
      <c r="C370" s="5"/>
      <c r="E370" s="5"/>
      <c r="F370" s="9"/>
    </row>
    <row r="371">
      <c r="A371" s="5"/>
      <c r="B371" s="5"/>
      <c r="C371" s="5"/>
      <c r="E371" s="5"/>
      <c r="F371" s="9"/>
    </row>
    <row r="372">
      <c r="A372" s="5"/>
      <c r="B372" s="5"/>
      <c r="C372" s="5"/>
      <c r="E372" s="5"/>
      <c r="F372" s="9"/>
    </row>
    <row r="373">
      <c r="A373" s="5"/>
      <c r="B373" s="5"/>
      <c r="C373" s="5"/>
      <c r="E373" s="5"/>
      <c r="F373" s="9"/>
    </row>
    <row r="374">
      <c r="A374" s="5"/>
      <c r="B374" s="5"/>
      <c r="C374" s="5"/>
      <c r="E374" s="5"/>
      <c r="F374" s="9"/>
    </row>
    <row r="375">
      <c r="A375" s="5"/>
      <c r="B375" s="5"/>
      <c r="C375" s="5"/>
      <c r="E375" s="5"/>
      <c r="F375" s="9"/>
    </row>
    <row r="376">
      <c r="A376" s="5"/>
      <c r="B376" s="5"/>
      <c r="C376" s="5"/>
      <c r="E376" s="5"/>
      <c r="F376" s="9"/>
    </row>
    <row r="377">
      <c r="A377" s="5"/>
      <c r="B377" s="5"/>
      <c r="C377" s="5"/>
      <c r="E377" s="5"/>
      <c r="F377" s="9"/>
    </row>
    <row r="378">
      <c r="A378" s="5"/>
      <c r="B378" s="5"/>
      <c r="C378" s="5"/>
      <c r="E378" s="5"/>
      <c r="F378" s="9"/>
    </row>
    <row r="379">
      <c r="A379" s="5"/>
      <c r="B379" s="5"/>
      <c r="C379" s="5"/>
      <c r="E379" s="5"/>
      <c r="F379" s="9"/>
    </row>
    <row r="380">
      <c r="A380" s="5"/>
      <c r="B380" s="5"/>
      <c r="C380" s="5"/>
      <c r="E380" s="5"/>
      <c r="F380" s="9"/>
    </row>
    <row r="381">
      <c r="A381" s="5"/>
      <c r="B381" s="5"/>
      <c r="C381" s="5"/>
      <c r="E381" s="5"/>
      <c r="F381" s="9"/>
    </row>
    <row r="382">
      <c r="A382" s="5"/>
      <c r="B382" s="5"/>
      <c r="C382" s="5"/>
      <c r="E382" s="5"/>
      <c r="F382" s="9"/>
    </row>
    <row r="383">
      <c r="A383" s="5"/>
      <c r="B383" s="5"/>
      <c r="C383" s="5"/>
      <c r="E383" s="5"/>
      <c r="F383" s="9"/>
    </row>
    <row r="384">
      <c r="A384" s="5"/>
      <c r="B384" s="5"/>
      <c r="C384" s="5"/>
      <c r="E384" s="5"/>
      <c r="F384" s="9"/>
    </row>
    <row r="385">
      <c r="A385" s="5"/>
      <c r="B385" s="5"/>
      <c r="C385" s="5"/>
      <c r="E385" s="5"/>
      <c r="F385" s="9"/>
    </row>
    <row r="386">
      <c r="A386" s="5"/>
      <c r="B386" s="5"/>
      <c r="C386" s="5"/>
      <c r="E386" s="5"/>
      <c r="F386" s="9"/>
    </row>
    <row r="387">
      <c r="A387" s="5"/>
      <c r="B387" s="5"/>
      <c r="C387" s="5"/>
      <c r="E387" s="5"/>
      <c r="F387" s="9"/>
    </row>
    <row r="388">
      <c r="A388" s="5"/>
      <c r="B388" s="5"/>
      <c r="C388" s="5"/>
      <c r="E388" s="5"/>
      <c r="F388" s="9"/>
    </row>
    <row r="389">
      <c r="A389" s="5"/>
      <c r="B389" s="5"/>
      <c r="C389" s="5"/>
      <c r="E389" s="5"/>
      <c r="F389" s="9"/>
    </row>
    <row r="390">
      <c r="A390" s="5"/>
      <c r="B390" s="5"/>
      <c r="C390" s="5"/>
      <c r="E390" s="5"/>
      <c r="F390" s="9"/>
    </row>
    <row r="391">
      <c r="A391" s="5"/>
      <c r="B391" s="5"/>
      <c r="C391" s="5"/>
      <c r="E391" s="5"/>
      <c r="F391" s="9"/>
    </row>
    <row r="392">
      <c r="A392" s="5"/>
      <c r="B392" s="5"/>
      <c r="C392" s="5"/>
      <c r="E392" s="5"/>
      <c r="F392" s="9"/>
    </row>
    <row r="393">
      <c r="A393" s="5"/>
      <c r="B393" s="5"/>
      <c r="C393" s="5"/>
      <c r="E393" s="5"/>
      <c r="F393" s="9"/>
    </row>
    <row r="394">
      <c r="A394" s="5"/>
      <c r="B394" s="5"/>
      <c r="C394" s="5"/>
      <c r="E394" s="5"/>
      <c r="F394" s="9"/>
    </row>
    <row r="395">
      <c r="A395" s="5"/>
      <c r="B395" s="5"/>
      <c r="C395" s="5"/>
      <c r="E395" s="5"/>
      <c r="F395" s="9"/>
    </row>
    <row r="396">
      <c r="A396" s="5"/>
      <c r="B396" s="5"/>
      <c r="C396" s="5"/>
      <c r="E396" s="5"/>
      <c r="F396" s="9"/>
    </row>
    <row r="397">
      <c r="A397" s="5"/>
      <c r="B397" s="5"/>
      <c r="C397" s="5"/>
      <c r="E397" s="5"/>
      <c r="F397" s="9"/>
    </row>
    <row r="398">
      <c r="A398" s="5"/>
      <c r="B398" s="5"/>
      <c r="C398" s="5"/>
      <c r="E398" s="5"/>
      <c r="F398" s="9"/>
    </row>
    <row r="399">
      <c r="A399" s="5"/>
      <c r="B399" s="5"/>
      <c r="C399" s="5"/>
      <c r="E399" s="5"/>
      <c r="F399" s="9"/>
    </row>
    <row r="400">
      <c r="A400" s="5"/>
      <c r="B400" s="5"/>
      <c r="C400" s="5"/>
      <c r="E400" s="5"/>
      <c r="F400" s="9"/>
    </row>
    <row r="401">
      <c r="A401" s="5"/>
      <c r="B401" s="5"/>
      <c r="C401" s="5"/>
      <c r="E401" s="5"/>
      <c r="F401" s="9"/>
    </row>
    <row r="402">
      <c r="A402" s="5"/>
      <c r="B402" s="5"/>
      <c r="C402" s="5"/>
      <c r="E402" s="5"/>
      <c r="F402" s="9"/>
    </row>
    <row r="403">
      <c r="A403" s="5"/>
      <c r="B403" s="5"/>
      <c r="C403" s="5"/>
      <c r="E403" s="5"/>
      <c r="F403" s="9"/>
    </row>
    <row r="404">
      <c r="A404" s="5"/>
      <c r="B404" s="5"/>
      <c r="C404" s="5"/>
      <c r="E404" s="5"/>
      <c r="F404" s="9"/>
    </row>
    <row r="405">
      <c r="A405" s="5"/>
      <c r="B405" s="5"/>
      <c r="C405" s="5"/>
      <c r="E405" s="5"/>
      <c r="F405" s="9"/>
    </row>
    <row r="406">
      <c r="A406" s="5"/>
      <c r="B406" s="5"/>
      <c r="C406" s="5"/>
      <c r="E406" s="5"/>
      <c r="F406" s="9"/>
    </row>
    <row r="407">
      <c r="A407" s="5"/>
      <c r="B407" s="5"/>
      <c r="C407" s="5"/>
      <c r="E407" s="5"/>
      <c r="F407" s="9"/>
    </row>
    <row r="408">
      <c r="A408" s="5"/>
      <c r="B408" s="5"/>
      <c r="C408" s="5"/>
      <c r="E408" s="5"/>
      <c r="F408" s="9"/>
    </row>
    <row r="409">
      <c r="A409" s="5"/>
      <c r="B409" s="5"/>
      <c r="C409" s="5"/>
      <c r="E409" s="5"/>
      <c r="F409" s="9"/>
    </row>
    <row r="410">
      <c r="A410" s="5"/>
      <c r="B410" s="5"/>
      <c r="C410" s="5"/>
      <c r="E410" s="5"/>
      <c r="F410" s="9"/>
    </row>
    <row r="411">
      <c r="A411" s="5"/>
      <c r="B411" s="5"/>
      <c r="C411" s="5"/>
      <c r="E411" s="5"/>
      <c r="F411" s="9"/>
    </row>
    <row r="412">
      <c r="A412" s="5"/>
      <c r="B412" s="5"/>
      <c r="C412" s="5"/>
      <c r="E412" s="5"/>
      <c r="F412" s="9"/>
    </row>
    <row r="413">
      <c r="A413" s="5"/>
      <c r="B413" s="5"/>
      <c r="C413" s="5"/>
      <c r="E413" s="5"/>
      <c r="F413" s="9"/>
    </row>
    <row r="414">
      <c r="A414" s="5"/>
      <c r="B414" s="5"/>
      <c r="C414" s="5"/>
      <c r="E414" s="5"/>
      <c r="F414" s="9"/>
    </row>
    <row r="415">
      <c r="A415" s="5"/>
      <c r="B415" s="5"/>
      <c r="C415" s="5"/>
      <c r="E415" s="5"/>
      <c r="F415" s="9"/>
    </row>
    <row r="416">
      <c r="A416" s="5"/>
      <c r="B416" s="5"/>
      <c r="C416" s="5"/>
      <c r="E416" s="5"/>
      <c r="F416" s="9"/>
    </row>
    <row r="417">
      <c r="A417" s="5"/>
      <c r="B417" s="5"/>
      <c r="C417" s="5"/>
      <c r="E417" s="5"/>
      <c r="F417" s="9"/>
    </row>
    <row r="418">
      <c r="A418" s="5"/>
      <c r="B418" s="5"/>
      <c r="C418" s="5"/>
      <c r="E418" s="5"/>
      <c r="F418" s="9"/>
    </row>
    <row r="419">
      <c r="A419" s="5"/>
      <c r="B419" s="5"/>
      <c r="C419" s="5"/>
      <c r="E419" s="5"/>
      <c r="F419" s="9"/>
    </row>
    <row r="420">
      <c r="A420" s="5"/>
      <c r="B420" s="5"/>
      <c r="C420" s="5"/>
      <c r="E420" s="5"/>
      <c r="F420" s="9"/>
    </row>
    <row r="421">
      <c r="A421" s="5"/>
      <c r="B421" s="5"/>
      <c r="C421" s="5"/>
      <c r="E421" s="5"/>
      <c r="F421" s="9"/>
    </row>
    <row r="422">
      <c r="A422" s="5"/>
      <c r="B422" s="5"/>
      <c r="C422" s="5"/>
      <c r="E422" s="5"/>
      <c r="F422" s="9"/>
    </row>
    <row r="423">
      <c r="A423" s="5"/>
      <c r="B423" s="5"/>
      <c r="C423" s="5"/>
      <c r="E423" s="5"/>
      <c r="F423" s="9"/>
    </row>
    <row r="424">
      <c r="A424" s="5"/>
      <c r="B424" s="5"/>
      <c r="C424" s="5"/>
      <c r="E424" s="5"/>
      <c r="F424" s="9"/>
    </row>
    <row r="425">
      <c r="A425" s="5"/>
      <c r="B425" s="5"/>
      <c r="C425" s="5"/>
      <c r="E425" s="5"/>
      <c r="F425" s="9"/>
    </row>
    <row r="426">
      <c r="A426" s="5"/>
      <c r="B426" s="5"/>
      <c r="C426" s="5"/>
      <c r="E426" s="5"/>
      <c r="F426" s="9"/>
    </row>
    <row r="427">
      <c r="A427" s="5"/>
      <c r="B427" s="5"/>
      <c r="C427" s="5"/>
      <c r="E427" s="5"/>
      <c r="F427" s="9"/>
    </row>
    <row r="428">
      <c r="A428" s="5"/>
      <c r="B428" s="5"/>
      <c r="C428" s="5"/>
      <c r="E428" s="5"/>
      <c r="F428" s="9"/>
    </row>
    <row r="429">
      <c r="A429" s="5"/>
      <c r="B429" s="5"/>
      <c r="C429" s="5"/>
      <c r="E429" s="5"/>
      <c r="F429" s="9"/>
    </row>
    <row r="430">
      <c r="A430" s="5"/>
      <c r="B430" s="5"/>
      <c r="C430" s="5"/>
      <c r="E430" s="5"/>
      <c r="F430" s="9"/>
    </row>
    <row r="431">
      <c r="A431" s="5"/>
      <c r="B431" s="5"/>
      <c r="C431" s="5"/>
      <c r="E431" s="5"/>
      <c r="F431" s="9"/>
    </row>
    <row r="432">
      <c r="A432" s="5"/>
      <c r="B432" s="5"/>
      <c r="C432" s="5"/>
      <c r="E432" s="5"/>
      <c r="F432" s="9"/>
    </row>
    <row r="433">
      <c r="A433" s="5"/>
      <c r="B433" s="5"/>
      <c r="C433" s="5"/>
      <c r="E433" s="5"/>
      <c r="F433" s="9"/>
    </row>
    <row r="434">
      <c r="A434" s="5"/>
      <c r="B434" s="5"/>
      <c r="C434" s="5"/>
      <c r="E434" s="5"/>
      <c r="F434" s="9"/>
    </row>
    <row r="435">
      <c r="A435" s="5"/>
      <c r="B435" s="5"/>
      <c r="C435" s="5"/>
      <c r="E435" s="5"/>
      <c r="F435" s="9"/>
    </row>
    <row r="436">
      <c r="A436" s="5"/>
      <c r="B436" s="5"/>
      <c r="C436" s="5"/>
      <c r="E436" s="5"/>
      <c r="F436" s="9"/>
    </row>
    <row r="437">
      <c r="A437" s="5"/>
      <c r="B437" s="5"/>
      <c r="C437" s="5"/>
      <c r="E437" s="5"/>
      <c r="F437" s="9"/>
    </row>
    <row r="438">
      <c r="A438" s="5"/>
      <c r="B438" s="5"/>
      <c r="C438" s="5"/>
      <c r="E438" s="5"/>
      <c r="F438" s="9"/>
    </row>
    <row r="439">
      <c r="A439" s="5"/>
      <c r="B439" s="5"/>
      <c r="C439" s="5"/>
      <c r="E439" s="5"/>
      <c r="F439" s="9"/>
    </row>
    <row r="440">
      <c r="A440" s="5"/>
      <c r="B440" s="5"/>
      <c r="C440" s="5"/>
      <c r="E440" s="5"/>
      <c r="F440" s="9"/>
    </row>
    <row r="441">
      <c r="A441" s="5"/>
      <c r="B441" s="5"/>
      <c r="C441" s="5"/>
      <c r="E441" s="5"/>
      <c r="F441" s="9"/>
    </row>
    <row r="442">
      <c r="A442" s="5"/>
      <c r="B442" s="5"/>
      <c r="C442" s="5"/>
      <c r="E442" s="5"/>
      <c r="F442" s="9"/>
    </row>
    <row r="443">
      <c r="A443" s="5"/>
      <c r="B443" s="5"/>
      <c r="C443" s="5"/>
      <c r="E443" s="5"/>
      <c r="F443" s="9"/>
    </row>
    <row r="444">
      <c r="A444" s="5"/>
      <c r="B444" s="5"/>
      <c r="C444" s="5"/>
      <c r="E444" s="5"/>
      <c r="F444" s="9"/>
    </row>
    <row r="445">
      <c r="A445" s="5"/>
      <c r="B445" s="5"/>
      <c r="C445" s="5"/>
      <c r="E445" s="5"/>
      <c r="F445" s="9"/>
    </row>
    <row r="446">
      <c r="A446" s="5"/>
      <c r="B446" s="5"/>
      <c r="C446" s="5"/>
      <c r="E446" s="5"/>
      <c r="F446" s="9"/>
    </row>
    <row r="447">
      <c r="A447" s="5"/>
      <c r="B447" s="5"/>
      <c r="C447" s="5"/>
      <c r="E447" s="5"/>
      <c r="F447" s="9"/>
    </row>
    <row r="448">
      <c r="A448" s="5"/>
      <c r="B448" s="5"/>
      <c r="C448" s="5"/>
      <c r="E448" s="5"/>
      <c r="F448" s="9"/>
    </row>
    <row r="449">
      <c r="A449" s="5"/>
      <c r="B449" s="5"/>
      <c r="C449" s="5"/>
      <c r="E449" s="5"/>
      <c r="F449" s="9"/>
    </row>
    <row r="450">
      <c r="A450" s="5"/>
      <c r="B450" s="5"/>
      <c r="C450" s="5"/>
      <c r="E450" s="5"/>
      <c r="F450" s="9"/>
    </row>
    <row r="451">
      <c r="A451" s="5"/>
      <c r="B451" s="5"/>
      <c r="C451" s="5"/>
      <c r="E451" s="5"/>
      <c r="F451" s="9"/>
    </row>
    <row r="452">
      <c r="A452" s="5"/>
      <c r="B452" s="5"/>
      <c r="C452" s="5"/>
      <c r="E452" s="5"/>
      <c r="F452" s="9"/>
    </row>
    <row r="453">
      <c r="A453" s="5"/>
      <c r="B453" s="5"/>
      <c r="C453" s="5"/>
      <c r="E453" s="5"/>
      <c r="F453" s="9"/>
    </row>
    <row r="454">
      <c r="A454" s="5"/>
      <c r="B454" s="5"/>
      <c r="C454" s="5"/>
      <c r="E454" s="5"/>
      <c r="F454" s="9"/>
    </row>
    <row r="455">
      <c r="A455" s="5"/>
      <c r="B455" s="5"/>
      <c r="C455" s="5"/>
      <c r="E455" s="5"/>
      <c r="F455" s="9"/>
    </row>
    <row r="456">
      <c r="A456" s="5"/>
      <c r="B456" s="5"/>
      <c r="C456" s="5"/>
      <c r="E456" s="5"/>
      <c r="F456" s="9"/>
    </row>
    <row r="457">
      <c r="A457" s="5"/>
      <c r="B457" s="5"/>
      <c r="C457" s="5"/>
      <c r="E457" s="5"/>
      <c r="F457" s="9"/>
    </row>
    <row r="458">
      <c r="A458" s="5"/>
      <c r="B458" s="5"/>
      <c r="C458" s="5"/>
      <c r="E458" s="5"/>
      <c r="F458" s="9"/>
    </row>
    <row r="459">
      <c r="A459" s="5"/>
      <c r="B459" s="5"/>
      <c r="C459" s="5"/>
      <c r="E459" s="5"/>
      <c r="F459" s="9"/>
    </row>
    <row r="460">
      <c r="A460" s="5"/>
      <c r="B460" s="5"/>
      <c r="C460" s="5"/>
      <c r="E460" s="5"/>
      <c r="F460" s="9"/>
    </row>
    <row r="461">
      <c r="A461" s="5"/>
      <c r="B461" s="5"/>
      <c r="C461" s="5"/>
      <c r="E461" s="5"/>
      <c r="F461" s="9"/>
    </row>
    <row r="462">
      <c r="A462" s="5"/>
      <c r="B462" s="5"/>
      <c r="C462" s="5"/>
      <c r="E462" s="5"/>
      <c r="F462" s="9"/>
    </row>
    <row r="463">
      <c r="A463" s="5"/>
      <c r="B463" s="5"/>
      <c r="C463" s="5"/>
      <c r="E463" s="5"/>
      <c r="F463" s="9"/>
    </row>
    <row r="464">
      <c r="A464" s="5"/>
      <c r="B464" s="5"/>
      <c r="C464" s="5"/>
      <c r="E464" s="5"/>
      <c r="F464" s="9"/>
    </row>
    <row r="465">
      <c r="A465" s="5"/>
      <c r="B465" s="5"/>
      <c r="C465" s="5"/>
      <c r="E465" s="5"/>
      <c r="F465" s="9"/>
    </row>
    <row r="466">
      <c r="A466" s="5"/>
      <c r="B466" s="5"/>
      <c r="C466" s="5"/>
      <c r="E466" s="5"/>
      <c r="F466" s="9"/>
    </row>
    <row r="467">
      <c r="A467" s="5"/>
      <c r="B467" s="5"/>
      <c r="C467" s="5"/>
      <c r="E467" s="5"/>
      <c r="F467" s="9"/>
    </row>
    <row r="468">
      <c r="A468" s="5"/>
      <c r="B468" s="5"/>
      <c r="C468" s="5"/>
      <c r="E468" s="5"/>
      <c r="F468" s="9"/>
    </row>
    <row r="469">
      <c r="A469" s="5"/>
      <c r="B469" s="5"/>
      <c r="C469" s="5"/>
      <c r="E469" s="5"/>
      <c r="F469" s="9"/>
    </row>
    <row r="470">
      <c r="A470" s="5"/>
      <c r="B470" s="5"/>
      <c r="C470" s="5"/>
      <c r="E470" s="5"/>
      <c r="F470" s="9"/>
    </row>
    <row r="471">
      <c r="A471" s="5"/>
      <c r="B471" s="5"/>
      <c r="C471" s="5"/>
      <c r="E471" s="5"/>
      <c r="F471" s="9"/>
    </row>
    <row r="472">
      <c r="A472" s="5"/>
      <c r="B472" s="5"/>
      <c r="C472" s="5"/>
      <c r="E472" s="5"/>
      <c r="F472" s="9"/>
    </row>
    <row r="473">
      <c r="A473" s="5"/>
      <c r="B473" s="5"/>
      <c r="C473" s="5"/>
      <c r="E473" s="5"/>
      <c r="F473" s="9"/>
    </row>
    <row r="474">
      <c r="A474" s="5"/>
      <c r="B474" s="5"/>
      <c r="C474" s="5"/>
      <c r="E474" s="5"/>
      <c r="F474" s="9"/>
    </row>
    <row r="475">
      <c r="A475" s="5"/>
      <c r="B475" s="5"/>
      <c r="C475" s="5"/>
      <c r="E475" s="5"/>
      <c r="F475" s="9"/>
    </row>
    <row r="476">
      <c r="A476" s="5"/>
      <c r="B476" s="5"/>
      <c r="C476" s="5"/>
      <c r="E476" s="5"/>
      <c r="F476" s="9"/>
    </row>
    <row r="477">
      <c r="A477" s="5"/>
      <c r="B477" s="5"/>
      <c r="C477" s="5"/>
      <c r="E477" s="5"/>
      <c r="F477" s="9"/>
    </row>
    <row r="478">
      <c r="A478" s="5"/>
      <c r="B478" s="5"/>
      <c r="C478" s="5"/>
      <c r="E478" s="5"/>
      <c r="F478" s="9"/>
    </row>
    <row r="479">
      <c r="A479" s="5"/>
      <c r="B479" s="5"/>
      <c r="C479" s="5"/>
      <c r="E479" s="5"/>
      <c r="F479" s="9"/>
    </row>
    <row r="480">
      <c r="A480" s="5"/>
      <c r="B480" s="5"/>
      <c r="C480" s="5"/>
      <c r="E480" s="5"/>
      <c r="F480" s="9"/>
    </row>
    <row r="481">
      <c r="A481" s="5"/>
      <c r="B481" s="5"/>
      <c r="C481" s="5"/>
      <c r="E481" s="5"/>
      <c r="F481" s="9"/>
    </row>
    <row r="482">
      <c r="A482" s="5"/>
      <c r="B482" s="5"/>
      <c r="C482" s="5"/>
      <c r="E482" s="5"/>
      <c r="F482" s="9"/>
    </row>
    <row r="483">
      <c r="A483" s="5"/>
      <c r="B483" s="5"/>
      <c r="C483" s="5"/>
      <c r="E483" s="5"/>
      <c r="F483" s="9"/>
    </row>
    <row r="484">
      <c r="A484" s="5"/>
      <c r="B484" s="5"/>
      <c r="C484" s="5"/>
      <c r="E484" s="5"/>
      <c r="F484" s="9"/>
    </row>
    <row r="485">
      <c r="A485" s="5"/>
      <c r="B485" s="5"/>
      <c r="C485" s="5"/>
      <c r="E485" s="5"/>
      <c r="F485" s="9"/>
    </row>
    <row r="486">
      <c r="A486" s="5"/>
      <c r="B486" s="5"/>
      <c r="C486" s="5"/>
      <c r="E486" s="5"/>
      <c r="F486" s="9"/>
    </row>
    <row r="487">
      <c r="A487" s="5"/>
      <c r="B487" s="5"/>
      <c r="C487" s="5"/>
      <c r="E487" s="5"/>
      <c r="F487" s="9"/>
    </row>
    <row r="488">
      <c r="A488" s="5"/>
      <c r="B488" s="5"/>
      <c r="C488" s="5"/>
      <c r="E488" s="5"/>
      <c r="F488" s="9"/>
    </row>
    <row r="489">
      <c r="A489" s="5"/>
      <c r="B489" s="5"/>
      <c r="C489" s="5"/>
      <c r="E489" s="5"/>
      <c r="F489" s="9"/>
    </row>
    <row r="490">
      <c r="A490" s="5"/>
      <c r="B490" s="5"/>
      <c r="C490" s="5"/>
      <c r="E490" s="5"/>
      <c r="F490" s="9"/>
    </row>
    <row r="491">
      <c r="A491" s="5"/>
      <c r="B491" s="5"/>
      <c r="C491" s="5"/>
      <c r="E491" s="5"/>
      <c r="F491" s="9"/>
    </row>
    <row r="492">
      <c r="A492" s="5"/>
      <c r="B492" s="5"/>
      <c r="C492" s="5"/>
      <c r="E492" s="5"/>
      <c r="F492" s="9"/>
    </row>
    <row r="493">
      <c r="A493" s="5"/>
      <c r="B493" s="5"/>
      <c r="C493" s="5"/>
      <c r="E493" s="5"/>
      <c r="F493" s="9"/>
    </row>
    <row r="494">
      <c r="A494" s="5"/>
      <c r="B494" s="5"/>
      <c r="C494" s="5"/>
      <c r="E494" s="5"/>
      <c r="F494" s="9"/>
    </row>
    <row r="495">
      <c r="A495" s="5"/>
      <c r="B495" s="5"/>
      <c r="C495" s="5"/>
      <c r="E495" s="5"/>
      <c r="F495" s="9"/>
    </row>
    <row r="496">
      <c r="A496" s="5"/>
      <c r="B496" s="5"/>
      <c r="C496" s="5"/>
      <c r="E496" s="5"/>
      <c r="F496" s="9"/>
    </row>
    <row r="497">
      <c r="A497" s="5"/>
      <c r="B497" s="5"/>
      <c r="C497" s="5"/>
      <c r="E497" s="5"/>
      <c r="F497" s="9"/>
    </row>
    <row r="498">
      <c r="A498" s="5"/>
      <c r="B498" s="5"/>
      <c r="C498" s="5"/>
      <c r="E498" s="5"/>
      <c r="F498" s="9"/>
    </row>
    <row r="499">
      <c r="A499" s="5"/>
      <c r="B499" s="5"/>
      <c r="C499" s="5"/>
      <c r="E499" s="5"/>
      <c r="F499" s="9"/>
    </row>
    <row r="500">
      <c r="A500" s="5"/>
      <c r="B500" s="5"/>
      <c r="C500" s="5"/>
      <c r="E500" s="5"/>
      <c r="F500" s="9"/>
    </row>
    <row r="501">
      <c r="A501" s="5"/>
      <c r="B501" s="5"/>
      <c r="C501" s="5"/>
      <c r="E501" s="5"/>
      <c r="F501" s="9"/>
    </row>
    <row r="502">
      <c r="A502" s="5"/>
      <c r="B502" s="5"/>
      <c r="C502" s="5"/>
      <c r="E502" s="5"/>
      <c r="F502" s="9"/>
    </row>
    <row r="503">
      <c r="A503" s="5"/>
      <c r="B503" s="5"/>
      <c r="C503" s="5"/>
      <c r="E503" s="5"/>
      <c r="F503" s="9"/>
    </row>
    <row r="504">
      <c r="A504" s="5"/>
      <c r="B504" s="5"/>
      <c r="C504" s="5"/>
      <c r="E504" s="5"/>
      <c r="F504" s="9"/>
    </row>
    <row r="505">
      <c r="A505" s="5"/>
      <c r="B505" s="5"/>
      <c r="C505" s="5"/>
      <c r="E505" s="5"/>
      <c r="F505" s="9"/>
    </row>
    <row r="506">
      <c r="A506" s="5"/>
      <c r="B506" s="5"/>
      <c r="C506" s="5"/>
      <c r="E506" s="5"/>
      <c r="F506" s="9"/>
    </row>
    <row r="507">
      <c r="A507" s="5"/>
      <c r="B507" s="5"/>
      <c r="C507" s="5"/>
      <c r="E507" s="5"/>
      <c r="F507" s="9"/>
    </row>
    <row r="508">
      <c r="A508" s="5"/>
      <c r="B508" s="5"/>
      <c r="C508" s="5"/>
      <c r="E508" s="5"/>
      <c r="F508" s="9"/>
    </row>
    <row r="509">
      <c r="A509" s="5"/>
      <c r="B509" s="5"/>
      <c r="C509" s="5"/>
      <c r="E509" s="5"/>
      <c r="F509" s="9"/>
    </row>
    <row r="510">
      <c r="A510" s="5"/>
      <c r="B510" s="5"/>
      <c r="C510" s="5"/>
      <c r="E510" s="5"/>
      <c r="F510" s="9"/>
    </row>
    <row r="511">
      <c r="A511" s="5"/>
      <c r="B511" s="5"/>
      <c r="C511" s="5"/>
      <c r="E511" s="5"/>
      <c r="F511" s="9"/>
    </row>
    <row r="512">
      <c r="A512" s="5"/>
      <c r="B512" s="5"/>
      <c r="C512" s="5"/>
      <c r="E512" s="5"/>
      <c r="F512" s="9"/>
    </row>
    <row r="513">
      <c r="A513" s="5"/>
      <c r="B513" s="5"/>
      <c r="C513" s="5"/>
      <c r="E513" s="5"/>
      <c r="F513" s="9"/>
    </row>
    <row r="514">
      <c r="A514" s="5"/>
      <c r="B514" s="5"/>
      <c r="C514" s="5"/>
      <c r="E514" s="5"/>
      <c r="F514" s="9"/>
    </row>
    <row r="515">
      <c r="A515" s="5"/>
      <c r="B515" s="5"/>
      <c r="C515" s="5"/>
      <c r="E515" s="5"/>
      <c r="F515" s="9"/>
    </row>
    <row r="516">
      <c r="A516" s="5"/>
      <c r="B516" s="5"/>
      <c r="C516" s="5"/>
      <c r="E516" s="5"/>
      <c r="F516" s="9"/>
    </row>
    <row r="517">
      <c r="A517" s="5"/>
      <c r="B517" s="5"/>
      <c r="C517" s="5"/>
      <c r="E517" s="5"/>
      <c r="F517" s="9"/>
    </row>
    <row r="518">
      <c r="A518" s="5"/>
      <c r="B518" s="5"/>
      <c r="C518" s="5"/>
      <c r="E518" s="5"/>
      <c r="F518" s="9"/>
    </row>
    <row r="519">
      <c r="A519" s="5"/>
      <c r="B519" s="5"/>
      <c r="C519" s="5"/>
      <c r="E519" s="5"/>
      <c r="F519" s="9"/>
    </row>
    <row r="520">
      <c r="A520" s="5"/>
      <c r="B520" s="5"/>
      <c r="C520" s="5"/>
      <c r="E520" s="5"/>
      <c r="F520" s="9"/>
    </row>
    <row r="521">
      <c r="A521" s="5"/>
      <c r="B521" s="5"/>
      <c r="C521" s="5"/>
      <c r="E521" s="5"/>
      <c r="F521" s="9"/>
    </row>
    <row r="522">
      <c r="A522" s="5"/>
      <c r="B522" s="5"/>
      <c r="C522" s="5"/>
      <c r="E522" s="5"/>
      <c r="F522" s="9"/>
    </row>
    <row r="523">
      <c r="A523" s="5"/>
      <c r="B523" s="5"/>
      <c r="C523" s="5"/>
      <c r="E523" s="5"/>
      <c r="F523" s="9"/>
    </row>
    <row r="524">
      <c r="A524" s="5"/>
      <c r="B524" s="5"/>
      <c r="C524" s="5"/>
      <c r="E524" s="5"/>
      <c r="F524" s="9"/>
    </row>
    <row r="525">
      <c r="A525" s="5"/>
      <c r="B525" s="5"/>
      <c r="C525" s="5"/>
      <c r="E525" s="5"/>
      <c r="F525" s="9"/>
    </row>
    <row r="526">
      <c r="A526" s="5"/>
      <c r="B526" s="5"/>
      <c r="C526" s="5"/>
      <c r="E526" s="5"/>
      <c r="F526" s="9"/>
    </row>
    <row r="527">
      <c r="A527" s="5"/>
      <c r="B527" s="5"/>
      <c r="C527" s="5"/>
      <c r="E527" s="5"/>
      <c r="F527" s="9"/>
    </row>
    <row r="528">
      <c r="A528" s="5"/>
      <c r="B528" s="5"/>
      <c r="C528" s="5"/>
      <c r="E528" s="5"/>
      <c r="F528" s="9"/>
    </row>
    <row r="529">
      <c r="A529" s="5"/>
      <c r="B529" s="5"/>
      <c r="C529" s="5"/>
      <c r="E529" s="5"/>
      <c r="F529" s="9"/>
    </row>
    <row r="530">
      <c r="A530" s="5"/>
      <c r="B530" s="5"/>
      <c r="C530" s="5"/>
      <c r="E530" s="5"/>
      <c r="F530" s="9"/>
    </row>
    <row r="531">
      <c r="A531" s="5"/>
      <c r="B531" s="5"/>
      <c r="C531" s="5"/>
      <c r="E531" s="5"/>
      <c r="F531" s="9"/>
    </row>
    <row r="532">
      <c r="A532" s="5"/>
      <c r="B532" s="5"/>
      <c r="C532" s="5"/>
      <c r="E532" s="5"/>
      <c r="F532" s="9"/>
    </row>
    <row r="533">
      <c r="A533" s="5"/>
      <c r="B533" s="5"/>
      <c r="C533" s="5"/>
      <c r="E533" s="5"/>
      <c r="F533" s="9"/>
    </row>
    <row r="534">
      <c r="A534" s="5"/>
      <c r="B534" s="5"/>
      <c r="C534" s="5"/>
      <c r="E534" s="5"/>
      <c r="F534" s="9"/>
    </row>
    <row r="535">
      <c r="A535" s="5"/>
      <c r="B535" s="5"/>
      <c r="C535" s="5"/>
      <c r="E535" s="5"/>
      <c r="F535" s="9"/>
    </row>
    <row r="536">
      <c r="A536" s="5"/>
      <c r="B536" s="5"/>
      <c r="C536" s="5"/>
      <c r="E536" s="5"/>
      <c r="F536" s="9"/>
    </row>
    <row r="537">
      <c r="A537" s="5"/>
      <c r="B537" s="5"/>
      <c r="C537" s="5"/>
      <c r="E537" s="5"/>
      <c r="F537" s="9"/>
    </row>
    <row r="538">
      <c r="A538" s="5"/>
      <c r="B538" s="5"/>
      <c r="C538" s="5"/>
      <c r="E538" s="5"/>
      <c r="F538" s="9"/>
    </row>
    <row r="539">
      <c r="A539" s="5"/>
      <c r="B539" s="5"/>
      <c r="C539" s="5"/>
      <c r="E539" s="5"/>
      <c r="F539" s="9"/>
    </row>
    <row r="540">
      <c r="A540" s="5"/>
      <c r="B540" s="5"/>
      <c r="C540" s="5"/>
      <c r="E540" s="5"/>
      <c r="F540" s="9"/>
    </row>
    <row r="541">
      <c r="A541" s="5"/>
      <c r="B541" s="5"/>
      <c r="C541" s="5"/>
      <c r="E541" s="5"/>
      <c r="F541" s="9"/>
    </row>
    <row r="542">
      <c r="A542" s="5"/>
      <c r="B542" s="5"/>
      <c r="C542" s="5"/>
      <c r="E542" s="5"/>
      <c r="F542" s="9"/>
    </row>
    <row r="543">
      <c r="A543" s="5"/>
      <c r="B543" s="5"/>
      <c r="C543" s="5"/>
      <c r="E543" s="5"/>
      <c r="F543" s="9"/>
    </row>
    <row r="544">
      <c r="A544" s="5"/>
      <c r="B544" s="5"/>
      <c r="C544" s="5"/>
      <c r="E544" s="5"/>
      <c r="F544" s="9"/>
    </row>
    <row r="545">
      <c r="A545" s="5"/>
      <c r="B545" s="5"/>
      <c r="C545" s="5"/>
      <c r="E545" s="5"/>
      <c r="F545" s="9"/>
    </row>
    <row r="546">
      <c r="A546" s="5"/>
      <c r="B546" s="5"/>
      <c r="C546" s="5"/>
      <c r="E546" s="5"/>
      <c r="F546" s="9"/>
    </row>
    <row r="547">
      <c r="A547" s="5"/>
      <c r="B547" s="5"/>
      <c r="C547" s="5"/>
      <c r="E547" s="5"/>
      <c r="F547" s="9"/>
    </row>
    <row r="548">
      <c r="A548" s="5"/>
      <c r="B548" s="5"/>
      <c r="C548" s="5"/>
      <c r="E548" s="5"/>
      <c r="F548" s="9"/>
    </row>
    <row r="549">
      <c r="A549" s="5"/>
      <c r="B549" s="5"/>
      <c r="C549" s="5"/>
      <c r="E549" s="5"/>
      <c r="F549" s="9"/>
    </row>
    <row r="550">
      <c r="A550" s="5"/>
      <c r="B550" s="5"/>
      <c r="C550" s="5"/>
      <c r="E550" s="5"/>
      <c r="F550" s="9"/>
    </row>
    <row r="551">
      <c r="A551" s="5"/>
      <c r="B551" s="5"/>
      <c r="C551" s="5"/>
      <c r="E551" s="5"/>
      <c r="F551" s="9"/>
    </row>
    <row r="552">
      <c r="A552" s="5"/>
      <c r="B552" s="5"/>
      <c r="C552" s="5"/>
      <c r="E552" s="5"/>
      <c r="F552" s="9"/>
    </row>
    <row r="553">
      <c r="A553" s="5"/>
      <c r="B553" s="5"/>
      <c r="C553" s="5"/>
      <c r="E553" s="5"/>
      <c r="F553" s="9"/>
    </row>
    <row r="554">
      <c r="A554" s="5"/>
      <c r="B554" s="5"/>
      <c r="C554" s="5"/>
      <c r="E554" s="5"/>
      <c r="F554" s="9"/>
    </row>
    <row r="555">
      <c r="A555" s="5"/>
      <c r="B555" s="5"/>
      <c r="C555" s="5"/>
      <c r="E555" s="5"/>
      <c r="F555" s="9"/>
    </row>
    <row r="556">
      <c r="A556" s="5"/>
      <c r="B556" s="5"/>
      <c r="C556" s="5"/>
      <c r="E556" s="5"/>
      <c r="F556" s="9"/>
    </row>
    <row r="557">
      <c r="A557" s="5"/>
      <c r="B557" s="5"/>
      <c r="C557" s="5"/>
      <c r="E557" s="5"/>
      <c r="F557" s="9"/>
    </row>
    <row r="558">
      <c r="A558" s="5"/>
      <c r="B558" s="5"/>
      <c r="C558" s="5"/>
      <c r="E558" s="5"/>
      <c r="F558" s="9"/>
    </row>
    <row r="559">
      <c r="A559" s="5"/>
      <c r="B559" s="5"/>
      <c r="C559" s="5"/>
      <c r="E559" s="5"/>
      <c r="F559" s="9"/>
    </row>
    <row r="560">
      <c r="A560" s="5"/>
      <c r="B560" s="5"/>
      <c r="C560" s="5"/>
      <c r="E560" s="5"/>
      <c r="F560" s="9"/>
    </row>
    <row r="561">
      <c r="A561" s="5"/>
      <c r="B561" s="5"/>
      <c r="C561" s="5"/>
      <c r="E561" s="5"/>
      <c r="F561" s="9"/>
    </row>
    <row r="562">
      <c r="A562" s="5"/>
      <c r="B562" s="5"/>
      <c r="C562" s="5"/>
      <c r="E562" s="5"/>
      <c r="F562" s="9"/>
    </row>
    <row r="563">
      <c r="A563" s="5"/>
      <c r="B563" s="5"/>
      <c r="C563" s="5"/>
      <c r="E563" s="5"/>
      <c r="F563" s="9"/>
    </row>
    <row r="564">
      <c r="A564" s="5"/>
      <c r="B564" s="5"/>
      <c r="C564" s="5"/>
      <c r="E564" s="5"/>
      <c r="F564" s="9"/>
    </row>
    <row r="565">
      <c r="A565" s="5"/>
      <c r="B565" s="5"/>
      <c r="C565" s="5"/>
      <c r="E565" s="5"/>
      <c r="F565" s="9"/>
    </row>
    <row r="566">
      <c r="A566" s="5"/>
      <c r="B566" s="5"/>
      <c r="C566" s="5"/>
      <c r="E566" s="5"/>
      <c r="F566" s="9"/>
    </row>
    <row r="567">
      <c r="A567" s="5"/>
      <c r="B567" s="5"/>
      <c r="C567" s="5"/>
      <c r="E567" s="5"/>
      <c r="F567" s="9"/>
    </row>
    <row r="568">
      <c r="A568" s="5"/>
      <c r="B568" s="5"/>
      <c r="C568" s="5"/>
      <c r="E568" s="5"/>
      <c r="F568" s="9"/>
    </row>
    <row r="569">
      <c r="A569" s="5"/>
      <c r="B569" s="5"/>
      <c r="C569" s="5"/>
      <c r="E569" s="5"/>
      <c r="F569" s="9"/>
    </row>
    <row r="570">
      <c r="A570" s="5"/>
      <c r="B570" s="5"/>
      <c r="C570" s="5"/>
      <c r="E570" s="5"/>
      <c r="F570" s="9"/>
    </row>
    <row r="571">
      <c r="A571" s="5"/>
      <c r="B571" s="5"/>
      <c r="C571" s="5"/>
      <c r="E571" s="5"/>
      <c r="F571" s="9"/>
    </row>
    <row r="572">
      <c r="A572" s="5"/>
      <c r="B572" s="5"/>
      <c r="C572" s="5"/>
      <c r="E572" s="5"/>
      <c r="F572" s="9"/>
    </row>
    <row r="573">
      <c r="A573" s="5"/>
      <c r="B573" s="5"/>
      <c r="C573" s="5"/>
      <c r="E573" s="5"/>
      <c r="F573" s="9"/>
    </row>
    <row r="574">
      <c r="A574" s="5"/>
      <c r="B574" s="5"/>
      <c r="C574" s="5"/>
      <c r="E574" s="5"/>
      <c r="F574" s="9"/>
    </row>
    <row r="575">
      <c r="A575" s="5"/>
      <c r="B575" s="5"/>
      <c r="C575" s="5"/>
      <c r="E575" s="5"/>
      <c r="F575" s="9"/>
    </row>
    <row r="576">
      <c r="A576" s="5"/>
      <c r="B576" s="5"/>
      <c r="C576" s="5"/>
      <c r="E576" s="5"/>
      <c r="F576" s="9"/>
    </row>
    <row r="577">
      <c r="A577" s="5"/>
      <c r="B577" s="5"/>
      <c r="C577" s="5"/>
      <c r="E577" s="5"/>
      <c r="F577" s="9"/>
    </row>
    <row r="578">
      <c r="A578" s="5"/>
      <c r="B578" s="5"/>
      <c r="C578" s="5"/>
      <c r="E578" s="5"/>
      <c r="F578" s="9"/>
    </row>
    <row r="579">
      <c r="A579" s="5"/>
      <c r="B579" s="5"/>
      <c r="C579" s="5"/>
      <c r="E579" s="5"/>
      <c r="F579" s="9"/>
    </row>
    <row r="580">
      <c r="A580" s="5"/>
      <c r="B580" s="5"/>
      <c r="C580" s="5"/>
      <c r="E580" s="5"/>
      <c r="F580" s="9"/>
    </row>
    <row r="581">
      <c r="A581" s="5"/>
      <c r="B581" s="5"/>
      <c r="C581" s="5"/>
      <c r="E581" s="5"/>
      <c r="F581" s="9"/>
    </row>
    <row r="582">
      <c r="A582" s="5"/>
      <c r="B582" s="5"/>
      <c r="C582" s="5"/>
      <c r="E582" s="5"/>
      <c r="F582" s="9"/>
    </row>
    <row r="583">
      <c r="A583" s="5"/>
      <c r="B583" s="5"/>
      <c r="C583" s="5"/>
      <c r="E583" s="5"/>
      <c r="F583" s="9"/>
    </row>
    <row r="584">
      <c r="A584" s="5"/>
      <c r="B584" s="5"/>
      <c r="C584" s="5"/>
      <c r="E584" s="5"/>
      <c r="F584" s="9"/>
    </row>
    <row r="585">
      <c r="A585" s="5"/>
      <c r="B585" s="5"/>
      <c r="C585" s="5"/>
      <c r="E585" s="5"/>
      <c r="F585" s="9"/>
    </row>
    <row r="586">
      <c r="A586" s="5"/>
      <c r="B586" s="5"/>
      <c r="C586" s="5"/>
      <c r="E586" s="5"/>
      <c r="F586" s="9"/>
    </row>
    <row r="587">
      <c r="A587" s="5"/>
      <c r="B587" s="5"/>
      <c r="C587" s="5"/>
      <c r="E587" s="5"/>
      <c r="F587" s="9"/>
    </row>
    <row r="588">
      <c r="A588" s="5"/>
      <c r="B588" s="5"/>
      <c r="C588" s="5"/>
      <c r="E588" s="5"/>
      <c r="F588" s="9"/>
    </row>
    <row r="589">
      <c r="A589" s="5"/>
      <c r="B589" s="5"/>
      <c r="C589" s="5"/>
      <c r="E589" s="5"/>
      <c r="F589" s="9"/>
    </row>
    <row r="590">
      <c r="A590" s="5"/>
      <c r="B590" s="5"/>
      <c r="C590" s="5"/>
      <c r="E590" s="5"/>
      <c r="F590" s="9"/>
    </row>
    <row r="591">
      <c r="A591" s="5"/>
      <c r="B591" s="5"/>
      <c r="C591" s="5"/>
      <c r="E591" s="5"/>
      <c r="F591" s="9"/>
    </row>
    <row r="592">
      <c r="A592" s="5"/>
      <c r="B592" s="5"/>
      <c r="C592" s="5"/>
      <c r="E592" s="5"/>
      <c r="F592" s="9"/>
    </row>
    <row r="593">
      <c r="A593" s="5"/>
      <c r="B593" s="5"/>
      <c r="C593" s="5"/>
      <c r="E593" s="5"/>
      <c r="F593" s="9"/>
    </row>
    <row r="594">
      <c r="A594" s="5"/>
      <c r="B594" s="5"/>
      <c r="C594" s="5"/>
      <c r="E594" s="5"/>
      <c r="F594" s="9"/>
    </row>
    <row r="595">
      <c r="A595" s="5"/>
      <c r="B595" s="5"/>
      <c r="C595" s="5"/>
      <c r="E595" s="5"/>
      <c r="F595" s="9"/>
    </row>
    <row r="596">
      <c r="A596" s="5"/>
      <c r="B596" s="5"/>
      <c r="C596" s="5"/>
      <c r="E596" s="5"/>
      <c r="F596" s="9"/>
    </row>
    <row r="597">
      <c r="A597" s="5"/>
      <c r="B597" s="5"/>
      <c r="C597" s="5"/>
      <c r="E597" s="5"/>
      <c r="F597" s="9"/>
    </row>
    <row r="598">
      <c r="A598" s="5"/>
      <c r="B598" s="5"/>
      <c r="C598" s="5"/>
      <c r="E598" s="5"/>
      <c r="F598" s="9"/>
    </row>
    <row r="599">
      <c r="A599" s="5"/>
      <c r="B599" s="5"/>
      <c r="C599" s="5"/>
      <c r="E599" s="5"/>
      <c r="F599" s="9"/>
    </row>
    <row r="600">
      <c r="A600" s="5"/>
      <c r="B600" s="5"/>
      <c r="C600" s="5"/>
      <c r="E600" s="5"/>
      <c r="F600" s="9"/>
    </row>
    <row r="601">
      <c r="A601" s="5"/>
      <c r="B601" s="5"/>
      <c r="C601" s="5"/>
      <c r="E601" s="5"/>
      <c r="F601" s="9"/>
    </row>
    <row r="602">
      <c r="A602" s="5"/>
      <c r="B602" s="5"/>
      <c r="C602" s="5"/>
      <c r="E602" s="5"/>
      <c r="F602" s="9"/>
    </row>
    <row r="603">
      <c r="A603" s="5"/>
      <c r="B603" s="5"/>
      <c r="C603" s="5"/>
      <c r="E603" s="5"/>
      <c r="F603" s="9"/>
    </row>
    <row r="604">
      <c r="A604" s="5"/>
      <c r="B604" s="5"/>
      <c r="C604" s="5"/>
      <c r="E604" s="5"/>
      <c r="F604" s="9"/>
    </row>
    <row r="605">
      <c r="A605" s="5"/>
      <c r="B605" s="5"/>
      <c r="C605" s="5"/>
      <c r="E605" s="5"/>
      <c r="F605" s="9"/>
    </row>
    <row r="606">
      <c r="A606" s="5"/>
      <c r="B606" s="5"/>
      <c r="C606" s="5"/>
      <c r="E606" s="5"/>
      <c r="F606" s="9"/>
    </row>
    <row r="607">
      <c r="A607" s="5"/>
      <c r="B607" s="5"/>
      <c r="C607" s="5"/>
      <c r="E607" s="5"/>
      <c r="F607" s="9"/>
    </row>
    <row r="608">
      <c r="A608" s="5"/>
      <c r="B608" s="5"/>
      <c r="C608" s="5"/>
      <c r="E608" s="5"/>
      <c r="F608" s="9"/>
    </row>
    <row r="609">
      <c r="A609" s="5"/>
      <c r="B609" s="5"/>
      <c r="C609" s="5"/>
      <c r="E609" s="5"/>
      <c r="F609" s="9"/>
    </row>
    <row r="610">
      <c r="A610" s="5"/>
      <c r="B610" s="5"/>
      <c r="C610" s="5"/>
      <c r="E610" s="5"/>
      <c r="F610" s="9"/>
    </row>
    <row r="611">
      <c r="A611" s="5"/>
      <c r="B611" s="5"/>
      <c r="C611" s="5"/>
      <c r="E611" s="5"/>
      <c r="F611" s="9"/>
    </row>
    <row r="612">
      <c r="A612" s="5"/>
      <c r="B612" s="5"/>
      <c r="C612" s="5"/>
      <c r="E612" s="5"/>
      <c r="F612" s="9"/>
    </row>
    <row r="613">
      <c r="A613" s="5"/>
      <c r="B613" s="5"/>
      <c r="C613" s="5"/>
      <c r="E613" s="5"/>
      <c r="F613" s="9"/>
    </row>
    <row r="614">
      <c r="A614" s="5"/>
      <c r="B614" s="5"/>
      <c r="C614" s="5"/>
      <c r="E614" s="5"/>
      <c r="F614" s="9"/>
    </row>
    <row r="615">
      <c r="A615" s="5"/>
      <c r="B615" s="5"/>
      <c r="C615" s="5"/>
      <c r="E615" s="5"/>
      <c r="F615" s="9"/>
    </row>
    <row r="616">
      <c r="A616" s="5"/>
      <c r="B616" s="5"/>
      <c r="C616" s="5"/>
      <c r="E616" s="5"/>
      <c r="F616" s="9"/>
    </row>
    <row r="617">
      <c r="A617" s="5"/>
      <c r="B617" s="5"/>
      <c r="C617" s="5"/>
      <c r="E617" s="5"/>
      <c r="F617" s="9"/>
    </row>
    <row r="618">
      <c r="A618" s="5"/>
      <c r="B618" s="5"/>
      <c r="C618" s="5"/>
      <c r="E618" s="5"/>
      <c r="F618" s="9"/>
    </row>
    <row r="619">
      <c r="A619" s="5"/>
      <c r="B619" s="5"/>
      <c r="C619" s="5"/>
      <c r="E619" s="5"/>
      <c r="F619" s="9"/>
    </row>
    <row r="620">
      <c r="A620" s="5"/>
      <c r="B620" s="5"/>
      <c r="C620" s="5"/>
      <c r="E620" s="5"/>
      <c r="F620" s="9"/>
    </row>
    <row r="621">
      <c r="A621" s="5"/>
      <c r="B621" s="5"/>
      <c r="C621" s="5"/>
      <c r="E621" s="5"/>
      <c r="F621" s="9"/>
    </row>
    <row r="622">
      <c r="A622" s="5"/>
      <c r="B622" s="5"/>
      <c r="C622" s="5"/>
      <c r="E622" s="5"/>
      <c r="F622" s="9"/>
    </row>
    <row r="623">
      <c r="A623" s="5"/>
      <c r="B623" s="5"/>
      <c r="C623" s="5"/>
      <c r="E623" s="5"/>
      <c r="F623" s="9"/>
    </row>
    <row r="624">
      <c r="A624" s="5"/>
      <c r="B624" s="5"/>
      <c r="C624" s="5"/>
      <c r="E624" s="5"/>
      <c r="F624" s="9"/>
    </row>
    <row r="625">
      <c r="A625" s="5"/>
      <c r="B625" s="5"/>
      <c r="C625" s="5"/>
      <c r="E625" s="5"/>
      <c r="F625" s="9"/>
    </row>
    <row r="626">
      <c r="A626" s="5"/>
      <c r="B626" s="5"/>
      <c r="C626" s="5"/>
      <c r="E626" s="5"/>
      <c r="F626" s="9"/>
    </row>
    <row r="627">
      <c r="A627" s="5"/>
      <c r="B627" s="5"/>
      <c r="C627" s="5"/>
      <c r="E627" s="5"/>
      <c r="F627" s="9"/>
    </row>
    <row r="628">
      <c r="A628" s="5"/>
      <c r="B628" s="5"/>
      <c r="C628" s="5"/>
      <c r="E628" s="5"/>
      <c r="F628" s="9"/>
    </row>
    <row r="629">
      <c r="A629" s="5"/>
      <c r="B629" s="5"/>
      <c r="C629" s="5"/>
      <c r="E629" s="5"/>
      <c r="F629" s="9"/>
    </row>
    <row r="630">
      <c r="A630" s="5"/>
      <c r="B630" s="5"/>
      <c r="C630" s="5"/>
      <c r="E630" s="5"/>
      <c r="F630" s="9"/>
    </row>
    <row r="631">
      <c r="A631" s="5"/>
      <c r="B631" s="5"/>
      <c r="C631" s="5"/>
      <c r="E631" s="5"/>
      <c r="F631" s="9"/>
    </row>
    <row r="632">
      <c r="A632" s="5"/>
      <c r="B632" s="5"/>
      <c r="C632" s="5"/>
      <c r="E632" s="5"/>
      <c r="F632" s="9"/>
    </row>
    <row r="633">
      <c r="A633" s="5"/>
      <c r="B633" s="5"/>
      <c r="C633" s="5"/>
      <c r="E633" s="5"/>
      <c r="F633" s="9"/>
    </row>
    <row r="634">
      <c r="A634" s="5"/>
      <c r="B634" s="5"/>
      <c r="C634" s="5"/>
      <c r="E634" s="5"/>
      <c r="F634" s="9"/>
    </row>
    <row r="635">
      <c r="A635" s="5"/>
      <c r="B635" s="5"/>
      <c r="C635" s="5"/>
      <c r="E635" s="5"/>
      <c r="F635" s="9"/>
    </row>
    <row r="636">
      <c r="A636" s="5"/>
      <c r="B636" s="5"/>
      <c r="C636" s="5"/>
      <c r="E636" s="5"/>
      <c r="F636" s="9"/>
    </row>
    <row r="637">
      <c r="A637" s="5"/>
      <c r="B637" s="5"/>
      <c r="C637" s="5"/>
      <c r="E637" s="5"/>
      <c r="F637" s="9"/>
    </row>
    <row r="638">
      <c r="A638" s="5"/>
      <c r="B638" s="5"/>
      <c r="C638" s="5"/>
      <c r="E638" s="5"/>
      <c r="F638" s="9"/>
    </row>
    <row r="639">
      <c r="A639" s="5"/>
      <c r="B639" s="5"/>
      <c r="C639" s="5"/>
      <c r="E639" s="5"/>
      <c r="F639" s="9"/>
    </row>
    <row r="640">
      <c r="A640" s="5"/>
      <c r="B640" s="5"/>
      <c r="C640" s="5"/>
      <c r="E640" s="5"/>
      <c r="F640" s="9"/>
    </row>
    <row r="641">
      <c r="A641" s="5"/>
      <c r="B641" s="5"/>
      <c r="C641" s="5"/>
      <c r="E641" s="5"/>
      <c r="F641" s="9"/>
    </row>
    <row r="642">
      <c r="A642" s="5"/>
      <c r="B642" s="5"/>
      <c r="C642" s="5"/>
      <c r="E642" s="5"/>
      <c r="F642" s="9"/>
    </row>
    <row r="643">
      <c r="A643" s="5"/>
      <c r="B643" s="5"/>
      <c r="C643" s="5"/>
      <c r="E643" s="5"/>
      <c r="F643" s="9"/>
    </row>
    <row r="644">
      <c r="A644" s="5"/>
      <c r="B644" s="5"/>
      <c r="C644" s="5"/>
      <c r="E644" s="5"/>
      <c r="F644" s="9"/>
    </row>
    <row r="645">
      <c r="A645" s="5"/>
      <c r="B645" s="5"/>
      <c r="C645" s="5"/>
      <c r="E645" s="5"/>
      <c r="F645" s="9"/>
    </row>
    <row r="646">
      <c r="A646" s="5"/>
      <c r="B646" s="5"/>
      <c r="C646" s="5"/>
      <c r="E646" s="5"/>
      <c r="F646" s="9"/>
    </row>
    <row r="647">
      <c r="A647" s="5"/>
      <c r="B647" s="5"/>
      <c r="C647" s="5"/>
      <c r="E647" s="5"/>
      <c r="F647" s="9"/>
    </row>
    <row r="648">
      <c r="A648" s="5"/>
      <c r="B648" s="5"/>
      <c r="C648" s="5"/>
      <c r="E648" s="5"/>
      <c r="F648" s="9"/>
    </row>
    <row r="649">
      <c r="A649" s="5"/>
      <c r="B649" s="5"/>
      <c r="C649" s="5"/>
      <c r="E649" s="5"/>
      <c r="F649" s="9"/>
    </row>
    <row r="650">
      <c r="A650" s="5"/>
      <c r="B650" s="5"/>
      <c r="C650" s="5"/>
      <c r="E650" s="5"/>
      <c r="F650" s="9"/>
    </row>
    <row r="651">
      <c r="A651" s="5"/>
      <c r="B651" s="5"/>
      <c r="C651" s="5"/>
      <c r="E651" s="5"/>
      <c r="F651" s="9"/>
    </row>
    <row r="652">
      <c r="A652" s="5"/>
      <c r="B652" s="5"/>
      <c r="C652" s="5"/>
      <c r="E652" s="5"/>
      <c r="F652" s="9"/>
    </row>
    <row r="653">
      <c r="A653" s="5"/>
      <c r="B653" s="5"/>
      <c r="C653" s="5"/>
      <c r="E653" s="5"/>
      <c r="F653" s="9"/>
    </row>
    <row r="654">
      <c r="A654" s="5"/>
      <c r="B654" s="5"/>
      <c r="C654" s="5"/>
      <c r="E654" s="5"/>
      <c r="F654" s="9"/>
    </row>
    <row r="655">
      <c r="A655" s="5"/>
      <c r="B655" s="5"/>
      <c r="C655" s="5"/>
      <c r="E655" s="5"/>
      <c r="F655" s="9"/>
    </row>
    <row r="656">
      <c r="A656" s="5"/>
      <c r="B656" s="5"/>
      <c r="C656" s="5"/>
      <c r="E656" s="5"/>
      <c r="F656" s="9"/>
    </row>
    <row r="657">
      <c r="A657" s="5"/>
      <c r="B657" s="5"/>
      <c r="C657" s="5"/>
      <c r="E657" s="5"/>
      <c r="F657" s="9"/>
    </row>
    <row r="658">
      <c r="A658" s="5"/>
      <c r="B658" s="5"/>
      <c r="C658" s="5"/>
      <c r="E658" s="5"/>
      <c r="F658" s="9"/>
    </row>
    <row r="659">
      <c r="A659" s="5"/>
      <c r="B659" s="5"/>
      <c r="C659" s="5"/>
      <c r="E659" s="5"/>
      <c r="F659" s="9"/>
    </row>
    <row r="660">
      <c r="A660" s="5"/>
      <c r="B660" s="5"/>
      <c r="C660" s="5"/>
      <c r="E660" s="5"/>
      <c r="F660" s="9"/>
    </row>
    <row r="661">
      <c r="A661" s="5"/>
      <c r="B661" s="5"/>
      <c r="C661" s="5"/>
      <c r="E661" s="5"/>
      <c r="F661" s="9"/>
    </row>
    <row r="662">
      <c r="A662" s="5"/>
      <c r="B662" s="5"/>
      <c r="C662" s="5"/>
      <c r="E662" s="5"/>
      <c r="F662" s="9"/>
    </row>
    <row r="663">
      <c r="A663" s="5"/>
      <c r="B663" s="5"/>
      <c r="C663" s="5"/>
      <c r="E663" s="5"/>
      <c r="F663" s="9"/>
    </row>
    <row r="664">
      <c r="A664" s="5"/>
      <c r="B664" s="5"/>
      <c r="C664" s="5"/>
      <c r="E664" s="5"/>
      <c r="F664" s="9"/>
    </row>
    <row r="665">
      <c r="A665" s="5"/>
      <c r="B665" s="5"/>
      <c r="C665" s="5"/>
      <c r="E665" s="5"/>
      <c r="F665" s="9"/>
    </row>
    <row r="666">
      <c r="A666" s="5"/>
      <c r="B666" s="5"/>
      <c r="C666" s="5"/>
      <c r="E666" s="5"/>
      <c r="F666" s="9"/>
    </row>
    <row r="667">
      <c r="A667" s="5"/>
      <c r="B667" s="5"/>
      <c r="C667" s="5"/>
      <c r="E667" s="5"/>
      <c r="F667" s="9"/>
    </row>
    <row r="668">
      <c r="A668" s="5"/>
      <c r="B668" s="5"/>
      <c r="C668" s="5"/>
      <c r="E668" s="5"/>
      <c r="F668" s="9"/>
    </row>
    <row r="669">
      <c r="A669" s="5"/>
      <c r="B669" s="5"/>
      <c r="C669" s="5"/>
      <c r="E669" s="5"/>
      <c r="F669" s="9"/>
    </row>
    <row r="670">
      <c r="A670" s="5"/>
      <c r="B670" s="5"/>
      <c r="C670" s="5"/>
      <c r="E670" s="5"/>
      <c r="F670" s="9"/>
    </row>
    <row r="671">
      <c r="A671" s="5"/>
      <c r="B671" s="5"/>
      <c r="C671" s="5"/>
      <c r="E671" s="5"/>
      <c r="F671" s="9"/>
    </row>
    <row r="672">
      <c r="A672" s="5"/>
      <c r="B672" s="5"/>
      <c r="C672" s="5"/>
      <c r="E672" s="5"/>
      <c r="F672" s="9"/>
    </row>
    <row r="673">
      <c r="A673" s="5"/>
      <c r="B673" s="5"/>
      <c r="C673" s="5"/>
      <c r="E673" s="5"/>
      <c r="F673" s="9"/>
    </row>
    <row r="674">
      <c r="A674" s="5"/>
      <c r="B674" s="5"/>
      <c r="C674" s="5"/>
      <c r="E674" s="5"/>
      <c r="F674" s="9"/>
    </row>
    <row r="675">
      <c r="A675" s="5"/>
      <c r="B675" s="5"/>
      <c r="C675" s="5"/>
      <c r="E675" s="5"/>
      <c r="F675" s="9"/>
    </row>
    <row r="676">
      <c r="A676" s="5"/>
      <c r="B676" s="5"/>
      <c r="C676" s="5"/>
      <c r="E676" s="5"/>
      <c r="F676" s="9"/>
    </row>
    <row r="677">
      <c r="A677" s="5"/>
      <c r="B677" s="5"/>
      <c r="C677" s="5"/>
      <c r="E677" s="5"/>
      <c r="F677" s="9"/>
    </row>
    <row r="678">
      <c r="A678" s="5"/>
      <c r="B678" s="5"/>
      <c r="C678" s="5"/>
      <c r="E678" s="5"/>
      <c r="F678" s="9"/>
    </row>
    <row r="679">
      <c r="A679" s="5"/>
      <c r="B679" s="5"/>
      <c r="C679" s="5"/>
      <c r="E679" s="5"/>
      <c r="F679" s="9"/>
    </row>
    <row r="680">
      <c r="A680" s="5"/>
      <c r="B680" s="5"/>
      <c r="C680" s="5"/>
      <c r="E680" s="5"/>
      <c r="F680" s="9"/>
    </row>
    <row r="681">
      <c r="A681" s="5"/>
      <c r="B681" s="5"/>
      <c r="C681" s="5"/>
      <c r="E681" s="5"/>
      <c r="F681" s="9"/>
    </row>
    <row r="682">
      <c r="A682" s="5"/>
      <c r="B682" s="5"/>
      <c r="C682" s="5"/>
      <c r="E682" s="5"/>
      <c r="F682" s="9"/>
    </row>
    <row r="683">
      <c r="A683" s="5"/>
      <c r="B683" s="5"/>
      <c r="C683" s="5"/>
      <c r="E683" s="5"/>
      <c r="F683" s="9"/>
    </row>
    <row r="684">
      <c r="A684" s="5"/>
      <c r="B684" s="5"/>
      <c r="C684" s="5"/>
      <c r="E684" s="5"/>
      <c r="F684" s="9"/>
    </row>
    <row r="685">
      <c r="A685" s="5"/>
      <c r="B685" s="5"/>
      <c r="C685" s="5"/>
      <c r="E685" s="5"/>
      <c r="F685" s="9"/>
    </row>
    <row r="686">
      <c r="A686" s="5"/>
      <c r="B686" s="5"/>
      <c r="C686" s="5"/>
      <c r="E686" s="5"/>
      <c r="F686" s="9"/>
    </row>
    <row r="687">
      <c r="A687" s="5"/>
      <c r="B687" s="5"/>
      <c r="C687" s="5"/>
      <c r="E687" s="5"/>
      <c r="F687" s="9"/>
    </row>
    <row r="688">
      <c r="A688" s="5"/>
      <c r="B688" s="5"/>
      <c r="C688" s="5"/>
      <c r="E688" s="5"/>
      <c r="F688" s="9"/>
    </row>
    <row r="689">
      <c r="A689" s="5"/>
      <c r="B689" s="5"/>
      <c r="C689" s="5"/>
      <c r="E689" s="5"/>
      <c r="F689" s="9"/>
    </row>
    <row r="690">
      <c r="A690" s="5"/>
      <c r="B690" s="5"/>
      <c r="C690" s="5"/>
      <c r="E690" s="5"/>
      <c r="F690" s="9"/>
    </row>
    <row r="691">
      <c r="A691" s="5"/>
      <c r="B691" s="5"/>
      <c r="C691" s="5"/>
      <c r="E691" s="5"/>
      <c r="F691" s="9"/>
    </row>
    <row r="692">
      <c r="A692" s="5"/>
      <c r="B692" s="5"/>
      <c r="C692" s="5"/>
      <c r="E692" s="5"/>
      <c r="F692" s="9"/>
    </row>
    <row r="693">
      <c r="A693" s="5"/>
      <c r="B693" s="5"/>
      <c r="C693" s="5"/>
      <c r="E693" s="5"/>
      <c r="F693" s="9"/>
    </row>
    <row r="694">
      <c r="A694" s="5"/>
      <c r="B694" s="5"/>
      <c r="C694" s="5"/>
      <c r="E694" s="5"/>
      <c r="F694" s="9"/>
    </row>
    <row r="695">
      <c r="A695" s="5"/>
      <c r="B695" s="5"/>
      <c r="C695" s="5"/>
      <c r="E695" s="5"/>
      <c r="F695" s="9"/>
    </row>
    <row r="696">
      <c r="A696" s="5"/>
      <c r="B696" s="5"/>
      <c r="C696" s="5"/>
      <c r="E696" s="5"/>
      <c r="F696" s="9"/>
    </row>
    <row r="697">
      <c r="A697" s="5"/>
      <c r="B697" s="5"/>
      <c r="C697" s="5"/>
      <c r="E697" s="5"/>
      <c r="F697" s="9"/>
    </row>
    <row r="698">
      <c r="A698" s="5"/>
      <c r="B698" s="5"/>
      <c r="C698" s="5"/>
      <c r="E698" s="5"/>
      <c r="F698" s="9"/>
    </row>
    <row r="699">
      <c r="A699" s="5"/>
      <c r="B699" s="5"/>
      <c r="C699" s="5"/>
      <c r="E699" s="5"/>
      <c r="F699" s="9"/>
    </row>
    <row r="700">
      <c r="A700" s="5"/>
      <c r="B700" s="5"/>
      <c r="C700" s="5"/>
      <c r="E700" s="5"/>
      <c r="F700" s="9"/>
    </row>
    <row r="701">
      <c r="A701" s="5"/>
      <c r="B701" s="5"/>
      <c r="C701" s="5"/>
      <c r="E701" s="5"/>
      <c r="F701" s="9"/>
    </row>
    <row r="702">
      <c r="A702" s="5"/>
      <c r="B702" s="5"/>
      <c r="C702" s="5"/>
      <c r="E702" s="5"/>
      <c r="F702" s="9"/>
    </row>
    <row r="703">
      <c r="A703" s="5"/>
      <c r="B703" s="5"/>
      <c r="C703" s="5"/>
      <c r="E703" s="5"/>
      <c r="F703" s="9"/>
    </row>
    <row r="704">
      <c r="A704" s="5"/>
      <c r="B704" s="5"/>
      <c r="C704" s="5"/>
      <c r="E704" s="5"/>
      <c r="F704" s="9"/>
    </row>
    <row r="705">
      <c r="A705" s="5"/>
      <c r="B705" s="5"/>
      <c r="C705" s="5"/>
      <c r="E705" s="5"/>
      <c r="F705" s="9"/>
    </row>
    <row r="706">
      <c r="A706" s="5"/>
      <c r="B706" s="5"/>
      <c r="C706" s="5"/>
      <c r="E706" s="5"/>
      <c r="F706" s="9"/>
    </row>
    <row r="707">
      <c r="A707" s="5"/>
      <c r="B707" s="5"/>
      <c r="C707" s="5"/>
      <c r="E707" s="5"/>
      <c r="F707" s="9"/>
    </row>
    <row r="708">
      <c r="A708" s="5"/>
      <c r="B708" s="5"/>
      <c r="C708" s="5"/>
      <c r="E708" s="5"/>
      <c r="F708" s="9"/>
    </row>
    <row r="709">
      <c r="A709" s="5"/>
      <c r="B709" s="5"/>
      <c r="C709" s="5"/>
      <c r="E709" s="5"/>
      <c r="F709" s="9"/>
    </row>
    <row r="710">
      <c r="A710" s="5"/>
      <c r="B710" s="5"/>
      <c r="C710" s="5"/>
      <c r="E710" s="5"/>
      <c r="F710" s="9"/>
    </row>
    <row r="711">
      <c r="A711" s="5"/>
      <c r="B711" s="5"/>
      <c r="C711" s="5"/>
      <c r="E711" s="5"/>
      <c r="F711" s="9"/>
    </row>
    <row r="712">
      <c r="A712" s="5"/>
      <c r="B712" s="5"/>
      <c r="C712" s="5"/>
      <c r="E712" s="5"/>
      <c r="F712" s="9"/>
    </row>
    <row r="713">
      <c r="A713" s="5"/>
      <c r="B713" s="5"/>
      <c r="C713" s="5"/>
      <c r="E713" s="5"/>
      <c r="F713" s="9"/>
    </row>
    <row r="714">
      <c r="A714" s="5"/>
      <c r="B714" s="5"/>
      <c r="C714" s="5"/>
      <c r="E714" s="5"/>
      <c r="F714" s="9"/>
    </row>
    <row r="715">
      <c r="A715" s="5"/>
      <c r="B715" s="5"/>
      <c r="C715" s="5"/>
      <c r="E715" s="5"/>
      <c r="F715" s="9"/>
    </row>
    <row r="716">
      <c r="A716" s="5"/>
      <c r="B716" s="5"/>
      <c r="C716" s="5"/>
      <c r="E716" s="5"/>
      <c r="F716" s="9"/>
    </row>
    <row r="717">
      <c r="A717" s="5"/>
      <c r="B717" s="5"/>
      <c r="C717" s="5"/>
      <c r="E717" s="5"/>
      <c r="F717" s="9"/>
    </row>
    <row r="718">
      <c r="A718" s="5"/>
      <c r="B718" s="5"/>
      <c r="C718" s="5"/>
      <c r="E718" s="5"/>
      <c r="F718" s="9"/>
    </row>
    <row r="719">
      <c r="A719" s="5"/>
      <c r="B719" s="5"/>
      <c r="C719" s="5"/>
      <c r="E719" s="5"/>
      <c r="F719" s="9"/>
    </row>
    <row r="720">
      <c r="A720" s="5"/>
      <c r="B720" s="5"/>
      <c r="C720" s="5"/>
      <c r="E720" s="5"/>
      <c r="F720" s="9"/>
    </row>
    <row r="721">
      <c r="A721" s="5"/>
      <c r="B721" s="5"/>
      <c r="C721" s="5"/>
      <c r="E721" s="5"/>
      <c r="F721" s="9"/>
    </row>
    <row r="722">
      <c r="A722" s="5"/>
      <c r="B722" s="5"/>
      <c r="C722" s="5"/>
      <c r="E722" s="5"/>
      <c r="F722" s="9"/>
    </row>
    <row r="723">
      <c r="A723" s="5"/>
      <c r="B723" s="5"/>
      <c r="C723" s="5"/>
      <c r="E723" s="5"/>
      <c r="F723" s="9"/>
    </row>
    <row r="724">
      <c r="A724" s="5"/>
      <c r="B724" s="5"/>
      <c r="C724" s="5"/>
      <c r="E724" s="5"/>
      <c r="F724" s="9"/>
    </row>
    <row r="725">
      <c r="A725" s="5"/>
      <c r="B725" s="5"/>
      <c r="C725" s="5"/>
      <c r="E725" s="5"/>
      <c r="F725" s="9"/>
    </row>
    <row r="726">
      <c r="A726" s="5"/>
      <c r="B726" s="5"/>
      <c r="C726" s="5"/>
      <c r="E726" s="5"/>
      <c r="F726" s="9"/>
    </row>
    <row r="727">
      <c r="A727" s="5"/>
      <c r="B727" s="5"/>
      <c r="C727" s="5"/>
      <c r="E727" s="5"/>
      <c r="F727" s="9"/>
    </row>
    <row r="728">
      <c r="A728" s="5"/>
      <c r="B728" s="5"/>
      <c r="C728" s="5"/>
      <c r="E728" s="5"/>
      <c r="F728" s="9"/>
    </row>
    <row r="729">
      <c r="A729" s="5"/>
      <c r="B729" s="5"/>
      <c r="C729" s="5"/>
      <c r="E729" s="5"/>
      <c r="F729" s="9"/>
    </row>
    <row r="730">
      <c r="A730" s="5"/>
      <c r="B730" s="5"/>
      <c r="C730" s="5"/>
      <c r="E730" s="5"/>
      <c r="F730" s="9"/>
    </row>
    <row r="731">
      <c r="A731" s="5"/>
      <c r="B731" s="5"/>
      <c r="C731" s="5"/>
      <c r="E731" s="5"/>
      <c r="F731" s="9"/>
    </row>
    <row r="732">
      <c r="A732" s="5"/>
      <c r="B732" s="5"/>
      <c r="C732" s="5"/>
      <c r="E732" s="5"/>
      <c r="F732" s="9"/>
    </row>
    <row r="733">
      <c r="A733" s="5"/>
      <c r="B733" s="5"/>
      <c r="C733" s="5"/>
      <c r="E733" s="5"/>
      <c r="F733" s="9"/>
    </row>
    <row r="734">
      <c r="A734" s="5"/>
      <c r="B734" s="5"/>
      <c r="C734" s="5"/>
      <c r="E734" s="5"/>
      <c r="F734" s="9"/>
    </row>
    <row r="735">
      <c r="A735" s="5"/>
      <c r="B735" s="5"/>
      <c r="C735" s="5"/>
      <c r="E735" s="5"/>
      <c r="F735" s="9"/>
    </row>
    <row r="736">
      <c r="A736" s="5"/>
      <c r="B736" s="5"/>
      <c r="C736" s="5"/>
      <c r="E736" s="5"/>
      <c r="F736" s="9"/>
    </row>
    <row r="737">
      <c r="A737" s="5"/>
      <c r="B737" s="5"/>
      <c r="C737" s="5"/>
      <c r="E737" s="5"/>
      <c r="F737" s="9"/>
    </row>
    <row r="738">
      <c r="A738" s="5"/>
      <c r="B738" s="5"/>
      <c r="C738" s="5"/>
      <c r="E738" s="5"/>
      <c r="F738" s="9"/>
    </row>
    <row r="739">
      <c r="A739" s="5"/>
      <c r="B739" s="5"/>
      <c r="C739" s="5"/>
      <c r="E739" s="5"/>
      <c r="F739" s="9"/>
    </row>
    <row r="740">
      <c r="A740" s="5"/>
      <c r="B740" s="5"/>
      <c r="C740" s="5"/>
      <c r="E740" s="5"/>
      <c r="F740" s="9"/>
    </row>
    <row r="741">
      <c r="A741" s="5"/>
      <c r="B741" s="5"/>
      <c r="C741" s="5"/>
      <c r="E741" s="5"/>
      <c r="F741" s="9"/>
    </row>
    <row r="742">
      <c r="A742" s="5"/>
      <c r="B742" s="5"/>
      <c r="C742" s="5"/>
      <c r="E742" s="5"/>
      <c r="F742" s="9"/>
    </row>
    <row r="743">
      <c r="A743" s="5"/>
      <c r="B743" s="5"/>
      <c r="C743" s="5"/>
      <c r="E743" s="5"/>
      <c r="F743" s="9"/>
    </row>
    <row r="744">
      <c r="A744" s="5"/>
      <c r="B744" s="5"/>
      <c r="C744" s="5"/>
      <c r="E744" s="5"/>
      <c r="F744" s="9"/>
    </row>
    <row r="745">
      <c r="A745" s="5"/>
      <c r="B745" s="5"/>
      <c r="C745" s="5"/>
      <c r="E745" s="5"/>
      <c r="F745" s="9"/>
    </row>
    <row r="746">
      <c r="A746" s="5"/>
      <c r="B746" s="5"/>
      <c r="C746" s="5"/>
      <c r="E746" s="5"/>
      <c r="F746" s="9"/>
    </row>
    <row r="747">
      <c r="A747" s="5"/>
      <c r="B747" s="5"/>
      <c r="C747" s="5"/>
      <c r="E747" s="5"/>
      <c r="F747" s="9"/>
    </row>
    <row r="748">
      <c r="A748" s="5"/>
      <c r="B748" s="5"/>
      <c r="C748" s="5"/>
      <c r="E748" s="5"/>
      <c r="F748" s="9"/>
    </row>
    <row r="749">
      <c r="A749" s="5"/>
      <c r="B749" s="5"/>
      <c r="C749" s="5"/>
      <c r="E749" s="5"/>
      <c r="F749" s="9"/>
    </row>
    <row r="750">
      <c r="A750" s="5"/>
      <c r="B750" s="5"/>
      <c r="C750" s="5"/>
      <c r="E750" s="5"/>
      <c r="F750" s="9"/>
    </row>
    <row r="751">
      <c r="A751" s="5"/>
      <c r="B751" s="5"/>
      <c r="C751" s="5"/>
      <c r="E751" s="5"/>
      <c r="F751" s="9"/>
    </row>
    <row r="752">
      <c r="A752" s="5"/>
      <c r="B752" s="5"/>
      <c r="C752" s="5"/>
      <c r="E752" s="5"/>
      <c r="F752" s="9"/>
    </row>
    <row r="753">
      <c r="A753" s="5"/>
      <c r="B753" s="5"/>
      <c r="C753" s="5"/>
      <c r="E753" s="5"/>
      <c r="F753" s="9"/>
    </row>
    <row r="754">
      <c r="A754" s="5"/>
      <c r="B754" s="5"/>
      <c r="C754" s="5"/>
      <c r="E754" s="5"/>
      <c r="F754" s="9"/>
    </row>
    <row r="755">
      <c r="A755" s="5"/>
      <c r="B755" s="5"/>
      <c r="C755" s="5"/>
      <c r="E755" s="5"/>
      <c r="F755" s="9"/>
    </row>
    <row r="756">
      <c r="A756" s="5"/>
      <c r="B756" s="5"/>
      <c r="C756" s="5"/>
      <c r="E756" s="5"/>
      <c r="F756" s="9"/>
    </row>
    <row r="757">
      <c r="A757" s="5"/>
      <c r="B757" s="5"/>
      <c r="C757" s="5"/>
      <c r="E757" s="5"/>
      <c r="F757" s="9"/>
    </row>
    <row r="758">
      <c r="A758" s="5"/>
      <c r="B758" s="5"/>
      <c r="C758" s="5"/>
      <c r="E758" s="5"/>
      <c r="F758" s="9"/>
    </row>
    <row r="759">
      <c r="A759" s="5"/>
      <c r="B759" s="5"/>
      <c r="C759" s="5"/>
      <c r="E759" s="5"/>
      <c r="F759" s="9"/>
    </row>
    <row r="760">
      <c r="A760" s="5"/>
      <c r="B760" s="5"/>
      <c r="C760" s="5"/>
      <c r="E760" s="5"/>
      <c r="F760" s="9"/>
    </row>
    <row r="761">
      <c r="A761" s="5"/>
      <c r="B761" s="5"/>
      <c r="C761" s="5"/>
      <c r="E761" s="5"/>
      <c r="F761" s="9"/>
    </row>
    <row r="762">
      <c r="A762" s="5"/>
      <c r="B762" s="5"/>
      <c r="C762" s="5"/>
      <c r="E762" s="5"/>
      <c r="F762" s="9"/>
    </row>
    <row r="763">
      <c r="A763" s="5"/>
      <c r="B763" s="5"/>
      <c r="C763" s="5"/>
      <c r="E763" s="5"/>
      <c r="F763" s="9"/>
    </row>
    <row r="764">
      <c r="A764" s="5"/>
      <c r="B764" s="5"/>
      <c r="C764" s="5"/>
      <c r="E764" s="5"/>
      <c r="F764" s="9"/>
    </row>
    <row r="765">
      <c r="A765" s="5"/>
      <c r="B765" s="5"/>
      <c r="C765" s="5"/>
      <c r="E765" s="5"/>
      <c r="F765" s="9"/>
    </row>
    <row r="766">
      <c r="A766" s="5"/>
      <c r="B766" s="5"/>
      <c r="C766" s="5"/>
      <c r="E766" s="5"/>
      <c r="F766" s="9"/>
    </row>
    <row r="767">
      <c r="A767" s="5"/>
      <c r="B767" s="5"/>
      <c r="C767" s="5"/>
      <c r="E767" s="5"/>
      <c r="F767" s="9"/>
    </row>
    <row r="768">
      <c r="A768" s="5"/>
      <c r="B768" s="5"/>
      <c r="C768" s="5"/>
      <c r="E768" s="5"/>
      <c r="F768" s="9"/>
    </row>
    <row r="769">
      <c r="A769" s="5"/>
      <c r="B769" s="5"/>
      <c r="C769" s="5"/>
      <c r="E769" s="5"/>
      <c r="F769" s="9"/>
    </row>
    <row r="770">
      <c r="A770" s="5"/>
      <c r="B770" s="5"/>
      <c r="C770" s="5"/>
      <c r="E770" s="5"/>
      <c r="F770" s="9"/>
    </row>
    <row r="771">
      <c r="A771" s="5"/>
      <c r="B771" s="5"/>
      <c r="C771" s="5"/>
      <c r="E771" s="5"/>
      <c r="F771" s="9"/>
    </row>
    <row r="772">
      <c r="A772" s="5"/>
      <c r="B772" s="5"/>
      <c r="C772" s="5"/>
      <c r="E772" s="5"/>
      <c r="F772" s="9"/>
    </row>
    <row r="773">
      <c r="A773" s="5"/>
      <c r="B773" s="5"/>
      <c r="C773" s="5"/>
      <c r="E773" s="5"/>
      <c r="F773" s="9"/>
    </row>
    <row r="774">
      <c r="A774" s="5"/>
      <c r="B774" s="5"/>
      <c r="C774" s="5"/>
      <c r="E774" s="5"/>
      <c r="F774" s="9"/>
    </row>
    <row r="775">
      <c r="A775" s="5"/>
      <c r="B775" s="5"/>
      <c r="C775" s="5"/>
      <c r="E775" s="5"/>
      <c r="F775" s="9"/>
    </row>
    <row r="776">
      <c r="A776" s="5"/>
      <c r="B776" s="5"/>
      <c r="C776" s="5"/>
      <c r="E776" s="5"/>
      <c r="F776" s="9"/>
    </row>
    <row r="777">
      <c r="A777" s="5"/>
      <c r="B777" s="5"/>
      <c r="C777" s="5"/>
      <c r="E777" s="5"/>
      <c r="F777" s="9"/>
    </row>
    <row r="778">
      <c r="A778" s="5"/>
      <c r="B778" s="5"/>
      <c r="C778" s="5"/>
      <c r="E778" s="5"/>
      <c r="F778" s="9"/>
    </row>
    <row r="779">
      <c r="A779" s="5"/>
      <c r="B779" s="5"/>
      <c r="C779" s="5"/>
      <c r="E779" s="5"/>
      <c r="F779" s="9"/>
    </row>
    <row r="780">
      <c r="A780" s="5"/>
      <c r="B780" s="5"/>
      <c r="C780" s="5"/>
      <c r="E780" s="5"/>
      <c r="F780" s="9"/>
    </row>
    <row r="781">
      <c r="A781" s="5"/>
      <c r="B781" s="5"/>
      <c r="C781" s="5"/>
      <c r="E781" s="5"/>
      <c r="F781" s="9"/>
    </row>
    <row r="782">
      <c r="A782" s="5"/>
      <c r="B782" s="5"/>
      <c r="C782" s="5"/>
      <c r="E782" s="5"/>
      <c r="F782" s="9"/>
    </row>
    <row r="783">
      <c r="A783" s="5"/>
      <c r="B783" s="5"/>
      <c r="C783" s="5"/>
      <c r="E783" s="5"/>
      <c r="F783" s="9"/>
    </row>
    <row r="784">
      <c r="A784" s="5"/>
      <c r="B784" s="5"/>
      <c r="C784" s="5"/>
      <c r="E784" s="5"/>
      <c r="F784" s="9"/>
    </row>
    <row r="785">
      <c r="A785" s="5"/>
      <c r="B785" s="5"/>
      <c r="C785" s="5"/>
      <c r="E785" s="5"/>
      <c r="F785" s="9"/>
    </row>
    <row r="786">
      <c r="A786" s="5"/>
      <c r="B786" s="5"/>
      <c r="C786" s="5"/>
      <c r="E786" s="5"/>
      <c r="F786" s="9"/>
    </row>
    <row r="787">
      <c r="A787" s="5"/>
      <c r="B787" s="5"/>
      <c r="C787" s="5"/>
      <c r="E787" s="5"/>
      <c r="F787" s="9"/>
    </row>
    <row r="788">
      <c r="A788" s="5"/>
      <c r="B788" s="5"/>
      <c r="C788" s="5"/>
      <c r="E788" s="5"/>
      <c r="F788" s="9"/>
    </row>
    <row r="789">
      <c r="A789" s="5"/>
      <c r="B789" s="5"/>
      <c r="C789" s="5"/>
      <c r="E789" s="5"/>
      <c r="F789" s="9"/>
    </row>
    <row r="790">
      <c r="A790" s="5"/>
      <c r="B790" s="5"/>
      <c r="C790" s="5"/>
      <c r="E790" s="5"/>
      <c r="F790" s="9"/>
    </row>
    <row r="791">
      <c r="A791" s="5"/>
      <c r="B791" s="5"/>
      <c r="C791" s="5"/>
      <c r="E791" s="5"/>
      <c r="F791" s="9"/>
    </row>
    <row r="792">
      <c r="A792" s="5"/>
      <c r="B792" s="5"/>
      <c r="C792" s="5"/>
      <c r="E792" s="5"/>
      <c r="F792" s="9"/>
    </row>
    <row r="793">
      <c r="A793" s="5"/>
      <c r="B793" s="5"/>
      <c r="C793" s="5"/>
      <c r="E793" s="5"/>
      <c r="F793" s="9"/>
    </row>
    <row r="794">
      <c r="A794" s="5"/>
      <c r="B794" s="5"/>
      <c r="C794" s="5"/>
      <c r="E794" s="5"/>
      <c r="F794" s="9"/>
    </row>
    <row r="795">
      <c r="A795" s="5"/>
      <c r="B795" s="5"/>
      <c r="C795" s="5"/>
      <c r="E795" s="5"/>
      <c r="F795" s="9"/>
    </row>
    <row r="796">
      <c r="A796" s="5"/>
      <c r="B796" s="5"/>
      <c r="C796" s="5"/>
      <c r="E796" s="5"/>
      <c r="F796" s="9"/>
    </row>
    <row r="797">
      <c r="A797" s="5"/>
      <c r="B797" s="5"/>
      <c r="C797" s="5"/>
      <c r="E797" s="5"/>
      <c r="F797" s="9"/>
    </row>
    <row r="798">
      <c r="A798" s="5"/>
      <c r="B798" s="5"/>
      <c r="C798" s="5"/>
      <c r="E798" s="5"/>
      <c r="F798" s="9"/>
    </row>
    <row r="799">
      <c r="A799" s="5"/>
      <c r="B799" s="5"/>
      <c r="C799" s="5"/>
      <c r="E799" s="5"/>
      <c r="F799" s="9"/>
    </row>
    <row r="800">
      <c r="A800" s="5"/>
      <c r="B800" s="5"/>
      <c r="C800" s="5"/>
      <c r="E800" s="5"/>
      <c r="F800" s="9"/>
    </row>
    <row r="801">
      <c r="A801" s="5"/>
      <c r="B801" s="5"/>
      <c r="C801" s="5"/>
      <c r="E801" s="5"/>
      <c r="F801" s="9"/>
    </row>
    <row r="802">
      <c r="A802" s="5"/>
      <c r="B802" s="5"/>
      <c r="C802" s="5"/>
      <c r="E802" s="5"/>
      <c r="F802" s="9"/>
    </row>
    <row r="803">
      <c r="A803" s="5"/>
      <c r="B803" s="5"/>
      <c r="C803" s="5"/>
      <c r="E803" s="5"/>
      <c r="F803" s="9"/>
    </row>
    <row r="804">
      <c r="A804" s="5"/>
      <c r="B804" s="5"/>
      <c r="C804" s="5"/>
      <c r="E804" s="5"/>
      <c r="F804" s="9"/>
    </row>
    <row r="805">
      <c r="A805" s="5"/>
      <c r="B805" s="5"/>
      <c r="C805" s="5"/>
      <c r="E805" s="5"/>
      <c r="F805" s="9"/>
    </row>
    <row r="806">
      <c r="A806" s="5"/>
      <c r="B806" s="5"/>
      <c r="C806" s="5"/>
      <c r="E806" s="5"/>
      <c r="F806" s="9"/>
    </row>
    <row r="807">
      <c r="A807" s="5"/>
      <c r="B807" s="5"/>
      <c r="C807" s="5"/>
      <c r="E807" s="5"/>
      <c r="F807" s="9"/>
    </row>
    <row r="808">
      <c r="A808" s="5"/>
      <c r="B808" s="5"/>
      <c r="C808" s="5"/>
      <c r="E808" s="5"/>
      <c r="F808" s="9"/>
    </row>
    <row r="809">
      <c r="A809" s="5"/>
      <c r="B809" s="5"/>
      <c r="C809" s="5"/>
      <c r="E809" s="5"/>
      <c r="F809" s="9"/>
    </row>
    <row r="810">
      <c r="A810" s="5"/>
      <c r="B810" s="5"/>
      <c r="C810" s="5"/>
      <c r="E810" s="5"/>
      <c r="F810" s="9"/>
    </row>
    <row r="811">
      <c r="A811" s="5"/>
      <c r="B811" s="5"/>
      <c r="C811" s="5"/>
      <c r="E811" s="5"/>
      <c r="F811" s="9"/>
    </row>
    <row r="812">
      <c r="A812" s="5"/>
      <c r="B812" s="5"/>
      <c r="C812" s="5"/>
      <c r="E812" s="5"/>
      <c r="F812" s="9"/>
    </row>
    <row r="813">
      <c r="A813" s="5"/>
      <c r="B813" s="5"/>
      <c r="C813" s="5"/>
      <c r="E813" s="5"/>
      <c r="F813" s="9"/>
    </row>
    <row r="814">
      <c r="A814" s="5"/>
      <c r="B814" s="5"/>
      <c r="C814" s="5"/>
      <c r="E814" s="5"/>
      <c r="F814" s="9"/>
    </row>
    <row r="815">
      <c r="A815" s="5"/>
      <c r="B815" s="5"/>
      <c r="C815" s="5"/>
      <c r="E815" s="5"/>
      <c r="F815" s="9"/>
    </row>
    <row r="816">
      <c r="A816" s="5"/>
      <c r="B816" s="5"/>
      <c r="C816" s="5"/>
      <c r="E816" s="5"/>
      <c r="F816" s="9"/>
    </row>
    <row r="817">
      <c r="A817" s="5"/>
      <c r="B817" s="5"/>
      <c r="C817" s="5"/>
      <c r="E817" s="5"/>
      <c r="F817" s="9"/>
    </row>
    <row r="818">
      <c r="A818" s="5"/>
      <c r="B818" s="5"/>
      <c r="C818" s="5"/>
      <c r="E818" s="5"/>
      <c r="F818" s="9"/>
    </row>
    <row r="819">
      <c r="A819" s="5"/>
      <c r="B819" s="5"/>
      <c r="C819" s="5"/>
      <c r="E819" s="5"/>
      <c r="F819" s="9"/>
    </row>
    <row r="820">
      <c r="A820" s="5"/>
      <c r="B820" s="5"/>
      <c r="C820" s="5"/>
      <c r="E820" s="5"/>
      <c r="F820" s="9"/>
    </row>
    <row r="821">
      <c r="A821" s="5"/>
      <c r="B821" s="5"/>
      <c r="C821" s="5"/>
      <c r="E821" s="5"/>
      <c r="F821" s="9"/>
    </row>
    <row r="822">
      <c r="A822" s="5"/>
      <c r="B822" s="5"/>
      <c r="C822" s="5"/>
      <c r="E822" s="5"/>
      <c r="F822" s="9"/>
    </row>
    <row r="823">
      <c r="A823" s="5"/>
      <c r="B823" s="5"/>
      <c r="C823" s="5"/>
      <c r="E823" s="5"/>
      <c r="F823" s="9"/>
    </row>
    <row r="824">
      <c r="A824" s="5"/>
      <c r="B824" s="5"/>
      <c r="C824" s="5"/>
      <c r="E824" s="5"/>
      <c r="F824" s="9"/>
    </row>
    <row r="825">
      <c r="A825" s="5"/>
      <c r="B825" s="5"/>
      <c r="C825" s="5"/>
      <c r="E825" s="5"/>
      <c r="F825" s="9"/>
    </row>
    <row r="826">
      <c r="A826" s="5"/>
      <c r="B826" s="5"/>
      <c r="C826" s="5"/>
      <c r="E826" s="5"/>
      <c r="F826" s="9"/>
    </row>
    <row r="827">
      <c r="A827" s="5"/>
      <c r="B827" s="5"/>
      <c r="C827" s="5"/>
      <c r="E827" s="5"/>
      <c r="F827" s="9"/>
    </row>
    <row r="828">
      <c r="A828" s="5"/>
      <c r="B828" s="5"/>
      <c r="C828" s="5"/>
      <c r="E828" s="5"/>
      <c r="F828" s="9"/>
    </row>
    <row r="829">
      <c r="A829" s="5"/>
      <c r="B829" s="5"/>
      <c r="C829" s="5"/>
      <c r="E829" s="5"/>
      <c r="F829" s="9"/>
    </row>
    <row r="830">
      <c r="A830" s="5"/>
      <c r="B830" s="5"/>
      <c r="C830" s="5"/>
      <c r="E830" s="5"/>
      <c r="F830" s="9"/>
    </row>
    <row r="831">
      <c r="A831" s="5"/>
      <c r="B831" s="5"/>
      <c r="C831" s="5"/>
      <c r="E831" s="5"/>
      <c r="F831" s="9"/>
    </row>
    <row r="832">
      <c r="A832" s="5"/>
      <c r="B832" s="5"/>
      <c r="C832" s="5"/>
      <c r="E832" s="5"/>
      <c r="F832" s="9"/>
    </row>
    <row r="833">
      <c r="A833" s="5"/>
      <c r="B833" s="5"/>
      <c r="C833" s="5"/>
      <c r="E833" s="5"/>
      <c r="F833" s="9"/>
    </row>
    <row r="834">
      <c r="A834" s="5"/>
      <c r="B834" s="5"/>
      <c r="C834" s="5"/>
      <c r="E834" s="5"/>
      <c r="F834" s="9"/>
    </row>
    <row r="835">
      <c r="A835" s="5"/>
      <c r="B835" s="5"/>
      <c r="C835" s="5"/>
      <c r="E835" s="5"/>
      <c r="F835" s="9"/>
    </row>
    <row r="836">
      <c r="A836" s="5"/>
      <c r="B836" s="5"/>
      <c r="C836" s="5"/>
      <c r="E836" s="5"/>
      <c r="F836" s="9"/>
    </row>
    <row r="837">
      <c r="A837" s="5"/>
      <c r="B837" s="5"/>
      <c r="C837" s="5"/>
      <c r="E837" s="5"/>
      <c r="F837" s="9"/>
    </row>
    <row r="838">
      <c r="A838" s="5"/>
      <c r="B838" s="5"/>
      <c r="C838" s="5"/>
      <c r="E838" s="5"/>
      <c r="F838" s="9"/>
    </row>
    <row r="839">
      <c r="A839" s="5"/>
      <c r="B839" s="5"/>
      <c r="C839" s="5"/>
      <c r="E839" s="5"/>
      <c r="F839" s="9"/>
    </row>
    <row r="840">
      <c r="A840" s="5"/>
      <c r="B840" s="5"/>
      <c r="C840" s="5"/>
      <c r="E840" s="5"/>
      <c r="F840" s="9"/>
    </row>
    <row r="841">
      <c r="A841" s="5"/>
      <c r="B841" s="5"/>
      <c r="C841" s="5"/>
      <c r="E841" s="5"/>
      <c r="F841" s="9"/>
    </row>
    <row r="842">
      <c r="A842" s="5"/>
      <c r="B842" s="5"/>
      <c r="C842" s="5"/>
      <c r="E842" s="5"/>
      <c r="F842" s="9"/>
    </row>
    <row r="843">
      <c r="A843" s="5"/>
      <c r="B843" s="5"/>
      <c r="C843" s="5"/>
      <c r="E843" s="5"/>
      <c r="F843" s="9"/>
    </row>
    <row r="844">
      <c r="A844" s="5"/>
      <c r="B844" s="5"/>
      <c r="C844" s="5"/>
      <c r="E844" s="5"/>
      <c r="F844" s="9"/>
    </row>
    <row r="845">
      <c r="A845" s="5"/>
      <c r="B845" s="5"/>
      <c r="C845" s="5"/>
      <c r="E845" s="5"/>
      <c r="F845" s="9"/>
    </row>
    <row r="846">
      <c r="A846" s="5"/>
      <c r="B846" s="5"/>
      <c r="C846" s="5"/>
      <c r="E846" s="5"/>
      <c r="F846" s="9"/>
    </row>
    <row r="847">
      <c r="A847" s="5"/>
      <c r="B847" s="5"/>
      <c r="C847" s="5"/>
      <c r="E847" s="5"/>
      <c r="F847" s="9"/>
    </row>
    <row r="848">
      <c r="A848" s="5"/>
      <c r="B848" s="5"/>
      <c r="C848" s="5"/>
      <c r="E848" s="5"/>
      <c r="F848" s="9"/>
    </row>
    <row r="849">
      <c r="A849" s="5"/>
      <c r="B849" s="5"/>
      <c r="C849" s="5"/>
      <c r="E849" s="5"/>
      <c r="F849" s="9"/>
    </row>
    <row r="850">
      <c r="A850" s="5"/>
      <c r="B850" s="5"/>
      <c r="C850" s="5"/>
      <c r="E850" s="5"/>
      <c r="F850" s="9"/>
    </row>
    <row r="851">
      <c r="A851" s="5"/>
      <c r="B851" s="5"/>
      <c r="C851" s="5"/>
      <c r="E851" s="5"/>
      <c r="F851" s="9"/>
    </row>
    <row r="852">
      <c r="A852" s="5"/>
      <c r="B852" s="5"/>
      <c r="C852" s="5"/>
      <c r="E852" s="5"/>
      <c r="F852" s="9"/>
    </row>
    <row r="853">
      <c r="A853" s="5"/>
      <c r="B853" s="5"/>
      <c r="C853" s="5"/>
      <c r="E853" s="5"/>
      <c r="F853" s="9"/>
    </row>
    <row r="854">
      <c r="A854" s="5"/>
      <c r="B854" s="5"/>
      <c r="C854" s="5"/>
      <c r="E854" s="5"/>
      <c r="F854" s="9"/>
    </row>
    <row r="855">
      <c r="A855" s="5"/>
      <c r="B855" s="5"/>
      <c r="C855" s="5"/>
      <c r="E855" s="5"/>
      <c r="F855" s="9"/>
    </row>
    <row r="856">
      <c r="A856" s="5"/>
      <c r="B856" s="5"/>
      <c r="C856" s="5"/>
      <c r="E856" s="5"/>
      <c r="F856" s="9"/>
    </row>
    <row r="857">
      <c r="A857" s="5"/>
      <c r="B857" s="5"/>
      <c r="C857" s="5"/>
      <c r="E857" s="5"/>
      <c r="F857" s="9"/>
    </row>
    <row r="858">
      <c r="A858" s="5"/>
      <c r="B858" s="5"/>
      <c r="C858" s="5"/>
      <c r="E858" s="5"/>
      <c r="F858" s="9"/>
    </row>
    <row r="859">
      <c r="A859" s="5"/>
      <c r="B859" s="5"/>
      <c r="C859" s="5"/>
      <c r="E859" s="5"/>
      <c r="F859" s="9"/>
    </row>
    <row r="860">
      <c r="A860" s="5"/>
      <c r="B860" s="5"/>
      <c r="C860" s="5"/>
      <c r="E860" s="5"/>
      <c r="F860" s="9"/>
    </row>
    <row r="861">
      <c r="A861" s="5"/>
      <c r="B861" s="5"/>
      <c r="C861" s="5"/>
      <c r="E861" s="5"/>
      <c r="F861" s="9"/>
    </row>
    <row r="862">
      <c r="A862" s="5"/>
      <c r="B862" s="5"/>
      <c r="C862" s="5"/>
      <c r="E862" s="5"/>
      <c r="F862" s="9"/>
    </row>
    <row r="863">
      <c r="A863" s="5"/>
      <c r="B863" s="5"/>
      <c r="C863" s="5"/>
      <c r="E863" s="5"/>
      <c r="F863" s="9"/>
    </row>
    <row r="864">
      <c r="A864" s="5"/>
      <c r="B864" s="5"/>
      <c r="C864" s="5"/>
      <c r="E864" s="5"/>
      <c r="F864" s="9"/>
    </row>
    <row r="865">
      <c r="A865" s="5"/>
      <c r="B865" s="5"/>
      <c r="C865" s="5"/>
      <c r="E865" s="5"/>
      <c r="F865" s="9"/>
    </row>
    <row r="866">
      <c r="A866" s="5"/>
      <c r="B866" s="5"/>
      <c r="C866" s="5"/>
      <c r="E866" s="5"/>
      <c r="F866" s="9"/>
    </row>
    <row r="867">
      <c r="A867" s="5"/>
      <c r="B867" s="5"/>
      <c r="C867" s="5"/>
      <c r="E867" s="5"/>
      <c r="F867" s="9"/>
    </row>
    <row r="868">
      <c r="A868" s="5"/>
      <c r="B868" s="5"/>
      <c r="C868" s="5"/>
      <c r="E868" s="5"/>
      <c r="F868" s="9"/>
    </row>
    <row r="869">
      <c r="A869" s="5"/>
      <c r="B869" s="5"/>
      <c r="C869" s="5"/>
      <c r="E869" s="5"/>
      <c r="F869" s="9"/>
    </row>
    <row r="870">
      <c r="A870" s="5"/>
      <c r="B870" s="5"/>
      <c r="C870" s="5"/>
      <c r="E870" s="5"/>
      <c r="F870" s="9"/>
    </row>
    <row r="871">
      <c r="A871" s="5"/>
      <c r="B871" s="5"/>
      <c r="C871" s="5"/>
      <c r="E871" s="5"/>
      <c r="F871" s="9"/>
    </row>
    <row r="872">
      <c r="A872" s="5"/>
      <c r="B872" s="5"/>
      <c r="C872" s="5"/>
      <c r="E872" s="5"/>
      <c r="F872" s="9"/>
    </row>
    <row r="873">
      <c r="A873" s="5"/>
      <c r="B873" s="5"/>
      <c r="C873" s="5"/>
      <c r="E873" s="5"/>
      <c r="F873" s="9"/>
    </row>
    <row r="874">
      <c r="A874" s="5"/>
      <c r="B874" s="5"/>
      <c r="C874" s="5"/>
      <c r="E874" s="5"/>
      <c r="F874" s="9"/>
    </row>
    <row r="875">
      <c r="A875" s="5"/>
      <c r="B875" s="5"/>
      <c r="C875" s="5"/>
      <c r="E875" s="5"/>
      <c r="F875" s="9"/>
    </row>
    <row r="876">
      <c r="A876" s="5"/>
      <c r="B876" s="5"/>
      <c r="C876" s="5"/>
      <c r="E876" s="5"/>
      <c r="F876" s="9"/>
    </row>
    <row r="877">
      <c r="A877" s="5"/>
      <c r="B877" s="5"/>
      <c r="C877" s="5"/>
      <c r="E877" s="5"/>
      <c r="F877" s="9"/>
    </row>
    <row r="878">
      <c r="A878" s="5"/>
      <c r="B878" s="5"/>
      <c r="C878" s="5"/>
      <c r="E878" s="5"/>
      <c r="F878" s="9"/>
    </row>
    <row r="879">
      <c r="A879" s="5"/>
      <c r="B879" s="5"/>
      <c r="C879" s="5"/>
      <c r="E879" s="5"/>
      <c r="F879" s="9"/>
    </row>
    <row r="880">
      <c r="A880" s="5"/>
      <c r="B880" s="5"/>
      <c r="C880" s="5"/>
      <c r="E880" s="5"/>
      <c r="F880" s="9"/>
    </row>
    <row r="881">
      <c r="A881" s="5"/>
      <c r="B881" s="5"/>
      <c r="C881" s="5"/>
      <c r="E881" s="5"/>
      <c r="F881" s="9"/>
    </row>
    <row r="882">
      <c r="A882" s="5"/>
      <c r="B882" s="5"/>
      <c r="C882" s="5"/>
      <c r="E882" s="5"/>
      <c r="F882" s="9"/>
    </row>
    <row r="883">
      <c r="A883" s="5"/>
      <c r="B883" s="5"/>
      <c r="C883" s="5"/>
      <c r="E883" s="5"/>
      <c r="F883" s="9"/>
    </row>
    <row r="884">
      <c r="A884" s="5"/>
      <c r="B884" s="5"/>
      <c r="C884" s="5"/>
      <c r="E884" s="5"/>
      <c r="F884" s="9"/>
    </row>
    <row r="885">
      <c r="A885" s="5"/>
      <c r="B885" s="5"/>
      <c r="C885" s="5"/>
      <c r="E885" s="5"/>
      <c r="F885" s="9"/>
    </row>
    <row r="886">
      <c r="A886" s="5"/>
      <c r="B886" s="5"/>
      <c r="C886" s="5"/>
      <c r="E886" s="5"/>
      <c r="F886" s="9"/>
    </row>
    <row r="887">
      <c r="A887" s="5"/>
      <c r="B887" s="5"/>
      <c r="C887" s="5"/>
      <c r="E887" s="5"/>
      <c r="F887" s="9"/>
    </row>
    <row r="888">
      <c r="A888" s="5"/>
      <c r="B888" s="5"/>
      <c r="C888" s="5"/>
      <c r="E888" s="5"/>
      <c r="F888" s="9"/>
    </row>
    <row r="889">
      <c r="A889" s="5"/>
      <c r="B889" s="5"/>
      <c r="C889" s="5"/>
      <c r="E889" s="5"/>
      <c r="F889" s="9"/>
    </row>
    <row r="890">
      <c r="A890" s="5"/>
      <c r="B890" s="5"/>
      <c r="C890" s="5"/>
      <c r="E890" s="5"/>
      <c r="F890" s="9"/>
    </row>
    <row r="891">
      <c r="A891" s="5"/>
      <c r="B891" s="5"/>
      <c r="C891" s="5"/>
      <c r="E891" s="5"/>
      <c r="F891" s="9"/>
    </row>
    <row r="892">
      <c r="A892" s="5"/>
      <c r="B892" s="5"/>
      <c r="C892" s="5"/>
      <c r="E892" s="5"/>
      <c r="F892" s="9"/>
    </row>
    <row r="893">
      <c r="A893" s="5"/>
      <c r="B893" s="5"/>
      <c r="C893" s="5"/>
      <c r="E893" s="5"/>
      <c r="F893" s="9"/>
    </row>
    <row r="894">
      <c r="A894" s="5"/>
      <c r="B894" s="5"/>
      <c r="C894" s="5"/>
      <c r="E894" s="5"/>
      <c r="F894" s="9"/>
    </row>
    <row r="895">
      <c r="A895" s="5"/>
      <c r="B895" s="5"/>
      <c r="C895" s="5"/>
      <c r="E895" s="5"/>
      <c r="F895" s="9"/>
    </row>
    <row r="896">
      <c r="A896" s="5"/>
      <c r="B896" s="5"/>
      <c r="C896" s="5"/>
      <c r="E896" s="5"/>
      <c r="F896" s="9"/>
    </row>
    <row r="897">
      <c r="A897" s="5"/>
      <c r="B897" s="5"/>
      <c r="C897" s="5"/>
      <c r="E897" s="5"/>
      <c r="F897" s="9"/>
    </row>
    <row r="898">
      <c r="A898" s="5"/>
      <c r="B898" s="5"/>
      <c r="C898" s="5"/>
      <c r="E898" s="5"/>
      <c r="F898" s="9"/>
    </row>
    <row r="899">
      <c r="A899" s="5"/>
      <c r="B899" s="5"/>
      <c r="C899" s="5"/>
      <c r="E899" s="5"/>
      <c r="F899" s="9"/>
    </row>
    <row r="900">
      <c r="A900" s="5"/>
      <c r="B900" s="5"/>
      <c r="C900" s="5"/>
      <c r="E900" s="5"/>
      <c r="F900" s="9"/>
    </row>
    <row r="901">
      <c r="A901" s="5"/>
      <c r="B901" s="5"/>
      <c r="C901" s="5"/>
      <c r="E901" s="5"/>
      <c r="F901" s="9"/>
    </row>
    <row r="902">
      <c r="A902" s="5"/>
      <c r="B902" s="5"/>
      <c r="C902" s="5"/>
      <c r="E902" s="5"/>
      <c r="F902" s="9"/>
    </row>
    <row r="903">
      <c r="A903" s="5"/>
      <c r="B903" s="5"/>
      <c r="C903" s="5"/>
      <c r="E903" s="5"/>
      <c r="F903" s="9"/>
    </row>
    <row r="904">
      <c r="A904" s="5"/>
      <c r="B904" s="5"/>
      <c r="C904" s="5"/>
      <c r="E904" s="5"/>
      <c r="F904" s="9"/>
    </row>
    <row r="905">
      <c r="A905" s="5"/>
      <c r="B905" s="5"/>
      <c r="C905" s="5"/>
      <c r="E905" s="5"/>
      <c r="F905" s="9"/>
    </row>
    <row r="906">
      <c r="A906" s="5"/>
      <c r="B906" s="5"/>
      <c r="C906" s="5"/>
      <c r="E906" s="5"/>
      <c r="F906" s="9"/>
    </row>
    <row r="907">
      <c r="A907" s="5"/>
      <c r="B907" s="5"/>
      <c r="C907" s="5"/>
      <c r="E907" s="5"/>
      <c r="F907" s="9"/>
    </row>
    <row r="908">
      <c r="A908" s="5"/>
      <c r="B908" s="5"/>
      <c r="C908" s="5"/>
      <c r="E908" s="5"/>
      <c r="F908" s="9"/>
    </row>
    <row r="909">
      <c r="A909" s="5"/>
      <c r="B909" s="5"/>
      <c r="C909" s="5"/>
      <c r="E909" s="5"/>
      <c r="F909" s="9"/>
    </row>
    <row r="910">
      <c r="A910" s="5"/>
      <c r="B910" s="5"/>
      <c r="C910" s="5"/>
      <c r="E910" s="5"/>
      <c r="F910" s="9"/>
    </row>
    <row r="911">
      <c r="A911" s="5"/>
      <c r="B911" s="5"/>
      <c r="C911" s="5"/>
      <c r="E911" s="5"/>
      <c r="F911" s="9"/>
    </row>
    <row r="912">
      <c r="A912" s="5"/>
      <c r="B912" s="5"/>
      <c r="C912" s="5"/>
      <c r="E912" s="5"/>
      <c r="F912" s="9"/>
    </row>
    <row r="913">
      <c r="A913" s="5"/>
      <c r="B913" s="5"/>
      <c r="C913" s="5"/>
      <c r="E913" s="5"/>
      <c r="F913" s="9"/>
    </row>
    <row r="914">
      <c r="A914" s="5"/>
      <c r="B914" s="5"/>
      <c r="C914" s="5"/>
      <c r="E914" s="5"/>
      <c r="F914" s="9"/>
    </row>
    <row r="915">
      <c r="A915" s="5"/>
      <c r="B915" s="5"/>
      <c r="C915" s="5"/>
      <c r="E915" s="5"/>
      <c r="F915" s="9"/>
    </row>
    <row r="916">
      <c r="A916" s="5"/>
      <c r="B916" s="5"/>
      <c r="C916" s="5"/>
      <c r="E916" s="5"/>
      <c r="F916" s="9"/>
    </row>
    <row r="917">
      <c r="A917" s="5"/>
      <c r="B917" s="5"/>
      <c r="C917" s="5"/>
      <c r="E917" s="5"/>
      <c r="F917" s="9"/>
    </row>
    <row r="918">
      <c r="A918" s="5"/>
      <c r="B918" s="5"/>
      <c r="C918" s="5"/>
      <c r="E918" s="5"/>
      <c r="F918" s="9"/>
    </row>
    <row r="919">
      <c r="A919" s="5"/>
      <c r="B919" s="5"/>
      <c r="C919" s="5"/>
      <c r="E919" s="5"/>
      <c r="F919" s="9"/>
    </row>
    <row r="920">
      <c r="A920" s="5"/>
      <c r="B920" s="5"/>
      <c r="C920" s="5"/>
      <c r="E920" s="5"/>
      <c r="F920" s="9"/>
    </row>
    <row r="921">
      <c r="A921" s="5"/>
      <c r="B921" s="5"/>
      <c r="C921" s="5"/>
      <c r="E921" s="5"/>
      <c r="F921" s="9"/>
    </row>
    <row r="922">
      <c r="A922" s="5"/>
      <c r="B922" s="5"/>
      <c r="C922" s="5"/>
      <c r="E922" s="5"/>
      <c r="F922" s="9"/>
    </row>
    <row r="923">
      <c r="A923" s="5"/>
      <c r="B923" s="5"/>
      <c r="C923" s="5"/>
      <c r="E923" s="5"/>
      <c r="F923" s="9"/>
    </row>
    <row r="924">
      <c r="A924" s="5"/>
      <c r="B924" s="5"/>
      <c r="C924" s="5"/>
      <c r="E924" s="5"/>
      <c r="F924" s="9"/>
    </row>
    <row r="925">
      <c r="A925" s="5"/>
      <c r="B925" s="5"/>
      <c r="C925" s="5"/>
      <c r="E925" s="5"/>
      <c r="F925" s="9"/>
    </row>
    <row r="926">
      <c r="A926" s="5"/>
      <c r="B926" s="5"/>
      <c r="C926" s="5"/>
      <c r="E926" s="5"/>
      <c r="F926" s="9"/>
    </row>
    <row r="927">
      <c r="A927" s="5"/>
      <c r="B927" s="5"/>
      <c r="C927" s="5"/>
      <c r="E927" s="5"/>
      <c r="F927" s="9"/>
    </row>
    <row r="928">
      <c r="A928" s="5"/>
      <c r="B928" s="5"/>
      <c r="C928" s="5"/>
      <c r="E928" s="5"/>
      <c r="F928" s="9"/>
    </row>
    <row r="929">
      <c r="A929" s="5"/>
      <c r="B929" s="5"/>
      <c r="C929" s="5"/>
      <c r="E929" s="5"/>
      <c r="F929" s="9"/>
    </row>
    <row r="930">
      <c r="A930" s="5"/>
      <c r="B930" s="5"/>
      <c r="C930" s="5"/>
      <c r="E930" s="5"/>
      <c r="F930" s="9"/>
    </row>
    <row r="931">
      <c r="A931" s="5"/>
      <c r="B931" s="5"/>
      <c r="C931" s="5"/>
      <c r="E931" s="5"/>
      <c r="F931" s="9"/>
    </row>
    <row r="932">
      <c r="A932" s="5"/>
      <c r="B932" s="5"/>
      <c r="C932" s="5"/>
      <c r="E932" s="5"/>
      <c r="F932" s="9"/>
    </row>
    <row r="933">
      <c r="A933" s="5"/>
      <c r="B933" s="5"/>
      <c r="C933" s="5"/>
      <c r="E933" s="5"/>
      <c r="F933" s="9"/>
    </row>
    <row r="934">
      <c r="A934" s="5"/>
      <c r="B934" s="5"/>
      <c r="C934" s="5"/>
      <c r="E934" s="5"/>
      <c r="F934" s="9"/>
    </row>
    <row r="935">
      <c r="A935" s="5"/>
      <c r="B935" s="5"/>
      <c r="C935" s="5"/>
      <c r="E935" s="5"/>
      <c r="F935" s="9"/>
    </row>
    <row r="936">
      <c r="A936" s="5"/>
      <c r="B936" s="5"/>
      <c r="C936" s="5"/>
      <c r="E936" s="5"/>
      <c r="F936" s="9"/>
    </row>
    <row r="937">
      <c r="A937" s="5"/>
      <c r="B937" s="5"/>
      <c r="C937" s="5"/>
      <c r="E937" s="5"/>
      <c r="F937" s="9"/>
    </row>
    <row r="938">
      <c r="A938" s="5"/>
      <c r="B938" s="5"/>
      <c r="C938" s="5"/>
      <c r="E938" s="5"/>
      <c r="F938" s="9"/>
    </row>
    <row r="939">
      <c r="A939" s="5"/>
      <c r="B939" s="5"/>
      <c r="C939" s="5"/>
      <c r="E939" s="5"/>
      <c r="F939" s="9"/>
    </row>
    <row r="940">
      <c r="A940" s="5"/>
      <c r="B940" s="5"/>
      <c r="C940" s="5"/>
      <c r="E940" s="5"/>
      <c r="F940" s="9"/>
    </row>
    <row r="941">
      <c r="A941" s="5"/>
      <c r="B941" s="5"/>
      <c r="C941" s="5"/>
      <c r="E941" s="5"/>
      <c r="F941" s="9"/>
    </row>
    <row r="942">
      <c r="A942" s="5"/>
      <c r="B942" s="5"/>
      <c r="C942" s="5"/>
      <c r="E942" s="5"/>
      <c r="F942" s="9"/>
    </row>
    <row r="943">
      <c r="A943" s="5"/>
      <c r="B943" s="5"/>
      <c r="C943" s="5"/>
      <c r="E943" s="5"/>
      <c r="F943" s="9"/>
    </row>
    <row r="944">
      <c r="A944" s="5"/>
      <c r="B944" s="5"/>
      <c r="C944" s="5"/>
      <c r="E944" s="5"/>
      <c r="F944" s="9"/>
    </row>
    <row r="945">
      <c r="A945" s="5"/>
      <c r="B945" s="5"/>
      <c r="C945" s="5"/>
      <c r="E945" s="5"/>
      <c r="F945" s="9"/>
    </row>
    <row r="946">
      <c r="A946" s="5"/>
      <c r="B946" s="5"/>
      <c r="C946" s="5"/>
      <c r="E946" s="5"/>
      <c r="F946" s="9"/>
    </row>
    <row r="947">
      <c r="A947" s="5"/>
      <c r="B947" s="5"/>
      <c r="C947" s="5"/>
      <c r="E947" s="5"/>
      <c r="F947" s="9"/>
    </row>
    <row r="948">
      <c r="A948" s="5"/>
      <c r="B948" s="5"/>
      <c r="C948" s="5"/>
      <c r="E948" s="5"/>
      <c r="F948" s="9"/>
    </row>
    <row r="949">
      <c r="A949" s="5"/>
      <c r="B949" s="5"/>
      <c r="C949" s="5"/>
      <c r="E949" s="5"/>
      <c r="F949" s="9"/>
    </row>
    <row r="950">
      <c r="A950" s="5"/>
      <c r="B950" s="5"/>
      <c r="C950" s="5"/>
      <c r="E950" s="5"/>
      <c r="F950" s="9"/>
    </row>
    <row r="951">
      <c r="A951" s="5"/>
      <c r="B951" s="5"/>
      <c r="C951" s="5"/>
      <c r="E951" s="5"/>
      <c r="F951" s="9"/>
    </row>
    <row r="952">
      <c r="A952" s="5"/>
      <c r="B952" s="5"/>
      <c r="C952" s="5"/>
      <c r="E952" s="5"/>
      <c r="F952" s="9"/>
    </row>
    <row r="953">
      <c r="A953" s="5"/>
      <c r="B953" s="5"/>
      <c r="C953" s="5"/>
      <c r="E953" s="5"/>
      <c r="F953" s="9"/>
    </row>
    <row r="954">
      <c r="A954" s="5"/>
      <c r="B954" s="5"/>
      <c r="C954" s="5"/>
      <c r="E954" s="5"/>
      <c r="F954" s="9"/>
    </row>
    <row r="955">
      <c r="A955" s="5"/>
      <c r="B955" s="5"/>
      <c r="C955" s="5"/>
      <c r="E955" s="5"/>
      <c r="F955" s="9"/>
    </row>
    <row r="956">
      <c r="A956" s="5"/>
      <c r="B956" s="5"/>
      <c r="C956" s="5"/>
      <c r="E956" s="5"/>
      <c r="F956" s="9"/>
    </row>
    <row r="957">
      <c r="A957" s="5"/>
      <c r="B957" s="5"/>
      <c r="C957" s="5"/>
      <c r="E957" s="5"/>
      <c r="F957" s="9"/>
    </row>
    <row r="958">
      <c r="A958" s="5"/>
      <c r="B958" s="5"/>
      <c r="C958" s="5"/>
      <c r="E958" s="5"/>
      <c r="F958" s="9"/>
    </row>
    <row r="959">
      <c r="A959" s="5"/>
      <c r="B959" s="5"/>
      <c r="C959" s="5"/>
      <c r="E959" s="5"/>
      <c r="F959" s="9"/>
    </row>
    <row r="960">
      <c r="A960" s="5"/>
      <c r="B960" s="5"/>
      <c r="C960" s="5"/>
      <c r="E960" s="5"/>
      <c r="F960" s="9"/>
    </row>
    <row r="961">
      <c r="A961" s="5"/>
      <c r="B961" s="5"/>
      <c r="C961" s="5"/>
      <c r="E961" s="5"/>
      <c r="F961" s="9"/>
    </row>
    <row r="962">
      <c r="A962" s="5"/>
      <c r="B962" s="5"/>
      <c r="C962" s="5"/>
      <c r="E962" s="5"/>
      <c r="F962" s="9"/>
    </row>
    <row r="963">
      <c r="A963" s="5"/>
      <c r="B963" s="5"/>
      <c r="C963" s="5"/>
      <c r="E963" s="5"/>
      <c r="F963" s="9"/>
    </row>
    <row r="964">
      <c r="A964" s="5"/>
      <c r="B964" s="5"/>
      <c r="C964" s="5"/>
      <c r="E964" s="5"/>
      <c r="F964" s="9"/>
    </row>
    <row r="965">
      <c r="A965" s="5"/>
      <c r="B965" s="5"/>
      <c r="C965" s="5"/>
      <c r="E965" s="5"/>
      <c r="F965" s="9"/>
    </row>
    <row r="966">
      <c r="A966" s="5"/>
      <c r="B966" s="5"/>
      <c r="C966" s="5"/>
      <c r="E966" s="5"/>
      <c r="F966" s="9"/>
    </row>
    <row r="967">
      <c r="A967" s="5"/>
      <c r="B967" s="5"/>
      <c r="C967" s="5"/>
      <c r="E967" s="5"/>
      <c r="F967" s="9"/>
    </row>
    <row r="968">
      <c r="A968" s="5"/>
      <c r="B968" s="5"/>
      <c r="C968" s="5"/>
      <c r="E968" s="5"/>
      <c r="F968" s="9"/>
    </row>
    <row r="969">
      <c r="A969" s="5"/>
      <c r="B969" s="5"/>
      <c r="C969" s="5"/>
      <c r="E969" s="5"/>
      <c r="F969" s="9"/>
    </row>
    <row r="970">
      <c r="A970" s="5"/>
      <c r="B970" s="5"/>
      <c r="C970" s="5"/>
      <c r="E970" s="5"/>
      <c r="F970" s="9"/>
    </row>
    <row r="971">
      <c r="A971" s="5"/>
      <c r="B971" s="5"/>
      <c r="C971" s="5"/>
      <c r="E971" s="5"/>
      <c r="F971" s="9"/>
    </row>
    <row r="972">
      <c r="A972" s="5"/>
      <c r="B972" s="5"/>
      <c r="C972" s="5"/>
      <c r="E972" s="5"/>
      <c r="F972" s="9"/>
    </row>
    <row r="973">
      <c r="A973" s="5"/>
      <c r="B973" s="5"/>
      <c r="C973" s="5"/>
      <c r="E973" s="5"/>
      <c r="F973" s="9"/>
    </row>
    <row r="974">
      <c r="A974" s="5"/>
      <c r="B974" s="5"/>
      <c r="C974" s="5"/>
      <c r="E974" s="5"/>
      <c r="F974" s="9"/>
    </row>
    <row r="975">
      <c r="A975" s="5"/>
      <c r="B975" s="5"/>
      <c r="C975" s="5"/>
      <c r="E975" s="5"/>
      <c r="F975" s="9"/>
    </row>
    <row r="976">
      <c r="A976" s="5"/>
      <c r="B976" s="5"/>
      <c r="C976" s="5"/>
      <c r="E976" s="5"/>
      <c r="F976" s="9"/>
    </row>
    <row r="977">
      <c r="A977" s="5"/>
      <c r="B977" s="5"/>
      <c r="C977" s="5"/>
      <c r="E977" s="5"/>
      <c r="F977" s="9"/>
    </row>
    <row r="978">
      <c r="A978" s="5"/>
      <c r="B978" s="5"/>
      <c r="C978" s="5"/>
      <c r="E978" s="5"/>
      <c r="F978" s="9"/>
    </row>
    <row r="979">
      <c r="A979" s="5"/>
      <c r="B979" s="5"/>
      <c r="C979" s="5"/>
      <c r="E979" s="5"/>
      <c r="F979" s="9"/>
    </row>
    <row r="980">
      <c r="A980" s="5"/>
      <c r="B980" s="5"/>
      <c r="C980" s="5"/>
      <c r="E980" s="5"/>
      <c r="F980" s="9"/>
    </row>
    <row r="981">
      <c r="A981" s="5"/>
      <c r="B981" s="5"/>
      <c r="C981" s="5"/>
      <c r="E981" s="5"/>
      <c r="F981" s="9"/>
    </row>
    <row r="982">
      <c r="A982" s="5"/>
      <c r="B982" s="5"/>
      <c r="C982" s="5"/>
      <c r="E982" s="5"/>
      <c r="F982" s="9"/>
    </row>
    <row r="983">
      <c r="A983" s="5"/>
      <c r="B983" s="5"/>
      <c r="C983" s="5"/>
      <c r="E983" s="5"/>
      <c r="F983" s="9"/>
    </row>
    <row r="984">
      <c r="A984" s="5"/>
      <c r="B984" s="5"/>
      <c r="C984" s="5"/>
      <c r="E984" s="5"/>
      <c r="F984" s="9"/>
    </row>
    <row r="985">
      <c r="A985" s="5"/>
      <c r="B985" s="5"/>
      <c r="C985" s="5"/>
      <c r="E985" s="5"/>
      <c r="F985" s="9"/>
    </row>
    <row r="986">
      <c r="A986" s="5"/>
      <c r="B986" s="5"/>
      <c r="C986" s="5"/>
      <c r="E986" s="5"/>
      <c r="F986" s="9"/>
    </row>
    <row r="987">
      <c r="A987" s="5"/>
      <c r="B987" s="5"/>
      <c r="C987" s="5"/>
      <c r="E987" s="5"/>
      <c r="F987" s="9"/>
    </row>
    <row r="988">
      <c r="A988" s="5"/>
      <c r="B988" s="5"/>
      <c r="C988" s="5"/>
      <c r="E988" s="5"/>
      <c r="F988" s="9"/>
    </row>
    <row r="989">
      <c r="A989" s="5"/>
      <c r="B989" s="5"/>
      <c r="C989" s="5"/>
      <c r="E989" s="5"/>
      <c r="F989" s="9"/>
    </row>
    <row r="990">
      <c r="A990" s="5"/>
      <c r="B990" s="5"/>
      <c r="C990" s="5"/>
      <c r="E990" s="5"/>
      <c r="F990" s="9"/>
    </row>
    <row r="991">
      <c r="A991" s="5"/>
      <c r="B991" s="5"/>
      <c r="C991" s="5"/>
      <c r="E991" s="5"/>
      <c r="F991" s="9"/>
    </row>
    <row r="992">
      <c r="A992" s="5"/>
      <c r="B992" s="5"/>
      <c r="C992" s="5"/>
      <c r="E992" s="5"/>
      <c r="F992" s="9"/>
    </row>
    <row r="993">
      <c r="A993" s="5"/>
      <c r="B993" s="5"/>
      <c r="C993" s="5"/>
      <c r="E993" s="5"/>
      <c r="F993" s="9"/>
    </row>
    <row r="994">
      <c r="A994" s="5"/>
      <c r="B994" s="5"/>
      <c r="C994" s="5"/>
      <c r="E994" s="5"/>
      <c r="F994" s="9"/>
    </row>
    <row r="995">
      <c r="A995" s="5"/>
      <c r="B995" s="5"/>
      <c r="C995" s="5"/>
      <c r="E995" s="5"/>
      <c r="F995" s="9"/>
    </row>
    <row r="996">
      <c r="A996" s="5"/>
      <c r="B996" s="5"/>
      <c r="C996" s="5"/>
      <c r="E996" s="5"/>
      <c r="F996" s="9"/>
    </row>
    <row r="997">
      <c r="A997" s="5"/>
      <c r="B997" s="5"/>
      <c r="C997" s="5"/>
      <c r="E997" s="5"/>
      <c r="F997" s="9"/>
    </row>
    <row r="998">
      <c r="A998" s="5"/>
      <c r="B998" s="5"/>
      <c r="C998" s="5"/>
      <c r="E998" s="5"/>
      <c r="F998" s="9"/>
    </row>
    <row r="999">
      <c r="A999" s="5"/>
      <c r="B999" s="5"/>
      <c r="C999" s="5"/>
      <c r="E999" s="5"/>
      <c r="F999" s="9"/>
    </row>
    <row r="1000">
      <c r="A1000" s="5"/>
      <c r="B1000" s="5"/>
      <c r="C1000" s="5"/>
      <c r="E1000" s="5"/>
      <c r="F1000" s="9"/>
    </row>
    <row r="1001">
      <c r="A1001" s="5"/>
      <c r="B1001" s="5"/>
      <c r="C1001" s="5"/>
      <c r="E1001" s="5"/>
      <c r="F1001" s="9"/>
    </row>
    <row r="1002">
      <c r="A1002" s="5"/>
      <c r="B1002" s="5"/>
      <c r="C1002" s="5"/>
      <c r="E1002" s="5"/>
      <c r="F1002" s="9"/>
    </row>
    <row r="1003">
      <c r="A1003" s="5"/>
      <c r="B1003" s="5"/>
      <c r="C1003" s="5"/>
      <c r="E1003" s="5"/>
      <c r="F1003" s="9"/>
    </row>
    <row r="1004">
      <c r="A1004" s="5"/>
      <c r="B1004" s="5"/>
      <c r="C1004" s="5"/>
      <c r="E1004" s="5"/>
      <c r="F1004" s="9"/>
    </row>
    <row r="1005">
      <c r="A1005" s="5"/>
      <c r="B1005" s="5"/>
      <c r="C1005" s="5"/>
      <c r="E1005" s="5"/>
      <c r="F1005" s="9"/>
    </row>
    <row r="1006">
      <c r="A1006" s="5"/>
      <c r="B1006" s="5"/>
      <c r="C1006" s="5"/>
      <c r="E1006" s="5"/>
      <c r="F1006" s="9"/>
    </row>
    <row r="1007">
      <c r="A1007" s="5"/>
      <c r="B1007" s="5"/>
      <c r="C1007" s="5"/>
      <c r="E1007" s="5"/>
      <c r="F1007" s="9"/>
    </row>
    <row r="1008">
      <c r="A1008" s="5"/>
      <c r="B1008" s="5"/>
      <c r="C1008" s="5"/>
      <c r="E1008" s="5"/>
      <c r="F1008" s="9"/>
    </row>
    <row r="1009">
      <c r="A1009" s="5"/>
      <c r="B1009" s="5"/>
      <c r="C1009" s="5"/>
      <c r="E1009" s="5"/>
      <c r="F1009" s="9"/>
    </row>
    <row r="1010">
      <c r="A1010" s="5"/>
      <c r="B1010" s="5"/>
      <c r="C1010" s="5"/>
      <c r="E1010" s="5"/>
      <c r="F1010" s="9"/>
    </row>
    <row r="1011">
      <c r="A1011" s="5"/>
      <c r="B1011" s="5"/>
      <c r="C1011" s="5"/>
      <c r="E1011" s="5"/>
      <c r="F1011" s="9"/>
    </row>
    <row r="1012">
      <c r="A1012" s="5"/>
      <c r="B1012" s="5"/>
      <c r="C1012" s="5"/>
      <c r="E1012" s="5"/>
      <c r="F1012" s="9"/>
    </row>
    <row r="1013">
      <c r="A1013" s="5"/>
      <c r="B1013" s="5"/>
      <c r="C1013" s="5"/>
      <c r="E1013" s="5"/>
      <c r="F1013" s="9"/>
    </row>
    <row r="1014">
      <c r="A1014" s="5"/>
      <c r="B1014" s="5"/>
      <c r="C1014" s="5"/>
      <c r="E1014" s="5"/>
      <c r="F1014" s="9"/>
    </row>
  </sheetData>
  <dataValidations>
    <dataValidation type="list" allowBlank="1" showErrorMessage="1" sqref="A3:A69">
      <formula1>"Updated,Needs Updating"</formula1>
    </dataValidation>
  </dataValidations>
  <hyperlinks>
    <hyperlink r:id="rId4" ref="G4"/>
    <hyperlink r:id="rId5" ref="G6"/>
    <hyperlink r:id="rId6" ref="G7"/>
    <hyperlink r:id="rId7" location="gid=0" ref="G8"/>
    <hyperlink r:id="rId8" ref="G9"/>
    <hyperlink r:id="rId9" ref="G10"/>
    <hyperlink r:id="rId10" ref="G11"/>
    <hyperlink r:id="rId11" ref="G12"/>
    <hyperlink r:id="rId12" ref="G13"/>
    <hyperlink r:id="rId13" ref="G20"/>
    <hyperlink r:id="rId14" ref="G21"/>
    <hyperlink r:id="rId15" ref="G22"/>
    <hyperlink r:id="rId16" ref="G23"/>
    <hyperlink r:id="rId17" ref="G25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8"/>
  <legacyDrawing r:id="rId1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88.38"/>
    <col customWidth="1" min="3" max="3" width="28.75"/>
    <col customWidth="1" min="4" max="4" width="16.25"/>
    <col customWidth="1" min="5" max="5" width="72.0"/>
    <col customWidth="1" min="6" max="6" width="20.13"/>
    <col customWidth="1" min="7" max="7" width="12.5"/>
    <col customWidth="1" min="15" max="15" width="38.5"/>
    <col customWidth="1" min="18" max="18" width="21.0"/>
  </cols>
  <sheetData>
    <row r="1">
      <c r="A1" s="1" t="s">
        <v>0</v>
      </c>
      <c r="B1" s="1"/>
      <c r="C1" s="1" t="s">
        <v>2</v>
      </c>
      <c r="D1" s="3" t="s">
        <v>4</v>
      </c>
      <c r="E1" s="1" t="s">
        <v>6</v>
      </c>
      <c r="F1" s="3" t="s">
        <v>7</v>
      </c>
      <c r="G1" s="4" t="s">
        <v>8</v>
      </c>
    </row>
    <row r="2">
      <c r="A2" s="1"/>
      <c r="B2" s="1"/>
      <c r="C2" s="5"/>
      <c r="E2" s="5"/>
    </row>
    <row r="3">
      <c r="A3" s="8" t="s">
        <v>25</v>
      </c>
      <c r="B3" s="8" t="s">
        <v>27</v>
      </c>
      <c r="C3" s="8" t="s">
        <v>14</v>
      </c>
      <c r="D3" s="11">
        <f>'H1 2025 AECN Process Emissions'!I11</f>
        <v>0.12678</v>
      </c>
      <c r="E3" s="8">
        <v>0.002088061302</v>
      </c>
      <c r="F3" s="11">
        <f>D3*(1+E3)</f>
        <v>0.1270447244</v>
      </c>
      <c r="G3" s="4" t="s">
        <v>16</v>
      </c>
    </row>
    <row r="4">
      <c r="A4" s="8" t="s">
        <v>25</v>
      </c>
      <c r="B4" s="8" t="s">
        <v>18</v>
      </c>
      <c r="C4" s="8" t="s">
        <v>14</v>
      </c>
      <c r="D4" s="4">
        <v>0.02115941123</v>
      </c>
      <c r="E4" s="8" t="s">
        <v>19</v>
      </c>
      <c r="F4" s="4">
        <v>0.02115941123</v>
      </c>
      <c r="G4" s="4" t="s">
        <v>22</v>
      </c>
    </row>
    <row r="5">
      <c r="A5" s="8" t="s">
        <v>25</v>
      </c>
      <c r="B5" s="8" t="s">
        <v>23</v>
      </c>
      <c r="C5" s="8" t="s">
        <v>24</v>
      </c>
      <c r="D5" s="4">
        <f>(70/1000000)*1.609</f>
        <v>0.00011263</v>
      </c>
      <c r="E5" s="8">
        <v>0.0</v>
      </c>
      <c r="F5" s="4">
        <f t="shared" ref="F5:F6" si="1">SUM(D5:E5)</f>
        <v>0.00011263</v>
      </c>
      <c r="G5" s="22" t="s">
        <v>43</v>
      </c>
    </row>
    <row r="6">
      <c r="A6" s="8" t="s">
        <v>25</v>
      </c>
      <c r="B6" s="8" t="s">
        <v>29</v>
      </c>
      <c r="C6" s="8" t="s">
        <v>24</v>
      </c>
      <c r="D6" s="4">
        <f>(84/1000000)*1.609</f>
        <v>0.000135156</v>
      </c>
      <c r="E6" s="8">
        <v>0.0</v>
      </c>
      <c r="F6" s="4">
        <f t="shared" si="1"/>
        <v>0.000135156</v>
      </c>
      <c r="G6" s="22" t="s">
        <v>43</v>
      </c>
    </row>
    <row r="7">
      <c r="A7" s="8" t="s">
        <v>25</v>
      </c>
      <c r="B7" s="8" t="s">
        <v>33</v>
      </c>
      <c r="C7" s="8" t="s">
        <v>34</v>
      </c>
      <c r="D7" s="4">
        <v>0.001518790827</v>
      </c>
      <c r="E7" s="8" t="s">
        <v>19</v>
      </c>
      <c r="F7" s="4">
        <v>0.001518790827</v>
      </c>
      <c r="G7" s="18" t="s">
        <v>36</v>
      </c>
    </row>
    <row r="8">
      <c r="A8" s="8" t="s">
        <v>25</v>
      </c>
      <c r="B8" s="8" t="s">
        <v>82</v>
      </c>
      <c r="C8" s="8" t="s">
        <v>45</v>
      </c>
      <c r="D8" s="4">
        <f>(788/1000000)*1.609</f>
        <v>0.001267892</v>
      </c>
      <c r="E8" s="8">
        <v>0.0</v>
      </c>
      <c r="F8" s="4">
        <f t="shared" ref="F8:F19" si="2">SUM(D8:E8)</f>
        <v>0.001267892</v>
      </c>
      <c r="G8" s="22" t="s">
        <v>43</v>
      </c>
    </row>
    <row r="9">
      <c r="A9" s="8" t="s">
        <v>25</v>
      </c>
      <c r="B9" s="8" t="s">
        <v>46</v>
      </c>
      <c r="C9" s="8" t="s">
        <v>47</v>
      </c>
      <c r="D9" s="4">
        <f>(16.1/1000000)*1.609</f>
        <v>0.0000259049</v>
      </c>
      <c r="E9" s="8">
        <v>0.0</v>
      </c>
      <c r="F9" s="4">
        <f t="shared" si="2"/>
        <v>0.0000259049</v>
      </c>
      <c r="G9" s="22" t="s">
        <v>43</v>
      </c>
      <c r="P9" s="4" t="s">
        <v>50</v>
      </c>
      <c r="Q9" s="4" t="s">
        <v>96</v>
      </c>
      <c r="R9" s="4" t="s">
        <v>97</v>
      </c>
      <c r="T9" s="4" t="s">
        <v>98</v>
      </c>
    </row>
    <row r="10">
      <c r="A10" s="8" t="s">
        <v>25</v>
      </c>
      <c r="B10" s="8" t="s">
        <v>49</v>
      </c>
      <c r="C10" s="8" t="s">
        <v>50</v>
      </c>
      <c r="D10" s="4">
        <f>'Truck and Trailer EE 2025'!B15</f>
        <v>0.00007879952768</v>
      </c>
      <c r="E10" s="8">
        <v>0.0</v>
      </c>
      <c r="F10" s="4">
        <f t="shared" si="2"/>
        <v>0.00007879952768</v>
      </c>
      <c r="G10" s="4" t="s">
        <v>101</v>
      </c>
      <c r="O10" s="8" t="s">
        <v>49</v>
      </c>
      <c r="P10" s="4">
        <v>7.87995276821192E-5</v>
      </c>
      <c r="Q10" s="12">
        <f t="shared" ref="Q10:Q12" si="3">P10*1000</f>
        <v>0.07879952768</v>
      </c>
      <c r="R10" s="4">
        <v>2033.0</v>
      </c>
      <c r="S10" s="12">
        <f t="shared" ref="S10:S12" si="4">R10*Q10</f>
        <v>160.1994398</v>
      </c>
      <c r="T10" s="4" t="s">
        <v>102</v>
      </c>
    </row>
    <row r="11">
      <c r="A11" s="8" t="s">
        <v>25</v>
      </c>
      <c r="B11" s="8" t="s">
        <v>52</v>
      </c>
      <c r="C11" s="8" t="s">
        <v>50</v>
      </c>
      <c r="D11" s="25">
        <f>'Truck and Trailer EE 2025'!B20</f>
        <v>0.00006449266308</v>
      </c>
      <c r="E11" s="8">
        <v>0.0</v>
      </c>
      <c r="F11" s="25">
        <f t="shared" si="2"/>
        <v>0.00006449266308</v>
      </c>
      <c r="G11" s="4" t="s">
        <v>101</v>
      </c>
      <c r="O11" s="8" t="s">
        <v>52</v>
      </c>
      <c r="P11" s="25">
        <v>6.449266308167769E-5</v>
      </c>
      <c r="Q11" s="12">
        <f t="shared" si="3"/>
        <v>0.06449266308</v>
      </c>
      <c r="R11" s="4">
        <v>2033.0</v>
      </c>
      <c r="S11" s="12">
        <f t="shared" si="4"/>
        <v>131.113584</v>
      </c>
      <c r="T11" s="26">
        <f t="shared" ref="T11:T12" si="5">($Q$10-Q11)/$Q$10</f>
        <v>0.1815602837</v>
      </c>
    </row>
    <row r="12">
      <c r="A12" s="8" t="s">
        <v>25</v>
      </c>
      <c r="B12" s="8" t="s">
        <v>53</v>
      </c>
      <c r="C12" s="8" t="s">
        <v>50</v>
      </c>
      <c r="D12" s="25">
        <f>'2025 Railcar Embodied Emissions'!B9</f>
        <v>0.000035224</v>
      </c>
      <c r="E12" s="8"/>
      <c r="F12" s="25">
        <f t="shared" si="2"/>
        <v>0.000035224</v>
      </c>
      <c r="G12" s="4" t="s">
        <v>108</v>
      </c>
      <c r="J12" s="25"/>
      <c r="O12" s="8" t="s">
        <v>53</v>
      </c>
      <c r="P12" s="25">
        <v>3.5224E-5</v>
      </c>
      <c r="Q12" s="12">
        <f t="shared" si="3"/>
        <v>0.035224</v>
      </c>
      <c r="R12" s="4">
        <v>2033.0</v>
      </c>
      <c r="S12" s="12">
        <f t="shared" si="4"/>
        <v>71.610392</v>
      </c>
      <c r="T12" s="26">
        <f t="shared" si="5"/>
        <v>0.5529922445</v>
      </c>
    </row>
    <row r="13">
      <c r="A13" s="8" t="s">
        <v>25</v>
      </c>
      <c r="B13" s="8" t="s">
        <v>105</v>
      </c>
      <c r="C13" s="8" t="s">
        <v>55</v>
      </c>
      <c r="D13" s="4">
        <f>'2025 KS Electricity EFs'!D22</f>
        <v>0.0004655069597</v>
      </c>
      <c r="E13" s="8">
        <v>0.0</v>
      </c>
      <c r="F13" s="4">
        <f t="shared" si="2"/>
        <v>0.0004655069597</v>
      </c>
      <c r="G13" s="4" t="s">
        <v>111</v>
      </c>
    </row>
    <row r="14">
      <c r="A14" s="8" t="s">
        <v>25</v>
      </c>
      <c r="B14" s="8" t="s">
        <v>107</v>
      </c>
      <c r="C14" s="8" t="s">
        <v>55</v>
      </c>
      <c r="D14" s="4">
        <f>'2025 CO Electricity EFs'!D25</f>
        <v>0.0005247446238</v>
      </c>
      <c r="E14" s="8">
        <v>0.0</v>
      </c>
      <c r="F14" s="4">
        <f t="shared" si="2"/>
        <v>0.0005247446238</v>
      </c>
      <c r="G14" s="4" t="s">
        <v>111</v>
      </c>
    </row>
    <row r="15">
      <c r="A15" s="8" t="s">
        <v>25</v>
      </c>
      <c r="B15" s="8" t="s">
        <v>109</v>
      </c>
      <c r="C15" s="8" t="s">
        <v>55</v>
      </c>
      <c r="D15" s="4">
        <f>'2025 LA Electricity EFs'!D25</f>
        <v>0.0003656312024</v>
      </c>
      <c r="E15" s="8"/>
      <c r="F15" s="4">
        <f t="shared" si="2"/>
        <v>0.0003656312024</v>
      </c>
      <c r="G15" s="4"/>
    </row>
    <row r="16">
      <c r="A16" s="8" t="s">
        <v>25</v>
      </c>
      <c r="B16" s="8" t="s">
        <v>110</v>
      </c>
      <c r="C16" s="8" t="s">
        <v>55</v>
      </c>
      <c r="D16" s="4">
        <f>'2025 KS Electricity EFs'!B30/1000</f>
        <v>0.00001004415071</v>
      </c>
      <c r="E16" s="8">
        <v>0.0</v>
      </c>
      <c r="F16" s="4">
        <f t="shared" si="2"/>
        <v>0.00001004415071</v>
      </c>
      <c r="G16" s="4" t="s">
        <v>111</v>
      </c>
    </row>
    <row r="17">
      <c r="A17" s="8" t="s">
        <v>25</v>
      </c>
      <c r="B17" s="8" t="s">
        <v>112</v>
      </c>
      <c r="C17" s="8" t="s">
        <v>55</v>
      </c>
      <c r="D17" s="4">
        <f>'2025 CO Electricity EFs'!B33/1000</f>
        <v>0.00003674940003</v>
      </c>
      <c r="E17" s="8">
        <v>0.0</v>
      </c>
      <c r="F17" s="4">
        <f t="shared" si="2"/>
        <v>0.00003674940003</v>
      </c>
      <c r="G17" s="4" t="s">
        <v>111</v>
      </c>
    </row>
    <row r="18">
      <c r="A18" s="8" t="s">
        <v>25</v>
      </c>
      <c r="B18" s="8" t="s">
        <v>59</v>
      </c>
      <c r="C18" s="8" t="s">
        <v>60</v>
      </c>
      <c r="D18" s="4">
        <f>3.87/1000</f>
        <v>0.00387</v>
      </c>
      <c r="E18" s="8">
        <v>0.0</v>
      </c>
      <c r="F18" s="4">
        <f t="shared" si="2"/>
        <v>0.00387</v>
      </c>
      <c r="G18" s="22" t="s">
        <v>43</v>
      </c>
    </row>
    <row r="19">
      <c r="A19" s="8" t="s">
        <v>25</v>
      </c>
      <c r="B19" s="8" t="s">
        <v>62</v>
      </c>
      <c r="C19" s="8" t="s">
        <v>60</v>
      </c>
      <c r="D19" s="4">
        <f>3.63/1000</f>
        <v>0.00363</v>
      </c>
      <c r="E19" s="8">
        <v>0.0</v>
      </c>
      <c r="F19" s="4">
        <f t="shared" si="2"/>
        <v>0.00363</v>
      </c>
      <c r="G19" s="22" t="s">
        <v>43</v>
      </c>
    </row>
    <row r="20">
      <c r="A20" s="8" t="s">
        <v>25</v>
      </c>
      <c r="B20" s="8" t="s">
        <v>64</v>
      </c>
      <c r="C20" s="8" t="s">
        <v>60</v>
      </c>
      <c r="D20" s="4">
        <f>3.74/1000</f>
        <v>0.00374</v>
      </c>
      <c r="E20" s="8">
        <v>0.0</v>
      </c>
      <c r="F20" s="4">
        <f>D20</f>
        <v>0.00374</v>
      </c>
      <c r="G20" s="22" t="s">
        <v>43</v>
      </c>
    </row>
    <row r="21">
      <c r="A21" s="8" t="s">
        <v>25</v>
      </c>
      <c r="B21" s="8" t="s">
        <v>66</v>
      </c>
      <c r="C21" s="8" t="s">
        <v>67</v>
      </c>
      <c r="D21" s="4">
        <v>1.741289766E-6</v>
      </c>
      <c r="E21" s="8">
        <v>0.0</v>
      </c>
      <c r="F21" s="4">
        <f t="shared" ref="F21:F28" si="6">SUM(D21:E21)</f>
        <v>0.000001741289766</v>
      </c>
      <c r="G21" s="22" t="s">
        <v>68</v>
      </c>
    </row>
    <row r="22">
      <c r="A22" s="8" t="s">
        <v>25</v>
      </c>
      <c r="B22" s="8" t="s">
        <v>115</v>
      </c>
      <c r="C22" s="8" t="s">
        <v>116</v>
      </c>
      <c r="D22" s="4">
        <f>'2025 MRV Sample Shipping'!B16</f>
        <v>0.0003677641626</v>
      </c>
      <c r="E22" s="8">
        <v>0.0</v>
      </c>
      <c r="F22" s="4">
        <f t="shared" si="6"/>
        <v>0.0003677641626</v>
      </c>
    </row>
    <row r="23">
      <c r="A23" s="8" t="s">
        <v>25</v>
      </c>
      <c r="B23" s="8" t="s">
        <v>70</v>
      </c>
      <c r="C23" s="8" t="s">
        <v>71</v>
      </c>
      <c r="D23" s="4">
        <f>2708691/1000000</f>
        <v>2.708691</v>
      </c>
      <c r="E23" s="8">
        <v>0.0</v>
      </c>
      <c r="F23" s="4">
        <f t="shared" si="6"/>
        <v>2.708691</v>
      </c>
      <c r="G23" s="4" t="s">
        <v>128</v>
      </c>
    </row>
    <row r="24">
      <c r="A24" s="8" t="s">
        <v>25</v>
      </c>
      <c r="B24" s="8" t="s">
        <v>73</v>
      </c>
      <c r="C24" s="8" t="s">
        <v>71</v>
      </c>
      <c r="D24" s="4">
        <f>740914/1000000</f>
        <v>0.740914</v>
      </c>
      <c r="E24" s="8">
        <v>0.0</v>
      </c>
      <c r="F24" s="4">
        <f t="shared" si="6"/>
        <v>0.740914</v>
      </c>
      <c r="G24" s="4" t="s">
        <v>128</v>
      </c>
    </row>
    <row r="25">
      <c r="A25" s="8" t="s">
        <v>25</v>
      </c>
      <c r="B25" s="8" t="s">
        <v>74</v>
      </c>
      <c r="C25" s="8" t="s">
        <v>75</v>
      </c>
      <c r="D25" s="4">
        <f>3459258/1000000</f>
        <v>3.459258</v>
      </c>
      <c r="E25" s="8">
        <v>0.0</v>
      </c>
      <c r="F25" s="4">
        <f t="shared" si="6"/>
        <v>3.459258</v>
      </c>
      <c r="G25" s="4" t="s">
        <v>128</v>
      </c>
    </row>
    <row r="26">
      <c r="A26" s="8" t="s">
        <v>25</v>
      </c>
      <c r="B26" s="8" t="s">
        <v>129</v>
      </c>
      <c r="C26" s="8" t="s">
        <v>77</v>
      </c>
      <c r="D26" s="4">
        <f>1776962/1000000</f>
        <v>1.776962</v>
      </c>
      <c r="E26" s="8">
        <v>0.0</v>
      </c>
      <c r="F26" s="4">
        <f t="shared" si="6"/>
        <v>1.776962</v>
      </c>
      <c r="G26" s="4" t="s">
        <v>128</v>
      </c>
    </row>
    <row r="27">
      <c r="A27" s="8" t="s">
        <v>25</v>
      </c>
      <c r="B27" s="8" t="s">
        <v>130</v>
      </c>
      <c r="C27" s="8" t="s">
        <v>131</v>
      </c>
      <c r="D27" s="4">
        <f>2065206/1000000</f>
        <v>2.065206</v>
      </c>
      <c r="E27" s="8">
        <v>0.0</v>
      </c>
      <c r="F27" s="4">
        <f t="shared" si="6"/>
        <v>2.065206</v>
      </c>
      <c r="G27" s="4" t="s">
        <v>128</v>
      </c>
    </row>
    <row r="28">
      <c r="A28" s="8" t="s">
        <v>25</v>
      </c>
      <c r="B28" s="8" t="s">
        <v>78</v>
      </c>
      <c r="C28" s="8" t="s">
        <v>79</v>
      </c>
      <c r="D28" s="4">
        <f>86893/1000000</f>
        <v>0.086893</v>
      </c>
      <c r="E28" s="8">
        <v>0.0</v>
      </c>
      <c r="F28" s="4">
        <f t="shared" si="6"/>
        <v>0.086893</v>
      </c>
      <c r="G28" s="4" t="s">
        <v>128</v>
      </c>
    </row>
    <row r="29">
      <c r="A29" s="8" t="s">
        <v>25</v>
      </c>
      <c r="B29" s="8" t="s">
        <v>80</v>
      </c>
      <c r="C29" s="8" t="s">
        <v>81</v>
      </c>
      <c r="D29" s="4">
        <f>'2025 LCS Embodied Emissions'!B1/1000000</f>
        <v>0.89272</v>
      </c>
      <c r="E29" s="8">
        <v>0.001200260388</v>
      </c>
      <c r="F29" s="4">
        <f>D29*(1+E29)</f>
        <v>0.8937914965</v>
      </c>
      <c r="G29" s="4" t="s">
        <v>128</v>
      </c>
    </row>
    <row r="30">
      <c r="A30" s="8" t="s">
        <v>25</v>
      </c>
      <c r="B30" s="8" t="s">
        <v>83</v>
      </c>
      <c r="C30" s="8" t="s">
        <v>135</v>
      </c>
      <c r="D30" s="4">
        <v>0.185</v>
      </c>
      <c r="E30" s="8">
        <v>0.0</v>
      </c>
      <c r="F30" s="4">
        <f t="shared" ref="F30:F37" si="7">SUM(D30:E30)</f>
        <v>0.185</v>
      </c>
      <c r="G30" s="4" t="s">
        <v>85</v>
      </c>
    </row>
    <row r="31">
      <c r="A31" s="8" t="s">
        <v>25</v>
      </c>
      <c r="B31" s="8" t="s">
        <v>86</v>
      </c>
      <c r="C31" s="8" t="s">
        <v>135</v>
      </c>
      <c r="D31" s="4">
        <v>0.239</v>
      </c>
      <c r="E31" s="8">
        <v>0.0</v>
      </c>
      <c r="F31" s="4">
        <f t="shared" si="7"/>
        <v>0.239</v>
      </c>
      <c r="G31" s="4" t="s">
        <v>85</v>
      </c>
    </row>
    <row r="32">
      <c r="A32" s="8" t="s">
        <v>25</v>
      </c>
      <c r="B32" s="8" t="s">
        <v>137</v>
      </c>
      <c r="C32" s="8" t="s">
        <v>138</v>
      </c>
      <c r="D32" s="4">
        <v>0.221</v>
      </c>
      <c r="E32" s="8">
        <v>0.0</v>
      </c>
      <c r="F32" s="4">
        <f t="shared" si="7"/>
        <v>0.221</v>
      </c>
      <c r="G32" s="4" t="s">
        <v>85</v>
      </c>
    </row>
    <row r="33">
      <c r="A33" s="8" t="s">
        <v>25</v>
      </c>
      <c r="B33" s="8" t="s">
        <v>88</v>
      </c>
      <c r="C33" s="8" t="s">
        <v>138</v>
      </c>
      <c r="D33" s="4">
        <v>0.152</v>
      </c>
      <c r="E33" s="8">
        <v>0.0</v>
      </c>
      <c r="F33" s="4">
        <f t="shared" si="7"/>
        <v>0.152</v>
      </c>
      <c r="G33" s="4" t="s">
        <v>85</v>
      </c>
    </row>
    <row r="34">
      <c r="A34" s="8" t="s">
        <v>25</v>
      </c>
      <c r="B34" s="8" t="s">
        <v>89</v>
      </c>
      <c r="C34" s="8" t="s">
        <v>138</v>
      </c>
      <c r="D34" s="4">
        <v>0.228</v>
      </c>
      <c r="E34" s="8">
        <v>0.0</v>
      </c>
      <c r="F34" s="4">
        <f t="shared" si="7"/>
        <v>0.228</v>
      </c>
      <c r="G34" s="4" t="s">
        <v>85</v>
      </c>
    </row>
    <row r="35">
      <c r="A35" s="8" t="s">
        <v>25</v>
      </c>
      <c r="B35" s="8" t="s">
        <v>90</v>
      </c>
      <c r="C35" s="8" t="s">
        <v>138</v>
      </c>
      <c r="D35" s="4">
        <v>0.444</v>
      </c>
      <c r="E35" s="8">
        <v>0.0</v>
      </c>
      <c r="F35" s="4">
        <f t="shared" si="7"/>
        <v>0.444</v>
      </c>
      <c r="G35" s="4" t="s">
        <v>85</v>
      </c>
    </row>
    <row r="36">
      <c r="A36" s="8" t="s">
        <v>25</v>
      </c>
      <c r="B36" s="8" t="s">
        <v>91</v>
      </c>
      <c r="C36" s="8" t="s">
        <v>138</v>
      </c>
      <c r="D36" s="4">
        <v>0.21</v>
      </c>
      <c r="E36" s="8">
        <v>0.0</v>
      </c>
      <c r="F36" s="4">
        <f t="shared" si="7"/>
        <v>0.21</v>
      </c>
      <c r="G36" s="4" t="s">
        <v>85</v>
      </c>
    </row>
    <row r="37">
      <c r="A37" s="8" t="s">
        <v>25</v>
      </c>
      <c r="B37" s="8" t="s">
        <v>92</v>
      </c>
      <c r="C37" s="8" t="s">
        <v>138</v>
      </c>
      <c r="D37" s="4">
        <v>0.184</v>
      </c>
      <c r="E37" s="8">
        <v>0.0</v>
      </c>
      <c r="F37" s="4">
        <f t="shared" si="7"/>
        <v>0.184</v>
      </c>
      <c r="G37" s="4" t="s">
        <v>85</v>
      </c>
    </row>
    <row r="38">
      <c r="A38" s="8" t="s">
        <v>25</v>
      </c>
      <c r="B38" s="5" t="s">
        <v>93</v>
      </c>
      <c r="C38" s="5" t="s">
        <v>94</v>
      </c>
      <c r="D38" s="19">
        <f>0.0377/1000</f>
        <v>0.0000377</v>
      </c>
      <c r="E38" s="5" t="s">
        <v>95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8" t="s">
        <v>25</v>
      </c>
      <c r="B39" s="5" t="s">
        <v>99</v>
      </c>
      <c r="C39" s="5" t="s">
        <v>94</v>
      </c>
      <c r="D39" s="19">
        <f>0.0121/1000</f>
        <v>0.0000121</v>
      </c>
      <c r="E39" s="5" t="s">
        <v>95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8" t="s">
        <v>25</v>
      </c>
      <c r="B40" s="5" t="s">
        <v>100</v>
      </c>
      <c r="C40" s="5" t="s">
        <v>94</v>
      </c>
      <c r="D40" s="19">
        <f>0.603/1000</f>
        <v>0.000603</v>
      </c>
      <c r="E40" s="5" t="s">
        <v>95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8" t="s">
        <v>25</v>
      </c>
      <c r="B41" s="5" t="s">
        <v>103</v>
      </c>
      <c r="C41" s="5" t="s">
        <v>94</v>
      </c>
      <c r="D41" s="19">
        <f>0.259/1000</f>
        <v>0.000259</v>
      </c>
      <c r="E41" s="5" t="s">
        <v>95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8" t="s">
        <v>25</v>
      </c>
      <c r="B42" s="8" t="s">
        <v>139</v>
      </c>
      <c r="C42" s="8" t="s">
        <v>138</v>
      </c>
      <c r="D42" s="4">
        <v>0.164</v>
      </c>
      <c r="E42" s="8">
        <v>0.0</v>
      </c>
      <c r="F42" s="12">
        <f>SUM(D42:E42)</f>
        <v>0.164</v>
      </c>
      <c r="G42" s="4" t="s">
        <v>85</v>
      </c>
    </row>
    <row r="43">
      <c r="A43" s="5"/>
      <c r="B43" s="5"/>
      <c r="C43" s="5"/>
      <c r="E43" s="5"/>
    </row>
    <row r="44">
      <c r="A44" s="5"/>
      <c r="B44" s="5"/>
      <c r="C44" s="5"/>
      <c r="E44" s="5"/>
    </row>
    <row r="45">
      <c r="A45" s="5"/>
      <c r="B45" s="5"/>
      <c r="C45" s="5"/>
      <c r="E45" s="5"/>
    </row>
    <row r="46">
      <c r="A46" s="5"/>
      <c r="B46" s="5"/>
      <c r="C46" s="5"/>
      <c r="E46" s="5"/>
    </row>
    <row r="47">
      <c r="A47" s="5"/>
      <c r="B47" s="5"/>
      <c r="C47" s="5"/>
      <c r="E47" s="5"/>
    </row>
    <row r="48">
      <c r="A48" s="5"/>
      <c r="B48" s="5"/>
      <c r="C48" s="5"/>
      <c r="E48" s="5"/>
    </row>
    <row r="49">
      <c r="A49" s="5"/>
      <c r="B49" s="5"/>
      <c r="C49" s="5"/>
      <c r="E49" s="5"/>
    </row>
    <row r="50">
      <c r="A50" s="5"/>
      <c r="B50" s="5"/>
      <c r="C50" s="5"/>
      <c r="E50" s="5"/>
    </row>
    <row r="51">
      <c r="A51" s="5"/>
      <c r="B51" s="5"/>
      <c r="C51" s="5"/>
      <c r="E51" s="5"/>
    </row>
    <row r="52">
      <c r="A52" s="5"/>
      <c r="B52" s="5"/>
      <c r="C52" s="5"/>
      <c r="E52" s="5"/>
    </row>
    <row r="53">
      <c r="A53" s="5"/>
      <c r="B53" s="5"/>
      <c r="C53" s="5"/>
      <c r="E53" s="5"/>
    </row>
    <row r="54">
      <c r="A54" s="5"/>
      <c r="B54" s="5"/>
      <c r="C54" s="5"/>
      <c r="E54" s="5"/>
    </row>
    <row r="55">
      <c r="A55" s="5"/>
      <c r="B55" s="5"/>
      <c r="C55" s="5"/>
      <c r="E55" s="5"/>
    </row>
    <row r="56">
      <c r="A56" s="5"/>
      <c r="B56" s="5"/>
      <c r="C56" s="5"/>
      <c r="E56" s="5"/>
    </row>
    <row r="57">
      <c r="A57" s="5"/>
      <c r="B57" s="5"/>
      <c r="C57" s="5"/>
      <c r="E57" s="5"/>
    </row>
    <row r="58">
      <c r="A58" s="5"/>
      <c r="B58" s="5"/>
      <c r="C58" s="5"/>
      <c r="E58" s="5"/>
    </row>
    <row r="59">
      <c r="A59" s="5"/>
      <c r="B59" s="5"/>
      <c r="C59" s="5"/>
      <c r="E59" s="5"/>
    </row>
    <row r="60">
      <c r="A60" s="5"/>
      <c r="B60" s="5"/>
      <c r="C60" s="5"/>
      <c r="E60" s="5"/>
    </row>
    <row r="61">
      <c r="A61" s="5"/>
      <c r="B61" s="5"/>
      <c r="C61" s="5"/>
      <c r="E61" s="5"/>
    </row>
    <row r="62">
      <c r="A62" s="5"/>
      <c r="B62" s="5"/>
      <c r="C62" s="5"/>
      <c r="E62" s="5"/>
    </row>
    <row r="63">
      <c r="A63" s="5"/>
      <c r="B63" s="5"/>
      <c r="C63" s="5"/>
      <c r="E63" s="5"/>
    </row>
    <row r="64">
      <c r="A64" s="5"/>
      <c r="B64" s="5"/>
      <c r="C64" s="5"/>
      <c r="E64" s="5"/>
    </row>
    <row r="65">
      <c r="A65" s="5"/>
      <c r="B65" s="5"/>
      <c r="C65" s="5"/>
      <c r="E65" s="5"/>
    </row>
    <row r="66">
      <c r="A66" s="5"/>
      <c r="B66" s="5"/>
      <c r="C66" s="5"/>
      <c r="E66" s="5"/>
    </row>
    <row r="67">
      <c r="A67" s="5"/>
      <c r="B67" s="5"/>
      <c r="C67" s="5"/>
      <c r="E67" s="5"/>
    </row>
    <row r="68">
      <c r="A68" s="5"/>
      <c r="B68" s="5"/>
      <c r="C68" s="5"/>
      <c r="E68" s="5"/>
    </row>
    <row r="69">
      <c r="A69" s="5"/>
      <c r="B69" s="5"/>
      <c r="C69" s="5"/>
      <c r="E69" s="5"/>
    </row>
    <row r="70">
      <c r="A70" s="5"/>
      <c r="B70" s="5"/>
      <c r="C70" s="5"/>
      <c r="E70" s="5"/>
    </row>
    <row r="71">
      <c r="A71" s="5"/>
      <c r="B71" s="5"/>
      <c r="C71" s="5"/>
      <c r="E71" s="5"/>
    </row>
    <row r="72">
      <c r="A72" s="5"/>
      <c r="B72" s="5"/>
      <c r="C72" s="5"/>
      <c r="E72" s="5"/>
    </row>
    <row r="73">
      <c r="A73" s="5"/>
      <c r="B73" s="5"/>
      <c r="C73" s="5"/>
      <c r="E73" s="5"/>
    </row>
    <row r="74">
      <c r="A74" s="5"/>
      <c r="B74" s="5"/>
      <c r="C74" s="5"/>
      <c r="E74" s="5"/>
    </row>
    <row r="75">
      <c r="A75" s="5"/>
      <c r="B75" s="5"/>
      <c r="C75" s="5"/>
      <c r="E75" s="5"/>
    </row>
    <row r="76">
      <c r="A76" s="5"/>
      <c r="B76" s="5"/>
      <c r="C76" s="5"/>
      <c r="E76" s="5"/>
    </row>
    <row r="77">
      <c r="A77" s="5"/>
      <c r="B77" s="5"/>
      <c r="C77" s="5"/>
      <c r="E77" s="5"/>
    </row>
    <row r="78">
      <c r="A78" s="5"/>
      <c r="B78" s="5"/>
      <c r="C78" s="5"/>
      <c r="E78" s="5"/>
    </row>
    <row r="79">
      <c r="A79" s="5"/>
      <c r="B79" s="5"/>
      <c r="C79" s="5"/>
      <c r="E79" s="5"/>
    </row>
    <row r="80">
      <c r="A80" s="5"/>
      <c r="B80" s="5"/>
      <c r="C80" s="5"/>
      <c r="E80" s="5"/>
    </row>
    <row r="81">
      <c r="A81" s="5"/>
      <c r="B81" s="5"/>
      <c r="C81" s="5"/>
      <c r="E81" s="5"/>
    </row>
    <row r="82">
      <c r="A82" s="5"/>
      <c r="B82" s="5"/>
      <c r="C82" s="5"/>
      <c r="E82" s="5"/>
    </row>
    <row r="83">
      <c r="A83" s="5"/>
      <c r="B83" s="5"/>
      <c r="C83" s="5"/>
      <c r="E83" s="5"/>
    </row>
    <row r="84">
      <c r="A84" s="5"/>
      <c r="B84" s="5"/>
      <c r="C84" s="5"/>
      <c r="E84" s="5"/>
    </row>
    <row r="85">
      <c r="A85" s="5"/>
      <c r="B85" s="5"/>
      <c r="C85" s="5"/>
      <c r="E85" s="5"/>
    </row>
    <row r="86">
      <c r="A86" s="5"/>
      <c r="B86" s="5"/>
      <c r="C86" s="5"/>
      <c r="E86" s="5"/>
    </row>
    <row r="87">
      <c r="A87" s="5"/>
      <c r="B87" s="5"/>
      <c r="C87" s="5"/>
      <c r="E87" s="5"/>
    </row>
    <row r="88">
      <c r="A88" s="5"/>
      <c r="B88" s="5"/>
      <c r="C88" s="5"/>
      <c r="E88" s="5"/>
    </row>
    <row r="89">
      <c r="A89" s="5"/>
      <c r="B89" s="5"/>
      <c r="C89" s="5"/>
      <c r="E89" s="5"/>
    </row>
    <row r="90">
      <c r="A90" s="5"/>
      <c r="B90" s="5"/>
      <c r="C90" s="5"/>
      <c r="E90" s="5"/>
    </row>
    <row r="91">
      <c r="A91" s="5"/>
      <c r="B91" s="5"/>
      <c r="C91" s="5"/>
      <c r="E91" s="5"/>
    </row>
    <row r="92">
      <c r="A92" s="5"/>
      <c r="B92" s="5"/>
      <c r="C92" s="5"/>
      <c r="E92" s="5"/>
    </row>
    <row r="93">
      <c r="A93" s="5"/>
      <c r="B93" s="5"/>
      <c r="C93" s="5"/>
      <c r="E93" s="5"/>
    </row>
    <row r="94">
      <c r="A94" s="5"/>
      <c r="B94" s="5"/>
      <c r="C94" s="5"/>
      <c r="E94" s="5"/>
    </row>
    <row r="95">
      <c r="A95" s="5"/>
      <c r="B95" s="5"/>
      <c r="C95" s="5"/>
      <c r="E95" s="5"/>
    </row>
    <row r="96">
      <c r="A96" s="5"/>
      <c r="B96" s="5"/>
      <c r="C96" s="5"/>
      <c r="E96" s="5"/>
    </row>
    <row r="97">
      <c r="A97" s="5"/>
      <c r="B97" s="5"/>
      <c r="C97" s="5"/>
      <c r="E97" s="5"/>
    </row>
    <row r="98">
      <c r="A98" s="5"/>
      <c r="B98" s="5"/>
      <c r="C98" s="5"/>
      <c r="E98" s="5"/>
    </row>
    <row r="99">
      <c r="A99" s="5"/>
      <c r="B99" s="5"/>
      <c r="C99" s="5"/>
      <c r="E99" s="5"/>
    </row>
    <row r="100">
      <c r="A100" s="5"/>
      <c r="B100" s="5"/>
      <c r="C100" s="5"/>
      <c r="E100" s="5"/>
    </row>
    <row r="101">
      <c r="A101" s="5"/>
      <c r="B101" s="5"/>
      <c r="C101" s="5"/>
      <c r="E101" s="5"/>
    </row>
    <row r="102">
      <c r="A102" s="5"/>
      <c r="B102" s="5"/>
      <c r="C102" s="5"/>
      <c r="E102" s="5"/>
    </row>
    <row r="103">
      <c r="A103" s="5"/>
      <c r="B103" s="5"/>
      <c r="C103" s="5"/>
      <c r="E103" s="5"/>
    </row>
    <row r="104">
      <c r="A104" s="5"/>
      <c r="B104" s="5"/>
      <c r="C104" s="5"/>
      <c r="E104" s="5"/>
    </row>
    <row r="105">
      <c r="A105" s="5"/>
      <c r="B105" s="5"/>
      <c r="C105" s="5"/>
      <c r="E105" s="5"/>
    </row>
    <row r="106">
      <c r="A106" s="5"/>
      <c r="B106" s="5"/>
      <c r="C106" s="5"/>
      <c r="E106" s="5"/>
    </row>
    <row r="107">
      <c r="A107" s="5"/>
      <c r="B107" s="5"/>
      <c r="C107" s="5"/>
      <c r="E107" s="5"/>
    </row>
    <row r="108">
      <c r="A108" s="5"/>
      <c r="B108" s="5"/>
      <c r="C108" s="5"/>
      <c r="E108" s="5"/>
    </row>
    <row r="109">
      <c r="A109" s="5"/>
      <c r="B109" s="5"/>
      <c r="C109" s="5"/>
      <c r="E109" s="5"/>
    </row>
    <row r="110">
      <c r="A110" s="5"/>
      <c r="B110" s="5"/>
      <c r="C110" s="5"/>
      <c r="E110" s="5"/>
    </row>
    <row r="111">
      <c r="A111" s="5"/>
      <c r="B111" s="5"/>
      <c r="C111" s="5"/>
      <c r="E111" s="5"/>
    </row>
    <row r="112">
      <c r="A112" s="5"/>
      <c r="B112" s="5"/>
      <c r="C112" s="5"/>
      <c r="E112" s="5"/>
    </row>
    <row r="113">
      <c r="A113" s="5"/>
      <c r="B113" s="5"/>
      <c r="C113" s="5"/>
      <c r="E113" s="5"/>
    </row>
    <row r="114">
      <c r="A114" s="5"/>
      <c r="B114" s="5"/>
      <c r="C114" s="5"/>
      <c r="E114" s="5"/>
    </row>
    <row r="115">
      <c r="A115" s="5"/>
      <c r="B115" s="5"/>
      <c r="C115" s="5"/>
      <c r="E115" s="5"/>
    </row>
    <row r="116">
      <c r="A116" s="5"/>
      <c r="B116" s="5"/>
      <c r="C116" s="5"/>
      <c r="E116" s="5"/>
    </row>
    <row r="117">
      <c r="A117" s="5"/>
      <c r="B117" s="5"/>
      <c r="C117" s="5"/>
      <c r="E117" s="5"/>
    </row>
    <row r="118">
      <c r="A118" s="5"/>
      <c r="B118" s="5"/>
      <c r="C118" s="5"/>
      <c r="E118" s="5"/>
    </row>
    <row r="119">
      <c r="A119" s="5"/>
      <c r="B119" s="5"/>
      <c r="C119" s="5"/>
      <c r="E119" s="5"/>
    </row>
    <row r="120">
      <c r="A120" s="5"/>
      <c r="B120" s="5"/>
      <c r="C120" s="5"/>
      <c r="E120" s="5"/>
    </row>
    <row r="121">
      <c r="A121" s="5"/>
      <c r="B121" s="5"/>
      <c r="C121" s="5"/>
      <c r="E121" s="5"/>
    </row>
    <row r="122">
      <c r="A122" s="5"/>
      <c r="B122" s="5"/>
      <c r="C122" s="5"/>
      <c r="E122" s="5"/>
    </row>
    <row r="123">
      <c r="A123" s="5"/>
      <c r="B123" s="5"/>
      <c r="C123" s="5"/>
      <c r="E123" s="5"/>
    </row>
    <row r="124">
      <c r="A124" s="5"/>
      <c r="B124" s="5"/>
      <c r="C124" s="5"/>
      <c r="E124" s="5"/>
    </row>
    <row r="125">
      <c r="A125" s="5"/>
      <c r="B125" s="5"/>
      <c r="C125" s="5"/>
      <c r="E125" s="5"/>
    </row>
    <row r="126">
      <c r="A126" s="5"/>
      <c r="B126" s="5"/>
      <c r="C126" s="5"/>
      <c r="E126" s="5"/>
    </row>
    <row r="127">
      <c r="A127" s="5"/>
      <c r="B127" s="5"/>
      <c r="C127" s="5"/>
      <c r="E127" s="5"/>
    </row>
    <row r="128">
      <c r="A128" s="5"/>
      <c r="B128" s="5"/>
      <c r="C128" s="5"/>
      <c r="E128" s="5"/>
    </row>
    <row r="129">
      <c r="A129" s="5"/>
      <c r="B129" s="5"/>
      <c r="C129" s="5"/>
      <c r="E129" s="5"/>
    </row>
    <row r="130">
      <c r="A130" s="5"/>
      <c r="B130" s="5"/>
      <c r="C130" s="5"/>
      <c r="E130" s="5"/>
    </row>
    <row r="131">
      <c r="A131" s="5"/>
      <c r="B131" s="5"/>
      <c r="C131" s="5"/>
      <c r="E131" s="5"/>
    </row>
    <row r="132">
      <c r="A132" s="5"/>
      <c r="B132" s="5"/>
      <c r="C132" s="5"/>
      <c r="E132" s="5"/>
    </row>
    <row r="133">
      <c r="A133" s="5"/>
      <c r="B133" s="5"/>
      <c r="C133" s="5"/>
      <c r="E133" s="5"/>
    </row>
    <row r="134">
      <c r="A134" s="5"/>
      <c r="B134" s="5"/>
      <c r="C134" s="5"/>
      <c r="E134" s="5"/>
    </row>
    <row r="135">
      <c r="A135" s="5"/>
      <c r="B135" s="5"/>
      <c r="C135" s="5"/>
      <c r="E135" s="5"/>
    </row>
    <row r="136">
      <c r="A136" s="5"/>
      <c r="B136" s="5"/>
      <c r="C136" s="5"/>
      <c r="E136" s="5"/>
    </row>
    <row r="137">
      <c r="A137" s="5"/>
      <c r="B137" s="5"/>
      <c r="C137" s="5"/>
      <c r="E137" s="5"/>
    </row>
    <row r="138">
      <c r="A138" s="5"/>
      <c r="B138" s="5"/>
      <c r="C138" s="5"/>
      <c r="E138" s="5"/>
    </row>
    <row r="139">
      <c r="A139" s="5"/>
      <c r="B139" s="5"/>
      <c r="C139" s="5"/>
      <c r="E139" s="5"/>
    </row>
    <row r="140">
      <c r="A140" s="5"/>
      <c r="B140" s="5"/>
      <c r="C140" s="5"/>
      <c r="E140" s="5"/>
    </row>
    <row r="141">
      <c r="A141" s="5"/>
      <c r="B141" s="5"/>
      <c r="C141" s="5"/>
      <c r="E141" s="5"/>
    </row>
    <row r="142">
      <c r="A142" s="5"/>
      <c r="B142" s="5"/>
      <c r="C142" s="5"/>
      <c r="E142" s="5"/>
    </row>
    <row r="143">
      <c r="A143" s="5"/>
      <c r="B143" s="5"/>
      <c r="C143" s="5"/>
      <c r="E143" s="5"/>
    </row>
    <row r="144">
      <c r="A144" s="5"/>
      <c r="B144" s="5"/>
      <c r="C144" s="5"/>
      <c r="E144" s="5"/>
    </row>
    <row r="145">
      <c r="A145" s="5"/>
      <c r="B145" s="5"/>
      <c r="C145" s="5"/>
      <c r="E145" s="5"/>
    </row>
    <row r="146">
      <c r="A146" s="5"/>
      <c r="B146" s="5"/>
      <c r="C146" s="5"/>
      <c r="E146" s="5"/>
    </row>
    <row r="147">
      <c r="A147" s="5"/>
      <c r="B147" s="5"/>
      <c r="C147" s="5"/>
      <c r="E147" s="5"/>
    </row>
    <row r="148">
      <c r="A148" s="5"/>
      <c r="B148" s="5"/>
      <c r="C148" s="5"/>
      <c r="E148" s="5"/>
    </row>
    <row r="149">
      <c r="A149" s="5"/>
      <c r="B149" s="5"/>
      <c r="C149" s="5"/>
      <c r="E149" s="5"/>
    </row>
    <row r="150">
      <c r="A150" s="5"/>
      <c r="B150" s="5"/>
      <c r="C150" s="5"/>
      <c r="E150" s="5"/>
    </row>
    <row r="151">
      <c r="A151" s="5"/>
      <c r="B151" s="5"/>
      <c r="C151" s="5"/>
      <c r="E151" s="5"/>
    </row>
    <row r="152">
      <c r="A152" s="5"/>
      <c r="B152" s="5"/>
      <c r="C152" s="5"/>
      <c r="E152" s="5"/>
    </row>
    <row r="153">
      <c r="A153" s="5"/>
      <c r="B153" s="5"/>
      <c r="C153" s="5"/>
      <c r="E153" s="5"/>
    </row>
    <row r="154">
      <c r="A154" s="5"/>
      <c r="B154" s="5"/>
      <c r="C154" s="5"/>
      <c r="E154" s="5"/>
    </row>
    <row r="155">
      <c r="A155" s="5"/>
      <c r="B155" s="5"/>
      <c r="C155" s="5"/>
      <c r="E155" s="5"/>
    </row>
    <row r="156">
      <c r="A156" s="5"/>
      <c r="B156" s="5"/>
      <c r="C156" s="5"/>
      <c r="E156" s="5"/>
    </row>
    <row r="157">
      <c r="A157" s="5"/>
      <c r="B157" s="5"/>
      <c r="C157" s="5"/>
      <c r="E157" s="5"/>
    </row>
    <row r="158">
      <c r="A158" s="5"/>
      <c r="B158" s="5"/>
      <c r="C158" s="5"/>
      <c r="E158" s="5"/>
    </row>
    <row r="159">
      <c r="A159" s="5"/>
      <c r="B159" s="5"/>
      <c r="C159" s="5"/>
      <c r="E159" s="5"/>
    </row>
    <row r="160">
      <c r="A160" s="5"/>
      <c r="B160" s="5"/>
      <c r="C160" s="5"/>
      <c r="E160" s="5"/>
    </row>
    <row r="161">
      <c r="A161" s="5"/>
      <c r="B161" s="5"/>
      <c r="C161" s="5"/>
      <c r="E161" s="5"/>
    </row>
    <row r="162">
      <c r="A162" s="5"/>
      <c r="B162" s="5"/>
      <c r="C162" s="5"/>
      <c r="E162" s="5"/>
    </row>
    <row r="163">
      <c r="A163" s="5"/>
      <c r="B163" s="5"/>
      <c r="C163" s="5"/>
      <c r="E163" s="5"/>
    </row>
    <row r="164">
      <c r="A164" s="5"/>
      <c r="B164" s="5"/>
      <c r="C164" s="5"/>
      <c r="E164" s="5"/>
    </row>
    <row r="165">
      <c r="A165" s="5"/>
      <c r="B165" s="5"/>
      <c r="C165" s="5"/>
      <c r="E165" s="5"/>
    </row>
    <row r="166">
      <c r="A166" s="5"/>
      <c r="B166" s="5"/>
      <c r="C166" s="5"/>
      <c r="E166" s="5"/>
    </row>
    <row r="167">
      <c r="A167" s="5"/>
      <c r="B167" s="5"/>
      <c r="C167" s="5"/>
      <c r="E167" s="5"/>
    </row>
    <row r="168">
      <c r="A168" s="5"/>
      <c r="B168" s="5"/>
      <c r="C168" s="5"/>
      <c r="E168" s="5"/>
    </row>
    <row r="169">
      <c r="A169" s="5"/>
      <c r="B169" s="5"/>
      <c r="C169" s="5"/>
      <c r="E169" s="5"/>
    </row>
    <row r="170">
      <c r="A170" s="5"/>
      <c r="B170" s="5"/>
      <c r="C170" s="5"/>
      <c r="E170" s="5"/>
    </row>
    <row r="171">
      <c r="A171" s="5"/>
      <c r="B171" s="5"/>
      <c r="C171" s="5"/>
      <c r="E171" s="5"/>
    </row>
    <row r="172">
      <c r="A172" s="5"/>
      <c r="B172" s="5"/>
      <c r="C172" s="5"/>
      <c r="E172" s="5"/>
    </row>
    <row r="173">
      <c r="A173" s="5"/>
      <c r="B173" s="5"/>
      <c r="C173" s="5"/>
      <c r="E173" s="5"/>
    </row>
    <row r="174">
      <c r="A174" s="5"/>
      <c r="B174" s="5"/>
      <c r="C174" s="5"/>
      <c r="E174" s="5"/>
    </row>
    <row r="175">
      <c r="A175" s="5"/>
      <c r="B175" s="5"/>
      <c r="C175" s="5"/>
      <c r="E175" s="5"/>
    </row>
    <row r="176">
      <c r="A176" s="5"/>
      <c r="B176" s="5"/>
      <c r="C176" s="5"/>
      <c r="E176" s="5"/>
    </row>
    <row r="177">
      <c r="A177" s="5"/>
      <c r="B177" s="5"/>
      <c r="C177" s="5"/>
      <c r="E177" s="5"/>
    </row>
    <row r="178">
      <c r="A178" s="5"/>
      <c r="B178" s="5"/>
      <c r="C178" s="5"/>
      <c r="E178" s="5"/>
    </row>
    <row r="179">
      <c r="A179" s="5"/>
      <c r="B179" s="5"/>
      <c r="C179" s="5"/>
      <c r="E179" s="5"/>
    </row>
    <row r="180">
      <c r="A180" s="5"/>
      <c r="B180" s="5"/>
      <c r="C180" s="5"/>
      <c r="E180" s="5"/>
    </row>
    <row r="181">
      <c r="A181" s="5"/>
      <c r="B181" s="5"/>
      <c r="C181" s="5"/>
      <c r="E181" s="5"/>
    </row>
    <row r="182">
      <c r="A182" s="5"/>
      <c r="B182" s="5"/>
      <c r="C182" s="5"/>
      <c r="E182" s="5"/>
    </row>
    <row r="183">
      <c r="A183" s="5"/>
      <c r="B183" s="5"/>
      <c r="C183" s="5"/>
      <c r="E183" s="5"/>
    </row>
    <row r="184">
      <c r="A184" s="5"/>
      <c r="B184" s="5"/>
      <c r="C184" s="5"/>
      <c r="E184" s="5"/>
    </row>
    <row r="185">
      <c r="A185" s="5"/>
      <c r="B185" s="5"/>
      <c r="C185" s="5"/>
      <c r="E185" s="5"/>
    </row>
    <row r="186">
      <c r="A186" s="5"/>
      <c r="B186" s="5"/>
      <c r="C186" s="5"/>
      <c r="E186" s="5"/>
    </row>
    <row r="187">
      <c r="A187" s="5"/>
      <c r="B187" s="5"/>
      <c r="C187" s="5"/>
      <c r="E187" s="5"/>
    </row>
    <row r="188">
      <c r="A188" s="5"/>
      <c r="B188" s="5"/>
      <c r="C188" s="5"/>
      <c r="E188" s="5"/>
    </row>
    <row r="189">
      <c r="A189" s="5"/>
      <c r="B189" s="5"/>
      <c r="C189" s="5"/>
      <c r="E189" s="5"/>
    </row>
    <row r="190">
      <c r="A190" s="5"/>
      <c r="B190" s="5"/>
      <c r="C190" s="5"/>
      <c r="E190" s="5"/>
    </row>
    <row r="191">
      <c r="A191" s="5"/>
      <c r="B191" s="5"/>
      <c r="C191" s="5"/>
      <c r="E191" s="5"/>
    </row>
    <row r="192">
      <c r="A192" s="5"/>
      <c r="B192" s="5"/>
      <c r="C192" s="5"/>
      <c r="E192" s="5"/>
    </row>
    <row r="193">
      <c r="A193" s="5"/>
      <c r="B193" s="5"/>
      <c r="C193" s="5"/>
      <c r="E193" s="5"/>
    </row>
    <row r="194">
      <c r="A194" s="5"/>
      <c r="B194" s="5"/>
      <c r="C194" s="5"/>
      <c r="E194" s="5"/>
    </row>
    <row r="195">
      <c r="A195" s="5"/>
      <c r="B195" s="5"/>
      <c r="C195" s="5"/>
      <c r="E195" s="5"/>
    </row>
    <row r="196">
      <c r="A196" s="5"/>
      <c r="B196" s="5"/>
      <c r="C196" s="5"/>
      <c r="E196" s="5"/>
    </row>
    <row r="197">
      <c r="A197" s="5"/>
      <c r="B197" s="5"/>
      <c r="C197" s="5"/>
      <c r="E197" s="5"/>
    </row>
    <row r="198">
      <c r="A198" s="5"/>
      <c r="B198" s="5"/>
      <c r="C198" s="5"/>
      <c r="E198" s="5"/>
    </row>
    <row r="199">
      <c r="A199" s="5"/>
      <c r="B199" s="5"/>
      <c r="C199" s="5"/>
      <c r="E199" s="5"/>
    </row>
    <row r="200">
      <c r="A200" s="5"/>
      <c r="B200" s="5"/>
      <c r="C200" s="5"/>
      <c r="E200" s="5"/>
    </row>
    <row r="201">
      <c r="A201" s="5"/>
      <c r="B201" s="5"/>
      <c r="C201" s="5"/>
      <c r="E201" s="5"/>
    </row>
    <row r="202">
      <c r="A202" s="5"/>
      <c r="B202" s="5"/>
      <c r="C202" s="5"/>
      <c r="E202" s="5"/>
    </row>
    <row r="203">
      <c r="A203" s="5"/>
      <c r="B203" s="5"/>
      <c r="C203" s="5"/>
      <c r="E203" s="5"/>
    </row>
    <row r="204">
      <c r="A204" s="5"/>
      <c r="B204" s="5"/>
      <c r="C204" s="5"/>
      <c r="E204" s="5"/>
    </row>
    <row r="205">
      <c r="A205" s="5"/>
      <c r="B205" s="5"/>
      <c r="C205" s="5"/>
      <c r="E205" s="5"/>
    </row>
    <row r="206">
      <c r="A206" s="5"/>
      <c r="B206" s="5"/>
      <c r="C206" s="5"/>
      <c r="E206" s="5"/>
    </row>
    <row r="207">
      <c r="A207" s="5"/>
      <c r="B207" s="5"/>
      <c r="C207" s="5"/>
      <c r="E207" s="5"/>
    </row>
    <row r="208">
      <c r="A208" s="5"/>
      <c r="B208" s="5"/>
      <c r="C208" s="5"/>
      <c r="E208" s="5"/>
    </row>
    <row r="209">
      <c r="A209" s="5"/>
      <c r="B209" s="5"/>
      <c r="C209" s="5"/>
      <c r="E209" s="5"/>
    </row>
    <row r="210">
      <c r="A210" s="5"/>
      <c r="B210" s="5"/>
      <c r="C210" s="5"/>
      <c r="E210" s="5"/>
    </row>
    <row r="211">
      <c r="A211" s="5"/>
      <c r="B211" s="5"/>
      <c r="C211" s="5"/>
      <c r="E211" s="5"/>
    </row>
    <row r="212">
      <c r="A212" s="5"/>
      <c r="B212" s="5"/>
      <c r="C212" s="5"/>
      <c r="E212" s="5"/>
    </row>
    <row r="213">
      <c r="A213" s="5"/>
      <c r="B213" s="5"/>
      <c r="C213" s="5"/>
      <c r="E213" s="5"/>
    </row>
    <row r="214">
      <c r="A214" s="5"/>
      <c r="B214" s="5"/>
      <c r="C214" s="5"/>
      <c r="E214" s="5"/>
    </row>
    <row r="215">
      <c r="A215" s="5"/>
      <c r="B215" s="5"/>
      <c r="C215" s="5"/>
      <c r="E215" s="5"/>
    </row>
    <row r="216">
      <c r="A216" s="5"/>
      <c r="B216" s="5"/>
      <c r="C216" s="5"/>
      <c r="E216" s="5"/>
    </row>
    <row r="217">
      <c r="A217" s="5"/>
      <c r="B217" s="5"/>
      <c r="C217" s="5"/>
      <c r="E217" s="5"/>
    </row>
    <row r="218">
      <c r="A218" s="5"/>
      <c r="B218" s="5"/>
      <c r="C218" s="5"/>
      <c r="E218" s="5"/>
    </row>
    <row r="219">
      <c r="A219" s="5"/>
      <c r="B219" s="5"/>
      <c r="C219" s="5"/>
      <c r="E219" s="5"/>
    </row>
    <row r="220">
      <c r="A220" s="5"/>
      <c r="B220" s="5"/>
      <c r="C220" s="5"/>
      <c r="E220" s="5"/>
    </row>
    <row r="221">
      <c r="A221" s="5"/>
      <c r="B221" s="5"/>
      <c r="C221" s="5"/>
      <c r="E221" s="5"/>
    </row>
    <row r="222">
      <c r="A222" s="5"/>
      <c r="B222" s="5"/>
      <c r="C222" s="5"/>
      <c r="E222" s="5"/>
    </row>
    <row r="223">
      <c r="A223" s="5"/>
      <c r="B223" s="5"/>
      <c r="C223" s="5"/>
      <c r="E223" s="5"/>
    </row>
    <row r="224">
      <c r="A224" s="5"/>
      <c r="B224" s="5"/>
      <c r="C224" s="5"/>
      <c r="E224" s="5"/>
    </row>
    <row r="225">
      <c r="A225" s="5"/>
      <c r="B225" s="5"/>
      <c r="C225" s="5"/>
      <c r="E225" s="5"/>
    </row>
    <row r="226">
      <c r="A226" s="5"/>
      <c r="B226" s="5"/>
      <c r="C226" s="5"/>
      <c r="E226" s="5"/>
    </row>
    <row r="227">
      <c r="A227" s="5"/>
      <c r="B227" s="5"/>
      <c r="C227" s="5"/>
      <c r="E227" s="5"/>
    </row>
    <row r="228">
      <c r="A228" s="5"/>
      <c r="B228" s="5"/>
      <c r="C228" s="5"/>
      <c r="E228" s="5"/>
    </row>
    <row r="229">
      <c r="A229" s="5"/>
      <c r="B229" s="5"/>
      <c r="C229" s="5"/>
      <c r="E229" s="5"/>
    </row>
    <row r="230">
      <c r="A230" s="5"/>
      <c r="B230" s="5"/>
      <c r="C230" s="5"/>
      <c r="E230" s="5"/>
    </row>
    <row r="231">
      <c r="A231" s="5"/>
      <c r="B231" s="5"/>
      <c r="C231" s="5"/>
      <c r="E231" s="5"/>
    </row>
    <row r="232">
      <c r="A232" s="5"/>
      <c r="B232" s="5"/>
      <c r="C232" s="5"/>
      <c r="E232" s="5"/>
    </row>
    <row r="233">
      <c r="A233" s="5"/>
      <c r="B233" s="5"/>
      <c r="C233" s="5"/>
      <c r="E233" s="5"/>
    </row>
    <row r="234">
      <c r="A234" s="5"/>
      <c r="B234" s="5"/>
      <c r="C234" s="5"/>
      <c r="E234" s="5"/>
    </row>
    <row r="235">
      <c r="A235" s="5"/>
      <c r="B235" s="5"/>
      <c r="C235" s="5"/>
      <c r="E235" s="5"/>
    </row>
    <row r="236">
      <c r="A236" s="5"/>
      <c r="B236" s="5"/>
      <c r="C236" s="5"/>
      <c r="E236" s="5"/>
    </row>
    <row r="237">
      <c r="A237" s="5"/>
      <c r="B237" s="5"/>
      <c r="C237" s="5"/>
      <c r="E237" s="5"/>
    </row>
    <row r="238">
      <c r="A238" s="5"/>
      <c r="B238" s="5"/>
      <c r="C238" s="5"/>
      <c r="E238" s="5"/>
    </row>
    <row r="239">
      <c r="A239" s="5"/>
      <c r="B239" s="5"/>
      <c r="C239" s="5"/>
      <c r="E239" s="5"/>
    </row>
    <row r="240">
      <c r="A240" s="5"/>
      <c r="B240" s="5"/>
      <c r="C240" s="5"/>
      <c r="E240" s="5"/>
    </row>
    <row r="241">
      <c r="A241" s="5"/>
      <c r="B241" s="5"/>
      <c r="C241" s="5"/>
      <c r="E241" s="5"/>
    </row>
    <row r="242">
      <c r="A242" s="5"/>
      <c r="B242" s="5"/>
      <c r="C242" s="5"/>
      <c r="E242" s="5"/>
    </row>
    <row r="243">
      <c r="A243" s="5"/>
      <c r="B243" s="5"/>
      <c r="C243" s="5"/>
      <c r="E243" s="5"/>
    </row>
    <row r="244">
      <c r="A244" s="5"/>
      <c r="B244" s="5"/>
      <c r="C244" s="5"/>
      <c r="E244" s="5"/>
    </row>
    <row r="245">
      <c r="A245" s="5"/>
      <c r="B245" s="5"/>
      <c r="C245" s="5"/>
      <c r="E245" s="5"/>
    </row>
    <row r="246">
      <c r="A246" s="5"/>
      <c r="B246" s="5"/>
      <c r="C246" s="5"/>
      <c r="E246" s="5"/>
    </row>
    <row r="247">
      <c r="A247" s="5"/>
      <c r="B247" s="5"/>
      <c r="C247" s="5"/>
      <c r="E247" s="5"/>
    </row>
    <row r="248">
      <c r="A248" s="5"/>
      <c r="B248" s="5"/>
      <c r="C248" s="5"/>
      <c r="E248" s="5"/>
    </row>
    <row r="249">
      <c r="A249" s="5"/>
      <c r="B249" s="5"/>
      <c r="C249" s="5"/>
      <c r="E249" s="5"/>
    </row>
    <row r="250">
      <c r="A250" s="5"/>
      <c r="B250" s="5"/>
      <c r="C250" s="5"/>
      <c r="E250" s="5"/>
    </row>
    <row r="251">
      <c r="A251" s="5"/>
      <c r="B251" s="5"/>
      <c r="C251" s="5"/>
      <c r="E251" s="5"/>
    </row>
    <row r="252">
      <c r="A252" s="5"/>
      <c r="B252" s="5"/>
      <c r="C252" s="5"/>
      <c r="E252" s="5"/>
    </row>
    <row r="253">
      <c r="A253" s="5"/>
      <c r="B253" s="5"/>
      <c r="C253" s="5"/>
      <c r="E253" s="5"/>
    </row>
    <row r="254">
      <c r="A254" s="5"/>
      <c r="B254" s="5"/>
      <c r="C254" s="5"/>
      <c r="E254" s="5"/>
    </row>
    <row r="255">
      <c r="A255" s="5"/>
      <c r="B255" s="5"/>
      <c r="C255" s="5"/>
      <c r="E255" s="5"/>
    </row>
    <row r="256">
      <c r="A256" s="5"/>
      <c r="B256" s="5"/>
      <c r="C256" s="5"/>
      <c r="E256" s="5"/>
    </row>
    <row r="257">
      <c r="A257" s="5"/>
      <c r="B257" s="5"/>
      <c r="C257" s="5"/>
      <c r="E257" s="5"/>
    </row>
    <row r="258">
      <c r="A258" s="5"/>
      <c r="B258" s="5"/>
      <c r="C258" s="5"/>
      <c r="E258" s="5"/>
    </row>
    <row r="259">
      <c r="A259" s="5"/>
      <c r="B259" s="5"/>
      <c r="C259" s="5"/>
      <c r="E259" s="5"/>
    </row>
    <row r="260">
      <c r="A260" s="5"/>
      <c r="B260" s="5"/>
      <c r="C260" s="5"/>
      <c r="E260" s="5"/>
    </row>
    <row r="261">
      <c r="A261" s="5"/>
      <c r="B261" s="5"/>
      <c r="C261" s="5"/>
      <c r="E261" s="5"/>
    </row>
    <row r="262">
      <c r="A262" s="5"/>
      <c r="B262" s="5"/>
      <c r="C262" s="5"/>
      <c r="E262" s="5"/>
    </row>
    <row r="263">
      <c r="A263" s="5"/>
      <c r="B263" s="5"/>
      <c r="C263" s="5"/>
      <c r="E263" s="5"/>
    </row>
    <row r="264">
      <c r="A264" s="5"/>
      <c r="B264" s="5"/>
      <c r="C264" s="5"/>
      <c r="E264" s="5"/>
    </row>
    <row r="265">
      <c r="A265" s="5"/>
      <c r="B265" s="5"/>
      <c r="C265" s="5"/>
      <c r="E265" s="5"/>
    </row>
    <row r="266">
      <c r="A266" s="5"/>
      <c r="B266" s="5"/>
      <c r="C266" s="5"/>
      <c r="E266" s="5"/>
    </row>
    <row r="267">
      <c r="A267" s="5"/>
      <c r="B267" s="5"/>
      <c r="C267" s="5"/>
      <c r="E267" s="5"/>
    </row>
    <row r="268">
      <c r="A268" s="5"/>
      <c r="B268" s="5"/>
      <c r="C268" s="5"/>
      <c r="E268" s="5"/>
    </row>
    <row r="269">
      <c r="A269" s="5"/>
      <c r="B269" s="5"/>
      <c r="C269" s="5"/>
      <c r="E269" s="5"/>
    </row>
    <row r="270">
      <c r="A270" s="5"/>
      <c r="B270" s="5"/>
      <c r="C270" s="5"/>
      <c r="E270" s="5"/>
    </row>
    <row r="271">
      <c r="A271" s="5"/>
      <c r="B271" s="5"/>
      <c r="C271" s="5"/>
      <c r="E271" s="5"/>
    </row>
    <row r="272">
      <c r="A272" s="5"/>
      <c r="B272" s="5"/>
      <c r="C272" s="5"/>
      <c r="E272" s="5"/>
    </row>
    <row r="273">
      <c r="A273" s="5"/>
      <c r="B273" s="5"/>
      <c r="C273" s="5"/>
      <c r="E273" s="5"/>
    </row>
    <row r="274">
      <c r="A274" s="5"/>
      <c r="B274" s="5"/>
      <c r="C274" s="5"/>
      <c r="E274" s="5"/>
    </row>
    <row r="275">
      <c r="A275" s="5"/>
      <c r="B275" s="5"/>
      <c r="C275" s="5"/>
      <c r="E275" s="5"/>
    </row>
    <row r="276">
      <c r="A276" s="5"/>
      <c r="B276" s="5"/>
      <c r="C276" s="5"/>
      <c r="E276" s="5"/>
    </row>
    <row r="277">
      <c r="A277" s="5"/>
      <c r="B277" s="5"/>
      <c r="C277" s="5"/>
      <c r="E277" s="5"/>
    </row>
    <row r="278">
      <c r="A278" s="5"/>
      <c r="B278" s="5"/>
      <c r="C278" s="5"/>
      <c r="E278" s="5"/>
    </row>
    <row r="279">
      <c r="A279" s="5"/>
      <c r="B279" s="5"/>
      <c r="C279" s="5"/>
      <c r="E279" s="5"/>
    </row>
    <row r="280">
      <c r="A280" s="5"/>
      <c r="B280" s="5"/>
      <c r="C280" s="5"/>
      <c r="E280" s="5"/>
    </row>
    <row r="281">
      <c r="A281" s="5"/>
      <c r="B281" s="5"/>
      <c r="C281" s="5"/>
      <c r="E281" s="5"/>
    </row>
    <row r="282">
      <c r="A282" s="5"/>
      <c r="B282" s="5"/>
      <c r="C282" s="5"/>
      <c r="E282" s="5"/>
    </row>
    <row r="283">
      <c r="A283" s="5"/>
      <c r="B283" s="5"/>
      <c r="C283" s="5"/>
      <c r="E283" s="5"/>
    </row>
    <row r="284">
      <c r="A284" s="5"/>
      <c r="B284" s="5"/>
      <c r="C284" s="5"/>
      <c r="E284" s="5"/>
    </row>
    <row r="285">
      <c r="A285" s="5"/>
      <c r="B285" s="5"/>
      <c r="C285" s="5"/>
      <c r="E285" s="5"/>
    </row>
    <row r="286">
      <c r="A286" s="5"/>
      <c r="B286" s="5"/>
      <c r="C286" s="5"/>
      <c r="E286" s="5"/>
    </row>
    <row r="287">
      <c r="A287" s="5"/>
      <c r="B287" s="5"/>
      <c r="C287" s="5"/>
      <c r="E287" s="5"/>
    </row>
    <row r="288">
      <c r="A288" s="5"/>
      <c r="B288" s="5"/>
      <c r="C288" s="5"/>
      <c r="E288" s="5"/>
    </row>
    <row r="289">
      <c r="A289" s="5"/>
      <c r="B289" s="5"/>
      <c r="C289" s="5"/>
      <c r="E289" s="5"/>
    </row>
    <row r="290">
      <c r="A290" s="5"/>
      <c r="B290" s="5"/>
      <c r="C290" s="5"/>
      <c r="E290" s="5"/>
    </row>
    <row r="291">
      <c r="A291" s="5"/>
      <c r="B291" s="5"/>
      <c r="C291" s="5"/>
      <c r="E291" s="5"/>
    </row>
    <row r="292">
      <c r="A292" s="5"/>
      <c r="B292" s="5"/>
      <c r="C292" s="5"/>
      <c r="E292" s="5"/>
    </row>
    <row r="293">
      <c r="A293" s="5"/>
      <c r="B293" s="5"/>
      <c r="C293" s="5"/>
      <c r="E293" s="5"/>
    </row>
    <row r="294">
      <c r="A294" s="5"/>
      <c r="B294" s="5"/>
      <c r="C294" s="5"/>
      <c r="E294" s="5"/>
    </row>
    <row r="295">
      <c r="A295" s="5"/>
      <c r="B295" s="5"/>
      <c r="C295" s="5"/>
      <c r="E295" s="5"/>
    </row>
    <row r="296">
      <c r="A296" s="5"/>
      <c r="B296" s="5"/>
      <c r="C296" s="5"/>
      <c r="E296" s="5"/>
    </row>
    <row r="297">
      <c r="A297" s="5"/>
      <c r="B297" s="5"/>
      <c r="C297" s="5"/>
      <c r="E297" s="5"/>
    </row>
    <row r="298">
      <c r="A298" s="5"/>
      <c r="B298" s="5"/>
      <c r="C298" s="5"/>
      <c r="E298" s="5"/>
    </row>
    <row r="299">
      <c r="A299" s="5"/>
      <c r="B299" s="5"/>
      <c r="C299" s="5"/>
      <c r="E299" s="5"/>
    </row>
    <row r="300">
      <c r="A300" s="5"/>
      <c r="B300" s="5"/>
      <c r="C300" s="5"/>
      <c r="E300" s="5"/>
    </row>
    <row r="301">
      <c r="A301" s="5"/>
      <c r="B301" s="5"/>
      <c r="C301" s="5"/>
      <c r="E301" s="5"/>
    </row>
    <row r="302">
      <c r="A302" s="5"/>
      <c r="B302" s="5"/>
      <c r="C302" s="5"/>
      <c r="E302" s="5"/>
    </row>
    <row r="303">
      <c r="A303" s="5"/>
      <c r="B303" s="5"/>
      <c r="C303" s="5"/>
      <c r="E303" s="5"/>
    </row>
    <row r="304">
      <c r="A304" s="5"/>
      <c r="B304" s="5"/>
      <c r="C304" s="5"/>
      <c r="E304" s="5"/>
    </row>
    <row r="305">
      <c r="A305" s="5"/>
      <c r="B305" s="5"/>
      <c r="C305" s="5"/>
      <c r="E305" s="5"/>
    </row>
    <row r="306">
      <c r="A306" s="5"/>
      <c r="B306" s="5"/>
      <c r="C306" s="5"/>
      <c r="E306" s="5"/>
    </row>
    <row r="307">
      <c r="A307" s="5"/>
      <c r="B307" s="5"/>
      <c r="C307" s="5"/>
      <c r="E307" s="5"/>
    </row>
    <row r="308">
      <c r="A308" s="5"/>
      <c r="B308" s="5"/>
      <c r="C308" s="5"/>
      <c r="E308" s="5"/>
    </row>
    <row r="309">
      <c r="A309" s="5"/>
      <c r="B309" s="5"/>
      <c r="C309" s="5"/>
      <c r="E309" s="5"/>
    </row>
    <row r="310">
      <c r="A310" s="5"/>
      <c r="B310" s="5"/>
      <c r="C310" s="5"/>
      <c r="E310" s="5"/>
    </row>
    <row r="311">
      <c r="A311" s="5"/>
      <c r="B311" s="5"/>
      <c r="C311" s="5"/>
      <c r="E311" s="5"/>
    </row>
    <row r="312">
      <c r="A312" s="5"/>
      <c r="B312" s="5"/>
      <c r="C312" s="5"/>
      <c r="E312" s="5"/>
    </row>
    <row r="313">
      <c r="A313" s="5"/>
      <c r="B313" s="5"/>
      <c r="C313" s="5"/>
      <c r="E313" s="5"/>
    </row>
    <row r="314">
      <c r="A314" s="5"/>
      <c r="B314" s="5"/>
      <c r="C314" s="5"/>
      <c r="E314" s="5"/>
    </row>
    <row r="315">
      <c r="A315" s="5"/>
      <c r="B315" s="5"/>
      <c r="C315" s="5"/>
      <c r="E315" s="5"/>
    </row>
    <row r="316">
      <c r="A316" s="5"/>
      <c r="B316" s="5"/>
      <c r="C316" s="5"/>
      <c r="E316" s="5"/>
    </row>
    <row r="317">
      <c r="A317" s="5"/>
      <c r="B317" s="5"/>
      <c r="C317" s="5"/>
      <c r="E317" s="5"/>
    </row>
    <row r="318">
      <c r="A318" s="5"/>
      <c r="B318" s="5"/>
      <c r="C318" s="5"/>
      <c r="E318" s="5"/>
    </row>
    <row r="319">
      <c r="A319" s="5"/>
      <c r="B319" s="5"/>
      <c r="C319" s="5"/>
      <c r="E319" s="5"/>
    </row>
    <row r="320">
      <c r="A320" s="5"/>
      <c r="B320" s="5"/>
      <c r="C320" s="5"/>
      <c r="E320" s="5"/>
    </row>
    <row r="321">
      <c r="A321" s="5"/>
      <c r="B321" s="5"/>
      <c r="C321" s="5"/>
      <c r="E321" s="5"/>
    </row>
    <row r="322">
      <c r="A322" s="5"/>
      <c r="B322" s="5"/>
      <c r="C322" s="5"/>
      <c r="E322" s="5"/>
    </row>
    <row r="323">
      <c r="A323" s="5"/>
      <c r="B323" s="5"/>
      <c r="C323" s="5"/>
      <c r="E323" s="5"/>
    </row>
    <row r="324">
      <c r="A324" s="5"/>
      <c r="B324" s="5"/>
      <c r="C324" s="5"/>
      <c r="E324" s="5"/>
    </row>
    <row r="325">
      <c r="A325" s="5"/>
      <c r="B325" s="5"/>
      <c r="C325" s="5"/>
      <c r="E325" s="5"/>
    </row>
    <row r="326">
      <c r="A326" s="5"/>
      <c r="B326" s="5"/>
      <c r="C326" s="5"/>
      <c r="E326" s="5"/>
    </row>
    <row r="327">
      <c r="A327" s="5"/>
      <c r="B327" s="5"/>
      <c r="C327" s="5"/>
      <c r="E327" s="5"/>
    </row>
    <row r="328">
      <c r="A328" s="5"/>
      <c r="B328" s="5"/>
      <c r="C328" s="5"/>
      <c r="E328" s="5"/>
    </row>
    <row r="329">
      <c r="A329" s="5"/>
      <c r="B329" s="5"/>
      <c r="C329" s="5"/>
      <c r="E329" s="5"/>
    </row>
    <row r="330">
      <c r="A330" s="5"/>
      <c r="B330" s="5"/>
      <c r="C330" s="5"/>
      <c r="E330" s="5"/>
    </row>
    <row r="331">
      <c r="A331" s="5"/>
      <c r="B331" s="5"/>
      <c r="C331" s="5"/>
      <c r="E331" s="5"/>
    </row>
    <row r="332">
      <c r="A332" s="5"/>
      <c r="B332" s="5"/>
      <c r="C332" s="5"/>
      <c r="E332" s="5"/>
    </row>
    <row r="333">
      <c r="A333" s="5"/>
      <c r="B333" s="5"/>
      <c r="C333" s="5"/>
      <c r="E333" s="5"/>
    </row>
    <row r="334">
      <c r="A334" s="5"/>
      <c r="B334" s="5"/>
      <c r="C334" s="5"/>
      <c r="E334" s="5"/>
    </row>
    <row r="335">
      <c r="A335" s="5"/>
      <c r="B335" s="5"/>
      <c r="C335" s="5"/>
      <c r="E335" s="5"/>
    </row>
    <row r="336">
      <c r="A336" s="5"/>
      <c r="B336" s="5"/>
      <c r="C336" s="5"/>
      <c r="E336" s="5"/>
    </row>
    <row r="337">
      <c r="A337" s="5"/>
      <c r="B337" s="5"/>
      <c r="C337" s="5"/>
      <c r="E337" s="5"/>
    </row>
    <row r="338">
      <c r="A338" s="5"/>
      <c r="B338" s="5"/>
      <c r="C338" s="5"/>
      <c r="E338" s="5"/>
    </row>
    <row r="339">
      <c r="A339" s="5"/>
      <c r="B339" s="5"/>
      <c r="C339" s="5"/>
      <c r="E339" s="5"/>
    </row>
    <row r="340">
      <c r="A340" s="5"/>
      <c r="B340" s="5"/>
      <c r="C340" s="5"/>
      <c r="E340" s="5"/>
    </row>
    <row r="341">
      <c r="A341" s="5"/>
      <c r="B341" s="5"/>
      <c r="C341" s="5"/>
      <c r="E341" s="5"/>
    </row>
    <row r="342">
      <c r="A342" s="5"/>
      <c r="B342" s="5"/>
      <c r="C342" s="5"/>
      <c r="E342" s="5"/>
    </row>
    <row r="343">
      <c r="A343" s="5"/>
      <c r="B343" s="5"/>
      <c r="C343" s="5"/>
      <c r="E343" s="5"/>
    </row>
    <row r="344">
      <c r="A344" s="5"/>
      <c r="B344" s="5"/>
      <c r="C344" s="5"/>
      <c r="E344" s="5"/>
    </row>
    <row r="345">
      <c r="A345" s="5"/>
      <c r="B345" s="5"/>
      <c r="C345" s="5"/>
      <c r="E345" s="5"/>
    </row>
    <row r="346">
      <c r="A346" s="5"/>
      <c r="B346" s="5"/>
      <c r="C346" s="5"/>
      <c r="E346" s="5"/>
    </row>
    <row r="347">
      <c r="A347" s="5"/>
      <c r="B347" s="5"/>
      <c r="C347" s="5"/>
      <c r="E347" s="5"/>
    </row>
    <row r="348">
      <c r="A348" s="5"/>
      <c r="B348" s="5"/>
      <c r="C348" s="5"/>
      <c r="E348" s="5"/>
    </row>
    <row r="349">
      <c r="A349" s="5"/>
      <c r="B349" s="5"/>
      <c r="C349" s="5"/>
      <c r="E349" s="5"/>
    </row>
    <row r="350">
      <c r="A350" s="5"/>
      <c r="B350" s="5"/>
      <c r="C350" s="5"/>
      <c r="E350" s="5"/>
    </row>
    <row r="351">
      <c r="A351" s="5"/>
      <c r="B351" s="5"/>
      <c r="C351" s="5"/>
      <c r="E351" s="5"/>
    </row>
    <row r="352">
      <c r="A352" s="5"/>
      <c r="B352" s="5"/>
      <c r="C352" s="5"/>
      <c r="E352" s="5"/>
    </row>
    <row r="353">
      <c r="A353" s="5"/>
      <c r="B353" s="5"/>
      <c r="C353" s="5"/>
      <c r="E353" s="5"/>
    </row>
    <row r="354">
      <c r="A354" s="5"/>
      <c r="B354" s="5"/>
      <c r="C354" s="5"/>
      <c r="E354" s="5"/>
    </row>
    <row r="355">
      <c r="A355" s="5"/>
      <c r="B355" s="5"/>
      <c r="C355" s="5"/>
      <c r="E355" s="5"/>
    </row>
    <row r="356">
      <c r="A356" s="5"/>
      <c r="B356" s="5"/>
      <c r="C356" s="5"/>
      <c r="E356" s="5"/>
    </row>
    <row r="357">
      <c r="A357" s="5"/>
      <c r="B357" s="5"/>
      <c r="C357" s="5"/>
      <c r="E357" s="5"/>
    </row>
    <row r="358">
      <c r="A358" s="5"/>
      <c r="B358" s="5"/>
      <c r="C358" s="5"/>
      <c r="E358" s="5"/>
    </row>
    <row r="359">
      <c r="A359" s="5"/>
      <c r="B359" s="5"/>
      <c r="C359" s="5"/>
      <c r="E359" s="5"/>
    </row>
    <row r="360">
      <c r="A360" s="5"/>
      <c r="B360" s="5"/>
      <c r="C360" s="5"/>
      <c r="E360" s="5"/>
    </row>
    <row r="361">
      <c r="A361" s="5"/>
      <c r="B361" s="5"/>
      <c r="C361" s="5"/>
      <c r="E361" s="5"/>
    </row>
    <row r="362">
      <c r="A362" s="5"/>
      <c r="B362" s="5"/>
      <c r="C362" s="5"/>
      <c r="E362" s="5"/>
    </row>
    <row r="363">
      <c r="A363" s="5"/>
      <c r="B363" s="5"/>
      <c r="C363" s="5"/>
      <c r="E363" s="5"/>
    </row>
    <row r="364">
      <c r="A364" s="5"/>
      <c r="B364" s="5"/>
      <c r="C364" s="5"/>
      <c r="E364" s="5"/>
    </row>
    <row r="365">
      <c r="A365" s="5"/>
      <c r="B365" s="5"/>
      <c r="C365" s="5"/>
      <c r="E365" s="5"/>
    </row>
    <row r="366">
      <c r="A366" s="5"/>
      <c r="B366" s="5"/>
      <c r="C366" s="5"/>
      <c r="E366" s="5"/>
    </row>
    <row r="367">
      <c r="A367" s="5"/>
      <c r="B367" s="5"/>
      <c r="C367" s="5"/>
      <c r="E367" s="5"/>
    </row>
    <row r="368">
      <c r="A368" s="5"/>
      <c r="B368" s="5"/>
      <c r="C368" s="5"/>
      <c r="E368" s="5"/>
    </row>
    <row r="369">
      <c r="A369" s="5"/>
      <c r="B369" s="5"/>
      <c r="C369" s="5"/>
      <c r="E369" s="5"/>
    </row>
    <row r="370">
      <c r="A370" s="5"/>
      <c r="B370" s="5"/>
      <c r="C370" s="5"/>
      <c r="E370" s="5"/>
    </row>
    <row r="371">
      <c r="A371" s="5"/>
      <c r="B371" s="5"/>
      <c r="C371" s="5"/>
      <c r="E371" s="5"/>
    </row>
    <row r="372">
      <c r="A372" s="5"/>
      <c r="B372" s="5"/>
      <c r="C372" s="5"/>
      <c r="E372" s="5"/>
    </row>
    <row r="373">
      <c r="A373" s="5"/>
      <c r="B373" s="5"/>
      <c r="C373" s="5"/>
      <c r="E373" s="5"/>
    </row>
    <row r="374">
      <c r="A374" s="5"/>
      <c r="B374" s="5"/>
      <c r="C374" s="5"/>
      <c r="E374" s="5"/>
    </row>
    <row r="375">
      <c r="A375" s="5"/>
      <c r="B375" s="5"/>
      <c r="C375" s="5"/>
      <c r="E375" s="5"/>
    </row>
    <row r="376">
      <c r="A376" s="5"/>
      <c r="B376" s="5"/>
      <c r="C376" s="5"/>
      <c r="E376" s="5"/>
    </row>
    <row r="377">
      <c r="A377" s="5"/>
      <c r="B377" s="5"/>
      <c r="C377" s="5"/>
      <c r="E377" s="5"/>
    </row>
    <row r="378">
      <c r="A378" s="5"/>
      <c r="B378" s="5"/>
      <c r="C378" s="5"/>
      <c r="E378" s="5"/>
    </row>
    <row r="379">
      <c r="A379" s="5"/>
      <c r="B379" s="5"/>
      <c r="C379" s="5"/>
      <c r="E379" s="5"/>
    </row>
    <row r="380">
      <c r="A380" s="5"/>
      <c r="B380" s="5"/>
      <c r="C380" s="5"/>
      <c r="E380" s="5"/>
    </row>
    <row r="381">
      <c r="A381" s="5"/>
      <c r="B381" s="5"/>
      <c r="C381" s="5"/>
      <c r="E381" s="5"/>
    </row>
    <row r="382">
      <c r="A382" s="5"/>
      <c r="B382" s="5"/>
      <c r="C382" s="5"/>
      <c r="E382" s="5"/>
    </row>
    <row r="383">
      <c r="A383" s="5"/>
      <c r="B383" s="5"/>
      <c r="C383" s="5"/>
      <c r="E383" s="5"/>
    </row>
    <row r="384">
      <c r="A384" s="5"/>
      <c r="B384" s="5"/>
      <c r="C384" s="5"/>
      <c r="E384" s="5"/>
    </row>
    <row r="385">
      <c r="A385" s="5"/>
      <c r="B385" s="5"/>
      <c r="C385" s="5"/>
      <c r="E385" s="5"/>
    </row>
    <row r="386">
      <c r="A386" s="5"/>
      <c r="B386" s="5"/>
      <c r="C386" s="5"/>
      <c r="E386" s="5"/>
    </row>
    <row r="387">
      <c r="A387" s="5"/>
      <c r="B387" s="5"/>
      <c r="C387" s="5"/>
      <c r="E387" s="5"/>
    </row>
    <row r="388">
      <c r="A388" s="5"/>
      <c r="B388" s="5"/>
      <c r="C388" s="5"/>
      <c r="E388" s="5"/>
    </row>
    <row r="389">
      <c r="A389" s="5"/>
      <c r="B389" s="5"/>
      <c r="C389" s="5"/>
      <c r="E389" s="5"/>
    </row>
    <row r="390">
      <c r="A390" s="5"/>
      <c r="B390" s="5"/>
      <c r="C390" s="5"/>
      <c r="E390" s="5"/>
    </row>
    <row r="391">
      <c r="A391" s="5"/>
      <c r="B391" s="5"/>
      <c r="C391" s="5"/>
      <c r="E391" s="5"/>
    </row>
    <row r="392">
      <c r="A392" s="5"/>
      <c r="B392" s="5"/>
      <c r="C392" s="5"/>
      <c r="E392" s="5"/>
    </row>
    <row r="393">
      <c r="A393" s="5"/>
      <c r="B393" s="5"/>
      <c r="C393" s="5"/>
      <c r="E393" s="5"/>
    </row>
    <row r="394">
      <c r="A394" s="5"/>
      <c r="B394" s="5"/>
      <c r="C394" s="5"/>
      <c r="E394" s="5"/>
    </row>
    <row r="395">
      <c r="A395" s="5"/>
      <c r="B395" s="5"/>
      <c r="C395" s="5"/>
      <c r="E395" s="5"/>
    </row>
    <row r="396">
      <c r="A396" s="5"/>
      <c r="B396" s="5"/>
      <c r="C396" s="5"/>
      <c r="E396" s="5"/>
    </row>
    <row r="397">
      <c r="A397" s="5"/>
      <c r="B397" s="5"/>
      <c r="C397" s="5"/>
      <c r="E397" s="5"/>
    </row>
    <row r="398">
      <c r="A398" s="5"/>
      <c r="B398" s="5"/>
      <c r="C398" s="5"/>
      <c r="E398" s="5"/>
    </row>
    <row r="399">
      <c r="A399" s="5"/>
      <c r="B399" s="5"/>
      <c r="C399" s="5"/>
      <c r="E399" s="5"/>
    </row>
    <row r="400">
      <c r="A400" s="5"/>
      <c r="B400" s="5"/>
      <c r="C400" s="5"/>
      <c r="E400" s="5"/>
    </row>
    <row r="401">
      <c r="A401" s="5"/>
      <c r="B401" s="5"/>
      <c r="C401" s="5"/>
      <c r="E401" s="5"/>
    </row>
    <row r="402">
      <c r="A402" s="5"/>
      <c r="B402" s="5"/>
      <c r="C402" s="5"/>
      <c r="E402" s="5"/>
    </row>
    <row r="403">
      <c r="A403" s="5"/>
      <c r="B403" s="5"/>
      <c r="C403" s="5"/>
      <c r="E403" s="5"/>
    </row>
    <row r="404">
      <c r="A404" s="5"/>
      <c r="B404" s="5"/>
      <c r="C404" s="5"/>
      <c r="E404" s="5"/>
    </row>
    <row r="405">
      <c r="A405" s="5"/>
      <c r="B405" s="5"/>
      <c r="C405" s="5"/>
      <c r="E405" s="5"/>
    </row>
    <row r="406">
      <c r="A406" s="5"/>
      <c r="B406" s="5"/>
      <c r="C406" s="5"/>
      <c r="E406" s="5"/>
    </row>
    <row r="407">
      <c r="A407" s="5"/>
      <c r="B407" s="5"/>
      <c r="C407" s="5"/>
      <c r="E407" s="5"/>
    </row>
    <row r="408">
      <c r="A408" s="5"/>
      <c r="B408" s="5"/>
      <c r="C408" s="5"/>
      <c r="E408" s="5"/>
    </row>
    <row r="409">
      <c r="A409" s="5"/>
      <c r="B409" s="5"/>
      <c r="C409" s="5"/>
      <c r="E409" s="5"/>
    </row>
    <row r="410">
      <c r="A410" s="5"/>
      <c r="B410" s="5"/>
      <c r="C410" s="5"/>
      <c r="E410" s="5"/>
    </row>
    <row r="411">
      <c r="A411" s="5"/>
      <c r="B411" s="5"/>
      <c r="C411" s="5"/>
      <c r="E411" s="5"/>
    </row>
    <row r="412">
      <c r="A412" s="5"/>
      <c r="B412" s="5"/>
      <c r="C412" s="5"/>
      <c r="E412" s="5"/>
    </row>
    <row r="413">
      <c r="A413" s="5"/>
      <c r="B413" s="5"/>
      <c r="C413" s="5"/>
      <c r="E413" s="5"/>
    </row>
    <row r="414">
      <c r="A414" s="5"/>
      <c r="B414" s="5"/>
      <c r="C414" s="5"/>
      <c r="E414" s="5"/>
    </row>
    <row r="415">
      <c r="A415" s="5"/>
      <c r="B415" s="5"/>
      <c r="C415" s="5"/>
      <c r="E415" s="5"/>
    </row>
    <row r="416">
      <c r="A416" s="5"/>
      <c r="B416" s="5"/>
      <c r="C416" s="5"/>
      <c r="E416" s="5"/>
    </row>
    <row r="417">
      <c r="A417" s="5"/>
      <c r="B417" s="5"/>
      <c r="C417" s="5"/>
      <c r="E417" s="5"/>
    </row>
    <row r="418">
      <c r="A418" s="5"/>
      <c r="B418" s="5"/>
      <c r="C418" s="5"/>
      <c r="E418" s="5"/>
    </row>
    <row r="419">
      <c r="A419" s="5"/>
      <c r="B419" s="5"/>
      <c r="C419" s="5"/>
      <c r="E419" s="5"/>
    </row>
    <row r="420">
      <c r="A420" s="5"/>
      <c r="B420" s="5"/>
      <c r="C420" s="5"/>
      <c r="E420" s="5"/>
    </row>
    <row r="421">
      <c r="A421" s="5"/>
      <c r="B421" s="5"/>
      <c r="C421" s="5"/>
      <c r="E421" s="5"/>
    </row>
    <row r="422">
      <c r="A422" s="5"/>
      <c r="B422" s="5"/>
      <c r="C422" s="5"/>
      <c r="E422" s="5"/>
    </row>
    <row r="423">
      <c r="A423" s="5"/>
      <c r="B423" s="5"/>
      <c r="C423" s="5"/>
      <c r="E423" s="5"/>
    </row>
    <row r="424">
      <c r="A424" s="5"/>
      <c r="B424" s="5"/>
      <c r="C424" s="5"/>
      <c r="E424" s="5"/>
    </row>
    <row r="425">
      <c r="A425" s="5"/>
      <c r="B425" s="5"/>
      <c r="C425" s="5"/>
      <c r="E425" s="5"/>
    </row>
    <row r="426">
      <c r="A426" s="5"/>
      <c r="B426" s="5"/>
      <c r="C426" s="5"/>
      <c r="E426" s="5"/>
    </row>
    <row r="427">
      <c r="A427" s="5"/>
      <c r="B427" s="5"/>
      <c r="C427" s="5"/>
      <c r="E427" s="5"/>
    </row>
    <row r="428">
      <c r="A428" s="5"/>
      <c r="B428" s="5"/>
      <c r="C428" s="5"/>
      <c r="E428" s="5"/>
    </row>
    <row r="429">
      <c r="A429" s="5"/>
      <c r="B429" s="5"/>
      <c r="C429" s="5"/>
      <c r="E429" s="5"/>
    </row>
    <row r="430">
      <c r="A430" s="5"/>
      <c r="B430" s="5"/>
      <c r="C430" s="5"/>
      <c r="E430" s="5"/>
    </row>
    <row r="431">
      <c r="A431" s="5"/>
      <c r="B431" s="5"/>
      <c r="C431" s="5"/>
      <c r="E431" s="5"/>
    </row>
    <row r="432">
      <c r="A432" s="5"/>
      <c r="B432" s="5"/>
      <c r="C432" s="5"/>
      <c r="E432" s="5"/>
    </row>
    <row r="433">
      <c r="A433" s="5"/>
      <c r="B433" s="5"/>
      <c r="C433" s="5"/>
      <c r="E433" s="5"/>
    </row>
    <row r="434">
      <c r="A434" s="5"/>
      <c r="B434" s="5"/>
      <c r="C434" s="5"/>
      <c r="E434" s="5"/>
    </row>
    <row r="435">
      <c r="A435" s="5"/>
      <c r="B435" s="5"/>
      <c r="C435" s="5"/>
      <c r="E435" s="5"/>
    </row>
    <row r="436">
      <c r="A436" s="5"/>
      <c r="B436" s="5"/>
      <c r="C436" s="5"/>
      <c r="E436" s="5"/>
    </row>
    <row r="437">
      <c r="A437" s="5"/>
      <c r="B437" s="5"/>
      <c r="C437" s="5"/>
      <c r="E437" s="5"/>
    </row>
    <row r="438">
      <c r="A438" s="5"/>
      <c r="B438" s="5"/>
      <c r="C438" s="5"/>
      <c r="E438" s="5"/>
    </row>
    <row r="439">
      <c r="A439" s="5"/>
      <c r="B439" s="5"/>
      <c r="C439" s="5"/>
      <c r="E439" s="5"/>
    </row>
    <row r="440">
      <c r="A440" s="5"/>
      <c r="B440" s="5"/>
      <c r="C440" s="5"/>
      <c r="E440" s="5"/>
    </row>
    <row r="441">
      <c r="A441" s="5"/>
      <c r="B441" s="5"/>
      <c r="C441" s="5"/>
      <c r="E441" s="5"/>
    </row>
    <row r="442">
      <c r="A442" s="5"/>
      <c r="B442" s="5"/>
      <c r="C442" s="5"/>
      <c r="E442" s="5"/>
    </row>
    <row r="443">
      <c r="A443" s="5"/>
      <c r="B443" s="5"/>
      <c r="C443" s="5"/>
      <c r="E443" s="5"/>
    </row>
    <row r="444">
      <c r="A444" s="5"/>
      <c r="B444" s="5"/>
      <c r="C444" s="5"/>
      <c r="E444" s="5"/>
    </row>
    <row r="445">
      <c r="A445" s="5"/>
      <c r="B445" s="5"/>
      <c r="C445" s="5"/>
      <c r="E445" s="5"/>
    </row>
    <row r="446">
      <c r="A446" s="5"/>
      <c r="B446" s="5"/>
      <c r="C446" s="5"/>
      <c r="E446" s="5"/>
    </row>
    <row r="447">
      <c r="A447" s="5"/>
      <c r="B447" s="5"/>
      <c r="C447" s="5"/>
      <c r="E447" s="5"/>
    </row>
    <row r="448">
      <c r="A448" s="5"/>
      <c r="B448" s="5"/>
      <c r="C448" s="5"/>
      <c r="E448" s="5"/>
    </row>
    <row r="449">
      <c r="A449" s="5"/>
      <c r="B449" s="5"/>
      <c r="C449" s="5"/>
      <c r="E449" s="5"/>
    </row>
    <row r="450">
      <c r="A450" s="5"/>
      <c r="B450" s="5"/>
      <c r="C450" s="5"/>
      <c r="E450" s="5"/>
    </row>
    <row r="451">
      <c r="A451" s="5"/>
      <c r="B451" s="5"/>
      <c r="C451" s="5"/>
      <c r="E451" s="5"/>
    </row>
    <row r="452">
      <c r="A452" s="5"/>
      <c r="B452" s="5"/>
      <c r="C452" s="5"/>
      <c r="E452" s="5"/>
    </row>
    <row r="453">
      <c r="A453" s="5"/>
      <c r="B453" s="5"/>
      <c r="C453" s="5"/>
      <c r="E453" s="5"/>
    </row>
    <row r="454">
      <c r="A454" s="5"/>
      <c r="B454" s="5"/>
      <c r="C454" s="5"/>
      <c r="E454" s="5"/>
    </row>
    <row r="455">
      <c r="A455" s="5"/>
      <c r="B455" s="5"/>
      <c r="C455" s="5"/>
      <c r="E455" s="5"/>
    </row>
    <row r="456">
      <c r="A456" s="5"/>
      <c r="B456" s="5"/>
      <c r="C456" s="5"/>
      <c r="E456" s="5"/>
    </row>
    <row r="457">
      <c r="A457" s="5"/>
      <c r="B457" s="5"/>
      <c r="C457" s="5"/>
      <c r="E457" s="5"/>
    </row>
    <row r="458">
      <c r="A458" s="5"/>
      <c r="B458" s="5"/>
      <c r="C458" s="5"/>
      <c r="E458" s="5"/>
    </row>
    <row r="459">
      <c r="A459" s="5"/>
      <c r="B459" s="5"/>
      <c r="C459" s="5"/>
      <c r="E459" s="5"/>
    </row>
    <row r="460">
      <c r="A460" s="5"/>
      <c r="B460" s="5"/>
      <c r="C460" s="5"/>
      <c r="E460" s="5"/>
    </row>
    <row r="461">
      <c r="A461" s="5"/>
      <c r="B461" s="5"/>
      <c r="C461" s="5"/>
      <c r="E461" s="5"/>
    </row>
    <row r="462">
      <c r="A462" s="5"/>
      <c r="B462" s="5"/>
      <c r="C462" s="5"/>
      <c r="E462" s="5"/>
    </row>
    <row r="463">
      <c r="A463" s="5"/>
      <c r="B463" s="5"/>
      <c r="C463" s="5"/>
      <c r="E463" s="5"/>
    </row>
    <row r="464">
      <c r="A464" s="5"/>
      <c r="B464" s="5"/>
      <c r="C464" s="5"/>
      <c r="E464" s="5"/>
    </row>
    <row r="465">
      <c r="A465" s="5"/>
      <c r="B465" s="5"/>
      <c r="C465" s="5"/>
      <c r="E465" s="5"/>
    </row>
    <row r="466">
      <c r="A466" s="5"/>
      <c r="B466" s="5"/>
      <c r="C466" s="5"/>
      <c r="E466" s="5"/>
    </row>
    <row r="467">
      <c r="A467" s="5"/>
      <c r="B467" s="5"/>
      <c r="C467" s="5"/>
      <c r="E467" s="5"/>
    </row>
    <row r="468">
      <c r="A468" s="5"/>
      <c r="B468" s="5"/>
      <c r="C468" s="5"/>
      <c r="E468" s="5"/>
    </row>
    <row r="469">
      <c r="A469" s="5"/>
      <c r="B469" s="5"/>
      <c r="C469" s="5"/>
      <c r="E469" s="5"/>
    </row>
    <row r="470">
      <c r="A470" s="5"/>
      <c r="B470" s="5"/>
      <c r="C470" s="5"/>
      <c r="E470" s="5"/>
    </row>
    <row r="471">
      <c r="A471" s="5"/>
      <c r="B471" s="5"/>
      <c r="C471" s="5"/>
      <c r="E471" s="5"/>
    </row>
    <row r="472">
      <c r="A472" s="5"/>
      <c r="B472" s="5"/>
      <c r="C472" s="5"/>
      <c r="E472" s="5"/>
    </row>
    <row r="473">
      <c r="A473" s="5"/>
      <c r="B473" s="5"/>
      <c r="C473" s="5"/>
      <c r="E473" s="5"/>
    </row>
    <row r="474">
      <c r="A474" s="5"/>
      <c r="B474" s="5"/>
      <c r="C474" s="5"/>
      <c r="E474" s="5"/>
    </row>
    <row r="475">
      <c r="A475" s="5"/>
      <c r="B475" s="5"/>
      <c r="C475" s="5"/>
      <c r="E475" s="5"/>
    </row>
    <row r="476">
      <c r="A476" s="5"/>
      <c r="B476" s="5"/>
      <c r="C476" s="5"/>
      <c r="E476" s="5"/>
    </row>
    <row r="477">
      <c r="A477" s="5"/>
      <c r="B477" s="5"/>
      <c r="C477" s="5"/>
      <c r="E477" s="5"/>
    </row>
    <row r="478">
      <c r="A478" s="5"/>
      <c r="B478" s="5"/>
      <c r="C478" s="5"/>
      <c r="E478" s="5"/>
    </row>
    <row r="479">
      <c r="A479" s="5"/>
      <c r="B479" s="5"/>
      <c r="C479" s="5"/>
      <c r="E479" s="5"/>
    </row>
    <row r="480">
      <c r="A480" s="5"/>
      <c r="B480" s="5"/>
      <c r="C480" s="5"/>
      <c r="E480" s="5"/>
    </row>
    <row r="481">
      <c r="A481" s="5"/>
      <c r="B481" s="5"/>
      <c r="C481" s="5"/>
      <c r="E481" s="5"/>
    </row>
    <row r="482">
      <c r="A482" s="5"/>
      <c r="B482" s="5"/>
      <c r="C482" s="5"/>
      <c r="E482" s="5"/>
    </row>
    <row r="483">
      <c r="A483" s="5"/>
      <c r="B483" s="5"/>
      <c r="C483" s="5"/>
      <c r="E483" s="5"/>
    </row>
    <row r="484">
      <c r="A484" s="5"/>
      <c r="B484" s="5"/>
      <c r="C484" s="5"/>
      <c r="E484" s="5"/>
    </row>
    <row r="485">
      <c r="A485" s="5"/>
      <c r="B485" s="5"/>
      <c r="C485" s="5"/>
      <c r="E485" s="5"/>
    </row>
    <row r="486">
      <c r="A486" s="5"/>
      <c r="B486" s="5"/>
      <c r="C486" s="5"/>
      <c r="E486" s="5"/>
    </row>
    <row r="487">
      <c r="A487" s="5"/>
      <c r="B487" s="5"/>
      <c r="C487" s="5"/>
      <c r="E487" s="5"/>
    </row>
    <row r="488">
      <c r="A488" s="5"/>
      <c r="B488" s="5"/>
      <c r="C488" s="5"/>
      <c r="E488" s="5"/>
    </row>
    <row r="489">
      <c r="A489" s="5"/>
      <c r="B489" s="5"/>
      <c r="C489" s="5"/>
      <c r="E489" s="5"/>
    </row>
    <row r="490">
      <c r="A490" s="5"/>
      <c r="B490" s="5"/>
      <c r="C490" s="5"/>
      <c r="E490" s="5"/>
    </row>
    <row r="491">
      <c r="A491" s="5"/>
      <c r="B491" s="5"/>
      <c r="C491" s="5"/>
      <c r="E491" s="5"/>
    </row>
    <row r="492">
      <c r="A492" s="5"/>
      <c r="B492" s="5"/>
      <c r="C492" s="5"/>
      <c r="E492" s="5"/>
    </row>
    <row r="493">
      <c r="A493" s="5"/>
      <c r="B493" s="5"/>
      <c r="C493" s="5"/>
      <c r="E493" s="5"/>
    </row>
    <row r="494">
      <c r="A494" s="5"/>
      <c r="B494" s="5"/>
      <c r="C494" s="5"/>
      <c r="E494" s="5"/>
    </row>
    <row r="495">
      <c r="A495" s="5"/>
      <c r="B495" s="5"/>
      <c r="C495" s="5"/>
      <c r="E495" s="5"/>
    </row>
    <row r="496">
      <c r="A496" s="5"/>
      <c r="B496" s="5"/>
      <c r="C496" s="5"/>
      <c r="E496" s="5"/>
    </row>
    <row r="497">
      <c r="A497" s="5"/>
      <c r="B497" s="5"/>
      <c r="C497" s="5"/>
      <c r="E497" s="5"/>
    </row>
    <row r="498">
      <c r="A498" s="5"/>
      <c r="B498" s="5"/>
      <c r="C498" s="5"/>
      <c r="E498" s="5"/>
    </row>
    <row r="499">
      <c r="A499" s="5"/>
      <c r="B499" s="5"/>
      <c r="C499" s="5"/>
      <c r="E499" s="5"/>
    </row>
    <row r="500">
      <c r="A500" s="5"/>
      <c r="B500" s="5"/>
      <c r="C500" s="5"/>
      <c r="E500" s="5"/>
    </row>
    <row r="501">
      <c r="A501" s="5"/>
      <c r="B501" s="5"/>
      <c r="C501" s="5"/>
      <c r="E501" s="5"/>
    </row>
    <row r="502">
      <c r="A502" s="5"/>
      <c r="B502" s="5"/>
      <c r="C502" s="5"/>
      <c r="E502" s="5"/>
    </row>
    <row r="503">
      <c r="A503" s="5"/>
      <c r="B503" s="5"/>
      <c r="C503" s="5"/>
      <c r="E503" s="5"/>
    </row>
    <row r="504">
      <c r="A504" s="5"/>
      <c r="B504" s="5"/>
      <c r="C504" s="5"/>
      <c r="E504" s="5"/>
    </row>
    <row r="505">
      <c r="A505" s="5"/>
      <c r="B505" s="5"/>
      <c r="C505" s="5"/>
      <c r="E505" s="5"/>
    </row>
    <row r="506">
      <c r="A506" s="5"/>
      <c r="B506" s="5"/>
      <c r="C506" s="5"/>
      <c r="E506" s="5"/>
    </row>
    <row r="507">
      <c r="A507" s="5"/>
      <c r="B507" s="5"/>
      <c r="C507" s="5"/>
      <c r="E507" s="5"/>
    </row>
    <row r="508">
      <c r="A508" s="5"/>
      <c r="B508" s="5"/>
      <c r="C508" s="5"/>
      <c r="E508" s="5"/>
    </row>
    <row r="509">
      <c r="A509" s="5"/>
      <c r="B509" s="5"/>
      <c r="C509" s="5"/>
      <c r="E509" s="5"/>
    </row>
    <row r="510">
      <c r="A510" s="5"/>
      <c r="B510" s="5"/>
      <c r="C510" s="5"/>
      <c r="E510" s="5"/>
    </row>
    <row r="511">
      <c r="A511" s="5"/>
      <c r="B511" s="5"/>
      <c r="C511" s="5"/>
      <c r="E511" s="5"/>
    </row>
    <row r="512">
      <c r="A512" s="5"/>
      <c r="B512" s="5"/>
      <c r="C512" s="5"/>
      <c r="E512" s="5"/>
    </row>
    <row r="513">
      <c r="A513" s="5"/>
      <c r="B513" s="5"/>
      <c r="C513" s="5"/>
      <c r="E513" s="5"/>
    </row>
    <row r="514">
      <c r="A514" s="5"/>
      <c r="B514" s="5"/>
      <c r="C514" s="5"/>
      <c r="E514" s="5"/>
    </row>
    <row r="515">
      <c r="A515" s="5"/>
      <c r="B515" s="5"/>
      <c r="C515" s="5"/>
      <c r="E515" s="5"/>
    </row>
    <row r="516">
      <c r="A516" s="5"/>
      <c r="B516" s="5"/>
      <c r="C516" s="5"/>
      <c r="E516" s="5"/>
    </row>
    <row r="517">
      <c r="A517" s="5"/>
      <c r="B517" s="5"/>
      <c r="C517" s="5"/>
      <c r="E517" s="5"/>
    </row>
    <row r="518">
      <c r="A518" s="5"/>
      <c r="B518" s="5"/>
      <c r="C518" s="5"/>
      <c r="E518" s="5"/>
    </row>
    <row r="519">
      <c r="A519" s="5"/>
      <c r="B519" s="5"/>
      <c r="C519" s="5"/>
      <c r="E519" s="5"/>
    </row>
    <row r="520">
      <c r="A520" s="5"/>
      <c r="B520" s="5"/>
      <c r="C520" s="5"/>
      <c r="E520" s="5"/>
    </row>
    <row r="521">
      <c r="A521" s="5"/>
      <c r="B521" s="5"/>
      <c r="C521" s="5"/>
      <c r="E521" s="5"/>
    </row>
    <row r="522">
      <c r="A522" s="5"/>
      <c r="B522" s="5"/>
      <c r="C522" s="5"/>
      <c r="E522" s="5"/>
    </row>
    <row r="523">
      <c r="A523" s="5"/>
      <c r="B523" s="5"/>
      <c r="C523" s="5"/>
      <c r="E523" s="5"/>
    </row>
    <row r="524">
      <c r="A524" s="5"/>
      <c r="B524" s="5"/>
      <c r="C524" s="5"/>
      <c r="E524" s="5"/>
    </row>
    <row r="525">
      <c r="A525" s="5"/>
      <c r="B525" s="5"/>
      <c r="C525" s="5"/>
      <c r="E525" s="5"/>
    </row>
    <row r="526">
      <c r="A526" s="5"/>
      <c r="B526" s="5"/>
      <c r="C526" s="5"/>
      <c r="E526" s="5"/>
    </row>
    <row r="527">
      <c r="A527" s="5"/>
      <c r="B527" s="5"/>
      <c r="C527" s="5"/>
      <c r="E527" s="5"/>
    </row>
    <row r="528">
      <c r="A528" s="5"/>
      <c r="B528" s="5"/>
      <c r="C528" s="5"/>
      <c r="E528" s="5"/>
    </row>
    <row r="529">
      <c r="A529" s="5"/>
      <c r="B529" s="5"/>
      <c r="C529" s="5"/>
      <c r="E529" s="5"/>
    </row>
    <row r="530">
      <c r="A530" s="5"/>
      <c r="B530" s="5"/>
      <c r="C530" s="5"/>
      <c r="E530" s="5"/>
    </row>
    <row r="531">
      <c r="A531" s="5"/>
      <c r="B531" s="5"/>
      <c r="C531" s="5"/>
      <c r="E531" s="5"/>
    </row>
    <row r="532">
      <c r="A532" s="5"/>
      <c r="B532" s="5"/>
      <c r="C532" s="5"/>
      <c r="E532" s="5"/>
    </row>
    <row r="533">
      <c r="A533" s="5"/>
      <c r="B533" s="5"/>
      <c r="C533" s="5"/>
      <c r="E533" s="5"/>
    </row>
    <row r="534">
      <c r="A534" s="5"/>
      <c r="B534" s="5"/>
      <c r="C534" s="5"/>
      <c r="E534" s="5"/>
    </row>
    <row r="535">
      <c r="A535" s="5"/>
      <c r="B535" s="5"/>
      <c r="C535" s="5"/>
      <c r="E535" s="5"/>
    </row>
    <row r="536">
      <c r="A536" s="5"/>
      <c r="B536" s="5"/>
      <c r="C536" s="5"/>
      <c r="E536" s="5"/>
    </row>
    <row r="537">
      <c r="A537" s="5"/>
      <c r="B537" s="5"/>
      <c r="C537" s="5"/>
      <c r="E537" s="5"/>
    </row>
    <row r="538">
      <c r="A538" s="5"/>
      <c r="B538" s="5"/>
      <c r="C538" s="5"/>
      <c r="E538" s="5"/>
    </row>
    <row r="539">
      <c r="A539" s="5"/>
      <c r="B539" s="5"/>
      <c r="C539" s="5"/>
      <c r="E539" s="5"/>
    </row>
    <row r="540">
      <c r="A540" s="5"/>
      <c r="B540" s="5"/>
      <c r="C540" s="5"/>
      <c r="E540" s="5"/>
    </row>
    <row r="541">
      <c r="A541" s="5"/>
      <c r="B541" s="5"/>
      <c r="C541" s="5"/>
      <c r="E541" s="5"/>
    </row>
    <row r="542">
      <c r="A542" s="5"/>
      <c r="B542" s="5"/>
      <c r="C542" s="5"/>
      <c r="E542" s="5"/>
    </row>
    <row r="543">
      <c r="A543" s="5"/>
      <c r="B543" s="5"/>
      <c r="C543" s="5"/>
      <c r="E543" s="5"/>
    </row>
    <row r="544">
      <c r="A544" s="5"/>
      <c r="B544" s="5"/>
      <c r="C544" s="5"/>
      <c r="E544" s="5"/>
    </row>
    <row r="545">
      <c r="A545" s="5"/>
      <c r="B545" s="5"/>
      <c r="C545" s="5"/>
      <c r="E545" s="5"/>
    </row>
    <row r="546">
      <c r="A546" s="5"/>
      <c r="B546" s="5"/>
      <c r="C546" s="5"/>
      <c r="E546" s="5"/>
    </row>
    <row r="547">
      <c r="A547" s="5"/>
      <c r="B547" s="5"/>
      <c r="C547" s="5"/>
      <c r="E547" s="5"/>
    </row>
    <row r="548">
      <c r="A548" s="5"/>
      <c r="B548" s="5"/>
      <c r="C548" s="5"/>
      <c r="E548" s="5"/>
    </row>
    <row r="549">
      <c r="A549" s="5"/>
      <c r="B549" s="5"/>
      <c r="C549" s="5"/>
      <c r="E549" s="5"/>
    </row>
    <row r="550">
      <c r="A550" s="5"/>
      <c r="B550" s="5"/>
      <c r="C550" s="5"/>
      <c r="E550" s="5"/>
    </row>
    <row r="551">
      <c r="A551" s="5"/>
      <c r="B551" s="5"/>
      <c r="C551" s="5"/>
      <c r="E551" s="5"/>
    </row>
    <row r="552">
      <c r="A552" s="5"/>
      <c r="B552" s="5"/>
      <c r="C552" s="5"/>
      <c r="E552" s="5"/>
    </row>
    <row r="553">
      <c r="A553" s="5"/>
      <c r="B553" s="5"/>
      <c r="C553" s="5"/>
      <c r="E553" s="5"/>
    </row>
    <row r="554">
      <c r="A554" s="5"/>
      <c r="B554" s="5"/>
      <c r="C554" s="5"/>
      <c r="E554" s="5"/>
    </row>
    <row r="555">
      <c r="A555" s="5"/>
      <c r="B555" s="5"/>
      <c r="C555" s="5"/>
      <c r="E555" s="5"/>
    </row>
    <row r="556">
      <c r="A556" s="5"/>
      <c r="B556" s="5"/>
      <c r="C556" s="5"/>
      <c r="E556" s="5"/>
    </row>
    <row r="557">
      <c r="A557" s="5"/>
      <c r="B557" s="5"/>
      <c r="C557" s="5"/>
      <c r="E557" s="5"/>
    </row>
    <row r="558">
      <c r="A558" s="5"/>
      <c r="B558" s="5"/>
      <c r="C558" s="5"/>
      <c r="E558" s="5"/>
    </row>
    <row r="559">
      <c r="A559" s="5"/>
      <c r="B559" s="5"/>
      <c r="C559" s="5"/>
      <c r="E559" s="5"/>
    </row>
    <row r="560">
      <c r="A560" s="5"/>
      <c r="B560" s="5"/>
      <c r="C560" s="5"/>
      <c r="E560" s="5"/>
    </row>
    <row r="561">
      <c r="A561" s="5"/>
      <c r="B561" s="5"/>
      <c r="C561" s="5"/>
      <c r="E561" s="5"/>
    </row>
    <row r="562">
      <c r="A562" s="5"/>
      <c r="B562" s="5"/>
      <c r="C562" s="5"/>
      <c r="E562" s="5"/>
    </row>
    <row r="563">
      <c r="A563" s="5"/>
      <c r="B563" s="5"/>
      <c r="C563" s="5"/>
      <c r="E563" s="5"/>
    </row>
    <row r="564">
      <c r="A564" s="5"/>
      <c r="B564" s="5"/>
      <c r="C564" s="5"/>
      <c r="E564" s="5"/>
    </row>
    <row r="565">
      <c r="A565" s="5"/>
      <c r="B565" s="5"/>
      <c r="C565" s="5"/>
      <c r="E565" s="5"/>
    </row>
    <row r="566">
      <c r="A566" s="5"/>
      <c r="B566" s="5"/>
      <c r="C566" s="5"/>
      <c r="E566" s="5"/>
    </row>
    <row r="567">
      <c r="A567" s="5"/>
      <c r="B567" s="5"/>
      <c r="C567" s="5"/>
      <c r="E567" s="5"/>
    </row>
    <row r="568">
      <c r="A568" s="5"/>
      <c r="B568" s="5"/>
      <c r="C568" s="5"/>
      <c r="E568" s="5"/>
    </row>
    <row r="569">
      <c r="A569" s="5"/>
      <c r="B569" s="5"/>
      <c r="C569" s="5"/>
      <c r="E569" s="5"/>
    </row>
    <row r="570">
      <c r="A570" s="5"/>
      <c r="B570" s="5"/>
      <c r="C570" s="5"/>
      <c r="E570" s="5"/>
    </row>
    <row r="571">
      <c r="A571" s="5"/>
      <c r="B571" s="5"/>
      <c r="C571" s="5"/>
      <c r="E571" s="5"/>
    </row>
    <row r="572">
      <c r="A572" s="5"/>
      <c r="B572" s="5"/>
      <c r="C572" s="5"/>
      <c r="E572" s="5"/>
    </row>
    <row r="573">
      <c r="A573" s="5"/>
      <c r="B573" s="5"/>
      <c r="C573" s="5"/>
      <c r="E573" s="5"/>
    </row>
    <row r="574">
      <c r="A574" s="5"/>
      <c r="B574" s="5"/>
      <c r="C574" s="5"/>
      <c r="E574" s="5"/>
    </row>
    <row r="575">
      <c r="A575" s="5"/>
      <c r="B575" s="5"/>
      <c r="C575" s="5"/>
      <c r="E575" s="5"/>
    </row>
    <row r="576">
      <c r="A576" s="5"/>
      <c r="B576" s="5"/>
      <c r="C576" s="5"/>
      <c r="E576" s="5"/>
    </row>
    <row r="577">
      <c r="A577" s="5"/>
      <c r="B577" s="5"/>
      <c r="C577" s="5"/>
      <c r="E577" s="5"/>
    </row>
    <row r="578">
      <c r="A578" s="5"/>
      <c r="B578" s="5"/>
      <c r="C578" s="5"/>
      <c r="E578" s="5"/>
    </row>
    <row r="579">
      <c r="A579" s="5"/>
      <c r="B579" s="5"/>
      <c r="C579" s="5"/>
      <c r="E579" s="5"/>
    </row>
    <row r="580">
      <c r="A580" s="5"/>
      <c r="B580" s="5"/>
      <c r="C580" s="5"/>
      <c r="E580" s="5"/>
    </row>
    <row r="581">
      <c r="A581" s="5"/>
      <c r="B581" s="5"/>
      <c r="C581" s="5"/>
      <c r="E581" s="5"/>
    </row>
    <row r="582">
      <c r="A582" s="5"/>
      <c r="B582" s="5"/>
      <c r="C582" s="5"/>
      <c r="E582" s="5"/>
    </row>
    <row r="583">
      <c r="A583" s="5"/>
      <c r="B583" s="5"/>
      <c r="C583" s="5"/>
      <c r="E583" s="5"/>
    </row>
    <row r="584">
      <c r="A584" s="5"/>
      <c r="B584" s="5"/>
      <c r="C584" s="5"/>
      <c r="E584" s="5"/>
    </row>
    <row r="585">
      <c r="A585" s="5"/>
      <c r="B585" s="5"/>
      <c r="C585" s="5"/>
      <c r="E585" s="5"/>
    </row>
    <row r="586">
      <c r="A586" s="5"/>
      <c r="B586" s="5"/>
      <c r="C586" s="5"/>
      <c r="E586" s="5"/>
    </row>
    <row r="587">
      <c r="A587" s="5"/>
      <c r="B587" s="5"/>
      <c r="C587" s="5"/>
      <c r="E587" s="5"/>
    </row>
    <row r="588">
      <c r="A588" s="5"/>
      <c r="B588" s="5"/>
      <c r="C588" s="5"/>
      <c r="E588" s="5"/>
    </row>
    <row r="589">
      <c r="A589" s="5"/>
      <c r="B589" s="5"/>
      <c r="C589" s="5"/>
      <c r="E589" s="5"/>
    </row>
    <row r="590">
      <c r="A590" s="5"/>
      <c r="B590" s="5"/>
      <c r="C590" s="5"/>
      <c r="E590" s="5"/>
    </row>
    <row r="591">
      <c r="A591" s="5"/>
      <c r="B591" s="5"/>
      <c r="C591" s="5"/>
      <c r="E591" s="5"/>
    </row>
    <row r="592">
      <c r="A592" s="5"/>
      <c r="B592" s="5"/>
      <c r="C592" s="5"/>
      <c r="E592" s="5"/>
    </row>
    <row r="593">
      <c r="A593" s="5"/>
      <c r="B593" s="5"/>
      <c r="C593" s="5"/>
      <c r="E593" s="5"/>
    </row>
    <row r="594">
      <c r="A594" s="5"/>
      <c r="B594" s="5"/>
      <c r="C594" s="5"/>
      <c r="E594" s="5"/>
    </row>
    <row r="595">
      <c r="A595" s="5"/>
      <c r="B595" s="5"/>
      <c r="C595" s="5"/>
      <c r="E595" s="5"/>
    </row>
    <row r="596">
      <c r="A596" s="5"/>
      <c r="B596" s="5"/>
      <c r="C596" s="5"/>
      <c r="E596" s="5"/>
    </row>
    <row r="597">
      <c r="A597" s="5"/>
      <c r="B597" s="5"/>
      <c r="C597" s="5"/>
      <c r="E597" s="5"/>
    </row>
    <row r="598">
      <c r="A598" s="5"/>
      <c r="B598" s="5"/>
      <c r="C598" s="5"/>
      <c r="E598" s="5"/>
    </row>
    <row r="599">
      <c r="A599" s="5"/>
      <c r="B599" s="5"/>
      <c r="C599" s="5"/>
      <c r="E599" s="5"/>
    </row>
    <row r="600">
      <c r="A600" s="5"/>
      <c r="B600" s="5"/>
      <c r="C600" s="5"/>
      <c r="E600" s="5"/>
    </row>
    <row r="601">
      <c r="A601" s="5"/>
      <c r="B601" s="5"/>
      <c r="C601" s="5"/>
      <c r="E601" s="5"/>
    </row>
    <row r="602">
      <c r="A602" s="5"/>
      <c r="B602" s="5"/>
      <c r="C602" s="5"/>
      <c r="E602" s="5"/>
    </row>
    <row r="603">
      <c r="A603" s="5"/>
      <c r="B603" s="5"/>
      <c r="C603" s="5"/>
      <c r="E603" s="5"/>
    </row>
    <row r="604">
      <c r="A604" s="5"/>
      <c r="B604" s="5"/>
      <c r="C604" s="5"/>
      <c r="E604" s="5"/>
    </row>
    <row r="605">
      <c r="A605" s="5"/>
      <c r="B605" s="5"/>
      <c r="C605" s="5"/>
      <c r="E605" s="5"/>
    </row>
    <row r="606">
      <c r="A606" s="5"/>
      <c r="B606" s="5"/>
      <c r="C606" s="5"/>
      <c r="E606" s="5"/>
    </row>
    <row r="607">
      <c r="A607" s="5"/>
      <c r="B607" s="5"/>
      <c r="C607" s="5"/>
      <c r="E607" s="5"/>
    </row>
    <row r="608">
      <c r="A608" s="5"/>
      <c r="B608" s="5"/>
      <c r="C608" s="5"/>
      <c r="E608" s="5"/>
    </row>
    <row r="609">
      <c r="A609" s="5"/>
      <c r="B609" s="5"/>
      <c r="C609" s="5"/>
      <c r="E609" s="5"/>
    </row>
    <row r="610">
      <c r="A610" s="5"/>
      <c r="B610" s="5"/>
      <c r="C610" s="5"/>
      <c r="E610" s="5"/>
    </row>
    <row r="611">
      <c r="A611" s="5"/>
      <c r="B611" s="5"/>
      <c r="C611" s="5"/>
      <c r="E611" s="5"/>
    </row>
    <row r="612">
      <c r="A612" s="5"/>
      <c r="B612" s="5"/>
      <c r="C612" s="5"/>
      <c r="E612" s="5"/>
    </row>
    <row r="613">
      <c r="A613" s="5"/>
      <c r="B613" s="5"/>
      <c r="C613" s="5"/>
      <c r="E613" s="5"/>
    </row>
    <row r="614">
      <c r="A614" s="5"/>
      <c r="B614" s="5"/>
      <c r="C614" s="5"/>
      <c r="E614" s="5"/>
    </row>
    <row r="615">
      <c r="A615" s="5"/>
      <c r="B615" s="5"/>
      <c r="C615" s="5"/>
      <c r="E615" s="5"/>
    </row>
    <row r="616">
      <c r="A616" s="5"/>
      <c r="B616" s="5"/>
      <c r="C616" s="5"/>
      <c r="E616" s="5"/>
    </row>
    <row r="617">
      <c r="A617" s="5"/>
      <c r="B617" s="5"/>
      <c r="C617" s="5"/>
      <c r="E617" s="5"/>
    </row>
    <row r="618">
      <c r="A618" s="5"/>
      <c r="B618" s="5"/>
      <c r="C618" s="5"/>
      <c r="E618" s="5"/>
    </row>
    <row r="619">
      <c r="A619" s="5"/>
      <c r="B619" s="5"/>
      <c r="C619" s="5"/>
      <c r="E619" s="5"/>
    </row>
    <row r="620">
      <c r="A620" s="5"/>
      <c r="B620" s="5"/>
      <c r="C620" s="5"/>
      <c r="E620" s="5"/>
    </row>
    <row r="621">
      <c r="A621" s="5"/>
      <c r="B621" s="5"/>
      <c r="C621" s="5"/>
      <c r="E621" s="5"/>
    </row>
    <row r="622">
      <c r="A622" s="5"/>
      <c r="B622" s="5"/>
      <c r="C622" s="5"/>
      <c r="E622" s="5"/>
    </row>
    <row r="623">
      <c r="A623" s="5"/>
      <c r="B623" s="5"/>
      <c r="C623" s="5"/>
      <c r="E623" s="5"/>
    </row>
    <row r="624">
      <c r="A624" s="5"/>
      <c r="B624" s="5"/>
      <c r="C624" s="5"/>
      <c r="E624" s="5"/>
    </row>
    <row r="625">
      <c r="A625" s="5"/>
      <c r="B625" s="5"/>
      <c r="C625" s="5"/>
      <c r="E625" s="5"/>
    </row>
    <row r="626">
      <c r="A626" s="5"/>
      <c r="B626" s="5"/>
      <c r="C626" s="5"/>
      <c r="E626" s="5"/>
    </row>
    <row r="627">
      <c r="A627" s="5"/>
      <c r="B627" s="5"/>
      <c r="C627" s="5"/>
      <c r="E627" s="5"/>
    </row>
    <row r="628">
      <c r="A628" s="5"/>
      <c r="B628" s="5"/>
      <c r="C628" s="5"/>
      <c r="E628" s="5"/>
    </row>
    <row r="629">
      <c r="A629" s="5"/>
      <c r="B629" s="5"/>
      <c r="C629" s="5"/>
      <c r="E629" s="5"/>
    </row>
    <row r="630">
      <c r="A630" s="5"/>
      <c r="B630" s="5"/>
      <c r="C630" s="5"/>
      <c r="E630" s="5"/>
    </row>
    <row r="631">
      <c r="A631" s="5"/>
      <c r="B631" s="5"/>
      <c r="C631" s="5"/>
      <c r="E631" s="5"/>
    </row>
    <row r="632">
      <c r="A632" s="5"/>
      <c r="B632" s="5"/>
      <c r="C632" s="5"/>
      <c r="E632" s="5"/>
    </row>
    <row r="633">
      <c r="A633" s="5"/>
      <c r="B633" s="5"/>
      <c r="C633" s="5"/>
      <c r="E633" s="5"/>
    </row>
    <row r="634">
      <c r="A634" s="5"/>
      <c r="B634" s="5"/>
      <c r="C634" s="5"/>
      <c r="E634" s="5"/>
    </row>
    <row r="635">
      <c r="A635" s="5"/>
      <c r="B635" s="5"/>
      <c r="C635" s="5"/>
      <c r="E635" s="5"/>
    </row>
    <row r="636">
      <c r="A636" s="5"/>
      <c r="B636" s="5"/>
      <c r="C636" s="5"/>
      <c r="E636" s="5"/>
    </row>
    <row r="637">
      <c r="A637" s="5"/>
      <c r="B637" s="5"/>
      <c r="C637" s="5"/>
      <c r="E637" s="5"/>
    </row>
    <row r="638">
      <c r="A638" s="5"/>
      <c r="B638" s="5"/>
      <c r="C638" s="5"/>
      <c r="E638" s="5"/>
    </row>
    <row r="639">
      <c r="A639" s="5"/>
      <c r="B639" s="5"/>
      <c r="C639" s="5"/>
      <c r="E639" s="5"/>
    </row>
    <row r="640">
      <c r="A640" s="5"/>
      <c r="B640" s="5"/>
      <c r="C640" s="5"/>
      <c r="E640" s="5"/>
    </row>
    <row r="641">
      <c r="A641" s="5"/>
      <c r="B641" s="5"/>
      <c r="C641" s="5"/>
      <c r="E641" s="5"/>
    </row>
    <row r="642">
      <c r="A642" s="5"/>
      <c r="B642" s="5"/>
      <c r="C642" s="5"/>
      <c r="E642" s="5"/>
    </row>
    <row r="643">
      <c r="A643" s="5"/>
      <c r="B643" s="5"/>
      <c r="C643" s="5"/>
      <c r="E643" s="5"/>
    </row>
    <row r="644">
      <c r="A644" s="5"/>
      <c r="B644" s="5"/>
      <c r="C644" s="5"/>
      <c r="E644" s="5"/>
    </row>
    <row r="645">
      <c r="A645" s="5"/>
      <c r="B645" s="5"/>
      <c r="C645" s="5"/>
      <c r="E645" s="5"/>
    </row>
    <row r="646">
      <c r="A646" s="5"/>
      <c r="B646" s="5"/>
      <c r="C646" s="5"/>
      <c r="E646" s="5"/>
    </row>
    <row r="647">
      <c r="A647" s="5"/>
      <c r="B647" s="5"/>
      <c r="C647" s="5"/>
      <c r="E647" s="5"/>
    </row>
    <row r="648">
      <c r="A648" s="5"/>
      <c r="B648" s="5"/>
      <c r="C648" s="5"/>
      <c r="E648" s="5"/>
    </row>
    <row r="649">
      <c r="A649" s="5"/>
      <c r="B649" s="5"/>
      <c r="C649" s="5"/>
      <c r="E649" s="5"/>
    </row>
    <row r="650">
      <c r="A650" s="5"/>
      <c r="B650" s="5"/>
      <c r="C650" s="5"/>
      <c r="E650" s="5"/>
    </row>
    <row r="651">
      <c r="A651" s="5"/>
      <c r="B651" s="5"/>
      <c r="C651" s="5"/>
      <c r="E651" s="5"/>
    </row>
    <row r="652">
      <c r="A652" s="5"/>
      <c r="B652" s="5"/>
      <c r="C652" s="5"/>
      <c r="E652" s="5"/>
    </row>
    <row r="653">
      <c r="A653" s="5"/>
      <c r="B653" s="5"/>
      <c r="C653" s="5"/>
      <c r="E653" s="5"/>
    </row>
    <row r="654">
      <c r="A654" s="5"/>
      <c r="B654" s="5"/>
      <c r="C654" s="5"/>
      <c r="E654" s="5"/>
    </row>
    <row r="655">
      <c r="A655" s="5"/>
      <c r="B655" s="5"/>
      <c r="C655" s="5"/>
      <c r="E655" s="5"/>
    </row>
    <row r="656">
      <c r="A656" s="5"/>
      <c r="B656" s="5"/>
      <c r="C656" s="5"/>
      <c r="E656" s="5"/>
    </row>
    <row r="657">
      <c r="A657" s="5"/>
      <c r="B657" s="5"/>
      <c r="C657" s="5"/>
      <c r="E657" s="5"/>
    </row>
    <row r="658">
      <c r="A658" s="5"/>
      <c r="B658" s="5"/>
      <c r="C658" s="5"/>
      <c r="E658" s="5"/>
    </row>
    <row r="659">
      <c r="A659" s="5"/>
      <c r="B659" s="5"/>
      <c r="C659" s="5"/>
      <c r="E659" s="5"/>
    </row>
    <row r="660">
      <c r="A660" s="5"/>
      <c r="B660" s="5"/>
      <c r="C660" s="5"/>
      <c r="E660" s="5"/>
    </row>
    <row r="661">
      <c r="A661" s="5"/>
      <c r="B661" s="5"/>
      <c r="C661" s="5"/>
      <c r="E661" s="5"/>
    </row>
    <row r="662">
      <c r="A662" s="5"/>
      <c r="B662" s="5"/>
      <c r="C662" s="5"/>
      <c r="E662" s="5"/>
    </row>
    <row r="663">
      <c r="A663" s="5"/>
      <c r="B663" s="5"/>
      <c r="C663" s="5"/>
      <c r="E663" s="5"/>
    </row>
    <row r="664">
      <c r="A664" s="5"/>
      <c r="B664" s="5"/>
      <c r="C664" s="5"/>
      <c r="E664" s="5"/>
    </row>
    <row r="665">
      <c r="A665" s="5"/>
      <c r="B665" s="5"/>
      <c r="C665" s="5"/>
      <c r="E665" s="5"/>
    </row>
    <row r="666">
      <c r="A666" s="5"/>
      <c r="B666" s="5"/>
      <c r="C666" s="5"/>
      <c r="E666" s="5"/>
    </row>
    <row r="667">
      <c r="A667" s="5"/>
      <c r="B667" s="5"/>
      <c r="C667" s="5"/>
      <c r="E667" s="5"/>
    </row>
    <row r="668">
      <c r="A668" s="5"/>
      <c r="B668" s="5"/>
      <c r="C668" s="5"/>
      <c r="E668" s="5"/>
    </row>
    <row r="669">
      <c r="A669" s="5"/>
      <c r="B669" s="5"/>
      <c r="C669" s="5"/>
      <c r="E669" s="5"/>
    </row>
    <row r="670">
      <c r="A670" s="5"/>
      <c r="B670" s="5"/>
      <c r="C670" s="5"/>
      <c r="E670" s="5"/>
    </row>
    <row r="671">
      <c r="A671" s="5"/>
      <c r="B671" s="5"/>
      <c r="C671" s="5"/>
      <c r="E671" s="5"/>
    </row>
    <row r="672">
      <c r="A672" s="5"/>
      <c r="B672" s="5"/>
      <c r="C672" s="5"/>
      <c r="E672" s="5"/>
    </row>
    <row r="673">
      <c r="A673" s="5"/>
      <c r="B673" s="5"/>
      <c r="C673" s="5"/>
      <c r="E673" s="5"/>
    </row>
    <row r="674">
      <c r="A674" s="5"/>
      <c r="B674" s="5"/>
      <c r="C674" s="5"/>
      <c r="E674" s="5"/>
    </row>
    <row r="675">
      <c r="A675" s="5"/>
      <c r="B675" s="5"/>
      <c r="C675" s="5"/>
      <c r="E675" s="5"/>
    </row>
    <row r="676">
      <c r="A676" s="5"/>
      <c r="B676" s="5"/>
      <c r="C676" s="5"/>
      <c r="E676" s="5"/>
    </row>
    <row r="677">
      <c r="A677" s="5"/>
      <c r="B677" s="5"/>
      <c r="C677" s="5"/>
      <c r="E677" s="5"/>
    </row>
    <row r="678">
      <c r="A678" s="5"/>
      <c r="B678" s="5"/>
      <c r="C678" s="5"/>
      <c r="E678" s="5"/>
    </row>
    <row r="679">
      <c r="A679" s="5"/>
      <c r="B679" s="5"/>
      <c r="C679" s="5"/>
      <c r="E679" s="5"/>
    </row>
    <row r="680">
      <c r="A680" s="5"/>
      <c r="B680" s="5"/>
      <c r="C680" s="5"/>
      <c r="E680" s="5"/>
    </row>
    <row r="681">
      <c r="A681" s="5"/>
      <c r="B681" s="5"/>
      <c r="C681" s="5"/>
      <c r="E681" s="5"/>
    </row>
    <row r="682">
      <c r="A682" s="5"/>
      <c r="B682" s="5"/>
      <c r="C682" s="5"/>
      <c r="E682" s="5"/>
    </row>
    <row r="683">
      <c r="A683" s="5"/>
      <c r="B683" s="5"/>
      <c r="C683" s="5"/>
      <c r="E683" s="5"/>
    </row>
    <row r="684">
      <c r="A684" s="5"/>
      <c r="B684" s="5"/>
      <c r="C684" s="5"/>
      <c r="E684" s="5"/>
    </row>
    <row r="685">
      <c r="A685" s="5"/>
      <c r="B685" s="5"/>
      <c r="C685" s="5"/>
      <c r="E685" s="5"/>
    </row>
    <row r="686">
      <c r="A686" s="5"/>
      <c r="B686" s="5"/>
      <c r="C686" s="5"/>
      <c r="E686" s="5"/>
    </row>
    <row r="687">
      <c r="A687" s="5"/>
      <c r="B687" s="5"/>
      <c r="C687" s="5"/>
      <c r="E687" s="5"/>
    </row>
    <row r="688">
      <c r="A688" s="5"/>
      <c r="B688" s="5"/>
      <c r="C688" s="5"/>
      <c r="E688" s="5"/>
    </row>
    <row r="689">
      <c r="A689" s="5"/>
      <c r="B689" s="5"/>
      <c r="C689" s="5"/>
      <c r="E689" s="5"/>
    </row>
    <row r="690">
      <c r="A690" s="5"/>
      <c r="B690" s="5"/>
      <c r="C690" s="5"/>
      <c r="E690" s="5"/>
    </row>
    <row r="691">
      <c r="A691" s="5"/>
      <c r="B691" s="5"/>
      <c r="C691" s="5"/>
      <c r="E691" s="5"/>
    </row>
    <row r="692">
      <c r="A692" s="5"/>
      <c r="B692" s="5"/>
      <c r="C692" s="5"/>
      <c r="E692" s="5"/>
    </row>
    <row r="693">
      <c r="A693" s="5"/>
      <c r="B693" s="5"/>
      <c r="C693" s="5"/>
      <c r="E693" s="5"/>
    </row>
    <row r="694">
      <c r="A694" s="5"/>
      <c r="B694" s="5"/>
      <c r="C694" s="5"/>
      <c r="E694" s="5"/>
    </row>
    <row r="695">
      <c r="A695" s="5"/>
      <c r="B695" s="5"/>
      <c r="C695" s="5"/>
      <c r="E695" s="5"/>
    </row>
    <row r="696">
      <c r="A696" s="5"/>
      <c r="B696" s="5"/>
      <c r="C696" s="5"/>
      <c r="E696" s="5"/>
    </row>
    <row r="697">
      <c r="A697" s="5"/>
      <c r="B697" s="5"/>
      <c r="C697" s="5"/>
      <c r="E697" s="5"/>
    </row>
    <row r="698">
      <c r="A698" s="5"/>
      <c r="B698" s="5"/>
      <c r="C698" s="5"/>
      <c r="E698" s="5"/>
    </row>
    <row r="699">
      <c r="A699" s="5"/>
      <c r="B699" s="5"/>
      <c r="C699" s="5"/>
      <c r="E699" s="5"/>
    </row>
    <row r="700">
      <c r="A700" s="5"/>
      <c r="B700" s="5"/>
      <c r="C700" s="5"/>
      <c r="E700" s="5"/>
    </row>
    <row r="701">
      <c r="A701" s="5"/>
      <c r="B701" s="5"/>
      <c r="C701" s="5"/>
      <c r="E701" s="5"/>
    </row>
    <row r="702">
      <c r="A702" s="5"/>
      <c r="B702" s="5"/>
      <c r="C702" s="5"/>
      <c r="E702" s="5"/>
    </row>
    <row r="703">
      <c r="A703" s="5"/>
      <c r="B703" s="5"/>
      <c r="C703" s="5"/>
      <c r="E703" s="5"/>
    </row>
    <row r="704">
      <c r="A704" s="5"/>
      <c r="B704" s="5"/>
      <c r="C704" s="5"/>
      <c r="E704" s="5"/>
    </row>
    <row r="705">
      <c r="A705" s="5"/>
      <c r="B705" s="5"/>
      <c r="C705" s="5"/>
      <c r="E705" s="5"/>
    </row>
    <row r="706">
      <c r="A706" s="5"/>
      <c r="B706" s="5"/>
      <c r="C706" s="5"/>
      <c r="E706" s="5"/>
    </row>
    <row r="707">
      <c r="A707" s="5"/>
      <c r="B707" s="5"/>
      <c r="C707" s="5"/>
      <c r="E707" s="5"/>
    </row>
    <row r="708">
      <c r="A708" s="5"/>
      <c r="B708" s="5"/>
      <c r="C708" s="5"/>
      <c r="E708" s="5"/>
    </row>
    <row r="709">
      <c r="A709" s="5"/>
      <c r="B709" s="5"/>
      <c r="C709" s="5"/>
      <c r="E709" s="5"/>
    </row>
    <row r="710">
      <c r="A710" s="5"/>
      <c r="B710" s="5"/>
      <c r="C710" s="5"/>
      <c r="E710" s="5"/>
    </row>
    <row r="711">
      <c r="A711" s="5"/>
      <c r="B711" s="5"/>
      <c r="C711" s="5"/>
      <c r="E711" s="5"/>
    </row>
    <row r="712">
      <c r="A712" s="5"/>
      <c r="B712" s="5"/>
      <c r="C712" s="5"/>
      <c r="E712" s="5"/>
    </row>
    <row r="713">
      <c r="A713" s="5"/>
      <c r="B713" s="5"/>
      <c r="C713" s="5"/>
      <c r="E713" s="5"/>
    </row>
    <row r="714">
      <c r="A714" s="5"/>
      <c r="B714" s="5"/>
      <c r="C714" s="5"/>
      <c r="E714" s="5"/>
    </row>
    <row r="715">
      <c r="A715" s="5"/>
      <c r="B715" s="5"/>
      <c r="C715" s="5"/>
      <c r="E715" s="5"/>
    </row>
    <row r="716">
      <c r="A716" s="5"/>
      <c r="B716" s="5"/>
      <c r="C716" s="5"/>
      <c r="E716" s="5"/>
    </row>
    <row r="717">
      <c r="A717" s="5"/>
      <c r="B717" s="5"/>
      <c r="C717" s="5"/>
      <c r="E717" s="5"/>
    </row>
    <row r="718">
      <c r="A718" s="5"/>
      <c r="B718" s="5"/>
      <c r="C718" s="5"/>
      <c r="E718" s="5"/>
    </row>
    <row r="719">
      <c r="A719" s="5"/>
      <c r="B719" s="5"/>
      <c r="C719" s="5"/>
      <c r="E719" s="5"/>
    </row>
    <row r="720">
      <c r="A720" s="5"/>
      <c r="B720" s="5"/>
      <c r="C720" s="5"/>
      <c r="E720" s="5"/>
    </row>
    <row r="721">
      <c r="A721" s="5"/>
      <c r="B721" s="5"/>
      <c r="C721" s="5"/>
      <c r="E721" s="5"/>
    </row>
    <row r="722">
      <c r="A722" s="5"/>
      <c r="B722" s="5"/>
      <c r="C722" s="5"/>
      <c r="E722" s="5"/>
    </row>
    <row r="723">
      <c r="A723" s="5"/>
      <c r="B723" s="5"/>
      <c r="C723" s="5"/>
      <c r="E723" s="5"/>
    </row>
    <row r="724">
      <c r="A724" s="5"/>
      <c r="B724" s="5"/>
      <c r="C724" s="5"/>
      <c r="E724" s="5"/>
    </row>
    <row r="725">
      <c r="A725" s="5"/>
      <c r="B725" s="5"/>
      <c r="C725" s="5"/>
      <c r="E725" s="5"/>
    </row>
    <row r="726">
      <c r="A726" s="5"/>
      <c r="B726" s="5"/>
      <c r="C726" s="5"/>
      <c r="E726" s="5"/>
    </row>
    <row r="727">
      <c r="A727" s="5"/>
      <c r="B727" s="5"/>
      <c r="C727" s="5"/>
      <c r="E727" s="5"/>
    </row>
    <row r="728">
      <c r="A728" s="5"/>
      <c r="B728" s="5"/>
      <c r="C728" s="5"/>
      <c r="E728" s="5"/>
    </row>
    <row r="729">
      <c r="A729" s="5"/>
      <c r="B729" s="5"/>
      <c r="C729" s="5"/>
      <c r="E729" s="5"/>
    </row>
    <row r="730">
      <c r="A730" s="5"/>
      <c r="B730" s="5"/>
      <c r="C730" s="5"/>
      <c r="E730" s="5"/>
    </row>
    <row r="731">
      <c r="A731" s="5"/>
      <c r="B731" s="5"/>
      <c r="C731" s="5"/>
      <c r="E731" s="5"/>
    </row>
    <row r="732">
      <c r="A732" s="5"/>
      <c r="B732" s="5"/>
      <c r="C732" s="5"/>
      <c r="E732" s="5"/>
    </row>
    <row r="733">
      <c r="A733" s="5"/>
      <c r="B733" s="5"/>
      <c r="C733" s="5"/>
      <c r="E733" s="5"/>
    </row>
    <row r="734">
      <c r="A734" s="5"/>
      <c r="B734" s="5"/>
      <c r="C734" s="5"/>
      <c r="E734" s="5"/>
    </row>
    <row r="735">
      <c r="A735" s="5"/>
      <c r="B735" s="5"/>
      <c r="C735" s="5"/>
      <c r="E735" s="5"/>
    </row>
    <row r="736">
      <c r="A736" s="5"/>
      <c r="B736" s="5"/>
      <c r="C736" s="5"/>
      <c r="E736" s="5"/>
    </row>
    <row r="737">
      <c r="A737" s="5"/>
      <c r="B737" s="5"/>
      <c r="C737" s="5"/>
      <c r="E737" s="5"/>
    </row>
    <row r="738">
      <c r="A738" s="5"/>
      <c r="B738" s="5"/>
      <c r="C738" s="5"/>
      <c r="E738" s="5"/>
    </row>
    <row r="739">
      <c r="A739" s="5"/>
      <c r="B739" s="5"/>
      <c r="C739" s="5"/>
      <c r="E739" s="5"/>
    </row>
    <row r="740">
      <c r="A740" s="5"/>
      <c r="B740" s="5"/>
      <c r="C740" s="5"/>
      <c r="E740" s="5"/>
    </row>
    <row r="741">
      <c r="A741" s="5"/>
      <c r="B741" s="5"/>
      <c r="C741" s="5"/>
      <c r="E741" s="5"/>
    </row>
    <row r="742">
      <c r="A742" s="5"/>
      <c r="B742" s="5"/>
      <c r="C742" s="5"/>
      <c r="E742" s="5"/>
    </row>
    <row r="743">
      <c r="A743" s="5"/>
      <c r="B743" s="5"/>
      <c r="C743" s="5"/>
      <c r="E743" s="5"/>
    </row>
    <row r="744">
      <c r="A744" s="5"/>
      <c r="B744" s="5"/>
      <c r="C744" s="5"/>
      <c r="E744" s="5"/>
    </row>
    <row r="745">
      <c r="A745" s="5"/>
      <c r="B745" s="5"/>
      <c r="C745" s="5"/>
      <c r="E745" s="5"/>
    </row>
    <row r="746">
      <c r="A746" s="5"/>
      <c r="B746" s="5"/>
      <c r="C746" s="5"/>
      <c r="E746" s="5"/>
    </row>
    <row r="747">
      <c r="A747" s="5"/>
      <c r="B747" s="5"/>
      <c r="C747" s="5"/>
      <c r="E747" s="5"/>
    </row>
    <row r="748">
      <c r="A748" s="5"/>
      <c r="B748" s="5"/>
      <c r="C748" s="5"/>
      <c r="E748" s="5"/>
    </row>
    <row r="749">
      <c r="A749" s="5"/>
      <c r="B749" s="5"/>
      <c r="C749" s="5"/>
      <c r="E749" s="5"/>
    </row>
    <row r="750">
      <c r="A750" s="5"/>
      <c r="B750" s="5"/>
      <c r="C750" s="5"/>
      <c r="E750" s="5"/>
    </row>
    <row r="751">
      <c r="A751" s="5"/>
      <c r="B751" s="5"/>
      <c r="C751" s="5"/>
      <c r="E751" s="5"/>
    </row>
    <row r="752">
      <c r="A752" s="5"/>
      <c r="B752" s="5"/>
      <c r="C752" s="5"/>
      <c r="E752" s="5"/>
    </row>
    <row r="753">
      <c r="A753" s="5"/>
      <c r="B753" s="5"/>
      <c r="C753" s="5"/>
      <c r="E753" s="5"/>
    </row>
    <row r="754">
      <c r="A754" s="5"/>
      <c r="B754" s="5"/>
      <c r="C754" s="5"/>
      <c r="E754" s="5"/>
    </row>
    <row r="755">
      <c r="A755" s="5"/>
      <c r="B755" s="5"/>
      <c r="C755" s="5"/>
      <c r="E755" s="5"/>
    </row>
    <row r="756">
      <c r="A756" s="5"/>
      <c r="B756" s="5"/>
      <c r="C756" s="5"/>
      <c r="E756" s="5"/>
    </row>
    <row r="757">
      <c r="A757" s="5"/>
      <c r="B757" s="5"/>
      <c r="C757" s="5"/>
      <c r="E757" s="5"/>
    </row>
    <row r="758">
      <c r="A758" s="5"/>
      <c r="B758" s="5"/>
      <c r="C758" s="5"/>
      <c r="E758" s="5"/>
    </row>
    <row r="759">
      <c r="A759" s="5"/>
      <c r="B759" s="5"/>
      <c r="C759" s="5"/>
      <c r="E759" s="5"/>
    </row>
    <row r="760">
      <c r="A760" s="5"/>
      <c r="B760" s="5"/>
      <c r="C760" s="5"/>
      <c r="E760" s="5"/>
    </row>
    <row r="761">
      <c r="A761" s="5"/>
      <c r="B761" s="5"/>
      <c r="C761" s="5"/>
      <c r="E761" s="5"/>
    </row>
    <row r="762">
      <c r="A762" s="5"/>
      <c r="B762" s="5"/>
      <c r="C762" s="5"/>
      <c r="E762" s="5"/>
    </row>
    <row r="763">
      <c r="A763" s="5"/>
      <c r="B763" s="5"/>
      <c r="C763" s="5"/>
      <c r="E763" s="5"/>
    </row>
    <row r="764">
      <c r="A764" s="5"/>
      <c r="B764" s="5"/>
      <c r="C764" s="5"/>
      <c r="E764" s="5"/>
    </row>
    <row r="765">
      <c r="A765" s="5"/>
      <c r="B765" s="5"/>
      <c r="C765" s="5"/>
      <c r="E765" s="5"/>
    </row>
    <row r="766">
      <c r="A766" s="5"/>
      <c r="B766" s="5"/>
      <c r="C766" s="5"/>
      <c r="E766" s="5"/>
    </row>
    <row r="767">
      <c r="A767" s="5"/>
      <c r="B767" s="5"/>
      <c r="C767" s="5"/>
      <c r="E767" s="5"/>
    </row>
    <row r="768">
      <c r="A768" s="5"/>
      <c r="B768" s="5"/>
      <c r="C768" s="5"/>
      <c r="E768" s="5"/>
    </row>
    <row r="769">
      <c r="A769" s="5"/>
      <c r="B769" s="5"/>
      <c r="C769" s="5"/>
      <c r="E769" s="5"/>
    </row>
    <row r="770">
      <c r="A770" s="5"/>
      <c r="B770" s="5"/>
      <c r="C770" s="5"/>
      <c r="E770" s="5"/>
    </row>
    <row r="771">
      <c r="A771" s="5"/>
      <c r="B771" s="5"/>
      <c r="C771" s="5"/>
      <c r="E771" s="5"/>
    </row>
    <row r="772">
      <c r="A772" s="5"/>
      <c r="B772" s="5"/>
      <c r="C772" s="5"/>
      <c r="E772" s="5"/>
    </row>
    <row r="773">
      <c r="A773" s="5"/>
      <c r="B773" s="5"/>
      <c r="C773" s="5"/>
      <c r="E773" s="5"/>
    </row>
    <row r="774">
      <c r="A774" s="5"/>
      <c r="B774" s="5"/>
      <c r="C774" s="5"/>
      <c r="E774" s="5"/>
    </row>
    <row r="775">
      <c r="A775" s="5"/>
      <c r="B775" s="5"/>
      <c r="C775" s="5"/>
      <c r="E775" s="5"/>
    </row>
    <row r="776">
      <c r="A776" s="5"/>
      <c r="B776" s="5"/>
      <c r="C776" s="5"/>
      <c r="E776" s="5"/>
    </row>
    <row r="777">
      <c r="A777" s="5"/>
      <c r="B777" s="5"/>
      <c r="C777" s="5"/>
      <c r="E777" s="5"/>
    </row>
    <row r="778">
      <c r="A778" s="5"/>
      <c r="B778" s="5"/>
      <c r="C778" s="5"/>
      <c r="E778" s="5"/>
    </row>
    <row r="779">
      <c r="A779" s="5"/>
      <c r="B779" s="5"/>
      <c r="C779" s="5"/>
      <c r="E779" s="5"/>
    </row>
    <row r="780">
      <c r="A780" s="5"/>
      <c r="B780" s="5"/>
      <c r="C780" s="5"/>
      <c r="E780" s="5"/>
    </row>
    <row r="781">
      <c r="A781" s="5"/>
      <c r="B781" s="5"/>
      <c r="C781" s="5"/>
      <c r="E781" s="5"/>
    </row>
    <row r="782">
      <c r="A782" s="5"/>
      <c r="B782" s="5"/>
      <c r="C782" s="5"/>
      <c r="E782" s="5"/>
    </row>
    <row r="783">
      <c r="A783" s="5"/>
      <c r="B783" s="5"/>
      <c r="C783" s="5"/>
      <c r="E783" s="5"/>
    </row>
    <row r="784">
      <c r="A784" s="5"/>
      <c r="B784" s="5"/>
      <c r="C784" s="5"/>
      <c r="E784" s="5"/>
    </row>
    <row r="785">
      <c r="A785" s="5"/>
      <c r="B785" s="5"/>
      <c r="C785" s="5"/>
      <c r="E785" s="5"/>
    </row>
    <row r="786">
      <c r="A786" s="5"/>
      <c r="B786" s="5"/>
      <c r="C786" s="5"/>
      <c r="E786" s="5"/>
    </row>
    <row r="787">
      <c r="A787" s="5"/>
      <c r="B787" s="5"/>
      <c r="C787" s="5"/>
      <c r="E787" s="5"/>
    </row>
    <row r="788">
      <c r="A788" s="5"/>
      <c r="B788" s="5"/>
      <c r="C788" s="5"/>
      <c r="E788" s="5"/>
    </row>
    <row r="789">
      <c r="A789" s="5"/>
      <c r="B789" s="5"/>
      <c r="C789" s="5"/>
      <c r="E789" s="5"/>
    </row>
    <row r="790">
      <c r="A790" s="5"/>
      <c r="B790" s="5"/>
      <c r="C790" s="5"/>
      <c r="E790" s="5"/>
    </row>
    <row r="791">
      <c r="A791" s="5"/>
      <c r="B791" s="5"/>
      <c r="C791" s="5"/>
      <c r="E791" s="5"/>
    </row>
    <row r="792">
      <c r="A792" s="5"/>
      <c r="B792" s="5"/>
      <c r="C792" s="5"/>
      <c r="E792" s="5"/>
    </row>
    <row r="793">
      <c r="A793" s="5"/>
      <c r="B793" s="5"/>
      <c r="C793" s="5"/>
      <c r="E793" s="5"/>
    </row>
    <row r="794">
      <c r="A794" s="5"/>
      <c r="B794" s="5"/>
      <c r="C794" s="5"/>
      <c r="E794" s="5"/>
    </row>
    <row r="795">
      <c r="A795" s="5"/>
      <c r="B795" s="5"/>
      <c r="C795" s="5"/>
      <c r="E795" s="5"/>
    </row>
    <row r="796">
      <c r="A796" s="5"/>
      <c r="B796" s="5"/>
      <c r="C796" s="5"/>
      <c r="E796" s="5"/>
    </row>
    <row r="797">
      <c r="A797" s="5"/>
      <c r="B797" s="5"/>
      <c r="C797" s="5"/>
      <c r="E797" s="5"/>
    </row>
    <row r="798">
      <c r="A798" s="5"/>
      <c r="B798" s="5"/>
      <c r="C798" s="5"/>
      <c r="E798" s="5"/>
    </row>
    <row r="799">
      <c r="A799" s="5"/>
      <c r="B799" s="5"/>
      <c r="C799" s="5"/>
      <c r="E799" s="5"/>
    </row>
    <row r="800">
      <c r="A800" s="5"/>
      <c r="B800" s="5"/>
      <c r="C800" s="5"/>
      <c r="E800" s="5"/>
    </row>
    <row r="801">
      <c r="A801" s="5"/>
      <c r="B801" s="5"/>
      <c r="C801" s="5"/>
      <c r="E801" s="5"/>
    </row>
    <row r="802">
      <c r="A802" s="5"/>
      <c r="B802" s="5"/>
      <c r="C802" s="5"/>
      <c r="E802" s="5"/>
    </row>
    <row r="803">
      <c r="A803" s="5"/>
      <c r="B803" s="5"/>
      <c r="C803" s="5"/>
      <c r="E803" s="5"/>
    </row>
    <row r="804">
      <c r="A804" s="5"/>
      <c r="B804" s="5"/>
      <c r="C804" s="5"/>
      <c r="E804" s="5"/>
    </row>
    <row r="805">
      <c r="A805" s="5"/>
      <c r="B805" s="5"/>
      <c r="C805" s="5"/>
      <c r="E805" s="5"/>
    </row>
    <row r="806">
      <c r="A806" s="5"/>
      <c r="B806" s="5"/>
      <c r="C806" s="5"/>
      <c r="E806" s="5"/>
    </row>
    <row r="807">
      <c r="A807" s="5"/>
      <c r="B807" s="5"/>
      <c r="C807" s="5"/>
      <c r="E807" s="5"/>
    </row>
    <row r="808">
      <c r="A808" s="5"/>
      <c r="B808" s="5"/>
      <c r="C808" s="5"/>
      <c r="E808" s="5"/>
    </row>
    <row r="809">
      <c r="A809" s="5"/>
      <c r="B809" s="5"/>
      <c r="C809" s="5"/>
      <c r="E809" s="5"/>
    </row>
    <row r="810">
      <c r="A810" s="5"/>
      <c r="B810" s="5"/>
      <c r="C810" s="5"/>
      <c r="E810" s="5"/>
    </row>
    <row r="811">
      <c r="A811" s="5"/>
      <c r="B811" s="5"/>
      <c r="C811" s="5"/>
      <c r="E811" s="5"/>
    </row>
    <row r="812">
      <c r="A812" s="5"/>
      <c r="B812" s="5"/>
      <c r="C812" s="5"/>
      <c r="E812" s="5"/>
    </row>
    <row r="813">
      <c r="A813" s="5"/>
      <c r="B813" s="5"/>
      <c r="C813" s="5"/>
      <c r="E813" s="5"/>
    </row>
    <row r="814">
      <c r="A814" s="5"/>
      <c r="B814" s="5"/>
      <c r="C814" s="5"/>
      <c r="E814" s="5"/>
    </row>
    <row r="815">
      <c r="A815" s="5"/>
      <c r="B815" s="5"/>
      <c r="C815" s="5"/>
      <c r="E815" s="5"/>
    </row>
    <row r="816">
      <c r="A816" s="5"/>
      <c r="B816" s="5"/>
      <c r="C816" s="5"/>
      <c r="E816" s="5"/>
    </row>
    <row r="817">
      <c r="A817" s="5"/>
      <c r="B817" s="5"/>
      <c r="C817" s="5"/>
      <c r="E817" s="5"/>
    </row>
    <row r="818">
      <c r="A818" s="5"/>
      <c r="B818" s="5"/>
      <c r="C818" s="5"/>
      <c r="E818" s="5"/>
    </row>
    <row r="819">
      <c r="A819" s="5"/>
      <c r="B819" s="5"/>
      <c r="C819" s="5"/>
      <c r="E819" s="5"/>
    </row>
    <row r="820">
      <c r="A820" s="5"/>
      <c r="B820" s="5"/>
      <c r="C820" s="5"/>
      <c r="E820" s="5"/>
    </row>
    <row r="821">
      <c r="A821" s="5"/>
      <c r="B821" s="5"/>
      <c r="C821" s="5"/>
      <c r="E821" s="5"/>
    </row>
    <row r="822">
      <c r="A822" s="5"/>
      <c r="B822" s="5"/>
      <c r="C822" s="5"/>
      <c r="E822" s="5"/>
    </row>
    <row r="823">
      <c r="A823" s="5"/>
      <c r="B823" s="5"/>
      <c r="C823" s="5"/>
      <c r="E823" s="5"/>
    </row>
    <row r="824">
      <c r="A824" s="5"/>
      <c r="B824" s="5"/>
      <c r="C824" s="5"/>
      <c r="E824" s="5"/>
    </row>
    <row r="825">
      <c r="A825" s="5"/>
      <c r="B825" s="5"/>
      <c r="C825" s="5"/>
      <c r="E825" s="5"/>
    </row>
    <row r="826">
      <c r="A826" s="5"/>
      <c r="B826" s="5"/>
      <c r="C826" s="5"/>
      <c r="E826" s="5"/>
    </row>
    <row r="827">
      <c r="A827" s="5"/>
      <c r="B827" s="5"/>
      <c r="C827" s="5"/>
      <c r="E827" s="5"/>
    </row>
    <row r="828">
      <c r="A828" s="5"/>
      <c r="B828" s="5"/>
      <c r="C828" s="5"/>
      <c r="E828" s="5"/>
    </row>
    <row r="829">
      <c r="A829" s="5"/>
      <c r="B829" s="5"/>
      <c r="C829" s="5"/>
      <c r="E829" s="5"/>
    </row>
    <row r="830">
      <c r="A830" s="5"/>
      <c r="B830" s="5"/>
      <c r="C830" s="5"/>
      <c r="E830" s="5"/>
    </row>
    <row r="831">
      <c r="A831" s="5"/>
      <c r="B831" s="5"/>
      <c r="C831" s="5"/>
      <c r="E831" s="5"/>
    </row>
    <row r="832">
      <c r="A832" s="5"/>
      <c r="B832" s="5"/>
      <c r="C832" s="5"/>
      <c r="E832" s="5"/>
    </row>
    <row r="833">
      <c r="A833" s="5"/>
      <c r="B833" s="5"/>
      <c r="C833" s="5"/>
      <c r="E833" s="5"/>
    </row>
    <row r="834">
      <c r="A834" s="5"/>
      <c r="B834" s="5"/>
      <c r="C834" s="5"/>
      <c r="E834" s="5"/>
    </row>
    <row r="835">
      <c r="A835" s="5"/>
      <c r="B835" s="5"/>
      <c r="C835" s="5"/>
      <c r="E835" s="5"/>
    </row>
    <row r="836">
      <c r="A836" s="5"/>
      <c r="B836" s="5"/>
      <c r="C836" s="5"/>
      <c r="E836" s="5"/>
    </row>
    <row r="837">
      <c r="A837" s="5"/>
      <c r="B837" s="5"/>
      <c r="C837" s="5"/>
      <c r="E837" s="5"/>
    </row>
    <row r="838">
      <c r="A838" s="5"/>
      <c r="B838" s="5"/>
      <c r="C838" s="5"/>
      <c r="E838" s="5"/>
    </row>
    <row r="839">
      <c r="A839" s="5"/>
      <c r="B839" s="5"/>
      <c r="C839" s="5"/>
      <c r="E839" s="5"/>
    </row>
    <row r="840">
      <c r="A840" s="5"/>
      <c r="B840" s="5"/>
      <c r="C840" s="5"/>
      <c r="E840" s="5"/>
    </row>
    <row r="841">
      <c r="A841" s="5"/>
      <c r="B841" s="5"/>
      <c r="C841" s="5"/>
      <c r="E841" s="5"/>
    </row>
    <row r="842">
      <c r="A842" s="5"/>
      <c r="B842" s="5"/>
      <c r="C842" s="5"/>
      <c r="E842" s="5"/>
    </row>
    <row r="843">
      <c r="A843" s="5"/>
      <c r="B843" s="5"/>
      <c r="C843" s="5"/>
      <c r="E843" s="5"/>
    </row>
    <row r="844">
      <c r="A844" s="5"/>
      <c r="B844" s="5"/>
      <c r="C844" s="5"/>
      <c r="E844" s="5"/>
    </row>
    <row r="845">
      <c r="A845" s="5"/>
      <c r="B845" s="5"/>
      <c r="C845" s="5"/>
      <c r="E845" s="5"/>
    </row>
    <row r="846">
      <c r="A846" s="5"/>
      <c r="B846" s="5"/>
      <c r="C846" s="5"/>
      <c r="E846" s="5"/>
    </row>
    <row r="847">
      <c r="A847" s="5"/>
      <c r="B847" s="5"/>
      <c r="C847" s="5"/>
      <c r="E847" s="5"/>
    </row>
    <row r="848">
      <c r="A848" s="5"/>
      <c r="B848" s="5"/>
      <c r="C848" s="5"/>
      <c r="E848" s="5"/>
    </row>
    <row r="849">
      <c r="A849" s="5"/>
      <c r="B849" s="5"/>
      <c r="C849" s="5"/>
      <c r="E849" s="5"/>
    </row>
    <row r="850">
      <c r="A850" s="5"/>
      <c r="B850" s="5"/>
      <c r="C850" s="5"/>
      <c r="E850" s="5"/>
    </row>
    <row r="851">
      <c r="A851" s="5"/>
      <c r="B851" s="5"/>
      <c r="C851" s="5"/>
      <c r="E851" s="5"/>
    </row>
    <row r="852">
      <c r="A852" s="5"/>
      <c r="B852" s="5"/>
      <c r="C852" s="5"/>
      <c r="E852" s="5"/>
    </row>
    <row r="853">
      <c r="A853" s="5"/>
      <c r="B853" s="5"/>
      <c r="C853" s="5"/>
      <c r="E853" s="5"/>
    </row>
    <row r="854">
      <c r="A854" s="5"/>
      <c r="B854" s="5"/>
      <c r="C854" s="5"/>
      <c r="E854" s="5"/>
    </row>
    <row r="855">
      <c r="A855" s="5"/>
      <c r="B855" s="5"/>
      <c r="C855" s="5"/>
      <c r="E855" s="5"/>
    </row>
    <row r="856">
      <c r="A856" s="5"/>
      <c r="B856" s="5"/>
      <c r="C856" s="5"/>
      <c r="E856" s="5"/>
    </row>
    <row r="857">
      <c r="A857" s="5"/>
      <c r="B857" s="5"/>
      <c r="C857" s="5"/>
      <c r="E857" s="5"/>
    </row>
    <row r="858">
      <c r="A858" s="5"/>
      <c r="B858" s="5"/>
      <c r="C858" s="5"/>
      <c r="E858" s="5"/>
    </row>
    <row r="859">
      <c r="A859" s="5"/>
      <c r="B859" s="5"/>
      <c r="C859" s="5"/>
      <c r="E859" s="5"/>
    </row>
    <row r="860">
      <c r="A860" s="5"/>
      <c r="B860" s="5"/>
      <c r="C860" s="5"/>
      <c r="E860" s="5"/>
    </row>
    <row r="861">
      <c r="A861" s="5"/>
      <c r="B861" s="5"/>
      <c r="C861" s="5"/>
      <c r="E861" s="5"/>
    </row>
    <row r="862">
      <c r="A862" s="5"/>
      <c r="B862" s="5"/>
      <c r="C862" s="5"/>
      <c r="E862" s="5"/>
    </row>
    <row r="863">
      <c r="A863" s="5"/>
      <c r="B863" s="5"/>
      <c r="C863" s="5"/>
      <c r="E863" s="5"/>
    </row>
    <row r="864">
      <c r="A864" s="5"/>
      <c r="B864" s="5"/>
      <c r="C864" s="5"/>
      <c r="E864" s="5"/>
    </row>
    <row r="865">
      <c r="A865" s="5"/>
      <c r="B865" s="5"/>
      <c r="C865" s="5"/>
      <c r="E865" s="5"/>
    </row>
    <row r="866">
      <c r="A866" s="5"/>
      <c r="B866" s="5"/>
      <c r="C866" s="5"/>
      <c r="E866" s="5"/>
    </row>
    <row r="867">
      <c r="A867" s="5"/>
      <c r="B867" s="5"/>
      <c r="C867" s="5"/>
      <c r="E867" s="5"/>
    </row>
    <row r="868">
      <c r="A868" s="5"/>
      <c r="B868" s="5"/>
      <c r="C868" s="5"/>
      <c r="E868" s="5"/>
    </row>
    <row r="869">
      <c r="A869" s="5"/>
      <c r="B869" s="5"/>
      <c r="C869" s="5"/>
      <c r="E869" s="5"/>
    </row>
    <row r="870">
      <c r="A870" s="5"/>
      <c r="B870" s="5"/>
      <c r="C870" s="5"/>
      <c r="E870" s="5"/>
    </row>
    <row r="871">
      <c r="A871" s="5"/>
      <c r="B871" s="5"/>
      <c r="C871" s="5"/>
      <c r="E871" s="5"/>
    </row>
    <row r="872">
      <c r="A872" s="5"/>
      <c r="B872" s="5"/>
      <c r="C872" s="5"/>
      <c r="E872" s="5"/>
    </row>
    <row r="873">
      <c r="A873" s="5"/>
      <c r="B873" s="5"/>
      <c r="C873" s="5"/>
      <c r="E873" s="5"/>
    </row>
    <row r="874">
      <c r="A874" s="5"/>
      <c r="B874" s="5"/>
      <c r="C874" s="5"/>
      <c r="E874" s="5"/>
    </row>
    <row r="875">
      <c r="A875" s="5"/>
      <c r="B875" s="5"/>
      <c r="C875" s="5"/>
      <c r="E875" s="5"/>
    </row>
    <row r="876">
      <c r="A876" s="5"/>
      <c r="B876" s="5"/>
      <c r="C876" s="5"/>
      <c r="E876" s="5"/>
    </row>
    <row r="877">
      <c r="A877" s="5"/>
      <c r="B877" s="5"/>
      <c r="C877" s="5"/>
      <c r="E877" s="5"/>
    </row>
    <row r="878">
      <c r="A878" s="5"/>
      <c r="B878" s="5"/>
      <c r="C878" s="5"/>
      <c r="E878" s="5"/>
    </row>
    <row r="879">
      <c r="A879" s="5"/>
      <c r="B879" s="5"/>
      <c r="C879" s="5"/>
      <c r="E879" s="5"/>
    </row>
    <row r="880">
      <c r="A880" s="5"/>
      <c r="B880" s="5"/>
      <c r="C880" s="5"/>
      <c r="E880" s="5"/>
    </row>
    <row r="881">
      <c r="A881" s="5"/>
      <c r="B881" s="5"/>
      <c r="C881" s="5"/>
      <c r="E881" s="5"/>
    </row>
    <row r="882">
      <c r="A882" s="5"/>
      <c r="B882" s="5"/>
      <c r="C882" s="5"/>
      <c r="E882" s="5"/>
    </row>
    <row r="883">
      <c r="A883" s="5"/>
      <c r="B883" s="5"/>
      <c r="C883" s="5"/>
      <c r="E883" s="5"/>
    </row>
    <row r="884">
      <c r="A884" s="5"/>
      <c r="B884" s="5"/>
      <c r="C884" s="5"/>
      <c r="E884" s="5"/>
    </row>
    <row r="885">
      <c r="A885" s="5"/>
      <c r="B885" s="5"/>
      <c r="C885" s="5"/>
      <c r="E885" s="5"/>
    </row>
    <row r="886">
      <c r="A886" s="5"/>
      <c r="B886" s="5"/>
      <c r="C886" s="5"/>
      <c r="E886" s="5"/>
    </row>
    <row r="887">
      <c r="A887" s="5"/>
      <c r="B887" s="5"/>
      <c r="C887" s="5"/>
      <c r="E887" s="5"/>
    </row>
    <row r="888">
      <c r="A888" s="5"/>
      <c r="B888" s="5"/>
      <c r="C888" s="5"/>
      <c r="E888" s="5"/>
    </row>
    <row r="889">
      <c r="A889" s="5"/>
      <c r="B889" s="5"/>
      <c r="C889" s="5"/>
      <c r="E889" s="5"/>
    </row>
    <row r="890">
      <c r="A890" s="5"/>
      <c r="B890" s="5"/>
      <c r="C890" s="5"/>
      <c r="E890" s="5"/>
    </row>
    <row r="891">
      <c r="A891" s="5"/>
      <c r="B891" s="5"/>
      <c r="C891" s="5"/>
      <c r="E891" s="5"/>
    </row>
    <row r="892">
      <c r="A892" s="5"/>
      <c r="B892" s="5"/>
      <c r="C892" s="5"/>
      <c r="E892" s="5"/>
    </row>
    <row r="893">
      <c r="A893" s="5"/>
      <c r="B893" s="5"/>
      <c r="C893" s="5"/>
      <c r="E893" s="5"/>
    </row>
    <row r="894">
      <c r="A894" s="5"/>
      <c r="B894" s="5"/>
      <c r="C894" s="5"/>
      <c r="E894" s="5"/>
    </row>
    <row r="895">
      <c r="A895" s="5"/>
      <c r="B895" s="5"/>
      <c r="C895" s="5"/>
      <c r="E895" s="5"/>
    </row>
    <row r="896">
      <c r="A896" s="5"/>
      <c r="B896" s="5"/>
      <c r="C896" s="5"/>
      <c r="E896" s="5"/>
    </row>
    <row r="897">
      <c r="A897" s="5"/>
      <c r="B897" s="5"/>
      <c r="C897" s="5"/>
      <c r="E897" s="5"/>
    </row>
    <row r="898">
      <c r="A898" s="5"/>
      <c r="B898" s="5"/>
      <c r="C898" s="5"/>
      <c r="E898" s="5"/>
    </row>
    <row r="899">
      <c r="A899" s="5"/>
      <c r="B899" s="5"/>
      <c r="C899" s="5"/>
      <c r="E899" s="5"/>
    </row>
    <row r="900">
      <c r="A900" s="5"/>
      <c r="B900" s="5"/>
      <c r="C900" s="5"/>
      <c r="E900" s="5"/>
    </row>
    <row r="901">
      <c r="A901" s="5"/>
      <c r="B901" s="5"/>
      <c r="C901" s="5"/>
      <c r="E901" s="5"/>
    </row>
    <row r="902">
      <c r="A902" s="5"/>
      <c r="B902" s="5"/>
      <c r="C902" s="5"/>
      <c r="E902" s="5"/>
    </row>
    <row r="903">
      <c r="A903" s="5"/>
      <c r="B903" s="5"/>
      <c r="C903" s="5"/>
      <c r="E903" s="5"/>
    </row>
    <row r="904">
      <c r="A904" s="5"/>
      <c r="B904" s="5"/>
      <c r="C904" s="5"/>
      <c r="E904" s="5"/>
    </row>
    <row r="905">
      <c r="A905" s="5"/>
      <c r="B905" s="5"/>
      <c r="C905" s="5"/>
      <c r="E905" s="5"/>
    </row>
    <row r="906">
      <c r="A906" s="5"/>
      <c r="B906" s="5"/>
      <c r="C906" s="5"/>
      <c r="E906" s="5"/>
    </row>
    <row r="907">
      <c r="A907" s="5"/>
      <c r="B907" s="5"/>
      <c r="C907" s="5"/>
      <c r="E907" s="5"/>
    </row>
    <row r="908">
      <c r="A908" s="5"/>
      <c r="B908" s="5"/>
      <c r="C908" s="5"/>
      <c r="E908" s="5"/>
    </row>
    <row r="909">
      <c r="A909" s="5"/>
      <c r="B909" s="5"/>
      <c r="C909" s="5"/>
      <c r="E909" s="5"/>
    </row>
    <row r="910">
      <c r="A910" s="5"/>
      <c r="B910" s="5"/>
      <c r="C910" s="5"/>
      <c r="E910" s="5"/>
    </row>
    <row r="911">
      <c r="A911" s="5"/>
      <c r="B911" s="5"/>
      <c r="C911" s="5"/>
      <c r="E911" s="5"/>
    </row>
    <row r="912">
      <c r="A912" s="5"/>
      <c r="B912" s="5"/>
      <c r="C912" s="5"/>
      <c r="E912" s="5"/>
    </row>
    <row r="913">
      <c r="A913" s="5"/>
      <c r="B913" s="5"/>
      <c r="C913" s="5"/>
      <c r="E913" s="5"/>
    </row>
    <row r="914">
      <c r="A914" s="5"/>
      <c r="B914" s="5"/>
      <c r="C914" s="5"/>
      <c r="E914" s="5"/>
    </row>
    <row r="915">
      <c r="A915" s="5"/>
      <c r="B915" s="5"/>
      <c r="C915" s="5"/>
      <c r="E915" s="5"/>
    </row>
    <row r="916">
      <c r="A916" s="5"/>
      <c r="B916" s="5"/>
      <c r="C916" s="5"/>
      <c r="E916" s="5"/>
    </row>
    <row r="917">
      <c r="A917" s="5"/>
      <c r="B917" s="5"/>
      <c r="C917" s="5"/>
      <c r="E917" s="5"/>
    </row>
    <row r="918">
      <c r="A918" s="5"/>
      <c r="B918" s="5"/>
      <c r="C918" s="5"/>
      <c r="E918" s="5"/>
    </row>
    <row r="919">
      <c r="A919" s="5"/>
      <c r="B919" s="5"/>
      <c r="C919" s="5"/>
      <c r="E919" s="5"/>
    </row>
    <row r="920">
      <c r="A920" s="5"/>
      <c r="B920" s="5"/>
      <c r="C920" s="5"/>
      <c r="E920" s="5"/>
    </row>
    <row r="921">
      <c r="A921" s="5"/>
      <c r="B921" s="5"/>
      <c r="C921" s="5"/>
      <c r="E921" s="5"/>
    </row>
    <row r="922">
      <c r="A922" s="5"/>
      <c r="B922" s="5"/>
      <c r="C922" s="5"/>
      <c r="E922" s="5"/>
    </row>
    <row r="923">
      <c r="A923" s="5"/>
      <c r="B923" s="5"/>
      <c r="C923" s="5"/>
      <c r="E923" s="5"/>
    </row>
    <row r="924">
      <c r="A924" s="5"/>
      <c r="B924" s="5"/>
      <c r="C924" s="5"/>
      <c r="E924" s="5"/>
    </row>
    <row r="925">
      <c r="A925" s="5"/>
      <c r="B925" s="5"/>
      <c r="C925" s="5"/>
      <c r="E925" s="5"/>
    </row>
    <row r="926">
      <c r="A926" s="5"/>
      <c r="B926" s="5"/>
      <c r="C926" s="5"/>
      <c r="E926" s="5"/>
    </row>
    <row r="927">
      <c r="A927" s="5"/>
      <c r="B927" s="5"/>
      <c r="C927" s="5"/>
      <c r="E927" s="5"/>
    </row>
    <row r="928">
      <c r="A928" s="5"/>
      <c r="B928" s="5"/>
      <c r="C928" s="5"/>
      <c r="E928" s="5"/>
    </row>
    <row r="929">
      <c r="A929" s="5"/>
      <c r="B929" s="5"/>
      <c r="C929" s="5"/>
      <c r="E929" s="5"/>
    </row>
    <row r="930">
      <c r="A930" s="5"/>
      <c r="B930" s="5"/>
      <c r="C930" s="5"/>
      <c r="E930" s="5"/>
    </row>
    <row r="931">
      <c r="A931" s="5"/>
      <c r="B931" s="5"/>
      <c r="C931" s="5"/>
      <c r="E931" s="5"/>
    </row>
    <row r="932">
      <c r="A932" s="5"/>
      <c r="B932" s="5"/>
      <c r="C932" s="5"/>
      <c r="E932" s="5"/>
    </row>
    <row r="933">
      <c r="A933" s="5"/>
      <c r="B933" s="5"/>
      <c r="C933" s="5"/>
      <c r="E933" s="5"/>
    </row>
    <row r="934">
      <c r="A934" s="5"/>
      <c r="B934" s="5"/>
      <c r="C934" s="5"/>
      <c r="E934" s="5"/>
    </row>
    <row r="935">
      <c r="A935" s="5"/>
      <c r="B935" s="5"/>
      <c r="C935" s="5"/>
      <c r="E935" s="5"/>
    </row>
    <row r="936">
      <c r="A936" s="5"/>
      <c r="B936" s="5"/>
      <c r="C936" s="5"/>
      <c r="E936" s="5"/>
    </row>
    <row r="937">
      <c r="A937" s="5"/>
      <c r="B937" s="5"/>
      <c r="C937" s="5"/>
      <c r="E937" s="5"/>
    </row>
    <row r="938">
      <c r="A938" s="5"/>
      <c r="B938" s="5"/>
      <c r="C938" s="5"/>
      <c r="E938" s="5"/>
    </row>
    <row r="939">
      <c r="A939" s="5"/>
      <c r="B939" s="5"/>
      <c r="C939" s="5"/>
      <c r="E939" s="5"/>
    </row>
    <row r="940">
      <c r="A940" s="5"/>
      <c r="B940" s="5"/>
      <c r="C940" s="5"/>
      <c r="E940" s="5"/>
    </row>
    <row r="941">
      <c r="A941" s="5"/>
      <c r="B941" s="5"/>
      <c r="C941" s="5"/>
      <c r="E941" s="5"/>
    </row>
    <row r="942">
      <c r="A942" s="5"/>
      <c r="B942" s="5"/>
      <c r="C942" s="5"/>
      <c r="E942" s="5"/>
    </row>
    <row r="943">
      <c r="A943" s="5"/>
      <c r="B943" s="5"/>
      <c r="C943" s="5"/>
      <c r="E943" s="5"/>
    </row>
    <row r="944">
      <c r="A944" s="5"/>
      <c r="B944" s="5"/>
      <c r="C944" s="5"/>
      <c r="E944" s="5"/>
    </row>
    <row r="945">
      <c r="A945" s="5"/>
      <c r="B945" s="5"/>
      <c r="C945" s="5"/>
      <c r="E945" s="5"/>
    </row>
    <row r="946">
      <c r="A946" s="5"/>
      <c r="B946" s="5"/>
      <c r="C946" s="5"/>
      <c r="E946" s="5"/>
    </row>
    <row r="947">
      <c r="A947" s="5"/>
      <c r="B947" s="5"/>
      <c r="C947" s="5"/>
      <c r="E947" s="5"/>
    </row>
    <row r="948">
      <c r="A948" s="5"/>
      <c r="B948" s="5"/>
      <c r="C948" s="5"/>
      <c r="E948" s="5"/>
    </row>
    <row r="949">
      <c r="A949" s="5"/>
      <c r="B949" s="5"/>
      <c r="C949" s="5"/>
      <c r="E949" s="5"/>
    </row>
    <row r="950">
      <c r="A950" s="5"/>
      <c r="B950" s="5"/>
      <c r="C950" s="5"/>
      <c r="E950" s="5"/>
    </row>
    <row r="951">
      <c r="A951" s="5"/>
      <c r="B951" s="5"/>
      <c r="C951" s="5"/>
      <c r="E951" s="5"/>
    </row>
    <row r="952">
      <c r="A952" s="5"/>
      <c r="B952" s="5"/>
      <c r="C952" s="5"/>
      <c r="E952" s="5"/>
    </row>
    <row r="953">
      <c r="A953" s="5"/>
      <c r="B953" s="5"/>
      <c r="C953" s="5"/>
      <c r="E953" s="5"/>
    </row>
    <row r="954">
      <c r="A954" s="5"/>
      <c r="B954" s="5"/>
      <c r="C954" s="5"/>
      <c r="E954" s="5"/>
    </row>
    <row r="955">
      <c r="A955" s="5"/>
      <c r="B955" s="5"/>
      <c r="C955" s="5"/>
      <c r="E955" s="5"/>
    </row>
    <row r="956">
      <c r="A956" s="5"/>
      <c r="B956" s="5"/>
      <c r="C956" s="5"/>
      <c r="E956" s="5"/>
    </row>
    <row r="957">
      <c r="A957" s="5"/>
      <c r="B957" s="5"/>
      <c r="C957" s="5"/>
      <c r="E957" s="5"/>
    </row>
    <row r="958">
      <c r="A958" s="5"/>
      <c r="B958" s="5"/>
      <c r="C958" s="5"/>
      <c r="E958" s="5"/>
    </row>
    <row r="959">
      <c r="A959" s="5"/>
      <c r="B959" s="5"/>
      <c r="C959" s="5"/>
      <c r="E959" s="5"/>
    </row>
    <row r="960">
      <c r="A960" s="5"/>
      <c r="B960" s="5"/>
      <c r="C960" s="5"/>
      <c r="E960" s="5"/>
    </row>
    <row r="961">
      <c r="A961" s="5"/>
      <c r="B961" s="5"/>
      <c r="C961" s="5"/>
      <c r="E961" s="5"/>
    </row>
    <row r="962">
      <c r="A962" s="5"/>
      <c r="B962" s="5"/>
      <c r="C962" s="5"/>
      <c r="E962" s="5"/>
    </row>
    <row r="963">
      <c r="A963" s="5"/>
      <c r="B963" s="5"/>
      <c r="C963" s="5"/>
      <c r="E963" s="5"/>
    </row>
    <row r="964">
      <c r="A964" s="5"/>
      <c r="B964" s="5"/>
      <c r="C964" s="5"/>
      <c r="E964" s="5"/>
    </row>
    <row r="965">
      <c r="A965" s="5"/>
      <c r="B965" s="5"/>
      <c r="C965" s="5"/>
      <c r="E965" s="5"/>
    </row>
    <row r="966">
      <c r="A966" s="5"/>
      <c r="B966" s="5"/>
      <c r="C966" s="5"/>
      <c r="E966" s="5"/>
    </row>
    <row r="967">
      <c r="A967" s="5"/>
      <c r="B967" s="5"/>
      <c r="C967" s="5"/>
      <c r="E967" s="5"/>
    </row>
    <row r="968">
      <c r="A968" s="5"/>
      <c r="B968" s="5"/>
      <c r="C968" s="5"/>
      <c r="E968" s="5"/>
    </row>
    <row r="969">
      <c r="A969" s="5"/>
      <c r="B969" s="5"/>
      <c r="C969" s="5"/>
      <c r="E969" s="5"/>
    </row>
    <row r="970">
      <c r="A970" s="5"/>
      <c r="B970" s="5"/>
      <c r="C970" s="5"/>
      <c r="E970" s="5"/>
    </row>
    <row r="971">
      <c r="A971" s="5"/>
      <c r="B971" s="5"/>
      <c r="C971" s="5"/>
      <c r="E971" s="5"/>
    </row>
    <row r="972">
      <c r="A972" s="5"/>
      <c r="B972" s="5"/>
      <c r="C972" s="5"/>
      <c r="E972" s="5"/>
    </row>
    <row r="973">
      <c r="A973" s="5"/>
      <c r="B973" s="5"/>
      <c r="C973" s="5"/>
      <c r="E973" s="5"/>
    </row>
    <row r="974">
      <c r="A974" s="5"/>
      <c r="B974" s="5"/>
      <c r="C974" s="5"/>
      <c r="E974" s="5"/>
    </row>
    <row r="975">
      <c r="A975" s="5"/>
      <c r="B975" s="5"/>
      <c r="C975" s="5"/>
      <c r="E975" s="5"/>
    </row>
    <row r="976">
      <c r="A976" s="5"/>
      <c r="B976" s="5"/>
      <c r="C976" s="5"/>
      <c r="E976" s="5"/>
    </row>
    <row r="977">
      <c r="A977" s="5"/>
      <c r="B977" s="5"/>
      <c r="C977" s="5"/>
      <c r="E977" s="5"/>
    </row>
    <row r="978">
      <c r="A978" s="5"/>
      <c r="B978" s="5"/>
      <c r="C978" s="5"/>
      <c r="E978" s="5"/>
    </row>
    <row r="979">
      <c r="A979" s="5"/>
      <c r="B979" s="5"/>
      <c r="C979" s="5"/>
      <c r="E979" s="5"/>
    </row>
    <row r="980">
      <c r="A980" s="5"/>
      <c r="B980" s="5"/>
      <c r="C980" s="5"/>
      <c r="E980" s="5"/>
    </row>
    <row r="981">
      <c r="A981" s="5"/>
      <c r="B981" s="5"/>
      <c r="C981" s="5"/>
      <c r="E981" s="5"/>
    </row>
    <row r="982">
      <c r="A982" s="5"/>
      <c r="B982" s="5"/>
      <c r="C982" s="5"/>
      <c r="E982" s="5"/>
    </row>
    <row r="983">
      <c r="A983" s="5"/>
      <c r="B983" s="5"/>
      <c r="C983" s="5"/>
      <c r="E983" s="5"/>
    </row>
    <row r="984">
      <c r="A984" s="5"/>
      <c r="B984" s="5"/>
      <c r="C984" s="5"/>
      <c r="E984" s="5"/>
    </row>
    <row r="985">
      <c r="A985" s="5"/>
      <c r="B985" s="5"/>
      <c r="C985" s="5"/>
      <c r="E985" s="5"/>
    </row>
    <row r="986">
      <c r="A986" s="5"/>
      <c r="B986" s="5"/>
      <c r="C986" s="5"/>
      <c r="E986" s="5"/>
    </row>
    <row r="987">
      <c r="A987" s="5"/>
      <c r="B987" s="5"/>
      <c r="C987" s="5"/>
      <c r="E987" s="5"/>
    </row>
    <row r="988">
      <c r="A988" s="5"/>
      <c r="B988" s="5"/>
      <c r="C988" s="5"/>
      <c r="E988" s="5"/>
    </row>
    <row r="989">
      <c r="A989" s="5"/>
      <c r="B989" s="5"/>
      <c r="C989" s="5"/>
      <c r="E989" s="5"/>
    </row>
    <row r="990">
      <c r="A990" s="5"/>
      <c r="B990" s="5"/>
      <c r="C990" s="5"/>
      <c r="E990" s="5"/>
    </row>
    <row r="991">
      <c r="A991" s="5"/>
      <c r="B991" s="5"/>
      <c r="C991" s="5"/>
      <c r="E991" s="5"/>
    </row>
    <row r="992">
      <c r="A992" s="5"/>
      <c r="B992" s="5"/>
      <c r="C992" s="5"/>
      <c r="E992" s="5"/>
    </row>
    <row r="993">
      <c r="A993" s="5"/>
      <c r="B993" s="5"/>
      <c r="C993" s="5"/>
      <c r="E993" s="5"/>
    </row>
    <row r="994">
      <c r="A994" s="5"/>
      <c r="B994" s="5"/>
      <c r="C994" s="5"/>
      <c r="E994" s="5"/>
    </row>
    <row r="995">
      <c r="A995" s="5"/>
      <c r="B995" s="5"/>
      <c r="C995" s="5"/>
      <c r="E995" s="5"/>
    </row>
    <row r="996">
      <c r="A996" s="5"/>
      <c r="B996" s="5"/>
      <c r="C996" s="5"/>
      <c r="E996" s="5"/>
    </row>
    <row r="997">
      <c r="A997" s="5"/>
      <c r="B997" s="5"/>
      <c r="C997" s="5"/>
      <c r="E997" s="5"/>
    </row>
    <row r="998">
      <c r="A998" s="5"/>
      <c r="B998" s="5"/>
      <c r="C998" s="5"/>
      <c r="E998" s="5"/>
    </row>
    <row r="999">
      <c r="A999" s="5"/>
      <c r="B999" s="5"/>
      <c r="C999" s="5"/>
      <c r="E999" s="5"/>
    </row>
    <row r="1000">
      <c r="A1000" s="5"/>
      <c r="B1000" s="5"/>
      <c r="C1000" s="5"/>
      <c r="E1000" s="5"/>
    </row>
    <row r="1001">
      <c r="A1001" s="5"/>
      <c r="B1001" s="5"/>
      <c r="C1001" s="5"/>
      <c r="E1001" s="5"/>
    </row>
    <row r="1002">
      <c r="A1002" s="5"/>
      <c r="B1002" s="5"/>
      <c r="C1002" s="5"/>
      <c r="E1002" s="5"/>
    </row>
    <row r="1003">
      <c r="A1003" s="5"/>
      <c r="B1003" s="5"/>
      <c r="C1003" s="5"/>
      <c r="E1003" s="5"/>
    </row>
    <row r="1004">
      <c r="A1004" s="5"/>
      <c r="B1004" s="5"/>
      <c r="C1004" s="5"/>
      <c r="E1004" s="5"/>
    </row>
    <row r="1005">
      <c r="A1005" s="5"/>
      <c r="B1005" s="5"/>
      <c r="C1005" s="5"/>
      <c r="E1005" s="5"/>
    </row>
    <row r="1006">
      <c r="A1006" s="5"/>
      <c r="B1006" s="5"/>
      <c r="C1006" s="5"/>
      <c r="E1006" s="5"/>
    </row>
    <row r="1007">
      <c r="A1007" s="5"/>
      <c r="B1007" s="5"/>
      <c r="C1007" s="5"/>
      <c r="E1007" s="5"/>
    </row>
    <row r="1008">
      <c r="A1008" s="5"/>
      <c r="B1008" s="5"/>
      <c r="C1008" s="5"/>
      <c r="E1008" s="5"/>
    </row>
    <row r="1009">
      <c r="A1009" s="5"/>
      <c r="B1009" s="5"/>
      <c r="C1009" s="5"/>
      <c r="E1009" s="5"/>
    </row>
    <row r="1010">
      <c r="A1010" s="5"/>
      <c r="B1010" s="5"/>
      <c r="C1010" s="5"/>
      <c r="E1010" s="5"/>
    </row>
    <row r="1011">
      <c r="A1011" s="5"/>
      <c r="B1011" s="5"/>
      <c r="C1011" s="5"/>
      <c r="E1011" s="5"/>
    </row>
    <row r="1012">
      <c r="A1012" s="5"/>
      <c r="B1012" s="5"/>
      <c r="C1012" s="5"/>
      <c r="E1012" s="5"/>
    </row>
  </sheetData>
  <dataValidations>
    <dataValidation type="list" allowBlank="1" showErrorMessage="1" sqref="A3:A42">
      <formula1>"Updated,Option 2"</formula1>
    </dataValidation>
  </dataValidations>
  <hyperlinks>
    <hyperlink r:id="rId4" ref="G5"/>
    <hyperlink r:id="rId5" ref="G6"/>
    <hyperlink r:id="rId6" location="gid=0" ref="G7"/>
    <hyperlink r:id="rId7" ref="G8"/>
    <hyperlink r:id="rId8" ref="G9"/>
    <hyperlink r:id="rId9" ref="G18"/>
    <hyperlink r:id="rId10" ref="G19"/>
    <hyperlink r:id="rId11" ref="G20"/>
    <hyperlink r:id="rId12" ref="G2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3"/>
  <legacyDrawing r:id="rId1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5.13"/>
  </cols>
  <sheetData>
    <row r="1">
      <c r="A1" s="1" t="s">
        <v>1</v>
      </c>
      <c r="B1" s="2" t="s">
        <v>3</v>
      </c>
      <c r="E1" s="4" t="s">
        <v>5</v>
      </c>
      <c r="F1" s="4">
        <v>1.60934</v>
      </c>
    </row>
    <row r="2">
      <c r="A2" s="5" t="s">
        <v>9</v>
      </c>
      <c r="B2" s="7">
        <v>7294804.0</v>
      </c>
    </row>
    <row r="3">
      <c r="A3" s="8" t="s">
        <v>13</v>
      </c>
      <c r="B3" s="7">
        <v>1711534.0</v>
      </c>
    </row>
    <row r="4">
      <c r="A4" s="5" t="s">
        <v>17</v>
      </c>
      <c r="B4" s="7">
        <v>1.4988739E7</v>
      </c>
    </row>
    <row r="5">
      <c r="A5" s="8" t="s">
        <v>20</v>
      </c>
      <c r="B5" s="7">
        <v>1321367.0</v>
      </c>
    </row>
    <row r="6">
      <c r="A6" s="5"/>
      <c r="B6" s="10"/>
    </row>
    <row r="7">
      <c r="A7" s="5" t="s">
        <v>28</v>
      </c>
      <c r="B7" s="10">
        <f>SUM(B2:B6)</f>
        <v>25316444</v>
      </c>
    </row>
    <row r="8">
      <c r="A8" s="5" t="s">
        <v>30</v>
      </c>
      <c r="B8" s="10">
        <v>453000.0</v>
      </c>
    </row>
    <row r="9">
      <c r="A9" s="5"/>
      <c r="B9" s="13"/>
    </row>
    <row r="10">
      <c r="A10" s="5" t="s">
        <v>31</v>
      </c>
      <c r="B10" s="10">
        <f>B7/B8</f>
        <v>55.88618985</v>
      </c>
    </row>
    <row r="11">
      <c r="A11" s="5" t="s">
        <v>37</v>
      </c>
      <c r="B11" s="15">
        <f t="shared" ref="B11:B12" si="1">B10/1000</f>
        <v>0.05588618985</v>
      </c>
    </row>
    <row r="12">
      <c r="A12" s="5" t="s">
        <v>38</v>
      </c>
      <c r="B12" s="16">
        <f t="shared" si="1"/>
        <v>0.00005588618985</v>
      </c>
    </row>
    <row r="13">
      <c r="A13" s="5"/>
      <c r="B13" s="13"/>
    </row>
    <row r="14">
      <c r="A14" s="5" t="s">
        <v>40</v>
      </c>
      <c r="B14" s="17">
        <v>0.41</v>
      </c>
    </row>
    <row r="15">
      <c r="A15" s="5" t="s">
        <v>42</v>
      </c>
      <c r="B15" s="19">
        <f>B12*(1+B14)</f>
        <v>0.00007879952768</v>
      </c>
    </row>
    <row r="16">
      <c r="A16" s="4" t="s">
        <v>48</v>
      </c>
      <c r="B16" s="20">
        <f>B15/F1</f>
        <v>0.00004896387816</v>
      </c>
    </row>
    <row r="17">
      <c r="A17" s="4" t="s">
        <v>57</v>
      </c>
      <c r="B17" s="20">
        <f>B16*1000</f>
        <v>0.04896387816</v>
      </c>
    </row>
    <row r="19">
      <c r="A19" s="5" t="s">
        <v>61</v>
      </c>
      <c r="B19" s="17">
        <v>0.154</v>
      </c>
    </row>
    <row r="20">
      <c r="A20" s="5" t="s">
        <v>63</v>
      </c>
      <c r="B20" s="16">
        <f>B12*(1+B19)</f>
        <v>0.00006449266308</v>
      </c>
    </row>
    <row r="21">
      <c r="A21" s="4" t="s">
        <v>48</v>
      </c>
      <c r="B21" s="12">
        <f>B20/F1</f>
        <v>0.00004007398255</v>
      </c>
    </row>
    <row r="22">
      <c r="A22" s="4" t="s">
        <v>57</v>
      </c>
      <c r="B22" s="12">
        <f>B21*1000</f>
        <v>0.04007398255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5.13"/>
  </cols>
  <sheetData>
    <row r="1">
      <c r="A1" s="1" t="s">
        <v>119</v>
      </c>
      <c r="B1" s="2" t="s">
        <v>3</v>
      </c>
      <c r="E1" s="4" t="s">
        <v>5</v>
      </c>
      <c r="F1" s="4">
        <v>1.60934</v>
      </c>
    </row>
    <row r="2">
      <c r="A2" s="5" t="s">
        <v>9</v>
      </c>
      <c r="B2" s="29">
        <v>6.9523675E7</v>
      </c>
    </row>
    <row r="3">
      <c r="A3" s="8" t="s">
        <v>123</v>
      </c>
      <c r="B3" s="30">
        <v>1670181.0</v>
      </c>
    </row>
    <row r="4">
      <c r="A4" s="5" t="s">
        <v>17</v>
      </c>
      <c r="B4" s="7">
        <v>3.4903879E7</v>
      </c>
    </row>
    <row r="5">
      <c r="A5" s="8" t="s">
        <v>124</v>
      </c>
      <c r="B5" s="31">
        <v>1283616.0</v>
      </c>
    </row>
    <row r="6">
      <c r="A6" s="5"/>
      <c r="B6" s="10"/>
    </row>
    <row r="7">
      <c r="A7" s="5" t="s">
        <v>28</v>
      </c>
      <c r="B7" s="10">
        <f>SUM(B2:B6)</f>
        <v>107381351</v>
      </c>
    </row>
    <row r="8">
      <c r="A8" s="5" t="s">
        <v>30</v>
      </c>
      <c r="B8" s="7">
        <v>650000.0</v>
      </c>
      <c r="C8" s="22" t="s">
        <v>125</v>
      </c>
    </row>
    <row r="9">
      <c r="A9" s="5"/>
      <c r="B9" s="13"/>
    </row>
    <row r="10">
      <c r="A10" s="5" t="s">
        <v>31</v>
      </c>
      <c r="B10" s="10">
        <f>B7/B8</f>
        <v>165.2020785</v>
      </c>
    </row>
    <row r="11">
      <c r="A11" s="5" t="s">
        <v>37</v>
      </c>
      <c r="B11" s="15">
        <f t="shared" ref="B11:B12" si="1">B10/1000</f>
        <v>0.1652020785</v>
      </c>
    </row>
    <row r="12">
      <c r="A12" s="5" t="s">
        <v>38</v>
      </c>
      <c r="B12" s="16">
        <f t="shared" si="1"/>
        <v>0.0001652020785</v>
      </c>
    </row>
    <row r="13">
      <c r="A13" s="5"/>
      <c r="B13" s="13"/>
    </row>
    <row r="14">
      <c r="A14" s="5" t="s">
        <v>40</v>
      </c>
      <c r="B14" s="34">
        <v>0.438</v>
      </c>
      <c r="C14" s="22" t="s">
        <v>132</v>
      </c>
    </row>
    <row r="15">
      <c r="A15" s="5" t="s">
        <v>42</v>
      </c>
      <c r="B15" s="19">
        <f>B12*(1+B14)</f>
        <v>0.0002375605888</v>
      </c>
    </row>
    <row r="16">
      <c r="A16" s="4" t="s">
        <v>48</v>
      </c>
      <c r="B16" s="20">
        <f>B15/F1</f>
        <v>0.0001476136732</v>
      </c>
    </row>
    <row r="17">
      <c r="A17" s="4" t="s">
        <v>136</v>
      </c>
      <c r="B17" s="20">
        <f>B16*F1</f>
        <v>0.0002375605888</v>
      </c>
    </row>
    <row r="18">
      <c r="A18" s="4" t="s">
        <v>57</v>
      </c>
      <c r="B18" s="20">
        <f>B16*1000</f>
        <v>0.1476136732</v>
      </c>
    </row>
    <row r="20">
      <c r="A20" s="5" t="s">
        <v>61</v>
      </c>
      <c r="B20" s="34">
        <v>0.167</v>
      </c>
      <c r="C20" s="22" t="s">
        <v>132</v>
      </c>
    </row>
    <row r="21">
      <c r="A21" s="5" t="s">
        <v>63</v>
      </c>
      <c r="B21" s="16">
        <f>B12*(1+B20)</f>
        <v>0.0001927908256</v>
      </c>
    </row>
    <row r="22">
      <c r="A22" s="4" t="s">
        <v>48</v>
      </c>
      <c r="B22" s="12">
        <f>B21/F1</f>
        <v>0.0001197949629</v>
      </c>
    </row>
    <row r="23">
      <c r="A23" s="4" t="s">
        <v>136</v>
      </c>
      <c r="B23" s="12">
        <f>B22*F1</f>
        <v>0.0001927908256</v>
      </c>
    </row>
    <row r="24">
      <c r="A24" s="4" t="s">
        <v>57</v>
      </c>
      <c r="B24" s="12">
        <f>B22*1000</f>
        <v>0.1197949629</v>
      </c>
    </row>
  </sheetData>
  <hyperlinks>
    <hyperlink r:id="rId1" ref="C8"/>
    <hyperlink r:id="rId2" ref="C14"/>
    <hyperlink r:id="rId3" ref="C20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49.63"/>
    <col customWidth="1" min="4" max="4" width="40.38"/>
  </cols>
  <sheetData>
    <row r="1">
      <c r="A1" s="36" t="s">
        <v>171</v>
      </c>
      <c r="D1" s="5"/>
      <c r="E1" s="5"/>
      <c r="F1" s="5"/>
      <c r="G1" s="5"/>
      <c r="H1" s="5"/>
      <c r="I1" s="36" t="s">
        <v>173</v>
      </c>
      <c r="J1" s="5"/>
    </row>
    <row r="2">
      <c r="A2" s="5"/>
      <c r="B2" s="5"/>
      <c r="C2" s="5"/>
      <c r="D2" s="5"/>
      <c r="E2" s="5"/>
      <c r="F2" s="37" t="s">
        <v>174</v>
      </c>
      <c r="G2" s="5"/>
      <c r="H2" s="5"/>
      <c r="I2" s="5" t="s">
        <v>175</v>
      </c>
      <c r="J2" s="19">
        <v>1000.0</v>
      </c>
    </row>
    <row r="3">
      <c r="A3" s="5"/>
      <c r="B3" s="5"/>
      <c r="C3" s="36" t="s">
        <v>176</v>
      </c>
      <c r="D3" s="38">
        <v>1016.89</v>
      </c>
      <c r="E3" s="5"/>
      <c r="F3" s="5"/>
      <c r="G3" s="5"/>
      <c r="H3" s="5"/>
      <c r="I3" s="5" t="s">
        <v>177</v>
      </c>
      <c r="J3" s="19">
        <v>293.07107</v>
      </c>
    </row>
    <row r="4">
      <c r="A4" s="5"/>
      <c r="B4" s="5"/>
      <c r="C4" s="36" t="s">
        <v>178</v>
      </c>
      <c r="D4" s="19">
        <f>D3/1000</f>
        <v>1.01689</v>
      </c>
      <c r="E4" s="5"/>
      <c r="F4" s="5"/>
      <c r="G4" s="5"/>
      <c r="H4" s="5"/>
      <c r="I4" s="5" t="s">
        <v>179</v>
      </c>
      <c r="J4" s="19">
        <v>2204.62</v>
      </c>
    </row>
    <row r="5">
      <c r="A5" s="5"/>
      <c r="B5" s="5"/>
      <c r="C5" s="36" t="s">
        <v>180</v>
      </c>
      <c r="D5" s="19">
        <f>D4/2204.62</f>
        <v>0.0004612540937</v>
      </c>
      <c r="E5" s="5"/>
      <c r="F5" s="5"/>
      <c r="G5" s="5"/>
      <c r="H5" s="5"/>
      <c r="I5" s="5" t="s">
        <v>181</v>
      </c>
      <c r="J5" s="19">
        <v>1000000.0</v>
      </c>
    </row>
    <row r="6">
      <c r="A6" s="5"/>
      <c r="B6" s="5"/>
      <c r="C6" s="5"/>
      <c r="D6" s="5"/>
      <c r="E6" s="5"/>
      <c r="F6" s="5"/>
      <c r="G6" s="5"/>
      <c r="H6" s="5"/>
    </row>
    <row r="7">
      <c r="A7" s="36" t="s">
        <v>182</v>
      </c>
      <c r="C7" s="5"/>
      <c r="D7" s="5"/>
      <c r="E7" s="5"/>
      <c r="F7" s="5"/>
      <c r="G7" s="5"/>
      <c r="H7" s="5"/>
    </row>
    <row r="8">
      <c r="A8" s="36" t="s">
        <v>183</v>
      </c>
      <c r="B8" s="36" t="s">
        <v>184</v>
      </c>
      <c r="C8" s="36" t="s">
        <v>185</v>
      </c>
      <c r="D8" s="36" t="s">
        <v>186</v>
      </c>
      <c r="E8" s="5"/>
      <c r="F8" s="37" t="s">
        <v>187</v>
      </c>
      <c r="G8" s="5"/>
      <c r="H8" s="5"/>
    </row>
    <row r="9">
      <c r="A9" s="5" t="s">
        <v>188</v>
      </c>
      <c r="B9" s="17">
        <v>0.316</v>
      </c>
      <c r="C9" s="19">
        <v>227.0</v>
      </c>
      <c r="D9" s="19">
        <f t="shared" ref="D9:D16" si="1">C9*B9</f>
        <v>71.732</v>
      </c>
      <c r="E9" s="5"/>
      <c r="F9" s="5" t="s">
        <v>189</v>
      </c>
      <c r="G9" s="5"/>
      <c r="H9" s="5"/>
    </row>
    <row r="10">
      <c r="A10" s="5" t="s">
        <v>190</v>
      </c>
      <c r="B10" s="17">
        <v>0.397</v>
      </c>
      <c r="C10" s="19">
        <v>2825.0</v>
      </c>
      <c r="D10" s="19">
        <f t="shared" si="1"/>
        <v>1121.525</v>
      </c>
      <c r="E10" s="5"/>
      <c r="F10" s="5"/>
      <c r="G10" s="5"/>
      <c r="H10" s="5"/>
    </row>
    <row r="11">
      <c r="A11" s="5" t="s">
        <v>191</v>
      </c>
      <c r="B11" s="17">
        <v>0.14</v>
      </c>
      <c r="C11" s="19">
        <v>79.0</v>
      </c>
      <c r="D11" s="19">
        <f t="shared" si="1"/>
        <v>11.06</v>
      </c>
      <c r="E11" s="5"/>
      <c r="F11" s="5"/>
      <c r="G11" s="5"/>
      <c r="H11" s="5"/>
    </row>
    <row r="12">
      <c r="A12" s="5" t="s">
        <v>192</v>
      </c>
      <c r="B12" s="17">
        <v>0.14</v>
      </c>
      <c r="C12" s="19">
        <v>120.0</v>
      </c>
      <c r="D12" s="19">
        <f t="shared" si="1"/>
        <v>16.8</v>
      </c>
      <c r="E12" s="5"/>
      <c r="F12" s="5"/>
      <c r="G12" s="5"/>
      <c r="H12" s="5"/>
    </row>
    <row r="13">
      <c r="A13" s="5" t="s">
        <v>193</v>
      </c>
      <c r="B13" s="17">
        <v>0.002</v>
      </c>
      <c r="C13" s="19">
        <v>120.0</v>
      </c>
      <c r="D13" s="19">
        <f t="shared" si="1"/>
        <v>0.24</v>
      </c>
      <c r="E13" s="5"/>
      <c r="F13" s="5"/>
      <c r="G13" s="5"/>
      <c r="H13" s="5"/>
    </row>
    <row r="14">
      <c r="A14" s="5" t="s">
        <v>194</v>
      </c>
      <c r="B14" s="17">
        <v>0.002</v>
      </c>
      <c r="C14" s="19">
        <v>2056.0</v>
      </c>
      <c r="D14" s="19">
        <f t="shared" si="1"/>
        <v>4.112</v>
      </c>
      <c r="E14" s="5"/>
      <c r="F14" s="5"/>
      <c r="G14" s="5"/>
      <c r="H14" s="5"/>
    </row>
    <row r="15">
      <c r="A15" s="5" t="s">
        <v>195</v>
      </c>
      <c r="B15" s="17">
        <v>0.001</v>
      </c>
      <c r="C15" s="19">
        <v>231.0</v>
      </c>
      <c r="D15" s="19">
        <f t="shared" si="1"/>
        <v>0.231</v>
      </c>
      <c r="E15" s="5"/>
      <c r="F15" s="5"/>
      <c r="G15" s="5"/>
      <c r="H15" s="5"/>
    </row>
    <row r="16">
      <c r="A16" s="39" t="s">
        <v>196</v>
      </c>
      <c r="B16" s="17">
        <v>0.002</v>
      </c>
      <c r="C16" s="19">
        <v>10346.0</v>
      </c>
      <c r="D16" s="19">
        <f t="shared" si="1"/>
        <v>20.692</v>
      </c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>
      <c r="A18" s="5"/>
      <c r="B18" s="5"/>
      <c r="C18" s="36" t="s">
        <v>197</v>
      </c>
      <c r="D18" s="19">
        <f>SUM(D9:D16)</f>
        <v>1246.392</v>
      </c>
      <c r="E18" s="5"/>
      <c r="F18" s="5"/>
      <c r="G18" s="5"/>
      <c r="H18" s="5"/>
    </row>
    <row r="19">
      <c r="A19" s="5"/>
      <c r="B19" s="5"/>
      <c r="C19" s="36" t="s">
        <v>198</v>
      </c>
      <c r="D19" s="19">
        <f>D18/293.07107</f>
        <v>4.252866037</v>
      </c>
      <c r="E19" s="5"/>
      <c r="F19" s="5"/>
      <c r="G19" s="5"/>
      <c r="H19" s="5"/>
    </row>
    <row r="20">
      <c r="A20" s="5"/>
      <c r="B20" s="5"/>
      <c r="C20" s="36" t="s">
        <v>199</v>
      </c>
      <c r="D20" s="19">
        <f>D19/1000000</f>
        <v>0.000004252866037</v>
      </c>
      <c r="E20" s="5"/>
      <c r="F20" s="5"/>
      <c r="G20" s="5"/>
      <c r="H20" s="5"/>
    </row>
    <row r="21">
      <c r="A21" s="5"/>
      <c r="B21" s="5"/>
      <c r="C21" s="5"/>
      <c r="D21" s="5"/>
      <c r="E21" s="5"/>
      <c r="F21" s="5"/>
      <c r="G21" s="5"/>
      <c r="H21" s="5"/>
    </row>
    <row r="22">
      <c r="A22" s="5"/>
      <c r="B22" s="5"/>
      <c r="C22" s="36" t="s">
        <v>200</v>
      </c>
      <c r="D22" s="19">
        <f>SUM(D5,D20)</f>
        <v>0.0004655069597</v>
      </c>
      <c r="E22" s="5"/>
      <c r="F22" s="5"/>
      <c r="G22" s="5"/>
      <c r="H22" s="5"/>
    </row>
    <row r="23">
      <c r="A23" s="5"/>
      <c r="B23" s="5"/>
      <c r="C23" s="36" t="s">
        <v>201</v>
      </c>
      <c r="D23" s="40">
        <f>D22*1000</f>
        <v>0.4655069597</v>
      </c>
      <c r="E23" s="5"/>
      <c r="F23" s="5"/>
      <c r="G23" s="5"/>
      <c r="H23" s="5"/>
    </row>
    <row r="2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5" t="s">
        <v>202</v>
      </c>
      <c r="B25" s="19">
        <f>D23</f>
        <v>0.4655069597</v>
      </c>
      <c r="C25" s="5" t="s">
        <v>203</v>
      </c>
      <c r="D25" s="19">
        <f>B28*B30</f>
        <v>1.004415071</v>
      </c>
      <c r="E25" s="5" t="s">
        <v>204</v>
      </c>
      <c r="G25" s="5"/>
      <c r="H25" s="36" t="s">
        <v>173</v>
      </c>
      <c r="I25" s="5"/>
      <c r="J25" s="5"/>
    </row>
    <row r="26">
      <c r="A26" s="5" t="s">
        <v>205</v>
      </c>
      <c r="B26" s="17">
        <f>1-I28</f>
        <v>0.958</v>
      </c>
      <c r="C26" s="5"/>
      <c r="D26" s="19">
        <f>B27*B25</f>
        <v>46.55069597</v>
      </c>
      <c r="E26" s="5" t="s">
        <v>206</v>
      </c>
      <c r="G26" s="5"/>
      <c r="H26" s="5" t="s">
        <v>207</v>
      </c>
      <c r="I26" s="10">
        <v>1055.055853</v>
      </c>
      <c r="J26" s="42" t="s">
        <v>208</v>
      </c>
    </row>
    <row r="27">
      <c r="A27" s="5" t="s">
        <v>209</v>
      </c>
      <c r="B27" s="19">
        <v>100.0</v>
      </c>
      <c r="C27" s="5"/>
      <c r="D27" s="5"/>
      <c r="E27" s="5"/>
      <c r="G27" s="5"/>
      <c r="H27" s="5" t="s">
        <v>210</v>
      </c>
      <c r="I27" s="19">
        <v>3.6</v>
      </c>
      <c r="J27" s="42" t="s">
        <v>211</v>
      </c>
    </row>
    <row r="28">
      <c r="A28" s="5" t="s">
        <v>212</v>
      </c>
      <c r="B28" s="19">
        <v>100.0</v>
      </c>
      <c r="C28" s="5"/>
      <c r="D28" s="5" t="s">
        <v>213</v>
      </c>
      <c r="E28" s="17">
        <f>(D26-D25)/D26</f>
        <v>0.9784231997</v>
      </c>
      <c r="G28" s="5"/>
      <c r="H28" s="5" t="s">
        <v>214</v>
      </c>
      <c r="I28" s="17">
        <v>0.042</v>
      </c>
      <c r="J28" s="42" t="s">
        <v>215</v>
      </c>
    </row>
    <row r="29">
      <c r="A29" s="43" t="s">
        <v>216</v>
      </c>
      <c r="B29" s="19">
        <f>B37</f>
        <v>0.00963930011</v>
      </c>
      <c r="C29" s="5" t="s">
        <v>203</v>
      </c>
      <c r="D29" s="5"/>
      <c r="E29" s="5"/>
      <c r="F29" s="5"/>
      <c r="G29" s="5"/>
      <c r="H29" s="5"/>
      <c r="I29" s="5"/>
      <c r="J29" s="5"/>
    </row>
    <row r="30">
      <c r="A30" s="43" t="s">
        <v>217</v>
      </c>
      <c r="B30" s="40">
        <f>B29*(1+(1-B26))</f>
        <v>0.01004415071</v>
      </c>
      <c r="C30" s="5" t="s">
        <v>203</v>
      </c>
      <c r="D30" s="5"/>
      <c r="E30" s="5"/>
      <c r="F30" s="5"/>
      <c r="G30" s="5"/>
      <c r="H30" s="5"/>
      <c r="I30" s="5"/>
      <c r="J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</row>
    <row r="33">
      <c r="A33" s="43" t="s">
        <v>218</v>
      </c>
      <c r="B33" s="5"/>
      <c r="C33" s="5"/>
      <c r="D33" s="5"/>
      <c r="E33" s="5"/>
      <c r="F33" s="5"/>
      <c r="G33" s="5"/>
      <c r="H33" s="5"/>
      <c r="I33" s="5"/>
      <c r="J33" s="5"/>
    </row>
    <row r="34">
      <c r="A34" s="5" t="s">
        <v>219</v>
      </c>
      <c r="B34" s="19">
        <f>I27/I26</f>
        <v>0.003412141632</v>
      </c>
      <c r="C34" s="5"/>
      <c r="D34" s="5"/>
      <c r="E34" s="5"/>
      <c r="F34" s="5"/>
      <c r="G34" s="5"/>
      <c r="H34" s="5"/>
      <c r="I34" s="5"/>
      <c r="J34" s="5"/>
    </row>
    <row r="35">
      <c r="A35" s="5" t="s">
        <v>220</v>
      </c>
      <c r="B35" s="19">
        <f>C10</f>
        <v>2825</v>
      </c>
      <c r="C35" s="5"/>
      <c r="D35" s="5"/>
      <c r="E35" s="5"/>
      <c r="F35" s="5"/>
      <c r="G35" s="5"/>
      <c r="H35" s="5"/>
      <c r="I35" s="5"/>
      <c r="J35" s="5"/>
    </row>
    <row r="36">
      <c r="A36" s="5" t="s">
        <v>221</v>
      </c>
      <c r="B36" s="19">
        <f>B35*B34</f>
        <v>9.63930011</v>
      </c>
      <c r="C36" s="5"/>
      <c r="D36" s="5"/>
      <c r="E36" s="8"/>
      <c r="F36" s="5"/>
      <c r="G36" s="5"/>
      <c r="H36" s="5"/>
      <c r="I36" s="5"/>
      <c r="J36" s="5"/>
    </row>
    <row r="37">
      <c r="A37" s="5" t="s">
        <v>222</v>
      </c>
      <c r="B37" s="19">
        <f>B36/1000</f>
        <v>0.00963930011</v>
      </c>
      <c r="C37" s="5"/>
      <c r="D37" s="5"/>
      <c r="E37" s="5"/>
      <c r="F37" s="5"/>
      <c r="G37" s="5"/>
      <c r="H37" s="5"/>
      <c r="I37" s="5"/>
      <c r="J37" s="5"/>
    </row>
  </sheetData>
  <mergeCells count="2">
    <mergeCell ref="A1:C1"/>
    <mergeCell ref="A7:B7"/>
  </mergeCells>
  <hyperlinks>
    <hyperlink r:id="rId2" ref="F2"/>
    <hyperlink r:id="rId3" location="/SPNO" ref="F8"/>
    <hyperlink r:id="rId4" ref="J26"/>
    <hyperlink r:id="rId5" ref="J27"/>
    <hyperlink r:id="rId6" ref="J28"/>
  </hyperlinks>
  <drawing r:id="rId7"/>
  <legacy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223</v>
      </c>
      <c r="D1" s="5"/>
      <c r="E1" s="5"/>
      <c r="F1" s="5" t="s">
        <v>8</v>
      </c>
      <c r="H1" s="36" t="s">
        <v>173</v>
      </c>
      <c r="I1" s="5"/>
    </row>
    <row r="2">
      <c r="A2" s="5"/>
      <c r="B2" s="5"/>
      <c r="C2" s="5"/>
      <c r="D2" s="5"/>
      <c r="E2" s="5"/>
      <c r="F2" s="42" t="s">
        <v>224</v>
      </c>
      <c r="G2" s="5"/>
      <c r="H2" s="5" t="s">
        <v>175</v>
      </c>
      <c r="I2" s="19">
        <v>1000.0</v>
      </c>
    </row>
    <row r="3">
      <c r="A3" s="5"/>
      <c r="B3" s="5"/>
      <c r="C3" s="36" t="s">
        <v>176</v>
      </c>
      <c r="D3" s="19">
        <v>1144.77</v>
      </c>
      <c r="E3" s="5"/>
      <c r="F3" s="5"/>
      <c r="G3" s="5"/>
      <c r="H3" s="5" t="s">
        <v>177</v>
      </c>
      <c r="I3" s="19">
        <v>293.07107</v>
      </c>
    </row>
    <row r="4">
      <c r="A4" s="5"/>
      <c r="B4" s="5"/>
      <c r="C4" s="36" t="s">
        <v>178</v>
      </c>
      <c r="D4" s="19">
        <f>D3/I2</f>
        <v>1.14477</v>
      </c>
      <c r="E4" s="5"/>
      <c r="F4" s="5"/>
      <c r="G4" s="5"/>
      <c r="H4" s="5" t="s">
        <v>179</v>
      </c>
      <c r="I4" s="19">
        <v>2204.62</v>
      </c>
    </row>
    <row r="5">
      <c r="A5" s="5"/>
      <c r="B5" s="5"/>
      <c r="C5" s="36" t="s">
        <v>180</v>
      </c>
      <c r="D5" s="19">
        <f>D4/I4</f>
        <v>0.0005192595549</v>
      </c>
      <c r="E5" s="5"/>
      <c r="F5" s="5"/>
      <c r="G5" s="5"/>
      <c r="H5" s="5" t="s">
        <v>181</v>
      </c>
      <c r="I5" s="19">
        <v>1000000.0</v>
      </c>
    </row>
    <row r="6">
      <c r="A6" s="5"/>
      <c r="B6" s="5"/>
      <c r="C6" s="5"/>
      <c r="D6" s="19">
        <f>D5*1000</f>
        <v>0.5192595549</v>
      </c>
      <c r="E6" s="5"/>
      <c r="F6" s="5"/>
      <c r="G6" s="5"/>
      <c r="H6" s="5"/>
      <c r="I6" s="5"/>
    </row>
    <row r="7">
      <c r="A7" s="5"/>
      <c r="B7" s="5"/>
      <c r="C7" s="5"/>
      <c r="D7" s="5"/>
      <c r="E7" s="5"/>
      <c r="F7" s="5"/>
      <c r="G7" s="5"/>
      <c r="H7" s="5"/>
      <c r="I7" s="5"/>
    </row>
    <row r="8">
      <c r="A8" s="5"/>
      <c r="B8" s="5"/>
      <c r="C8" s="5"/>
      <c r="D8" s="5"/>
      <c r="E8" s="5"/>
      <c r="F8" s="5"/>
      <c r="G8" s="5"/>
      <c r="H8" s="5"/>
      <c r="I8" s="5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36" t="s">
        <v>225</v>
      </c>
      <c r="D10" s="5"/>
      <c r="E10" s="5"/>
      <c r="F10" s="8" t="s">
        <v>8</v>
      </c>
      <c r="G10" s="5"/>
      <c r="H10" s="5"/>
      <c r="I10" s="5"/>
    </row>
    <row r="11">
      <c r="A11" s="36" t="s">
        <v>183</v>
      </c>
      <c r="B11" s="36" t="s">
        <v>184</v>
      </c>
      <c r="C11" s="36" t="s">
        <v>185</v>
      </c>
      <c r="D11" s="36" t="s">
        <v>186</v>
      </c>
      <c r="E11" s="5"/>
      <c r="F11" s="37" t="s">
        <v>226</v>
      </c>
      <c r="G11" s="5"/>
      <c r="H11" s="5"/>
      <c r="I11" s="5"/>
    </row>
    <row r="12">
      <c r="A12" s="5" t="s">
        <v>188</v>
      </c>
      <c r="B12" s="17">
        <v>0.317</v>
      </c>
      <c r="C12" s="19">
        <v>227.0</v>
      </c>
      <c r="D12" s="19">
        <f t="shared" ref="D12:D19" si="1">C12*B12</f>
        <v>71.959</v>
      </c>
      <c r="E12" s="5"/>
      <c r="F12" s="5" t="s">
        <v>189</v>
      </c>
      <c r="G12" s="5"/>
      <c r="H12" s="5"/>
      <c r="I12" s="5"/>
    </row>
    <row r="13">
      <c r="A13" s="5" t="s">
        <v>190</v>
      </c>
      <c r="B13" s="17">
        <v>0.258</v>
      </c>
      <c r="C13" s="19">
        <v>2825.0</v>
      </c>
      <c r="D13" s="19">
        <f t="shared" si="1"/>
        <v>728.85</v>
      </c>
      <c r="E13" s="5"/>
      <c r="F13" s="5"/>
      <c r="G13" s="5"/>
      <c r="H13" s="5"/>
      <c r="I13" s="5"/>
    </row>
    <row r="14">
      <c r="A14" s="5" t="s">
        <v>191</v>
      </c>
      <c r="B14" s="17">
        <v>0.0</v>
      </c>
      <c r="C14" s="19">
        <v>79.0</v>
      </c>
      <c r="D14" s="19">
        <f t="shared" si="1"/>
        <v>0</v>
      </c>
      <c r="E14" s="5"/>
      <c r="F14" s="5"/>
      <c r="G14" s="5"/>
      <c r="H14" s="5"/>
      <c r="I14" s="5"/>
    </row>
    <row r="15">
      <c r="A15" s="5" t="s">
        <v>192</v>
      </c>
      <c r="B15" s="17">
        <v>0.263</v>
      </c>
      <c r="C15" s="19">
        <v>120.0</v>
      </c>
      <c r="D15" s="19">
        <f t="shared" si="1"/>
        <v>31.56</v>
      </c>
      <c r="E15" s="5"/>
      <c r="F15" s="5"/>
      <c r="G15" s="5"/>
      <c r="H15" s="5"/>
      <c r="I15" s="5"/>
    </row>
    <row r="16">
      <c r="A16" s="5" t="s">
        <v>193</v>
      </c>
      <c r="B16" s="17">
        <v>0.001</v>
      </c>
      <c r="C16" s="19">
        <v>120.0</v>
      </c>
      <c r="D16" s="19">
        <f t="shared" si="1"/>
        <v>0.12</v>
      </c>
      <c r="E16" s="5"/>
      <c r="F16" s="5"/>
      <c r="G16" s="5"/>
      <c r="H16" s="5"/>
      <c r="I16" s="5"/>
    </row>
    <row r="17">
      <c r="A17" s="5" t="s">
        <v>194</v>
      </c>
      <c r="B17" s="17">
        <v>0.105</v>
      </c>
      <c r="C17" s="19">
        <v>2056.0</v>
      </c>
      <c r="D17" s="19">
        <f t="shared" si="1"/>
        <v>215.88</v>
      </c>
      <c r="E17" s="5"/>
      <c r="F17" s="5"/>
      <c r="G17" s="5"/>
      <c r="H17" s="5"/>
      <c r="I17" s="5"/>
    </row>
    <row r="18">
      <c r="A18" s="5" t="s">
        <v>195</v>
      </c>
      <c r="B18" s="34">
        <v>0.002</v>
      </c>
      <c r="C18" s="19">
        <v>231.0</v>
      </c>
      <c r="D18" s="19">
        <f t="shared" si="1"/>
        <v>0.462</v>
      </c>
      <c r="E18" s="5"/>
      <c r="F18" s="5"/>
      <c r="G18" s="5"/>
      <c r="H18" s="5"/>
      <c r="I18" s="5"/>
    </row>
    <row r="19">
      <c r="A19" s="5" t="s">
        <v>196</v>
      </c>
      <c r="B19" s="17">
        <v>0.054</v>
      </c>
      <c r="C19" s="19">
        <v>10346.0</v>
      </c>
      <c r="D19" s="19">
        <f t="shared" si="1"/>
        <v>558.684</v>
      </c>
      <c r="E19" s="5"/>
      <c r="F19" s="5"/>
      <c r="G19" s="5"/>
      <c r="H19" s="5"/>
      <c r="I19" s="5"/>
    </row>
    <row r="20">
      <c r="A20" s="5"/>
      <c r="B20" s="5"/>
      <c r="C20" s="5"/>
      <c r="D20" s="5"/>
      <c r="E20" s="5"/>
      <c r="F20" s="5"/>
      <c r="G20" s="5"/>
      <c r="H20" s="5"/>
      <c r="I20" s="5"/>
    </row>
    <row r="21">
      <c r="A21" s="5"/>
      <c r="B21" s="5"/>
      <c r="C21" s="36" t="s">
        <v>197</v>
      </c>
      <c r="D21" s="19">
        <f>SUM(D12:D19)</f>
        <v>1607.515</v>
      </c>
      <c r="E21" s="5"/>
      <c r="F21" s="5"/>
      <c r="G21" s="5"/>
      <c r="H21" s="5"/>
      <c r="I21" s="5"/>
    </row>
    <row r="22">
      <c r="A22" s="5"/>
      <c r="B22" s="5"/>
      <c r="C22" s="36" t="s">
        <v>198</v>
      </c>
      <c r="D22" s="19">
        <f>D21/I3</f>
        <v>5.485068861</v>
      </c>
      <c r="E22" s="5"/>
      <c r="F22" s="5"/>
      <c r="G22" s="5"/>
      <c r="H22" s="5"/>
      <c r="I22" s="5"/>
    </row>
    <row r="23">
      <c r="A23" s="5"/>
      <c r="B23" s="5"/>
      <c r="C23" s="36" t="s">
        <v>199</v>
      </c>
      <c r="D23" s="19">
        <f>D22/I5</f>
        <v>0.000005485068861</v>
      </c>
      <c r="E23" s="5"/>
      <c r="F23" s="5"/>
      <c r="G23" s="5"/>
      <c r="H23" s="5"/>
      <c r="I23" s="5"/>
    </row>
    <row r="24">
      <c r="A24" s="5"/>
      <c r="B24" s="5"/>
      <c r="C24" s="5"/>
      <c r="D24" s="5"/>
      <c r="E24" s="5"/>
      <c r="F24" s="5"/>
      <c r="G24" s="5"/>
      <c r="H24" s="5"/>
      <c r="I24" s="5"/>
    </row>
    <row r="25">
      <c r="A25" s="5"/>
      <c r="B25" s="5"/>
      <c r="C25" s="36" t="s">
        <v>200</v>
      </c>
      <c r="D25" s="19">
        <f>SUM(D5,D23)</f>
        <v>0.0005247446238</v>
      </c>
      <c r="E25" s="5"/>
      <c r="F25" s="5"/>
      <c r="G25" s="5"/>
      <c r="H25" s="5"/>
      <c r="I25" s="5"/>
    </row>
    <row r="26">
      <c r="A26" s="5"/>
      <c r="B26" s="5"/>
      <c r="C26" s="36" t="s">
        <v>201</v>
      </c>
      <c r="D26" s="19">
        <f>D25*1000</f>
        <v>0.5247446238</v>
      </c>
      <c r="E26" s="5"/>
      <c r="F26" s="5"/>
      <c r="G26" s="5"/>
      <c r="H26" s="5"/>
      <c r="I26" s="5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5" t="s">
        <v>227</v>
      </c>
      <c r="B28" s="19">
        <f>D26</f>
        <v>0.5247446238</v>
      </c>
      <c r="C28" s="5" t="s">
        <v>203</v>
      </c>
      <c r="D28" s="19">
        <f>B31*B33</f>
        <v>3.674940003</v>
      </c>
      <c r="E28" s="5" t="s">
        <v>204</v>
      </c>
      <c r="H28" s="36" t="s">
        <v>173</v>
      </c>
      <c r="I28" s="5"/>
      <c r="J28" s="5"/>
    </row>
    <row r="29">
      <c r="A29" s="5" t="s">
        <v>228</v>
      </c>
      <c r="B29" s="17">
        <f>1-I31</f>
        <v>0.959</v>
      </c>
      <c r="C29" s="5"/>
      <c r="D29" s="19">
        <f>B30*B28</f>
        <v>52.47446238</v>
      </c>
      <c r="E29" s="5" t="s">
        <v>206</v>
      </c>
      <c r="H29" s="5" t="s">
        <v>207</v>
      </c>
      <c r="I29" s="10">
        <v>1055.055853</v>
      </c>
      <c r="J29" s="42" t="s">
        <v>208</v>
      </c>
    </row>
    <row r="30">
      <c r="A30" s="5" t="s">
        <v>230</v>
      </c>
      <c r="B30" s="19">
        <v>100.0</v>
      </c>
      <c r="C30" s="5"/>
      <c r="D30" s="5"/>
      <c r="E30" s="5"/>
      <c r="H30" s="5" t="s">
        <v>210</v>
      </c>
      <c r="I30" s="19">
        <v>3.6</v>
      </c>
      <c r="J30" s="46" t="s">
        <v>211</v>
      </c>
    </row>
    <row r="31">
      <c r="A31" s="5" t="s">
        <v>232</v>
      </c>
      <c r="B31" s="19">
        <v>100.0</v>
      </c>
      <c r="C31" s="5"/>
      <c r="D31" s="5" t="s">
        <v>213</v>
      </c>
      <c r="E31" s="17">
        <f>(D29-D28)/D29</f>
        <v>0.9299670766</v>
      </c>
      <c r="H31" s="5" t="s">
        <v>214</v>
      </c>
      <c r="I31" s="17">
        <v>0.041</v>
      </c>
      <c r="J31" s="46" t="s">
        <v>233</v>
      </c>
    </row>
    <row r="32">
      <c r="A32" s="43" t="s">
        <v>216</v>
      </c>
      <c r="B32" s="19">
        <f>B40</f>
        <v>0.03530201732</v>
      </c>
      <c r="C32" s="5" t="s">
        <v>203</v>
      </c>
      <c r="D32" s="5"/>
      <c r="E32" s="5"/>
      <c r="F32" s="5"/>
      <c r="G32" s="5"/>
      <c r="H32" s="5"/>
      <c r="I32" s="5"/>
      <c r="J32" s="5"/>
    </row>
    <row r="33">
      <c r="A33" s="47" t="s">
        <v>217</v>
      </c>
      <c r="B33" s="40">
        <f>B32*(1+(1-B29))</f>
        <v>0.03674940003</v>
      </c>
      <c r="C33" s="48" t="s">
        <v>203</v>
      </c>
      <c r="D33" s="5"/>
      <c r="E33" s="5"/>
      <c r="F33" s="5"/>
      <c r="G33" s="5"/>
      <c r="H33" s="5"/>
      <c r="I33" s="5"/>
      <c r="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43" t="s">
        <v>234</v>
      </c>
      <c r="B36" s="5"/>
      <c r="C36" s="5"/>
      <c r="D36" s="5"/>
      <c r="E36" s="5"/>
      <c r="F36" s="5"/>
      <c r="G36" s="5"/>
      <c r="H36" s="5"/>
      <c r="I36" s="5"/>
      <c r="J36" s="5"/>
    </row>
    <row r="37">
      <c r="A37" s="5" t="s">
        <v>219</v>
      </c>
      <c r="B37" s="19">
        <f>I30/I29</f>
        <v>0.003412141632</v>
      </c>
      <c r="C37" s="5"/>
      <c r="D37" s="5"/>
      <c r="E37" s="5"/>
      <c r="F37" s="5"/>
      <c r="G37" s="5"/>
      <c r="H37" s="5"/>
      <c r="I37" s="5"/>
      <c r="J37" s="5"/>
    </row>
    <row r="38">
      <c r="A38" s="5" t="s">
        <v>220</v>
      </c>
      <c r="B38" s="19">
        <f>C19</f>
        <v>10346</v>
      </c>
      <c r="C38" s="5"/>
      <c r="D38" s="5"/>
      <c r="E38" s="5"/>
      <c r="F38" s="5"/>
      <c r="G38" s="5"/>
      <c r="H38" s="5"/>
      <c r="I38" s="5"/>
      <c r="J38" s="5"/>
    </row>
    <row r="39">
      <c r="A39" s="5" t="s">
        <v>221</v>
      </c>
      <c r="B39" s="19">
        <f>B38*B37</f>
        <v>35.30201732</v>
      </c>
      <c r="C39" s="5"/>
      <c r="D39" s="5"/>
      <c r="E39" s="5"/>
      <c r="F39" s="5"/>
      <c r="G39" s="5"/>
      <c r="H39" s="5"/>
      <c r="I39" s="5"/>
      <c r="J39" s="5"/>
    </row>
    <row r="40">
      <c r="A40" s="5" t="s">
        <v>222</v>
      </c>
      <c r="B40" s="19">
        <f>B39/1000</f>
        <v>0.03530201732</v>
      </c>
      <c r="C40" s="5"/>
      <c r="D40" s="5"/>
      <c r="E40" s="5"/>
      <c r="F40" s="5"/>
      <c r="G40" s="5"/>
      <c r="H40" s="5"/>
      <c r="I40" s="5"/>
      <c r="J40" s="5"/>
    </row>
  </sheetData>
  <mergeCells count="2">
    <mergeCell ref="A1:C1"/>
    <mergeCell ref="A10:C10"/>
  </mergeCells>
  <hyperlinks>
    <hyperlink r:id="rId2" ref="F2"/>
    <hyperlink r:id="rId3" location="/SPNO" ref="F11"/>
    <hyperlink r:id="rId4" ref="J29"/>
    <hyperlink r:id="rId5" ref="J30"/>
    <hyperlink r:id="rId6" ref="J31"/>
  </hyperlinks>
  <drawing r:id="rId7"/>
  <legacyDrawing r:id="rId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223</v>
      </c>
      <c r="D1" s="5"/>
      <c r="E1" s="5"/>
      <c r="F1" s="5" t="s">
        <v>8</v>
      </c>
      <c r="H1" s="36" t="s">
        <v>173</v>
      </c>
      <c r="I1" s="5"/>
    </row>
    <row r="2">
      <c r="A2" s="5"/>
      <c r="B2" s="5"/>
      <c r="C2" s="5"/>
      <c r="D2" s="5"/>
      <c r="E2" s="5"/>
      <c r="F2" s="42" t="s">
        <v>224</v>
      </c>
      <c r="G2" s="5"/>
      <c r="H2" s="5" t="s">
        <v>175</v>
      </c>
      <c r="I2" s="19">
        <v>1000.0</v>
      </c>
    </row>
    <row r="3">
      <c r="A3" s="5"/>
      <c r="B3" s="5"/>
      <c r="C3" s="36" t="s">
        <v>176</v>
      </c>
      <c r="D3" s="44">
        <v>1020.77</v>
      </c>
      <c r="E3" s="5"/>
      <c r="F3" s="5"/>
      <c r="G3" s="5"/>
      <c r="H3" s="5" t="s">
        <v>177</v>
      </c>
      <c r="I3" s="19">
        <v>293.07107</v>
      </c>
    </row>
    <row r="4">
      <c r="A4" s="5"/>
      <c r="B4" s="5"/>
      <c r="C4" s="36" t="s">
        <v>178</v>
      </c>
      <c r="D4" s="19">
        <f>D3/I2</f>
        <v>1.02077</v>
      </c>
      <c r="E4" s="5"/>
      <c r="F4" s="5"/>
      <c r="G4" s="5"/>
      <c r="H4" s="5" t="s">
        <v>179</v>
      </c>
      <c r="I4" s="19">
        <v>2204.62</v>
      </c>
    </row>
    <row r="5">
      <c r="A5" s="5"/>
      <c r="B5" s="5"/>
      <c r="C5" s="36" t="s">
        <v>180</v>
      </c>
      <c r="D5" s="19">
        <f>D4/I4</f>
        <v>0.0004630140342</v>
      </c>
      <c r="E5" s="5"/>
      <c r="F5" s="5"/>
      <c r="G5" s="5"/>
      <c r="H5" s="5" t="s">
        <v>181</v>
      </c>
      <c r="I5" s="19">
        <v>1000000.0</v>
      </c>
    </row>
    <row r="6">
      <c r="A6" s="5"/>
      <c r="B6" s="5"/>
      <c r="C6" s="5"/>
      <c r="D6" s="19">
        <f>D5*1000</f>
        <v>0.4630140342</v>
      </c>
      <c r="E6" s="5"/>
      <c r="F6" s="5"/>
      <c r="G6" s="5"/>
      <c r="H6" s="5"/>
      <c r="I6" s="5"/>
    </row>
    <row r="7">
      <c r="A7" s="5"/>
      <c r="B7" s="5"/>
      <c r="C7" s="5"/>
      <c r="D7" s="5"/>
      <c r="E7" s="5"/>
      <c r="F7" s="5"/>
      <c r="G7" s="5"/>
      <c r="H7" s="5"/>
      <c r="I7" s="5"/>
    </row>
    <row r="8">
      <c r="A8" s="5"/>
      <c r="B8" s="5"/>
      <c r="C8" s="5"/>
      <c r="D8" s="5"/>
      <c r="E8" s="5"/>
      <c r="F8" s="5"/>
      <c r="G8" s="5"/>
      <c r="H8" s="5"/>
      <c r="I8" s="5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36" t="s">
        <v>225</v>
      </c>
      <c r="D10" s="5"/>
      <c r="E10" s="5"/>
      <c r="F10" s="8" t="s">
        <v>8</v>
      </c>
      <c r="G10" s="5"/>
      <c r="H10" s="5"/>
      <c r="I10" s="5"/>
    </row>
    <row r="11">
      <c r="A11" s="36" t="s">
        <v>183</v>
      </c>
      <c r="B11" s="36" t="s">
        <v>184</v>
      </c>
      <c r="C11" s="36" t="s">
        <v>185</v>
      </c>
      <c r="D11" s="36" t="s">
        <v>186</v>
      </c>
      <c r="E11" s="5"/>
      <c r="F11" s="45" t="s">
        <v>229</v>
      </c>
      <c r="G11" s="5"/>
      <c r="H11" s="5"/>
      <c r="I11" s="5"/>
    </row>
    <row r="12">
      <c r="A12" s="5" t="s">
        <v>188</v>
      </c>
      <c r="B12" s="34">
        <v>0.162</v>
      </c>
      <c r="C12" s="10">
        <f>'ElecInfra Summary'!$J$12</f>
        <v>230.1891673</v>
      </c>
      <c r="D12" s="19">
        <f t="shared" ref="D12:D19" si="1">C12*B12</f>
        <v>37.2906451</v>
      </c>
      <c r="E12" s="5"/>
      <c r="F12" s="8" t="s">
        <v>231</v>
      </c>
      <c r="G12" s="5"/>
      <c r="H12" s="5"/>
      <c r="I12" s="5"/>
    </row>
    <row r="13">
      <c r="A13" s="5" t="s">
        <v>190</v>
      </c>
      <c r="B13" s="34">
        <v>0.325</v>
      </c>
      <c r="C13" s="10">
        <f>'ElecInfra Summary'!$J$18</f>
        <v>2820.231557</v>
      </c>
      <c r="D13" s="19">
        <f t="shared" si="1"/>
        <v>916.5752559</v>
      </c>
      <c r="E13" s="5"/>
      <c r="F13" s="5"/>
      <c r="G13" s="5"/>
      <c r="H13" s="5"/>
      <c r="I13" s="5"/>
    </row>
    <row r="14">
      <c r="A14" s="5" t="s">
        <v>191</v>
      </c>
      <c r="B14" s="34">
        <v>0.0</v>
      </c>
      <c r="C14" s="10">
        <f>'ElecInfra Summary'!$J$16</f>
        <v>75.66991751</v>
      </c>
      <c r="D14" s="19">
        <f t="shared" si="1"/>
        <v>0</v>
      </c>
      <c r="E14" s="5"/>
      <c r="F14" s="5"/>
      <c r="G14" s="5"/>
      <c r="H14" s="5"/>
      <c r="I14" s="5"/>
    </row>
    <row r="15">
      <c r="A15" s="5" t="s">
        <v>192</v>
      </c>
      <c r="B15" s="34">
        <v>0.461</v>
      </c>
      <c r="C15" s="10">
        <f>'ElecInfra Summary'!$J$13</f>
        <v>230.1891673</v>
      </c>
      <c r="D15" s="19">
        <f t="shared" si="1"/>
        <v>106.1172061</v>
      </c>
      <c r="E15" s="5"/>
      <c r="F15" s="5"/>
      <c r="G15" s="5"/>
      <c r="H15" s="5"/>
      <c r="I15" s="5"/>
    </row>
    <row r="16">
      <c r="A16" s="5" t="s">
        <v>193</v>
      </c>
      <c r="B16" s="34">
        <v>0.005</v>
      </c>
      <c r="C16" s="10">
        <f>'ElecInfra Summary'!$J$14</f>
        <v>230.1891673</v>
      </c>
      <c r="D16" s="19">
        <f t="shared" si="1"/>
        <v>1.150945836</v>
      </c>
      <c r="E16" s="5"/>
      <c r="F16" s="5"/>
      <c r="G16" s="5"/>
      <c r="H16" s="5"/>
      <c r="I16" s="5"/>
    </row>
    <row r="17">
      <c r="A17" s="5" t="s">
        <v>194</v>
      </c>
      <c r="B17" s="34">
        <v>0.025</v>
      </c>
      <c r="C17" s="10">
        <f>'ElecInfra Summary'!$J$17</f>
        <v>2001.059376</v>
      </c>
      <c r="D17" s="19">
        <f t="shared" si="1"/>
        <v>50.02648439</v>
      </c>
      <c r="E17" s="5"/>
      <c r="F17" s="5"/>
      <c r="G17" s="5"/>
      <c r="H17" s="5"/>
      <c r="I17" s="5"/>
    </row>
    <row r="18">
      <c r="A18" s="5" t="s">
        <v>195</v>
      </c>
      <c r="B18" s="34">
        <v>0.012</v>
      </c>
      <c r="C18" s="10">
        <f>'ElecInfra Summary'!$J$15</f>
        <v>234.559379</v>
      </c>
      <c r="D18" s="19">
        <f t="shared" si="1"/>
        <v>2.814712548</v>
      </c>
      <c r="E18" s="5"/>
      <c r="F18" s="5"/>
      <c r="G18" s="5"/>
      <c r="H18" s="5"/>
      <c r="I18" s="5"/>
    </row>
    <row r="19">
      <c r="A19" s="5" t="s">
        <v>196</v>
      </c>
      <c r="B19" s="34">
        <v>0.01</v>
      </c>
      <c r="C19" s="10">
        <f>'ElecInfra Summary'!$J$19</f>
        <v>10305.73612</v>
      </c>
      <c r="D19" s="19">
        <f t="shared" si="1"/>
        <v>103.0573612</v>
      </c>
      <c r="E19" s="5"/>
      <c r="F19" s="5"/>
      <c r="G19" s="5"/>
      <c r="H19" s="5"/>
      <c r="I19" s="5"/>
    </row>
    <row r="20">
      <c r="A20" s="5"/>
      <c r="B20" s="5"/>
      <c r="C20" s="5"/>
      <c r="D20" s="5"/>
      <c r="E20" s="5"/>
      <c r="F20" s="5"/>
      <c r="G20" s="5"/>
      <c r="H20" s="5"/>
      <c r="I20" s="5"/>
    </row>
    <row r="21">
      <c r="A21" s="5"/>
      <c r="B21" s="49">
        <f>SUM(B12:B19)</f>
        <v>1</v>
      </c>
      <c r="C21" s="36" t="s">
        <v>197</v>
      </c>
      <c r="D21" s="19">
        <f>SUM(D12:D19)</f>
        <v>1217.032611</v>
      </c>
      <c r="E21" s="5"/>
      <c r="F21" s="5"/>
      <c r="G21" s="5"/>
      <c r="H21" s="5"/>
      <c r="I21" s="5"/>
    </row>
    <row r="22">
      <c r="A22" s="5"/>
      <c r="B22" s="5"/>
      <c r="C22" s="36" t="s">
        <v>198</v>
      </c>
      <c r="D22" s="19">
        <f>D21/I3</f>
        <v>4.152687644</v>
      </c>
      <c r="E22" s="5"/>
      <c r="F22" s="5"/>
      <c r="G22" s="5"/>
      <c r="H22" s="5"/>
      <c r="I22" s="5"/>
    </row>
    <row r="23">
      <c r="A23" s="5"/>
      <c r="B23" s="5"/>
      <c r="C23" s="36" t="s">
        <v>199</v>
      </c>
      <c r="D23" s="19">
        <f>D22/I5</f>
        <v>0.000004152687644</v>
      </c>
      <c r="E23" s="5"/>
      <c r="F23" s="5"/>
      <c r="G23" s="5"/>
      <c r="H23" s="5"/>
      <c r="I23" s="5"/>
    </row>
    <row r="24">
      <c r="A24" s="5"/>
      <c r="B24" s="5"/>
      <c r="C24" s="5"/>
      <c r="D24" s="5"/>
      <c r="E24" s="5"/>
      <c r="F24" s="5"/>
      <c r="G24" s="5"/>
      <c r="H24" s="5"/>
      <c r="I24" s="5"/>
    </row>
    <row r="25">
      <c r="A25" s="5"/>
      <c r="B25" s="5"/>
      <c r="C25" s="36" t="s">
        <v>200</v>
      </c>
      <c r="D25" s="19">
        <f>SUM(D5,D23)</f>
        <v>0.0004671667218</v>
      </c>
      <c r="E25" s="5"/>
      <c r="F25" s="5"/>
      <c r="G25" s="5"/>
      <c r="H25" s="5"/>
      <c r="I25" s="5"/>
    </row>
    <row r="26">
      <c r="A26" s="5"/>
      <c r="B26" s="5"/>
      <c r="C26" s="36" t="s">
        <v>201</v>
      </c>
      <c r="D26" s="19">
        <f>D25*1000</f>
        <v>0.4671667218</v>
      </c>
      <c r="E26" s="5"/>
      <c r="F26" s="5"/>
      <c r="G26" s="5"/>
      <c r="H26" s="5"/>
      <c r="I26" s="5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5" t="s">
        <v>235</v>
      </c>
      <c r="B28" s="19">
        <f>D26</f>
        <v>0.4671667218</v>
      </c>
      <c r="C28" s="5" t="s">
        <v>203</v>
      </c>
      <c r="D28" s="19">
        <f>B31*B33</f>
        <v>3.664154577</v>
      </c>
      <c r="E28" s="5" t="s">
        <v>204</v>
      </c>
      <c r="H28" s="36" t="s">
        <v>173</v>
      </c>
      <c r="I28" s="5"/>
      <c r="J28" s="5"/>
    </row>
    <row r="29">
      <c r="A29" s="5" t="s">
        <v>236</v>
      </c>
      <c r="B29" s="17">
        <f>1-I31</f>
        <v>0.958</v>
      </c>
      <c r="C29" s="5"/>
      <c r="D29" s="19">
        <f>B30*B28</f>
        <v>46.71667218</v>
      </c>
      <c r="E29" s="5" t="s">
        <v>206</v>
      </c>
      <c r="H29" s="5" t="s">
        <v>207</v>
      </c>
      <c r="I29" s="10">
        <v>1055.055853</v>
      </c>
      <c r="J29" s="42" t="s">
        <v>208</v>
      </c>
    </row>
    <row r="30">
      <c r="A30" s="5" t="s">
        <v>237</v>
      </c>
      <c r="B30" s="38">
        <v>100.0</v>
      </c>
      <c r="C30" s="5"/>
      <c r="D30" s="5"/>
      <c r="E30" s="5"/>
      <c r="H30" s="5" t="s">
        <v>210</v>
      </c>
      <c r="I30" s="19">
        <v>3.6</v>
      </c>
      <c r="J30" s="42" t="s">
        <v>211</v>
      </c>
    </row>
    <row r="31">
      <c r="A31" s="5" t="s">
        <v>238</v>
      </c>
      <c r="B31" s="38">
        <v>100.0</v>
      </c>
      <c r="C31" s="5"/>
      <c r="D31" s="5" t="s">
        <v>213</v>
      </c>
      <c r="E31" s="17">
        <f>(D29-D28)/D29</f>
        <v>0.9215664471</v>
      </c>
      <c r="H31" s="5" t="s">
        <v>214</v>
      </c>
      <c r="I31" s="34">
        <v>0.042</v>
      </c>
      <c r="J31" s="46" t="s">
        <v>239</v>
      </c>
    </row>
    <row r="32">
      <c r="A32" s="43" t="s">
        <v>216</v>
      </c>
      <c r="B32" s="19">
        <f>B40</f>
        <v>0.03516463126</v>
      </c>
      <c r="C32" s="5" t="s">
        <v>203</v>
      </c>
      <c r="D32" s="5"/>
      <c r="E32" s="5"/>
      <c r="F32" s="5"/>
      <c r="G32" s="5"/>
      <c r="H32" s="5"/>
      <c r="I32" s="5"/>
      <c r="J32" s="5"/>
    </row>
    <row r="33">
      <c r="A33" s="47" t="s">
        <v>217</v>
      </c>
      <c r="B33" s="40">
        <f>B32*(1+(1-B29))</f>
        <v>0.03664154577</v>
      </c>
      <c r="C33" s="48" t="s">
        <v>203</v>
      </c>
      <c r="D33" s="5"/>
      <c r="E33" s="5"/>
      <c r="F33" s="5"/>
      <c r="G33" s="5"/>
      <c r="H33" s="5"/>
      <c r="I33" s="5"/>
      <c r="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43" t="s">
        <v>234</v>
      </c>
      <c r="B36" s="5"/>
      <c r="C36" s="5"/>
      <c r="D36" s="5"/>
      <c r="E36" s="5"/>
      <c r="F36" s="5"/>
      <c r="G36" s="5"/>
      <c r="H36" s="5"/>
      <c r="I36" s="5"/>
      <c r="J36" s="5"/>
    </row>
    <row r="37">
      <c r="A37" s="5" t="s">
        <v>219</v>
      </c>
      <c r="B37" s="19">
        <f>I30/I29</f>
        <v>0.003412141632</v>
      </c>
      <c r="C37" s="5"/>
      <c r="D37" s="5"/>
      <c r="E37" s="5"/>
      <c r="F37" s="5"/>
      <c r="G37" s="5"/>
      <c r="H37" s="5"/>
      <c r="I37" s="5"/>
      <c r="J37" s="5"/>
    </row>
    <row r="38">
      <c r="A38" s="5" t="s">
        <v>220</v>
      </c>
      <c r="B38" s="10">
        <f>C19</f>
        <v>10305.73612</v>
      </c>
      <c r="C38" s="5"/>
      <c r="D38" s="5"/>
      <c r="E38" s="5"/>
      <c r="F38" s="5"/>
      <c r="G38" s="5"/>
      <c r="H38" s="5"/>
      <c r="I38" s="5"/>
      <c r="J38" s="5"/>
    </row>
    <row r="39">
      <c r="A39" s="5" t="s">
        <v>221</v>
      </c>
      <c r="B39" s="19">
        <f>B38*B37</f>
        <v>35.16463126</v>
      </c>
      <c r="C39" s="5"/>
      <c r="D39" s="5"/>
      <c r="E39" s="5"/>
      <c r="F39" s="5"/>
      <c r="G39" s="5"/>
      <c r="H39" s="5"/>
      <c r="I39" s="5"/>
      <c r="J39" s="5"/>
    </row>
    <row r="40">
      <c r="A40" s="5" t="s">
        <v>222</v>
      </c>
      <c r="B40" s="19">
        <f>B39/1000</f>
        <v>0.03516463126</v>
      </c>
      <c r="C40" s="5"/>
      <c r="D40" s="5"/>
      <c r="E40" s="5"/>
      <c r="F40" s="5"/>
      <c r="G40" s="5"/>
      <c r="H40" s="5"/>
      <c r="I40" s="5"/>
      <c r="J40" s="5"/>
    </row>
  </sheetData>
  <mergeCells count="2">
    <mergeCell ref="A1:C1"/>
    <mergeCell ref="A10:C10"/>
  </mergeCells>
  <hyperlinks>
    <hyperlink r:id="rId4" ref="F2"/>
    <hyperlink r:id="rId5" location="/SPNO" ref="F11"/>
    <hyperlink r:id="rId6" ref="J29"/>
    <hyperlink r:id="rId7" ref="J30"/>
    <hyperlink r:id="rId8" ref="J3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9"/>
  <legacyDrawing r:id="rId10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223</v>
      </c>
      <c r="D1" s="5"/>
      <c r="E1" s="5"/>
      <c r="F1" s="5" t="s">
        <v>8</v>
      </c>
      <c r="H1" s="36" t="s">
        <v>173</v>
      </c>
      <c r="I1" s="5"/>
    </row>
    <row r="2">
      <c r="A2" s="5"/>
      <c r="B2" s="5"/>
      <c r="C2" s="5"/>
      <c r="D2" s="5"/>
      <c r="E2" s="5"/>
      <c r="F2" s="46" t="s">
        <v>240</v>
      </c>
      <c r="G2" s="5"/>
      <c r="H2" s="5" t="s">
        <v>175</v>
      </c>
      <c r="I2" s="19">
        <v>1000.0</v>
      </c>
    </row>
    <row r="3">
      <c r="A3" s="5"/>
      <c r="B3" s="5"/>
      <c r="C3" s="36" t="s">
        <v>176</v>
      </c>
      <c r="D3" s="38">
        <v>1065.86</v>
      </c>
      <c r="E3" s="5"/>
      <c r="F3" s="5"/>
      <c r="G3" s="5"/>
      <c r="H3" s="5" t="s">
        <v>177</v>
      </c>
      <c r="I3" s="19">
        <v>293.07107</v>
      </c>
    </row>
    <row r="4">
      <c r="A4" s="5"/>
      <c r="B4" s="5"/>
      <c r="C4" s="36" t="s">
        <v>178</v>
      </c>
      <c r="D4" s="19">
        <f>D3/I2</f>
        <v>1.06586</v>
      </c>
      <c r="E4" s="5"/>
      <c r="F4" s="5"/>
      <c r="G4" s="5"/>
      <c r="H4" s="5" t="s">
        <v>179</v>
      </c>
      <c r="I4" s="19">
        <v>2204.62</v>
      </c>
    </row>
    <row r="5">
      <c r="A5" s="5"/>
      <c r="B5" s="5"/>
      <c r="C5" s="36" t="s">
        <v>180</v>
      </c>
      <c r="D5" s="19">
        <f>D4/I4</f>
        <v>0.0004834665385</v>
      </c>
      <c r="E5" s="5"/>
      <c r="F5" s="5"/>
      <c r="G5" s="5"/>
      <c r="H5" s="5" t="s">
        <v>181</v>
      </c>
      <c r="I5" s="19">
        <v>1000000.0</v>
      </c>
    </row>
    <row r="6">
      <c r="A6" s="5"/>
      <c r="B6" s="5"/>
      <c r="C6" s="5"/>
      <c r="D6" s="19">
        <f>D5*1000</f>
        <v>0.4834665385</v>
      </c>
      <c r="E6" s="5"/>
      <c r="F6" s="5"/>
      <c r="G6" s="5"/>
      <c r="H6" s="5"/>
      <c r="I6" s="5"/>
    </row>
    <row r="7">
      <c r="A7" s="5"/>
      <c r="B7" s="5"/>
      <c r="C7" s="5"/>
      <c r="D7" s="5"/>
      <c r="E7" s="5"/>
      <c r="F7" s="5"/>
      <c r="G7" s="5"/>
      <c r="H7" s="5"/>
      <c r="I7" s="5"/>
    </row>
    <row r="8">
      <c r="A8" s="5"/>
      <c r="B8" s="5"/>
      <c r="C8" s="5"/>
      <c r="D8" s="5"/>
      <c r="E8" s="5"/>
      <c r="F8" s="5"/>
      <c r="G8" s="5"/>
      <c r="H8" s="5"/>
      <c r="I8" s="5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36" t="s">
        <v>225</v>
      </c>
      <c r="D10" s="5"/>
      <c r="E10" s="5"/>
      <c r="F10" s="8" t="s">
        <v>8</v>
      </c>
      <c r="G10" s="5"/>
      <c r="H10" s="5"/>
      <c r="I10" s="5"/>
    </row>
    <row r="11">
      <c r="A11" s="36" t="s">
        <v>183</v>
      </c>
      <c r="B11" s="36" t="s">
        <v>184</v>
      </c>
      <c r="C11" s="36" t="s">
        <v>185</v>
      </c>
      <c r="D11" s="36" t="s">
        <v>186</v>
      </c>
      <c r="E11" s="5"/>
      <c r="F11" s="37" t="s">
        <v>241</v>
      </c>
      <c r="G11" s="5"/>
      <c r="H11" s="5"/>
      <c r="I11" s="5"/>
    </row>
    <row r="12">
      <c r="A12" s="5" t="s">
        <v>188</v>
      </c>
      <c r="B12" s="17">
        <v>0.317</v>
      </c>
      <c r="C12" s="10">
        <f>'ElecInfra Summary'!$J$12</f>
        <v>230.1891673</v>
      </c>
      <c r="D12" s="19">
        <f t="shared" ref="D12:D19" si="1">C12*B12</f>
        <v>72.96996603</v>
      </c>
      <c r="E12" s="5"/>
      <c r="F12" s="8" t="s">
        <v>231</v>
      </c>
      <c r="G12" s="5"/>
      <c r="H12" s="5"/>
      <c r="I12" s="5"/>
    </row>
    <row r="13">
      <c r="A13" s="5" t="s">
        <v>190</v>
      </c>
      <c r="B13" s="17">
        <v>0.258</v>
      </c>
      <c r="C13" s="10">
        <f>'ElecInfra Summary'!$J$18</f>
        <v>2820.231557</v>
      </c>
      <c r="D13" s="19">
        <f t="shared" si="1"/>
        <v>727.6197416</v>
      </c>
      <c r="E13" s="5"/>
      <c r="F13" s="5"/>
      <c r="G13" s="5"/>
      <c r="H13" s="5"/>
      <c r="I13" s="5"/>
    </row>
    <row r="14">
      <c r="A14" s="5" t="s">
        <v>191</v>
      </c>
      <c r="B14" s="17">
        <v>0.0</v>
      </c>
      <c r="C14" s="10">
        <f>'ElecInfra Summary'!$J$16</f>
        <v>75.66991751</v>
      </c>
      <c r="D14" s="19">
        <f t="shared" si="1"/>
        <v>0</v>
      </c>
      <c r="E14" s="5"/>
      <c r="F14" s="5"/>
      <c r="G14" s="5"/>
      <c r="H14" s="5"/>
      <c r="I14" s="5"/>
    </row>
    <row r="15">
      <c r="A15" s="5" t="s">
        <v>192</v>
      </c>
      <c r="B15" s="34">
        <v>0.264</v>
      </c>
      <c r="C15" s="10">
        <f>'ElecInfra Summary'!$J$13</f>
        <v>230.1891673</v>
      </c>
      <c r="D15" s="19">
        <f t="shared" si="1"/>
        <v>60.76994016</v>
      </c>
      <c r="E15" s="5"/>
      <c r="F15" s="5"/>
      <c r="G15" s="5"/>
      <c r="H15" s="5"/>
      <c r="I15" s="5"/>
    </row>
    <row r="16">
      <c r="A16" s="5" t="s">
        <v>193</v>
      </c>
      <c r="B16" s="17">
        <v>0.001</v>
      </c>
      <c r="C16" s="10">
        <f>'ElecInfra Summary'!$J$14</f>
        <v>230.1891673</v>
      </c>
      <c r="D16" s="19">
        <f t="shared" si="1"/>
        <v>0.2301891673</v>
      </c>
      <c r="E16" s="5"/>
      <c r="F16" s="5"/>
      <c r="G16" s="5"/>
      <c r="H16" s="5"/>
      <c r="I16" s="5"/>
    </row>
    <row r="17">
      <c r="A17" s="5" t="s">
        <v>194</v>
      </c>
      <c r="B17" s="17">
        <v>0.105</v>
      </c>
      <c r="C17" s="10">
        <f>'ElecInfra Summary'!$J$17</f>
        <v>2001.059376</v>
      </c>
      <c r="D17" s="19">
        <f t="shared" si="1"/>
        <v>210.1112344</v>
      </c>
      <c r="E17" s="5"/>
      <c r="F17" s="5"/>
      <c r="G17" s="5"/>
      <c r="H17" s="5"/>
      <c r="I17" s="5"/>
    </row>
    <row r="18">
      <c r="A18" s="5" t="s">
        <v>195</v>
      </c>
      <c r="B18" s="34">
        <v>0.002</v>
      </c>
      <c r="C18" s="10">
        <f>'ElecInfra Summary'!$J$15</f>
        <v>234.559379</v>
      </c>
      <c r="D18" s="19">
        <f t="shared" si="1"/>
        <v>0.469118758</v>
      </c>
      <c r="E18" s="5"/>
      <c r="F18" s="5"/>
      <c r="G18" s="5"/>
      <c r="H18" s="5"/>
      <c r="I18" s="5"/>
    </row>
    <row r="19">
      <c r="A19" s="5" t="s">
        <v>196</v>
      </c>
      <c r="B19" s="17">
        <v>0.054</v>
      </c>
      <c r="C19" s="10">
        <f>'ElecInfra Summary'!$J$19</f>
        <v>10305.73612</v>
      </c>
      <c r="D19" s="19">
        <f t="shared" si="1"/>
        <v>556.5097505</v>
      </c>
      <c r="E19" s="5"/>
      <c r="F19" s="5"/>
      <c r="G19" s="5"/>
      <c r="H19" s="5"/>
      <c r="I19" s="5"/>
    </row>
    <row r="20">
      <c r="A20" s="5"/>
      <c r="B20" s="5"/>
      <c r="C20" s="5"/>
      <c r="D20" s="5"/>
      <c r="E20" s="5"/>
      <c r="F20" s="5"/>
      <c r="G20" s="5"/>
      <c r="H20" s="5"/>
      <c r="I20" s="5"/>
    </row>
    <row r="21">
      <c r="A21" s="5"/>
      <c r="B21" s="5"/>
      <c r="C21" s="36" t="s">
        <v>197</v>
      </c>
      <c r="D21" s="19">
        <f>SUM(D12:D19)</f>
        <v>1628.679941</v>
      </c>
      <c r="E21" s="5"/>
      <c r="F21" s="5"/>
      <c r="G21" s="5"/>
      <c r="H21" s="5"/>
      <c r="I21" s="5"/>
    </row>
    <row r="22">
      <c r="A22" s="5"/>
      <c r="B22" s="5"/>
      <c r="C22" s="36" t="s">
        <v>198</v>
      </c>
      <c r="D22" s="19">
        <f>D21/I3</f>
        <v>5.557286636</v>
      </c>
      <c r="E22" s="5"/>
      <c r="F22" s="5"/>
      <c r="G22" s="5"/>
      <c r="H22" s="5"/>
      <c r="I22" s="5"/>
    </row>
    <row r="23">
      <c r="A23" s="5"/>
      <c r="B23" s="5"/>
      <c r="C23" s="36" t="s">
        <v>199</v>
      </c>
      <c r="D23" s="19">
        <f>D22/I5</f>
        <v>0.000005557286636</v>
      </c>
      <c r="E23" s="5"/>
      <c r="F23" s="5"/>
      <c r="G23" s="5"/>
      <c r="H23" s="5"/>
      <c r="I23" s="5"/>
    </row>
    <row r="24">
      <c r="A24" s="5"/>
      <c r="B24" s="5"/>
      <c r="C24" s="5"/>
      <c r="D24" s="5"/>
      <c r="E24" s="5"/>
      <c r="F24" s="5"/>
      <c r="G24" s="5"/>
      <c r="H24" s="5"/>
      <c r="I24" s="5"/>
    </row>
    <row r="25">
      <c r="A25" s="5"/>
      <c r="B25" s="5"/>
      <c r="C25" s="36" t="s">
        <v>200</v>
      </c>
      <c r="D25" s="19">
        <f>SUM(D5,D23)</f>
        <v>0.0004890238251</v>
      </c>
      <c r="E25" s="5"/>
      <c r="F25" s="5"/>
      <c r="G25" s="5"/>
      <c r="H25" s="5"/>
      <c r="I25" s="5"/>
    </row>
    <row r="26">
      <c r="A26" s="5"/>
      <c r="B26" s="5"/>
      <c r="C26" s="36" t="s">
        <v>201</v>
      </c>
      <c r="D26" s="19">
        <f>D25*1000</f>
        <v>0.4890238251</v>
      </c>
      <c r="E26" s="5"/>
      <c r="F26" s="5"/>
      <c r="G26" s="5"/>
      <c r="H26" s="5"/>
      <c r="I26" s="5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5" t="s">
        <v>246</v>
      </c>
      <c r="B28" s="19">
        <f>D26</f>
        <v>0.4890238251</v>
      </c>
      <c r="C28" s="5" t="s">
        <v>203</v>
      </c>
      <c r="D28" s="19">
        <f>B31*B33</f>
        <v>3.664154577</v>
      </c>
      <c r="E28" s="5" t="s">
        <v>204</v>
      </c>
      <c r="H28" s="36" t="s">
        <v>173</v>
      </c>
      <c r="I28" s="5"/>
      <c r="J28" s="5"/>
    </row>
    <row r="29">
      <c r="A29" s="5" t="s">
        <v>247</v>
      </c>
      <c r="B29" s="17">
        <f>1-I31</f>
        <v>0.958</v>
      </c>
      <c r="C29" s="5"/>
      <c r="D29" s="19">
        <f>B30*B28</f>
        <v>48.90238251</v>
      </c>
      <c r="E29" s="5" t="s">
        <v>206</v>
      </c>
      <c r="H29" s="5" t="s">
        <v>207</v>
      </c>
      <c r="I29" s="10">
        <v>1055.055853</v>
      </c>
      <c r="J29" s="42" t="s">
        <v>208</v>
      </c>
    </row>
    <row r="30">
      <c r="A30" s="5" t="s">
        <v>251</v>
      </c>
      <c r="B30" s="19">
        <v>100.0</v>
      </c>
      <c r="C30" s="5"/>
      <c r="D30" s="5"/>
      <c r="E30" s="5"/>
      <c r="H30" s="5" t="s">
        <v>210</v>
      </c>
      <c r="I30" s="19">
        <v>3.6</v>
      </c>
      <c r="J30" s="46" t="s">
        <v>211</v>
      </c>
    </row>
    <row r="31">
      <c r="A31" s="5" t="s">
        <v>252</v>
      </c>
      <c r="B31" s="19">
        <v>100.0</v>
      </c>
      <c r="C31" s="5"/>
      <c r="D31" s="5" t="s">
        <v>213</v>
      </c>
      <c r="E31" s="17">
        <f>(D29-D28)/D29</f>
        <v>0.9250720642</v>
      </c>
      <c r="H31" s="5" t="s">
        <v>214</v>
      </c>
      <c r="I31" s="34">
        <v>0.042</v>
      </c>
      <c r="J31" s="46" t="s">
        <v>239</v>
      </c>
    </row>
    <row r="32">
      <c r="A32" s="43" t="s">
        <v>216</v>
      </c>
      <c r="B32" s="19">
        <f>B40</f>
        <v>0.03516463126</v>
      </c>
      <c r="C32" s="5" t="s">
        <v>203</v>
      </c>
      <c r="D32" s="5"/>
      <c r="E32" s="5"/>
      <c r="F32" s="5"/>
      <c r="G32" s="5"/>
      <c r="H32" s="5"/>
      <c r="I32" s="5"/>
      <c r="J32" s="5"/>
    </row>
    <row r="33">
      <c r="A33" s="47" t="s">
        <v>217</v>
      </c>
      <c r="B33" s="40">
        <f>B32*(1+(1-B29))</f>
        <v>0.03664154577</v>
      </c>
      <c r="C33" s="48" t="s">
        <v>203</v>
      </c>
      <c r="D33" s="5"/>
      <c r="E33" s="5"/>
      <c r="F33" s="5"/>
      <c r="G33" s="5"/>
      <c r="H33" s="5"/>
      <c r="I33" s="5"/>
      <c r="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43" t="s">
        <v>234</v>
      </c>
      <c r="B36" s="5"/>
      <c r="C36" s="5"/>
      <c r="D36" s="5"/>
      <c r="E36" s="5"/>
      <c r="F36" s="5"/>
      <c r="G36" s="5"/>
      <c r="H36" s="5"/>
      <c r="I36" s="5"/>
      <c r="J36" s="5"/>
    </row>
    <row r="37">
      <c r="A37" s="5" t="s">
        <v>219</v>
      </c>
      <c r="B37" s="19">
        <f>I30/I29</f>
        <v>0.003412141632</v>
      </c>
      <c r="C37" s="5"/>
      <c r="D37" s="5"/>
      <c r="E37" s="5"/>
      <c r="F37" s="5"/>
      <c r="G37" s="5"/>
      <c r="H37" s="5"/>
      <c r="I37" s="5"/>
      <c r="J37" s="5"/>
    </row>
    <row r="38">
      <c r="A38" s="5" t="s">
        <v>220</v>
      </c>
      <c r="B38" s="10">
        <f>C19</f>
        <v>10305.73612</v>
      </c>
      <c r="C38" s="5"/>
      <c r="D38" s="5"/>
      <c r="E38" s="5"/>
      <c r="F38" s="5"/>
      <c r="G38" s="5"/>
      <c r="H38" s="5"/>
      <c r="I38" s="5"/>
      <c r="J38" s="5"/>
    </row>
    <row r="39">
      <c r="A39" s="5" t="s">
        <v>221</v>
      </c>
      <c r="B39" s="19">
        <f>B38*B37</f>
        <v>35.16463126</v>
      </c>
      <c r="C39" s="5"/>
      <c r="D39" s="5"/>
      <c r="E39" s="5"/>
      <c r="F39" s="5"/>
      <c r="G39" s="5"/>
      <c r="H39" s="5"/>
      <c r="I39" s="5"/>
      <c r="J39" s="5"/>
    </row>
    <row r="40">
      <c r="A40" s="5" t="s">
        <v>222</v>
      </c>
      <c r="B40" s="19">
        <f>B39/1000</f>
        <v>0.03516463126</v>
      </c>
      <c r="C40" s="5"/>
      <c r="D40" s="5"/>
      <c r="E40" s="5"/>
      <c r="F40" s="5"/>
      <c r="G40" s="5"/>
      <c r="H40" s="5"/>
      <c r="I40" s="5"/>
      <c r="J40" s="5"/>
    </row>
  </sheetData>
  <mergeCells count="2">
    <mergeCell ref="A1:C1"/>
    <mergeCell ref="A10:C10"/>
  </mergeCells>
  <hyperlinks>
    <hyperlink r:id="rId4" ref="F2"/>
    <hyperlink r:id="rId5" location="/SPNO" ref="F11"/>
    <hyperlink r:id="rId6" ref="J29"/>
    <hyperlink r:id="rId7" ref="J30"/>
    <hyperlink r:id="rId8" ref="J31"/>
  </hyperlinks>
  <drawing r:id="rId9"/>
  <legacyDrawing r:id="rId10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223</v>
      </c>
      <c r="D1" s="5"/>
      <c r="E1" s="5"/>
      <c r="F1" s="5" t="s">
        <v>8</v>
      </c>
      <c r="H1" s="36" t="s">
        <v>173</v>
      </c>
      <c r="I1" s="5"/>
    </row>
    <row r="2">
      <c r="A2" s="5"/>
      <c r="B2" s="5"/>
      <c r="C2" s="5"/>
      <c r="D2" s="5"/>
      <c r="E2" s="5"/>
      <c r="F2" s="42" t="s">
        <v>224</v>
      </c>
      <c r="G2" s="5"/>
      <c r="H2" s="5" t="s">
        <v>175</v>
      </c>
      <c r="I2" s="19">
        <v>1000.0</v>
      </c>
    </row>
    <row r="3">
      <c r="A3" s="5"/>
      <c r="B3" s="5"/>
      <c r="C3" s="36" t="s">
        <v>176</v>
      </c>
      <c r="D3" s="44">
        <v>804.4316127</v>
      </c>
      <c r="E3" s="5"/>
      <c r="F3" s="5"/>
      <c r="G3" s="5"/>
      <c r="H3" s="5" t="s">
        <v>177</v>
      </c>
      <c r="I3" s="19">
        <v>293.07107</v>
      </c>
    </row>
    <row r="4">
      <c r="A4" s="5"/>
      <c r="B4" s="5"/>
      <c r="C4" s="36" t="s">
        <v>178</v>
      </c>
      <c r="D4" s="19">
        <f>D3/I2</f>
        <v>0.8044316127</v>
      </c>
      <c r="E4" s="5"/>
      <c r="F4" s="5"/>
      <c r="G4" s="5"/>
      <c r="H4" s="5" t="s">
        <v>179</v>
      </c>
      <c r="I4" s="19">
        <v>2204.62</v>
      </c>
    </row>
    <row r="5">
      <c r="A5" s="5"/>
      <c r="B5" s="5"/>
      <c r="C5" s="36" t="s">
        <v>180</v>
      </c>
      <c r="D5" s="19">
        <f>D4/I4</f>
        <v>0.0003648844756</v>
      </c>
      <c r="E5" s="5"/>
      <c r="F5" s="5"/>
      <c r="G5" s="5"/>
      <c r="H5" s="5" t="s">
        <v>181</v>
      </c>
      <c r="I5" s="19">
        <v>1000000.0</v>
      </c>
    </row>
    <row r="6">
      <c r="A6" s="5"/>
      <c r="B6" s="5"/>
      <c r="C6" s="5"/>
      <c r="D6" s="19">
        <f>D5*1000</f>
        <v>0.3648844756</v>
      </c>
      <c r="E6" s="5"/>
      <c r="F6" s="5"/>
      <c r="G6" s="5"/>
      <c r="H6" s="5"/>
      <c r="I6" s="5"/>
    </row>
    <row r="7">
      <c r="A7" s="5"/>
      <c r="B7" s="5"/>
      <c r="C7" s="5"/>
      <c r="D7" s="5"/>
      <c r="E7" s="5"/>
      <c r="F7" s="5"/>
      <c r="G7" s="5"/>
      <c r="H7" s="5"/>
      <c r="I7" s="5"/>
    </row>
    <row r="8">
      <c r="A8" s="5"/>
      <c r="B8" s="5"/>
      <c r="C8" s="5"/>
      <c r="D8" s="5"/>
      <c r="E8" s="5"/>
      <c r="F8" s="5"/>
      <c r="G8" s="5"/>
      <c r="H8" s="5"/>
      <c r="I8" s="5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36" t="s">
        <v>225</v>
      </c>
      <c r="D10" s="5"/>
      <c r="E10" s="5"/>
      <c r="F10" s="8" t="s">
        <v>8</v>
      </c>
      <c r="G10" s="5"/>
      <c r="H10" s="5"/>
      <c r="I10" s="5"/>
    </row>
    <row r="11">
      <c r="A11" s="36" t="s">
        <v>183</v>
      </c>
      <c r="B11" s="36" t="s">
        <v>184</v>
      </c>
      <c r="C11" s="36" t="s">
        <v>185</v>
      </c>
      <c r="D11" s="36" t="s">
        <v>186</v>
      </c>
      <c r="E11" s="5"/>
      <c r="F11" s="45" t="s">
        <v>242</v>
      </c>
      <c r="G11" s="5"/>
      <c r="H11" s="5"/>
      <c r="I11" s="5"/>
    </row>
    <row r="12">
      <c r="A12" s="5" t="s">
        <v>188</v>
      </c>
      <c r="B12" s="34">
        <f>8.2%+1.2%+0.1%</f>
        <v>0.095</v>
      </c>
      <c r="C12" s="19">
        <v>227.0</v>
      </c>
      <c r="D12" s="19">
        <f t="shared" ref="D12:D19" si="1">C12*B12</f>
        <v>21.565</v>
      </c>
      <c r="E12" s="5"/>
      <c r="F12" s="5" t="s">
        <v>189</v>
      </c>
      <c r="G12" s="5"/>
      <c r="H12" s="5"/>
      <c r="I12" s="5"/>
    </row>
    <row r="13">
      <c r="A13" s="5" t="s">
        <v>190</v>
      </c>
      <c r="B13" s="34">
        <v>0.0</v>
      </c>
      <c r="C13" s="19">
        <v>2825.0</v>
      </c>
      <c r="D13" s="19">
        <f t="shared" si="1"/>
        <v>0</v>
      </c>
      <c r="E13" s="5"/>
      <c r="F13" s="5"/>
      <c r="G13" s="5"/>
      <c r="H13" s="5"/>
      <c r="I13" s="5"/>
    </row>
    <row r="14">
      <c r="A14" s="5" t="s">
        <v>191</v>
      </c>
      <c r="B14" s="34">
        <v>0.221</v>
      </c>
      <c r="C14" s="19">
        <v>79.0</v>
      </c>
      <c r="D14" s="19">
        <f t="shared" si="1"/>
        <v>17.459</v>
      </c>
      <c r="E14" s="5"/>
      <c r="F14" s="5"/>
      <c r="G14" s="5"/>
      <c r="H14" s="5"/>
      <c r="I14" s="5"/>
    </row>
    <row r="15">
      <c r="A15" s="5" t="s">
        <v>192</v>
      </c>
      <c r="B15" s="34">
        <v>0.652</v>
      </c>
      <c r="C15" s="19">
        <v>120.0</v>
      </c>
      <c r="D15" s="19">
        <f t="shared" si="1"/>
        <v>78.24</v>
      </c>
      <c r="E15" s="5"/>
      <c r="F15" s="5"/>
      <c r="G15" s="5"/>
      <c r="H15" s="5"/>
      <c r="I15" s="5"/>
    </row>
    <row r="16">
      <c r="A16" s="5" t="s">
        <v>193</v>
      </c>
      <c r="B16" s="34">
        <v>0.001</v>
      </c>
      <c r="C16" s="19">
        <v>120.0</v>
      </c>
      <c r="D16" s="19">
        <f t="shared" si="1"/>
        <v>0.12</v>
      </c>
      <c r="E16" s="5"/>
      <c r="F16" s="5"/>
      <c r="G16" s="5"/>
      <c r="H16" s="5"/>
      <c r="I16" s="5"/>
    </row>
    <row r="17">
      <c r="A17" s="5" t="s">
        <v>194</v>
      </c>
      <c r="B17" s="34">
        <v>0.013</v>
      </c>
      <c r="C17" s="19">
        <v>2056.0</v>
      </c>
      <c r="D17" s="19">
        <f t="shared" si="1"/>
        <v>26.728</v>
      </c>
      <c r="E17" s="5"/>
      <c r="F17" s="5"/>
      <c r="G17" s="5"/>
      <c r="H17" s="5"/>
      <c r="I17" s="5"/>
    </row>
    <row r="18">
      <c r="A18" s="5" t="s">
        <v>195</v>
      </c>
      <c r="B18" s="34">
        <v>0.01</v>
      </c>
      <c r="C18" s="19">
        <v>231.0</v>
      </c>
      <c r="D18" s="19">
        <f t="shared" si="1"/>
        <v>2.31</v>
      </c>
      <c r="E18" s="5"/>
      <c r="F18" s="5"/>
      <c r="G18" s="5"/>
      <c r="H18" s="5"/>
      <c r="I18" s="5"/>
    </row>
    <row r="19">
      <c r="A19" s="5" t="s">
        <v>196</v>
      </c>
      <c r="B19" s="34">
        <v>0.007</v>
      </c>
      <c r="C19" s="19">
        <v>10346.0</v>
      </c>
      <c r="D19" s="19">
        <f t="shared" si="1"/>
        <v>72.422</v>
      </c>
      <c r="E19" s="5"/>
      <c r="F19" s="5"/>
      <c r="G19" s="5"/>
      <c r="H19" s="5"/>
      <c r="I19" s="5"/>
    </row>
    <row r="20">
      <c r="A20" s="5"/>
      <c r="B20" s="5"/>
      <c r="C20" s="5"/>
      <c r="D20" s="5"/>
      <c r="E20" s="5"/>
      <c r="F20" s="5"/>
      <c r="G20" s="5"/>
      <c r="H20" s="5"/>
      <c r="I20" s="5"/>
    </row>
    <row r="21">
      <c r="A21" s="5"/>
      <c r="B21" s="5"/>
      <c r="C21" s="36" t="s">
        <v>197</v>
      </c>
      <c r="D21" s="19">
        <f>SUM(D12:D19)</f>
        <v>218.844</v>
      </c>
      <c r="E21" s="5"/>
      <c r="F21" s="5"/>
      <c r="G21" s="5"/>
      <c r="H21" s="5"/>
      <c r="I21" s="5"/>
    </row>
    <row r="22">
      <c r="A22" s="5"/>
      <c r="B22" s="5"/>
      <c r="C22" s="36" t="s">
        <v>198</v>
      </c>
      <c r="D22" s="19">
        <f>D21/I3</f>
        <v>0.746726724</v>
      </c>
      <c r="E22" s="5"/>
      <c r="F22" s="5"/>
      <c r="G22" s="5"/>
      <c r="H22" s="5"/>
      <c r="I22" s="5"/>
    </row>
    <row r="23">
      <c r="A23" s="5"/>
      <c r="B23" s="5"/>
      <c r="C23" s="36" t="s">
        <v>199</v>
      </c>
      <c r="D23" s="19">
        <f>D22/I5</f>
        <v>0.000000746726724</v>
      </c>
      <c r="E23" s="5"/>
      <c r="F23" s="5"/>
      <c r="G23" s="5"/>
      <c r="H23" s="5"/>
      <c r="I23" s="5"/>
    </row>
    <row r="24">
      <c r="A24" s="5"/>
      <c r="B24" s="5"/>
      <c r="C24" s="5"/>
      <c r="D24" s="5"/>
      <c r="E24" s="5"/>
      <c r="F24" s="5"/>
      <c r="G24" s="5"/>
      <c r="H24" s="5"/>
      <c r="I24" s="5"/>
    </row>
    <row r="25">
      <c r="A25" s="5"/>
      <c r="B25" s="5"/>
      <c r="C25" s="36" t="s">
        <v>200</v>
      </c>
      <c r="D25" s="19">
        <f>SUM(D5,D23)</f>
        <v>0.0003656312024</v>
      </c>
      <c r="E25" s="5"/>
      <c r="F25" s="5"/>
      <c r="G25" s="5"/>
      <c r="H25" s="5"/>
      <c r="I25" s="5"/>
    </row>
    <row r="26">
      <c r="A26" s="5"/>
      <c r="B26" s="5"/>
      <c r="C26" s="36" t="s">
        <v>201</v>
      </c>
      <c r="D26" s="19">
        <f>D25*1000</f>
        <v>0.3656312024</v>
      </c>
      <c r="E26" s="5"/>
      <c r="F26" s="5"/>
      <c r="G26" s="5"/>
      <c r="H26" s="5"/>
      <c r="I26" s="5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5" t="s">
        <v>243</v>
      </c>
      <c r="B28" s="19">
        <f>D26</f>
        <v>0.3656312024</v>
      </c>
      <c r="C28" s="5" t="s">
        <v>203</v>
      </c>
      <c r="D28" s="19">
        <f>B31*B33</f>
        <v>3.678470205</v>
      </c>
      <c r="E28" s="5" t="s">
        <v>204</v>
      </c>
      <c r="H28" s="36" t="s">
        <v>173</v>
      </c>
      <c r="I28" s="5"/>
      <c r="J28" s="5"/>
    </row>
    <row r="29">
      <c r="A29" s="5" t="s">
        <v>245</v>
      </c>
      <c r="B29" s="17">
        <f>1-I31</f>
        <v>0.958</v>
      </c>
      <c r="C29" s="5"/>
      <c r="D29" s="19">
        <f>B30*B28</f>
        <v>36.56312024</v>
      </c>
      <c r="E29" s="5" t="s">
        <v>206</v>
      </c>
      <c r="H29" s="5" t="s">
        <v>207</v>
      </c>
      <c r="I29" s="10">
        <v>1055.055853</v>
      </c>
      <c r="J29" s="42" t="s">
        <v>208</v>
      </c>
    </row>
    <row r="30">
      <c r="A30" s="5" t="s">
        <v>248</v>
      </c>
      <c r="B30" s="38">
        <v>100.0</v>
      </c>
      <c r="C30" s="5"/>
      <c r="D30" s="5"/>
      <c r="E30" s="5"/>
      <c r="H30" s="5" t="s">
        <v>210</v>
      </c>
      <c r="I30" s="19">
        <v>3.6</v>
      </c>
      <c r="J30" s="42" t="s">
        <v>211</v>
      </c>
    </row>
    <row r="31">
      <c r="A31" s="5" t="s">
        <v>249</v>
      </c>
      <c r="B31" s="38">
        <v>100.0</v>
      </c>
      <c r="C31" s="5"/>
      <c r="D31" s="5" t="s">
        <v>213</v>
      </c>
      <c r="E31" s="17">
        <f>(D29-D28)/D29</f>
        <v>0.8993939745</v>
      </c>
      <c r="H31" s="5" t="s">
        <v>214</v>
      </c>
      <c r="I31" s="34">
        <v>0.042</v>
      </c>
      <c r="J31" s="46" t="s">
        <v>215</v>
      </c>
    </row>
    <row r="32">
      <c r="A32" s="43" t="s">
        <v>216</v>
      </c>
      <c r="B32" s="19">
        <f>B40</f>
        <v>0.03530201732</v>
      </c>
      <c r="C32" s="5" t="s">
        <v>203</v>
      </c>
      <c r="D32" s="5"/>
      <c r="E32" s="5"/>
      <c r="F32" s="5"/>
      <c r="G32" s="5"/>
      <c r="H32" s="5"/>
      <c r="I32" s="5"/>
      <c r="J32" s="5"/>
    </row>
    <row r="33">
      <c r="A33" s="47" t="s">
        <v>217</v>
      </c>
      <c r="B33" s="40">
        <f>B32*(1+(1-B29))</f>
        <v>0.03678470205</v>
      </c>
      <c r="C33" s="48" t="s">
        <v>203</v>
      </c>
      <c r="D33" s="5"/>
      <c r="E33" s="5"/>
      <c r="F33" s="5"/>
      <c r="G33" s="5"/>
      <c r="H33" s="5"/>
      <c r="I33" s="5"/>
      <c r="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43" t="s">
        <v>234</v>
      </c>
      <c r="B36" s="5"/>
      <c r="C36" s="5"/>
      <c r="D36" s="5"/>
      <c r="E36" s="5"/>
      <c r="F36" s="5"/>
      <c r="G36" s="5"/>
      <c r="H36" s="5"/>
      <c r="I36" s="5"/>
      <c r="J36" s="5"/>
    </row>
    <row r="37">
      <c r="A37" s="5" t="s">
        <v>219</v>
      </c>
      <c r="B37" s="19">
        <f>I30/I29</f>
        <v>0.003412141632</v>
      </c>
      <c r="C37" s="5"/>
      <c r="D37" s="5"/>
      <c r="E37" s="5"/>
      <c r="F37" s="5"/>
      <c r="G37" s="5"/>
      <c r="H37" s="5"/>
      <c r="I37" s="5"/>
      <c r="J37" s="5"/>
    </row>
    <row r="38">
      <c r="A38" s="5" t="s">
        <v>220</v>
      </c>
      <c r="B38" s="19">
        <f>C19</f>
        <v>10346</v>
      </c>
      <c r="C38" s="5"/>
      <c r="D38" s="5"/>
      <c r="E38" s="5"/>
      <c r="F38" s="5"/>
      <c r="G38" s="5"/>
      <c r="H38" s="5"/>
      <c r="I38" s="5"/>
      <c r="J38" s="5"/>
    </row>
    <row r="39">
      <c r="A39" s="5" t="s">
        <v>221</v>
      </c>
      <c r="B39" s="19">
        <f>B38*B37</f>
        <v>35.30201732</v>
      </c>
      <c r="C39" s="5"/>
      <c r="D39" s="5"/>
      <c r="E39" s="5"/>
      <c r="F39" s="5"/>
      <c r="G39" s="5"/>
      <c r="H39" s="5"/>
      <c r="I39" s="5"/>
      <c r="J39" s="5"/>
    </row>
    <row r="40">
      <c r="A40" s="5" t="s">
        <v>222</v>
      </c>
      <c r="B40" s="19">
        <f>B39/1000</f>
        <v>0.03530201732</v>
      </c>
      <c r="C40" s="5"/>
      <c r="D40" s="5"/>
      <c r="E40" s="5"/>
      <c r="F40" s="5"/>
      <c r="G40" s="5"/>
      <c r="H40" s="5"/>
      <c r="I40" s="5"/>
      <c r="J40" s="5"/>
    </row>
  </sheetData>
  <mergeCells count="2">
    <mergeCell ref="A1:C1"/>
    <mergeCell ref="A10:C10"/>
  </mergeCells>
  <hyperlinks>
    <hyperlink r:id="rId4" ref="F2"/>
    <hyperlink r:id="rId5" location="/SPNO" ref="F11"/>
    <hyperlink r:id="rId6" ref="J29"/>
    <hyperlink r:id="rId7" ref="J30"/>
    <hyperlink r:id="rId8" ref="J3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9"/>
  <legacyDrawing r:id="rId10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49.63"/>
    <col customWidth="1" min="4" max="4" width="40.38"/>
  </cols>
  <sheetData>
    <row r="1">
      <c r="A1" s="36" t="s">
        <v>171</v>
      </c>
      <c r="D1" s="5"/>
      <c r="E1" s="5"/>
      <c r="F1" s="5"/>
      <c r="G1" s="5"/>
      <c r="H1" s="5"/>
      <c r="I1" s="36" t="s">
        <v>173</v>
      </c>
      <c r="J1" s="5"/>
    </row>
    <row r="2">
      <c r="A2" s="5"/>
      <c r="B2" s="5"/>
      <c r="C2" s="5"/>
      <c r="D2" s="5"/>
      <c r="E2" s="5"/>
      <c r="F2" s="46" t="s">
        <v>244</v>
      </c>
      <c r="G2" s="5"/>
      <c r="H2" s="5"/>
      <c r="I2" s="5" t="s">
        <v>175</v>
      </c>
      <c r="J2" s="19">
        <v>1000.0</v>
      </c>
    </row>
    <row r="3">
      <c r="A3" s="5"/>
      <c r="B3" s="5"/>
      <c r="C3" s="36" t="s">
        <v>176</v>
      </c>
      <c r="D3" s="38">
        <v>1016.82</v>
      </c>
      <c r="E3" s="5"/>
      <c r="F3" s="5"/>
      <c r="G3" s="5"/>
      <c r="H3" s="5"/>
      <c r="I3" s="5" t="s">
        <v>177</v>
      </c>
      <c r="J3" s="19">
        <v>293.07107</v>
      </c>
    </row>
    <row r="4">
      <c r="A4" s="5"/>
      <c r="B4" s="5"/>
      <c r="C4" s="36" t="s">
        <v>178</v>
      </c>
      <c r="D4" s="19">
        <f>D3/1000</f>
        <v>1.01682</v>
      </c>
      <c r="E4" s="5"/>
      <c r="F4" s="5"/>
      <c r="G4" s="5"/>
      <c r="H4" s="5"/>
      <c r="I4" s="5" t="s">
        <v>179</v>
      </c>
      <c r="J4" s="19">
        <v>2204.62</v>
      </c>
    </row>
    <row r="5">
      <c r="A5" s="5"/>
      <c r="B5" s="5"/>
      <c r="C5" s="36" t="s">
        <v>180</v>
      </c>
      <c r="D5" s="19">
        <f>D4/2204.62</f>
        <v>0.0004612223422</v>
      </c>
      <c r="E5" s="5"/>
      <c r="F5" s="5"/>
      <c r="G5" s="5"/>
      <c r="H5" s="5"/>
      <c r="I5" s="5" t="s">
        <v>181</v>
      </c>
      <c r="J5" s="19">
        <v>1000000.0</v>
      </c>
    </row>
    <row r="6">
      <c r="A6" s="5"/>
      <c r="B6" s="5"/>
      <c r="C6" s="5"/>
      <c r="D6" s="5"/>
      <c r="E6" s="5"/>
      <c r="F6" s="5"/>
      <c r="G6" s="5"/>
      <c r="H6" s="5"/>
    </row>
    <row r="7">
      <c r="A7" s="36" t="s">
        <v>182</v>
      </c>
      <c r="C7" s="5"/>
      <c r="D7" s="5"/>
      <c r="E7" s="5"/>
      <c r="F7" s="5"/>
      <c r="G7" s="5"/>
      <c r="H7" s="5"/>
    </row>
    <row r="8">
      <c r="A8" s="36" t="s">
        <v>183</v>
      </c>
      <c r="B8" s="36" t="s">
        <v>184</v>
      </c>
      <c r="C8" s="36" t="s">
        <v>185</v>
      </c>
      <c r="D8" s="36" t="s">
        <v>186</v>
      </c>
      <c r="E8" s="5"/>
      <c r="F8" s="37" t="s">
        <v>250</v>
      </c>
      <c r="G8" s="5"/>
      <c r="H8" s="5"/>
    </row>
    <row r="9">
      <c r="A9" s="5" t="s">
        <v>188</v>
      </c>
      <c r="B9" s="17">
        <v>0.316</v>
      </c>
      <c r="C9" s="10">
        <f>'ElecInfra Summary'!$J$12</f>
        <v>230.1891673</v>
      </c>
      <c r="D9" s="19">
        <f t="shared" ref="D9:D16" si="1">C9*B9</f>
        <v>72.73977686</v>
      </c>
      <c r="E9" s="5"/>
      <c r="F9" s="8" t="s">
        <v>231</v>
      </c>
      <c r="G9" s="5"/>
      <c r="H9" s="5"/>
    </row>
    <row r="10">
      <c r="A10" s="5" t="s">
        <v>190</v>
      </c>
      <c r="B10" s="17">
        <v>0.397</v>
      </c>
      <c r="C10" s="10">
        <f>'ElecInfra Summary'!$J$18</f>
        <v>2820.231557</v>
      </c>
      <c r="D10" s="19">
        <f t="shared" si="1"/>
        <v>1119.631928</v>
      </c>
      <c r="E10" s="5"/>
      <c r="F10" s="5"/>
      <c r="G10" s="5"/>
      <c r="H10" s="5"/>
    </row>
    <row r="11">
      <c r="A11" s="5" t="s">
        <v>191</v>
      </c>
      <c r="B11" s="17">
        <v>0.14</v>
      </c>
      <c r="C11" s="10">
        <f>'ElecInfra Summary'!$J$16</f>
        <v>75.66991751</v>
      </c>
      <c r="D11" s="19">
        <f t="shared" si="1"/>
        <v>10.59378845</v>
      </c>
      <c r="E11" s="5"/>
      <c r="F11" s="5"/>
      <c r="G11" s="5"/>
      <c r="H11" s="5"/>
    </row>
    <row r="12">
      <c r="A12" s="5" t="s">
        <v>192</v>
      </c>
      <c r="B12" s="17">
        <v>0.14</v>
      </c>
      <c r="C12" s="10">
        <f>'ElecInfra Summary'!$J$13</f>
        <v>230.1891673</v>
      </c>
      <c r="D12" s="19">
        <f t="shared" si="1"/>
        <v>32.22648342</v>
      </c>
      <c r="E12" s="5"/>
      <c r="F12" s="5"/>
      <c r="G12" s="5"/>
      <c r="H12" s="5"/>
    </row>
    <row r="13">
      <c r="A13" s="5" t="s">
        <v>193</v>
      </c>
      <c r="B13" s="17">
        <v>0.002</v>
      </c>
      <c r="C13" s="10">
        <f>'ElecInfra Summary'!$J$14</f>
        <v>230.1891673</v>
      </c>
      <c r="D13" s="19">
        <f t="shared" si="1"/>
        <v>0.4603783346</v>
      </c>
      <c r="E13" s="5"/>
      <c r="F13" s="5"/>
      <c r="G13" s="5"/>
      <c r="H13" s="5"/>
    </row>
    <row r="14">
      <c r="A14" s="5" t="s">
        <v>194</v>
      </c>
      <c r="B14" s="34">
        <v>0.001</v>
      </c>
      <c r="C14" s="10">
        <f>'ElecInfra Summary'!$J$17</f>
        <v>2001.059376</v>
      </c>
      <c r="D14" s="19">
        <f t="shared" si="1"/>
        <v>2.001059376</v>
      </c>
      <c r="E14" s="5"/>
      <c r="F14" s="5"/>
      <c r="G14" s="5"/>
      <c r="H14" s="5"/>
    </row>
    <row r="15">
      <c r="A15" s="5" t="s">
        <v>195</v>
      </c>
      <c r="B15" s="17">
        <v>0.001</v>
      </c>
      <c r="C15" s="10">
        <f>'ElecInfra Summary'!$J$15</f>
        <v>234.559379</v>
      </c>
      <c r="D15" s="19">
        <f t="shared" si="1"/>
        <v>0.234559379</v>
      </c>
      <c r="E15" s="5"/>
      <c r="F15" s="5"/>
      <c r="G15" s="5"/>
      <c r="H15" s="5"/>
    </row>
    <row r="16">
      <c r="A16" s="39" t="s">
        <v>196</v>
      </c>
      <c r="B16" s="34">
        <v>0.003</v>
      </c>
      <c r="C16" s="10">
        <f>'ElecInfra Summary'!$J$19</f>
        <v>10305.73612</v>
      </c>
      <c r="D16" s="19">
        <f t="shared" si="1"/>
        <v>30.91720836</v>
      </c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>
      <c r="A18" s="5"/>
      <c r="B18" s="5"/>
      <c r="C18" s="36" t="s">
        <v>197</v>
      </c>
      <c r="D18" s="19">
        <f>SUM(D9:D16)</f>
        <v>1268.805182</v>
      </c>
      <c r="E18" s="5"/>
      <c r="F18" s="5"/>
      <c r="G18" s="5"/>
      <c r="H18" s="5"/>
    </row>
    <row r="19">
      <c r="A19" s="5"/>
      <c r="B19" s="5"/>
      <c r="C19" s="36" t="s">
        <v>198</v>
      </c>
      <c r="D19" s="19">
        <f>D18/293.07107</f>
        <v>4.329342989</v>
      </c>
      <c r="E19" s="5"/>
      <c r="F19" s="5"/>
      <c r="G19" s="5"/>
      <c r="H19" s="5"/>
    </row>
    <row r="20">
      <c r="A20" s="5"/>
      <c r="B20" s="5"/>
      <c r="C20" s="36" t="s">
        <v>199</v>
      </c>
      <c r="D20" s="19">
        <f>D19/1000000</f>
        <v>0.000004329342989</v>
      </c>
      <c r="E20" s="5"/>
      <c r="F20" s="5"/>
      <c r="G20" s="5"/>
      <c r="H20" s="5"/>
    </row>
    <row r="21">
      <c r="A21" s="5"/>
      <c r="B21" s="5"/>
      <c r="C21" s="5"/>
      <c r="D21" s="5"/>
      <c r="E21" s="5"/>
      <c r="F21" s="5"/>
      <c r="G21" s="5"/>
      <c r="H21" s="5"/>
    </row>
    <row r="22">
      <c r="A22" s="5"/>
      <c r="B22" s="5"/>
      <c r="C22" s="36" t="s">
        <v>200</v>
      </c>
      <c r="D22" s="19">
        <f>SUM(D5,D20)</f>
        <v>0.0004655516852</v>
      </c>
      <c r="E22" s="5"/>
      <c r="F22" s="5"/>
      <c r="G22" s="5"/>
      <c r="H22" s="5"/>
    </row>
    <row r="23">
      <c r="A23" s="5"/>
      <c r="B23" s="5"/>
      <c r="C23" s="36" t="s">
        <v>201</v>
      </c>
      <c r="D23" s="40">
        <f>D22*1000</f>
        <v>0.4655516852</v>
      </c>
      <c r="E23" s="5"/>
      <c r="F23" s="5"/>
      <c r="G23" s="5"/>
      <c r="H23" s="5"/>
    </row>
    <row r="2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5" t="s">
        <v>254</v>
      </c>
      <c r="B25" s="19">
        <f>D23</f>
        <v>0.4655516852</v>
      </c>
      <c r="C25" s="5" t="s">
        <v>203</v>
      </c>
      <c r="D25" s="19">
        <f>B28*B30</f>
        <v>1.002719674</v>
      </c>
      <c r="E25" s="5" t="s">
        <v>204</v>
      </c>
      <c r="G25" s="5"/>
      <c r="H25" s="36" t="s">
        <v>173</v>
      </c>
      <c r="I25" s="5"/>
      <c r="J25" s="5"/>
    </row>
    <row r="26">
      <c r="A26" s="5" t="s">
        <v>255</v>
      </c>
      <c r="B26" s="17">
        <f>1-I28</f>
        <v>0.958</v>
      </c>
      <c r="C26" s="5"/>
      <c r="D26" s="19">
        <f>B27*B25</f>
        <v>46.55516852</v>
      </c>
      <c r="E26" s="5" t="s">
        <v>206</v>
      </c>
      <c r="G26" s="5"/>
      <c r="H26" s="5" t="s">
        <v>207</v>
      </c>
      <c r="I26" s="10">
        <v>1055.055853</v>
      </c>
      <c r="J26" s="42" t="s">
        <v>208</v>
      </c>
    </row>
    <row r="27">
      <c r="A27" s="5" t="s">
        <v>257</v>
      </c>
      <c r="B27" s="19">
        <v>100.0</v>
      </c>
      <c r="C27" s="5"/>
      <c r="D27" s="5"/>
      <c r="E27" s="5"/>
      <c r="G27" s="5"/>
      <c r="H27" s="5" t="s">
        <v>210</v>
      </c>
      <c r="I27" s="19">
        <v>3.6</v>
      </c>
      <c r="J27" s="42" t="s">
        <v>211</v>
      </c>
    </row>
    <row r="28">
      <c r="A28" s="5" t="s">
        <v>259</v>
      </c>
      <c r="B28" s="19">
        <v>100.0</v>
      </c>
      <c r="C28" s="5"/>
      <c r="D28" s="5" t="s">
        <v>213</v>
      </c>
      <c r="E28" s="17">
        <f>(D26-D25)/D26</f>
        <v>0.9784616895</v>
      </c>
      <c r="G28" s="5"/>
      <c r="H28" s="5" t="s">
        <v>214</v>
      </c>
      <c r="I28" s="17">
        <v>0.042</v>
      </c>
      <c r="J28" s="60" t="s">
        <v>239</v>
      </c>
    </row>
    <row r="29">
      <c r="A29" s="43" t="s">
        <v>216</v>
      </c>
      <c r="B29" s="19">
        <f>B37</f>
        <v>0.009623029506</v>
      </c>
      <c r="C29" s="5" t="s">
        <v>203</v>
      </c>
      <c r="D29" s="5"/>
      <c r="E29" s="5"/>
      <c r="F29" s="5"/>
      <c r="G29" s="5"/>
      <c r="H29" s="5"/>
      <c r="I29" s="5"/>
      <c r="J29" s="5"/>
    </row>
    <row r="30">
      <c r="A30" s="43" t="s">
        <v>217</v>
      </c>
      <c r="B30" s="40">
        <f>B29*(1+(1-B26))</f>
        <v>0.01002719674</v>
      </c>
      <c r="C30" s="5" t="s">
        <v>203</v>
      </c>
      <c r="D30" s="5"/>
      <c r="E30" s="5"/>
      <c r="F30" s="5"/>
      <c r="G30" s="5"/>
      <c r="H30" s="5"/>
      <c r="I30" s="5"/>
      <c r="J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</row>
    <row r="33">
      <c r="A33" s="43" t="s">
        <v>218</v>
      </c>
      <c r="B33" s="5"/>
      <c r="C33" s="5"/>
      <c r="D33" s="5"/>
      <c r="E33" s="5"/>
      <c r="F33" s="5"/>
      <c r="G33" s="5"/>
      <c r="H33" s="5"/>
      <c r="I33" s="5"/>
      <c r="J33" s="5"/>
    </row>
    <row r="34">
      <c r="A34" s="5" t="s">
        <v>219</v>
      </c>
      <c r="B34" s="19">
        <f>I27/I26</f>
        <v>0.003412141632</v>
      </c>
      <c r="C34" s="5"/>
      <c r="D34" s="5"/>
      <c r="E34" s="5"/>
      <c r="F34" s="5"/>
      <c r="G34" s="5"/>
      <c r="H34" s="5"/>
      <c r="I34" s="5"/>
      <c r="J34" s="5"/>
    </row>
    <row r="35">
      <c r="A35" s="5" t="s">
        <v>220</v>
      </c>
      <c r="B35" s="10">
        <f>C10</f>
        <v>2820.231557</v>
      </c>
      <c r="C35" s="5"/>
      <c r="D35" s="5"/>
      <c r="E35" s="5"/>
      <c r="F35" s="5"/>
      <c r="G35" s="5"/>
      <c r="H35" s="5"/>
      <c r="I35" s="5"/>
      <c r="J35" s="5"/>
    </row>
    <row r="36">
      <c r="A36" s="5" t="s">
        <v>221</v>
      </c>
      <c r="B36" s="19">
        <f>B35*B34</f>
        <v>9.623029506</v>
      </c>
      <c r="C36" s="5"/>
      <c r="D36" s="5"/>
      <c r="E36" s="8"/>
      <c r="F36" s="5"/>
      <c r="G36" s="5"/>
      <c r="H36" s="5"/>
      <c r="I36" s="5"/>
      <c r="J36" s="5"/>
    </row>
    <row r="37">
      <c r="A37" s="5" t="s">
        <v>222</v>
      </c>
      <c r="B37" s="19">
        <f>B36/1000</f>
        <v>0.009623029506</v>
      </c>
      <c r="C37" s="5"/>
      <c r="D37" s="5"/>
      <c r="E37" s="5"/>
      <c r="F37" s="5"/>
      <c r="G37" s="5"/>
      <c r="H37" s="5"/>
      <c r="I37" s="5"/>
      <c r="J37" s="5"/>
    </row>
  </sheetData>
  <mergeCells count="2">
    <mergeCell ref="A1:C1"/>
    <mergeCell ref="A7:B7"/>
  </mergeCells>
  <hyperlinks>
    <hyperlink r:id="rId4" ref="F2"/>
    <hyperlink r:id="rId5" location="/SPNO" ref="F8"/>
    <hyperlink r:id="rId6" ref="J26"/>
    <hyperlink r:id="rId7" ref="J27"/>
    <hyperlink r:id="rId8" ref="J28"/>
  </hyperlinks>
  <drawing r:id="rId9"/>
  <legacyDrawing r:id="rId10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0" t="s">
        <v>253</v>
      </c>
      <c r="B1" s="51"/>
      <c r="C1" s="51"/>
      <c r="D1" s="51"/>
      <c r="E1" s="51"/>
      <c r="F1" s="51"/>
      <c r="G1" s="51"/>
      <c r="H1" s="51"/>
      <c r="I1" s="51"/>
      <c r="J1" s="51"/>
      <c r="K1" s="52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>
      <c r="A2" s="54" t="s">
        <v>256</v>
      </c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>
      <c r="A4" s="55" t="s">
        <v>258</v>
      </c>
      <c r="B4" s="56"/>
      <c r="C4" s="56"/>
      <c r="D4" s="56"/>
      <c r="E4" s="56"/>
      <c r="F4" s="56"/>
      <c r="G4" s="56"/>
      <c r="H4" s="56"/>
      <c r="I4" s="56"/>
      <c r="J4" s="56"/>
      <c r="K4" s="57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>
      <c r="A5" s="58" t="s">
        <v>192</v>
      </c>
      <c r="B5" s="58" t="s">
        <v>260</v>
      </c>
      <c r="C5" s="58" t="s">
        <v>261</v>
      </c>
      <c r="D5" s="58" t="s">
        <v>262</v>
      </c>
      <c r="E5" s="59" t="s">
        <v>263</v>
      </c>
      <c r="F5" s="56"/>
      <c r="G5" s="56"/>
      <c r="H5" s="56"/>
      <c r="I5" s="56"/>
      <c r="J5" s="56"/>
      <c r="K5" s="57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>
      <c r="A6" s="61" t="s">
        <v>264</v>
      </c>
      <c r="B6" s="62">
        <v>1.0</v>
      </c>
      <c r="C6" s="61" t="s">
        <v>265</v>
      </c>
      <c r="D6" s="63" t="s">
        <v>266</v>
      </c>
      <c r="E6" s="64" t="s">
        <v>267</v>
      </c>
      <c r="F6" s="56"/>
      <c r="G6" s="56"/>
      <c r="H6" s="56"/>
      <c r="I6" s="56"/>
      <c r="J6" s="56"/>
      <c r="K6" s="56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>
      <c r="A7" s="61" t="s">
        <v>268</v>
      </c>
      <c r="B7" s="62">
        <v>29.8</v>
      </c>
      <c r="C7" s="61" t="s">
        <v>269</v>
      </c>
      <c r="D7" s="63" t="s">
        <v>270</v>
      </c>
      <c r="E7" s="64" t="s">
        <v>271</v>
      </c>
      <c r="F7" s="56"/>
      <c r="G7" s="56"/>
      <c r="H7" s="56"/>
      <c r="I7" s="56"/>
      <c r="J7" s="56"/>
      <c r="K7" s="56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>
      <c r="A8" s="61" t="s">
        <v>272</v>
      </c>
      <c r="B8" s="62">
        <v>273.0</v>
      </c>
      <c r="C8" s="61" t="s">
        <v>273</v>
      </c>
      <c r="D8" s="63" t="s">
        <v>274</v>
      </c>
      <c r="E8" s="64" t="s">
        <v>271</v>
      </c>
      <c r="F8" s="56"/>
      <c r="G8" s="56"/>
      <c r="H8" s="56"/>
      <c r="I8" s="56"/>
      <c r="J8" s="56"/>
      <c r="K8" s="56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>
      <c r="A10" s="55" t="s">
        <v>275</v>
      </c>
      <c r="B10" s="56"/>
      <c r="C10" s="56"/>
      <c r="D10" s="56"/>
      <c r="E10" s="56"/>
      <c r="F10" s="56"/>
      <c r="G10" s="56"/>
      <c r="H10" s="56"/>
      <c r="I10" s="56"/>
      <c r="J10" s="56"/>
      <c r="K10" s="57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>
      <c r="A11" s="58" t="s">
        <v>276</v>
      </c>
      <c r="B11" s="58" t="s">
        <v>277</v>
      </c>
      <c r="C11" s="58" t="s">
        <v>278</v>
      </c>
      <c r="D11" s="58" t="s">
        <v>279</v>
      </c>
      <c r="E11" s="58" t="s">
        <v>278</v>
      </c>
      <c r="F11" s="58" t="s">
        <v>280</v>
      </c>
      <c r="G11" s="58" t="s">
        <v>278</v>
      </c>
      <c r="H11" s="58" t="s">
        <v>281</v>
      </c>
      <c r="I11" s="58" t="s">
        <v>282</v>
      </c>
      <c r="J11" s="58" t="s">
        <v>283</v>
      </c>
      <c r="K11" s="58" t="s">
        <v>284</v>
      </c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>
      <c r="A12" s="65" t="s">
        <v>188</v>
      </c>
      <c r="B12" s="66">
        <v>219.343940215213</v>
      </c>
      <c r="C12" s="67" t="s">
        <v>285</v>
      </c>
      <c r="D12" s="68">
        <v>0.341144797861787</v>
      </c>
      <c r="E12" s="67" t="s">
        <v>286</v>
      </c>
      <c r="F12" s="68">
        <v>0.00248759010316365</v>
      </c>
      <c r="G12" s="67" t="s">
        <v>287</v>
      </c>
      <c r="H12" s="69">
        <f t="shared" ref="H12:H19" si="1">D12*$B$7</f>
        <v>10.16611498</v>
      </c>
      <c r="I12" s="69">
        <f t="shared" ref="I12:I19" si="2">F12*$B$8</f>
        <v>0.6791120982</v>
      </c>
      <c r="J12" s="70">
        <f t="shared" ref="J12:J19" si="3">B12+H12+I12</f>
        <v>230.1891673</v>
      </c>
      <c r="K12" s="67" t="s">
        <v>288</v>
      </c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>
      <c r="A13" s="65" t="s">
        <v>289</v>
      </c>
      <c r="B13" s="66">
        <v>219.343940215213</v>
      </c>
      <c r="C13" s="67" t="s">
        <v>290</v>
      </c>
      <c r="D13" s="68">
        <v>0.341144797861787</v>
      </c>
      <c r="E13" s="67" t="s">
        <v>291</v>
      </c>
      <c r="F13" s="68">
        <v>0.00248759010316365</v>
      </c>
      <c r="G13" s="67" t="s">
        <v>292</v>
      </c>
      <c r="H13" s="69">
        <f t="shared" si="1"/>
        <v>10.16611498</v>
      </c>
      <c r="I13" s="69">
        <f t="shared" si="2"/>
        <v>0.6791120982</v>
      </c>
      <c r="J13" s="70">
        <f t="shared" si="3"/>
        <v>230.1891673</v>
      </c>
      <c r="K13" s="67" t="s">
        <v>288</v>
      </c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>
      <c r="A14" s="71" t="s">
        <v>193</v>
      </c>
      <c r="B14" s="72">
        <v>219.343940215213</v>
      </c>
      <c r="C14" s="63" t="s">
        <v>293</v>
      </c>
      <c r="D14" s="73">
        <v>0.341144797861787</v>
      </c>
      <c r="E14" s="63" t="s">
        <v>294</v>
      </c>
      <c r="F14" s="73">
        <v>0.00248759010316365</v>
      </c>
      <c r="G14" s="63" t="s">
        <v>295</v>
      </c>
      <c r="H14" s="74">
        <f t="shared" si="1"/>
        <v>10.16611498</v>
      </c>
      <c r="I14" s="74">
        <f t="shared" si="2"/>
        <v>0.6791120982</v>
      </c>
      <c r="J14" s="75">
        <f t="shared" si="3"/>
        <v>230.1891673</v>
      </c>
      <c r="K14" s="63" t="s">
        <v>288</v>
      </c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>
      <c r="A15" s="65" t="s">
        <v>195</v>
      </c>
      <c r="B15" s="66">
        <v>223.431038731401</v>
      </c>
      <c r="C15" s="67" t="s">
        <v>296</v>
      </c>
      <c r="D15" s="68">
        <v>0.351344370374333</v>
      </c>
      <c r="E15" s="67" t="s">
        <v>297</v>
      </c>
      <c r="F15" s="68">
        <v>0.00241127475644268</v>
      </c>
      <c r="G15" s="67" t="s">
        <v>298</v>
      </c>
      <c r="H15" s="69">
        <f t="shared" si="1"/>
        <v>10.47006224</v>
      </c>
      <c r="I15" s="69">
        <f t="shared" si="2"/>
        <v>0.6582780085</v>
      </c>
      <c r="J15" s="70">
        <f t="shared" si="3"/>
        <v>234.559379</v>
      </c>
      <c r="K15" s="67" t="s">
        <v>288</v>
      </c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>
      <c r="A16" s="65" t="s">
        <v>191</v>
      </c>
      <c r="B16" s="66">
        <v>70.9506722068502</v>
      </c>
      <c r="C16" s="67" t="s">
        <v>299</v>
      </c>
      <c r="D16" s="68">
        <v>0.145877526222759</v>
      </c>
      <c r="E16" s="67" t="s">
        <v>300</v>
      </c>
      <c r="F16" s="68">
        <v>0.00136298541191905</v>
      </c>
      <c r="G16" s="67" t="s">
        <v>301</v>
      </c>
      <c r="H16" s="69">
        <f t="shared" si="1"/>
        <v>4.347150281</v>
      </c>
      <c r="I16" s="69">
        <f t="shared" si="2"/>
        <v>0.3720950175</v>
      </c>
      <c r="J16" s="70">
        <f t="shared" si="3"/>
        <v>75.66991751</v>
      </c>
      <c r="K16" s="67" t="s">
        <v>288</v>
      </c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>
      <c r="A17" s="76" t="s">
        <v>194</v>
      </c>
      <c r="B17" s="66">
        <v>1819.45470809402</v>
      </c>
      <c r="C17" s="67" t="s">
        <v>302</v>
      </c>
      <c r="D17" s="68">
        <v>5.77518960790235</v>
      </c>
      <c r="E17" s="67" t="s">
        <v>303</v>
      </c>
      <c r="F17" s="68">
        <v>0.0348132497095754</v>
      </c>
      <c r="G17" s="67" t="s">
        <v>304</v>
      </c>
      <c r="H17" s="69">
        <f t="shared" si="1"/>
        <v>172.1006503</v>
      </c>
      <c r="I17" s="69">
        <f t="shared" si="2"/>
        <v>9.504017171</v>
      </c>
      <c r="J17" s="70">
        <f t="shared" si="3"/>
        <v>2001.059376</v>
      </c>
      <c r="K17" s="67" t="s">
        <v>288</v>
      </c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>
      <c r="A18" s="77" t="s">
        <v>190</v>
      </c>
      <c r="B18" s="72">
        <v>2678.80281951008</v>
      </c>
      <c r="C18" s="63" t="s">
        <v>305</v>
      </c>
      <c r="D18" s="73">
        <v>4.24798197824451</v>
      </c>
      <c r="E18" s="63" t="s">
        <v>306</v>
      </c>
      <c r="F18" s="73">
        <v>0.0543548501539779</v>
      </c>
      <c r="G18" s="63" t="s">
        <v>307</v>
      </c>
      <c r="H18" s="74">
        <f t="shared" si="1"/>
        <v>126.589863</v>
      </c>
      <c r="I18" s="74">
        <f t="shared" si="2"/>
        <v>14.83887409</v>
      </c>
      <c r="J18" s="75">
        <f t="shared" si="3"/>
        <v>2820.231557</v>
      </c>
      <c r="K18" s="63" t="s">
        <v>288</v>
      </c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>
      <c r="A19" s="76" t="s">
        <v>308</v>
      </c>
      <c r="B19" s="66">
        <v>9705.34654036782</v>
      </c>
      <c r="C19" s="67" t="s">
        <v>309</v>
      </c>
      <c r="D19" s="68">
        <v>17.2054436593756</v>
      </c>
      <c r="E19" s="67" t="s">
        <v>310</v>
      </c>
      <c r="F19" s="68">
        <v>0.321125855151857</v>
      </c>
      <c r="G19" s="67" t="s">
        <v>311</v>
      </c>
      <c r="H19" s="69">
        <f t="shared" si="1"/>
        <v>512.722221</v>
      </c>
      <c r="I19" s="69">
        <f t="shared" si="2"/>
        <v>87.66735846</v>
      </c>
      <c r="J19" s="70">
        <f t="shared" si="3"/>
        <v>10305.73612</v>
      </c>
      <c r="K19" s="67" t="s">
        <v>288</v>
      </c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>
      <c r="A21" s="55" t="s">
        <v>312</v>
      </c>
      <c r="B21" s="56"/>
      <c r="C21" s="56"/>
      <c r="D21" s="56"/>
      <c r="E21" s="56"/>
      <c r="F21" s="56"/>
      <c r="G21" s="56"/>
      <c r="H21" s="56"/>
      <c r="I21" s="56"/>
      <c r="J21" s="56"/>
      <c r="K21" s="57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>
      <c r="A22" s="77" t="s">
        <v>313</v>
      </c>
      <c r="B22" s="78" t="s">
        <v>314</v>
      </c>
      <c r="C22" s="56"/>
      <c r="D22" s="56"/>
      <c r="E22" s="56"/>
      <c r="F22" s="56"/>
      <c r="G22" s="56"/>
      <c r="H22" s="56"/>
      <c r="I22" s="56"/>
      <c r="J22" s="56"/>
      <c r="K22" s="56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>
      <c r="A23" s="77" t="s">
        <v>315</v>
      </c>
      <c r="B23" s="78" t="s">
        <v>316</v>
      </c>
      <c r="C23" s="56"/>
      <c r="D23" s="56"/>
      <c r="E23" s="56"/>
      <c r="F23" s="56"/>
      <c r="G23" s="56"/>
      <c r="H23" s="56"/>
      <c r="I23" s="56"/>
      <c r="J23" s="56"/>
      <c r="K23" s="56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>
      <c r="A24" s="77" t="s">
        <v>317</v>
      </c>
      <c r="B24" s="78" t="s">
        <v>318</v>
      </c>
      <c r="C24" s="56"/>
      <c r="D24" s="56"/>
      <c r="E24" s="56"/>
      <c r="F24" s="56"/>
      <c r="G24" s="56"/>
      <c r="H24" s="56"/>
      <c r="I24" s="56"/>
      <c r="J24" s="56"/>
      <c r="K24" s="56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>
      <c r="A25" s="77" t="s">
        <v>319</v>
      </c>
      <c r="B25" s="78" t="s">
        <v>320</v>
      </c>
      <c r="C25" s="56"/>
      <c r="D25" s="56"/>
      <c r="E25" s="56"/>
      <c r="F25" s="56"/>
      <c r="G25" s="56"/>
      <c r="H25" s="56"/>
      <c r="I25" s="56"/>
      <c r="J25" s="56"/>
      <c r="K25" s="56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>
      <c r="A26" s="77" t="s">
        <v>321</v>
      </c>
      <c r="B26" s="78" t="s">
        <v>322</v>
      </c>
      <c r="C26" s="56"/>
      <c r="D26" s="56"/>
      <c r="E26" s="56"/>
      <c r="F26" s="56"/>
      <c r="G26" s="56"/>
      <c r="H26" s="56"/>
      <c r="I26" s="56"/>
      <c r="J26" s="56"/>
      <c r="K26" s="56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>
      <c r="A27" s="77" t="s">
        <v>323</v>
      </c>
      <c r="B27" s="78" t="s">
        <v>324</v>
      </c>
      <c r="C27" s="56"/>
      <c r="D27" s="56"/>
      <c r="E27" s="56"/>
      <c r="F27" s="56"/>
      <c r="G27" s="56"/>
      <c r="H27" s="56"/>
      <c r="I27" s="56"/>
      <c r="J27" s="56"/>
      <c r="K27" s="56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>
      <c r="A28" s="71" t="s">
        <v>325</v>
      </c>
      <c r="B28" s="79" t="s">
        <v>326</v>
      </c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</sheetData>
  <mergeCells count="16">
    <mergeCell ref="A1:K1"/>
    <mergeCell ref="A2:K2"/>
    <mergeCell ref="A4:K4"/>
    <mergeCell ref="E5:K5"/>
    <mergeCell ref="E6:K6"/>
    <mergeCell ref="E7:K7"/>
    <mergeCell ref="E8:K8"/>
    <mergeCell ref="B27:K27"/>
    <mergeCell ref="B28:K28"/>
    <mergeCell ref="A10:K10"/>
    <mergeCell ref="A21:K21"/>
    <mergeCell ref="B22:K22"/>
    <mergeCell ref="B23:K23"/>
    <mergeCell ref="B24:K24"/>
    <mergeCell ref="B25:K25"/>
    <mergeCell ref="B26:K26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17.38"/>
    <col customWidth="1" min="6" max="6" width="27.38"/>
  </cols>
  <sheetData>
    <row r="1">
      <c r="A1" s="36" t="s">
        <v>327</v>
      </c>
      <c r="B1" s="5"/>
      <c r="C1" s="5"/>
      <c r="D1" s="5"/>
      <c r="E1" s="5"/>
      <c r="F1" s="36" t="s">
        <v>328</v>
      </c>
      <c r="G1" s="5"/>
      <c r="H1" s="5"/>
      <c r="I1" s="5"/>
    </row>
    <row r="2">
      <c r="A2" s="36" t="s">
        <v>329</v>
      </c>
      <c r="B2" s="5"/>
      <c r="C2" s="5"/>
      <c r="D2" s="5"/>
      <c r="E2" s="5"/>
      <c r="F2" s="5" t="s">
        <v>330</v>
      </c>
      <c r="G2" s="80" t="s">
        <v>331</v>
      </c>
    </row>
    <row r="3">
      <c r="A3" s="5" t="s">
        <v>332</v>
      </c>
      <c r="B3" s="5"/>
      <c r="C3" s="5"/>
      <c r="D3" s="5"/>
      <c r="E3" s="5"/>
      <c r="F3" s="5" t="s">
        <v>333</v>
      </c>
      <c r="G3" s="19">
        <v>879.0</v>
      </c>
      <c r="H3" s="42" t="s">
        <v>334</v>
      </c>
      <c r="I3" s="5"/>
    </row>
    <row r="4">
      <c r="A4" s="5"/>
      <c r="B4" s="5" t="s">
        <v>335</v>
      </c>
      <c r="C4" s="38">
        <v>1.0</v>
      </c>
      <c r="D4" s="5"/>
      <c r="E4" s="5"/>
      <c r="F4" s="5"/>
      <c r="G4" s="5"/>
      <c r="H4" s="5"/>
      <c r="I4" s="5"/>
    </row>
    <row r="5">
      <c r="A5" s="5"/>
      <c r="B5" s="5" t="s">
        <v>336</v>
      </c>
      <c r="C5" s="19">
        <v>6.64</v>
      </c>
      <c r="D5" s="5"/>
      <c r="E5" s="5"/>
      <c r="F5" s="36" t="s">
        <v>337</v>
      </c>
      <c r="G5" s="5"/>
      <c r="H5" s="5"/>
      <c r="I5" s="5"/>
    </row>
    <row r="6">
      <c r="A6" s="5"/>
      <c r="B6" s="5" t="s">
        <v>338</v>
      </c>
      <c r="C6" s="5" t="s">
        <v>339</v>
      </c>
      <c r="D6" s="5"/>
      <c r="E6" s="5"/>
      <c r="F6" s="8" t="s">
        <v>340</v>
      </c>
      <c r="G6" s="38">
        <v>35274.0</v>
      </c>
      <c r="H6" s="39"/>
      <c r="I6" s="39"/>
    </row>
    <row r="7">
      <c r="A7" s="5" t="s">
        <v>341</v>
      </c>
      <c r="B7" s="5"/>
      <c r="C7" s="5"/>
      <c r="D7" s="5"/>
      <c r="E7" s="5"/>
      <c r="F7" s="5" t="s">
        <v>5</v>
      </c>
      <c r="G7" s="19">
        <v>1.60934</v>
      </c>
      <c r="H7" s="5"/>
      <c r="I7" s="5"/>
    </row>
    <row r="8">
      <c r="A8" s="5"/>
      <c r="B8" s="5" t="s">
        <v>335</v>
      </c>
      <c r="C8" s="19">
        <v>5.0</v>
      </c>
      <c r="D8" s="5"/>
      <c r="E8" s="5"/>
      <c r="H8" s="5"/>
      <c r="I8" s="5"/>
    </row>
    <row r="9">
      <c r="A9" s="5"/>
      <c r="B9" s="5" t="s">
        <v>336</v>
      </c>
      <c r="C9" s="38">
        <v>1.0</v>
      </c>
      <c r="D9" s="5"/>
      <c r="E9" s="5"/>
      <c r="F9" s="5"/>
      <c r="G9" s="5"/>
      <c r="H9" s="5"/>
      <c r="I9" s="5"/>
    </row>
    <row r="10">
      <c r="A10" s="5"/>
      <c r="B10" s="5" t="s">
        <v>338</v>
      </c>
      <c r="C10" s="5" t="s">
        <v>339</v>
      </c>
      <c r="D10" s="5"/>
      <c r="E10" s="5"/>
      <c r="F10" s="5"/>
      <c r="G10" s="5"/>
      <c r="H10" s="5"/>
      <c r="I10" s="5"/>
    </row>
    <row r="11">
      <c r="A11" s="5"/>
      <c r="B11" s="5"/>
      <c r="C11" s="5"/>
      <c r="D11" s="5"/>
      <c r="E11" s="5"/>
      <c r="F11" s="5"/>
      <c r="G11" s="5"/>
      <c r="H11" s="5"/>
      <c r="I11" s="5"/>
    </row>
    <row r="12">
      <c r="A12" s="5" t="s">
        <v>342</v>
      </c>
      <c r="B12" s="19">
        <f>(C4*C5)+(C8*C9)</f>
        <v>11.64</v>
      </c>
      <c r="C12" s="5"/>
      <c r="D12" s="5"/>
      <c r="E12" s="5"/>
      <c r="F12" s="5"/>
      <c r="G12" s="5"/>
      <c r="H12" s="5"/>
      <c r="I12" s="5"/>
    </row>
    <row r="13">
      <c r="A13" s="8" t="s">
        <v>343</v>
      </c>
      <c r="B13" s="19">
        <f>B12/G6</f>
        <v>0.0003299880932</v>
      </c>
      <c r="C13" s="5"/>
      <c r="D13" s="5"/>
      <c r="E13" s="5"/>
      <c r="F13" s="5"/>
      <c r="G13" s="5"/>
      <c r="H13" s="5"/>
      <c r="I13" s="5"/>
    </row>
    <row r="14">
      <c r="A14" s="5" t="s">
        <v>344</v>
      </c>
      <c r="B14" s="19">
        <f>B13*G3*'2025'!F8</f>
        <v>0.0003677641626</v>
      </c>
      <c r="C14" s="5"/>
      <c r="D14" s="5"/>
      <c r="E14" s="5"/>
      <c r="F14" s="5"/>
      <c r="G14" s="5"/>
      <c r="H14" s="5"/>
      <c r="I14" s="5"/>
    </row>
    <row r="15">
      <c r="A15" s="5"/>
      <c r="B15" s="5"/>
      <c r="C15" s="5"/>
      <c r="D15" s="5"/>
      <c r="E15" s="5"/>
      <c r="F15" s="5"/>
      <c r="G15" s="5"/>
      <c r="H15" s="5"/>
      <c r="I15" s="5"/>
    </row>
    <row r="16">
      <c r="A16" s="8" t="s">
        <v>345</v>
      </c>
      <c r="B16" s="19">
        <f>B14</f>
        <v>0.0003677641626</v>
      </c>
      <c r="C16" s="5"/>
      <c r="D16" s="5"/>
      <c r="E16" s="5"/>
      <c r="F16" s="5"/>
      <c r="G16" s="5"/>
      <c r="H16" s="5"/>
      <c r="I16" s="5"/>
    </row>
    <row r="17">
      <c r="A17" s="8" t="s">
        <v>346</v>
      </c>
      <c r="B17" s="19">
        <f>B16*1000</f>
        <v>0.3677641626</v>
      </c>
      <c r="C17" s="5"/>
      <c r="D17" s="5"/>
      <c r="E17" s="5"/>
      <c r="F17" s="5"/>
      <c r="G17" s="5"/>
      <c r="H17" s="5"/>
      <c r="I17" s="5"/>
    </row>
    <row r="18">
      <c r="A18" s="5"/>
      <c r="C18" s="5"/>
      <c r="D18" s="5"/>
      <c r="E18" s="5"/>
      <c r="F18" s="5"/>
      <c r="G18" s="5"/>
      <c r="H18" s="5"/>
      <c r="I18" s="5"/>
    </row>
  </sheetData>
  <mergeCells count="1">
    <mergeCell ref="G2:I2"/>
  </mergeCells>
  <hyperlinks>
    <hyperlink r:id="rId1" ref="H3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17.38"/>
    <col customWidth="1" min="6" max="6" width="27.38"/>
  </cols>
  <sheetData>
    <row r="1">
      <c r="A1" s="36" t="s">
        <v>327</v>
      </c>
      <c r="B1" s="5"/>
      <c r="C1" s="5"/>
      <c r="D1" s="5"/>
      <c r="E1" s="5"/>
      <c r="F1" s="36" t="s">
        <v>328</v>
      </c>
      <c r="G1" s="5"/>
      <c r="H1" s="5"/>
      <c r="I1" s="5"/>
    </row>
    <row r="2">
      <c r="A2" s="36" t="s">
        <v>329</v>
      </c>
      <c r="B2" s="5"/>
      <c r="C2" s="5"/>
      <c r="D2" s="5"/>
      <c r="E2" s="5"/>
      <c r="F2" s="5" t="s">
        <v>330</v>
      </c>
      <c r="G2" s="80" t="s">
        <v>331</v>
      </c>
    </row>
    <row r="3">
      <c r="A3" s="5" t="s">
        <v>332</v>
      </c>
      <c r="B3" s="5"/>
      <c r="C3" s="5"/>
      <c r="D3" s="5"/>
      <c r="E3" s="5"/>
      <c r="F3" s="5" t="s">
        <v>333</v>
      </c>
      <c r="G3" s="19">
        <v>879.0</v>
      </c>
      <c r="H3" s="42" t="s">
        <v>334</v>
      </c>
      <c r="I3" s="5"/>
    </row>
    <row r="4">
      <c r="A4" s="5"/>
      <c r="B4" s="5" t="s">
        <v>335</v>
      </c>
      <c r="C4" s="38">
        <v>1.0</v>
      </c>
      <c r="D4" s="5"/>
      <c r="E4" s="5"/>
      <c r="F4" s="5"/>
      <c r="G4" s="5"/>
      <c r="H4" s="5"/>
      <c r="I4" s="5"/>
    </row>
    <row r="5">
      <c r="A5" s="5"/>
      <c r="B5" s="5" t="s">
        <v>336</v>
      </c>
      <c r="C5" s="19">
        <v>6.64</v>
      </c>
      <c r="D5" s="5"/>
      <c r="E5" s="5"/>
      <c r="F5" s="36" t="s">
        <v>337</v>
      </c>
      <c r="G5" s="5"/>
      <c r="H5" s="5"/>
      <c r="I5" s="5"/>
    </row>
    <row r="6">
      <c r="A6" s="5"/>
      <c r="B6" s="5" t="s">
        <v>338</v>
      </c>
      <c r="C6" s="5" t="s">
        <v>339</v>
      </c>
      <c r="D6" s="5"/>
      <c r="E6" s="5"/>
      <c r="F6" s="8" t="s">
        <v>340</v>
      </c>
      <c r="G6" s="38">
        <v>35274.0</v>
      </c>
      <c r="H6" s="39"/>
      <c r="I6" s="39"/>
    </row>
    <row r="7">
      <c r="A7" s="5" t="s">
        <v>341</v>
      </c>
      <c r="B7" s="5"/>
      <c r="C7" s="5"/>
      <c r="D7" s="5"/>
      <c r="E7" s="5"/>
      <c r="F7" s="5" t="s">
        <v>5</v>
      </c>
      <c r="G7" s="19">
        <v>1.60934</v>
      </c>
      <c r="H7" s="5"/>
      <c r="I7" s="5"/>
    </row>
    <row r="8">
      <c r="A8" s="5"/>
      <c r="B8" s="5" t="s">
        <v>335</v>
      </c>
      <c r="C8" s="19">
        <v>5.0</v>
      </c>
      <c r="D8" s="5"/>
      <c r="E8" s="5"/>
      <c r="H8" s="5"/>
      <c r="I8" s="5"/>
    </row>
    <row r="9">
      <c r="A9" s="5"/>
      <c r="B9" s="5" t="s">
        <v>336</v>
      </c>
      <c r="C9" s="38">
        <v>1.0</v>
      </c>
      <c r="D9" s="5"/>
      <c r="E9" s="5"/>
      <c r="F9" s="5"/>
      <c r="G9" s="5"/>
      <c r="H9" s="5"/>
      <c r="I9" s="5"/>
    </row>
    <row r="10">
      <c r="A10" s="5"/>
      <c r="B10" s="5" t="s">
        <v>338</v>
      </c>
      <c r="C10" s="5" t="s">
        <v>339</v>
      </c>
      <c r="D10" s="5"/>
      <c r="E10" s="5"/>
      <c r="F10" s="5"/>
      <c r="G10" s="5"/>
      <c r="H10" s="5"/>
      <c r="I10" s="5"/>
    </row>
    <row r="11">
      <c r="A11" s="5"/>
      <c r="B11" s="5"/>
      <c r="C11" s="5"/>
      <c r="D11" s="5"/>
      <c r="E11" s="5"/>
      <c r="F11" s="5"/>
      <c r="G11" s="5"/>
      <c r="H11" s="5"/>
      <c r="I11" s="5"/>
    </row>
    <row r="12">
      <c r="A12" s="5" t="s">
        <v>342</v>
      </c>
      <c r="B12" s="19">
        <f>(C4*C5)+(C8*C9)</f>
        <v>11.64</v>
      </c>
      <c r="C12" s="5"/>
      <c r="D12" s="5"/>
      <c r="E12" s="5"/>
      <c r="F12" s="5"/>
      <c r="G12" s="5"/>
      <c r="H12" s="5"/>
      <c r="I12" s="5"/>
    </row>
    <row r="13">
      <c r="A13" s="8" t="s">
        <v>343</v>
      </c>
      <c r="B13" s="19">
        <f>B12/G6</f>
        <v>0.0003299880932</v>
      </c>
      <c r="C13" s="5"/>
      <c r="D13" s="5"/>
      <c r="E13" s="5"/>
      <c r="F13" s="5"/>
      <c r="G13" s="5"/>
      <c r="H13" s="5"/>
      <c r="I13" s="5"/>
    </row>
    <row r="14">
      <c r="A14" s="5" t="s">
        <v>344</v>
      </c>
      <c r="B14" s="19">
        <f>B13*G3*'2025'!F8</f>
        <v>0.0003677641626</v>
      </c>
      <c r="C14" s="5"/>
      <c r="D14" s="5"/>
      <c r="E14" s="5"/>
      <c r="F14" s="5"/>
      <c r="G14" s="5"/>
      <c r="H14" s="5"/>
      <c r="I14" s="5"/>
    </row>
    <row r="15">
      <c r="A15" s="5"/>
      <c r="B15" s="5"/>
      <c r="C15" s="5"/>
      <c r="D15" s="5"/>
      <c r="E15" s="5"/>
      <c r="F15" s="5"/>
      <c r="G15" s="5"/>
      <c r="H15" s="5"/>
      <c r="I15" s="5"/>
    </row>
    <row r="16">
      <c r="A16" s="8" t="s">
        <v>345</v>
      </c>
      <c r="B16" s="19">
        <f>B14</f>
        <v>0.0003677641626</v>
      </c>
      <c r="C16" s="5"/>
      <c r="D16" s="5"/>
      <c r="E16" s="5"/>
      <c r="F16" s="5"/>
      <c r="G16" s="5"/>
      <c r="H16" s="5"/>
      <c r="I16" s="5"/>
    </row>
    <row r="17">
      <c r="A17" s="8" t="s">
        <v>346</v>
      </c>
      <c r="B17" s="19">
        <f>B16*1000</f>
        <v>0.3677641626</v>
      </c>
      <c r="C17" s="5"/>
      <c r="D17" s="5"/>
      <c r="E17" s="5"/>
      <c r="F17" s="5"/>
      <c r="G17" s="5"/>
      <c r="H17" s="5"/>
      <c r="I17" s="5"/>
    </row>
    <row r="18">
      <c r="A18" s="5"/>
      <c r="C18" s="5"/>
      <c r="D18" s="5"/>
      <c r="E18" s="5"/>
      <c r="F18" s="5"/>
      <c r="G18" s="5"/>
      <c r="H18" s="5"/>
      <c r="I18" s="5"/>
    </row>
  </sheetData>
  <mergeCells count="1">
    <mergeCell ref="G2:I2"/>
  </mergeCells>
  <hyperlinks>
    <hyperlink r:id="rId1" ref="H3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3" max="3" width="37.0"/>
  </cols>
  <sheetData>
    <row r="1">
      <c r="A1" s="36"/>
      <c r="B1" s="81"/>
      <c r="C1" s="3" t="s">
        <v>8</v>
      </c>
    </row>
    <row r="2">
      <c r="A2" s="36" t="s">
        <v>347</v>
      </c>
      <c r="B2" s="81">
        <v>140000.0</v>
      </c>
      <c r="C2" s="22" t="s">
        <v>348</v>
      </c>
    </row>
    <row r="3">
      <c r="A3" s="1" t="s">
        <v>349</v>
      </c>
      <c r="B3" s="82">
        <f>B2*1.19</f>
        <v>166600</v>
      </c>
      <c r="C3" s="22" t="s">
        <v>350</v>
      </c>
    </row>
    <row r="4">
      <c r="A4" s="1" t="s">
        <v>351</v>
      </c>
      <c r="B4" s="83">
        <v>0.444</v>
      </c>
      <c r="C4" s="22" t="s">
        <v>352</v>
      </c>
    </row>
    <row r="5">
      <c r="A5" s="36" t="s">
        <v>353</v>
      </c>
      <c r="B5" s="10">
        <f>(B4*B3)/1000</f>
        <v>73.9704</v>
      </c>
    </row>
    <row r="6">
      <c r="A6" s="36" t="s">
        <v>354</v>
      </c>
      <c r="B6" s="19">
        <v>35.0</v>
      </c>
      <c r="C6" s="22" t="s">
        <v>355</v>
      </c>
    </row>
    <row r="7">
      <c r="A7" s="36" t="s">
        <v>356</v>
      </c>
      <c r="B7" s="19">
        <v>60000.0</v>
      </c>
      <c r="C7" s="22" t="s">
        <v>355</v>
      </c>
    </row>
    <row r="8">
      <c r="A8" s="36" t="s">
        <v>357</v>
      </c>
      <c r="B8" s="19">
        <f>B7*B6</f>
        <v>2100000</v>
      </c>
    </row>
    <row r="9">
      <c r="A9" s="36" t="s">
        <v>358</v>
      </c>
      <c r="B9" s="16">
        <f>B5/B8</f>
        <v>0.000035224</v>
      </c>
    </row>
  </sheetData>
  <hyperlinks>
    <hyperlink r:id="rId1" ref="C2"/>
    <hyperlink r:id="rId2" ref="C3"/>
    <hyperlink r:id="rId3" ref="C4"/>
    <hyperlink r:id="rId4" ref="C6"/>
    <hyperlink r:id="rId5" ref="C7"/>
  </hyperlinks>
  <drawing r:id="rId6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3" max="3" width="37.0"/>
  </cols>
  <sheetData>
    <row r="1">
      <c r="A1" s="36"/>
      <c r="B1" s="81"/>
      <c r="C1" s="3" t="s">
        <v>8</v>
      </c>
    </row>
    <row r="2">
      <c r="A2" s="36" t="s">
        <v>347</v>
      </c>
      <c r="B2" s="81">
        <v>140000.0</v>
      </c>
      <c r="C2" s="22" t="s">
        <v>348</v>
      </c>
    </row>
    <row r="3">
      <c r="A3" s="1" t="s">
        <v>349</v>
      </c>
      <c r="B3" s="82">
        <f>B2*1.19</f>
        <v>166600</v>
      </c>
      <c r="C3" s="22" t="s">
        <v>350</v>
      </c>
    </row>
    <row r="4">
      <c r="A4" s="1" t="s">
        <v>351</v>
      </c>
      <c r="B4" s="83">
        <v>0.444</v>
      </c>
      <c r="C4" s="22" t="s">
        <v>352</v>
      </c>
    </row>
    <row r="5">
      <c r="A5" s="36" t="s">
        <v>353</v>
      </c>
      <c r="B5" s="10">
        <f>(B4*B3)/1000</f>
        <v>73.9704</v>
      </c>
    </row>
    <row r="6">
      <c r="A6" s="36" t="s">
        <v>354</v>
      </c>
      <c r="B6" s="19">
        <v>35.0</v>
      </c>
      <c r="C6" s="22" t="s">
        <v>355</v>
      </c>
    </row>
    <row r="7">
      <c r="A7" s="36" t="s">
        <v>356</v>
      </c>
      <c r="B7" s="19">
        <v>60000.0</v>
      </c>
      <c r="C7" s="22" t="s">
        <v>355</v>
      </c>
    </row>
    <row r="8">
      <c r="A8" s="36" t="s">
        <v>357</v>
      </c>
      <c r="B8" s="19">
        <f>B7*B6</f>
        <v>2100000</v>
      </c>
    </row>
    <row r="9">
      <c r="A9" s="36" t="s">
        <v>358</v>
      </c>
      <c r="B9" s="16">
        <f>B5/B8</f>
        <v>0.000035224</v>
      </c>
    </row>
  </sheetData>
  <hyperlinks>
    <hyperlink r:id="rId1" ref="C2"/>
    <hyperlink r:id="rId2" ref="C3"/>
    <hyperlink r:id="rId3" ref="C4"/>
    <hyperlink r:id="rId4" ref="C6"/>
    <hyperlink r:id="rId5" ref="C7"/>
  </hyperlinks>
  <drawing r:id="rId6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88"/>
    <col customWidth="1" min="2" max="2" width="14.88"/>
    <col customWidth="1" min="3" max="3" width="24.0"/>
    <col customWidth="1" min="4" max="4" width="47.13"/>
    <col customWidth="1" min="5" max="5" width="24.5"/>
    <col customWidth="1" min="7" max="7" width="30.38"/>
  </cols>
  <sheetData>
    <row r="1">
      <c r="A1" s="84" t="s">
        <v>353</v>
      </c>
      <c r="B1" s="85">
        <f>B103</f>
        <v>65.37439668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>
      <c r="A2" s="84" t="s">
        <v>354</v>
      </c>
      <c r="B2" s="87">
        <v>35.0</v>
      </c>
      <c r="C2" s="88" t="s">
        <v>355</v>
      </c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>
      <c r="A3" s="84" t="s">
        <v>356</v>
      </c>
      <c r="B3" s="87">
        <v>60000.0</v>
      </c>
      <c r="C3" s="88" t="s">
        <v>355</v>
      </c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>
      <c r="A4" s="84" t="s">
        <v>357</v>
      </c>
      <c r="B4" s="87">
        <f>B3*B2</f>
        <v>2100000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>
      <c r="A5" s="84" t="s">
        <v>358</v>
      </c>
      <c r="B5" s="89">
        <f>B1/B4</f>
        <v>0.00003113066508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>
      <c r="A6" s="86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>
      <c r="A7" s="90" t="s">
        <v>359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>
      <c r="A8" s="91" t="s">
        <v>360</v>
      </c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>
      <c r="A9" s="92" t="s">
        <v>361</v>
      </c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>
      <c r="A10" s="93" t="s">
        <v>362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>
      <c r="A11" s="86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>
      <c r="A12" s="94" t="s">
        <v>363</v>
      </c>
      <c r="B12" s="95"/>
      <c r="C12" s="95"/>
      <c r="D12" s="95"/>
      <c r="E12" s="95"/>
      <c r="F12" s="95"/>
      <c r="G12" s="95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>
      <c r="A13" s="96" t="s">
        <v>364</v>
      </c>
      <c r="B13" s="96" t="s">
        <v>365</v>
      </c>
      <c r="C13" s="96" t="s">
        <v>2</v>
      </c>
      <c r="D13" s="96" t="s">
        <v>366</v>
      </c>
      <c r="E13" s="96" t="s">
        <v>367</v>
      </c>
      <c r="F13" s="97"/>
      <c r="G13" s="96" t="s">
        <v>369</v>
      </c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>
      <c r="A14" s="98" t="s">
        <v>370</v>
      </c>
      <c r="B14" s="99">
        <v>39168.0</v>
      </c>
      <c r="C14" s="98" t="s">
        <v>374</v>
      </c>
      <c r="D14" s="98" t="s">
        <v>375</v>
      </c>
      <c r="E14" s="98" t="s">
        <v>376</v>
      </c>
      <c r="F14" s="100"/>
      <c r="G14" s="98" t="s">
        <v>378</v>
      </c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>
      <c r="A15" s="98" t="s">
        <v>380</v>
      </c>
      <c r="B15" s="102" t="s">
        <v>383</v>
      </c>
      <c r="C15" s="100"/>
      <c r="D15" s="98" t="s">
        <v>385</v>
      </c>
      <c r="E15" s="98" t="s">
        <v>376</v>
      </c>
      <c r="F15" s="100"/>
      <c r="G15" s="98" t="s">
        <v>378</v>
      </c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>
      <c r="A16" s="98" t="s">
        <v>391</v>
      </c>
      <c r="B16" s="102" t="s">
        <v>392</v>
      </c>
      <c r="C16" s="100"/>
      <c r="D16" s="98" t="s">
        <v>395</v>
      </c>
      <c r="E16" s="98" t="s">
        <v>396</v>
      </c>
      <c r="F16" s="100"/>
      <c r="G16" s="98" t="s">
        <v>397</v>
      </c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>
      <c r="A17" s="98" t="s">
        <v>401</v>
      </c>
      <c r="B17" s="105">
        <v>9.0</v>
      </c>
      <c r="C17" s="98" t="s">
        <v>404</v>
      </c>
      <c r="D17" s="98" t="s">
        <v>405</v>
      </c>
      <c r="E17" s="98" t="s">
        <v>376</v>
      </c>
      <c r="F17" s="100"/>
      <c r="G17" s="98" t="s">
        <v>378</v>
      </c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>
      <c r="A18" s="98" t="s">
        <v>408</v>
      </c>
      <c r="B18" s="107">
        <v>10.75</v>
      </c>
      <c r="C18" s="98" t="s">
        <v>409</v>
      </c>
      <c r="D18" s="98" t="s">
        <v>410</v>
      </c>
      <c r="E18" s="98" t="s">
        <v>376</v>
      </c>
      <c r="F18" s="100"/>
      <c r="G18" s="100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>
      <c r="A19" s="98" t="s">
        <v>412</v>
      </c>
      <c r="B19" s="111">
        <f>B17*12+B18</f>
        <v>118.75</v>
      </c>
      <c r="C19" s="98" t="s">
        <v>409</v>
      </c>
      <c r="D19" s="98" t="s">
        <v>416</v>
      </c>
      <c r="E19" s="98" t="s">
        <v>418</v>
      </c>
      <c r="F19" s="100"/>
      <c r="G19" s="100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>
      <c r="A20" s="98" t="s">
        <v>419</v>
      </c>
      <c r="B20" s="112">
        <f>B19*0.0254</f>
        <v>3.01625</v>
      </c>
      <c r="C20" s="98" t="s">
        <v>422</v>
      </c>
      <c r="D20" s="98" t="s">
        <v>423</v>
      </c>
      <c r="E20" s="98" t="s">
        <v>418</v>
      </c>
      <c r="F20" s="100"/>
      <c r="G20" s="100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>
      <c r="A21" s="98" t="s">
        <v>425</v>
      </c>
      <c r="B21" s="105">
        <v>53.0</v>
      </c>
      <c r="C21" s="98" t="s">
        <v>404</v>
      </c>
      <c r="D21" s="98" t="s">
        <v>426</v>
      </c>
      <c r="E21" s="98" t="s">
        <v>376</v>
      </c>
      <c r="F21" s="100"/>
      <c r="G21" s="98" t="s">
        <v>378</v>
      </c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>
      <c r="A22" s="98" t="s">
        <v>427</v>
      </c>
      <c r="B22" s="114">
        <v>4.875</v>
      </c>
      <c r="C22" s="98" t="s">
        <v>409</v>
      </c>
      <c r="D22" s="98" t="s">
        <v>428</v>
      </c>
      <c r="E22" s="98" t="s">
        <v>376</v>
      </c>
      <c r="F22" s="100"/>
      <c r="G22" s="100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>
      <c r="A23" s="98" t="s">
        <v>429</v>
      </c>
      <c r="B23" s="117">
        <f>B21*12+B22</f>
        <v>640.875</v>
      </c>
      <c r="C23" s="98" t="s">
        <v>409</v>
      </c>
      <c r="D23" s="98" t="s">
        <v>431</v>
      </c>
      <c r="E23" s="98" t="s">
        <v>418</v>
      </c>
      <c r="F23" s="100"/>
      <c r="G23" s="100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>
      <c r="A24" s="98" t="s">
        <v>432</v>
      </c>
      <c r="B24" s="112">
        <f>B23*0.0254</f>
        <v>16.278225</v>
      </c>
      <c r="C24" s="98" t="s">
        <v>422</v>
      </c>
      <c r="D24" s="98" t="s">
        <v>433</v>
      </c>
      <c r="E24" s="98" t="s">
        <v>418</v>
      </c>
      <c r="F24" s="100"/>
      <c r="G24" s="100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>
      <c r="A25" s="98" t="s">
        <v>434</v>
      </c>
      <c r="B25" s="105">
        <v>7.0</v>
      </c>
      <c r="C25" s="98" t="s">
        <v>435</v>
      </c>
      <c r="D25" s="98" t="s">
        <v>436</v>
      </c>
      <c r="E25" s="98" t="s">
        <v>376</v>
      </c>
      <c r="F25" s="100"/>
      <c r="G25" s="98" t="s">
        <v>397</v>
      </c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>
      <c r="A26" s="98" t="s">
        <v>437</v>
      </c>
      <c r="B26" s="105">
        <v>16.0</v>
      </c>
      <c r="C26" s="98" t="s">
        <v>438</v>
      </c>
      <c r="D26" s="98" t="s">
        <v>439</v>
      </c>
      <c r="E26" s="98" t="s">
        <v>376</v>
      </c>
      <c r="F26" s="100"/>
      <c r="G26" s="100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>
      <c r="A27" s="98" t="s">
        <v>440</v>
      </c>
      <c r="B27" s="119">
        <f>(B25/B26)*0.0254</f>
        <v>0.0111125</v>
      </c>
      <c r="C27" s="98" t="s">
        <v>422</v>
      </c>
      <c r="D27" s="98" t="s">
        <v>441</v>
      </c>
      <c r="E27" s="98" t="s">
        <v>418</v>
      </c>
      <c r="F27" s="100"/>
      <c r="G27" s="100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>
      <c r="A28" s="98" t="s">
        <v>442</v>
      </c>
      <c r="B28" s="120">
        <v>0.1196</v>
      </c>
      <c r="C28" s="98" t="s">
        <v>409</v>
      </c>
      <c r="D28" s="98" t="s">
        <v>443</v>
      </c>
      <c r="E28" s="98" t="s">
        <v>376</v>
      </c>
      <c r="F28" s="100"/>
      <c r="G28" s="98" t="s">
        <v>444</v>
      </c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>
      <c r="A29" s="98" t="s">
        <v>445</v>
      </c>
      <c r="B29" s="119">
        <f>B28*0.0254</f>
        <v>0.00303784</v>
      </c>
      <c r="C29" s="98" t="s">
        <v>422</v>
      </c>
      <c r="D29" s="98" t="s">
        <v>446</v>
      </c>
      <c r="E29" s="98" t="s">
        <v>418</v>
      </c>
      <c r="F29" s="100"/>
      <c r="G29" s="100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>
      <c r="A30" s="98" t="s">
        <v>447</v>
      </c>
      <c r="B30" s="99">
        <v>7850.0</v>
      </c>
      <c r="C30" s="98" t="s">
        <v>448</v>
      </c>
      <c r="D30" s="98" t="s">
        <v>449</v>
      </c>
      <c r="E30" s="98" t="s">
        <v>376</v>
      </c>
      <c r="F30" s="100"/>
      <c r="G30" s="98" t="s">
        <v>450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>
      <c r="A31" s="98" t="s">
        <v>451</v>
      </c>
      <c r="B31" s="105">
        <v>50.0</v>
      </c>
      <c r="C31" s="98" t="s">
        <v>452</v>
      </c>
      <c r="D31" s="98" t="s">
        <v>453</v>
      </c>
      <c r="E31" s="98" t="s">
        <v>376</v>
      </c>
      <c r="F31" s="100"/>
      <c r="G31" s="98" t="s">
        <v>454</v>
      </c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>
      <c r="A33" s="94" t="s">
        <v>455</v>
      </c>
      <c r="B33" s="95"/>
      <c r="C33" s="95"/>
      <c r="D33" s="95"/>
      <c r="E33" s="95"/>
      <c r="F33" s="95"/>
      <c r="G33" s="95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>
      <c r="A34" s="96" t="s">
        <v>456</v>
      </c>
      <c r="B34" s="96" t="s">
        <v>365</v>
      </c>
      <c r="C34" s="96" t="s">
        <v>2</v>
      </c>
      <c r="D34" s="96" t="s">
        <v>366</v>
      </c>
      <c r="E34" s="96" t="s">
        <v>367</v>
      </c>
      <c r="F34" s="97"/>
      <c r="G34" s="96" t="s">
        <v>369</v>
      </c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>
      <c r="A35" s="98" t="s">
        <v>457</v>
      </c>
      <c r="B35" s="120">
        <v>0.1016</v>
      </c>
      <c r="C35" s="98" t="s">
        <v>458</v>
      </c>
      <c r="D35" s="98" t="s">
        <v>459</v>
      </c>
      <c r="E35" s="98" t="s">
        <v>460</v>
      </c>
      <c r="F35" s="100"/>
      <c r="G35" s="98" t="s">
        <v>461</v>
      </c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>
      <c r="A36" s="98" t="s">
        <v>462</v>
      </c>
      <c r="B36" s="122">
        <v>113.0</v>
      </c>
      <c r="C36" s="98" t="s">
        <v>448</v>
      </c>
      <c r="D36" s="98" t="s">
        <v>463</v>
      </c>
      <c r="E36" s="98" t="s">
        <v>464</v>
      </c>
      <c r="F36" s="100"/>
      <c r="G36" s="98" t="s">
        <v>465</v>
      </c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>
      <c r="A37" s="98" t="s">
        <v>466</v>
      </c>
      <c r="B37" s="123">
        <v>1.45</v>
      </c>
      <c r="C37" s="100"/>
      <c r="D37" s="98" t="s">
        <v>467</v>
      </c>
      <c r="E37" s="98" t="s">
        <v>464</v>
      </c>
      <c r="F37" s="100"/>
      <c r="G37" s="100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>
      <c r="A38" s="98" t="s">
        <v>468</v>
      </c>
      <c r="B38" s="112">
        <f>B20+2*B35</f>
        <v>3.21945</v>
      </c>
      <c r="C38" s="98" t="s">
        <v>422</v>
      </c>
      <c r="D38" s="98" t="s">
        <v>469</v>
      </c>
      <c r="E38" s="98" t="s">
        <v>418</v>
      </c>
      <c r="F38" s="100"/>
      <c r="G38" s="100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>
      <c r="A39" s="98" t="s">
        <v>470</v>
      </c>
      <c r="B39" s="122">
        <v>23.0</v>
      </c>
      <c r="C39" s="98" t="s">
        <v>471</v>
      </c>
      <c r="D39" s="98" t="s">
        <v>472</v>
      </c>
      <c r="E39" s="98" t="s">
        <v>464</v>
      </c>
      <c r="F39" s="100"/>
      <c r="G39" s="100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>
      <c r="A40" s="98" t="s">
        <v>473</v>
      </c>
      <c r="B40" s="124">
        <f>PI()*B38*B24+2*PI()*(B38/2)^2+B39</f>
        <v>203.9223123</v>
      </c>
      <c r="C40" s="98" t="s">
        <v>471</v>
      </c>
      <c r="D40" s="98" t="s">
        <v>474</v>
      </c>
      <c r="E40" s="98" t="s">
        <v>418</v>
      </c>
      <c r="F40" s="100"/>
      <c r="G40" s="100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>
      <c r="A41" s="98" t="s">
        <v>475</v>
      </c>
      <c r="B41" s="122">
        <v>350.0</v>
      </c>
      <c r="C41" s="98" t="s">
        <v>476</v>
      </c>
      <c r="D41" s="98" t="s">
        <v>477</v>
      </c>
      <c r="E41" s="98" t="s">
        <v>464</v>
      </c>
      <c r="F41" s="100"/>
      <c r="G41" s="100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>
      <c r="A42" s="98" t="s">
        <v>478</v>
      </c>
      <c r="B42" s="123">
        <v>0.5</v>
      </c>
      <c r="C42" s="98" t="s">
        <v>479</v>
      </c>
      <c r="D42" s="98" t="s">
        <v>480</v>
      </c>
      <c r="E42" s="98" t="s">
        <v>460</v>
      </c>
      <c r="F42" s="100"/>
      <c r="G42" s="100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>
      <c r="A43" s="98" t="s">
        <v>481</v>
      </c>
      <c r="B43" s="122">
        <v>50.0</v>
      </c>
      <c r="C43" s="98" t="s">
        <v>476</v>
      </c>
      <c r="D43" s="98" t="s">
        <v>482</v>
      </c>
      <c r="E43" s="98" t="s">
        <v>464</v>
      </c>
      <c r="F43" s="100"/>
      <c r="G43" s="100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>
      <c r="A44" s="98" t="s">
        <v>483</v>
      </c>
      <c r="B44" s="125">
        <v>2.0</v>
      </c>
      <c r="C44" s="98" t="s">
        <v>484</v>
      </c>
      <c r="D44" s="98" t="s">
        <v>485</v>
      </c>
      <c r="E44" s="98" t="s">
        <v>464</v>
      </c>
      <c r="F44" s="100"/>
      <c r="G44" s="98" t="s">
        <v>486</v>
      </c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>
      <c r="A46" s="94" t="s">
        <v>487</v>
      </c>
      <c r="B46" s="95"/>
      <c r="C46" s="95"/>
      <c r="D46" s="95"/>
      <c r="E46" s="95"/>
      <c r="F46" s="95"/>
      <c r="G46" s="95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>
      <c r="A47" s="93" t="s">
        <v>488</v>
      </c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>
      <c r="A48" s="96" t="s">
        <v>489</v>
      </c>
      <c r="B48" s="96" t="s">
        <v>490</v>
      </c>
      <c r="C48" s="96" t="s">
        <v>491</v>
      </c>
      <c r="D48" s="96" t="s">
        <v>492</v>
      </c>
      <c r="E48" s="96" t="s">
        <v>367</v>
      </c>
      <c r="F48" s="96" t="s">
        <v>493</v>
      </c>
      <c r="G48" s="97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>
      <c r="A49" s="98" t="s">
        <v>494</v>
      </c>
      <c r="B49" s="124">
        <f>PI()/4*((B20+2*B35)^2-B20^2)*B24*B36*B37</f>
        <v>2654.313958</v>
      </c>
      <c r="C49" s="126">
        <f>B49/B14</f>
        <v>0.0677674111</v>
      </c>
      <c r="D49" s="98" t="s">
        <v>495</v>
      </c>
      <c r="E49" s="98" t="s">
        <v>496</v>
      </c>
      <c r="F49" s="98" t="s">
        <v>497</v>
      </c>
      <c r="G49" s="100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>
      <c r="A50" s="98" t="s">
        <v>498</v>
      </c>
      <c r="B50" s="122">
        <f>B41</f>
        <v>350</v>
      </c>
      <c r="C50" s="126">
        <f>B50/B14</f>
        <v>0.008935866013</v>
      </c>
      <c r="D50" s="98" t="s">
        <v>499</v>
      </c>
      <c r="E50" s="98" t="s">
        <v>464</v>
      </c>
      <c r="F50" s="98" t="s">
        <v>500</v>
      </c>
      <c r="G50" s="100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>
      <c r="A51" s="98" t="s">
        <v>501</v>
      </c>
      <c r="B51" s="122">
        <f>B40*B42</f>
        <v>101.9611561</v>
      </c>
      <c r="C51" s="126">
        <f>B51/B14</f>
        <v>0.002603174942</v>
      </c>
      <c r="D51" s="98" t="s">
        <v>502</v>
      </c>
      <c r="E51" s="98" t="s">
        <v>496</v>
      </c>
      <c r="F51" s="98" t="s">
        <v>503</v>
      </c>
      <c r="G51" s="100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>
      <c r="A52" s="98" t="s">
        <v>504</v>
      </c>
      <c r="B52" s="122">
        <f>B43</f>
        <v>50</v>
      </c>
      <c r="C52" s="126">
        <f>B52/B14</f>
        <v>0.001276552288</v>
      </c>
      <c r="D52" s="98" t="s">
        <v>505</v>
      </c>
      <c r="E52" s="98" t="s">
        <v>464</v>
      </c>
      <c r="F52" s="98" t="s">
        <v>506</v>
      </c>
      <c r="G52" s="100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>
      <c r="A53" s="127" t="s">
        <v>507</v>
      </c>
      <c r="B53" s="128">
        <f>SUM(B49:B52)</f>
        <v>3156.275114</v>
      </c>
      <c r="C53" s="129">
        <f>B53/B14</f>
        <v>0.08058300434</v>
      </c>
      <c r="D53" s="130" t="s">
        <v>508</v>
      </c>
      <c r="E53" s="131"/>
      <c r="F53" s="131"/>
      <c r="G53" s="131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>
      <c r="A54" s="127" t="s">
        <v>509</v>
      </c>
      <c r="B54" s="132">
        <f>B14-B53</f>
        <v>36011.72489</v>
      </c>
      <c r="C54" s="129">
        <f>B54/B14</f>
        <v>0.9194169957</v>
      </c>
      <c r="D54" s="130" t="s">
        <v>510</v>
      </c>
      <c r="E54" s="130" t="s">
        <v>511</v>
      </c>
      <c r="F54" s="130" t="s">
        <v>512</v>
      </c>
      <c r="G54" s="131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>
      <c r="A55" s="127" t="s">
        <v>513</v>
      </c>
      <c r="B55" s="128">
        <f>B54+B53</f>
        <v>39168</v>
      </c>
      <c r="C55" s="129">
        <f>B55/B14</f>
        <v>1</v>
      </c>
      <c r="D55" s="131"/>
      <c r="E55" s="131"/>
      <c r="F55" s="131"/>
      <c r="G55" s="131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>
      <c r="A56" s="92" t="s">
        <v>514</v>
      </c>
      <c r="B56" s="133">
        <f>B14-B55</f>
        <v>0</v>
      </c>
      <c r="C56" s="86"/>
      <c r="D56" s="92" t="s">
        <v>515</v>
      </c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>
      <c r="A58" s="94" t="s">
        <v>516</v>
      </c>
      <c r="B58" s="95"/>
      <c r="C58" s="95"/>
      <c r="D58" s="95"/>
      <c r="E58" s="95"/>
      <c r="F58" s="95"/>
      <c r="G58" s="95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>
      <c r="A59" s="134" t="s">
        <v>517</v>
      </c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>
      <c r="A60" s="96" t="s">
        <v>518</v>
      </c>
      <c r="B60" s="96" t="s">
        <v>519</v>
      </c>
      <c r="C60" s="96" t="s">
        <v>520</v>
      </c>
      <c r="D60" s="96" t="s">
        <v>521</v>
      </c>
      <c r="E60" s="96" t="s">
        <v>522</v>
      </c>
      <c r="F60" s="97"/>
      <c r="G60" s="96" t="s">
        <v>369</v>
      </c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>
      <c r="A61" s="135" t="s">
        <v>523</v>
      </c>
      <c r="B61" s="136">
        <v>1408.8</v>
      </c>
      <c r="C61" s="135" t="s">
        <v>524</v>
      </c>
      <c r="D61" s="137">
        <f t="shared" ref="D61:D65" si="1">B61*2.20462/1000</f>
        <v>3.105868656</v>
      </c>
      <c r="E61" s="135" t="s">
        <v>525</v>
      </c>
      <c r="F61" s="100"/>
      <c r="G61" s="98" t="s">
        <v>526</v>
      </c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>
      <c r="A62" s="135" t="s">
        <v>527</v>
      </c>
      <c r="B62" s="136">
        <v>292.68</v>
      </c>
      <c r="C62" s="135" t="s">
        <v>524</v>
      </c>
      <c r="D62" s="137">
        <f t="shared" si="1"/>
        <v>0.6452481816</v>
      </c>
      <c r="E62" s="135" t="s">
        <v>528</v>
      </c>
      <c r="F62" s="100"/>
      <c r="G62" s="98" t="s">
        <v>526</v>
      </c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>
      <c r="A63" s="135" t="s">
        <v>529</v>
      </c>
      <c r="B63" s="136">
        <v>1742.3</v>
      </c>
      <c r="C63" s="135" t="s">
        <v>524</v>
      </c>
      <c r="D63" s="137">
        <f t="shared" si="1"/>
        <v>3.841109426</v>
      </c>
      <c r="E63" s="135" t="s">
        <v>530</v>
      </c>
      <c r="F63" s="100"/>
      <c r="G63" s="98" t="s">
        <v>526</v>
      </c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>
      <c r="A64" s="135" t="s">
        <v>531</v>
      </c>
      <c r="B64" s="136">
        <v>1062.57</v>
      </c>
      <c r="C64" s="135" t="s">
        <v>524</v>
      </c>
      <c r="D64" s="137">
        <f t="shared" si="1"/>
        <v>2.342563073</v>
      </c>
      <c r="E64" s="135" t="s">
        <v>532</v>
      </c>
      <c r="F64" s="100"/>
      <c r="G64" s="98" t="s">
        <v>526</v>
      </c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>
      <c r="A65" s="135" t="s">
        <v>533</v>
      </c>
      <c r="B65" s="136">
        <v>1686.16</v>
      </c>
      <c r="C65" s="135" t="s">
        <v>524</v>
      </c>
      <c r="D65" s="137">
        <f t="shared" si="1"/>
        <v>3.717342059</v>
      </c>
      <c r="E65" s="135" t="s">
        <v>534</v>
      </c>
      <c r="F65" s="100"/>
      <c r="G65" s="98" t="s">
        <v>526</v>
      </c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>
      <c r="A66" s="135" t="s">
        <v>535</v>
      </c>
      <c r="B66" s="136">
        <v>0.96</v>
      </c>
      <c r="C66" s="135" t="s">
        <v>536</v>
      </c>
      <c r="D66" s="137">
        <f>B66</f>
        <v>0.96</v>
      </c>
      <c r="E66" s="135" t="s">
        <v>537</v>
      </c>
      <c r="F66" s="100"/>
      <c r="G66" s="98" t="s">
        <v>526</v>
      </c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>
      <c r="A68" s="115" t="s">
        <v>538</v>
      </c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>
      <c r="A69" s="96" t="s">
        <v>539</v>
      </c>
      <c r="B69" s="96" t="s">
        <v>365</v>
      </c>
      <c r="C69" s="96" t="s">
        <v>2</v>
      </c>
      <c r="D69" s="96" t="s">
        <v>8</v>
      </c>
      <c r="E69" s="97"/>
      <c r="F69" s="97"/>
      <c r="G69" s="96" t="s">
        <v>369</v>
      </c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>
      <c r="A70" s="98" t="s">
        <v>540</v>
      </c>
      <c r="B70" s="107">
        <v>0.33</v>
      </c>
      <c r="C70" s="98" t="s">
        <v>536</v>
      </c>
      <c r="D70" s="98" t="s">
        <v>541</v>
      </c>
      <c r="E70" s="100"/>
      <c r="F70" s="100"/>
      <c r="G70" s="98" t="s">
        <v>542</v>
      </c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>
      <c r="A71" s="98" t="s">
        <v>543</v>
      </c>
      <c r="B71" s="111">
        <f>1-B70</f>
        <v>0.67</v>
      </c>
      <c r="C71" s="98" t="s">
        <v>536</v>
      </c>
      <c r="D71" s="98" t="s">
        <v>544</v>
      </c>
      <c r="E71" s="100"/>
      <c r="F71" s="100"/>
      <c r="G71" s="100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>
      <c r="A72" s="98" t="s">
        <v>545</v>
      </c>
      <c r="B72" s="107">
        <v>0.7</v>
      </c>
      <c r="C72" s="98" t="s">
        <v>536</v>
      </c>
      <c r="D72" s="98" t="s">
        <v>546</v>
      </c>
      <c r="E72" s="100"/>
      <c r="F72" s="100"/>
      <c r="G72" s="98" t="s">
        <v>547</v>
      </c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>
      <c r="A73" s="98" t="s">
        <v>548</v>
      </c>
      <c r="B73" s="111">
        <f>1-B72</f>
        <v>0.3</v>
      </c>
      <c r="C73" s="98" t="s">
        <v>536</v>
      </c>
      <c r="D73" s="98" t="s">
        <v>549</v>
      </c>
      <c r="E73" s="100"/>
      <c r="F73" s="100"/>
      <c r="G73" s="100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>
      <c r="A74" s="98" t="s">
        <v>550</v>
      </c>
      <c r="B74" s="114">
        <v>0.367</v>
      </c>
      <c r="C74" s="98" t="s">
        <v>551</v>
      </c>
      <c r="D74" s="98" t="s">
        <v>552</v>
      </c>
      <c r="E74" s="100"/>
      <c r="F74" s="100"/>
      <c r="G74" s="98" t="s">
        <v>553</v>
      </c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>
      <c r="A75" s="98" t="s">
        <v>554</v>
      </c>
      <c r="B75" s="138">
        <f>B74*277.78/1000</f>
        <v>0.10194526</v>
      </c>
      <c r="C75" s="98" t="s">
        <v>555</v>
      </c>
      <c r="D75" s="98" t="s">
        <v>556</v>
      </c>
      <c r="E75" s="100"/>
      <c r="F75" s="100"/>
      <c r="G75" s="100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>
      <c r="A77" s="115" t="s">
        <v>557</v>
      </c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>
      <c r="A78" s="96" t="s">
        <v>489</v>
      </c>
      <c r="B78" s="96" t="s">
        <v>558</v>
      </c>
      <c r="C78" s="96" t="s">
        <v>559</v>
      </c>
      <c r="D78" s="96" t="s">
        <v>560</v>
      </c>
      <c r="E78" s="96" t="s">
        <v>284</v>
      </c>
      <c r="F78" s="97"/>
      <c r="G78" s="97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>
      <c r="A79" s="98" t="s">
        <v>561</v>
      </c>
      <c r="B79" s="138">
        <f>B70*D61+B71*D62</f>
        <v>1.457252938</v>
      </c>
      <c r="C79" s="98" t="s">
        <v>562</v>
      </c>
      <c r="D79" s="98" t="s">
        <v>563</v>
      </c>
      <c r="E79" s="100"/>
      <c r="F79" s="100"/>
      <c r="G79" s="100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>
      <c r="A80" s="98" t="s">
        <v>564</v>
      </c>
      <c r="B80" s="139">
        <v>1.25</v>
      </c>
      <c r="C80" s="98" t="s">
        <v>565</v>
      </c>
      <c r="D80" s="98" t="s">
        <v>566</v>
      </c>
      <c r="E80" s="100"/>
      <c r="F80" s="100"/>
      <c r="G80" s="100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>
      <c r="A81" s="98" t="s">
        <v>567</v>
      </c>
      <c r="B81" s="138">
        <f>B72*D63+B73*D64</f>
        <v>3.39154552</v>
      </c>
      <c r="C81" s="98" t="s">
        <v>568</v>
      </c>
      <c r="D81" s="98" t="s">
        <v>569</v>
      </c>
      <c r="E81" s="100"/>
      <c r="F81" s="100"/>
      <c r="G81" s="100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>
      <c r="A82" s="98" t="s">
        <v>570</v>
      </c>
      <c r="B82" s="139">
        <v>2.152</v>
      </c>
      <c r="C82" s="98" t="s">
        <v>571</v>
      </c>
      <c r="D82" s="98" t="s">
        <v>572</v>
      </c>
      <c r="E82" s="100"/>
      <c r="F82" s="100"/>
      <c r="G82" s="100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>
      <c r="A83" s="98" t="s">
        <v>533</v>
      </c>
      <c r="B83" s="137">
        <f>D65</f>
        <v>3.717342059</v>
      </c>
      <c r="C83" s="98" t="s">
        <v>573</v>
      </c>
      <c r="D83" s="98" t="s">
        <v>574</v>
      </c>
      <c r="E83" s="100"/>
      <c r="F83" s="100"/>
      <c r="G83" s="100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>
      <c r="A84" s="98" t="s">
        <v>575</v>
      </c>
      <c r="B84" s="138">
        <f>B44*B75</f>
        <v>0.20389052</v>
      </c>
      <c r="C84" s="98" t="s">
        <v>576</v>
      </c>
      <c r="D84" s="98" t="s">
        <v>577</v>
      </c>
      <c r="E84" s="100"/>
      <c r="F84" s="100"/>
      <c r="G84" s="100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>
      <c r="A86" s="94" t="s">
        <v>578</v>
      </c>
      <c r="B86" s="95"/>
      <c r="C86" s="95"/>
      <c r="D86" s="95"/>
      <c r="E86" s="95"/>
      <c r="F86" s="95"/>
      <c r="G86" s="95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>
      <c r="A87" s="96" t="s">
        <v>489</v>
      </c>
      <c r="B87" s="96" t="s">
        <v>490</v>
      </c>
      <c r="C87" s="96" t="s">
        <v>558</v>
      </c>
      <c r="D87" s="96" t="s">
        <v>579</v>
      </c>
      <c r="E87" s="96" t="s">
        <v>580</v>
      </c>
      <c r="F87" s="96" t="s">
        <v>581</v>
      </c>
      <c r="G87" s="97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>
      <c r="A88" s="98" t="s">
        <v>582</v>
      </c>
      <c r="B88" s="124">
        <f>B54</f>
        <v>36011.72489</v>
      </c>
      <c r="C88" s="138">
        <f t="shared" ref="C88:C93" si="2">B79</f>
        <v>1.457252938</v>
      </c>
      <c r="D88" s="140">
        <f t="shared" ref="D88:D93" si="3">B88*C88</f>
        <v>52478.1919</v>
      </c>
      <c r="E88" s="117">
        <f t="shared" ref="E88:E94" si="4">D88/1000</f>
        <v>52.4781919</v>
      </c>
      <c r="F88" s="126">
        <f>D88/D94</f>
        <v>0.8027330968</v>
      </c>
      <c r="G88" s="100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>
      <c r="A89" s="98" t="s">
        <v>583</v>
      </c>
      <c r="B89" s="124">
        <f t="shared" ref="B89:B92" si="5">B49</f>
        <v>2654.313958</v>
      </c>
      <c r="C89" s="138">
        <f t="shared" si="2"/>
        <v>1.25</v>
      </c>
      <c r="D89" s="140">
        <f t="shared" si="3"/>
        <v>3317.892447</v>
      </c>
      <c r="E89" s="117">
        <f t="shared" si="4"/>
        <v>3.317892447</v>
      </c>
      <c r="F89" s="126">
        <f>D89/D94</f>
        <v>0.05075216929</v>
      </c>
      <c r="G89" s="100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>
      <c r="A90" s="98" t="s">
        <v>584</v>
      </c>
      <c r="B90" s="124">
        <f t="shared" si="5"/>
        <v>350</v>
      </c>
      <c r="C90" s="138">
        <f t="shared" si="2"/>
        <v>3.39154552</v>
      </c>
      <c r="D90" s="140">
        <f t="shared" si="3"/>
        <v>1187.040932</v>
      </c>
      <c r="E90" s="117">
        <f t="shared" si="4"/>
        <v>1.187040932</v>
      </c>
      <c r="F90" s="126">
        <f>D90/D94</f>
        <v>0.01815758145</v>
      </c>
      <c r="G90" s="100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>
      <c r="A91" s="98" t="s">
        <v>585</v>
      </c>
      <c r="B91" s="124">
        <f t="shared" si="5"/>
        <v>101.9611561</v>
      </c>
      <c r="C91" s="138">
        <f t="shared" si="2"/>
        <v>2.152</v>
      </c>
      <c r="D91" s="140">
        <f t="shared" si="3"/>
        <v>219.420408</v>
      </c>
      <c r="E91" s="117">
        <f t="shared" si="4"/>
        <v>0.219420408</v>
      </c>
      <c r="F91" s="126">
        <f>D91/D94</f>
        <v>0.003356366088</v>
      </c>
      <c r="G91" s="100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>
      <c r="A92" s="98" t="s">
        <v>586</v>
      </c>
      <c r="B92" s="124">
        <f t="shared" si="5"/>
        <v>50</v>
      </c>
      <c r="C92" s="138">
        <f t="shared" si="2"/>
        <v>3.717342059</v>
      </c>
      <c r="D92" s="140">
        <f t="shared" si="3"/>
        <v>185.867103</v>
      </c>
      <c r="E92" s="117">
        <f t="shared" si="4"/>
        <v>0.185867103</v>
      </c>
      <c r="F92" s="126">
        <f>D92/D94</f>
        <v>0.002843117679</v>
      </c>
      <c r="G92" s="100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>
      <c r="A93" s="98" t="s">
        <v>587</v>
      </c>
      <c r="B93" s="124">
        <f>B14</f>
        <v>39168</v>
      </c>
      <c r="C93" s="138">
        <f t="shared" si="2"/>
        <v>0.20389052</v>
      </c>
      <c r="D93" s="140">
        <f t="shared" si="3"/>
        <v>7985.983887</v>
      </c>
      <c r="E93" s="117">
        <f t="shared" si="4"/>
        <v>7.985983887</v>
      </c>
      <c r="F93" s="126">
        <f>D93/D94</f>
        <v>0.1221576687</v>
      </c>
      <c r="G93" s="100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>
      <c r="A94" s="127" t="s">
        <v>588</v>
      </c>
      <c r="B94" s="131"/>
      <c r="C94" s="131"/>
      <c r="D94" s="141">
        <f>SUM(D88:D93)</f>
        <v>65374.39668</v>
      </c>
      <c r="E94" s="142">
        <f t="shared" si="4"/>
        <v>65.37439668</v>
      </c>
      <c r="F94" s="131"/>
      <c r="G94" s="131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>
      <c r="A96" s="94" t="s">
        <v>589</v>
      </c>
      <c r="B96" s="95"/>
      <c r="C96" s="95"/>
      <c r="D96" s="95"/>
      <c r="E96" s="95"/>
      <c r="F96" s="95"/>
      <c r="G96" s="95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>
      <c r="A97" s="96" t="s">
        <v>364</v>
      </c>
      <c r="B97" s="96" t="s">
        <v>365</v>
      </c>
      <c r="C97" s="96" t="s">
        <v>2</v>
      </c>
      <c r="D97" s="96" t="s">
        <v>284</v>
      </c>
      <c r="E97" s="97"/>
      <c r="F97" s="97"/>
      <c r="G97" s="97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>
      <c r="A98" s="98" t="s">
        <v>590</v>
      </c>
      <c r="B98" s="143" t="s">
        <v>591</v>
      </c>
      <c r="C98" s="100"/>
      <c r="D98" s="98" t="s">
        <v>592</v>
      </c>
      <c r="E98" s="144"/>
      <c r="F98" s="144"/>
      <c r="G98" s="144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>
      <c r="A99" s="98" t="s">
        <v>593</v>
      </c>
      <c r="B99" s="117">
        <v>0.0</v>
      </c>
      <c r="C99" s="98" t="s">
        <v>594</v>
      </c>
      <c r="D99" s="98" t="s">
        <v>595</v>
      </c>
      <c r="E99" s="100"/>
      <c r="F99" s="100"/>
      <c r="G99" s="100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>
      <c r="A100" s="98" t="s">
        <v>596</v>
      </c>
      <c r="B100" s="98" t="s">
        <v>597</v>
      </c>
      <c r="C100" s="100"/>
      <c r="D100" s="98" t="s">
        <v>598</v>
      </c>
      <c r="E100" s="144"/>
      <c r="F100" s="144"/>
      <c r="G100" s="144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>
      <c r="A102" s="145" t="s">
        <v>599</v>
      </c>
      <c r="B102" s="146">
        <f>E94</f>
        <v>65.37439668</v>
      </c>
      <c r="C102" s="145" t="s">
        <v>594</v>
      </c>
      <c r="D102" s="147" t="s">
        <v>600</v>
      </c>
      <c r="E102" s="148"/>
      <c r="F102" s="148"/>
      <c r="G102" s="148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>
      <c r="A103" s="147" t="s">
        <v>601</v>
      </c>
      <c r="B103" s="149">
        <f>E94</f>
        <v>65.37439668</v>
      </c>
      <c r="C103" s="150" t="s">
        <v>594</v>
      </c>
      <c r="D103" s="148"/>
      <c r="E103" s="148"/>
      <c r="F103" s="148"/>
      <c r="G103" s="148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</row>
    <row r="222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</row>
    <row r="223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</row>
    <row r="224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</row>
    <row r="225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</row>
    <row r="226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</row>
    <row r="227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</row>
    <row r="228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</row>
    <row r="229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</row>
    <row r="230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</row>
    <row r="23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</row>
    <row r="232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</row>
    <row r="233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</row>
    <row r="234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</row>
    <row r="235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</row>
    <row r="236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</row>
    <row r="237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</row>
    <row r="238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</row>
    <row r="239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</row>
    <row r="240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</row>
    <row r="24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</row>
    <row r="242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</row>
    <row r="243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</row>
    <row r="244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</row>
    <row r="245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</row>
    <row r="246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</row>
    <row r="247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</row>
    <row r="248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</row>
    <row r="249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</row>
    <row r="250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</row>
    <row r="25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</row>
    <row r="252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</row>
    <row r="253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</row>
    <row r="254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</row>
    <row r="255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</row>
    <row r="256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</row>
    <row r="257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</row>
    <row r="258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</row>
    <row r="259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</row>
    <row r="260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</row>
    <row r="26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</row>
    <row r="262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</row>
    <row r="263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</row>
    <row r="264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</row>
    <row r="265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</row>
    <row r="266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</row>
    <row r="267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</row>
    <row r="268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</row>
    <row r="269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</row>
    <row r="270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</row>
    <row r="27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</row>
    <row r="272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</row>
    <row r="273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</row>
    <row r="274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</row>
    <row r="275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</row>
    <row r="276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</row>
    <row r="277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</row>
    <row r="278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</row>
    <row r="279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</row>
    <row r="280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</row>
    <row r="28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</row>
    <row r="282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</row>
    <row r="283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</row>
    <row r="284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</row>
    <row r="285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</row>
    <row r="286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</row>
    <row r="287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</row>
    <row r="288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</row>
    <row r="289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</row>
    <row r="290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</row>
    <row r="29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</row>
    <row r="292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</row>
    <row r="293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</row>
    <row r="294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</row>
    <row r="295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</row>
    <row r="296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</row>
    <row r="297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</row>
    <row r="298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</row>
    <row r="299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</row>
    <row r="300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</row>
    <row r="30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</row>
    <row r="302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</row>
    <row r="303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</row>
    <row r="304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</row>
    <row r="305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</row>
    <row r="306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</row>
    <row r="307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</row>
    <row r="308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</row>
    <row r="309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</row>
    <row r="310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</row>
    <row r="31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</row>
    <row r="312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</row>
    <row r="313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</row>
    <row r="314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</row>
    <row r="315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</row>
    <row r="316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</row>
    <row r="317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</row>
    <row r="318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</row>
    <row r="319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</row>
    <row r="320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</row>
    <row r="32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</row>
    <row r="322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</row>
    <row r="323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</row>
    <row r="324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</row>
    <row r="325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</row>
    <row r="326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</row>
    <row r="327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</row>
    <row r="328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</row>
    <row r="329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</row>
    <row r="330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</row>
    <row r="33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</row>
    <row r="332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</row>
    <row r="333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</row>
    <row r="334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</row>
    <row r="335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</row>
    <row r="336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</row>
    <row r="337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</row>
    <row r="338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</row>
    <row r="339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</row>
    <row r="340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</row>
    <row r="34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</row>
    <row r="342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</row>
    <row r="343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</row>
    <row r="344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</row>
    <row r="345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</row>
    <row r="346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</row>
    <row r="347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</row>
    <row r="348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</row>
    <row r="349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</row>
    <row r="350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</row>
    <row r="35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</row>
    <row r="352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</row>
    <row r="353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</row>
    <row r="354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</row>
    <row r="355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</row>
    <row r="356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</row>
    <row r="357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</row>
    <row r="358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</row>
    <row r="359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</row>
    <row r="360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</row>
    <row r="36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</row>
    <row r="362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</row>
    <row r="363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</row>
    <row r="364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</row>
    <row r="365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</row>
    <row r="366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</row>
    <row r="367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</row>
    <row r="368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</row>
    <row r="369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</row>
    <row r="370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</row>
    <row r="37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</row>
    <row r="372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</row>
    <row r="373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</row>
    <row r="374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</row>
    <row r="375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</row>
    <row r="376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</row>
    <row r="377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</row>
    <row r="378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</row>
    <row r="379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</row>
    <row r="380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</row>
    <row r="38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</row>
    <row r="382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</row>
    <row r="383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</row>
    <row r="384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</row>
    <row r="385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</row>
    <row r="386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</row>
    <row r="387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</row>
    <row r="388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</row>
    <row r="389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</row>
    <row r="390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</row>
    <row r="39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</row>
    <row r="392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</row>
    <row r="393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</row>
    <row r="394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</row>
    <row r="395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</row>
    <row r="396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</row>
    <row r="397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</row>
    <row r="398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</row>
    <row r="399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</row>
    <row r="400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</row>
    <row r="40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</row>
    <row r="402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</row>
    <row r="403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</row>
    <row r="404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</row>
    <row r="405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</row>
    <row r="406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</row>
    <row r="407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</row>
    <row r="408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</row>
    <row r="409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</row>
    <row r="410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</row>
    <row r="41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</row>
    <row r="412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</row>
    <row r="413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</row>
    <row r="414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</row>
    <row r="415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</row>
    <row r="416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</row>
    <row r="417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</row>
    <row r="418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</row>
    <row r="419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</row>
    <row r="420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</row>
    <row r="42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</row>
    <row r="422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</row>
    <row r="423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</row>
    <row r="424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</row>
    <row r="425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</row>
    <row r="426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</row>
    <row r="427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</row>
    <row r="428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</row>
    <row r="429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</row>
    <row r="430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</row>
    <row r="43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</row>
    <row r="432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</row>
    <row r="433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</row>
    <row r="434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</row>
    <row r="435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</row>
    <row r="436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</row>
    <row r="437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</row>
    <row r="438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</row>
    <row r="439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</row>
    <row r="440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</row>
    <row r="44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</row>
    <row r="442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</row>
    <row r="443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</row>
    <row r="444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</row>
    <row r="445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</row>
    <row r="446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</row>
    <row r="447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</row>
    <row r="448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</row>
    <row r="449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</row>
    <row r="450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</row>
    <row r="45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</row>
    <row r="452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</row>
    <row r="453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</row>
    <row r="454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</row>
    <row r="455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</row>
    <row r="456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</row>
    <row r="457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</row>
    <row r="458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</row>
    <row r="459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</row>
    <row r="460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</row>
    <row r="46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</row>
    <row r="462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</row>
    <row r="463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</row>
    <row r="464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</row>
    <row r="465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</row>
    <row r="466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</row>
    <row r="467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</row>
    <row r="468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</row>
    <row r="469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</row>
    <row r="470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</row>
    <row r="47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</row>
    <row r="472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</row>
    <row r="473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</row>
    <row r="474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</row>
    <row r="475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</row>
    <row r="476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</row>
    <row r="477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</row>
    <row r="478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</row>
    <row r="479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</row>
    <row r="480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</row>
    <row r="48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</row>
    <row r="482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</row>
    <row r="483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</row>
    <row r="484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</row>
    <row r="485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</row>
    <row r="486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</row>
    <row r="487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</row>
    <row r="488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</row>
    <row r="489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</row>
    <row r="490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</row>
    <row r="49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</row>
    <row r="492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</row>
    <row r="493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</row>
    <row r="494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</row>
    <row r="495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</row>
    <row r="496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</row>
    <row r="497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</row>
    <row r="498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</row>
    <row r="499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</row>
    <row r="500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</row>
    <row r="50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</row>
    <row r="502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</row>
    <row r="503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</row>
    <row r="504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</row>
    <row r="505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</row>
    <row r="506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</row>
    <row r="507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</row>
    <row r="508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</row>
    <row r="509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</row>
    <row r="510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</row>
    <row r="51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</row>
    <row r="512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</row>
    <row r="513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</row>
    <row r="514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</row>
    <row r="515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</row>
    <row r="516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</row>
    <row r="517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</row>
    <row r="518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</row>
    <row r="519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</row>
    <row r="520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</row>
    <row r="52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</row>
    <row r="522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</row>
    <row r="523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</row>
    <row r="524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</row>
    <row r="525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</row>
    <row r="526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</row>
    <row r="527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</row>
    <row r="528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</row>
    <row r="529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</row>
    <row r="530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</row>
    <row r="53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</row>
    <row r="532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</row>
    <row r="533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</row>
    <row r="534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</row>
    <row r="535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</row>
    <row r="536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</row>
    <row r="537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</row>
    <row r="538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</row>
    <row r="539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</row>
    <row r="540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</row>
    <row r="54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</row>
    <row r="542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</row>
    <row r="543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</row>
    <row r="544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</row>
    <row r="545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</row>
    <row r="546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</row>
    <row r="547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</row>
    <row r="548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</row>
    <row r="549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</row>
    <row r="550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</row>
    <row r="55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</row>
    <row r="552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</row>
    <row r="553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</row>
    <row r="554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</row>
    <row r="555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</row>
    <row r="556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</row>
    <row r="557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</row>
    <row r="558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</row>
    <row r="559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</row>
    <row r="560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</row>
    <row r="56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</row>
    <row r="562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</row>
    <row r="563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</row>
    <row r="564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</row>
    <row r="565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</row>
    <row r="566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</row>
    <row r="567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</row>
    <row r="568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</row>
    <row r="569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</row>
    <row r="570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</row>
    <row r="57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</row>
    <row r="572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</row>
    <row r="573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</row>
    <row r="574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</row>
    <row r="575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</row>
    <row r="576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</row>
    <row r="577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</row>
    <row r="578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</row>
    <row r="579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</row>
    <row r="580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</row>
    <row r="58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</row>
    <row r="582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</row>
    <row r="583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</row>
    <row r="584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</row>
    <row r="585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</row>
    <row r="586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</row>
    <row r="587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</row>
    <row r="588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</row>
    <row r="589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</row>
    <row r="590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</row>
    <row r="59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</row>
    <row r="592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</row>
    <row r="593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</row>
    <row r="594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</row>
    <row r="595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</row>
    <row r="596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</row>
    <row r="597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</row>
    <row r="598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</row>
    <row r="599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</row>
    <row r="600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</row>
    <row r="60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</row>
    <row r="602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</row>
    <row r="603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</row>
    <row r="604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</row>
    <row r="605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</row>
    <row r="606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</row>
    <row r="607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</row>
    <row r="608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</row>
    <row r="609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</row>
    <row r="610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</row>
    <row r="61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</row>
    <row r="612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</row>
    <row r="613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</row>
    <row r="614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</row>
    <row r="615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</row>
    <row r="616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</row>
    <row r="617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</row>
    <row r="618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</row>
    <row r="619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</row>
    <row r="620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</row>
    <row r="62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</row>
    <row r="622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</row>
    <row r="623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</row>
    <row r="624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</row>
    <row r="625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</row>
    <row r="626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</row>
    <row r="627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</row>
    <row r="628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</row>
    <row r="629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</row>
    <row r="630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</row>
    <row r="63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</row>
    <row r="632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</row>
    <row r="633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</row>
    <row r="634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</row>
    <row r="635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</row>
    <row r="636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</row>
    <row r="637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</row>
    <row r="638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</row>
    <row r="639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</row>
    <row r="640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</row>
    <row r="64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</row>
    <row r="642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</row>
    <row r="643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</row>
    <row r="644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</row>
    <row r="645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</row>
    <row r="646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</row>
    <row r="647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</row>
    <row r="648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</row>
    <row r="649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</row>
    <row r="650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</row>
    <row r="65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</row>
    <row r="652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</row>
    <row r="653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</row>
    <row r="654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</row>
    <row r="655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</row>
    <row r="656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</row>
    <row r="657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</row>
    <row r="658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</row>
    <row r="659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</row>
    <row r="660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</row>
    <row r="66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</row>
    <row r="662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</row>
    <row r="663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</row>
    <row r="664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</row>
    <row r="665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</row>
    <row r="666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</row>
    <row r="667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</row>
    <row r="668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</row>
    <row r="669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</row>
    <row r="670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</row>
    <row r="67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</row>
    <row r="672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</row>
    <row r="673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</row>
    <row r="674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</row>
    <row r="675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</row>
    <row r="676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</row>
    <row r="677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</row>
    <row r="678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</row>
    <row r="679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</row>
    <row r="680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</row>
    <row r="68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</row>
    <row r="682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</row>
    <row r="683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</row>
    <row r="684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</row>
    <row r="685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</row>
    <row r="686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</row>
    <row r="687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</row>
    <row r="688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</row>
    <row r="689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</row>
    <row r="690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</row>
    <row r="69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</row>
    <row r="692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</row>
    <row r="693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</row>
    <row r="694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</row>
    <row r="695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</row>
    <row r="696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</row>
    <row r="697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</row>
    <row r="698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</row>
    <row r="699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</row>
    <row r="700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</row>
    <row r="70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</row>
    <row r="702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</row>
    <row r="703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</row>
    <row r="704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</row>
    <row r="705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</row>
    <row r="706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</row>
    <row r="707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</row>
    <row r="708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</row>
    <row r="709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</row>
    <row r="710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</row>
    <row r="71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</row>
    <row r="712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</row>
    <row r="713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</row>
    <row r="714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</row>
    <row r="715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</row>
    <row r="716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</row>
    <row r="717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</row>
    <row r="718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</row>
    <row r="719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</row>
    <row r="720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</row>
    <row r="72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</row>
    <row r="722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</row>
    <row r="723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</row>
    <row r="724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</row>
    <row r="725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</row>
    <row r="726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</row>
    <row r="727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</row>
    <row r="728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</row>
    <row r="729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</row>
    <row r="730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</row>
    <row r="73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</row>
    <row r="732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</row>
    <row r="733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</row>
    <row r="734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</row>
    <row r="735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</row>
    <row r="736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</row>
    <row r="737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</row>
    <row r="738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</row>
    <row r="739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</row>
    <row r="740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</row>
    <row r="74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</row>
    <row r="742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</row>
    <row r="743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</row>
    <row r="744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</row>
    <row r="745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</row>
    <row r="746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</row>
    <row r="747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</row>
    <row r="748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</row>
    <row r="749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</row>
    <row r="750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</row>
    <row r="75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</row>
    <row r="752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</row>
    <row r="753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</row>
    <row r="754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</row>
    <row r="755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</row>
    <row r="756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</row>
    <row r="757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</row>
    <row r="758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</row>
    <row r="759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</row>
    <row r="760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</row>
    <row r="76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</row>
    <row r="762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</row>
    <row r="763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</row>
    <row r="764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</row>
    <row r="765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</row>
    <row r="766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</row>
    <row r="767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</row>
    <row r="768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</row>
    <row r="769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</row>
    <row r="770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</row>
    <row r="77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</row>
    <row r="772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</row>
    <row r="773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</row>
    <row r="774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</row>
    <row r="775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</row>
    <row r="776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</row>
    <row r="777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</row>
    <row r="778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</row>
    <row r="779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</row>
    <row r="780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</row>
    <row r="78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</row>
    <row r="782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</row>
    <row r="783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</row>
    <row r="784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</row>
    <row r="785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</row>
    <row r="786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</row>
    <row r="787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</row>
    <row r="788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</row>
    <row r="789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</row>
    <row r="790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</row>
    <row r="79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</row>
    <row r="792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</row>
    <row r="793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</row>
    <row r="794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</row>
    <row r="795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</row>
    <row r="796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</row>
    <row r="797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</row>
    <row r="798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</row>
    <row r="799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</row>
    <row r="800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</row>
    <row r="80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</row>
    <row r="802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</row>
    <row r="803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</row>
    <row r="804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</row>
    <row r="805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</row>
    <row r="806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</row>
    <row r="807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</row>
    <row r="808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</row>
    <row r="809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</row>
    <row r="810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</row>
    <row r="81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</row>
    <row r="812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</row>
    <row r="813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</row>
    <row r="814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</row>
    <row r="815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</row>
    <row r="816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</row>
    <row r="817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</row>
    <row r="818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</row>
    <row r="819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</row>
    <row r="820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</row>
    <row r="82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</row>
    <row r="822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</row>
    <row r="823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</row>
    <row r="824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</row>
    <row r="825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</row>
    <row r="826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</row>
    <row r="827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</row>
    <row r="828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</row>
    <row r="829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</row>
    <row r="830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</row>
    <row r="83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</row>
    <row r="832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</row>
    <row r="833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</row>
    <row r="834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</row>
    <row r="835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</row>
    <row r="836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</row>
    <row r="837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</row>
    <row r="838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</row>
    <row r="839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</row>
    <row r="840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</row>
    <row r="84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</row>
    <row r="842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</row>
    <row r="843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</row>
    <row r="844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</row>
    <row r="845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</row>
    <row r="846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</row>
    <row r="847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</row>
    <row r="848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</row>
    <row r="849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</row>
    <row r="850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</row>
    <row r="85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</row>
    <row r="852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</row>
    <row r="853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</row>
    <row r="854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</row>
    <row r="855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</row>
    <row r="856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</row>
    <row r="857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</row>
    <row r="858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</row>
    <row r="859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</row>
    <row r="860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</row>
    <row r="86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</row>
    <row r="862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</row>
    <row r="863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</row>
    <row r="864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</row>
    <row r="865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</row>
    <row r="866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</row>
    <row r="867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</row>
    <row r="868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</row>
    <row r="869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</row>
    <row r="870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</row>
    <row r="87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</row>
    <row r="872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</row>
    <row r="873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</row>
    <row r="874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</row>
    <row r="875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</row>
    <row r="876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</row>
    <row r="877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</row>
    <row r="878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</row>
    <row r="879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</row>
    <row r="880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</row>
    <row r="88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</row>
    <row r="882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</row>
    <row r="883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</row>
    <row r="884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</row>
    <row r="885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</row>
    <row r="886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</row>
    <row r="887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</row>
    <row r="888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</row>
    <row r="889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</row>
    <row r="890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</row>
    <row r="89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</row>
    <row r="892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</row>
    <row r="893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</row>
    <row r="894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</row>
    <row r="895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</row>
    <row r="896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</row>
    <row r="897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</row>
    <row r="898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</row>
    <row r="899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</row>
    <row r="900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</row>
    <row r="90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</row>
    <row r="902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</row>
    <row r="903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</row>
    <row r="904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</row>
    <row r="905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</row>
    <row r="906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</row>
    <row r="907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</row>
    <row r="908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</row>
    <row r="909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</row>
    <row r="910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</row>
    <row r="91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</row>
    <row r="912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</row>
    <row r="913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</row>
    <row r="914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</row>
    <row r="915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</row>
    <row r="916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</row>
    <row r="917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</row>
    <row r="918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</row>
    <row r="919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</row>
    <row r="920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</row>
    <row r="92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</row>
    <row r="922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</row>
    <row r="923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</row>
    <row r="924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</row>
    <row r="925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</row>
    <row r="926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</row>
    <row r="927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</row>
    <row r="928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</row>
    <row r="929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</row>
    <row r="930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</row>
    <row r="93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</row>
    <row r="932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</row>
    <row r="933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</row>
    <row r="934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</row>
    <row r="935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</row>
    <row r="936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</row>
    <row r="937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</row>
    <row r="938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</row>
    <row r="939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</row>
    <row r="940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</row>
    <row r="94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</row>
    <row r="942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</row>
    <row r="943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</row>
    <row r="944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</row>
    <row r="945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</row>
    <row r="946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</row>
    <row r="947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</row>
    <row r="948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</row>
    <row r="949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</row>
    <row r="950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</row>
    <row r="95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</row>
    <row r="952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</row>
    <row r="953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</row>
    <row r="954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</row>
    <row r="955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</row>
    <row r="956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</row>
    <row r="957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</row>
    <row r="958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</row>
    <row r="959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</row>
    <row r="960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</row>
    <row r="96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</row>
    <row r="962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</row>
    <row r="963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</row>
    <row r="964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</row>
    <row r="965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</row>
    <row r="966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</row>
    <row r="967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</row>
    <row r="968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</row>
    <row r="969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</row>
    <row r="970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</row>
    <row r="97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</row>
    <row r="972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</row>
    <row r="973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</row>
    <row r="974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</row>
    <row r="975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</row>
    <row r="976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</row>
    <row r="977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</row>
    <row r="978">
      <c r="A978" s="153"/>
      <c r="B978" s="153"/>
      <c r="C978" s="153"/>
      <c r="D978" s="153"/>
      <c r="E978" s="153"/>
      <c r="F978" s="153"/>
      <c r="G978" s="153"/>
      <c r="H978" s="153"/>
      <c r="I978" s="153"/>
      <c r="J978" s="153"/>
      <c r="K978" s="153"/>
      <c r="L978" s="153"/>
      <c r="M978" s="153"/>
      <c r="N978" s="153"/>
      <c r="O978" s="153"/>
      <c r="P978" s="153"/>
      <c r="Q978" s="153"/>
      <c r="R978" s="153"/>
      <c r="S978" s="153"/>
      <c r="T978" s="153"/>
      <c r="U978" s="153"/>
      <c r="V978" s="153"/>
      <c r="W978" s="153"/>
      <c r="X978" s="153"/>
      <c r="Y978" s="153"/>
      <c r="Z978" s="153"/>
    </row>
    <row r="979">
      <c r="A979" s="153"/>
      <c r="B979" s="153"/>
      <c r="C979" s="153"/>
      <c r="D979" s="153"/>
      <c r="E979" s="153"/>
      <c r="F979" s="153"/>
      <c r="G979" s="153"/>
      <c r="H979" s="153"/>
      <c r="I979" s="153"/>
      <c r="J979" s="153"/>
      <c r="K979" s="153"/>
      <c r="L979" s="153"/>
      <c r="M979" s="153"/>
      <c r="N979" s="153"/>
      <c r="O979" s="153"/>
      <c r="P979" s="153"/>
      <c r="Q979" s="153"/>
      <c r="R979" s="153"/>
      <c r="S979" s="153"/>
      <c r="T979" s="153"/>
      <c r="U979" s="153"/>
      <c r="V979" s="153"/>
      <c r="W979" s="153"/>
      <c r="X979" s="153"/>
      <c r="Y979" s="153"/>
      <c r="Z979" s="153"/>
    </row>
    <row r="980">
      <c r="A980" s="153"/>
      <c r="B980" s="153"/>
      <c r="C980" s="153"/>
      <c r="D980" s="153"/>
      <c r="E980" s="153"/>
      <c r="F980" s="153"/>
      <c r="G980" s="153"/>
      <c r="H980" s="153"/>
      <c r="I980" s="153"/>
      <c r="J980" s="153"/>
      <c r="K980" s="153"/>
      <c r="L980" s="153"/>
      <c r="M980" s="153"/>
      <c r="N980" s="153"/>
      <c r="O980" s="153"/>
      <c r="P980" s="153"/>
      <c r="Q980" s="153"/>
      <c r="R980" s="153"/>
      <c r="S980" s="153"/>
      <c r="T980" s="153"/>
      <c r="U980" s="153"/>
      <c r="V980" s="153"/>
      <c r="W980" s="153"/>
      <c r="X980" s="153"/>
      <c r="Y980" s="153"/>
      <c r="Z980" s="153"/>
    </row>
    <row r="981">
      <c r="A981" s="153"/>
      <c r="B981" s="153"/>
      <c r="C981" s="153"/>
      <c r="D981" s="153"/>
      <c r="E981" s="153"/>
      <c r="F981" s="153"/>
      <c r="G981" s="153"/>
      <c r="H981" s="153"/>
      <c r="I981" s="153"/>
      <c r="J981" s="153"/>
      <c r="K981" s="153"/>
      <c r="L981" s="153"/>
      <c r="M981" s="153"/>
      <c r="N981" s="153"/>
      <c r="O981" s="153"/>
      <c r="P981" s="153"/>
      <c r="Q981" s="153"/>
      <c r="R981" s="153"/>
      <c r="S981" s="153"/>
      <c r="T981" s="153"/>
      <c r="U981" s="153"/>
      <c r="V981" s="153"/>
      <c r="W981" s="153"/>
      <c r="X981" s="153"/>
      <c r="Y981" s="153"/>
      <c r="Z981" s="153"/>
    </row>
    <row r="982">
      <c r="A982" s="153"/>
      <c r="B982" s="153"/>
      <c r="C982" s="153"/>
      <c r="D982" s="153"/>
      <c r="E982" s="153"/>
      <c r="F982" s="153"/>
      <c r="G982" s="153"/>
      <c r="H982" s="153"/>
      <c r="I982" s="153"/>
      <c r="J982" s="153"/>
      <c r="K982" s="153"/>
      <c r="L982" s="153"/>
      <c r="M982" s="153"/>
      <c r="N982" s="153"/>
      <c r="O982" s="153"/>
      <c r="P982" s="153"/>
      <c r="Q982" s="153"/>
      <c r="R982" s="153"/>
      <c r="S982" s="153"/>
      <c r="T982" s="153"/>
      <c r="U982" s="153"/>
      <c r="V982" s="153"/>
      <c r="W982" s="153"/>
      <c r="X982" s="153"/>
      <c r="Y982" s="153"/>
      <c r="Z982" s="153"/>
    </row>
    <row r="983">
      <c r="A983" s="153"/>
      <c r="B983" s="153"/>
      <c r="C983" s="153"/>
      <c r="D983" s="153"/>
      <c r="E983" s="153"/>
      <c r="F983" s="153"/>
      <c r="G983" s="153"/>
      <c r="H983" s="153"/>
      <c r="I983" s="153"/>
      <c r="J983" s="153"/>
      <c r="K983" s="153"/>
      <c r="L983" s="153"/>
      <c r="M983" s="153"/>
      <c r="N983" s="153"/>
      <c r="O983" s="153"/>
      <c r="P983" s="153"/>
      <c r="Q983" s="153"/>
      <c r="R983" s="153"/>
      <c r="S983" s="153"/>
      <c r="T983" s="153"/>
      <c r="U983" s="153"/>
      <c r="V983" s="153"/>
      <c r="W983" s="153"/>
      <c r="X983" s="153"/>
      <c r="Y983" s="153"/>
      <c r="Z983" s="153"/>
    </row>
    <row r="984">
      <c r="A984" s="153"/>
      <c r="B984" s="153"/>
      <c r="C984" s="153"/>
      <c r="D984" s="153"/>
      <c r="E984" s="153"/>
      <c r="F984" s="153"/>
      <c r="G984" s="153"/>
      <c r="H984" s="153"/>
      <c r="I984" s="153"/>
      <c r="J984" s="153"/>
      <c r="K984" s="153"/>
      <c r="L984" s="153"/>
      <c r="M984" s="153"/>
      <c r="N984" s="153"/>
      <c r="O984" s="153"/>
      <c r="P984" s="153"/>
      <c r="Q984" s="153"/>
      <c r="R984" s="153"/>
      <c r="S984" s="153"/>
      <c r="T984" s="153"/>
      <c r="U984" s="153"/>
      <c r="V984" s="153"/>
      <c r="W984" s="153"/>
      <c r="X984" s="153"/>
      <c r="Y984" s="153"/>
      <c r="Z984" s="153"/>
    </row>
    <row r="985">
      <c r="A985" s="153"/>
      <c r="B985" s="153"/>
      <c r="C985" s="153"/>
      <c r="D985" s="153"/>
      <c r="E985" s="153"/>
      <c r="F985" s="153"/>
      <c r="G985" s="153"/>
      <c r="H985" s="153"/>
      <c r="I985" s="153"/>
      <c r="J985" s="153"/>
      <c r="K985" s="153"/>
      <c r="L985" s="153"/>
      <c r="M985" s="153"/>
      <c r="N985" s="153"/>
      <c r="O985" s="153"/>
      <c r="P985" s="153"/>
      <c r="Q985" s="153"/>
      <c r="R985" s="153"/>
      <c r="S985" s="153"/>
      <c r="T985" s="153"/>
      <c r="U985" s="153"/>
      <c r="V985" s="153"/>
      <c r="W985" s="153"/>
      <c r="X985" s="153"/>
      <c r="Y985" s="153"/>
      <c r="Z985" s="153"/>
    </row>
    <row r="986">
      <c r="A986" s="153"/>
      <c r="B986" s="153"/>
      <c r="C986" s="153"/>
      <c r="D986" s="153"/>
      <c r="E986" s="153"/>
      <c r="F986" s="153"/>
      <c r="G986" s="153"/>
      <c r="H986" s="153"/>
      <c r="I986" s="153"/>
      <c r="J986" s="153"/>
      <c r="K986" s="153"/>
      <c r="L986" s="153"/>
      <c r="M986" s="153"/>
      <c r="N986" s="153"/>
      <c r="O986" s="153"/>
      <c r="P986" s="153"/>
      <c r="Q986" s="153"/>
      <c r="R986" s="153"/>
      <c r="S986" s="153"/>
      <c r="T986" s="153"/>
      <c r="U986" s="153"/>
      <c r="V986" s="153"/>
      <c r="W986" s="153"/>
      <c r="X986" s="153"/>
      <c r="Y986" s="153"/>
      <c r="Z986" s="153"/>
    </row>
    <row r="987">
      <c r="A987" s="153"/>
      <c r="B987" s="153"/>
      <c r="C987" s="153"/>
      <c r="D987" s="153"/>
      <c r="E987" s="153"/>
      <c r="F987" s="153"/>
      <c r="G987" s="153"/>
      <c r="H987" s="153"/>
      <c r="I987" s="153"/>
      <c r="J987" s="153"/>
      <c r="K987" s="153"/>
      <c r="L987" s="153"/>
      <c r="M987" s="153"/>
      <c r="N987" s="153"/>
      <c r="O987" s="153"/>
      <c r="P987" s="153"/>
      <c r="Q987" s="153"/>
      <c r="R987" s="153"/>
      <c r="S987" s="153"/>
      <c r="T987" s="153"/>
      <c r="U987" s="153"/>
      <c r="V987" s="153"/>
      <c r="W987" s="153"/>
      <c r="X987" s="153"/>
      <c r="Y987" s="153"/>
      <c r="Z987" s="153"/>
    </row>
    <row r="988">
      <c r="A988" s="153"/>
      <c r="B988" s="153"/>
      <c r="C988" s="153"/>
      <c r="D988" s="153"/>
      <c r="E988" s="153"/>
      <c r="F988" s="153"/>
      <c r="G988" s="153"/>
      <c r="H988" s="153"/>
      <c r="I988" s="153"/>
      <c r="J988" s="153"/>
      <c r="K988" s="153"/>
      <c r="L988" s="153"/>
      <c r="M988" s="153"/>
      <c r="N988" s="153"/>
      <c r="O988" s="153"/>
      <c r="P988" s="153"/>
      <c r="Q988" s="153"/>
      <c r="R988" s="153"/>
      <c r="S988" s="153"/>
      <c r="T988" s="153"/>
      <c r="U988" s="153"/>
      <c r="V988" s="153"/>
      <c r="W988" s="153"/>
      <c r="X988" s="153"/>
      <c r="Y988" s="153"/>
      <c r="Z988" s="153"/>
    </row>
    <row r="989">
      <c r="A989" s="153"/>
      <c r="B989" s="153"/>
      <c r="C989" s="153"/>
      <c r="D989" s="153"/>
      <c r="E989" s="153"/>
      <c r="F989" s="153"/>
      <c r="G989" s="153"/>
      <c r="H989" s="153"/>
      <c r="I989" s="153"/>
      <c r="J989" s="153"/>
      <c r="K989" s="153"/>
      <c r="L989" s="153"/>
      <c r="M989" s="153"/>
      <c r="N989" s="153"/>
      <c r="O989" s="153"/>
      <c r="P989" s="153"/>
      <c r="Q989" s="153"/>
      <c r="R989" s="153"/>
      <c r="S989" s="153"/>
      <c r="T989" s="153"/>
      <c r="U989" s="153"/>
      <c r="V989" s="153"/>
      <c r="W989" s="153"/>
      <c r="X989" s="153"/>
      <c r="Y989" s="153"/>
      <c r="Z989" s="153"/>
    </row>
    <row r="990">
      <c r="A990" s="153"/>
      <c r="B990" s="153"/>
      <c r="C990" s="153"/>
      <c r="D990" s="153"/>
      <c r="E990" s="153"/>
      <c r="F990" s="153"/>
      <c r="G990" s="153"/>
      <c r="H990" s="153"/>
      <c r="I990" s="153"/>
      <c r="J990" s="153"/>
      <c r="K990" s="153"/>
      <c r="L990" s="153"/>
      <c r="M990" s="153"/>
      <c r="N990" s="153"/>
      <c r="O990" s="153"/>
      <c r="P990" s="153"/>
      <c r="Q990" s="153"/>
      <c r="R990" s="153"/>
      <c r="S990" s="153"/>
      <c r="T990" s="153"/>
      <c r="U990" s="153"/>
      <c r="V990" s="153"/>
      <c r="W990" s="153"/>
      <c r="X990" s="153"/>
      <c r="Y990" s="153"/>
      <c r="Z990" s="153"/>
    </row>
    <row r="991">
      <c r="A991" s="153"/>
      <c r="B991" s="153"/>
      <c r="C991" s="153"/>
      <c r="D991" s="153"/>
      <c r="E991" s="153"/>
      <c r="F991" s="153"/>
      <c r="G991" s="153"/>
      <c r="H991" s="153"/>
      <c r="I991" s="153"/>
      <c r="J991" s="153"/>
      <c r="K991" s="153"/>
      <c r="L991" s="153"/>
      <c r="M991" s="153"/>
      <c r="N991" s="153"/>
      <c r="O991" s="153"/>
      <c r="P991" s="153"/>
      <c r="Q991" s="153"/>
      <c r="R991" s="153"/>
      <c r="S991" s="153"/>
      <c r="T991" s="153"/>
      <c r="U991" s="153"/>
      <c r="V991" s="153"/>
      <c r="W991" s="153"/>
      <c r="X991" s="153"/>
      <c r="Y991" s="153"/>
      <c r="Z991" s="153"/>
    </row>
    <row r="992">
      <c r="A992" s="153"/>
      <c r="B992" s="153"/>
      <c r="C992" s="153"/>
      <c r="D992" s="153"/>
      <c r="E992" s="153"/>
      <c r="F992" s="153"/>
      <c r="G992" s="153"/>
      <c r="H992" s="153"/>
      <c r="I992" s="153"/>
      <c r="J992" s="153"/>
      <c r="K992" s="153"/>
      <c r="L992" s="153"/>
      <c r="M992" s="153"/>
      <c r="N992" s="153"/>
      <c r="O992" s="153"/>
      <c r="P992" s="153"/>
      <c r="Q992" s="153"/>
      <c r="R992" s="153"/>
      <c r="S992" s="153"/>
      <c r="T992" s="153"/>
      <c r="U992" s="153"/>
      <c r="V992" s="153"/>
      <c r="W992" s="153"/>
      <c r="X992" s="153"/>
      <c r="Y992" s="153"/>
      <c r="Z992" s="153"/>
    </row>
    <row r="993">
      <c r="A993" s="153"/>
      <c r="B993" s="153"/>
      <c r="C993" s="153"/>
      <c r="D993" s="153"/>
      <c r="E993" s="153"/>
      <c r="F993" s="153"/>
      <c r="G993" s="153"/>
      <c r="H993" s="153"/>
      <c r="I993" s="153"/>
      <c r="J993" s="153"/>
      <c r="K993" s="153"/>
      <c r="L993" s="153"/>
      <c r="M993" s="153"/>
      <c r="N993" s="153"/>
      <c r="O993" s="153"/>
      <c r="P993" s="153"/>
      <c r="Q993" s="153"/>
      <c r="R993" s="153"/>
      <c r="S993" s="153"/>
      <c r="T993" s="153"/>
      <c r="U993" s="153"/>
      <c r="V993" s="153"/>
      <c r="W993" s="153"/>
      <c r="X993" s="153"/>
      <c r="Y993" s="153"/>
      <c r="Z993" s="153"/>
    </row>
    <row r="994">
      <c r="A994" s="153"/>
      <c r="B994" s="153"/>
      <c r="C994" s="153"/>
      <c r="D994" s="153"/>
      <c r="E994" s="153"/>
      <c r="F994" s="153"/>
      <c r="G994" s="153"/>
      <c r="H994" s="153"/>
      <c r="I994" s="153"/>
      <c r="J994" s="153"/>
      <c r="K994" s="153"/>
      <c r="L994" s="153"/>
      <c r="M994" s="153"/>
      <c r="N994" s="153"/>
      <c r="O994" s="153"/>
      <c r="P994" s="153"/>
      <c r="Q994" s="153"/>
      <c r="R994" s="153"/>
      <c r="S994" s="153"/>
      <c r="T994" s="153"/>
      <c r="U994" s="153"/>
      <c r="V994" s="153"/>
      <c r="W994" s="153"/>
      <c r="X994" s="153"/>
      <c r="Y994" s="153"/>
      <c r="Z994" s="153"/>
    </row>
    <row r="995">
      <c r="A995" s="153"/>
      <c r="B995" s="153"/>
      <c r="C995" s="153"/>
      <c r="D995" s="153"/>
      <c r="E995" s="153"/>
      <c r="F995" s="153"/>
      <c r="G995" s="153"/>
      <c r="H995" s="153"/>
      <c r="I995" s="153"/>
      <c r="J995" s="153"/>
      <c r="K995" s="153"/>
      <c r="L995" s="153"/>
      <c r="M995" s="153"/>
      <c r="N995" s="153"/>
      <c r="O995" s="153"/>
      <c r="P995" s="153"/>
      <c r="Q995" s="153"/>
      <c r="R995" s="153"/>
      <c r="S995" s="153"/>
      <c r="T995" s="153"/>
      <c r="U995" s="153"/>
      <c r="V995" s="153"/>
      <c r="W995" s="153"/>
      <c r="X995" s="153"/>
      <c r="Y995" s="153"/>
      <c r="Z995" s="153"/>
    </row>
    <row r="996">
      <c r="A996" s="153"/>
      <c r="B996" s="153"/>
      <c r="C996" s="153"/>
      <c r="D996" s="153"/>
      <c r="E996" s="153"/>
      <c r="F996" s="153"/>
      <c r="G996" s="153"/>
      <c r="H996" s="153"/>
      <c r="I996" s="153"/>
      <c r="J996" s="153"/>
      <c r="K996" s="153"/>
      <c r="L996" s="153"/>
      <c r="M996" s="153"/>
      <c r="N996" s="153"/>
      <c r="O996" s="153"/>
      <c r="P996" s="153"/>
      <c r="Q996" s="153"/>
      <c r="R996" s="153"/>
      <c r="S996" s="153"/>
      <c r="T996" s="153"/>
      <c r="U996" s="153"/>
      <c r="V996" s="153"/>
      <c r="W996" s="153"/>
      <c r="X996" s="153"/>
      <c r="Y996" s="153"/>
      <c r="Z996" s="153"/>
    </row>
    <row r="997">
      <c r="A997" s="153"/>
      <c r="B997" s="153"/>
      <c r="C997" s="153"/>
      <c r="D997" s="153"/>
      <c r="E997" s="153"/>
      <c r="F997" s="153"/>
      <c r="G997" s="153"/>
      <c r="H997" s="153"/>
      <c r="I997" s="153"/>
      <c r="J997" s="153"/>
      <c r="K997" s="153"/>
      <c r="L997" s="153"/>
      <c r="M997" s="153"/>
      <c r="N997" s="153"/>
      <c r="O997" s="153"/>
      <c r="P997" s="153"/>
      <c r="Q997" s="153"/>
      <c r="R997" s="153"/>
      <c r="S997" s="153"/>
      <c r="T997" s="153"/>
      <c r="U997" s="153"/>
      <c r="V997" s="153"/>
      <c r="W997" s="153"/>
      <c r="X997" s="153"/>
      <c r="Y997" s="153"/>
      <c r="Z997" s="153"/>
    </row>
    <row r="998">
      <c r="A998" s="153"/>
      <c r="B998" s="153"/>
      <c r="C998" s="153"/>
      <c r="D998" s="153"/>
      <c r="E998" s="153"/>
      <c r="F998" s="153"/>
      <c r="G998" s="153"/>
      <c r="H998" s="153"/>
      <c r="I998" s="153"/>
      <c r="J998" s="153"/>
      <c r="K998" s="153"/>
      <c r="L998" s="153"/>
      <c r="M998" s="153"/>
      <c r="N998" s="153"/>
      <c r="O998" s="153"/>
      <c r="P998" s="153"/>
      <c r="Q998" s="153"/>
      <c r="R998" s="153"/>
      <c r="S998" s="153"/>
      <c r="T998" s="153"/>
      <c r="U998" s="153"/>
      <c r="V998" s="153"/>
      <c r="W998" s="153"/>
      <c r="X998" s="153"/>
      <c r="Y998" s="153"/>
      <c r="Z998" s="153"/>
    </row>
    <row r="999">
      <c r="A999" s="153"/>
      <c r="B999" s="153"/>
      <c r="C999" s="153"/>
      <c r="D999" s="153"/>
      <c r="E999" s="153"/>
      <c r="F999" s="153"/>
      <c r="G999" s="153"/>
      <c r="H999" s="153"/>
      <c r="I999" s="153"/>
      <c r="J999" s="153"/>
      <c r="K999" s="153"/>
      <c r="L999" s="153"/>
      <c r="M999" s="153"/>
      <c r="N999" s="153"/>
      <c r="O999" s="153"/>
      <c r="P999" s="153"/>
      <c r="Q999" s="153"/>
      <c r="R999" s="153"/>
      <c r="S999" s="153"/>
      <c r="T999" s="153"/>
      <c r="U999" s="153"/>
      <c r="V999" s="153"/>
      <c r="W999" s="153"/>
      <c r="X999" s="153"/>
      <c r="Y999" s="153"/>
      <c r="Z999" s="153"/>
    </row>
    <row r="1000">
      <c r="A1000" s="153"/>
      <c r="B1000" s="153"/>
      <c r="C1000" s="153"/>
      <c r="D1000" s="153"/>
      <c r="E1000" s="153"/>
      <c r="F1000" s="153"/>
      <c r="G1000" s="153"/>
      <c r="H1000" s="153"/>
      <c r="I1000" s="153"/>
      <c r="J1000" s="153"/>
      <c r="K1000" s="153"/>
      <c r="L1000" s="153"/>
      <c r="M1000" s="153"/>
      <c r="N1000" s="153"/>
      <c r="O1000" s="153"/>
      <c r="P1000" s="153"/>
      <c r="Q1000" s="153"/>
      <c r="R1000" s="153"/>
      <c r="S1000" s="153"/>
      <c r="T1000" s="153"/>
      <c r="U1000" s="153"/>
      <c r="V1000" s="153"/>
      <c r="W1000" s="153"/>
      <c r="X1000" s="153"/>
      <c r="Y1000" s="153"/>
      <c r="Z1000" s="153"/>
    </row>
  </sheetData>
  <mergeCells count="3">
    <mergeCell ref="A47:G47"/>
    <mergeCell ref="D98:G98"/>
    <mergeCell ref="D100:G100"/>
  </mergeCells>
  <hyperlinks>
    <hyperlink r:id="rId1" ref="C2"/>
    <hyperlink r:id="rId2" ref="C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8" max="8" width="28.0"/>
  </cols>
  <sheetData>
    <row r="1">
      <c r="A1" s="1" t="s">
        <v>368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371</v>
      </c>
      <c r="B2" s="5"/>
      <c r="C2" s="5"/>
      <c r="D2" s="1" t="s">
        <v>372</v>
      </c>
      <c r="E2" s="36"/>
      <c r="F2" s="5"/>
      <c r="G2" s="1" t="s">
        <v>373</v>
      </c>
      <c r="H2" s="3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8" t="s">
        <v>377</v>
      </c>
      <c r="B3" s="101">
        <v>14132.0</v>
      </c>
      <c r="C3" s="5"/>
      <c r="D3" s="1" t="s">
        <v>379</v>
      </c>
      <c r="E3" s="1" t="s">
        <v>381</v>
      </c>
      <c r="F3" s="5"/>
      <c r="G3" s="1" t="s">
        <v>382</v>
      </c>
      <c r="H3" s="1" t="s">
        <v>384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8" t="s">
        <v>386</v>
      </c>
      <c r="B4" s="101">
        <v>7510281.0</v>
      </c>
      <c r="C4" s="5"/>
      <c r="D4" s="8" t="s">
        <v>387</v>
      </c>
      <c r="E4" s="38">
        <v>0.34</v>
      </c>
      <c r="F4" s="5"/>
      <c r="G4" s="38">
        <v>1.407283941</v>
      </c>
      <c r="H4" s="38">
        <v>37.9966664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8" t="s">
        <v>388</v>
      </c>
      <c r="B5" s="38">
        <v>17.88</v>
      </c>
      <c r="C5" s="5"/>
      <c r="D5" s="8" t="s">
        <v>389</v>
      </c>
      <c r="E5" s="38">
        <v>1.01</v>
      </c>
      <c r="F5" s="5"/>
      <c r="G5" s="38">
        <v>4.180461118</v>
      </c>
      <c r="H5" s="38">
        <v>1141.265885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" t="s">
        <v>337</v>
      </c>
      <c r="B7" s="5"/>
      <c r="C7" s="5"/>
      <c r="D7" s="5"/>
      <c r="E7" s="5"/>
      <c r="F7" s="5"/>
      <c r="G7" s="1" t="s">
        <v>390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8" t="s">
        <v>393</v>
      </c>
      <c r="B8" s="38">
        <v>1.34283818E8</v>
      </c>
      <c r="C8" s="5"/>
      <c r="D8" s="5"/>
      <c r="E8" s="5"/>
      <c r="F8" s="5"/>
      <c r="G8" s="8" t="s">
        <v>394</v>
      </c>
      <c r="H8" s="5"/>
      <c r="I8" s="38">
        <v>1179.262552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8" t="s">
        <v>399</v>
      </c>
      <c r="B9" s="38">
        <v>9502.001177</v>
      </c>
      <c r="C9" s="5"/>
      <c r="D9" s="5"/>
      <c r="E9" s="5"/>
      <c r="F9" s="5"/>
      <c r="G9" s="8" t="s">
        <v>400</v>
      </c>
      <c r="H9" s="5"/>
      <c r="I9" s="38">
        <v>0.001179262552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8" t="s">
        <v>402</v>
      </c>
      <c r="B10" s="38">
        <v>9.502001177</v>
      </c>
      <c r="C10" s="5"/>
      <c r="D10" s="5"/>
      <c r="E10" s="5"/>
      <c r="F10" s="5"/>
      <c r="G10" s="8" t="s">
        <v>403</v>
      </c>
      <c r="H10" s="5"/>
      <c r="I10" s="38">
        <v>0.1256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8" t="s">
        <v>406</v>
      </c>
      <c r="B11" s="38">
        <v>105.2409889</v>
      </c>
      <c r="C11" s="5"/>
      <c r="D11" s="5"/>
      <c r="E11" s="5"/>
      <c r="F11" s="5"/>
      <c r="G11" s="8" t="s">
        <v>407</v>
      </c>
      <c r="H11" s="5"/>
      <c r="I11" s="106">
        <v>0.12678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8" t="s">
        <v>411</v>
      </c>
      <c r="B13" s="38">
        <v>1.41321618E7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8" t="s">
        <v>413</v>
      </c>
      <c r="B14" s="38">
        <v>0.5314318332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8" t="s">
        <v>414</v>
      </c>
      <c r="B15" s="38">
        <v>819.6721311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8" t="s">
        <v>415</v>
      </c>
      <c r="B16" s="38">
        <v>435.5998633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8" t="s">
        <v>417</v>
      </c>
      <c r="B17" s="38">
        <v>4.139070414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" t="s">
        <v>420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8" t="s">
        <v>421</v>
      </c>
      <c r="B20" s="38">
        <v>27.0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8" t="s">
        <v>424</v>
      </c>
      <c r="B21" s="38">
        <v>273.0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18.5"/>
    <col customWidth="1" min="3" max="3" width="3.0"/>
    <col customWidth="1" min="4" max="4" width="17.5"/>
    <col customWidth="1" min="5" max="5" width="16.0"/>
    <col customWidth="1" min="6" max="6" width="2.0"/>
    <col customWidth="1" min="7" max="7" width="25.88"/>
    <col customWidth="1" min="8" max="8" width="28.0"/>
  </cols>
  <sheetData>
    <row r="1">
      <c r="A1" s="103" t="s">
        <v>368</v>
      </c>
      <c r="B1" s="104" t="s">
        <v>398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03" t="s">
        <v>371</v>
      </c>
      <c r="B2" s="5"/>
      <c r="C2" s="5"/>
      <c r="D2" s="103" t="s">
        <v>372</v>
      </c>
      <c r="E2" s="5"/>
      <c r="F2" s="5"/>
      <c r="G2" s="103" t="s">
        <v>373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03" t="s">
        <v>377</v>
      </c>
      <c r="B3" s="108">
        <v>19110.5909047857</v>
      </c>
      <c r="C3" s="5"/>
      <c r="D3" s="103" t="s">
        <v>379</v>
      </c>
      <c r="E3" s="103" t="s">
        <v>381</v>
      </c>
      <c r="F3" s="5"/>
      <c r="G3" s="103" t="s">
        <v>382</v>
      </c>
      <c r="H3" s="103" t="s">
        <v>384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03" t="s">
        <v>386</v>
      </c>
      <c r="B4" s="108">
        <v>1.03348843411132E7</v>
      </c>
      <c r="C4" s="5"/>
      <c r="D4" s="109" t="s">
        <v>387</v>
      </c>
      <c r="E4" s="110">
        <v>0.34</v>
      </c>
      <c r="F4" s="5"/>
      <c r="G4" s="110">
        <f>round(E4*$B$18,2)</f>
        <v>4.85</v>
      </c>
      <c r="H4" s="110">
        <f t="shared" ref="H4:H5" si="1">G4*B21</f>
        <v>130.95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3" t="s">
        <v>388</v>
      </c>
      <c r="B5" s="113">
        <v>17.4069692846486</v>
      </c>
      <c r="C5" s="5"/>
      <c r="D5" s="109" t="s">
        <v>389</v>
      </c>
      <c r="E5" s="110">
        <v>1.01</v>
      </c>
      <c r="F5" s="5"/>
      <c r="G5" s="110">
        <f>Round(E5*$B$18,2)</f>
        <v>14.41</v>
      </c>
      <c r="H5" s="110">
        <f t="shared" si="1"/>
        <v>3933.93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15" t="s">
        <v>430</v>
      </c>
      <c r="B6" s="116">
        <v>1.22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18"/>
      <c r="B7" s="5"/>
      <c r="C7" s="5"/>
      <c r="D7" s="5"/>
      <c r="E7" s="5"/>
      <c r="F7" s="5"/>
      <c r="G7" s="118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03" t="s">
        <v>337</v>
      </c>
      <c r="B8" s="118"/>
      <c r="C8" s="5"/>
      <c r="D8" s="5"/>
      <c r="E8" s="5"/>
      <c r="F8" s="5"/>
      <c r="G8" s="103" t="s">
        <v>390</v>
      </c>
      <c r="H8" s="5"/>
      <c r="I8" s="118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03" t="s">
        <v>393</v>
      </c>
      <c r="B9" s="110">
        <f>B5*B4</f>
        <v>179899014.3</v>
      </c>
      <c r="C9" s="5"/>
      <c r="D9" s="5"/>
      <c r="E9" s="5"/>
      <c r="F9" s="5"/>
      <c r="G9" s="103" t="s">
        <v>394</v>
      </c>
      <c r="H9" s="5"/>
      <c r="I9" s="110">
        <f>SUM(H4:H5)</f>
        <v>4064.88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03" t="s">
        <v>399</v>
      </c>
      <c r="B10" s="110">
        <f>B9/B3</f>
        <v>9413.576753</v>
      </c>
      <c r="C10" s="5"/>
      <c r="D10" s="5"/>
      <c r="E10" s="5"/>
      <c r="F10" s="5"/>
      <c r="G10" s="103" t="s">
        <v>400</v>
      </c>
      <c r="H10" s="5"/>
      <c r="I10" s="110">
        <f>I9/1000000</f>
        <v>0.00406488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03" t="s">
        <v>402</v>
      </c>
      <c r="B11" s="110">
        <f>B10/1000</f>
        <v>9.413576753</v>
      </c>
      <c r="C11" s="5"/>
      <c r="D11" s="5"/>
      <c r="E11" s="5"/>
      <c r="F11" s="5"/>
      <c r="G11" s="103" t="s">
        <v>403</v>
      </c>
      <c r="H11" s="5"/>
      <c r="I11" s="121">
        <v>0.133052027800741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115" t="s">
        <v>407</v>
      </c>
      <c r="H12" s="5"/>
      <c r="I12" s="116">
        <f>SUM(I10:I11)</f>
        <v>0.1371169078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18"/>
      <c r="B13" s="118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03" t="s">
        <v>411</v>
      </c>
      <c r="B14" s="110">
        <f>B3*1000</f>
        <v>19110590.9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03" t="s">
        <v>413</v>
      </c>
      <c r="B15" s="110">
        <f>B14/B4</f>
        <v>1.849134473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03" t="s">
        <v>414</v>
      </c>
      <c r="B16" s="110">
        <f>1000/B6</f>
        <v>819.6721311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03" t="s">
        <v>415</v>
      </c>
      <c r="B17" s="110">
        <f>B15*B16</f>
        <v>1515.683994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15" t="s">
        <v>417</v>
      </c>
      <c r="B18" s="116">
        <f>(B17/1000)*B11</f>
        <v>14.26800761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18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03" t="s">
        <v>420</v>
      </c>
      <c r="B20" s="118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03" t="s">
        <v>421</v>
      </c>
      <c r="B21" s="110">
        <v>27.0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15" t="s">
        <v>424</v>
      </c>
      <c r="B22" s="116">
        <v>273.0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368</v>
      </c>
      <c r="B1" s="4" t="s">
        <v>602</v>
      </c>
    </row>
    <row r="2">
      <c r="A2" s="4" t="s">
        <v>371</v>
      </c>
      <c r="D2" s="4" t="s">
        <v>372</v>
      </c>
      <c r="G2" s="4" t="s">
        <v>373</v>
      </c>
    </row>
    <row r="3">
      <c r="A3" s="4" t="s">
        <v>377</v>
      </c>
      <c r="B3" s="33">
        <v>19110.5909047857</v>
      </c>
      <c r="D3" s="4" t="s">
        <v>379</v>
      </c>
      <c r="E3" s="4" t="s">
        <v>381</v>
      </c>
      <c r="G3" s="4" t="s">
        <v>382</v>
      </c>
      <c r="H3" s="4" t="s">
        <v>384</v>
      </c>
    </row>
    <row r="4">
      <c r="A4" s="4" t="s">
        <v>386</v>
      </c>
      <c r="B4" s="33">
        <v>1.03348843411132E7</v>
      </c>
      <c r="D4" s="4" t="s">
        <v>387</v>
      </c>
      <c r="E4" s="33">
        <v>0.34</v>
      </c>
      <c r="G4" s="12">
        <f t="shared" ref="G4:G5" si="1">E4*$B$18</f>
        <v>4.851122588</v>
      </c>
      <c r="H4" s="12">
        <f>G4*$B$21</f>
        <v>130.9803099</v>
      </c>
    </row>
    <row r="5">
      <c r="A5" s="4" t="s">
        <v>388</v>
      </c>
      <c r="B5" s="33">
        <v>17.4069692846486</v>
      </c>
      <c r="D5" s="4" t="s">
        <v>389</v>
      </c>
      <c r="E5" s="33">
        <v>1.01</v>
      </c>
      <c r="G5" s="12">
        <f t="shared" si="1"/>
        <v>14.41068769</v>
      </c>
      <c r="H5" s="12">
        <f>G5*$B$22</f>
        <v>3934.117738</v>
      </c>
    </row>
    <row r="6">
      <c r="A6" s="4" t="s">
        <v>430</v>
      </c>
      <c r="B6" s="33">
        <v>1.22</v>
      </c>
    </row>
    <row r="8">
      <c r="A8" s="4" t="s">
        <v>337</v>
      </c>
      <c r="G8" s="4" t="s">
        <v>390</v>
      </c>
    </row>
    <row r="9">
      <c r="A9" s="4" t="s">
        <v>393</v>
      </c>
      <c r="B9" s="12">
        <f>B5*B4</f>
        <v>179899014.3</v>
      </c>
      <c r="G9" s="4" t="s">
        <v>394</v>
      </c>
      <c r="I9" s="12">
        <f>SUM(H4:H5)</f>
        <v>4065.098048</v>
      </c>
    </row>
    <row r="10">
      <c r="A10" s="4" t="s">
        <v>399</v>
      </c>
      <c r="B10" s="12">
        <f>B9/B3</f>
        <v>9413.576753</v>
      </c>
      <c r="G10" s="4" t="s">
        <v>400</v>
      </c>
      <c r="I10" s="12">
        <f>I9/1000000</f>
        <v>0.004065098048</v>
      </c>
    </row>
    <row r="11">
      <c r="A11" s="4" t="s">
        <v>402</v>
      </c>
      <c r="B11" s="12">
        <f>B10/1000</f>
        <v>9.413576753</v>
      </c>
      <c r="G11" s="4" t="s">
        <v>603</v>
      </c>
      <c r="I11" s="33">
        <v>0.133052027800741</v>
      </c>
    </row>
    <row r="12">
      <c r="A12" s="4" t="s">
        <v>406</v>
      </c>
      <c r="B12" s="12">
        <f>1000/B11</f>
        <v>106.2295476</v>
      </c>
      <c r="G12" s="4" t="s">
        <v>407</v>
      </c>
      <c r="I12" s="12">
        <f>SUM(I10:I11)</f>
        <v>0.1371171258</v>
      </c>
    </row>
    <row r="14">
      <c r="A14" s="4" t="s">
        <v>411</v>
      </c>
      <c r="B14" s="12">
        <f>B3*1000</f>
        <v>19110590.9</v>
      </c>
    </row>
    <row r="15">
      <c r="A15" s="4" t="s">
        <v>413</v>
      </c>
      <c r="B15" s="12">
        <f>B14/B4</f>
        <v>1.849134473</v>
      </c>
    </row>
    <row r="16">
      <c r="A16" s="4" t="s">
        <v>414</v>
      </c>
      <c r="B16" s="12">
        <f>1000/B6</f>
        <v>819.6721311</v>
      </c>
    </row>
    <row r="17">
      <c r="A17" s="4" t="s">
        <v>415</v>
      </c>
      <c r="B17" s="12">
        <f>B15*B16</f>
        <v>1515.683994</v>
      </c>
    </row>
    <row r="18">
      <c r="A18" s="4" t="s">
        <v>417</v>
      </c>
      <c r="B18" s="12">
        <f>(B17/1000)*B11</f>
        <v>14.26800761</v>
      </c>
    </row>
    <row r="20">
      <c r="A20" s="4" t="s">
        <v>420</v>
      </c>
    </row>
    <row r="21">
      <c r="A21" s="4" t="s">
        <v>421</v>
      </c>
      <c r="B21" s="33">
        <v>27.0</v>
      </c>
    </row>
    <row r="22">
      <c r="A22" s="4" t="s">
        <v>424</v>
      </c>
      <c r="B22" s="33">
        <v>273.0</v>
      </c>
    </row>
    <row r="24">
      <c r="A24" s="4" t="s">
        <v>604</v>
      </c>
      <c r="B24" s="4" t="s">
        <v>605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8" max="8" width="21.13"/>
  </cols>
  <sheetData>
    <row r="1">
      <c r="A1" s="3" t="s">
        <v>606</v>
      </c>
      <c r="B1" s="4">
        <v>892720.0</v>
      </c>
      <c r="H1" s="3" t="s">
        <v>337</v>
      </c>
    </row>
    <row r="2">
      <c r="A2" s="3" t="s">
        <v>6</v>
      </c>
      <c r="B2" s="8">
        <v>0.001200260388</v>
      </c>
      <c r="C2" s="8"/>
      <c r="H2" s="4" t="s">
        <v>607</v>
      </c>
      <c r="I2" s="4">
        <v>907.185</v>
      </c>
    </row>
    <row r="3">
      <c r="A3" s="3" t="s">
        <v>608</v>
      </c>
      <c r="B3" s="12">
        <f>B1*(1+B2)</f>
        <v>893791.4965</v>
      </c>
      <c r="H3" s="4" t="s">
        <v>609</v>
      </c>
      <c r="I3" s="4">
        <v>12.76</v>
      </c>
      <c r="J3" s="23" t="s">
        <v>610</v>
      </c>
    </row>
    <row r="4">
      <c r="A4" s="3" t="s">
        <v>611</v>
      </c>
      <c r="B4" s="12">
        <f>B3/I2</f>
        <v>985.2361938</v>
      </c>
      <c r="H4" s="4" t="s">
        <v>612</v>
      </c>
      <c r="I4" s="12">
        <f>I3*0.453592</f>
        <v>5.78783392</v>
      </c>
    </row>
    <row r="5">
      <c r="A5" s="3" t="s">
        <v>613</v>
      </c>
      <c r="B5" s="12">
        <f>B4*I4</f>
        <v>5702.383462</v>
      </c>
      <c r="H5" s="4" t="s">
        <v>614</v>
      </c>
      <c r="I5" s="4">
        <v>3.785</v>
      </c>
    </row>
    <row r="6">
      <c r="A6" s="3" t="s">
        <v>615</v>
      </c>
      <c r="B6" s="12">
        <f>B5/I6</f>
        <v>5.702383462</v>
      </c>
      <c r="H6" s="4" t="s">
        <v>616</v>
      </c>
      <c r="I6" s="4">
        <v>1000.0</v>
      </c>
    </row>
    <row r="7">
      <c r="A7" s="3" t="s">
        <v>617</v>
      </c>
      <c r="B7" s="12">
        <f>B4/1000</f>
        <v>0.9852361938</v>
      </c>
    </row>
  </sheetData>
  <hyperlinks>
    <hyperlink r:id="rId1" ref="J3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8" max="8" width="21.13"/>
  </cols>
  <sheetData>
    <row r="1">
      <c r="A1" s="3" t="s">
        <v>618</v>
      </c>
      <c r="B1" s="151">
        <v>862975.0</v>
      </c>
      <c r="H1" s="3" t="s">
        <v>337</v>
      </c>
    </row>
    <row r="2">
      <c r="A2" s="3" t="s">
        <v>6</v>
      </c>
      <c r="B2" s="8">
        <v>0.001200260388</v>
      </c>
      <c r="C2" s="8"/>
      <c r="H2" s="4" t="s">
        <v>607</v>
      </c>
      <c r="I2" s="4">
        <v>907.185</v>
      </c>
    </row>
    <row r="3">
      <c r="A3" s="3" t="s">
        <v>608</v>
      </c>
      <c r="B3" s="12">
        <f>B1*(1+B2)</f>
        <v>864010.7947</v>
      </c>
      <c r="H3" s="4" t="s">
        <v>609</v>
      </c>
      <c r="I3" s="4">
        <v>12.76</v>
      </c>
      <c r="J3" s="23" t="s">
        <v>610</v>
      </c>
    </row>
    <row r="4">
      <c r="A4" s="3" t="s">
        <v>611</v>
      </c>
      <c r="B4" s="12">
        <f>B3/I2</f>
        <v>952.4085988</v>
      </c>
      <c r="H4" s="4" t="s">
        <v>612</v>
      </c>
      <c r="I4" s="12">
        <f>I3*0.453592</f>
        <v>5.78783392</v>
      </c>
    </row>
    <row r="5">
      <c r="A5" s="3" t="s">
        <v>613</v>
      </c>
      <c r="B5" s="12">
        <f>B4*I4</f>
        <v>5512.382794</v>
      </c>
      <c r="H5" s="4" t="s">
        <v>614</v>
      </c>
      <c r="I5" s="4">
        <v>3.785</v>
      </c>
    </row>
    <row r="6">
      <c r="A6" s="3" t="s">
        <v>615</v>
      </c>
      <c r="B6" s="12">
        <f>B5/I6</f>
        <v>5.512382794</v>
      </c>
      <c r="H6" s="4" t="s">
        <v>616</v>
      </c>
      <c r="I6" s="4">
        <v>1000.0</v>
      </c>
    </row>
    <row r="7">
      <c r="A7" s="3" t="s">
        <v>617</v>
      </c>
      <c r="B7" s="12">
        <f>B4/1000</f>
        <v>0.9524085988</v>
      </c>
    </row>
  </sheetData>
  <hyperlinks>
    <hyperlink r:id="rId1" ref="J3"/>
  </hyperlin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16.63"/>
  </cols>
  <sheetData>
    <row r="1">
      <c r="A1" s="3" t="s">
        <v>619</v>
      </c>
    </row>
    <row r="2">
      <c r="A2" s="1" t="s">
        <v>620</v>
      </c>
      <c r="B2" s="5"/>
      <c r="C2" s="1" t="s">
        <v>621</v>
      </c>
    </row>
    <row r="3">
      <c r="A3" s="8" t="s">
        <v>622</v>
      </c>
      <c r="B3" s="7">
        <v>2000000.0</v>
      </c>
      <c r="C3" s="8" t="s">
        <v>623</v>
      </c>
    </row>
    <row r="4">
      <c r="A4" s="8" t="s">
        <v>624</v>
      </c>
      <c r="B4" s="38">
        <v>3.51566E-5</v>
      </c>
      <c r="C4" s="8" t="s">
        <v>623</v>
      </c>
    </row>
    <row r="5">
      <c r="A5" s="8" t="s">
        <v>625</v>
      </c>
      <c r="B5" s="38">
        <v>7.7E-5</v>
      </c>
      <c r="C5" s="8" t="s">
        <v>623</v>
      </c>
    </row>
    <row r="6">
      <c r="A6" s="5"/>
      <c r="B6" s="5"/>
      <c r="C6" s="5"/>
    </row>
    <row r="7">
      <c r="A7" s="8" t="s">
        <v>626</v>
      </c>
      <c r="B7" s="38">
        <v>9.671541988E-5</v>
      </c>
      <c r="C7" s="8" t="s">
        <v>72</v>
      </c>
    </row>
    <row r="8">
      <c r="A8" s="8" t="s">
        <v>627</v>
      </c>
      <c r="B8" s="38">
        <v>6.718096E-6</v>
      </c>
      <c r="C8" s="8" t="s">
        <v>72</v>
      </c>
    </row>
    <row r="9">
      <c r="A9" s="8" t="s">
        <v>628</v>
      </c>
      <c r="B9" s="38">
        <v>1.034335159E-4</v>
      </c>
      <c r="C9" s="5"/>
    </row>
    <row r="11">
      <c r="A11" s="3" t="s">
        <v>629</v>
      </c>
      <c r="B11" s="4" t="s">
        <v>630</v>
      </c>
    </row>
    <row r="12">
      <c r="A12" s="4" t="s">
        <v>631</v>
      </c>
      <c r="B12" s="4">
        <v>264.0</v>
      </c>
    </row>
    <row r="13">
      <c r="A13" s="4" t="s">
        <v>632</v>
      </c>
      <c r="B13" s="4">
        <v>206.0</v>
      </c>
    </row>
    <row r="14">
      <c r="A14" s="4" t="s">
        <v>633</v>
      </c>
      <c r="B14" s="4">
        <v>84.0</v>
      </c>
    </row>
    <row r="15">
      <c r="A15" s="4" t="s">
        <v>634</v>
      </c>
      <c r="B15" s="4">
        <v>60.0</v>
      </c>
    </row>
    <row r="17">
      <c r="A17" s="4" t="s">
        <v>635</v>
      </c>
      <c r="B17" s="12">
        <f>SUM(B12:B15)</f>
        <v>614</v>
      </c>
    </row>
    <row r="18">
      <c r="A18" s="8" t="s">
        <v>636</v>
      </c>
      <c r="B18" s="12">
        <f>B17/B3</f>
        <v>0.000307</v>
      </c>
    </row>
    <row r="20">
      <c r="A20" s="4" t="s">
        <v>628</v>
      </c>
      <c r="B20" s="12">
        <f>SUM(B9,B18)</f>
        <v>0.0004104335159</v>
      </c>
    </row>
    <row r="21">
      <c r="B21" s="12">
        <f>B20*1000</f>
        <v>0.4104335159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</cols>
  <sheetData>
    <row r="1">
      <c r="A1" s="3" t="s">
        <v>606</v>
      </c>
      <c r="B1" s="151">
        <v>235180.0</v>
      </c>
      <c r="F1" s="3" t="s">
        <v>337</v>
      </c>
    </row>
    <row r="2">
      <c r="A2" s="3" t="s">
        <v>637</v>
      </c>
      <c r="B2" s="12">
        <f>B1/1000</f>
        <v>235.18</v>
      </c>
      <c r="F2" s="4" t="s">
        <v>607</v>
      </c>
      <c r="G2" s="4">
        <v>907.185</v>
      </c>
    </row>
    <row r="3">
      <c r="A3" s="3" t="s">
        <v>638</v>
      </c>
      <c r="B3" s="35">
        <f>B2/G2</f>
        <v>0.2592414998</v>
      </c>
    </row>
    <row r="4">
      <c r="A4" s="3"/>
    </row>
    <row r="16">
      <c r="E16" s="3"/>
      <c r="F16" s="3"/>
      <c r="G16" s="3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16.63"/>
  </cols>
  <sheetData>
    <row r="1">
      <c r="A1" s="3" t="s">
        <v>619</v>
      </c>
    </row>
    <row r="2">
      <c r="A2" s="1" t="s">
        <v>620</v>
      </c>
      <c r="B2" s="5"/>
      <c r="C2" s="1" t="s">
        <v>621</v>
      </c>
    </row>
    <row r="3">
      <c r="A3" s="8" t="s">
        <v>622</v>
      </c>
      <c r="B3" s="7">
        <v>2000000.0</v>
      </c>
      <c r="C3" s="8" t="s">
        <v>623</v>
      </c>
    </row>
    <row r="4">
      <c r="A4" s="8" t="s">
        <v>624</v>
      </c>
      <c r="B4" s="38">
        <v>3.51566E-5</v>
      </c>
      <c r="C4" s="8" t="s">
        <v>623</v>
      </c>
    </row>
    <row r="5">
      <c r="A5" s="8" t="s">
        <v>625</v>
      </c>
      <c r="B5" s="38">
        <v>7.7E-5</v>
      </c>
      <c r="C5" s="8" t="s">
        <v>623</v>
      </c>
    </row>
    <row r="6">
      <c r="A6" s="5"/>
      <c r="B6" s="5"/>
      <c r="C6" s="5"/>
    </row>
    <row r="7">
      <c r="A7" s="8" t="s">
        <v>626</v>
      </c>
      <c r="B7" s="38">
        <v>9.671541988E-5</v>
      </c>
      <c r="C7" s="8" t="s">
        <v>72</v>
      </c>
    </row>
    <row r="8">
      <c r="A8" s="8" t="s">
        <v>627</v>
      </c>
      <c r="B8" s="38">
        <v>6.718096E-6</v>
      </c>
      <c r="C8" s="8" t="s">
        <v>72</v>
      </c>
    </row>
    <row r="9">
      <c r="A9" s="8" t="s">
        <v>628</v>
      </c>
      <c r="B9" s="38">
        <v>1.034335159E-4</v>
      </c>
      <c r="C9" s="5"/>
    </row>
    <row r="11">
      <c r="A11" s="3" t="s">
        <v>629</v>
      </c>
      <c r="B11" s="4" t="s">
        <v>630</v>
      </c>
    </row>
    <row r="12">
      <c r="A12" s="4" t="s">
        <v>631</v>
      </c>
      <c r="B12" s="4">
        <v>264.0</v>
      </c>
    </row>
    <row r="13">
      <c r="A13" s="4" t="s">
        <v>632</v>
      </c>
      <c r="B13" s="4">
        <v>206.0</v>
      </c>
    </row>
    <row r="14">
      <c r="A14" s="4" t="s">
        <v>633</v>
      </c>
      <c r="B14" s="4">
        <v>84.0</v>
      </c>
    </row>
    <row r="15">
      <c r="A15" s="4" t="s">
        <v>634</v>
      </c>
      <c r="B15" s="4">
        <v>60.0</v>
      </c>
    </row>
    <row r="17">
      <c r="A17" s="4" t="s">
        <v>635</v>
      </c>
      <c r="B17" s="12">
        <f>SUM(B12:B15)</f>
        <v>614</v>
      </c>
    </row>
    <row r="18">
      <c r="A18" s="8" t="s">
        <v>636</v>
      </c>
      <c r="B18" s="12">
        <f>B17/B3</f>
        <v>0.000307</v>
      </c>
    </row>
    <row r="20">
      <c r="A20" s="4" t="s">
        <v>628</v>
      </c>
      <c r="B20" s="12">
        <f>SUM(B9,B18)</f>
        <v>0.0004104335159</v>
      </c>
    </row>
    <row r="21">
      <c r="B21" s="12">
        <f>B20*1000</f>
        <v>0.4104335159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5" max="5" width="20.25"/>
  </cols>
  <sheetData>
    <row r="1">
      <c r="A1" s="36" t="s">
        <v>639</v>
      </c>
      <c r="B1" s="36" t="s">
        <v>640</v>
      </c>
      <c r="C1" s="36" t="s">
        <v>641</v>
      </c>
      <c r="D1" s="36"/>
      <c r="E1" s="36"/>
    </row>
    <row r="2">
      <c r="A2" s="4">
        <v>0.0652</v>
      </c>
      <c r="B2" s="12">
        <f>(8073+13381)/1000</f>
        <v>21.454</v>
      </c>
      <c r="C2" s="12">
        <f>B2*A2</f>
        <v>1.3988008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</cols>
  <sheetData>
    <row r="1">
      <c r="A1" s="3" t="s">
        <v>642</v>
      </c>
      <c r="D1" s="3" t="s">
        <v>173</v>
      </c>
    </row>
    <row r="2">
      <c r="A2" s="4">
        <v>0.46</v>
      </c>
      <c r="B2" s="4" t="s">
        <v>643</v>
      </c>
      <c r="D2" s="4" t="s">
        <v>644</v>
      </c>
      <c r="E2" s="4">
        <v>264.172</v>
      </c>
    </row>
    <row r="3">
      <c r="A3" s="12">
        <f t="shared" ref="A3:A4" si="1">A2/E2</f>
        <v>0.001741289766</v>
      </c>
      <c r="B3" s="4" t="s">
        <v>143</v>
      </c>
      <c r="D3" s="4" t="s">
        <v>645</v>
      </c>
      <c r="E3" s="4">
        <v>1000.0</v>
      </c>
    </row>
    <row r="4">
      <c r="A4" s="12">
        <f t="shared" si="1"/>
        <v>0.000001741289766</v>
      </c>
      <c r="B4" s="4" t="s">
        <v>646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</cols>
  <sheetData>
    <row r="1">
      <c r="A1" s="3"/>
      <c r="B1" s="4"/>
      <c r="C1" s="4"/>
      <c r="D1" s="3" t="s">
        <v>8</v>
      </c>
    </row>
    <row r="2">
      <c r="A2" s="3" t="s">
        <v>647</v>
      </c>
      <c r="B2" s="4">
        <v>1.0</v>
      </c>
      <c r="C2" s="4" t="s">
        <v>648</v>
      </c>
    </row>
    <row r="3">
      <c r="A3" s="3" t="s">
        <v>649</v>
      </c>
      <c r="B3" s="4">
        <v>1.3</v>
      </c>
      <c r="C3" s="4" t="s">
        <v>650</v>
      </c>
      <c r="D3" s="152"/>
    </row>
    <row r="4">
      <c r="A4" s="3" t="s">
        <v>651</v>
      </c>
      <c r="B4" s="12">
        <f>B3*B2</f>
        <v>1.3</v>
      </c>
      <c r="C4" s="4" t="s">
        <v>476</v>
      </c>
    </row>
    <row r="6">
      <c r="A6" s="3" t="s">
        <v>652</v>
      </c>
      <c r="B6" s="4">
        <v>183.0</v>
      </c>
      <c r="C6" s="4" t="s">
        <v>653</v>
      </c>
      <c r="D6" s="23" t="s">
        <v>654</v>
      </c>
    </row>
    <row r="8">
      <c r="A8" s="3" t="s">
        <v>656</v>
      </c>
      <c r="B8" s="12">
        <f>B6*(B4/1000)*'2026'!F9</f>
        <v>0.0003016315068</v>
      </c>
      <c r="C8" s="4" t="s">
        <v>662</v>
      </c>
    </row>
    <row r="10">
      <c r="A10" s="3" t="s">
        <v>665</v>
      </c>
      <c r="B10" s="4">
        <v>24.92</v>
      </c>
    </row>
    <row r="11">
      <c r="A11" s="3" t="s">
        <v>666</v>
      </c>
      <c r="B11" s="4">
        <v>1.0</v>
      </c>
    </row>
    <row r="13">
      <c r="A13" s="3" t="s">
        <v>667</v>
      </c>
      <c r="B13" s="157">
        <f>B8/B10</f>
        <v>0.00001210399305</v>
      </c>
    </row>
  </sheetData>
  <hyperlinks>
    <hyperlink r:id="rId1" ref="D6"/>
  </hyperlin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</cols>
  <sheetData>
    <row r="1">
      <c r="A1" s="154" t="s">
        <v>655</v>
      </c>
      <c r="B1" s="154" t="s">
        <v>657</v>
      </c>
      <c r="C1" s="154" t="s">
        <v>379</v>
      </c>
      <c r="D1" s="154" t="s">
        <v>2</v>
      </c>
      <c r="E1" s="154" t="s">
        <v>658</v>
      </c>
      <c r="F1" s="154" t="s">
        <v>659</v>
      </c>
      <c r="G1" s="154" t="s">
        <v>660</v>
      </c>
      <c r="H1" s="155" t="s">
        <v>661</v>
      </c>
      <c r="I1" s="154" t="s">
        <v>663</v>
      </c>
      <c r="L1" s="156" t="s">
        <v>664</v>
      </c>
      <c r="M1" s="4">
        <v>0.05</v>
      </c>
      <c r="N1" s="22" t="s">
        <v>668</v>
      </c>
    </row>
    <row r="2">
      <c r="A2" s="158">
        <v>336510.0</v>
      </c>
      <c r="B2" s="159" t="s">
        <v>669</v>
      </c>
      <c r="C2" s="160" t="s">
        <v>670</v>
      </c>
      <c r="D2" s="160" t="s">
        <v>133</v>
      </c>
      <c r="E2" s="161">
        <v>0.366</v>
      </c>
      <c r="F2" s="161">
        <v>0.031</v>
      </c>
      <c r="G2" s="161">
        <v>0.397</v>
      </c>
      <c r="H2" s="161">
        <f t="shared" ref="H2:H10" si="1">G2*(1-$M$1)</f>
        <v>0.37715</v>
      </c>
      <c r="I2" s="162">
        <v>336500.0</v>
      </c>
    </row>
    <row r="3">
      <c r="A3" s="158">
        <v>236210.0</v>
      </c>
      <c r="B3" s="159" t="s">
        <v>671</v>
      </c>
      <c r="C3" s="160" t="s">
        <v>670</v>
      </c>
      <c r="D3" s="160" t="s">
        <v>133</v>
      </c>
      <c r="E3" s="161">
        <v>0.21</v>
      </c>
      <c r="F3" s="161">
        <v>0.0</v>
      </c>
      <c r="G3" s="161">
        <v>0.21</v>
      </c>
      <c r="H3" s="161">
        <f t="shared" si="1"/>
        <v>0.1995</v>
      </c>
      <c r="I3" s="162" t="s">
        <v>672</v>
      </c>
    </row>
    <row r="4">
      <c r="A4" s="158">
        <v>238990.0</v>
      </c>
      <c r="B4" s="159" t="s">
        <v>673</v>
      </c>
      <c r="C4" s="160" t="s">
        <v>670</v>
      </c>
      <c r="D4" s="160" t="s">
        <v>133</v>
      </c>
      <c r="E4" s="161">
        <v>0.201</v>
      </c>
      <c r="F4" s="161">
        <v>0.0</v>
      </c>
      <c r="G4" s="161">
        <v>0.201</v>
      </c>
      <c r="H4" s="161">
        <f t="shared" si="1"/>
        <v>0.19095</v>
      </c>
      <c r="I4" s="162" t="s">
        <v>674</v>
      </c>
    </row>
    <row r="5">
      <c r="A5" s="158">
        <v>333120.0</v>
      </c>
      <c r="B5" s="159" t="s">
        <v>675</v>
      </c>
      <c r="C5" s="160" t="s">
        <v>670</v>
      </c>
      <c r="D5" s="160" t="s">
        <v>133</v>
      </c>
      <c r="E5" s="161">
        <v>0.163</v>
      </c>
      <c r="F5" s="161">
        <v>0.023</v>
      </c>
      <c r="G5" s="161">
        <v>0.187</v>
      </c>
      <c r="H5" s="161">
        <f t="shared" si="1"/>
        <v>0.17765</v>
      </c>
      <c r="I5" s="162">
        <v>333120.0</v>
      </c>
    </row>
    <row r="6">
      <c r="A6" s="158">
        <v>333413.0</v>
      </c>
      <c r="B6" s="159" t="s">
        <v>676</v>
      </c>
      <c r="C6" s="160" t="s">
        <v>670</v>
      </c>
      <c r="D6" s="160" t="s">
        <v>133</v>
      </c>
      <c r="E6" s="161">
        <v>0.163</v>
      </c>
      <c r="F6" s="161">
        <v>0.023</v>
      </c>
      <c r="G6" s="161">
        <v>0.186</v>
      </c>
      <c r="H6" s="161">
        <f t="shared" si="1"/>
        <v>0.1767</v>
      </c>
      <c r="I6" s="162">
        <v>333413.0</v>
      </c>
    </row>
    <row r="7">
      <c r="A7" s="158">
        <v>333415.0</v>
      </c>
      <c r="B7" s="159" t="s">
        <v>677</v>
      </c>
      <c r="C7" s="160" t="s">
        <v>670</v>
      </c>
      <c r="D7" s="160" t="s">
        <v>133</v>
      </c>
      <c r="E7" s="161">
        <v>0.159</v>
      </c>
      <c r="F7" s="161">
        <v>0.024</v>
      </c>
      <c r="G7" s="161">
        <v>0.184</v>
      </c>
      <c r="H7" s="161">
        <f t="shared" si="1"/>
        <v>0.1748</v>
      </c>
      <c r="I7" s="162">
        <v>333415.0</v>
      </c>
    </row>
    <row r="8">
      <c r="A8" s="158">
        <v>321992.0</v>
      </c>
      <c r="B8" s="159" t="s">
        <v>678</v>
      </c>
      <c r="C8" s="160" t="s">
        <v>670</v>
      </c>
      <c r="D8" s="160" t="s">
        <v>133</v>
      </c>
      <c r="E8" s="161">
        <v>0.144</v>
      </c>
      <c r="F8" s="161">
        <v>0.032</v>
      </c>
      <c r="G8" s="161">
        <v>0.177</v>
      </c>
      <c r="H8" s="161">
        <f t="shared" si="1"/>
        <v>0.16815</v>
      </c>
      <c r="I8" s="162" t="s">
        <v>679</v>
      </c>
    </row>
    <row r="9">
      <c r="A9" s="158">
        <v>333249.0</v>
      </c>
      <c r="B9" s="159" t="s">
        <v>680</v>
      </c>
      <c r="C9" s="160" t="s">
        <v>670</v>
      </c>
      <c r="D9" s="160" t="s">
        <v>133</v>
      </c>
      <c r="E9" s="161">
        <v>0.149</v>
      </c>
      <c r="F9" s="161">
        <v>0.017</v>
      </c>
      <c r="G9" s="161">
        <v>0.166</v>
      </c>
      <c r="H9" s="161">
        <f t="shared" si="1"/>
        <v>0.1577</v>
      </c>
      <c r="I9" s="162" t="s">
        <v>681</v>
      </c>
    </row>
    <row r="10">
      <c r="A10" s="158">
        <v>335312.0</v>
      </c>
      <c r="B10" s="159" t="s">
        <v>682</v>
      </c>
      <c r="C10" s="160" t="s">
        <v>670</v>
      </c>
      <c r="D10" s="160" t="s">
        <v>133</v>
      </c>
      <c r="E10" s="161">
        <v>0.113</v>
      </c>
      <c r="F10" s="161">
        <v>0.016</v>
      </c>
      <c r="G10" s="161">
        <v>0.13</v>
      </c>
      <c r="H10" s="161">
        <f t="shared" si="1"/>
        <v>0.1235</v>
      </c>
      <c r="I10" s="162">
        <v>335312.0</v>
      </c>
    </row>
  </sheetData>
  <hyperlinks>
    <hyperlink r:id="rId1" ref="N1"/>
  </hyperlinks>
  <drawing r:id="rId2"/>
</worksheet>
</file>