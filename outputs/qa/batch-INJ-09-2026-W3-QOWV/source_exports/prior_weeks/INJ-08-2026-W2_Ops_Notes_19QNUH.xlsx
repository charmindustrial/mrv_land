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hidden" name="QOWV" sheetId="5" r:id="rId9"/>
    <sheet state="hidden" name="Kerry" sheetId="6" r:id="rId10"/>
    <sheet state="hidden" name="QOWV Shipments &amp; EE Allocation" sheetId="7" r:id="rId11"/>
    <sheet state="visible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No QOWV injected in W2 - COBB has zero aqueous_fraction rows in the (8/1, 8/8] window. Correctly blank.
RESOLVED 2026-08-17: SGS SR26-04824.002 was submitted as "08-2026-W2 QOWV" but is a submission labelling error (per Garrett/Brad). It has been assigned to INJ-08-2026-W3, whose 33 QOWV totes were injected 2026-08-11 after the 8/7 sampling. Do not attach it to any W2 removal.</t>
      </text>
    </comment>
    <comment authorId="0" ref="G20">
      <text>
        <t xml:space="preserve">ORPHAN COMPOSITE - no QOWV was injected in W2.
SR26-04824.002 "08-2026-W2 QOWV" (7.9% C, sampled 2026-08-07 07:00) has no matching injection: COBB has ZERO aqueous_fraction rows in the 8/1-8/8 window (the only nearby aqueous rows are 2026-07-31, which belong to W1).
Likely explanation: the composite label follows the SAMPLING week, not the injection week. W1 precedent - its QOWV composite was sampled 7/29 for totes injected 7/31, i.e. sampled BEFORE injection. So this sample probably covers QOWV oil injected in W3 (8/8-8/15). Do NOT attach it to a W2 removal. Re-check when W3 is built.</t>
      </text>
    </comment>
    <comment authorId="0" ref="F18">
      <text>
        <t xml:space="preserve">Composite SR26-04856.001, CLIENT ID "8-2026-W2 WODO", emailed by SGS (Tiffany Scott) 2026-08-13 19:41. C = 65.4% (m/m) ASTM D5291 Method C; H 8.4%, N &lt;0.75%, viscosity 1,136 cSt @40C, acid number 57 mg KOH/g, density 1.188 g/cm3. Stored as a fraction per the INJ-07-2026 W3/W4 convention.
FLAG - C% IS AN OUTLIER vs recent WODO composites, confirm before this feeds a removal:
    7-2026-W1 WODO  SR26-04242.001  C 51.6%  visc   129.1 cSt  density 1.217
    7-2026-W2 WODO  SR26-04432.001  C 48.9%  visc     4.114 cSt density 1.180
    8-2026-W2 WODO  SR26-04856.001  C 65.4%  visc 1,136 cSt    density 1.188
C is +16.5 points (+34%) over the most recent prior, and viscosity spans three orders of magnitude across the three certificates. On 18,603.80 kg of W2 net oil the C% choice is worth ~3,070 kg C (65.4% vs 48.9%), so this is material, not cosmetic.
Possible explanation: the production-side machine change Garrett flagged 2026-08-15 alters WODO inputs/outputs, so a genuine composition shift is plausible. Not yet confirmed with production.
Note this certificate uses a single-digit month ("8-2026-W2") whereas the AECN/QOWV certificates for the same week use "08-2026-W2".</t>
      </text>
    </comment>
    <comment authorId="0" ref="G18">
      <text>
        <t xml:space="preserve">NO COMPOSITE C% AVAILABLE for W2 WODO.
The 2026-08-12 SGS report (SR26-04824) contains exactly two samples: .001 "08-2026-W2 AECN" (39.5% C) and .002 "08-2026-W2 QOWV" (7.9% C). No WODO sample was submitted.
The .002 result CANNOT be used here: at 7.9% C, density 1.044 g/cm3 and 0.9329 cSt it is chemically an aqueous fraction (WODO runs ~40% C and far more viscous), and it is near-identical to W1's genuine QOWV composite (8.9% C, 1.049, 0.9592).
W2 injected 17 WODO totes on 2026-08-07 (COBB oily_fraction; BGN Fraction Type = WODO on all 17). Gross removal for WODO cannot be computed until a WODO composite is run.</t>
      </text>
    </comment>
    <comment authorId="0" ref="G17">
      <text>
        <t xml:space="preserve">Composite SR26-04824.001, CLIENT ID "08-2026-W2 AECN", sampled 2026-08-08 18:00 (matches AECN Rail injection date 2026-08-08). C = 39.5% (m/m), ASTM D5291 Method C. Stored as a fraction per INJ-07-2026 W3/W4 convention. Lab: SGS St. Rose LA, signatory Tiffany Scott.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2">
      <text>
        <t xml:space="preserve">Pushed to Mangrove 2026-08-18. event_type=basco-injection-injected-oil (6925), tracking_id=Rail_TILX200228_7.6.2026_offload_4, evt_49CDKhct4gIUDLz1</t>
      </text>
    </comment>
    <comment authorId="0" ref="D34">
      <text>
        <t xml:space="preserve">CAT ticket 1124426213316 weighed 2026-08-01 16:55 (LABELED)</t>
      </text>
    </comment>
    <comment authorId="0" ref="E34">
      <text>
        <t xml:space="preserve">CAT ticket 1312226214782 weighed 2026-08-02 10:55 (LABELED)</t>
      </text>
    </comment>
    <comment authorId="0" ref="K38">
      <text>
        <t xml:space="preserve">Pushed to Mangrove 2026-08-18. event_type=basco-injection-injected-oil (6925), tracking_id=Rail_SHPX215090_7.12.2026_offload_3, evt_P7mc201lEZrYnBNP</t>
      </text>
    </comment>
    <comment authorId="0" ref="B26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4">
      <text>
        <t xml:space="preserve">Pushed to Mangrove 2026-08-18. event_type=basco-injection-injected-oil (6925), tracking_id=Rail_SHPX215070_7.17.2026_offload_4, evt_hAEUspNZHbguPZFh</t>
      </text>
    </comment>
    <comment authorId="0" ref="B22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8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39">
      <text>
        <t xml:space="preserve">CAT ticket 1312226217838 weighed 2026-08-05 14:20 (LABELED)</t>
      </text>
    </comment>
    <comment authorId="0" ref="H10">
      <text>
        <t xml:space="preserve">Prior claimed 19,567.96 kg -- INJ-20260712_bio_oil offload_1, W3</t>
      </text>
    </comment>
    <comment authorId="0" ref="E39">
      <text>
        <t xml:space="preserve">CAT ticket 1312226218853 weighed 2026-08-06 10:00 (LABELED)</t>
      </text>
    </comment>
    <comment authorId="0" ref="D35">
      <text>
        <t xml:space="preserve">CAT ticket 1124426213317 weighed 2026-08-01 16:57 (SOLVED)</t>
      </text>
    </comment>
    <comment authorId="0" ref="E35">
      <text>
        <t xml:space="preserve">CAT ticket 1312226215791 weighed 2026-08-03 10:03 (SOLVED)</t>
      </text>
    </comment>
    <comment authorId="0" ref="M10">
      <text>
        <t xml:space="preserve">SHPX215082 shows only O3 + O4 this week because those are the only offloads COBB lists for it. The railcar is therefore NOT closed and Loss stays blank by design - that is correct, not a gap. Remaining mass is still assigned to the railcar and will be claimed in whichever week COBB records its next offloads.</t>
      </text>
    </comment>
    <comment authorId="0" ref="K39">
      <text>
        <t xml:space="preserve">Pushed to Mangrove 2026-08-18. event_type=basco-injection-injected-oil (6925), tracking_id=Rail_SHPX215090_7.12.2026_offload_4, evt_HtXy3n3asgcbOqhE</t>
      </text>
    </comment>
    <comment authorId="0" ref="B27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5">
      <text>
        <t xml:space="preserve">Pushed to Mangrove 2026-08-18. event_type=basco-injection-injected-oil (6925), tracking_id=Rail_SHPX215070_7.17.2026_offload_3, evt_zrO4AgDG6VInByaa</t>
      </text>
    </comment>
    <comment authorId="0" ref="B23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9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0">
      <text>
        <t xml:space="preserve">CAT ticket 1312226218858 weighed 2026-08-06 14:18 (LABELED)</t>
      </text>
    </comment>
    <comment authorId="0" ref="H11">
      <text>
        <t xml:space="preserve">Prior-RP claimed 19,513.53 kg — INJ-20260709_bio_oil offload_1, injected in W2 per COBB</t>
      </text>
    </comment>
    <comment authorId="0" ref="E40">
      <text>
        <t xml:space="preserve">CAT ticket 1312226218864 weighed 2026-08-06 16:52 (LABELED)</t>
      </text>
    </comment>
    <comment authorId="0" ref="D36">
      <text>
        <t xml:space="preserve">CAT ticket 1124426216325 weighed 2026-08-04 09:46 (LABELED)</t>
      </text>
    </comment>
    <comment authorId="0" ref="E36">
      <text>
        <t xml:space="preserve">CAT ticket 1124426217330 weighed 2026-08-05 07:10 (LABELED)</t>
      </text>
    </comment>
    <comment authorId="0" ref="K40">
      <text>
        <t xml:space="preserve">Pushed to Mangrove 2026-08-18. event_type=basco-injection-injected-oil (6925), tracking_id=Rail_SHPX215082_7.12.2026_offload_3, evt_BPE09NmBLHrpx2m1</t>
      </text>
    </comment>
    <comment authorId="0" ref="D32">
      <text>
        <t xml:space="preserve">CAT ticket 1124426213312 weighed 2026-08-01 11:13 (SOLVED)</t>
      </text>
    </comment>
    <comment authorId="0" ref="E32">
      <text>
        <t xml:space="preserve">CAT ticket 1124426213314 weighed 2026-08-01 14:22 (SOLVED)</t>
      </text>
    </comment>
    <comment authorId="0" ref="B28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6">
      <text>
        <t xml:space="preserve">Pushed to Mangrove 2026-08-18. event_type=basco-injection-injected-oil (6925), tracking_id=Rail_SHPX215090_7.12.2026_offload_1, evt_zhMJuJkSlkYVzEsL</t>
      </text>
    </comment>
    <comment authorId="0" ref="B24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2">
      <text>
        <t xml:space="preserve">Pushed to Mangrove 2026-08-18. event_type=basco-injection-injected-oil (6925), tracking_id=Rail_SHPX215070_7.17.2026_offload_1, evt_hr1TfvBp1BHTTRu6</t>
      </text>
    </comment>
    <comment authorId="0" ref="B20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1">
      <text>
        <t xml:space="preserve">CAT ticket 1312226218859 weighed 2026-08-06 14:20 (LABELED)</t>
      </text>
    </comment>
    <comment authorId="0" ref="H12">
      <text>
        <t xml:space="preserve">Previously Claimed = TILX200228 fill 7.6.2026 offloads 1 + 2 + 3, all injected 2026-08-01 and claimed on W1.
O1 = 19,041.79216 kg  (CAT tickets 1312226210722 full / 1312226210713 empty)
O2 = 19,563.42296 kg  (full ticket 1312226209697 valid; tare SUBSTITUTED at the published trailer-192 standard 29,510 lb - rig mismatch, see W1 AECN Rail E37 note)
O3 = 18,905.71456 kg  (CAT tickets 1312226210723 full / 1312226210726 empty)
Sum = 57,510.92968 kg, which ties to W1 AECN Rail F11.
Corrected 2026-08-28: this cell previously held =19041.78528+19921.76064+18905.71456 (57,869.26048), built on superseded O1/O2 values and stale by 358.33 kg.</t>
      </text>
    </comment>
    <comment authorId="0" ref="E41">
      <text>
        <t xml:space="preserve">CAT ticket 1312226218862 weighed 2026-08-06 16:08 (LABELED)</t>
      </text>
    </comment>
    <comment authorId="0" ref="D37">
      <text>
        <t xml:space="preserve">CAT ticket 1124426216328 weighed 2026-08-04 15:49 (LABELED)</t>
      </text>
    </comment>
    <comment authorId="0" ref="E37">
      <text>
        <t xml:space="preserve">CAT ticket 1312226217833 weighed 2026-08-05 10:59 (LABELED). 29,160 lb, Bunkie LA, TRACTOR CH2 / TRAILER 'KL 192'.
RIG MISMATCH RESOLVED - no tare substitution required.
The full weigh, CAT ticket 1124426216328 weighed 2026-08-04 15:49 at Opelousas LA, is 72,040 lb on TRACTOR CH2 / TRAILER RL192. Same tractor, same trailer: 'RL192', 'KL 192' and 'KL192' are one physical trailer 192 recorded with data-entry variation in the leading letter and spacing. Confirmed by Garrett 2026-08-28 and corroborated by the CAT corpus - the spellings never co-occur on a date across 23 weighing dates, and their tare distributions are indistinguishable. Both tickets are labelled to this offload ('SHPX215090 LOAD 2' / 'SHPX215090 OFFLOAD 2').
The as-ticketed pair is valid and is used unchanged. Closes QA item 2.3 for this offload.
Set 2026-08-28.</t>
      </text>
    </comment>
    <comment authorId="0" ref="K41">
      <text>
        <t xml:space="preserve">Pushed to Mangrove 2026-08-18. event_type=basco-injection-injected-oil (6925), tracking_id=Rail_SHPX215082_7.12.2026_offload_4, evt_Ei1hQdIQjccdaRYQ</t>
      </text>
    </comment>
    <comment authorId="0" ref="D33">
      <text>
        <t xml:space="preserve">CAT ticket 1124426213313 weighed 2026-08-01 11:16 (LABELED)</t>
      </text>
    </comment>
    <comment authorId="0" ref="E33">
      <text>
        <t xml:space="preserve">CAT ticket 1312226213776 weighed 2026-08-01 14:25 (LABELED)</t>
      </text>
    </comment>
    <comment authorId="0" ref="K37">
      <text>
        <t xml:space="preserve">Pushed to Mangrove 2026-08-18. event_type=basco-injection-injected-oil (6925), tracking_id=Rail_SHPX215090_7.12.2026_offload_2, evt_wBgyUFgXiMgRVXDP</t>
      </text>
    </comment>
    <comment authorId="0" ref="B25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3">
      <text>
        <t xml:space="preserve">Pushed to Mangrove 2026-08-18. event_type=basco-injection-injected-oil (6925), tracking_id=Rail_SHPX215070_7.17.2026_offload_2, evt_jsTYF5XHLvuWZQjz</t>
      </text>
    </comment>
    <comment authorId="0" ref="B21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7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2">
      <text>
        <t xml:space="preserve">CAT ticket 1312226210724 weighed 2026-07-29 12:01 (LABELED). Source: CAT master archive (Brad, shared 2026-08-19). Recovered 2026-08-24; supersedes prior HELD BLANK note - mass value unchanged.</t>
      </text>
    </comment>
    <comment authorId="0" ref="E42">
      <text>
        <t xml:space="preserve">CAT ticket 1312226210714 weighed 2026-07-29 09:11 (LABELED). Source: CAT master archive (Brad, shared 2026-08-19). Recovered 2026-08-24; supersedes prior HELD BLANK note - mass value unchanged.</t>
      </text>
    </comment>
    <comment authorId="0" ref="D38">
      <text>
        <t xml:space="preserve">CAT ticket 1312226217830 weighed 2026-08-05 09:42 (LABELED)</t>
      </text>
    </comment>
    <comment authorId="0" ref="E38">
      <text>
        <t xml:space="preserve">CAT ticket 1312226217841 weighed 2026-08-05 15:51 (LABELED)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3">
      <text>
        <t xml:space="preserve">Loss = Net Oil Produced - MOBI. Suppressed while MOBI = 0. Populates once Empty Tote Weight (col E) is keyed in for each tote.</t>
      </text>
    </commen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  <comment authorId="0" ref="F27">
      <text>
        <t xml:space="preserve">Pushed to Mangrove 2026-08-18. event_type=basco-injection-injected-oil (6925), tracking_id=301293, evt_JRG3sM7K923RE300</t>
      </text>
    </comment>
    <comment authorId="0" ref="F26">
      <text>
        <t xml:space="preserve">Pushed to Mangrove 2026-08-18. event_type=basco-injection-injected-oil (6925), tracking_id=301266, evt_7dAexDpmuz13TCz6</t>
      </text>
    </comment>
    <comment authorId="0" ref="F25">
      <text>
        <t xml:space="preserve">Pushed to Mangrove 2026-08-18. event_type=basco-injection-injected-oil (6925), tracking_id=301259, evt_5QB4IrNCae0TR1Ls</t>
      </text>
    </comment>
    <comment authorId="0" ref="F24">
      <text>
        <t xml:space="preserve">Pushed to Mangrove 2026-08-18. event_type=basco-injection-injected-oil (6925), tracking_id=301256, evt_ot5coTFgv42K0XTB</t>
      </text>
    </comment>
    <comment authorId="0" ref="F23">
      <text>
        <t xml:space="preserve">Pushed to Mangrove 2026-08-18. event_type=basco-injection-injected-oil (6925), tracking_id=301248, evt_6xjTYIImkT0fA26J</t>
      </text>
    </comment>
    <comment authorId="0" ref="F22">
      <text>
        <t xml:space="preserve">Pushed to Mangrove 2026-08-18. event_type=basco-injection-injected-oil (6925), tracking_id=301243, evt_EWleCqsqRARB5hQh</t>
      </text>
    </comment>
    <comment authorId="0" ref="F21">
      <text>
        <t xml:space="preserve">Pushed to Mangrove 2026-08-18. event_type=basco-injection-injected-oil (6925), tracking_id=301235, evt_evALXUgcExcvfijx</t>
      </text>
    </comment>
    <comment authorId="0" ref="F20">
      <text>
        <t xml:space="preserve">Pushed to Mangrove 2026-08-18. event_type=basco-injection-injected-oil (6925), tracking_id=301234, evt_4UR8s6wjhRLszbTU</t>
      </text>
    </comment>
    <comment authorId="0" ref="F19">
      <text>
        <t xml:space="preserve">Pushed to Mangrove 2026-08-18. event_type=basco-injection-injected-oil (6925), tracking_id=301233, evt_4O5UaaY13ulw2OBW</t>
      </text>
    </comment>
    <comment authorId="0" ref="F18">
      <text>
        <t xml:space="preserve">Pushed to Mangrove 2026-08-18. event_type=basco-injection-injected-oil (6925), tracking_id=301226, evt_kgCpvk6nihSWN4Xn</t>
      </text>
    </comment>
    <comment authorId="0" ref="F17">
      <text>
        <t xml:space="preserve">Pushed to Mangrove 2026-08-18. event_type=basco-injection-injected-oil (6925), tracking_id=301206, evt_X5vSyrm8ZV7tgaJz</t>
      </text>
    </comment>
    <comment authorId="0" ref="F16">
      <text>
        <t xml:space="preserve">Pushed to Mangrove 2026-08-18. event_type=basco-injection-injected-oil (6925), tracking_id=301205, evt_PyGZuoNKrAv1SqJM</t>
      </text>
    </comment>
    <comment authorId="0" ref="F15">
      <text>
        <t xml:space="preserve">Pushed to Mangrove 2026-08-18. event_type=basco-injection-injected-oil (6925), tracking_id=301203, evt_JxIONNXopTIynsbP</t>
      </text>
    </comment>
    <comment authorId="0" ref="F14">
      <text>
        <t xml:space="preserve">Pushed to Mangrove 2026-08-18. event_type=basco-injection-injected-oil (6925), tracking_id=301199, evt_kdO5ILSvXkn0dpAK</t>
      </text>
    </comment>
    <comment authorId="0" ref="F13">
      <text>
        <t xml:space="preserve">Pushed to Mangrove 2026-08-18. event_type=basco-injection-injected-oil (6925), tracking_id=301031, evt_c35AIEfU0nG1I5aI</t>
      </text>
    </comment>
    <comment authorId="0" ref="F12">
      <text>
        <t xml:space="preserve">Pushed to Mangrove 2026-08-18. event_type=basco-injection-injected-oil (6925), tracking_id=300051, evt_T0cXtjZMptmMmBcn</t>
      </text>
    </comment>
    <comment authorId="0" ref="F11">
      <text>
        <t xml:space="preserve">Pushed to Mangrove 2026-08-18. event_type=basco-injection-injected-oil (6925), tracking_id=301011, evt_xHQL8hlex59pmdD8</t>
      </text>
    </comment>
  </commentList>
</comments>
</file>

<file path=xl/sharedStrings.xml><?xml version="1.0" encoding="utf-8"?>
<sst xmlns="http://schemas.openxmlformats.org/spreadsheetml/2006/main" count="340" uniqueCount="193">
  <si>
    <t>BATCH SUMMARY</t>
  </si>
  <si>
    <t>BATCH HEADER — Charm WODO (IBC Totes)</t>
  </si>
  <si>
    <t>BATCH HEADER — AECN Truck (Direct from Fort Lupton)</t>
  </si>
  <si>
    <t>BATCH HEADER — AECN Rail</t>
  </si>
  <si>
    <t>Batch ID</t>
  </si>
  <si>
    <t>Batch ID (INJ-YYYY-WXX)</t>
  </si>
  <si>
    <t>INJ-08-2026-W2</t>
  </si>
  <si>
    <t>Week Start (Sat)</t>
  </si>
  <si>
    <t>Constants</t>
  </si>
  <si>
    <t>Week End (Sat)</t>
  </si>
  <si>
    <t>Lbs/Kg</t>
  </si>
  <si>
    <t>SECTION 1 - PER-TAB SUMMARY  (each row pulls from its mode tab)</t>
  </si>
  <si>
    <t>Kg/Lbs</t>
  </si>
  <si>
    <t>Source Tab</t>
  </si>
  <si>
    <t>Sparging Mass Loss</t>
  </si>
  <si>
    <t>Σ Deliveries / Cargo (kg)</t>
  </si>
  <si>
    <t>pH range (target)</t>
  </si>
  <si>
    <t>Σ Uncertainty Adj (kg)</t>
  </si>
  <si>
    <t>2.0 - 4.0</t>
  </si>
  <si>
    <t>WODO 6-Mo CI (kg CO2e/kg), Jul-Dec 2026</t>
  </si>
  <si>
    <t>Filtration Solids Content</t>
  </si>
  <si>
    <t>SECTION 1 - IBC LEDGER  (one row per IBC tote; tote tag mass is authoritative)</t>
  </si>
  <si>
    <t>WODO Standard Loss (kg/tote), 2026 = Mean + 1 SD</t>
  </si>
  <si>
    <t>SECTION 1 - DELIVERIES LEDGER  (one row per direct truck; BOL &amp; scale ticket on same row)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</si>
  <si>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</si>
  <si>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</si>
  <si>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</si>
  <si>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</si>
  <si>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</si>
  <si>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</si>
  <si>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</si>
  <si>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</si>
  <si>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</si>
  <si>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Sparging Loss (kg)</t>
  </si>
  <si>
    <t>Filtration Loss (kg)</t>
  </si>
  <si>
    <t>MOBI (kg)</t>
  </si>
  <si>
    <t>C Content</t>
  </si>
  <si>
    <t>Transport Emissions</t>
  </si>
  <si>
    <t>Pyrolysis Emissions Mass &amp; Standard Loss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</si>
  <si>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</si>
  <si>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</si>
  <si>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</si>
  <si>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</si>
  <si>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</si>
  <si>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</si>
  <si>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Standard Loss (kg)</t>
  </si>
  <si>
    <t>Net Oil Injected (kg)</t>
  </si>
  <si>
    <t>SECTION 2 - ROLLUP  (Mass Used = Σ BOL kg; scale tickets no longer required for direct trucks per 2026-05-26)</t>
  </si>
  <si>
    <t>Production Period</t>
  </si>
  <si>
    <t>Carbon Intensity</t>
  </si>
  <si>
    <t>Σ BOL (kg)</t>
  </si>
  <si>
    <t>Production  Emissions</t>
  </si>
  <si>
    <t>Σ Cargo (kg)</t>
  </si>
  <si>
    <t>Scale Uncertainty</t>
  </si>
  <si>
    <t>Mass Used (kg)</t>
  </si>
  <si>
    <t>PP#8</t>
  </si>
  <si>
    <t>Uncertainty Adjustment (kg)</t>
  </si>
  <si>
    <t>C Content (MOBI-wtd)</t>
  </si>
  <si>
    <t>Origins list (BOLs)</t>
  </si>
  <si>
    <t>MFO Lot 4768 (LOT00004768), February 2026</t>
  </si>
  <si>
    <t>MFO Lot 4771 (LOT00004771), February 2026</t>
  </si>
  <si>
    <t>AECN→SOPOR EE (mi)</t>
  </si>
  <si>
    <t>Rail EE (mi)</t>
  </si>
  <si>
    <t>Opel→Basco EE (mi)</t>
  </si>
  <si>
    <t>AECN Rail</t>
  </si>
  <si>
    <t>MFO Lot 4793 (LOT00004793), February 2026</t>
  </si>
  <si>
    <t>SECTION 1 - RAILCARS RECEIVED THIS WEEK  (entity-level)</t>
  </si>
  <si>
    <t>Pyrolysis Emissions Mass</t>
  </si>
  <si>
    <t>BOL Trips (AECN→SOPOR)</t>
  </si>
  <si>
    <t>Railcar #</t>
  </si>
  <si>
    <t>Arrival Date at Opelousas</t>
  </si>
  <si>
    <t>Loading BOLs (comma-sep)</t>
  </si>
  <si>
    <t>MFO Lot 301199 (LOT00301199), June 2026</t>
  </si>
  <si>
    <t>Total Loaded (MT)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</si>
  <si>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</si>
  <si>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</si>
  <si>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</si>
  <si>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</si>
  <si>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</si>
  <si>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</si>
  <si>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</si>
  <si>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</si>
  <si>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Full Railcar This Week?</t>
  </si>
  <si>
    <t>Round Trip (Opel→Basco)</t>
  </si>
  <si>
    <t>SHPX215082</t>
  </si>
  <si>
    <t>2418-R, 2419-R, 2423-R</t>
  </si>
  <si>
    <t>MFO Lot 301203 (LOT00301203), June 2026</t>
  </si>
  <si>
    <t>MFO Lot 301205 (LOT00301205), June 2026</t>
  </si>
  <si>
    <t>MFO Lot 301206 (LOT00301206), June 2026</t>
  </si>
  <si>
    <t>AECN Truck</t>
  </si>
  <si>
    <t>MFO Lot 301226 (LOT00301226), June 2026</t>
  </si>
  <si>
    <t>MFO Lot 301233 (LOT00301233), July 2026</t>
  </si>
  <si>
    <t>July 2026 and later (Jan-Jun 2026 rolling)</t>
  </si>
  <si>
    <t>SHPX215090</t>
  </si>
  <si>
    <t>2421-R, 2422-R, 2420-R</t>
  </si>
  <si>
    <t>Charm WODO</t>
  </si>
  <si>
    <t>BATCH HEADER — QOWV (Aqueous Bio-Oil, IBC Totes)</t>
  </si>
  <si>
    <t>MFO Lot 301234 (LOT00301234), July 2026</t>
  </si>
  <si>
    <t>MFO Lot 301235 (LOT00301235), July 2026</t>
  </si>
  <si>
    <t>MFO Lot 301243 (LOT00301243), July 2026</t>
  </si>
  <si>
    <t>TILX200228</t>
  </si>
  <si>
    <t>QOWV 6-Mo CI (kg CO2e/kg), Jul-Dec 2026</t>
  </si>
  <si>
    <t>2412-R, 2413-R, 2414-R</t>
  </si>
  <si>
    <t>Kerry</t>
  </si>
  <si>
    <t>MFO Lot 301248 (LOT00301248), June 2026</t>
  </si>
  <si>
    <t>MFO Lot 301256 (LOT00301256), June 2026</t>
  </si>
  <si>
    <t>SHPX215070</t>
  </si>
  <si>
    <t>2424-R, 2425-R, 2426-R</t>
  </si>
  <si>
    <t>MFO Lot 301259 (LOT00301259), July 2026</t>
  </si>
  <si>
    <t>QOWV</t>
  </si>
  <si>
    <t>Empty Tote Weight (kg)</t>
  </si>
  <si>
    <t>SECTION 2 - ORIGINS LEDGER  (loading BOLs at SOPOR)</t>
  </si>
  <si>
    <t>MFO Lot 301266 (LOT00301266), June 2026</t>
  </si>
  <si>
    <t>BOL #</t>
  </si>
  <si>
    <t>TOTAL</t>
  </si>
  <si>
    <t>MFO Lot 301293 (LOT00301293), June 2026</t>
  </si>
  <si>
    <t>SECTION 2 - PER-OIL-TYPE ROLLUP  (composite C% per oil type per week)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</si>
  <si>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</si>
  <si>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</si>
  <si>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</si>
  <si>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</si>
  <si>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</si>
  <si>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</si>
  <si>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</si>
  <si>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</si>
  <si>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</si>
  <si>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</si>
  <si>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</si>
  <si>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SECTION 2 - ROLLUP</t>
  </si>
  <si>
    <t>Transport Mass</t>
  </si>
  <si>
    <t>Σ Net Oil Produced (kg)</t>
  </si>
  <si>
    <t>MOBI — Σ Net Oil Injected (kg)</t>
  </si>
  <si>
    <t>08-2026-W2 AECN</t>
  </si>
  <si>
    <t>WODO</t>
  </si>
  <si>
    <t>8-2026-W2 WODO</t>
  </si>
  <si>
    <t>SECTION 3 - SCALE TICKETS + OFFLOAD WEIGHTS</t>
  </si>
  <si>
    <t>Offload Key</t>
  </si>
  <si>
    <t>Full Scale Ticket (lb)</t>
  </si>
  <si>
    <t>Empty Scale Ticket (lb)</t>
  </si>
  <si>
    <t>Net Scaled Mass (kg)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</si>
  <si>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</si>
  <si>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</si>
  <si>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</si>
  <si>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Rail_SHPX215070_7.17.2026_offload_1</t>
  </si>
  <si>
    <t>BATCH HEADER — Kerry (Calciner Waste Oil, IBC Totes)</t>
  </si>
  <si>
    <t xml:space="preserve"> </t>
  </si>
  <si>
    <t>Filtration Solids Content (Kerry Calciner)</t>
  </si>
  <si>
    <t>SECTION 1 - IBC LEDGER  (one row per Kerry tote; tote tag mass is authoritative)</t>
  </si>
  <si>
    <t>UID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</si>
  <si>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</si>
  <si>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</si>
  <si>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</si>
  <si>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</si>
  <si>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</si>
  <si>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Mass Uncertainty (Scaling)</t>
  </si>
  <si>
    <t>Σ Net Oil — pre-filtration (kg)</t>
  </si>
  <si>
    <t>Origins list (Tote tags)</t>
  </si>
  <si>
    <t>INJ-08-2026-W2 — QOWV Shipments &amp; EE Mileage Allocation</t>
  </si>
  <si>
    <t>INJ-08-2026-W2 — WODO Shipments &amp; EE Mileage Allocation</t>
  </si>
  <si>
    <t>Batch</t>
  </si>
  <si>
    <t>Fraction</t>
  </si>
  <si>
    <t>Inj. Week</t>
  </si>
  <si>
    <t># Totes</t>
  </si>
  <si>
    <t>Shipping Orders (relevant totes)</t>
  </si>
  <si>
    <t>2026-08-01 to 2026-08-08</t>
  </si>
  <si>
    <t>PENDING - no truck manifest yet</t>
  </si>
  <si>
    <t>1 shipping order(s): COLA28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</si>
  <si>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</si>
  <si>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</si>
  <si>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</si>
  <si>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</si>
  <si>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</si>
  <si>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</si>
  <si>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</si>
  <si>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</si>
  <si>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</si>
  <si>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COLA28</t>
  </si>
  <si>
    <t>Rail_SHPX215070_7.17.2026_offload_2</t>
  </si>
  <si>
    <t>Rail_SHPX215070_7.17.2026_offload_4</t>
  </si>
  <si>
    <t>Rail_SHPX215070_7.17.2026_offload_3</t>
  </si>
  <si>
    <t>Rail_SHPX215090_7.12.2026_offload_1</t>
  </si>
  <si>
    <t>Rail_SHPX215090_7.12.2026_offload_2</t>
  </si>
  <si>
    <t>Rail_SHPX215090_7.12.2026_offload_3</t>
  </si>
  <si>
    <t>Rail_SHPX215090_7.12.2026_offload_4</t>
  </si>
  <si>
    <t>Rail_SHPX215082_7.12.2026_offload_3</t>
  </si>
  <si>
    <t>Rail_SHPX215082_7.12.2026_offload_4</t>
  </si>
  <si>
    <t>Rail_TILX200228_7.6.2026_offload_4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</si>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</sst>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"/>
    <numFmt numFmtId="165" formatCode="0.0000"/>
    <numFmt numFmtId="166" formatCode="#,##0.00000"/>
    <numFmt numFmtId="167" formatCode="mmmm yyyy"/>
    <numFmt numFmtId="168" formatCode="0.0000000000"/>
    <numFmt numFmtId="169" formatCode="0.0000%"/>
    <numFmt numFmtId="170" formatCode="#,##0.000000"/>
    <numFmt numFmtId="171" formatCode="0.000000"/>
    <numFmt numFmtId="172" formatCode="0.000%"/>
    <numFmt numFmtId="173" formatCode="yyyy-mm-dd"/>
    <numFmt numFmtId="174" formatCode="0.0%"/>
    <numFmt numFmtId="175" formatCode="#,##0.0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color rgb="FF1F1F1F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4" numFmtId="0" xfId="0" applyFont="1"/>
    <xf borderId="0" fillId="3" fontId="3" numFmtId="0" xfId="0" applyAlignment="1" applyFill="1" applyFont="1">
      <alignment readingOrder="0"/>
    </xf>
    <xf borderId="0" fillId="2" fontId="5" numFmtId="0" xfId="0" applyFill="1" applyFont="1"/>
    <xf borderId="0" fillId="4" fontId="3" numFmtId="0" xfId="0" applyAlignment="1" applyFill="1" applyFont="1">
      <alignment readingOrder="0"/>
    </xf>
    <xf borderId="0" fillId="0" fontId="3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4" fontId="3" numFmtId="0" xfId="0" applyAlignment="1" applyFill="1" applyFont="1">
      <alignment horizontal="center" readingOrder="0"/>
    </xf>
    <xf borderId="0" fillId="3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2" numFmtId="2" xfId="0" applyFont="1" applyNumberFormat="1"/>
    <xf borderId="0" fillId="3" fontId="2" numFmtId="4" xfId="0" applyFill="1" applyFont="1" applyNumberFormat="1"/>
    <xf borderId="0" fillId="4" fontId="3" numFmtId="0" xfId="0" applyFill="1" applyFont="1"/>
    <xf borderId="0" fillId="4" fontId="3" numFmtId="4" xfId="0" applyAlignment="1" applyFill="1" applyFont="1" applyNumberFormat="1">
      <alignment horizontal="center" readingOrder="0"/>
    </xf>
    <xf borderId="0" fillId="3" fontId="3" numFmtId="4" xfId="0" applyAlignment="1" applyFill="1" applyFont="1" applyNumberFormat="1">
      <alignment horizontal="center" readingOrder="0"/>
    </xf>
    <xf borderId="0" fillId="2" fontId="1" numFmtId="4" xfId="0" applyFill="1" applyFont="1" applyNumberFormat="1"/>
    <xf borderId="0" fillId="4" fontId="3" numFmtId="4" xfId="0" applyAlignment="1" applyFill="1" applyFont="1" applyNumberFormat="1">
      <alignment readingOrder="0"/>
    </xf>
    <xf borderId="0" fillId="2" fontId="1" numFmtId="2" xfId="0" applyFill="1" applyFont="1" applyNumberFormat="1"/>
    <xf borderId="0" fillId="4" fontId="3" numFmtId="2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4" fontId="2" numFmtId="1" xfId="0" applyAlignment="1" applyFill="1" applyFont="1" applyNumberFormat="1">
      <alignment horizontal="right" readingOrder="0"/>
    </xf>
    <xf borderId="0" fillId="4" fontId="2" numFmtId="4" xfId="0" applyAlignment="1" applyFill="1" applyFont="1" applyNumberFormat="1">
      <alignment readingOrder="0"/>
    </xf>
    <xf borderId="0" fillId="3" fontId="2" numFmtId="4" xfId="0" applyFill="1" applyFont="1" applyNumberFormat="1"/>
    <xf borderId="0" fillId="4" fontId="2" numFmtId="4" xfId="0" applyFill="1" applyFont="1" applyNumberFormat="1"/>
    <xf borderId="0" fillId="4" fontId="2" numFmtId="49" xfId="0" applyAlignment="1" applyFill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4" fontId="2" numFmtId="165" xfId="0" applyAlignment="1" applyFill="1" applyFont="1" applyNumberFormat="1">
      <alignment readingOrder="0"/>
    </xf>
    <xf borderId="0" fillId="3" fontId="2" numFmtId="166" xfId="0" applyFill="1" applyFont="1" applyNumberFormat="1"/>
    <xf borderId="0" fillId="0" fontId="2" numFmtId="167" xfId="0" applyAlignment="1" applyFont="1" applyNumberFormat="1">
      <alignment readingOrder="0"/>
    </xf>
    <xf borderId="0" fillId="0" fontId="2" numFmtId="0" xfId="0" applyFont="1"/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164" xfId="0" applyAlignment="1" applyFill="1" applyFont="1" applyNumberFormat="1">
      <alignment readingOrder="0"/>
    </xf>
    <xf borderId="0" fillId="4" fontId="2" numFmtId="4" xfId="0" applyFill="1" applyFont="1" applyNumberFormat="1"/>
    <xf borderId="0" fillId="4" fontId="2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Fill="1" applyFont="1"/>
    <xf borderId="0" fillId="4" fontId="2" numFmtId="4" xfId="0" applyAlignment="1" applyFill="1" applyFont="1" applyNumberFormat="1">
      <alignment readingOrder="0"/>
    </xf>
    <xf borderId="0" fillId="4" fontId="2" numFmtId="4" xfId="0" applyFill="1" applyFont="1" applyNumberFormat="1"/>
    <xf borderId="0" fillId="4" fontId="7" numFmtId="0" xfId="0" applyAlignment="1" applyFill="1" applyFont="1">
      <alignment horizontal="center" vertical="bottom"/>
    </xf>
    <xf borderId="0" fillId="4" fontId="8" numFmtId="0" xfId="0" applyAlignment="1" applyFill="1" applyFont="1">
      <alignment horizontal="center" readingOrder="0" vertical="bottom"/>
    </xf>
    <xf borderId="1" fillId="4" fontId="7" numFmtId="0" xfId="0" applyAlignment="1" applyBorder="1" applyFill="1" applyFont="1">
      <alignment horizontal="center" readingOrder="0" vertical="bottom"/>
    </xf>
    <xf borderId="1" fillId="4" fontId="8" numFmtId="0" xfId="0" applyAlignment="1" applyBorder="1" applyFill="1" applyFont="1">
      <alignment horizontal="center" readingOrder="0" vertical="bottom"/>
    </xf>
    <xf borderId="0" fillId="3" fontId="2" numFmtId="0" xfId="0" applyFill="1" applyFont="1"/>
    <xf borderId="1" fillId="5" fontId="9" numFmtId="1" xfId="0" applyAlignment="1" applyBorder="1" applyFill="1" applyFont="1" applyNumberFormat="1">
      <alignment horizontal="right" readingOrder="0" vertical="bottom"/>
    </xf>
    <xf borderId="1" fillId="0" fontId="9" numFmtId="4" xfId="0" applyAlignment="1" applyBorder="1" applyFont="1" applyNumberFormat="1">
      <alignment horizontal="right" readingOrder="0" vertical="bottom"/>
    </xf>
    <xf borderId="1" fillId="0" fontId="10" numFmtId="4" xfId="0" applyAlignment="1" applyBorder="1" applyFont="1" applyNumberFormat="1">
      <alignment horizontal="right" readingOrder="0" vertical="bottom"/>
    </xf>
    <xf borderId="1" fillId="0" fontId="9" numFmtId="4" xfId="0" applyAlignment="1" applyBorder="1" applyFont="1" applyNumberFormat="1">
      <alignment horizontal="right" vertical="bottom"/>
    </xf>
    <xf borderId="0" fillId="4" fontId="11" numFmtId="0" xfId="0" applyAlignment="1" applyFill="1" applyFont="1">
      <alignment readingOrder="0"/>
    </xf>
    <xf borderId="1" fillId="3" fontId="9" numFmtId="4" xfId="0" applyAlignment="1" applyBorder="1" applyFill="1" applyFont="1" applyNumberFormat="1">
      <alignment horizontal="right" readingOrder="0" vertical="bottom"/>
    </xf>
    <xf borderId="0" fillId="3" fontId="2" numFmtId="4" xfId="0" applyAlignment="1" applyFill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49" xfId="0" applyFont="1" applyNumberFormat="1"/>
    <xf borderId="0" fillId="0" fontId="2" numFmtId="166" xfId="0" applyFont="1" applyNumberFormat="1"/>
    <xf borderId="1" fillId="3" fontId="10" numFmtId="4" xfId="0" applyAlignment="1" applyBorder="1" applyFill="1" applyFont="1" applyNumberFormat="1">
      <alignment horizontal="right" readingOrder="0" vertical="bottom"/>
    </xf>
    <xf borderId="0" fillId="0" fontId="2" numFmtId="165" xfId="0" applyFont="1" applyNumberFormat="1"/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4" fontId="12" numFmtId="164" xfId="0" applyAlignment="1" applyFill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4" fontId="13" numFmtId="0" xfId="0" applyAlignment="1" applyFill="1" applyFont="1">
      <alignment readingOrder="0"/>
    </xf>
    <xf borderId="0" fillId="4" fontId="12" numFmtId="0" xfId="0" applyAlignment="1" applyFill="1" applyFont="1">
      <alignment readingOrder="0"/>
    </xf>
    <xf borderId="0" fillId="3" fontId="12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2" numFmtId="0" xfId="0" applyAlignment="1" applyFont="1">
      <alignment readingOrder="0"/>
    </xf>
    <xf borderId="0" fillId="0" fontId="14" numFmtId="168" xfId="0" applyAlignment="1" applyFont="1" applyNumberFormat="1">
      <alignment readingOrder="0"/>
    </xf>
    <xf borderId="1" fillId="5" fontId="10" numFmtId="0" xfId="0" applyAlignment="1" applyBorder="1" applyFill="1" applyFont="1">
      <alignment horizontal="right" readingOrder="0" vertical="bottom"/>
    </xf>
    <xf borderId="0" fillId="4" fontId="2" numFmtId="2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5" numFmtId="169" xfId="0" applyAlignment="1" applyFont="1" applyNumberFormat="1">
      <alignment readingOrder="0"/>
    </xf>
    <xf borderId="1" fillId="0" fontId="9" numFmtId="1" xfId="0" applyAlignment="1" applyBorder="1" applyFont="1" applyNumberFormat="1">
      <alignment horizontal="right" readingOrder="0" vertical="bottom"/>
    </xf>
    <xf borderId="0" fillId="5" fontId="2" numFmtId="0" xfId="0" applyAlignment="1" applyFill="1" applyFon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0" fillId="0" fontId="2" numFmtId="10" xfId="0" applyFont="1" applyNumberFormat="1"/>
    <xf borderId="1" fillId="0" fontId="9" numFmtId="0" xfId="0" applyAlignment="1" applyBorder="1" applyFont="1">
      <alignment horizontal="right" readingOrder="0" vertical="bottom"/>
    </xf>
    <xf borderId="0" fillId="4" fontId="16" numFmtId="4" xfId="0" applyAlignment="1" applyFill="1" applyFont="1" applyNumberFormat="1">
      <alignment readingOrder="0"/>
    </xf>
    <xf borderId="0" fillId="0" fontId="3" numFmtId="169" xfId="0" applyFont="1" applyNumberFormat="1"/>
    <xf borderId="0" fillId="0" fontId="2" numFmtId="1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0" xfId="0" applyAlignment="1" applyFont="1" applyNumberFormat="1">
      <alignment readingOrder="0"/>
    </xf>
    <xf borderId="0" fillId="0" fontId="3" numFmtId="2" xfId="0" applyFont="1" applyNumberFormat="1"/>
    <xf borderId="0" fillId="0" fontId="2" numFmtId="171" xfId="0" applyFont="1" applyNumberFormat="1"/>
    <xf borderId="0" fillId="0" fontId="17" numFmtId="172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2" numFmtId="173" xfId="0" applyAlignment="1" applyFont="1" applyNumberFormat="1">
      <alignment readingOrder="0"/>
    </xf>
    <xf borderId="0" fillId="0" fontId="2" numFmtId="174" xfId="0" applyFont="1" applyNumberFormat="1"/>
    <xf borderId="0" fillId="0" fontId="2" numFmtId="175" xfId="0" applyFont="1" applyNumberFormat="1"/>
    <xf borderId="0" fillId="0" fontId="2" numFmtId="173" xfId="0" applyAlignment="1" applyFont="1" applyNumberFormat="1">
      <alignment readingOrder="0"/>
    </xf>
    <xf borderId="0" fillId="0" fontId="3" numFmtId="173" xfId="0" applyFont="1" applyNumberFormat="1"/>
    <xf borderId="0" fillId="0" fontId="2" numFmtId="10" xfId="0" applyFont="1" applyNumberFormat="1"/>
    <xf borderId="0" fillId="0" fontId="3" numFmtId="174" xfId="0" applyFont="1" applyNumberFormat="1"/>
    <xf borderId="0" fillId="0" fontId="3" numFmtId="175" xfId="0" applyFont="1" applyNumberFormat="1"/>
    <xf borderId="0" fillId="0" fontId="3" numFmtId="173" xfId="0" applyAlignment="1" applyFont="1" applyNumberFormat="1">
      <alignment readingOrder="0"/>
    </xf>
    <xf borderId="0" fillId="0" fontId="2" numFmtId="173" xfId="0" applyFont="1" applyNumberFormat="1"/>
    <xf borderId="0" fillId="0" fontId="3" numFmtId="10" xfId="0" applyFont="1" applyNumberFormat="1"/>
    <xf borderId="0" fillId="0" fontId="3" numFmtId="4" xfId="0" applyFont="1" applyNumberFormat="1"/>
    <xf borderId="0" fillId="4" fontId="2" numFmtId="10" xfId="0" applyAlignment="1" applyFill="1" applyFont="1" applyNumberFormat="1">
      <alignment readingOrder="0"/>
    </xf>
    <xf borderId="0" fillId="2" fontId="3" numFmtId="173" xfId="0" applyFill="1" applyFont="1" applyNumberFormat="1"/>
    <xf borderId="0" fillId="0" fontId="3" numFmtId="17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3" numFmtId="167" xfId="0" applyAlignment="1" applyFont="1" applyNumberFormat="1">
      <alignment readingOrder="0"/>
    </xf>
    <xf borderId="0" fillId="4" fontId="19" numFmtId="4" xfId="0" applyFill="1" applyFont="1" applyNumberFormat="1"/>
    <xf borderId="0" fillId="4" fontId="20" numFmtId="4" xfId="0" applyAlignment="1" applyFill="1" applyFont="1" applyNumberFormat="1">
      <alignment readingOrder="0"/>
    </xf>
    <xf borderId="0" fillId="3" fontId="2" numFmtId="2" xfId="0" applyFill="1" applyFont="1" applyNumberFormat="1"/>
    <xf borderId="0" fillId="3" fontId="2" numFmtId="0" xfId="0" applyAlignment="1" applyFill="1" applyFont="1">
      <alignment readingOrder="0"/>
    </xf>
    <xf borderId="0" fillId="4" fontId="2" numFmtId="2" xfId="0" applyFill="1" applyFont="1" applyNumberFormat="1"/>
    <xf borderId="0" fillId="3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Fill="1" applyFont="1" applyNumberFormat="1"/>
    <xf borderId="0" fillId="3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</row>
    <row r="3">
      <c r="A3" s="3" t="s">
        <v>7</v>
      </c>
      <c r="B3" s="5">
        <v>46235.0</v>
      </c>
    </row>
    <row r="4">
      <c r="A4" s="3" t="s">
        <v>9</v>
      </c>
      <c r="B4" s="5">
        <v>46242.0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13</v>
      </c>
      <c r="B7" s="4" t="s">
        <v>15</v>
      </c>
      <c r="C7" s="4" t="s">
        <v>17</v>
      </c>
      <c r="D7" s="11" t="s">
        <v>54</v>
      </c>
      <c r="E7" s="4" t="s">
        <v>33</v>
      </c>
      <c r="F7" s="11" t="s">
        <v>34</v>
      </c>
      <c r="G7" s="4" t="s">
        <v>35</v>
      </c>
      <c r="H7" s="4" t="s">
        <v>61</v>
      </c>
      <c r="I7" s="4" t="s">
        <v>62</v>
      </c>
      <c r="J7" s="4" t="s">
        <v>63</v>
      </c>
      <c r="K7" s="4"/>
      <c r="L7" s="12"/>
      <c r="M7" s="12"/>
      <c r="N7" s="12"/>
    </row>
    <row r="8">
      <c r="A8" s="3" t="s">
        <v>64</v>
      </c>
      <c r="B8" s="17">
        <f>'AECN Rail'!B52</f>
        <v>213351.5331</v>
      </c>
      <c r="C8" s="17">
        <f>'AECN Rail'!C52</f>
        <v>204.41024</v>
      </c>
      <c r="D8" s="32">
        <f>'AECN Rail'!D52</f>
        <v>213147.1229</v>
      </c>
      <c r="E8" s="17">
        <f>'AECN Rail'!E52</f>
        <v>2749.597885</v>
      </c>
      <c r="F8" s="32">
        <f>'AECN Rail'!F52</f>
        <v>410.2751737</v>
      </c>
      <c r="G8" s="17">
        <f>'AECN Rail'!G52</f>
        <v>209987.2498</v>
      </c>
      <c r="H8" s="17">
        <f>SUM('AECN Rail'!L32:L47)</f>
        <v>882.5618136</v>
      </c>
      <c r="I8" s="17">
        <f>SUM('AECN Rail'!M32:M47)</f>
        <v>6019.852572</v>
      </c>
      <c r="J8" s="17">
        <f>SUM('AECN Rail'!N32:N47)</f>
        <v>943.8</v>
      </c>
    </row>
    <row r="9">
      <c r="A9" s="3" t="s">
        <v>89</v>
      </c>
      <c r="B9" s="17">
        <f>'AECN Truck'!B28</f>
        <v>0</v>
      </c>
      <c r="C9" s="17">
        <f>'AECN Truck'!F28</f>
        <v>0</v>
      </c>
      <c r="D9" s="32">
        <f>'AECN Truck'!C28</f>
        <v>0</v>
      </c>
      <c r="E9" s="17">
        <f>'AECN Truck'!D28</f>
        <v>0</v>
      </c>
      <c r="F9" s="32">
        <f>'AECN Truck'!E28</f>
        <v>0</v>
      </c>
      <c r="G9" s="17">
        <f>'AECN Truck'!G28</f>
        <v>0</v>
      </c>
    </row>
    <row r="10">
      <c r="A10" s="3" t="s">
        <v>95</v>
      </c>
      <c r="B10" s="17">
        <f>WODO!A33</f>
        <v>19583</v>
      </c>
      <c r="C10" s="34">
        <v>0.0</v>
      </c>
      <c r="D10" s="49">
        <f>WODO!B33</f>
        <v>18603.8</v>
      </c>
      <c r="E10" s="17">
        <f>WODO!C33</f>
        <v>133.28</v>
      </c>
      <c r="F10" s="49">
        <v>0.0</v>
      </c>
      <c r="G10" s="17">
        <f>WODO!D33</f>
        <v>18470.52</v>
      </c>
    </row>
    <row r="11">
      <c r="A11" s="3" t="s">
        <v>103</v>
      </c>
      <c r="B11" s="17">
        <f>Kerry!A33</f>
        <v>0</v>
      </c>
      <c r="C11" s="34">
        <v>0.0</v>
      </c>
      <c r="D11" s="49">
        <f>Kerry!A33</f>
        <v>0</v>
      </c>
      <c r="E11" s="34">
        <v>0.0</v>
      </c>
      <c r="F11" s="49">
        <f>Kerry!B33</f>
        <v>0</v>
      </c>
      <c r="G11" s="39">
        <f>Kerry!E33</f>
        <v>0</v>
      </c>
    </row>
    <row r="12">
      <c r="A12" s="3" t="s">
        <v>109</v>
      </c>
      <c r="B12" s="34">
        <f>QOWV!B77</f>
        <v>0</v>
      </c>
      <c r="C12" s="34">
        <v>0.0</v>
      </c>
      <c r="D12" s="49">
        <f>QOWV!D77</f>
        <v>0</v>
      </c>
      <c r="E12" s="34">
        <v>0.0</v>
      </c>
      <c r="F12" s="49">
        <v>0.0</v>
      </c>
      <c r="G12" s="17">
        <f>QOWV!F77</f>
        <v>0</v>
      </c>
      <c r="I12" s="4"/>
      <c r="J12" s="12"/>
      <c r="L12" s="12"/>
      <c r="M12" s="12"/>
      <c r="N12" s="12"/>
    </row>
    <row r="13">
      <c r="A13" s="3" t="s">
        <v>114</v>
      </c>
      <c r="B13" s="17">
        <f t="shared" ref="B13:J13" si="1">SUM(B8:B12)</f>
        <v>232934.5331</v>
      </c>
      <c r="C13" s="17">
        <f t="shared" si="1"/>
        <v>204.41024</v>
      </c>
      <c r="D13" s="17">
        <f t="shared" si="1"/>
        <v>231750.9229</v>
      </c>
      <c r="E13" s="17">
        <f t="shared" si="1"/>
        <v>2882.877885</v>
      </c>
      <c r="F13" s="17">
        <f t="shared" si="1"/>
        <v>410.2751737</v>
      </c>
      <c r="G13" s="17">
        <f t="shared" si="1"/>
        <v>228457.7698</v>
      </c>
      <c r="H13" s="17">
        <f t="shared" si="1"/>
        <v>882.5618136</v>
      </c>
      <c r="I13" s="17">
        <f t="shared" si="1"/>
        <v>6019.852572</v>
      </c>
      <c r="J13" s="17">
        <f t="shared" si="1"/>
        <v>943.8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116</v>
      </c>
      <c r="B15" s="4"/>
      <c r="C15" s="4"/>
      <c r="D15" s="4"/>
      <c r="E15" s="4"/>
      <c r="F15" s="4"/>
      <c r="G15" s="4"/>
      <c r="H15" s="12"/>
      <c r="I15" s="12"/>
      <c r="J15" s="12"/>
      <c r="K15" s="12"/>
      <c r="L15" s="12"/>
      <c r="M15" s="12"/>
    </row>
    <row r="16">
      <c r="A16" s="4" t="s">
        <v>117</v>
      </c>
      <c r="B16" s="27" t="s">
        <v>118</v>
      </c>
      <c r="C16" s="4" t="s">
        <v>119</v>
      </c>
      <c r="D16" s="4" t="s">
        <v>120</v>
      </c>
      <c r="E16" s="4" t="s">
        <v>121</v>
      </c>
      <c r="F16" s="4" t="s">
        <v>122</v>
      </c>
      <c r="G16" s="3" t="s">
        <v>123</v>
      </c>
      <c r="H16" s="3" t="s">
        <v>124</v>
      </c>
      <c r="I16" s="3" t="s">
        <v>125</v>
      </c>
      <c r="J16" s="3" t="s">
        <v>126</v>
      </c>
    </row>
    <row r="17">
      <c r="A17" s="3" t="s">
        <v>127</v>
      </c>
      <c r="B17" s="17">
        <f>SUM('AECN Rail'!I10:I13)+'AECN Truck'!A28</f>
        <v>213351.5331</v>
      </c>
      <c r="C17" s="68">
        <f>'AECN Rail'!B52</f>
        <v>213351.5331</v>
      </c>
      <c r="D17" s="17">
        <f>SUM('AECN Rail'!I10:I13)+'AECN Truck'!A28</f>
        <v>213351.5331</v>
      </c>
      <c r="E17" s="17">
        <f>'AECN Rail'!G52+'AECN Truck'!G28</f>
        <v>209987.2498</v>
      </c>
      <c r="F17" s="3" t="s">
        <v>132</v>
      </c>
      <c r="G17" s="69">
        <v>0.395</v>
      </c>
      <c r="H17" s="8" t="str">
        <f>HYPERLINK("https://drive.google.com/file/d/1i9i4TW5crSS5gKZuZ0JHc4Qo6BqdxQdu/view?usp=drivesdk", "COA SR26-04824.001")</f>
        <v>COA SR26-04824.001</v>
      </c>
      <c r="I17" s="71">
        <f t="shared" ref="I17:I20" si="2">G17*J17</f>
        <v>0.00158</v>
      </c>
      <c r="J17" s="69">
        <v>0.004</v>
      </c>
    </row>
    <row r="18">
      <c r="A18" s="3" t="s">
        <v>133</v>
      </c>
      <c r="B18" s="17">
        <f>WODO!A33</f>
        <v>19583</v>
      </c>
      <c r="D18" s="17">
        <f>WODO!B33</f>
        <v>18603.8</v>
      </c>
      <c r="E18" s="17">
        <f>WODO!D33</f>
        <v>18470.52</v>
      </c>
      <c r="F18" s="3" t="s">
        <v>134</v>
      </c>
      <c r="G18" s="69">
        <v>0.654</v>
      </c>
      <c r="H18" s="82" t="str">
        <f>HYPERLINK("https://drive.google.com/file/d/1Hch01snOOaW6D1tW16CkrfNti4D8L-F2/view?usp=drivesdk", "COA SR26-04856.001")</f>
        <v>COA SR26-04856.001</v>
      </c>
      <c r="I18" s="71">
        <f t="shared" si="2"/>
        <v>0.002616</v>
      </c>
      <c r="J18" s="69">
        <v>0.004</v>
      </c>
    </row>
    <row r="19">
      <c r="A19" s="3" t="s">
        <v>103</v>
      </c>
      <c r="B19" s="17">
        <f>Kerry!A33</f>
        <v>0</v>
      </c>
      <c r="D19" s="91">
        <f>Kerry!A33</f>
        <v>0</v>
      </c>
      <c r="E19" s="39">
        <f>Kerry!E33</f>
        <v>0</v>
      </c>
      <c r="G19" s="69" t="str">
        <f>Kerry!G33</f>
        <v/>
      </c>
      <c r="H19" s="94"/>
      <c r="I19" s="94">
        <f t="shared" si="2"/>
        <v>0</v>
      </c>
      <c r="J19" s="69">
        <v>0.004</v>
      </c>
    </row>
    <row r="20">
      <c r="A20" s="3" t="s">
        <v>109</v>
      </c>
      <c r="B20" s="17">
        <f>QOWV!B77</f>
        <v>0</v>
      </c>
      <c r="D20" s="17">
        <f>QOWV!D77</f>
        <v>0</v>
      </c>
      <c r="E20" s="17">
        <f>QOWV!F77</f>
        <v>0</v>
      </c>
      <c r="F20" s="39"/>
      <c r="G20" s="69"/>
      <c r="H20" s="71"/>
      <c r="I20" s="71">
        <f t="shared" si="2"/>
        <v>0</v>
      </c>
      <c r="J20" s="69">
        <v>0.004</v>
      </c>
      <c r="K20" s="12"/>
      <c r="L20" s="12"/>
    </row>
    <row r="21">
      <c r="A21" s="3" t="s">
        <v>114</v>
      </c>
      <c r="B21" s="17">
        <f t="shared" ref="B21:E21" si="3">SUM(B17:B20)</f>
        <v>232934.5331</v>
      </c>
      <c r="C21" s="68">
        <f t="shared" si="3"/>
        <v>213351.5331</v>
      </c>
      <c r="D21" s="68">
        <f t="shared" si="3"/>
        <v>231955.3331</v>
      </c>
      <c r="E21" s="17">
        <f t="shared" si="3"/>
        <v>228457.7698</v>
      </c>
      <c r="F21" s="71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2"/>
      <c r="E23" s="12"/>
      <c r="F23" s="4"/>
      <c r="G23" s="4" t="s">
        <v>145</v>
      </c>
      <c r="H23" s="12"/>
      <c r="I23" s="12"/>
      <c r="J23" s="12"/>
      <c r="K23" s="12"/>
      <c r="L23" s="12"/>
      <c r="M23" s="12"/>
      <c r="N23" s="12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5</v>
      </c>
      <c r="B2" s="3" t="s">
        <v>6</v>
      </c>
      <c r="N2" s="4" t="s">
        <v>8</v>
      </c>
    </row>
    <row r="3">
      <c r="A3" s="3" t="s">
        <v>7</v>
      </c>
      <c r="B3" s="5">
        <v>46235.0</v>
      </c>
      <c r="N3" s="4" t="s">
        <v>10</v>
      </c>
      <c r="O3" s="6">
        <v>2.20462</v>
      </c>
    </row>
    <row r="4">
      <c r="A4" s="3" t="s">
        <v>9</v>
      </c>
      <c r="B4" s="5">
        <v>46242.0</v>
      </c>
      <c r="N4" s="4" t="s">
        <v>12</v>
      </c>
      <c r="O4" s="6">
        <v>0.453592</v>
      </c>
    </row>
    <row r="5">
      <c r="N5" s="4" t="s">
        <v>14</v>
      </c>
      <c r="O5" s="6">
        <v>0.0129</v>
      </c>
    </row>
    <row r="6">
      <c r="N6" s="4" t="s">
        <v>16</v>
      </c>
      <c r="O6" s="3" t="s">
        <v>18</v>
      </c>
    </row>
    <row r="7">
      <c r="N7" s="3" t="s">
        <v>20</v>
      </c>
      <c r="O7" s="40">
        <f>HYPERLINK("https://docs.google.com/spreadsheets/d/16shKoa1KP34kQJyQvzclBejW9L5-ubNSqPsMOVB7zDY/edit?usp=sharing", 0.00195)</f>
        <v>0.00195</v>
      </c>
    </row>
    <row r="8">
      <c r="A8" s="1" t="s">
        <v>66</v>
      </c>
      <c r="B8" s="2"/>
      <c r="C8" s="2"/>
      <c r="D8" s="2"/>
      <c r="E8" s="2"/>
      <c r="F8" s="2"/>
      <c r="G8" s="2"/>
      <c r="H8" s="2"/>
      <c r="I8" s="1" t="s">
        <v>67</v>
      </c>
      <c r="J8" s="2"/>
      <c r="K8" s="1"/>
      <c r="L8" s="2"/>
      <c r="M8" s="2"/>
      <c r="N8" s="1" t="s">
        <v>68</v>
      </c>
      <c r="O8" s="7">
        <v>3.0</v>
      </c>
      <c r="P8" s="2"/>
      <c r="Q8" s="2"/>
      <c r="R8" s="2"/>
    </row>
    <row r="9">
      <c r="A9" s="4" t="s">
        <v>69</v>
      </c>
      <c r="B9" s="4" t="s">
        <v>70</v>
      </c>
      <c r="C9" s="4" t="s">
        <v>71</v>
      </c>
      <c r="D9" s="9" t="s">
        <v>73</v>
      </c>
      <c r="E9" s="9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4" t="s">
        <v>79</v>
      </c>
      <c r="K9" s="4" t="s">
        <v>80</v>
      </c>
      <c r="L9" s="4" t="s">
        <v>81</v>
      </c>
      <c r="M9" s="4" t="s">
        <v>82</v>
      </c>
      <c r="N9" s="4" t="s">
        <v>83</v>
      </c>
      <c r="O9" s="41">
        <v>2.0</v>
      </c>
      <c r="P9" s="12"/>
      <c r="Q9" s="12"/>
      <c r="R9" s="12"/>
    </row>
    <row r="10">
      <c r="A10" s="42" t="s">
        <v>84</v>
      </c>
      <c r="B10" s="43">
        <v>46230.0</v>
      </c>
      <c r="C10" s="42" t="s">
        <v>85</v>
      </c>
      <c r="D10" s="30">
        <f t="shared" ref="D10:D13" si="1">SUMIF($C$17:$C$28,$A10,$D$17:$D$28)</f>
        <v>78.13</v>
      </c>
      <c r="E10" s="30">
        <f t="shared" ref="E10:E13" si="2">SUMIF($C$17:$C$28,$A10,$E$17:$E$28)</f>
        <v>78130</v>
      </c>
      <c r="F10" s="44">
        <f t="shared" ref="F10:F13" si="3">SUMIF($C$32:$C$47,A10,$F$32:$F$47)+H10</f>
        <v>38854.69072</v>
      </c>
      <c r="G10" s="44" t="str">
        <f t="shared" ref="G10:G13" si="4">IF(AND(E10&lt;&gt;"",F10&lt;&gt;"",F10&gt;=0.95*E10),E10-F10,"")</f>
        <v/>
      </c>
      <c r="H10" s="45">
        <v>0.0</v>
      </c>
      <c r="I10" s="46">
        <f t="shared" ref="I10:I13" si="5">F10-H10</f>
        <v>38854.69072</v>
      </c>
      <c r="J10" s="47">
        <v>107.5</v>
      </c>
      <c r="K10" s="47">
        <v>2199.0</v>
      </c>
      <c r="L10" s="45">
        <v>42.9</v>
      </c>
      <c r="M10" s="48" t="str">
        <f t="shared" ref="M10:M13" si="6">IF(OR($E10="",$F10=""),"",IF(AND($H10=0,$F10&gt;=0.95*$E10),"FULL","PARTIAL"))</f>
        <v>PARTIAL</v>
      </c>
    </row>
    <row r="11">
      <c r="A11" s="42" t="s">
        <v>93</v>
      </c>
      <c r="B11" s="43">
        <v>46230.0</v>
      </c>
      <c r="C11" s="42" t="s">
        <v>94</v>
      </c>
      <c r="D11" s="30">
        <f t="shared" si="1"/>
        <v>78.14</v>
      </c>
      <c r="E11" s="30">
        <f t="shared" si="2"/>
        <v>78140</v>
      </c>
      <c r="F11" s="44">
        <f t="shared" si="3"/>
        <v>78344.41024</v>
      </c>
      <c r="G11" s="44">
        <f t="shared" si="4"/>
        <v>-204.41024</v>
      </c>
      <c r="H11" s="47">
        <v>0.0</v>
      </c>
      <c r="I11" s="46">
        <f t="shared" si="5"/>
        <v>78344.41024</v>
      </c>
      <c r="J11" s="47">
        <v>107.5</v>
      </c>
      <c r="K11" s="47">
        <v>2199.0</v>
      </c>
      <c r="L11" s="45">
        <v>42.9</v>
      </c>
      <c r="M11" s="48" t="str">
        <f t="shared" si="6"/>
        <v>FULL</v>
      </c>
    </row>
    <row r="12">
      <c r="A12" s="42" t="s">
        <v>100</v>
      </c>
      <c r="B12" s="43">
        <v>46231.0</v>
      </c>
      <c r="C12" s="42" t="s">
        <v>102</v>
      </c>
      <c r="D12" s="45">
        <f t="shared" si="1"/>
        <v>77.98</v>
      </c>
      <c r="E12" s="45">
        <f t="shared" si="2"/>
        <v>77980</v>
      </c>
      <c r="F12" s="50">
        <f t="shared" si="3"/>
        <v>76244.27928</v>
      </c>
      <c r="G12" s="50">
        <f t="shared" si="4"/>
        <v>1735.72072</v>
      </c>
      <c r="H12" s="48">
        <f>19041.79216+19563.42296+18905.71456</f>
        <v>57510.92968</v>
      </c>
      <c r="I12" s="50">
        <f t="shared" si="5"/>
        <v>18733.3496</v>
      </c>
      <c r="J12" s="45">
        <v>107.5</v>
      </c>
      <c r="K12" s="45">
        <v>2199.0</v>
      </c>
      <c r="L12" s="45">
        <v>42.9</v>
      </c>
      <c r="M12" s="48" t="str">
        <f t="shared" si="6"/>
        <v>PARTIAL</v>
      </c>
    </row>
    <row r="13">
      <c r="A13" s="42" t="s">
        <v>106</v>
      </c>
      <c r="B13" s="43">
        <v>46233.0</v>
      </c>
      <c r="C13" s="42" t="s">
        <v>107</v>
      </c>
      <c r="D13" s="45">
        <f t="shared" si="1"/>
        <v>77.49</v>
      </c>
      <c r="E13" s="45">
        <f t="shared" si="2"/>
        <v>77490</v>
      </c>
      <c r="F13" s="50">
        <f t="shared" si="3"/>
        <v>77419.08256</v>
      </c>
      <c r="G13" s="50">
        <f t="shared" si="4"/>
        <v>70.91744</v>
      </c>
      <c r="H13" s="45">
        <v>0.0</v>
      </c>
      <c r="I13" s="50">
        <f t="shared" si="5"/>
        <v>77419.08256</v>
      </c>
      <c r="J13" s="45">
        <v>107.5</v>
      </c>
      <c r="K13" s="45">
        <v>2199.0</v>
      </c>
      <c r="L13" s="45">
        <v>42.9</v>
      </c>
      <c r="M13" s="48" t="str">
        <f t="shared" si="6"/>
        <v>FULL</v>
      </c>
    </row>
    <row r="14">
      <c r="A14" s="14"/>
      <c r="B14" s="14"/>
    </row>
    <row r="15">
      <c r="A15" s="1" t="s">
        <v>111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24</v>
      </c>
      <c r="B16" s="4" t="s">
        <v>113</v>
      </c>
      <c r="C16" s="4" t="s">
        <v>69</v>
      </c>
      <c r="D16" s="9" t="s">
        <v>26</v>
      </c>
      <c r="E16" s="9" t="s">
        <v>27</v>
      </c>
      <c r="F16" s="4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>
      <c r="A17" s="43">
        <v>46215.0</v>
      </c>
      <c r="B17" s="60" t="str">
        <f>HYPERLINK("https://drive.google.com/file/d/1G-sh8koOzOzOZyn1WSphudqvvZ9A5LOz/view","2418-R")</f>
        <v>2418-R</v>
      </c>
      <c r="C17" s="42" t="s">
        <v>84</v>
      </c>
      <c r="D17" s="62">
        <v>26.07</v>
      </c>
      <c r="E17" s="62">
        <f t="shared" ref="E17:E28" si="7">D17*1000</f>
        <v>26070</v>
      </c>
    </row>
    <row r="18">
      <c r="A18" s="43">
        <v>46215.0</v>
      </c>
      <c r="B18" s="60" t="str">
        <f>HYPERLINK("https://drive.google.com/file/d/1YiHrTDjk51LD0Cw2_YONHIQDBo88oJlG/view","2419-R")</f>
        <v>2419-R</v>
      </c>
      <c r="C18" s="42" t="s">
        <v>84</v>
      </c>
      <c r="D18" s="62">
        <v>26.01</v>
      </c>
      <c r="E18" s="62">
        <f t="shared" si="7"/>
        <v>26010</v>
      </c>
    </row>
    <row r="19">
      <c r="A19" s="43">
        <v>46215.0</v>
      </c>
      <c r="B19" s="60" t="str">
        <f>HYPERLINK("https://drive.google.com/file/d/1VWJ6Xq2mKKK03Igs8E3bK3CT7VXIHHwu/view","2423-R")</f>
        <v>2423-R</v>
      </c>
      <c r="C19" s="42" t="s">
        <v>84</v>
      </c>
      <c r="D19" s="62">
        <v>26.05</v>
      </c>
      <c r="E19" s="62">
        <f t="shared" si="7"/>
        <v>26050</v>
      </c>
    </row>
    <row r="20">
      <c r="A20" s="43">
        <v>46215.0</v>
      </c>
      <c r="B20" s="60" t="str">
        <f>HYPERLINK("https://drive.google.com/file/d/1xk5aZFHU6vAcIiBfYTJUEtI0uZhK9AIQ/view","2421-R")</f>
        <v>2421-R</v>
      </c>
      <c r="C20" s="42" t="s">
        <v>93</v>
      </c>
      <c r="D20" s="62">
        <v>26.09</v>
      </c>
      <c r="E20" s="62">
        <f t="shared" si="7"/>
        <v>26090</v>
      </c>
    </row>
    <row r="21">
      <c r="A21" s="43">
        <v>46215.0</v>
      </c>
      <c r="B21" s="60" t="str">
        <f>HYPERLINK("https://drive.google.com/file/d/1fl-QMfw_uTHnv1kxK3inB7lWkmu6Lmwn/view","2422-R")</f>
        <v>2422-R</v>
      </c>
      <c r="C21" s="42" t="s">
        <v>93</v>
      </c>
      <c r="D21" s="62">
        <v>26.05</v>
      </c>
      <c r="E21" s="62">
        <f t="shared" si="7"/>
        <v>26050</v>
      </c>
    </row>
    <row r="22">
      <c r="A22" s="43">
        <v>46215.0</v>
      </c>
      <c r="B22" s="60" t="str">
        <f>HYPERLINK("https://drive.google.com/file/d/1jn0zn0HXXF9_nHgM7gd1ApNNB-SHD9aC/view","2420-R")</f>
        <v>2420-R</v>
      </c>
      <c r="C22" s="42" t="s">
        <v>93</v>
      </c>
      <c r="D22" s="62">
        <v>26.0</v>
      </c>
      <c r="E22" s="62">
        <f t="shared" si="7"/>
        <v>26000</v>
      </c>
    </row>
    <row r="23">
      <c r="A23" s="43">
        <v>46209.0</v>
      </c>
      <c r="B23" s="60" t="str">
        <f>HYPERLINK("https://drive.google.com/file/d/1T_cidCWZcJQad7tiAxoXefn7Lik3E_u0/view","2412-R")</f>
        <v>2412-R</v>
      </c>
      <c r="C23" s="42" t="s">
        <v>100</v>
      </c>
      <c r="D23" s="62">
        <v>26.06</v>
      </c>
      <c r="E23" s="62">
        <f t="shared" si="7"/>
        <v>26060</v>
      </c>
    </row>
    <row r="24">
      <c r="A24" s="43">
        <v>46209.0</v>
      </c>
      <c r="B24" s="60" t="str">
        <f>HYPERLINK("https://drive.google.com/file/d/1620pQcmazK921XBe6oRAo3VzhpstXzGO/view","2413-R")</f>
        <v>2413-R</v>
      </c>
      <c r="C24" s="42" t="s">
        <v>100</v>
      </c>
      <c r="D24" s="62">
        <v>25.81</v>
      </c>
      <c r="E24" s="62">
        <f t="shared" si="7"/>
        <v>25810</v>
      </c>
    </row>
    <row r="25">
      <c r="A25" s="43">
        <v>46209.0</v>
      </c>
      <c r="B25" s="60" t="str">
        <f>HYPERLINK("https://drive.google.com/file/d/18qPUmo4TetCABk-ZsruwkftJkdosdFPC/view","2414-R")</f>
        <v>2414-R</v>
      </c>
      <c r="C25" s="42" t="s">
        <v>100</v>
      </c>
      <c r="D25" s="62">
        <v>26.11</v>
      </c>
      <c r="E25" s="62">
        <f t="shared" si="7"/>
        <v>26110</v>
      </c>
    </row>
    <row r="26">
      <c r="A26" s="70">
        <v>46220.0</v>
      </c>
      <c r="B26" s="72" t="str">
        <f>HYPERLINK("https://drive.google.com/file/d/1RHRziIbKma8rUHT9-ZwV09JK3GfLlFUa/view","2424-R")</f>
        <v>2424-R</v>
      </c>
      <c r="C26" s="73" t="s">
        <v>106</v>
      </c>
      <c r="D26" s="74">
        <v>25.83</v>
      </c>
      <c r="E26" s="74">
        <f t="shared" si="7"/>
        <v>25830</v>
      </c>
      <c r="F26" s="75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</row>
    <row r="27">
      <c r="A27" s="43">
        <v>46220.0</v>
      </c>
      <c r="B27" s="60" t="str">
        <f>HYPERLINK("https://drive.google.com/file/d/1W0UltaBU5pzfCX2job9huHbj00Wjdns1/view","2425-R")</f>
        <v>2425-R</v>
      </c>
      <c r="C27" s="42" t="s">
        <v>106</v>
      </c>
      <c r="D27" s="62">
        <v>25.86</v>
      </c>
      <c r="E27" s="62">
        <f t="shared" si="7"/>
        <v>25860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12"/>
      <c r="Q27" s="12"/>
      <c r="R27" s="12"/>
    </row>
    <row r="28">
      <c r="A28" s="43">
        <v>46220.0</v>
      </c>
      <c r="B28" s="60" t="str">
        <f>HYPERLINK("https://drive.google.com/file/d/1Yw_1MEpgtfeVhsViS2beiC1PEtxuIJ90/view","2426-R")</f>
        <v>2426-R</v>
      </c>
      <c r="C28" s="42" t="s">
        <v>106</v>
      </c>
      <c r="D28" s="62">
        <v>25.8</v>
      </c>
      <c r="E28" s="62">
        <f t="shared" si="7"/>
        <v>25800</v>
      </c>
      <c r="F28" s="30"/>
      <c r="G28" s="80"/>
      <c r="H28" s="44"/>
      <c r="I28" s="44"/>
      <c r="J28" s="30"/>
      <c r="K28" s="30"/>
      <c r="L28" s="44"/>
      <c r="M28" s="44"/>
      <c r="N28" s="44"/>
      <c r="O28" s="81"/>
    </row>
    <row r="29">
      <c r="A29" s="43"/>
      <c r="B29" s="42"/>
      <c r="C29" s="42"/>
      <c r="D29" s="30"/>
      <c r="E29" s="30"/>
      <c r="F29" s="30"/>
      <c r="G29" s="80"/>
      <c r="H29" s="44"/>
      <c r="I29" s="44"/>
      <c r="J29" s="30"/>
      <c r="K29" s="44"/>
      <c r="L29" s="44"/>
      <c r="M29" s="44"/>
      <c r="N29" s="44"/>
      <c r="O29" s="81"/>
    </row>
    <row r="30">
      <c r="A30" s="84" t="s">
        <v>135</v>
      </c>
      <c r="B30" s="84"/>
      <c r="C30" s="84"/>
      <c r="D30" s="85"/>
      <c r="E30" s="86"/>
      <c r="F30" s="85"/>
      <c r="G30" s="87"/>
      <c r="H30" s="88"/>
      <c r="I30" s="88"/>
      <c r="J30" s="85"/>
      <c r="K30" s="88"/>
      <c r="L30" s="88"/>
      <c r="M30" s="88"/>
      <c r="N30" s="88"/>
      <c r="O30" s="89"/>
      <c r="P30" s="90"/>
      <c r="Q30" s="90"/>
      <c r="R30" s="90"/>
    </row>
    <row r="31">
      <c r="A31" s="42" t="s">
        <v>24</v>
      </c>
      <c r="B31" s="42" t="s">
        <v>136</v>
      </c>
      <c r="C31" s="42" t="s">
        <v>69</v>
      </c>
      <c r="D31" s="30" t="s">
        <v>137</v>
      </c>
      <c r="E31" s="30" t="s">
        <v>138</v>
      </c>
      <c r="F31" s="62" t="s">
        <v>139</v>
      </c>
      <c r="G31" s="80" t="s">
        <v>31</v>
      </c>
      <c r="H31" s="62" t="s">
        <v>33</v>
      </c>
      <c r="I31" s="62" t="s">
        <v>34</v>
      </c>
      <c r="J31" s="62" t="s">
        <v>56</v>
      </c>
      <c r="K31" s="62" t="s">
        <v>35</v>
      </c>
      <c r="L31" s="30" t="s">
        <v>140</v>
      </c>
      <c r="M31" s="30" t="s">
        <v>141</v>
      </c>
      <c r="N31" s="30" t="s">
        <v>142</v>
      </c>
    </row>
    <row r="32">
      <c r="A32" s="43">
        <v>46242.0</v>
      </c>
      <c r="B32" s="42" t="s">
        <v>143</v>
      </c>
      <c r="C32" s="42" t="s">
        <v>106</v>
      </c>
      <c r="D32" s="93">
        <f>HYPERLINK("https://drive.google.com/file/d/1XY84XjOGpSV3ofZ8d7_sHnRcz17MuM7b/view?usp=drivesdk", 72180)</f>
        <v>72180</v>
      </c>
      <c r="E32" s="93">
        <f>HYPERLINK("https://drive.google.com/file/d/1nNBuYdPyJo4OjQhfO46Rmk2eYGSHGzEp/view?usp=drivesdk", 28600)</f>
        <v>28600</v>
      </c>
      <c r="F32" s="62">
        <f t="shared" ref="F32:F47" si="8">IF(OR(D32="",E32=""),"",(D32-E32)*$O$4)</f>
        <v>19767.53936</v>
      </c>
      <c r="G32" s="80">
        <v>2.86</v>
      </c>
      <c r="H32" s="62">
        <f t="shared" ref="H32:H42" si="9">IF(F32="","",(F32-J32)*$O$5)</f>
        <v>255.0012577</v>
      </c>
      <c r="I32" s="62">
        <f t="shared" ref="I32:I42" si="10">IF(F32="","",(F32-J32)*(1-$O$5)*$O$7)</f>
        <v>38.0494493</v>
      </c>
      <c r="J32" s="62">
        <f t="array" ref="J32">IF(F32="","",IF(ROW()=MAX(IF($C$32:$C$47=C32,ROW($C$32:$C$47),0)),MAX(0,IFERROR(VLOOKUP(C32,$A$10:$L$13,6,FALSE)-VLOOKUP(C32,$A$10:$L$13,5,FALSE),0)),0))</f>
        <v>0</v>
      </c>
      <c r="K32" s="62">
        <f t="shared" ref="K32:K42" si="11">IF(F32="","",F32-H32-I32-J32)</f>
        <v>19474.48865</v>
      </c>
      <c r="L32" s="44">
        <f t="shared" ref="L32:L42" si="12">IF(F32="","",(F32-J32)/VLOOKUP(C32,$A$10:$L$13,5,FALSE)*VLOOKUP(C32,$A$10:$L$13,10,FALSE)*$O$8)</f>
        <v>82.26908561</v>
      </c>
      <c r="M32" s="44">
        <f t="array" ref="M32">IF(F32="","",IF(IFERROR(VLOOKUP(C32,$A$10:$M$13,13,FALSE),"")="FULL",IF(ROW()=MIN(IF($C$32:$C$47=C32,ROW($C$32:$C$47),10^9)),VLOOKUP(C32,$A$10:$M$13,11,FALSE),0),(F32-J32)/VLOOKUP(C32,$A$10:$M$13,5,FALSE)*VLOOKUP(C32,$A$10:$M$13,11,FALSE)))</f>
        <v>2199</v>
      </c>
      <c r="N32" s="44">
        <f t="shared" ref="N32:N42" si="13">IF(F32="","",IFERROR(VLOOKUP(C32,$A$10:$L$13,12,FALSE),0)*$O$9)</f>
        <v>85.8</v>
      </c>
      <c r="O32" s="119"/>
    </row>
    <row r="33">
      <c r="A33" s="43">
        <v>46242.0</v>
      </c>
      <c r="B33" s="42" t="s">
        <v>177</v>
      </c>
      <c r="C33" s="42" t="s">
        <v>106</v>
      </c>
      <c r="D33" s="93">
        <f>HYPERLINK("https://drive.google.com/file/d/1kIC-InLywuEaJfkHKM36WgttpwEuw4F3/view?usp=drivesdk", 71240)</f>
        <v>71240</v>
      </c>
      <c r="E33" s="93">
        <f>HYPERLINK("https://drive.google.com/file/d/10uIB57zQtc66iu9Gqel6jpR6JTKpFwOD/view?usp=drivesdk", 29220)</f>
        <v>29220</v>
      </c>
      <c r="F33" s="62">
        <f t="shared" si="8"/>
        <v>19059.93584</v>
      </c>
      <c r="G33" s="80">
        <v>2.86</v>
      </c>
      <c r="H33" s="62">
        <f t="shared" si="9"/>
        <v>245.8731723</v>
      </c>
      <c r="I33" s="62">
        <f t="shared" si="10"/>
        <v>36.6874222</v>
      </c>
      <c r="J33" s="62">
        <f t="array" ref="J33">IF(F33="","",IF(ROW()=MAX(IF($C$32:$C$47=C33,ROW($C$32:$C$47),0)),MAX(0,IFERROR(VLOOKUP(C33,$A$10:$L$13,6,FALSE)-VLOOKUP(C33,$A$10:$L$13,5,FALSE),0)),0))</f>
        <v>0</v>
      </c>
      <c r="K33" s="62">
        <f t="shared" si="11"/>
        <v>18777.37525</v>
      </c>
      <c r="L33" s="44">
        <f t="shared" si="12"/>
        <v>79.32416194</v>
      </c>
      <c r="M33" s="44">
        <f t="array" ref="M33">IF(F33="","",IF(IFERROR(VLOOKUP(C33,$A$10:$M$13,13,FALSE),"")="FULL",IF(ROW()=MIN(IF($C$32:$C$47=C33,ROW($C$32:$C$47),10^9)),VLOOKUP(C33,$A$10:$M$13,11,FALSE),0),(F33-J33)/VLOOKUP(C33,$A$10:$M$13,5,FALSE)*VLOOKUP(C33,$A$10:$M$13,11,FALSE)))</f>
        <v>0</v>
      </c>
      <c r="N33" s="44">
        <f t="shared" si="13"/>
        <v>85.8</v>
      </c>
      <c r="O33" s="119"/>
    </row>
    <row r="34">
      <c r="A34" s="43">
        <v>46242.0</v>
      </c>
      <c r="B34" s="42" t="s">
        <v>178</v>
      </c>
      <c r="C34" s="42" t="s">
        <v>106</v>
      </c>
      <c r="D34" s="93">
        <f>HYPERLINK("https://drive.google.com/file/d/1-kgQyfQiqbYfqQZwcJYaRSDBaBRaAGQe/view?usp=drivesdk", 72160)</f>
        <v>72160</v>
      </c>
      <c r="E34" s="93">
        <f>HYPERLINK("https://drive.google.com/file/d/1vUV1OFgVx_0XNg1If02S_FlC-pdQhFoI/view?usp=drivesdk", 29200)</f>
        <v>29200</v>
      </c>
      <c r="F34" s="62">
        <f t="shared" si="8"/>
        <v>19486.31232</v>
      </c>
      <c r="G34" s="80">
        <v>2.86</v>
      </c>
      <c r="H34" s="62">
        <f t="shared" si="9"/>
        <v>251.3734289</v>
      </c>
      <c r="I34" s="62">
        <f t="shared" si="10"/>
        <v>37.50813084</v>
      </c>
      <c r="J34" s="62">
        <f t="array" ref="J34">IF(F34="","",IF(ROW()=MAX(IF($C$32:$C$47=C34,ROW($C$32:$C$47),0)),MAX(0,IFERROR(VLOOKUP(C34,$A$10:$L$13,6,FALSE)-VLOOKUP(C34,$A$10:$L$13,5,FALSE),0)),0))</f>
        <v>0</v>
      </c>
      <c r="K34" s="62">
        <f t="shared" si="11"/>
        <v>19197.43076</v>
      </c>
      <c r="L34" s="44">
        <f t="shared" si="12"/>
        <v>81.09866722</v>
      </c>
      <c r="M34" s="44">
        <f t="array" ref="M34">IF(F34="","",IF(IFERROR(VLOOKUP(C34,$A$10:$M$13,13,FALSE),"")="FULL",IF(ROW()=MIN(IF($C$32:$C$47=C34,ROW($C$32:$C$47),10^9)),VLOOKUP(C34,$A$10:$M$13,11,FALSE),0),(F34-J34)/VLOOKUP(C34,$A$10:$M$13,5,FALSE)*VLOOKUP(C34,$A$10:$M$13,11,FALSE)))</f>
        <v>0</v>
      </c>
      <c r="N34" s="44">
        <f t="shared" si="13"/>
        <v>85.8</v>
      </c>
      <c r="O34" s="119"/>
    </row>
    <row r="35">
      <c r="A35" s="43">
        <v>46242.0</v>
      </c>
      <c r="B35" s="42" t="s">
        <v>179</v>
      </c>
      <c r="C35" s="42" t="s">
        <v>106</v>
      </c>
      <c r="D35" s="93">
        <f>HYPERLINK("https://drive.google.com/file/d/1ZzNKPUJ-0Cf1hSemYBrdFrWJvNsLfwrS/view?usp=drivesdk", 70700)</f>
        <v>70700</v>
      </c>
      <c r="E35" s="93">
        <f>HYPERLINK("https://drive.google.com/file/d/1ByTSgmXxkJr3bG0qzn9uM14L-R8u9rRH/view?usp=drivesdk", 28580)</f>
        <v>28580</v>
      </c>
      <c r="F35" s="62">
        <f t="shared" si="8"/>
        <v>19105.29504</v>
      </c>
      <c r="G35" s="80">
        <v>2.86</v>
      </c>
      <c r="H35" s="31">
        <f t="shared" si="9"/>
        <v>246.458306</v>
      </c>
      <c r="I35" s="31">
        <f t="shared" si="10"/>
        <v>36.77473163</v>
      </c>
      <c r="J35" s="31">
        <f t="array" ref="J35">IF(F35="","",IF(ROW()=MAX(IF($C$32:$C$47=C35,ROW($C$32:$C$47),0)),MAX(0,IFERROR(VLOOKUP(C35,$A$10:$L$13,6,FALSE)-VLOOKUP(C35,$A$10:$L$13,5,FALSE),0)),0))</f>
        <v>0</v>
      </c>
      <c r="K35" s="31">
        <f t="shared" si="11"/>
        <v>18822.062</v>
      </c>
      <c r="L35" s="44">
        <f t="shared" si="12"/>
        <v>79.51293909</v>
      </c>
      <c r="M35" s="44">
        <f t="array" ref="M35">IF(F35="","",IF(IFERROR(VLOOKUP(C35,$A$10:$M$13,13,FALSE),"")="FULL",IF(ROW()=MIN(IF($C$32:$C$47=C35,ROW($C$32:$C$47),10^9)),VLOOKUP(C35,$A$10:$M$13,11,FALSE),0),(F35-J35)/VLOOKUP(C35,$A$10:$M$13,5,FALSE)*VLOOKUP(C35,$A$10:$M$13,11,FALSE)))</f>
        <v>0</v>
      </c>
      <c r="N35" s="44">
        <f t="shared" si="13"/>
        <v>85.8</v>
      </c>
      <c r="O35" s="48"/>
    </row>
    <row r="36">
      <c r="A36" s="43">
        <v>46242.0</v>
      </c>
      <c r="B36" s="42" t="s">
        <v>180</v>
      </c>
      <c r="C36" s="42" t="s">
        <v>93</v>
      </c>
      <c r="D36" s="93">
        <f>HYPERLINK("https://drive.google.com/file/d/11PVubNNfAQyMrxqrifpXqDdsWFWocnVE/view?usp=drivesdk", 73700)</f>
        <v>73700</v>
      </c>
      <c r="E36" s="93">
        <f>HYPERLINK("https://drive.google.com/file/d/1rqhDqgFEO0nhNb4XFxe9VZmQ7TcbEi9j/view?usp=drivesdk", 28740)</f>
        <v>28740</v>
      </c>
      <c r="F36" s="62">
        <f t="shared" si="8"/>
        <v>20393.49632</v>
      </c>
      <c r="G36" s="80">
        <v>2.86</v>
      </c>
      <c r="H36" s="31">
        <f t="shared" si="9"/>
        <v>263.0761025</v>
      </c>
      <c r="I36" s="31">
        <f t="shared" si="10"/>
        <v>39.25431942</v>
      </c>
      <c r="J36" s="62">
        <f t="array" ref="J36">IF(F36="","",IF(ROW()=MAX(IF($C$32:$C$47=C36,ROW($C$32:$C$47),0)),MAX(0,IFERROR(VLOOKUP(C36,$A$10:$L$13,6,FALSE)-VLOOKUP(C36,$A$10:$L$13,5,FALSE),0)),0))</f>
        <v>0</v>
      </c>
      <c r="K36" s="31">
        <f t="shared" si="11"/>
        <v>20091.1659</v>
      </c>
      <c r="L36" s="44">
        <f t="shared" si="12"/>
        <v>84.16819252</v>
      </c>
      <c r="M36" s="44">
        <f t="array" ref="M36">IF(F36="","",IF(IFERROR(VLOOKUP(C36,$A$10:$M$13,13,FALSE),"")="FULL",IF(ROW()=MIN(IF($C$32:$C$47=C36,ROW($C$32:$C$47),10^9)),VLOOKUP(C36,$A$10:$M$13,11,FALSE),0),(F36-J36)/VLOOKUP(C36,$A$10:$M$13,5,FALSE)*VLOOKUP(C36,$A$10:$M$13,11,FALSE)))</f>
        <v>2199</v>
      </c>
      <c r="N36" s="44">
        <f t="shared" si="13"/>
        <v>85.8</v>
      </c>
      <c r="O36" s="48"/>
    </row>
    <row r="37">
      <c r="A37" s="43">
        <v>46242.0</v>
      </c>
      <c r="B37" s="42" t="s">
        <v>181</v>
      </c>
      <c r="C37" s="42" t="s">
        <v>93</v>
      </c>
      <c r="D37" s="125">
        <f>HYPERLINK("https://drive.google.com/file/d/1Sr5jD6KKo1_rC1mypGcGbGnTVlBCLHaw/view?usp=drivesdk", 72040)</f>
        <v>72040</v>
      </c>
      <c r="E37" s="125">
        <f>HYPERLINK("https://drive.google.com/file/d/1zES0Ij19QzDdjMb6qF4SRTaiVcT5SZHS/view?usp=drivesdk", 29160)</f>
        <v>29160</v>
      </c>
      <c r="F37" s="62">
        <f t="shared" si="8"/>
        <v>19450.02496</v>
      </c>
      <c r="G37" s="80">
        <v>2.86</v>
      </c>
      <c r="H37" s="31">
        <f t="shared" si="9"/>
        <v>250.905322</v>
      </c>
      <c r="I37" s="31">
        <f t="shared" si="10"/>
        <v>37.43828329</v>
      </c>
      <c r="J37" s="62">
        <f t="array" ref="J37">IF(F37="","",IF(ROW()=MAX(IF($C$32:$C$47=C37,ROW($C$32:$C$47),0)),MAX(0,IFERROR(VLOOKUP(C37,$A$10:$L$13,6,FALSE)-VLOOKUP(C37,$A$10:$L$13,5,FALSE),0)),0))</f>
        <v>0</v>
      </c>
      <c r="K37" s="31">
        <f t="shared" si="11"/>
        <v>19161.68135</v>
      </c>
      <c r="L37" s="44">
        <f t="shared" si="12"/>
        <v>80.27429037</v>
      </c>
      <c r="M37" s="44">
        <f t="array" ref="M37">IF(F37="","",IF(IFERROR(VLOOKUP(C37,$A$10:$M$13,13,FALSE),"")="FULL",IF(ROW()=MIN(IF($C$32:$C$47=C37,ROW($C$32:$C$47),10^9)),VLOOKUP(C37,$A$10:$M$13,11,FALSE),0),(F37-J37)/VLOOKUP(C37,$A$10:$M$13,5,FALSE)*VLOOKUP(C37,$A$10:$M$13,11,FALSE)))</f>
        <v>0</v>
      </c>
      <c r="N37" s="44">
        <f t="shared" si="13"/>
        <v>85.8</v>
      </c>
      <c r="O37" s="48"/>
    </row>
    <row r="38">
      <c r="A38" s="43">
        <v>46242.0</v>
      </c>
      <c r="B38" s="42" t="s">
        <v>182</v>
      </c>
      <c r="C38" s="42" t="s">
        <v>93</v>
      </c>
      <c r="D38" s="125">
        <f>HYPERLINK("https://drive.google.com/file/d/1UgV3XFcigs9O0NFfLGT6UXjTO-R_Gg-X/view?usp=drivesdk", 73080)</f>
        <v>73080</v>
      </c>
      <c r="E38" s="125">
        <f>HYPERLINK("https://drive.google.com/file/d/1Pf_4eSBobOK-YSbjrM_m8Zzo6AsSG2rh/view?usp=drivesdk", 28480)</f>
        <v>28480</v>
      </c>
      <c r="F38" s="62">
        <f t="shared" si="8"/>
        <v>20230.2032</v>
      </c>
      <c r="G38" s="80">
        <v>2.86</v>
      </c>
      <c r="H38" s="31">
        <f t="shared" si="9"/>
        <v>260.9696213</v>
      </c>
      <c r="I38" s="31">
        <f t="shared" si="10"/>
        <v>38.94000548</v>
      </c>
      <c r="J38" s="62">
        <f t="array" ref="J38">IF(F38="","",IF(ROW()=MAX(IF($C$32:$C$47=C38,ROW($C$32:$C$47),0)),MAX(0,IFERROR(VLOOKUP(C38,$A$10:$L$13,6,FALSE)-VLOOKUP(C38,$A$10:$L$13,5,FALSE),0)),0))</f>
        <v>0</v>
      </c>
      <c r="K38" s="31">
        <f t="shared" si="11"/>
        <v>19930.29357</v>
      </c>
      <c r="L38" s="44">
        <f t="shared" si="12"/>
        <v>83.49424791</v>
      </c>
      <c r="M38" s="44">
        <f t="array" ref="M38">IF(F38="","",IF(IFERROR(VLOOKUP(C38,$A$10:$M$13,13,FALSE),"")="FULL",IF(ROW()=MIN(IF($C$32:$C$47=C38,ROW($C$32:$C$47),10^9)),VLOOKUP(C38,$A$10:$M$13,11,FALSE),0),(F38-J38)/VLOOKUP(C38,$A$10:$M$13,5,FALSE)*VLOOKUP(C38,$A$10:$M$13,11,FALSE)))</f>
        <v>0</v>
      </c>
      <c r="N38" s="44">
        <f t="shared" si="13"/>
        <v>85.8</v>
      </c>
      <c r="O38" s="48"/>
    </row>
    <row r="39">
      <c r="A39" s="43">
        <v>46242.0</v>
      </c>
      <c r="B39" s="42" t="s">
        <v>183</v>
      </c>
      <c r="C39" s="42" t="s">
        <v>93</v>
      </c>
      <c r="D39" s="125">
        <f>HYPERLINK("https://drive.google.com/file/d/1xsNbU2vieH9HazUvy9q0XEy6pG4PAKsE/view?usp=drivesdk", 69760)</f>
        <v>69760</v>
      </c>
      <c r="E39" s="126">
        <f>HYPERLINK("https://drive.google.com/file/d/14LgyTiWGR2U74LVQZvKYzzl8Gu9MXZQe/view?usp=drivesdk", 29480)</f>
        <v>29480</v>
      </c>
      <c r="F39" s="31">
        <f t="shared" si="8"/>
        <v>18270.68576</v>
      </c>
      <c r="G39" s="80">
        <v>2.86</v>
      </c>
      <c r="H39" s="31">
        <f t="shared" si="9"/>
        <v>233.0549542</v>
      </c>
      <c r="I39" s="31">
        <f t="shared" si="10"/>
        <v>34.7747801</v>
      </c>
      <c r="J39" s="31">
        <f t="array" ref="J39">IF(F39="","",IF(ROW()=MAX(IF($C$32:$C$47=C39,ROW($C$32:$C$47),0)),MAX(0,IFERROR(VLOOKUP(C39,$A$10:$L$13,6,FALSE)-VLOOKUP(C39,$A$10:$L$13,5,FALSE),0)),0))</f>
        <v>204.41024</v>
      </c>
      <c r="K39" s="31">
        <f t="shared" si="11"/>
        <v>17798.44579</v>
      </c>
      <c r="L39" s="44">
        <f t="shared" si="12"/>
        <v>74.5632692</v>
      </c>
      <c r="M39" s="44">
        <f t="array" ref="M39">IF(F39="","",IF(IFERROR(VLOOKUP(C39,$A$10:$M$13,13,FALSE),"")="FULL",IF(ROW()=MIN(IF($C$32:$C$47=C39,ROW($C$32:$C$47),10^9)),VLOOKUP(C39,$A$10:$M$13,11,FALSE),0),(F39-J39)/VLOOKUP(C39,$A$10:$M$13,5,FALSE)*VLOOKUP(C39,$A$10:$M$13,11,FALSE)))</f>
        <v>0</v>
      </c>
      <c r="N39" s="44">
        <f t="shared" si="13"/>
        <v>85.8</v>
      </c>
      <c r="O39" s="48"/>
    </row>
    <row r="40">
      <c r="A40" s="43">
        <v>46242.0</v>
      </c>
      <c r="B40" s="42" t="s">
        <v>184</v>
      </c>
      <c r="C40" s="42" t="s">
        <v>84</v>
      </c>
      <c r="D40" s="125">
        <f>HYPERLINK("https://drive.google.com/file/d/1iSiIzj6TH3CPX1yoCdp75jBwV1rte0b5/view?usp=drivesdk", 71340)</f>
        <v>71340</v>
      </c>
      <c r="E40" s="125">
        <f>HYPERLINK("https://drive.google.com/file/d/1fViqGX5svU8nyvNYwMkhtMPks0FkPl2n/view?usp=drivesdk", 29180)</f>
        <v>29180</v>
      </c>
      <c r="F40" s="31">
        <f t="shared" si="8"/>
        <v>19123.43872</v>
      </c>
      <c r="G40" s="80">
        <v>2.86</v>
      </c>
      <c r="H40" s="31">
        <f t="shared" si="9"/>
        <v>246.6923595</v>
      </c>
      <c r="I40" s="31">
        <f t="shared" si="10"/>
        <v>36.8096554</v>
      </c>
      <c r="J40" s="62">
        <f t="array" ref="J40">IF(F40="","",IF(ROW()=MAX(IF($C$32:$C$47=C40,ROW($C$32:$C$47),0)),MAX(0,IFERROR(VLOOKUP(C40,$A$10:$L$13,6,FALSE)-VLOOKUP(C40,$A$10:$L$13,5,FALSE),0)),0))</f>
        <v>0</v>
      </c>
      <c r="K40" s="31">
        <f t="shared" si="11"/>
        <v>18839.93671</v>
      </c>
      <c r="L40" s="44">
        <f t="shared" si="12"/>
        <v>78.9365031</v>
      </c>
      <c r="M40" s="44">
        <f t="array" ref="M40">IF(F40="","",IF(IFERROR(VLOOKUP(C40,$A$10:$M$13,13,FALSE),"")="FULL",IF(ROW()=MIN(IF($C$32:$C$47=C40,ROW($C$32:$C$47),10^9)),VLOOKUP(C40,$A$10:$M$13,11,FALSE),0),(F40-J40)/VLOOKUP(C40,$A$10:$M$13,5,FALSE)*VLOOKUP(C40,$A$10:$M$13,11,FALSE)))</f>
        <v>538.2368072</v>
      </c>
      <c r="N40" s="44">
        <f t="shared" si="13"/>
        <v>85.8</v>
      </c>
      <c r="O40" s="48"/>
    </row>
    <row r="41">
      <c r="A41" s="43">
        <v>46242.0</v>
      </c>
      <c r="B41" s="42" t="s">
        <v>185</v>
      </c>
      <c r="C41" s="42" t="s">
        <v>84</v>
      </c>
      <c r="D41" s="125">
        <f>HYPERLINK("https://drive.google.com/file/d/1GSX35ofsXYHhAoT2yowhrAJ8sGvuFocF/view?usp=drivesdk", 72100)</f>
        <v>72100</v>
      </c>
      <c r="E41" s="125">
        <f>HYPERLINK("https://drive.google.com/file/d/1IVs8mKJTw_fuJj4Q4d_sCj4mvcs2upiM/view?usp=drivesdk", 28600)</f>
        <v>28600</v>
      </c>
      <c r="F41" s="31">
        <f t="shared" si="8"/>
        <v>19731.252</v>
      </c>
      <c r="G41" s="80">
        <v>2.86</v>
      </c>
      <c r="H41" s="127">
        <f t="shared" si="9"/>
        <v>254.5331508</v>
      </c>
      <c r="I41" s="127">
        <f t="shared" si="10"/>
        <v>37.97960176</v>
      </c>
      <c r="J41" s="128">
        <f t="array" ref="J41">IF(F41="","",IF(ROW()=MAX(IF($C$32:$C$47=C41,ROW($C$32:$C$47),0)),MAX(0,IFERROR(VLOOKUP(C41,$A$10:$L$13,6,FALSE)-VLOOKUP(C41,$A$10:$L$13,5,FALSE),0)),0))</f>
        <v>0</v>
      </c>
      <c r="K41" s="31">
        <f t="shared" si="11"/>
        <v>19438.73925</v>
      </c>
      <c r="L41" s="129">
        <f t="shared" si="12"/>
        <v>81.44539575</v>
      </c>
      <c r="M41" s="129">
        <f t="array" ref="M41">IF(F41="","",IF(IFERROR(VLOOKUP(C41,$A$10:$M$13,13,FALSE),"")="FULL",IF(ROW()=MIN(IF($C$32:$C$47=C41,ROW($C$32:$C$47),10^9)),VLOOKUP(C41,$A$10:$M$13,11,FALSE),0),(F41-J41)/VLOOKUP(C41,$A$10:$M$13,5,FALSE)*VLOOKUP(C41,$A$10:$M$13,11,FALSE)))</f>
        <v>555.3439543</v>
      </c>
      <c r="N41" s="48">
        <f t="shared" si="13"/>
        <v>85.8</v>
      </c>
      <c r="O41" s="48"/>
    </row>
    <row r="42" ht="16.5" customHeight="1">
      <c r="A42" s="43">
        <v>46242.0</v>
      </c>
      <c r="B42" s="42" t="s">
        <v>186</v>
      </c>
      <c r="C42" s="42" t="s">
        <v>100</v>
      </c>
      <c r="D42" s="93">
        <f>HYPERLINK("https://drive.google.com/file/d/19jpCR1bBJHwxkjZrTsN5LMdTn0LaiWdq/view?usp=drivesdk", 70560)</f>
        <v>70560</v>
      </c>
      <c r="E42" s="93">
        <f>HYPERLINK("https://drive.google.com/file/d/1EHL0A3ALBnT3cgcGJY7Xd3vLgSttuAIs/view?usp=drivesdk", 29260)</f>
        <v>29260</v>
      </c>
      <c r="F42" s="31">
        <f t="shared" si="8"/>
        <v>18733.3496</v>
      </c>
      <c r="G42" s="80">
        <v>2.86</v>
      </c>
      <c r="H42" s="127">
        <f t="shared" si="9"/>
        <v>241.6602098</v>
      </c>
      <c r="I42" s="127">
        <f t="shared" si="10"/>
        <v>36.05879431</v>
      </c>
      <c r="J42" s="128">
        <f t="array" ref="J42">IF(F42="","",IF(ROW()=MAX(IF($C$32:$C$47=C42,ROW($C$32:$C$47),0)),MAX(0,IFERROR(VLOOKUP(C42,$A$10:$L$13,6,FALSE)-VLOOKUP(C42,$A$10:$L$13,5,FALSE),0)),0))</f>
        <v>0</v>
      </c>
      <c r="K42" s="31">
        <f t="shared" si="11"/>
        <v>18455.6306</v>
      </c>
      <c r="L42" s="129">
        <f t="shared" si="12"/>
        <v>77.47506086</v>
      </c>
      <c r="M42" s="129">
        <f t="array" ref="M42">IF(F42="","",IF(IFERROR(VLOOKUP(C42,$A$10:$M$13,13,FALSE),"")="FULL",IF(ROW()=MIN(IF($C$32:$C$47=C42,ROW($C$32:$C$47),10^9)),VLOOKUP(C42,$A$10:$M$13,11,FALSE),0),(F42-J42)/VLOOKUP(C42,$A$10:$M$13,5,FALSE)*VLOOKUP(C42,$A$10:$M$13,11,FALSE)))</f>
        <v>528.2718103</v>
      </c>
      <c r="N42" s="48">
        <f t="shared" si="13"/>
        <v>85.8</v>
      </c>
      <c r="O42" s="48"/>
      <c r="P42" s="2"/>
      <c r="Q42" s="2"/>
      <c r="R42" s="2"/>
    </row>
    <row r="43">
      <c r="A43" s="43"/>
      <c r="B43" s="42"/>
      <c r="C43" s="42"/>
      <c r="D43" s="30"/>
      <c r="E43" s="30"/>
      <c r="F43" s="62" t="str">
        <f t="shared" si="8"/>
        <v/>
      </c>
      <c r="G43" s="30"/>
      <c r="H43" s="130"/>
      <c r="I43" s="130"/>
      <c r="J43" s="131"/>
      <c r="K43" s="131"/>
      <c r="L43" s="132"/>
      <c r="M43" s="132" t="str">
        <f t="array" ref="M43">IF(F43="","",IF(IFERROR(VLOOKUP(C43,$A$10:$M$13,13,FALSE),"")="FULL",IF(ROW()=MIN(IF($C$32:$C$47=C43,ROW($C$32:$C$47),10^9)),VLOOKUP(C43,$A$10:$M$13,11,FALSE),0),(F43-J43)/VLOOKUP(C43,$A$10:$M$13,5,FALSE)*VLOOKUP(C43,$A$10:$M$13,11,FALSE)))</f>
        <v/>
      </c>
      <c r="N43" s="48"/>
      <c r="O43" s="48"/>
      <c r="P43" s="12"/>
      <c r="Q43" s="12"/>
      <c r="R43" s="12"/>
    </row>
    <row r="44">
      <c r="A44" s="43"/>
      <c r="B44" s="30"/>
      <c r="C44" s="30"/>
      <c r="D44" s="44"/>
      <c r="E44" s="44"/>
      <c r="F44" s="31" t="str">
        <f t="shared" si="8"/>
        <v/>
      </c>
      <c r="G44" s="80"/>
      <c r="H44" s="127"/>
      <c r="I44" s="127"/>
      <c r="J44" s="131"/>
      <c r="K44" s="133"/>
      <c r="L44" s="129"/>
      <c r="M44" s="129" t="str">
        <f t="array" ref="M44">IF(F44="","",IF(IFERROR(VLOOKUP(C44,$A$10:$M$13,13,FALSE),"")="FULL",IF(ROW()=MIN(IF($C$32:$C$47=C44,ROW($C$32:$C$47),10^9)),VLOOKUP(C44,$A$10:$M$13,11,FALSE),0),(F44-J44)/VLOOKUP(C44,$A$10:$M$13,5,FALSE)*VLOOKUP(C44,$A$10:$M$13,11,FALSE)))</f>
        <v/>
      </c>
      <c r="N44" s="48"/>
      <c r="O44" s="48"/>
    </row>
    <row r="45">
      <c r="A45" s="43"/>
      <c r="B45" s="42"/>
      <c r="C45" s="42"/>
      <c r="D45" s="44"/>
      <c r="E45" s="44"/>
      <c r="F45" s="31" t="str">
        <f t="shared" si="8"/>
        <v/>
      </c>
      <c r="G45" s="80"/>
      <c r="H45" s="127"/>
      <c r="I45" s="127"/>
      <c r="J45" s="128"/>
      <c r="K45" s="55"/>
      <c r="L45" s="129"/>
      <c r="M45" s="129" t="str">
        <f t="array" ref="M45">IF(F45="","",IF(IFERROR(VLOOKUP(C45,$A$10:$M$13,13,FALSE),"")="FULL",IF(ROW()=MIN(IF($C$32:$C$47=C45,ROW($C$32:$C$47),10^9)),VLOOKUP(C45,$A$10:$M$13,11,FALSE),0),(F45-J45)/VLOOKUP(C45,$A$10:$M$13,5,FALSE)*VLOOKUP(C45,$A$10:$M$13,11,FALSE)))</f>
        <v/>
      </c>
      <c r="N45" s="48"/>
      <c r="O45" s="48"/>
    </row>
    <row r="46">
      <c r="A46" s="43"/>
      <c r="B46" s="42"/>
      <c r="C46" s="42"/>
      <c r="D46" s="44"/>
      <c r="E46" s="44"/>
      <c r="F46" s="31" t="str">
        <f t="shared" si="8"/>
        <v/>
      </c>
      <c r="G46" s="80"/>
      <c r="H46" s="127"/>
      <c r="I46" s="127"/>
      <c r="J46" s="128"/>
      <c r="K46" s="55"/>
      <c r="L46" s="129"/>
      <c r="M46" s="129" t="str">
        <f t="array" ref="M46">IF(F46="","",IF(IFERROR(VLOOKUP(C46,$A$10:$M$13,13,FALSE),"")="FULL",IF(ROW()=MIN(IF($C$32:$C$47=C46,ROW($C$32:$C$47),10^9)),VLOOKUP(C46,$A$10:$M$13,11,FALSE),0),(F46-J46)/VLOOKUP(C46,$A$10:$M$13,5,FALSE)*VLOOKUP(C46,$A$10:$M$13,11,FALSE)))</f>
        <v/>
      </c>
      <c r="N46" s="48"/>
      <c r="O46" s="48"/>
    </row>
    <row r="47">
      <c r="A47" s="43"/>
      <c r="B47" s="42"/>
      <c r="C47" s="42"/>
      <c r="D47" s="30"/>
      <c r="E47" s="30"/>
      <c r="F47" s="62" t="str">
        <f t="shared" si="8"/>
        <v/>
      </c>
      <c r="G47" s="80"/>
      <c r="H47" s="127"/>
      <c r="I47" s="127"/>
      <c r="J47" s="134"/>
      <c r="K47" s="55"/>
      <c r="L47" s="129"/>
      <c r="M47" s="129" t="str">
        <f t="array" ref="M47">IF(F47="","",IF(IFERROR(VLOOKUP(C47,$A$10:$M$13,13,FALSE),"")="FULL",IF(ROW()=MIN(IF($C$32:$C$47=C47,ROW($C$32:$C$47),10^9)),VLOOKUP(C47,$A$10:$M$13,11,FALSE),0),(F47-J47)/VLOOKUP(C47,$A$10:$M$13,5,FALSE)*VLOOKUP(C47,$A$10:$M$13,11,FALSE)))</f>
        <v/>
      </c>
      <c r="N47" s="48"/>
      <c r="O47" s="48"/>
    </row>
    <row r="48">
      <c r="A48" s="3" t="s">
        <v>187</v>
      </c>
      <c r="D48" s="17"/>
      <c r="E48" s="17"/>
      <c r="F48" s="17"/>
      <c r="G48" s="18"/>
      <c r="L48" s="17">
        <f t="shared" ref="L48:N48" si="14">SUM(L32:L47)</f>
        <v>882.5618136</v>
      </c>
      <c r="M48" s="17">
        <f t="shared" si="14"/>
        <v>6019.852572</v>
      </c>
      <c r="N48" s="17">
        <f t="shared" si="14"/>
        <v>943.8</v>
      </c>
    </row>
    <row r="49">
      <c r="A49" s="14"/>
    </row>
    <row r="50">
      <c r="A50" s="135" t="s">
        <v>188</v>
      </c>
      <c r="B50" s="136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</row>
    <row r="51">
      <c r="A51" s="4" t="s">
        <v>189</v>
      </c>
      <c r="B51" s="4" t="s">
        <v>190</v>
      </c>
      <c r="C51" s="4" t="s">
        <v>191</v>
      </c>
      <c r="D51" s="4" t="s">
        <v>192</v>
      </c>
      <c r="E51" s="4" t="s">
        <v>33</v>
      </c>
      <c r="F51" s="4" t="s">
        <v>34</v>
      </c>
      <c r="G51" s="4" t="s">
        <v>35</v>
      </c>
      <c r="H51" s="4" t="s">
        <v>31</v>
      </c>
      <c r="I51" s="4"/>
      <c r="N51" s="3" t="s">
        <v>58</v>
      </c>
    </row>
    <row r="52">
      <c r="A52" s="17">
        <f>SUM(I10:I13)</f>
        <v>213351.5331</v>
      </c>
      <c r="B52" s="68">
        <f>SUM(F32:F47)</f>
        <v>213351.5331</v>
      </c>
      <c r="C52" s="17">
        <f>SUM(J32:J47)</f>
        <v>204.41024</v>
      </c>
      <c r="D52" s="68">
        <f>B52-C52</f>
        <v>213147.1229</v>
      </c>
      <c r="E52" s="17">
        <f t="shared" ref="E52:F52" si="15">SUM(H32:H47)</f>
        <v>2749.597885</v>
      </c>
      <c r="F52" s="17">
        <f t="shared" si="15"/>
        <v>410.2751737</v>
      </c>
      <c r="G52" s="17">
        <f>SUM(K32:K47)</f>
        <v>209987.2498</v>
      </c>
      <c r="H52" s="39">
        <f>IFERROR(AVERAGE(G32:G47),"")</f>
        <v>2.86</v>
      </c>
      <c r="N52" s="39" t="str">
        <f>IFERROR(__xludf.DUMMYFUNCTION("TRIM(TEXTJOIN("", "",TRUE,IFERROR(FILTER(B17:B28,B17:B28&lt;&gt;""""),"""")))"),"2418-R, 2419-R, 2423-R, 2421-R, 2422-R, 2420-R, 2412-R, 2413-R, 2414-R, 2424-R, 2425-R, 2426-R")</f>
        <v>2418-R, 2419-R, 2423-R, 2421-R, 2422-R, 2420-R, 2412-R, 2413-R, 2414-R, 2424-R, 2425-R, 2426-R</v>
      </c>
    </row>
    <row r="53">
      <c r="A53" s="14"/>
    </row>
    <row r="55">
      <c r="A55" s="14"/>
    </row>
    <row r="56">
      <c r="A56" s="14"/>
    </row>
    <row r="57">
      <c r="A57" s="14"/>
      <c r="E57" s="3" t="s">
        <v>145</v>
      </c>
    </row>
    <row r="58">
      <c r="A58" s="14"/>
    </row>
    <row r="59">
      <c r="A59" s="14"/>
    </row>
    <row r="60">
      <c r="A60" s="1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46235.0</v>
      </c>
      <c r="K3" s="4" t="s">
        <v>10</v>
      </c>
      <c r="L3" s="6">
        <v>2.20462</v>
      </c>
    </row>
    <row r="4">
      <c r="A4" s="3" t="s">
        <v>9</v>
      </c>
      <c r="B4" s="5">
        <v>46242.0</v>
      </c>
      <c r="K4" s="4" t="s">
        <v>12</v>
      </c>
      <c r="L4" s="6">
        <v>0.453592</v>
      </c>
    </row>
    <row r="5">
      <c r="K5" s="4" t="s">
        <v>14</v>
      </c>
      <c r="L5" s="6">
        <v>0.0129</v>
      </c>
    </row>
    <row r="6">
      <c r="K6" s="4" t="s">
        <v>16</v>
      </c>
      <c r="L6" s="3" t="s">
        <v>18</v>
      </c>
    </row>
    <row r="7">
      <c r="K7" s="3" t="s">
        <v>19</v>
      </c>
      <c r="L7" s="6">
        <v>0.795241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1" t="s">
        <v>22</v>
      </c>
      <c r="L8" s="7">
        <v>7.84</v>
      </c>
      <c r="M8" s="10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11"/>
      <c r="B9" s="15" t="s">
        <v>37</v>
      </c>
      <c r="D9" s="15" t="s">
        <v>38</v>
      </c>
      <c r="F9" s="15" t="s">
        <v>39</v>
      </c>
      <c r="G9" s="11"/>
      <c r="H9" s="11"/>
      <c r="I9" s="11"/>
      <c r="J9" s="20"/>
      <c r="K9" s="4" t="s">
        <v>40</v>
      </c>
      <c r="L9" s="12"/>
      <c r="M9" s="12"/>
    </row>
    <row r="10">
      <c r="A10" s="15" t="s">
        <v>41</v>
      </c>
      <c r="B10" s="15" t="s">
        <v>42</v>
      </c>
      <c r="C10" s="21" t="s">
        <v>43</v>
      </c>
      <c r="D10" s="22" t="s">
        <v>44</v>
      </c>
      <c r="E10" s="21" t="s">
        <v>45</v>
      </c>
      <c r="F10" s="22" t="s">
        <v>46</v>
      </c>
      <c r="G10" s="24" t="s">
        <v>48</v>
      </c>
      <c r="H10" s="26" t="s">
        <v>49</v>
      </c>
      <c r="I10" s="9" t="s">
        <v>51</v>
      </c>
      <c r="J10" s="9" t="s">
        <v>53</v>
      </c>
      <c r="K10" s="3" t="s">
        <v>55</v>
      </c>
      <c r="L10" s="6">
        <v>0.7128290192302931</v>
      </c>
      <c r="M10" s="8" t="str">
        <f>HYPERLINK("https://docs.google.com/spreadsheets/d/1L167k_JS3mnisFy3VpS-OXgI8U0cK-4nC6A9sxl-ozk/edit","PP Summary")</f>
        <v>PP Summary</v>
      </c>
    </row>
    <row r="11">
      <c r="A11" s="29">
        <v>301011.0</v>
      </c>
      <c r="B11" s="30">
        <v>1229.0</v>
      </c>
      <c r="C11" s="30">
        <v>57.6</v>
      </c>
      <c r="D11" s="31">
        <f t="shared" ref="D11:D27" si="1">B11-C11</f>
        <v>1171.4</v>
      </c>
      <c r="E11" s="30">
        <f t="shared" ref="E11:E27" si="2">$L$8</f>
        <v>7.84</v>
      </c>
      <c r="F11" s="31">
        <f t="shared" ref="F11:F27" si="3">D11-E11</f>
        <v>1163.56</v>
      </c>
      <c r="G11" s="33" t="s">
        <v>59</v>
      </c>
      <c r="H11" s="36">
        <f t="shared" ref="H11:H13" si="4">$L$14</f>
        <v>0.8498961226</v>
      </c>
      <c r="I11" s="31">
        <f t="shared" ref="I11:I27" si="5">IF(H11="","",H11*D11)</f>
        <v>995.568318</v>
      </c>
      <c r="J11" s="37">
        <f t="shared" ref="J11:J27" si="6">2.5*$L$4</f>
        <v>1.13398</v>
      </c>
      <c r="K11" s="38">
        <v>45962.0</v>
      </c>
      <c r="L11" s="6">
        <v>0.9748408534875329</v>
      </c>
      <c r="M11" s="8" t="str">
        <f>HYPERLINK("https://docs.google.com/spreadsheets/d/1W8jWu3sp39WnSuds1Ja0FWDG5UuWN9v5NUmF6yh_WbI/edit","PP Summary")</f>
        <v>PP Summary</v>
      </c>
    </row>
    <row r="12">
      <c r="A12" s="29">
        <v>300051.0</v>
      </c>
      <c r="B12" s="30">
        <v>1103.0</v>
      </c>
      <c r="C12" s="30">
        <v>57.6</v>
      </c>
      <c r="D12" s="31">
        <f t="shared" si="1"/>
        <v>1045.4</v>
      </c>
      <c r="E12" s="30">
        <f t="shared" si="2"/>
        <v>7.84</v>
      </c>
      <c r="F12" s="31">
        <f t="shared" si="3"/>
        <v>1037.56</v>
      </c>
      <c r="G12" s="33" t="s">
        <v>60</v>
      </c>
      <c r="H12" s="36">
        <f t="shared" si="4"/>
        <v>0.8498961226</v>
      </c>
      <c r="I12" s="31">
        <f t="shared" si="5"/>
        <v>888.4814066</v>
      </c>
      <c r="J12" s="37">
        <f t="shared" si="6"/>
        <v>1.13398</v>
      </c>
      <c r="K12" s="38">
        <v>45992.0</v>
      </c>
      <c r="L12" s="6">
        <v>0.9721828239230533</v>
      </c>
      <c r="M12" s="8" t="str">
        <f>HYPERLINK("https://docs.google.com/spreadsheets/d/1-L6m2wYknC3o-yIts9KK7FrYAb5lZIv4AwaizK8FbMc/edit","PP Summary")</f>
        <v>PP Summary</v>
      </c>
    </row>
    <row r="13">
      <c r="A13" s="29">
        <v>301031.0</v>
      </c>
      <c r="B13" s="30">
        <v>1151.0</v>
      </c>
      <c r="C13" s="30">
        <v>57.6</v>
      </c>
      <c r="D13" s="31">
        <f t="shared" si="1"/>
        <v>1093.4</v>
      </c>
      <c r="E13" s="30">
        <f t="shared" si="2"/>
        <v>7.84</v>
      </c>
      <c r="F13" s="31">
        <f t="shared" si="3"/>
        <v>1085.56</v>
      </c>
      <c r="G13" s="33" t="s">
        <v>65</v>
      </c>
      <c r="H13" s="36">
        <f t="shared" si="4"/>
        <v>0.8498961226</v>
      </c>
      <c r="I13" s="31">
        <f t="shared" si="5"/>
        <v>929.2764204</v>
      </c>
      <c r="J13" s="37">
        <f t="shared" si="6"/>
        <v>1.13398</v>
      </c>
      <c r="K13" s="38">
        <v>46023.0</v>
      </c>
      <c r="L13" s="6">
        <v>0.9319944877512889</v>
      </c>
      <c r="M13" s="8" t="str">
        <f>HYPERLINK("https://docs.google.com/spreadsheets/d/1bPZ7pNsR5rv-om-BypF4lK3nczjn4HJNO2dzimwnx7E/edit","PP Summary")</f>
        <v>PP Summary</v>
      </c>
    </row>
    <row r="14">
      <c r="A14" s="29">
        <v>301199.0</v>
      </c>
      <c r="B14" s="30">
        <v>1180.0</v>
      </c>
      <c r="C14" s="30">
        <v>57.6</v>
      </c>
      <c r="D14" s="31">
        <f t="shared" si="1"/>
        <v>1122.4</v>
      </c>
      <c r="E14" s="30">
        <f t="shared" si="2"/>
        <v>7.84</v>
      </c>
      <c r="F14" s="31">
        <f t="shared" si="3"/>
        <v>1114.56</v>
      </c>
      <c r="G14" s="33" t="s">
        <v>72</v>
      </c>
      <c r="H14" s="36">
        <f t="shared" ref="H14:H18" si="7">$L$18</f>
        <v>1.110535564</v>
      </c>
      <c r="I14" s="31">
        <f t="shared" si="5"/>
        <v>1246.465117</v>
      </c>
      <c r="J14" s="37">
        <f t="shared" si="6"/>
        <v>1.13398</v>
      </c>
      <c r="K14" s="38">
        <v>46054.0</v>
      </c>
      <c r="L14" s="6">
        <v>0.84989612258998</v>
      </c>
      <c r="M14" s="8" t="str">
        <f>HYPERLINK("https://docs.google.com/spreadsheets/d/1vH7bborVnc-TCby3wEkpzi7GGMOI5jMJooEW0V-rOQ4/edit","PP Summary")</f>
        <v>PP Summary</v>
      </c>
    </row>
    <row r="15">
      <c r="A15" s="29">
        <v>301203.0</v>
      </c>
      <c r="B15" s="30">
        <v>1078.0</v>
      </c>
      <c r="C15" s="30">
        <v>57.6</v>
      </c>
      <c r="D15" s="31">
        <f t="shared" si="1"/>
        <v>1020.4</v>
      </c>
      <c r="E15" s="30">
        <f t="shared" si="2"/>
        <v>7.84</v>
      </c>
      <c r="F15" s="31">
        <f t="shared" si="3"/>
        <v>1012.56</v>
      </c>
      <c r="G15" s="33" t="s">
        <v>86</v>
      </c>
      <c r="H15" s="36">
        <f t="shared" si="7"/>
        <v>1.110535564</v>
      </c>
      <c r="I15" s="31">
        <f t="shared" si="5"/>
        <v>1133.190489</v>
      </c>
      <c r="J15" s="37">
        <f t="shared" si="6"/>
        <v>1.13398</v>
      </c>
      <c r="K15" s="38">
        <v>46082.0</v>
      </c>
      <c r="L15" s="6">
        <v>0.7900645329689984</v>
      </c>
      <c r="M15" s="8" t="str">
        <f>HYPERLINK("https://docs.google.com/spreadsheets/d/1O7y30opa_u1_deqFm_w2qgVyxi_75X00xnzKuyVyh6o/edit","PP Summary")</f>
        <v>PP Summary</v>
      </c>
    </row>
    <row r="16">
      <c r="A16" s="29">
        <v>301205.0</v>
      </c>
      <c r="B16" s="30">
        <v>1194.0</v>
      </c>
      <c r="C16" s="30">
        <v>57.6</v>
      </c>
      <c r="D16" s="31">
        <f t="shared" si="1"/>
        <v>1136.4</v>
      </c>
      <c r="E16" s="30">
        <f t="shared" si="2"/>
        <v>7.84</v>
      </c>
      <c r="F16" s="31">
        <f t="shared" si="3"/>
        <v>1128.56</v>
      </c>
      <c r="G16" s="33" t="s">
        <v>87</v>
      </c>
      <c r="H16" s="36">
        <f t="shared" si="7"/>
        <v>1.110535564</v>
      </c>
      <c r="I16" s="31">
        <f t="shared" si="5"/>
        <v>1262.012614</v>
      </c>
      <c r="J16" s="37">
        <f t="shared" si="6"/>
        <v>1.13398</v>
      </c>
      <c r="K16" s="38">
        <v>46113.0</v>
      </c>
      <c r="L16" s="6">
        <v>0.7848323401347014</v>
      </c>
      <c r="M16" s="8" t="str">
        <f>HYPERLINK("https://docs.google.com/spreadsheets/d/10Qwx7K6sUcOBrCebGUGVaVeLQnhzvcT8sHQ0Sy3VBBM/edit","PP Summary")</f>
        <v>PP Summary</v>
      </c>
    </row>
    <row r="17">
      <c r="A17" s="29">
        <v>301206.0</v>
      </c>
      <c r="B17" s="30">
        <v>1166.0</v>
      </c>
      <c r="C17" s="30">
        <v>57.6</v>
      </c>
      <c r="D17" s="31">
        <f t="shared" si="1"/>
        <v>1108.4</v>
      </c>
      <c r="E17" s="30">
        <f t="shared" si="2"/>
        <v>7.84</v>
      </c>
      <c r="F17" s="31">
        <f t="shared" si="3"/>
        <v>1100.56</v>
      </c>
      <c r="G17" s="33" t="s">
        <v>88</v>
      </c>
      <c r="H17" s="36">
        <f t="shared" si="7"/>
        <v>1.110535564</v>
      </c>
      <c r="I17" s="31">
        <f t="shared" si="5"/>
        <v>1230.917619</v>
      </c>
      <c r="J17" s="37">
        <f t="shared" si="6"/>
        <v>1.13398</v>
      </c>
      <c r="K17" s="38">
        <v>46143.0</v>
      </c>
      <c r="L17" s="6">
        <v>0.6328458891234968</v>
      </c>
      <c r="M17" s="8" t="str">
        <f>HYPERLINK("https://docs.google.com/spreadsheets/d/1m66t1jsLGc4e6AWnCFMsFbkSceZ9IYC_-bfTsbP_OYc/edit","PP Summary")</f>
        <v>PP Summary</v>
      </c>
    </row>
    <row r="18">
      <c r="A18" s="29">
        <v>301226.0</v>
      </c>
      <c r="B18" s="30">
        <v>1116.0</v>
      </c>
      <c r="C18" s="30">
        <v>57.6</v>
      </c>
      <c r="D18" s="31">
        <f t="shared" si="1"/>
        <v>1058.4</v>
      </c>
      <c r="E18" s="30">
        <f t="shared" si="2"/>
        <v>7.84</v>
      </c>
      <c r="F18" s="31">
        <f t="shared" si="3"/>
        <v>1050.56</v>
      </c>
      <c r="G18" s="33" t="s">
        <v>90</v>
      </c>
      <c r="H18" s="36">
        <f t="shared" si="7"/>
        <v>1.110535564</v>
      </c>
      <c r="I18" s="31">
        <f t="shared" si="5"/>
        <v>1175.390841</v>
      </c>
      <c r="J18" s="37">
        <f t="shared" si="6"/>
        <v>1.13398</v>
      </c>
      <c r="K18" s="38">
        <v>46174.0</v>
      </c>
      <c r="L18" s="6">
        <v>1.1105355635937064</v>
      </c>
      <c r="M18" s="8" t="str">
        <f>HYPERLINK("https://docs.google.com/spreadsheets/d/1MUQajDI2a_Cn9xWGPP7z4PhhphZnfl2_CSTnpB07Wgk/edit","PP Summary")</f>
        <v>PP Summary</v>
      </c>
    </row>
    <row r="19">
      <c r="A19" s="29">
        <v>301233.0</v>
      </c>
      <c r="B19" s="30">
        <v>1199.0</v>
      </c>
      <c r="C19" s="30">
        <v>57.6</v>
      </c>
      <c r="D19" s="31">
        <f t="shared" si="1"/>
        <v>1141.4</v>
      </c>
      <c r="E19" s="30">
        <f t="shared" si="2"/>
        <v>7.84</v>
      </c>
      <c r="F19" s="31">
        <f t="shared" si="3"/>
        <v>1133.56</v>
      </c>
      <c r="G19" s="33" t="s">
        <v>91</v>
      </c>
      <c r="H19" s="36">
        <f t="shared" ref="H19:H22" si="8">$L$19</f>
        <v>0.795241</v>
      </c>
      <c r="I19" s="31">
        <f t="shared" si="5"/>
        <v>907.6880774</v>
      </c>
      <c r="J19" s="37">
        <f t="shared" si="6"/>
        <v>1.13398</v>
      </c>
      <c r="K19" s="3" t="s">
        <v>92</v>
      </c>
      <c r="L19" s="39">
        <f>$L$7</f>
        <v>0.795241</v>
      </c>
    </row>
    <row r="20">
      <c r="A20" s="29">
        <v>301234.0</v>
      </c>
      <c r="B20" s="30">
        <v>1221.0</v>
      </c>
      <c r="C20" s="30">
        <v>57.6</v>
      </c>
      <c r="D20" s="31">
        <f t="shared" si="1"/>
        <v>1163.4</v>
      </c>
      <c r="E20" s="30">
        <f t="shared" si="2"/>
        <v>7.84</v>
      </c>
      <c r="F20" s="31">
        <f t="shared" si="3"/>
        <v>1155.56</v>
      </c>
      <c r="G20" s="33" t="s">
        <v>97</v>
      </c>
      <c r="H20" s="36">
        <f t="shared" si="8"/>
        <v>0.795241</v>
      </c>
      <c r="I20" s="31">
        <f t="shared" si="5"/>
        <v>925.1833794</v>
      </c>
      <c r="J20" s="37">
        <f t="shared" si="6"/>
        <v>1.13398</v>
      </c>
    </row>
    <row r="21">
      <c r="A21" s="29">
        <v>301235.0</v>
      </c>
      <c r="B21" s="30">
        <v>1149.0</v>
      </c>
      <c r="C21" s="30">
        <v>57.6</v>
      </c>
      <c r="D21" s="31">
        <f t="shared" si="1"/>
        <v>1091.4</v>
      </c>
      <c r="E21" s="30">
        <f t="shared" si="2"/>
        <v>7.84</v>
      </c>
      <c r="F21" s="31">
        <f t="shared" si="3"/>
        <v>1083.56</v>
      </c>
      <c r="G21" s="33" t="s">
        <v>98</v>
      </c>
      <c r="H21" s="36">
        <f t="shared" si="8"/>
        <v>0.795241</v>
      </c>
      <c r="I21" s="31">
        <f t="shared" si="5"/>
        <v>867.9260274</v>
      </c>
      <c r="J21" s="37">
        <f t="shared" si="6"/>
        <v>1.13398</v>
      </c>
    </row>
    <row r="22">
      <c r="A22" s="29">
        <v>301243.0</v>
      </c>
      <c r="B22" s="30">
        <v>1182.0</v>
      </c>
      <c r="C22" s="30">
        <v>57.6</v>
      </c>
      <c r="D22" s="31">
        <f t="shared" si="1"/>
        <v>1124.4</v>
      </c>
      <c r="E22" s="30">
        <f t="shared" si="2"/>
        <v>7.84</v>
      </c>
      <c r="F22" s="31">
        <f t="shared" si="3"/>
        <v>1116.56</v>
      </c>
      <c r="G22" s="33" t="s">
        <v>99</v>
      </c>
      <c r="H22" s="36">
        <f t="shared" si="8"/>
        <v>0.795241</v>
      </c>
      <c r="I22" s="31">
        <f t="shared" si="5"/>
        <v>894.1689804</v>
      </c>
      <c r="J22" s="37">
        <f t="shared" si="6"/>
        <v>1.13398</v>
      </c>
    </row>
    <row r="23">
      <c r="A23" s="29">
        <v>301248.0</v>
      </c>
      <c r="B23" s="30">
        <v>975.0</v>
      </c>
      <c r="C23" s="30">
        <v>57.6</v>
      </c>
      <c r="D23" s="31">
        <f t="shared" si="1"/>
        <v>917.4</v>
      </c>
      <c r="E23" s="30">
        <f t="shared" si="2"/>
        <v>7.84</v>
      </c>
      <c r="F23" s="31">
        <f t="shared" si="3"/>
        <v>909.56</v>
      </c>
      <c r="G23" s="33" t="s">
        <v>104</v>
      </c>
      <c r="H23" s="36">
        <f t="shared" ref="H23:H24" si="9">$L$18</f>
        <v>1.110535564</v>
      </c>
      <c r="I23" s="31">
        <f t="shared" si="5"/>
        <v>1018.805326</v>
      </c>
      <c r="J23" s="37">
        <f t="shared" si="6"/>
        <v>1.13398</v>
      </c>
    </row>
    <row r="24">
      <c r="A24" s="29">
        <v>301256.0</v>
      </c>
      <c r="B24" s="30">
        <v>1154.0</v>
      </c>
      <c r="C24" s="30">
        <v>57.6</v>
      </c>
      <c r="D24" s="31">
        <f t="shared" si="1"/>
        <v>1096.4</v>
      </c>
      <c r="E24" s="30">
        <f t="shared" si="2"/>
        <v>7.84</v>
      </c>
      <c r="F24" s="31">
        <f t="shared" si="3"/>
        <v>1088.56</v>
      </c>
      <c r="G24" s="33" t="s">
        <v>105</v>
      </c>
      <c r="H24" s="36">
        <f t="shared" si="9"/>
        <v>1.110535564</v>
      </c>
      <c r="I24" s="31">
        <f t="shared" si="5"/>
        <v>1217.591192</v>
      </c>
      <c r="J24" s="37">
        <f t="shared" si="6"/>
        <v>1.13398</v>
      </c>
    </row>
    <row r="25">
      <c r="A25" s="45">
        <v>301259.0</v>
      </c>
      <c r="B25" s="45">
        <v>1124.0</v>
      </c>
      <c r="C25" s="30">
        <v>57.6</v>
      </c>
      <c r="D25" s="31">
        <f t="shared" si="1"/>
        <v>1066.4</v>
      </c>
      <c r="E25" s="30">
        <f t="shared" si="2"/>
        <v>7.84</v>
      </c>
      <c r="F25" s="31">
        <f t="shared" si="3"/>
        <v>1058.56</v>
      </c>
      <c r="G25" s="33" t="s">
        <v>108</v>
      </c>
      <c r="H25" s="36">
        <f>$L$19</f>
        <v>0.795241</v>
      </c>
      <c r="I25" s="55">
        <f t="shared" si="5"/>
        <v>848.0450024</v>
      </c>
      <c r="J25" s="55">
        <f t="shared" si="6"/>
        <v>1.13398</v>
      </c>
    </row>
    <row r="26">
      <c r="A26" s="45">
        <v>301266.0</v>
      </c>
      <c r="B26" s="45">
        <v>1144.0</v>
      </c>
      <c r="C26" s="30">
        <v>57.6</v>
      </c>
      <c r="D26" s="31">
        <f t="shared" si="1"/>
        <v>1086.4</v>
      </c>
      <c r="E26" s="30">
        <f t="shared" si="2"/>
        <v>7.84</v>
      </c>
      <c r="F26" s="31">
        <f t="shared" si="3"/>
        <v>1078.56</v>
      </c>
      <c r="G26" s="33" t="s">
        <v>112</v>
      </c>
      <c r="H26" s="36">
        <f t="shared" ref="H26:H27" si="10">$L$18</f>
        <v>1.110535564</v>
      </c>
      <c r="I26" s="55">
        <f t="shared" si="5"/>
        <v>1206.485836</v>
      </c>
      <c r="J26" s="55">
        <f t="shared" si="6"/>
        <v>1.13398</v>
      </c>
    </row>
    <row r="27">
      <c r="A27" s="45">
        <v>301293.0</v>
      </c>
      <c r="B27" s="45">
        <v>1218.0</v>
      </c>
      <c r="C27" s="30">
        <v>57.6</v>
      </c>
      <c r="D27" s="31">
        <f t="shared" si="1"/>
        <v>1160.4</v>
      </c>
      <c r="E27" s="30">
        <f t="shared" si="2"/>
        <v>7.84</v>
      </c>
      <c r="F27" s="31">
        <f t="shared" si="3"/>
        <v>1152.56</v>
      </c>
      <c r="G27" s="33" t="s">
        <v>115</v>
      </c>
      <c r="H27" s="36">
        <f t="shared" si="10"/>
        <v>1.110535564</v>
      </c>
      <c r="I27" s="55">
        <f t="shared" si="5"/>
        <v>1288.665468</v>
      </c>
      <c r="J27" s="55">
        <f t="shared" si="6"/>
        <v>1.13398</v>
      </c>
    </row>
    <row r="28">
      <c r="C28" s="17"/>
      <c r="D28" s="17"/>
      <c r="E28" s="17"/>
      <c r="F28" s="17"/>
      <c r="G28" s="64"/>
      <c r="H28" s="18"/>
    </row>
    <row r="29">
      <c r="A29" s="3" t="s">
        <v>114</v>
      </c>
      <c r="B29" s="17">
        <f t="shared" ref="B29:F29" si="11">SUM(B11:B27)</f>
        <v>19583</v>
      </c>
      <c r="C29" s="17">
        <f t="shared" si="11"/>
        <v>979.2</v>
      </c>
      <c r="D29" s="17">
        <f t="shared" si="11"/>
        <v>18603.8</v>
      </c>
      <c r="E29" s="17">
        <f t="shared" si="11"/>
        <v>133.28</v>
      </c>
      <c r="F29" s="17">
        <f t="shared" si="11"/>
        <v>18470.52</v>
      </c>
      <c r="G29" s="64"/>
      <c r="H29" s="67">
        <f>IFERROR(SUMPRODUCT(D11:D27,H11:H27)/SUMIF(H11:H27,"&lt;&gt;",D11:D27),"")</f>
        <v>0.9694719419</v>
      </c>
      <c r="I29" s="17">
        <f t="shared" ref="I29:J29" si="12">SUM(I11:I27)</f>
        <v>18035.86211</v>
      </c>
      <c r="J29" s="68">
        <f t="shared" si="12"/>
        <v>19.27766</v>
      </c>
    </row>
    <row r="30">
      <c r="C30" s="17"/>
      <c r="D30" s="17"/>
      <c r="E30" s="17"/>
      <c r="F30" s="17"/>
      <c r="G30" s="64"/>
      <c r="H30" s="18"/>
    </row>
    <row r="31">
      <c r="A31" s="1" t="s">
        <v>128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4" t="s">
        <v>129</v>
      </c>
      <c r="B32" s="4" t="s">
        <v>130</v>
      </c>
      <c r="C32" s="4" t="s">
        <v>76</v>
      </c>
      <c r="D32" s="4" t="s">
        <v>131</v>
      </c>
      <c r="E32" s="4" t="s">
        <v>31</v>
      </c>
      <c r="F32" s="4"/>
      <c r="G32" s="4"/>
      <c r="H32" s="4"/>
      <c r="I32" s="12"/>
      <c r="J32" s="12"/>
      <c r="K32" s="12"/>
      <c r="L32" s="12"/>
      <c r="M32" s="12"/>
      <c r="N32" s="12"/>
      <c r="O32" s="12"/>
    </row>
    <row r="33">
      <c r="A33" s="17">
        <f>B29</f>
        <v>19583</v>
      </c>
      <c r="B33" s="17">
        <f>SUM(D11:D27)</f>
        <v>18603.8</v>
      </c>
      <c r="C33" s="17">
        <f>IF(D33=0,"",B33-D33)</f>
        <v>133.28</v>
      </c>
      <c r="D33" s="17">
        <f>SUM(F11:F27)</f>
        <v>18470.52</v>
      </c>
      <c r="E33" s="34">
        <v>2.86</v>
      </c>
      <c r="F33" s="18"/>
      <c r="G33" s="18"/>
    </row>
  </sheetData>
  <mergeCells count="2">
    <mergeCell ref="B9:C9"/>
    <mergeCell ref="D9:E9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46235.0</v>
      </c>
      <c r="K3" s="4" t="s">
        <v>10</v>
      </c>
      <c r="L3" s="6">
        <v>2.20462</v>
      </c>
    </row>
    <row r="4">
      <c r="A4" s="3" t="s">
        <v>9</v>
      </c>
      <c r="B4" s="5">
        <v>46242.0</v>
      </c>
      <c r="K4" s="4" t="s">
        <v>12</v>
      </c>
      <c r="L4" s="6">
        <v>0.453592</v>
      </c>
    </row>
    <row r="5">
      <c r="K5" s="4" t="s">
        <v>14</v>
      </c>
      <c r="L5" s="6">
        <v>0.0129</v>
      </c>
    </row>
    <row r="6">
      <c r="K6" s="4" t="s">
        <v>16</v>
      </c>
      <c r="L6" s="3" t="s">
        <v>18</v>
      </c>
    </row>
    <row r="7">
      <c r="K7" s="3" t="s">
        <v>20</v>
      </c>
      <c r="L7" s="8">
        <f>HYPERLINK("https://docs.google.com/spreadsheets/d/16shKoa1KP34kQJyQvzclBejW9L5-ubNSqPsMOVB7zDY/edit?usp=sharing", 0.00195)</f>
        <v>0.00195</v>
      </c>
    </row>
    <row r="8">
      <c r="A8" s="1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24</v>
      </c>
      <c r="B9" s="4" t="s">
        <v>25</v>
      </c>
      <c r="C9" s="9" t="s">
        <v>26</v>
      </c>
      <c r="D9" s="9" t="s">
        <v>27</v>
      </c>
      <c r="E9" s="4" t="s">
        <v>28</v>
      </c>
      <c r="F9" s="4" t="s">
        <v>29</v>
      </c>
      <c r="G9" s="9" t="s">
        <v>30</v>
      </c>
      <c r="H9" s="4" t="s">
        <v>31</v>
      </c>
      <c r="I9" s="4" t="s">
        <v>32</v>
      </c>
      <c r="J9" s="4" t="s">
        <v>33</v>
      </c>
      <c r="K9" s="4" t="s">
        <v>34</v>
      </c>
      <c r="L9" s="4" t="s">
        <v>35</v>
      </c>
      <c r="M9" s="4" t="s">
        <v>36</v>
      </c>
      <c r="N9" s="12"/>
    </row>
    <row r="10">
      <c r="A10" s="13"/>
      <c r="B10" s="14"/>
      <c r="C10" s="16"/>
      <c r="D10" s="16"/>
      <c r="E10" s="17"/>
      <c r="F10" s="17"/>
      <c r="G10" s="16"/>
      <c r="H10" s="18"/>
    </row>
    <row r="11">
      <c r="A11" s="13"/>
      <c r="B11" s="14"/>
      <c r="C11" s="16"/>
      <c r="D11" s="16"/>
      <c r="E11" s="17"/>
      <c r="F11" s="17"/>
      <c r="G11" s="16"/>
      <c r="H11" s="18"/>
    </row>
    <row r="12">
      <c r="A12" s="13"/>
      <c r="B12" s="14"/>
      <c r="C12" s="16"/>
      <c r="D12" s="16"/>
      <c r="E12" s="17"/>
      <c r="F12" s="17"/>
      <c r="G12" s="16"/>
      <c r="H12" s="18"/>
    </row>
    <row r="13">
      <c r="A13" s="13"/>
      <c r="B13" s="14"/>
      <c r="C13" s="16"/>
      <c r="D13" s="16"/>
      <c r="E13" s="17"/>
      <c r="F13" s="17"/>
      <c r="G13" s="16"/>
      <c r="H13" s="18"/>
    </row>
    <row r="14">
      <c r="A14" s="13"/>
      <c r="B14" s="14"/>
      <c r="C14" s="16"/>
      <c r="D14" s="16"/>
      <c r="E14" s="17"/>
      <c r="F14" s="17"/>
      <c r="G14" s="16"/>
      <c r="H14" s="18"/>
    </row>
    <row r="15">
      <c r="A15" s="13"/>
      <c r="C15" s="16"/>
      <c r="D15" s="16"/>
      <c r="E15" s="17"/>
      <c r="F15" s="17"/>
      <c r="G15" s="16"/>
      <c r="H15" s="18"/>
    </row>
    <row r="16">
      <c r="A16" s="14"/>
      <c r="C16" s="19"/>
      <c r="D16" s="19"/>
      <c r="E16" s="17"/>
      <c r="F16" s="17"/>
      <c r="G16" s="19"/>
      <c r="H16" s="18"/>
    </row>
    <row r="17">
      <c r="A17" s="14"/>
      <c r="C17" s="19"/>
      <c r="D17" s="19"/>
      <c r="E17" s="17"/>
      <c r="F17" s="17"/>
      <c r="G17" s="19"/>
      <c r="H17" s="18"/>
    </row>
    <row r="18">
      <c r="A18" s="14"/>
      <c r="C18" s="19"/>
      <c r="D18" s="19"/>
      <c r="E18" s="17"/>
      <c r="F18" s="17"/>
      <c r="G18" s="19"/>
      <c r="H18" s="18"/>
    </row>
    <row r="19">
      <c r="A19" s="14"/>
      <c r="C19" s="19"/>
      <c r="D19" s="19"/>
      <c r="E19" s="17"/>
      <c r="F19" s="17"/>
      <c r="G19" s="19"/>
      <c r="H19" s="18"/>
    </row>
    <row r="20">
      <c r="A20" s="14"/>
      <c r="C20" s="19"/>
      <c r="D20" s="19"/>
      <c r="E20" s="17"/>
      <c r="F20" s="17"/>
      <c r="G20" s="19"/>
      <c r="H20" s="18"/>
    </row>
    <row r="21">
      <c r="A21" s="14"/>
      <c r="C21" s="19"/>
      <c r="D21" s="19"/>
      <c r="E21" s="17"/>
      <c r="F21" s="17"/>
      <c r="G21" s="19"/>
      <c r="H21" s="18"/>
    </row>
    <row r="22">
      <c r="A22" s="14"/>
      <c r="C22" s="19"/>
      <c r="D22" s="19"/>
      <c r="E22" s="17"/>
      <c r="F22" s="17"/>
      <c r="G22" s="19"/>
      <c r="H22" s="18"/>
    </row>
    <row r="23">
      <c r="A23" s="14"/>
      <c r="C23" s="19"/>
      <c r="D23" s="19"/>
      <c r="E23" s="17"/>
      <c r="F23" s="17"/>
      <c r="G23" s="19"/>
      <c r="H23" s="18"/>
    </row>
    <row r="24">
      <c r="A24" s="14"/>
      <c r="C24" s="19"/>
      <c r="D24" s="19"/>
      <c r="E24" s="17"/>
      <c r="F24" s="17"/>
      <c r="G24" s="19"/>
      <c r="H24" s="18"/>
    </row>
    <row r="25">
      <c r="A25" s="14"/>
      <c r="C25" s="17"/>
      <c r="D25" s="17"/>
      <c r="E25" s="17"/>
      <c r="F25" s="17"/>
      <c r="G25" s="17"/>
      <c r="H25" s="18"/>
    </row>
    <row r="26">
      <c r="A26" s="1" t="s">
        <v>47</v>
      </c>
      <c r="B26" s="2"/>
      <c r="C26" s="23"/>
      <c r="D26" s="23"/>
      <c r="E26" s="23"/>
      <c r="F26" s="23"/>
      <c r="G26" s="23"/>
      <c r="H26" s="25"/>
      <c r="I26" s="2"/>
      <c r="J26" s="2"/>
      <c r="K26" s="2"/>
      <c r="L26" s="2"/>
      <c r="M26" s="2"/>
      <c r="N26" s="2"/>
    </row>
    <row r="27">
      <c r="A27" s="4" t="s">
        <v>50</v>
      </c>
      <c r="B27" s="4" t="s">
        <v>52</v>
      </c>
      <c r="C27" s="27" t="s">
        <v>54</v>
      </c>
      <c r="D27" s="27" t="s">
        <v>33</v>
      </c>
      <c r="E27" s="27" t="s">
        <v>34</v>
      </c>
      <c r="F27" s="27" t="s">
        <v>56</v>
      </c>
      <c r="G27" s="27" t="s">
        <v>35</v>
      </c>
      <c r="H27" s="28" t="s">
        <v>31</v>
      </c>
      <c r="I27" s="4" t="s">
        <v>57</v>
      </c>
      <c r="J27" s="4"/>
      <c r="K27" s="4" t="s">
        <v>58</v>
      </c>
      <c r="L27" s="12"/>
      <c r="M27" s="12"/>
      <c r="N27" s="12"/>
    </row>
    <row r="28">
      <c r="A28" s="14">
        <f>SUMIFS(D10:D24,B10:B24,"&lt;&gt;")</f>
        <v>0</v>
      </c>
      <c r="B28" s="17">
        <f>SUMIFS(G10:G24,B10:B24,"&lt;&gt;")</f>
        <v>0</v>
      </c>
      <c r="C28" s="32">
        <f>A28</f>
        <v>0</v>
      </c>
      <c r="D28" s="17">
        <f>C28*$L$5</f>
        <v>0</v>
      </c>
      <c r="E28" s="34">
        <f>(C28-D28)*$L$7</f>
        <v>0</v>
      </c>
      <c r="F28" s="35">
        <v>0.0</v>
      </c>
      <c r="G28" s="18">
        <f>C28-D28-E28-F28</f>
        <v>0</v>
      </c>
      <c r="H28" s="18" t="str">
        <f>IFERROR(AVERAGE(H10:H24),"")</f>
        <v/>
      </c>
      <c r="I28" s="39" t="str">
        <f>IFERROR(SUMPRODUCT(L10:L24,M10:M24)/SUM(L10:L24),"")</f>
        <v/>
      </c>
      <c r="K28" s="39" t="str">
        <f>IFERROR(__xludf.DUMMYFUNCTION("TRIM(TEXTJOIN("", "",TRUE,IFERROR(FILTER(B10:B24,B10:B24&lt;&gt;""""),"""")))"),"")</f>
        <v/>
      </c>
    </row>
    <row r="29">
      <c r="A29" s="14"/>
      <c r="C29" s="17"/>
      <c r="D29" s="17"/>
      <c r="E29" s="17"/>
      <c r="F29" s="17"/>
      <c r="G29" s="17"/>
      <c r="H29" s="18"/>
    </row>
    <row r="30">
      <c r="A30" s="14"/>
      <c r="C30" s="17"/>
      <c r="D30" s="17"/>
      <c r="E30" s="17"/>
      <c r="F30" s="17"/>
      <c r="G30" s="17"/>
      <c r="H30" s="18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46235.0</v>
      </c>
      <c r="K3" s="4" t="s">
        <v>10</v>
      </c>
      <c r="L3" s="6">
        <v>2.20462</v>
      </c>
    </row>
    <row r="4">
      <c r="A4" s="3" t="s">
        <v>9</v>
      </c>
      <c r="B4" s="5">
        <v>46242.0</v>
      </c>
      <c r="K4" s="4" t="s">
        <v>12</v>
      </c>
      <c r="L4" s="6">
        <v>0.453592</v>
      </c>
    </row>
    <row r="5">
      <c r="K5" s="4" t="s">
        <v>14</v>
      </c>
      <c r="L5" s="6">
        <v>0.0129</v>
      </c>
    </row>
    <row r="6">
      <c r="K6" s="4" t="s">
        <v>16</v>
      </c>
      <c r="L6" s="3" t="s">
        <v>18</v>
      </c>
    </row>
    <row r="7">
      <c r="K7" s="3" t="s">
        <v>101</v>
      </c>
      <c r="L7" s="6">
        <v>0.120947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1"/>
      <c r="B9" s="52" t="s">
        <v>37</v>
      </c>
      <c r="D9" s="52" t="s">
        <v>67</v>
      </c>
      <c r="F9" s="15" t="s">
        <v>39</v>
      </c>
      <c r="G9" s="11"/>
      <c r="H9" s="11"/>
      <c r="I9" s="11"/>
      <c r="J9" s="20"/>
      <c r="K9" s="3" t="s">
        <v>40</v>
      </c>
    </row>
    <row r="10">
      <c r="A10" s="53" t="s">
        <v>41</v>
      </c>
      <c r="B10" s="54" t="s">
        <v>42</v>
      </c>
      <c r="C10" s="54" t="s">
        <v>43</v>
      </c>
      <c r="D10" s="54" t="s">
        <v>44</v>
      </c>
      <c r="E10" s="54" t="s">
        <v>110</v>
      </c>
      <c r="F10" s="54" t="s">
        <v>46</v>
      </c>
      <c r="G10" s="11" t="s">
        <v>48</v>
      </c>
      <c r="H10" s="11" t="s">
        <v>49</v>
      </c>
      <c r="I10" s="11" t="s">
        <v>51</v>
      </c>
      <c r="J10" s="11" t="s">
        <v>53</v>
      </c>
      <c r="K10" s="3" t="s">
        <v>55</v>
      </c>
      <c r="L10" s="6">
        <v>0.1575553394801048</v>
      </c>
      <c r="M10" s="8" t="str">
        <f>HYPERLINK("https://docs.google.com/spreadsheets/d/1L167k_JS3mnisFy3VpS-OXgI8U0cK-4nC6A9sxl-ozk/edit","PP Summary")</f>
        <v>PP Summary</v>
      </c>
    </row>
    <row r="11">
      <c r="A11" s="56"/>
      <c r="B11" s="57"/>
      <c r="C11" s="58"/>
      <c r="D11" s="59"/>
      <c r="E11" s="61"/>
      <c r="F11" s="59"/>
      <c r="H11" s="63"/>
      <c r="I11" s="17"/>
      <c r="J11" s="65"/>
      <c r="K11" s="38">
        <v>45962.0</v>
      </c>
      <c r="L11" s="6">
        <v>0.1392140547840092</v>
      </c>
      <c r="M11" s="8" t="str">
        <f>HYPERLINK("https://docs.google.com/spreadsheets/d/1W8jWu3sp39WnSuds1Ja0FWDG5UuWN9v5NUmF6yh_WbI/edit","PP Summary")</f>
        <v>PP Summary</v>
      </c>
    </row>
    <row r="12">
      <c r="A12" s="56"/>
      <c r="B12" s="57"/>
      <c r="C12" s="58"/>
      <c r="D12" s="58"/>
      <c r="E12" s="66"/>
      <c r="F12" s="59"/>
      <c r="H12" s="63"/>
      <c r="I12" s="17"/>
      <c r="J12" s="65"/>
      <c r="K12" s="38">
        <v>45992.0</v>
      </c>
      <c r="L12" s="6">
        <v>0.16306166436976688</v>
      </c>
      <c r="M12" s="8" t="str">
        <f>HYPERLINK("https://docs.google.com/spreadsheets/d/1-L6m2wYknC3o-yIts9KK7FrYAb5lZIv4AwaizK8FbMc/edit","PP Summary")</f>
        <v>PP Summary</v>
      </c>
    </row>
    <row r="13">
      <c r="A13" s="56"/>
      <c r="B13" s="57"/>
      <c r="C13" s="58"/>
      <c r="D13" s="59"/>
      <c r="E13" s="66"/>
      <c r="F13" s="59"/>
      <c r="H13" s="63"/>
      <c r="I13" s="17"/>
      <c r="J13" s="65"/>
      <c r="K13" s="38">
        <v>46023.0</v>
      </c>
      <c r="L13" s="6">
        <v>0.15683401691482485</v>
      </c>
      <c r="M13" s="8" t="str">
        <f>HYPERLINK("https://docs.google.com/spreadsheets/d/1bPZ7pNsR5rv-om-BypF4lK3nczjn4HJNO2dzimwnx7E/edit","PP Summary")</f>
        <v>PP Summary</v>
      </c>
    </row>
    <row r="14">
      <c r="A14" s="56"/>
      <c r="B14" s="57"/>
      <c r="C14" s="58"/>
      <c r="D14" s="59"/>
      <c r="E14" s="61"/>
      <c r="F14" s="59"/>
      <c r="H14" s="63"/>
      <c r="I14" s="17"/>
      <c r="J14" s="65"/>
      <c r="K14" s="38">
        <v>46054.0</v>
      </c>
      <c r="L14" s="6">
        <v>0.13304979391442986</v>
      </c>
      <c r="M14" s="8" t="str">
        <f>HYPERLINK("https://docs.google.com/spreadsheets/d/1vH7bborVnc-TCby3wEkpzi7GGMOI5jMJooEW0V-rOQ4/edit","PP Summary")</f>
        <v>PP Summary</v>
      </c>
    </row>
    <row r="15">
      <c r="A15" s="56"/>
      <c r="B15" s="57"/>
      <c r="C15" s="58"/>
      <c r="D15" s="59"/>
      <c r="E15" s="61"/>
      <c r="F15" s="59"/>
      <c r="H15" s="63"/>
      <c r="I15" s="17"/>
      <c r="J15" s="65"/>
      <c r="K15" s="38">
        <v>46082.0</v>
      </c>
      <c r="L15" s="6">
        <v>0.11852515320294801</v>
      </c>
      <c r="M15" s="8" t="str">
        <f>HYPERLINK("https://docs.google.com/spreadsheets/d/1O7y30opa_u1_deqFm_w2qgVyxi_75X00xnzKuyVyh6o/edit","PP Summary")</f>
        <v>PP Summary</v>
      </c>
    </row>
    <row r="16">
      <c r="A16" s="56"/>
      <c r="B16" s="57"/>
      <c r="C16" s="58"/>
      <c r="D16" s="59"/>
      <c r="E16" s="61"/>
      <c r="F16" s="59"/>
      <c r="H16" s="63"/>
      <c r="I16" s="17"/>
      <c r="J16" s="65"/>
      <c r="K16" s="38">
        <v>46113.0</v>
      </c>
      <c r="L16" s="6">
        <v>0.131418453205342</v>
      </c>
      <c r="M16" s="8" t="str">
        <f>HYPERLINK("https://docs.google.com/spreadsheets/d/10Qwx7K6sUcOBrCebGUGVaVeLQnhzvcT8sHQ0Sy3VBBM/edit","PP Summary")</f>
        <v>PP Summary</v>
      </c>
    </row>
    <row r="17">
      <c r="A17" s="56"/>
      <c r="B17" s="57"/>
      <c r="C17" s="58"/>
      <c r="D17" s="59"/>
      <c r="E17" s="61"/>
      <c r="F17" s="59"/>
      <c r="H17" s="63"/>
      <c r="I17" s="17"/>
      <c r="J17" s="65"/>
      <c r="K17" s="38">
        <v>46143.0</v>
      </c>
      <c r="L17" s="6">
        <v>0.1106615762401743</v>
      </c>
      <c r="M17" s="8" t="str">
        <f>HYPERLINK("https://docs.google.com/spreadsheets/d/1m66t1jsLGc4e6AWnCFMsFbkSceZ9IYC_-bfTsbP_OYc/edit","PP Summary")</f>
        <v>PP Summary</v>
      </c>
    </row>
    <row r="18">
      <c r="A18" s="56"/>
      <c r="B18" s="57"/>
      <c r="C18" s="58"/>
      <c r="D18" s="59"/>
      <c r="E18" s="61"/>
      <c r="F18" s="59"/>
      <c r="H18" s="63"/>
      <c r="I18" s="17"/>
      <c r="J18" s="65"/>
      <c r="K18" s="38">
        <v>46174.0</v>
      </c>
      <c r="L18" s="6">
        <v>0.1236896673712938</v>
      </c>
      <c r="M18" s="8" t="str">
        <f>HYPERLINK("https://docs.google.com/spreadsheets/d/1MUQajDI2a_Cn9xWGPP7z4PhhphZnfl2_CSTnpB07Wgk/edit","PP Summary")</f>
        <v>PP Summary</v>
      </c>
    </row>
    <row r="19">
      <c r="A19" s="56"/>
      <c r="B19" s="57"/>
      <c r="C19" s="58"/>
      <c r="D19" s="59"/>
      <c r="E19" s="61"/>
      <c r="F19" s="59"/>
      <c r="H19" s="63"/>
      <c r="I19" s="17"/>
      <c r="J19" s="65"/>
      <c r="K19" s="3" t="s">
        <v>92</v>
      </c>
      <c r="L19" s="39">
        <f>$L$7</f>
        <v>0.120947</v>
      </c>
    </row>
    <row r="20">
      <c r="A20" s="56"/>
      <c r="B20" s="57"/>
      <c r="C20" s="58"/>
      <c r="D20" s="59"/>
      <c r="E20" s="66"/>
      <c r="F20" s="59"/>
      <c r="H20" s="63"/>
      <c r="I20" s="17"/>
      <c r="J20" s="65"/>
    </row>
    <row r="21">
      <c r="A21" s="56"/>
      <c r="B21" s="57"/>
      <c r="C21" s="58"/>
      <c r="D21" s="59"/>
      <c r="E21" s="61"/>
      <c r="F21" s="59"/>
      <c r="H21" s="63"/>
      <c r="I21" s="17"/>
      <c r="J21" s="65"/>
    </row>
    <row r="22">
      <c r="A22" s="56"/>
      <c r="B22" s="57"/>
      <c r="C22" s="58"/>
      <c r="D22" s="59"/>
      <c r="E22" s="61"/>
      <c r="F22" s="59"/>
      <c r="H22" s="63"/>
      <c r="I22" s="17"/>
      <c r="J22" s="65"/>
    </row>
    <row r="23">
      <c r="A23" s="56"/>
      <c r="B23" s="57"/>
      <c r="C23" s="58"/>
      <c r="D23" s="59"/>
      <c r="E23" s="61"/>
      <c r="F23" s="59"/>
      <c r="H23" s="63"/>
      <c r="I23" s="17"/>
      <c r="J23" s="65"/>
    </row>
    <row r="24">
      <c r="A24" s="56"/>
      <c r="B24" s="57"/>
      <c r="C24" s="58"/>
      <c r="D24" s="59"/>
      <c r="E24" s="61"/>
      <c r="F24" s="59"/>
      <c r="H24" s="63"/>
      <c r="I24" s="17"/>
      <c r="J24" s="65"/>
    </row>
    <row r="25">
      <c r="A25" s="56"/>
      <c r="B25" s="57"/>
      <c r="C25" s="58"/>
      <c r="D25" s="59"/>
      <c r="E25" s="61"/>
      <c r="F25" s="59"/>
      <c r="H25" s="63"/>
      <c r="I25" s="17"/>
      <c r="J25" s="65"/>
    </row>
    <row r="26">
      <c r="A26" s="56"/>
      <c r="B26" s="57"/>
      <c r="C26" s="58"/>
      <c r="D26" s="59"/>
      <c r="E26" s="61"/>
      <c r="F26" s="59"/>
      <c r="H26" s="63"/>
      <c r="I26" s="17"/>
      <c r="J26" s="65"/>
    </row>
    <row r="27">
      <c r="A27" s="56"/>
      <c r="B27" s="57"/>
      <c r="C27" s="58"/>
      <c r="D27" s="59"/>
      <c r="E27" s="61"/>
      <c r="F27" s="59"/>
      <c r="H27" s="63"/>
      <c r="I27" s="17"/>
      <c r="J27" s="65"/>
    </row>
    <row r="28">
      <c r="A28" s="56"/>
      <c r="B28" s="57"/>
      <c r="C28" s="58"/>
      <c r="D28" s="59"/>
      <c r="E28" s="61"/>
      <c r="F28" s="59"/>
      <c r="H28" s="63"/>
      <c r="I28" s="17"/>
      <c r="J28" s="65"/>
    </row>
    <row r="29">
      <c r="A29" s="56"/>
      <c r="B29" s="57"/>
      <c r="C29" s="58"/>
      <c r="D29" s="59"/>
      <c r="E29" s="61"/>
      <c r="F29" s="59"/>
      <c r="H29" s="63"/>
      <c r="I29" s="17"/>
      <c r="J29" s="65"/>
    </row>
    <row r="30">
      <c r="A30" s="56"/>
      <c r="B30" s="57"/>
      <c r="C30" s="58"/>
      <c r="D30" s="59"/>
      <c r="E30" s="61"/>
      <c r="F30" s="59"/>
      <c r="H30" s="63"/>
      <c r="I30" s="17"/>
      <c r="J30" s="65"/>
    </row>
    <row r="31">
      <c r="A31" s="56"/>
      <c r="B31" s="57"/>
      <c r="C31" s="58"/>
      <c r="D31" s="59"/>
      <c r="E31" s="66"/>
      <c r="F31" s="59"/>
      <c r="H31" s="63"/>
      <c r="I31" s="17"/>
      <c r="J31" s="65"/>
    </row>
    <row r="32">
      <c r="A32" s="56"/>
      <c r="B32" s="57"/>
      <c r="C32" s="58"/>
      <c r="D32" s="57"/>
      <c r="E32" s="66"/>
      <c r="F32" s="59"/>
      <c r="G32" s="77"/>
      <c r="H32" s="78"/>
      <c r="I32" s="17"/>
      <c r="J32" s="65"/>
    </row>
    <row r="33">
      <c r="A33" s="79"/>
      <c r="B33" s="57"/>
      <c r="C33" s="58"/>
      <c r="D33" s="59"/>
      <c r="E33" s="61"/>
      <c r="F33" s="59"/>
      <c r="H33" s="63"/>
      <c r="I33" s="17"/>
      <c r="J33" s="65"/>
    </row>
    <row r="34">
      <c r="A34" s="56"/>
      <c r="B34" s="57"/>
      <c r="C34" s="58"/>
      <c r="D34" s="59"/>
      <c r="E34" s="61"/>
      <c r="F34" s="59"/>
      <c r="H34" s="63"/>
      <c r="I34" s="17"/>
      <c r="J34" s="65"/>
    </row>
    <row r="35">
      <c r="A35" s="56"/>
      <c r="B35" s="57"/>
      <c r="C35" s="58"/>
      <c r="D35" s="59"/>
      <c r="E35" s="61"/>
      <c r="F35" s="59"/>
      <c r="H35" s="63"/>
      <c r="I35" s="17"/>
      <c r="J35" s="65"/>
    </row>
    <row r="36">
      <c r="A36" s="56"/>
      <c r="B36" s="57"/>
      <c r="C36" s="58"/>
      <c r="D36" s="59"/>
      <c r="E36" s="61"/>
      <c r="F36" s="59"/>
      <c r="H36" s="63"/>
      <c r="I36" s="17"/>
      <c r="J36" s="65"/>
    </row>
    <row r="37">
      <c r="A37" s="56"/>
      <c r="B37" s="57"/>
      <c r="C37" s="58"/>
      <c r="D37" s="59"/>
      <c r="E37" s="61"/>
      <c r="F37" s="59"/>
      <c r="H37" s="63"/>
      <c r="I37" s="17"/>
      <c r="J37" s="65"/>
    </row>
    <row r="38">
      <c r="A38" s="56"/>
      <c r="B38" s="57"/>
      <c r="C38" s="58"/>
      <c r="D38" s="59"/>
      <c r="E38" s="66"/>
      <c r="F38" s="59"/>
      <c r="H38" s="63"/>
      <c r="I38" s="17"/>
      <c r="J38" s="65"/>
    </row>
    <row r="39">
      <c r="A39" s="83"/>
      <c r="B39" s="57"/>
      <c r="C39" s="58"/>
      <c r="D39" s="59"/>
      <c r="E39" s="61"/>
      <c r="F39" s="59"/>
      <c r="H39" s="63"/>
      <c r="I39" s="17"/>
      <c r="J39" s="65"/>
    </row>
    <row r="40">
      <c r="A40" s="83"/>
      <c r="B40" s="57"/>
      <c r="C40" s="58"/>
      <c r="D40" s="59"/>
      <c r="E40" s="61"/>
      <c r="F40" s="59"/>
      <c r="H40" s="63"/>
      <c r="I40" s="17"/>
      <c r="J40" s="65"/>
    </row>
    <row r="41">
      <c r="A41" s="83"/>
      <c r="B41" s="57"/>
      <c r="C41" s="58"/>
      <c r="D41" s="59"/>
      <c r="E41" s="61"/>
      <c r="F41" s="59"/>
      <c r="H41" s="63"/>
      <c r="I41" s="17"/>
      <c r="J41" s="65"/>
    </row>
    <row r="42">
      <c r="A42" s="83"/>
      <c r="B42" s="57"/>
      <c r="C42" s="58"/>
      <c r="D42" s="59"/>
      <c r="E42" s="66"/>
      <c r="F42" s="59"/>
      <c r="H42" s="63"/>
      <c r="I42" s="17"/>
      <c r="J42" s="65"/>
    </row>
    <row r="43">
      <c r="A43" s="83"/>
      <c r="B43" s="57"/>
      <c r="C43" s="58"/>
      <c r="D43" s="59"/>
      <c r="E43" s="61"/>
      <c r="F43" s="59"/>
      <c r="H43" s="63"/>
      <c r="I43" s="17"/>
      <c r="J43" s="65"/>
    </row>
    <row r="44">
      <c r="A44" s="83"/>
      <c r="B44" s="57"/>
      <c r="C44" s="58"/>
      <c r="D44" s="59"/>
      <c r="E44" s="61"/>
      <c r="F44" s="59"/>
      <c r="H44" s="63"/>
      <c r="I44" s="17"/>
      <c r="J44" s="65"/>
    </row>
    <row r="45">
      <c r="A45" s="83"/>
      <c r="B45" s="57"/>
      <c r="C45" s="58"/>
      <c r="D45" s="59"/>
      <c r="E45" s="61"/>
      <c r="F45" s="59"/>
      <c r="H45" s="63"/>
      <c r="I45" s="17"/>
      <c r="J45" s="65"/>
    </row>
    <row r="46">
      <c r="A46" s="83"/>
      <c r="B46" s="57"/>
      <c r="C46" s="58"/>
      <c r="D46" s="59"/>
      <c r="E46" s="61"/>
      <c r="F46" s="59"/>
      <c r="H46" s="63"/>
      <c r="I46" s="17"/>
      <c r="J46" s="65"/>
    </row>
    <row r="47">
      <c r="A47" s="83"/>
      <c r="B47" s="92"/>
      <c r="C47" s="58"/>
      <c r="D47" s="59"/>
      <c r="E47" s="59"/>
      <c r="F47" s="59"/>
    </row>
    <row r="48">
      <c r="A48" s="83"/>
      <c r="B48" s="92"/>
      <c r="C48" s="58"/>
      <c r="D48" s="59"/>
      <c r="E48" s="59"/>
      <c r="F48" s="59"/>
    </row>
    <row r="49">
      <c r="A49" s="83"/>
      <c r="B49" s="92"/>
      <c r="C49" s="58"/>
      <c r="D49" s="59"/>
      <c r="E49" s="59"/>
      <c r="F49" s="59"/>
    </row>
    <row r="50">
      <c r="A50" s="83"/>
      <c r="B50" s="92"/>
      <c r="C50" s="58"/>
      <c r="D50" s="59"/>
      <c r="E50" s="59"/>
      <c r="F50" s="59"/>
    </row>
    <row r="51">
      <c r="A51" s="83"/>
      <c r="B51" s="92"/>
      <c r="C51" s="58"/>
      <c r="D51" s="59"/>
      <c r="E51" s="59"/>
      <c r="F51" s="59"/>
    </row>
    <row r="52">
      <c r="B52" s="95"/>
      <c r="C52" s="96"/>
      <c r="D52" s="17"/>
      <c r="E52" s="17"/>
      <c r="F52" s="17"/>
      <c r="G52" s="34"/>
      <c r="H52" s="34"/>
      <c r="I52" s="18"/>
    </row>
    <row r="53">
      <c r="B53" s="97"/>
      <c r="C53" s="97"/>
      <c r="D53" s="98"/>
      <c r="E53" s="98"/>
      <c r="F53" s="98"/>
      <c r="G53" s="27"/>
      <c r="H53" s="99"/>
      <c r="I53" s="100"/>
      <c r="J53" s="12"/>
    </row>
    <row r="54">
      <c r="B54" s="95"/>
      <c r="D54" s="17"/>
      <c r="E54" s="17"/>
      <c r="F54" s="17"/>
      <c r="G54" s="34"/>
      <c r="H54" s="34"/>
      <c r="I54" s="18"/>
    </row>
    <row r="55">
      <c r="B55" s="95"/>
      <c r="D55" s="17"/>
      <c r="E55" s="17"/>
      <c r="F55" s="17"/>
      <c r="G55" s="34"/>
      <c r="H55" s="34"/>
      <c r="I55" s="101"/>
    </row>
    <row r="56">
      <c r="B56" s="95"/>
      <c r="D56" s="17"/>
      <c r="E56" s="17"/>
      <c r="F56" s="17"/>
      <c r="G56" s="34"/>
      <c r="H56" s="34"/>
      <c r="I56" s="18"/>
    </row>
    <row r="57">
      <c r="B57" s="95"/>
      <c r="D57" s="17"/>
      <c r="E57" s="17"/>
      <c r="F57" s="17"/>
      <c r="G57" s="34"/>
      <c r="H57" s="34"/>
      <c r="I57" s="18"/>
    </row>
    <row r="58">
      <c r="B58" s="95"/>
      <c r="D58" s="17"/>
      <c r="E58" s="17"/>
      <c r="F58" s="17"/>
      <c r="G58" s="34"/>
      <c r="H58" s="34"/>
      <c r="I58" s="18"/>
    </row>
    <row r="59">
      <c r="B59" s="95"/>
      <c r="D59" s="17"/>
      <c r="E59" s="17"/>
      <c r="F59" s="17"/>
      <c r="G59" s="34"/>
      <c r="H59" s="34"/>
      <c r="I59" s="18"/>
    </row>
    <row r="60">
      <c r="B60" s="95"/>
      <c r="D60" s="17"/>
      <c r="E60" s="17"/>
      <c r="F60" s="17"/>
      <c r="G60" s="34"/>
      <c r="H60" s="34"/>
      <c r="I60" s="18"/>
    </row>
    <row r="61">
      <c r="B61" s="95"/>
      <c r="D61" s="17"/>
      <c r="E61" s="17"/>
      <c r="F61" s="17"/>
      <c r="G61" s="34"/>
      <c r="H61" s="34"/>
      <c r="I61" s="18"/>
    </row>
    <row r="62">
      <c r="B62" s="95"/>
      <c r="D62" s="17"/>
      <c r="E62" s="17"/>
      <c r="F62" s="17"/>
      <c r="G62" s="34"/>
      <c r="H62" s="34"/>
      <c r="I62" s="18"/>
    </row>
    <row r="63">
      <c r="B63" s="95"/>
      <c r="D63" s="17"/>
      <c r="E63" s="17"/>
      <c r="F63" s="17"/>
      <c r="G63" s="34"/>
      <c r="H63" s="34"/>
      <c r="I63" s="18"/>
    </row>
    <row r="64">
      <c r="B64" s="95"/>
      <c r="D64" s="17"/>
      <c r="E64" s="17"/>
      <c r="F64" s="17"/>
      <c r="G64" s="34"/>
      <c r="H64" s="34"/>
      <c r="I64" s="18"/>
    </row>
    <row r="65">
      <c r="B65" s="95"/>
      <c r="D65" s="17"/>
      <c r="E65" s="17"/>
      <c r="F65" s="17"/>
      <c r="G65" s="34"/>
      <c r="H65" s="34"/>
      <c r="I65" s="18"/>
    </row>
    <row r="66">
      <c r="B66" s="95"/>
      <c r="D66" s="17"/>
      <c r="E66" s="17"/>
      <c r="F66" s="17"/>
      <c r="G66" s="34"/>
      <c r="H66" s="34"/>
      <c r="I66" s="18"/>
    </row>
    <row r="67">
      <c r="B67" s="95"/>
      <c r="D67" s="17"/>
      <c r="E67" s="17"/>
      <c r="F67" s="17"/>
      <c r="G67" s="34"/>
      <c r="H67" s="34"/>
      <c r="I67" s="18"/>
    </row>
    <row r="68">
      <c r="B68" s="95"/>
      <c r="D68" s="17"/>
      <c r="E68" s="17"/>
      <c r="F68" s="17"/>
      <c r="G68" s="34"/>
      <c r="H68" s="34"/>
      <c r="I68" s="18"/>
    </row>
    <row r="69">
      <c r="B69" s="95"/>
      <c r="D69" s="17"/>
      <c r="E69" s="17"/>
      <c r="F69" s="17"/>
      <c r="G69" s="34"/>
      <c r="H69" s="34"/>
      <c r="I69" s="18"/>
    </row>
    <row r="70">
      <c r="B70" s="95"/>
      <c r="D70" s="17"/>
      <c r="E70" s="17"/>
      <c r="F70" s="17"/>
      <c r="G70" s="34"/>
      <c r="H70" s="34"/>
      <c r="I70" s="18"/>
    </row>
    <row r="71">
      <c r="B71" s="95"/>
      <c r="D71" s="17"/>
      <c r="E71" s="17"/>
      <c r="F71" s="17"/>
      <c r="G71" s="34"/>
      <c r="H71" s="34"/>
      <c r="I71" s="18"/>
    </row>
    <row r="72">
      <c r="B72" s="95"/>
      <c r="D72" s="17"/>
      <c r="E72" s="17"/>
      <c r="F72" s="17"/>
      <c r="G72" s="34"/>
      <c r="H72" s="34"/>
      <c r="I72" s="18"/>
    </row>
    <row r="73">
      <c r="B73" s="95"/>
      <c r="D73" s="17"/>
      <c r="E73" s="17"/>
      <c r="F73" s="17"/>
      <c r="G73" s="34"/>
      <c r="H73" s="34"/>
      <c r="I73" s="18"/>
    </row>
    <row r="77">
      <c r="A77" s="3" t="s">
        <v>114</v>
      </c>
      <c r="B77" s="17">
        <f t="shared" ref="B77:F77" si="1">SUM(B11:B75)</f>
        <v>0</v>
      </c>
      <c r="C77" s="17">
        <f t="shared" si="1"/>
        <v>0</v>
      </c>
      <c r="D77" s="17">
        <f t="shared" si="1"/>
        <v>0</v>
      </c>
      <c r="E77" s="17">
        <f t="shared" si="1"/>
        <v>0</v>
      </c>
      <c r="F77" s="17">
        <f t="shared" si="1"/>
        <v>0</v>
      </c>
      <c r="H77" s="39" t="str">
        <f>IFERROR(SUMPRODUCT(D11:D75,H11:H75)/SUMIF(H11:H75,"&lt;&gt;",D11:D75),"")</f>
        <v/>
      </c>
      <c r="I77" s="17">
        <f t="shared" ref="I77:J77" si="2">SUM(I11:I75)</f>
        <v>0</v>
      </c>
      <c r="J77" s="65">
        <f t="shared" si="2"/>
        <v>0</v>
      </c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5</v>
      </c>
      <c r="B2" s="3" t="s">
        <v>6</v>
      </c>
      <c r="L2" s="4"/>
      <c r="N2" s="3" t="s">
        <v>8</v>
      </c>
    </row>
    <row r="3">
      <c r="A3" s="3" t="s">
        <v>7</v>
      </c>
      <c r="B3" s="5">
        <v>46235.0</v>
      </c>
      <c r="L3" s="4"/>
      <c r="N3" s="3" t="s">
        <v>10</v>
      </c>
      <c r="O3" s="6">
        <v>2.20462</v>
      </c>
    </row>
    <row r="4">
      <c r="A4" s="3" t="s">
        <v>9</v>
      </c>
      <c r="B4" s="5">
        <v>46242.0</v>
      </c>
      <c r="L4" s="4"/>
      <c r="N4" s="3" t="s">
        <v>12</v>
      </c>
      <c r="O4" s="6">
        <v>0.453592</v>
      </c>
    </row>
    <row r="5">
      <c r="L5" s="4"/>
      <c r="N5" s="3" t="s">
        <v>146</v>
      </c>
      <c r="O5" s="102">
        <v>7.1E-4</v>
      </c>
    </row>
    <row r="6">
      <c r="L6" s="4"/>
      <c r="N6" s="3" t="s">
        <v>16</v>
      </c>
      <c r="O6" s="3" t="s">
        <v>18</v>
      </c>
    </row>
    <row r="7">
      <c r="N7" s="3" t="s">
        <v>126</v>
      </c>
      <c r="O7" s="6">
        <v>0.004</v>
      </c>
    </row>
    <row r="8">
      <c r="A8" s="1" t="s">
        <v>147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4" t="s">
        <v>24</v>
      </c>
      <c r="B9" s="4" t="s">
        <v>148</v>
      </c>
      <c r="C9" s="9" t="s">
        <v>149</v>
      </c>
      <c r="D9" s="9" t="s">
        <v>150</v>
      </c>
      <c r="E9" s="9" t="s">
        <v>151</v>
      </c>
      <c r="F9" s="4" t="s">
        <v>152</v>
      </c>
      <c r="G9" s="4" t="s">
        <v>153</v>
      </c>
      <c r="H9" s="9" t="s">
        <v>31</v>
      </c>
      <c r="I9" s="4" t="s">
        <v>32</v>
      </c>
      <c r="J9" s="4" t="s">
        <v>36</v>
      </c>
      <c r="K9" s="4" t="s">
        <v>125</v>
      </c>
      <c r="L9" s="4" t="s">
        <v>154</v>
      </c>
      <c r="M9" s="4"/>
      <c r="N9" s="4"/>
      <c r="O9" s="4"/>
    </row>
    <row r="10">
      <c r="A10" s="5"/>
      <c r="C10" s="16"/>
      <c r="D10" s="16"/>
      <c r="E10" s="16"/>
      <c r="F10" s="17"/>
      <c r="G10" s="17"/>
      <c r="H10" s="16"/>
    </row>
    <row r="11">
      <c r="A11" s="5"/>
      <c r="C11" s="16"/>
      <c r="D11" s="16"/>
      <c r="E11" s="16"/>
      <c r="F11" s="17"/>
      <c r="G11" s="17"/>
      <c r="H11" s="16"/>
    </row>
    <row r="12">
      <c r="A12" s="5"/>
      <c r="C12" s="16"/>
      <c r="D12" s="16"/>
      <c r="E12" s="16"/>
      <c r="F12" s="17"/>
      <c r="G12" s="17"/>
      <c r="H12" s="16"/>
    </row>
    <row r="13">
      <c r="A13" s="5"/>
      <c r="C13" s="16"/>
      <c r="D13" s="16"/>
      <c r="E13" s="16"/>
      <c r="F13" s="17"/>
      <c r="G13" s="17"/>
      <c r="H13" s="16"/>
    </row>
    <row r="14">
      <c r="C14" s="19"/>
      <c r="D14" s="19"/>
      <c r="E14" s="19"/>
      <c r="F14" s="17"/>
      <c r="G14" s="17"/>
      <c r="H14" s="19"/>
    </row>
    <row r="15">
      <c r="C15" s="19"/>
      <c r="D15" s="19"/>
      <c r="E15" s="19"/>
      <c r="F15" s="17"/>
      <c r="G15" s="17"/>
      <c r="H15" s="19"/>
    </row>
    <row r="16">
      <c r="C16" s="19"/>
      <c r="D16" s="19"/>
      <c r="E16" s="19"/>
      <c r="F16" s="17"/>
      <c r="G16" s="17"/>
      <c r="H16" s="19"/>
    </row>
    <row r="17">
      <c r="C17" s="19"/>
      <c r="D17" s="19"/>
      <c r="E17" s="19"/>
      <c r="F17" s="17"/>
      <c r="G17" s="17"/>
      <c r="H17" s="19"/>
    </row>
    <row r="18">
      <c r="C18" s="19"/>
      <c r="D18" s="19"/>
      <c r="E18" s="19"/>
      <c r="F18" s="17"/>
      <c r="G18" s="17"/>
      <c r="H18" s="19"/>
    </row>
    <row r="19">
      <c r="C19" s="19"/>
      <c r="D19" s="19"/>
      <c r="E19" s="19"/>
      <c r="F19" s="17"/>
      <c r="G19" s="17"/>
      <c r="H19" s="19"/>
    </row>
    <row r="20">
      <c r="C20" s="19"/>
      <c r="D20" s="19"/>
      <c r="E20" s="19"/>
      <c r="F20" s="17"/>
      <c r="G20" s="17"/>
      <c r="H20" s="19"/>
    </row>
    <row r="21">
      <c r="C21" s="19"/>
      <c r="D21" s="19"/>
      <c r="E21" s="19"/>
      <c r="F21" s="17"/>
      <c r="G21" s="17"/>
      <c r="H21" s="19"/>
    </row>
    <row r="22">
      <c r="C22" s="19"/>
      <c r="D22" s="19"/>
      <c r="E22" s="19"/>
      <c r="F22" s="17"/>
      <c r="G22" s="17"/>
      <c r="H22" s="19"/>
    </row>
    <row r="23">
      <c r="C23" s="19"/>
      <c r="D23" s="19"/>
      <c r="E23" s="19"/>
      <c r="F23" s="17"/>
      <c r="G23" s="17"/>
      <c r="H23" s="19"/>
    </row>
    <row r="24">
      <c r="C24" s="19"/>
      <c r="D24" s="19"/>
      <c r="E24" s="19"/>
      <c r="F24" s="17"/>
      <c r="G24" s="17"/>
      <c r="H24" s="19"/>
    </row>
    <row r="25">
      <c r="C25" s="17"/>
      <c r="D25" s="17"/>
      <c r="E25" s="17"/>
      <c r="F25" s="17"/>
      <c r="G25" s="17"/>
      <c r="H25" s="17"/>
    </row>
    <row r="26">
      <c r="A26" s="1"/>
      <c r="B26" s="2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</row>
    <row r="27">
      <c r="A27" s="4"/>
      <c r="B27" s="4"/>
      <c r="C27" s="27"/>
      <c r="D27" s="27"/>
      <c r="E27" s="27"/>
      <c r="F27" s="27"/>
      <c r="G27" s="27"/>
      <c r="H27" s="27"/>
      <c r="I27" s="27"/>
      <c r="J27" s="4"/>
      <c r="K27" s="12"/>
      <c r="L27" s="12"/>
      <c r="M27" s="12"/>
      <c r="N27" s="12"/>
      <c r="O27" s="12"/>
      <c r="P27" s="12"/>
    </row>
    <row r="28">
      <c r="A28" s="17"/>
      <c r="B28" s="17"/>
      <c r="C28" s="32"/>
      <c r="D28" s="32"/>
      <c r="E28" s="32"/>
      <c r="F28" s="17"/>
      <c r="G28" s="34"/>
      <c r="H28" s="34"/>
      <c r="I28" s="17"/>
    </row>
    <row r="29">
      <c r="C29" s="17"/>
      <c r="D29" s="17"/>
      <c r="E29" s="17"/>
      <c r="F29" s="17"/>
      <c r="G29" s="17"/>
      <c r="H29" s="17"/>
      <c r="I29" s="17"/>
    </row>
    <row r="30">
      <c r="C30" s="17"/>
      <c r="D30" s="17"/>
      <c r="E30" s="17"/>
      <c r="F30" s="17"/>
      <c r="G30" s="17"/>
      <c r="H30" s="17"/>
      <c r="I30" s="17"/>
    </row>
    <row r="31">
      <c r="A31" s="3" t="s">
        <v>128</v>
      </c>
    </row>
    <row r="32">
      <c r="A32" s="3" t="s">
        <v>155</v>
      </c>
      <c r="B32" s="3" t="s">
        <v>34</v>
      </c>
      <c r="E32" s="3" t="s">
        <v>35</v>
      </c>
      <c r="F32" s="3" t="s">
        <v>31</v>
      </c>
      <c r="G32" s="3" t="s">
        <v>57</v>
      </c>
      <c r="I32" s="3" t="s">
        <v>156</v>
      </c>
    </row>
    <row r="33">
      <c r="A33" s="39">
        <f>SUMIFS(F10:F29,B10:B29,"&lt;&gt;")</f>
        <v>0</v>
      </c>
      <c r="B33" s="39">
        <f>A33*$O$5</f>
        <v>0</v>
      </c>
      <c r="E33" s="39">
        <f>A33-B33</f>
        <v>0</v>
      </c>
      <c r="F33" s="39" t="str">
        <f>IFERROR(AVERAGE(H10:H29),"")</f>
        <v/>
      </c>
      <c r="G33" s="39" t="str">
        <f>IFERROR(__xludf.DUMMYFUNCTION("IFERROR(AVERAGE.WEIGHTED(J10:J29,G10:G29),"""")"),"")</f>
        <v/>
      </c>
      <c r="I33" s="39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103" t="s">
        <v>157</v>
      </c>
      <c r="B1" s="104"/>
      <c r="C1" s="104"/>
      <c r="D1" s="104"/>
      <c r="E1" s="104"/>
      <c r="F1" s="104"/>
      <c r="G1" s="104"/>
    </row>
    <row r="4">
      <c r="A4" s="105" t="s">
        <v>0</v>
      </c>
      <c r="B4" s="106"/>
      <c r="C4" s="106"/>
      <c r="D4" s="106"/>
      <c r="E4" s="106"/>
      <c r="F4" s="12"/>
      <c r="G4" s="12"/>
    </row>
    <row r="5">
      <c r="A5" s="4" t="s">
        <v>159</v>
      </c>
      <c r="B5" s="4" t="s">
        <v>160</v>
      </c>
      <c r="C5" s="4" t="s">
        <v>161</v>
      </c>
      <c r="D5" s="4" t="s">
        <v>162</v>
      </c>
      <c r="E5" s="4" t="s">
        <v>163</v>
      </c>
      <c r="F5" s="12"/>
      <c r="G5" s="12"/>
    </row>
    <row r="6">
      <c r="A6" s="3" t="s">
        <v>6</v>
      </c>
      <c r="B6" s="3" t="s">
        <v>109</v>
      </c>
      <c r="C6" s="3" t="s">
        <v>164</v>
      </c>
      <c r="D6" s="39">
        <f>COUNTA(QOWV!A11:A75)</f>
        <v>0</v>
      </c>
      <c r="E6" s="3" t="s">
        <v>165</v>
      </c>
    </row>
    <row r="8">
      <c r="A8" s="4" t="s">
        <v>167</v>
      </c>
      <c r="B8" s="41">
        <v>1201.0</v>
      </c>
      <c r="C8" s="12"/>
      <c r="D8" s="12"/>
      <c r="E8" s="12"/>
      <c r="F8" s="12"/>
      <c r="G8" s="12"/>
    </row>
    <row r="10">
      <c r="A10" s="105" t="s">
        <v>168</v>
      </c>
      <c r="B10" s="106"/>
      <c r="C10" s="106"/>
      <c r="D10" s="106"/>
      <c r="E10" s="106"/>
      <c r="F10" s="106"/>
      <c r="G10" s="106"/>
    </row>
    <row r="11">
      <c r="A11" s="4" t="s">
        <v>169</v>
      </c>
      <c r="B11" s="4" t="s">
        <v>170</v>
      </c>
      <c r="C11" s="4" t="s">
        <v>171</v>
      </c>
      <c r="D11" s="4" t="s">
        <v>172</v>
      </c>
      <c r="E11" s="4" t="s">
        <v>173</v>
      </c>
      <c r="F11" s="4" t="s">
        <v>174</v>
      </c>
      <c r="G11" s="4" t="s">
        <v>175</v>
      </c>
    </row>
    <row r="12">
      <c r="B12" s="110"/>
      <c r="E12" s="112"/>
      <c r="G12" s="17"/>
    </row>
    <row r="13">
      <c r="B13" s="110"/>
      <c r="E13" s="112"/>
      <c r="G13" s="17"/>
    </row>
    <row r="14">
      <c r="A14" s="4"/>
      <c r="B14" s="115"/>
      <c r="C14" s="41"/>
      <c r="D14" s="41"/>
      <c r="E14" s="117"/>
      <c r="F14" s="12"/>
      <c r="G14" s="118"/>
    </row>
    <row r="15">
      <c r="A15" s="4"/>
      <c r="B15" s="12"/>
      <c r="C15" s="41"/>
      <c r="D15" s="41"/>
      <c r="E15" s="117"/>
      <c r="F15" s="12"/>
      <c r="G15" s="118"/>
    </row>
    <row r="16">
      <c r="A16" s="4"/>
      <c r="E16" s="112"/>
      <c r="G16" s="17"/>
    </row>
    <row r="17">
      <c r="A17" s="4"/>
      <c r="B17" s="4"/>
      <c r="C17" s="4"/>
      <c r="D17" s="4"/>
      <c r="E17" s="117"/>
      <c r="F17" s="12"/>
      <c r="G17" s="118"/>
    </row>
    <row r="18">
      <c r="A18" s="4"/>
      <c r="B18" s="4"/>
      <c r="C18" s="27"/>
      <c r="D18" s="4"/>
      <c r="E18" s="12"/>
      <c r="F18" s="12"/>
      <c r="G18" s="118"/>
    </row>
    <row r="19">
      <c r="C19" s="18"/>
    </row>
    <row r="20">
      <c r="A20" s="105"/>
      <c r="B20" s="106"/>
      <c r="C20" s="106"/>
      <c r="D20" s="106"/>
    </row>
    <row r="21">
      <c r="A21" s="4"/>
      <c r="B21" s="4"/>
      <c r="C21" s="4"/>
      <c r="D21" s="4"/>
      <c r="E21" s="4"/>
      <c r="F21" s="12"/>
      <c r="G21" s="12"/>
    </row>
    <row r="22">
      <c r="D22" s="122"/>
      <c r="F22" s="12"/>
    </row>
    <row r="23">
      <c r="D23" s="110"/>
    </row>
    <row r="24">
      <c r="A24" s="4"/>
      <c r="B24" s="12"/>
      <c r="C24" s="12"/>
      <c r="D24" s="115"/>
      <c r="E24" s="12"/>
    </row>
    <row r="25">
      <c r="A25" s="4"/>
      <c r="B25" s="4"/>
      <c r="C25" s="4"/>
      <c r="D25" s="4"/>
      <c r="E25" s="4"/>
    </row>
    <row r="26">
      <c r="C26" s="38"/>
    </row>
    <row r="27">
      <c r="C27" s="38"/>
    </row>
    <row r="28">
      <c r="C28" s="38"/>
    </row>
    <row r="29">
      <c r="C29" s="38"/>
    </row>
    <row r="30">
      <c r="C30" s="38"/>
    </row>
    <row r="31">
      <c r="C31" s="38"/>
    </row>
    <row r="32">
      <c r="C32" s="38"/>
    </row>
    <row r="33">
      <c r="C33" s="38"/>
      <c r="F33" s="12"/>
    </row>
    <row r="34">
      <c r="C34" s="38"/>
    </row>
    <row r="35">
      <c r="C35" s="38"/>
      <c r="F35" s="12"/>
    </row>
    <row r="36">
      <c r="C36" s="38"/>
      <c r="F36" s="12"/>
    </row>
    <row r="37">
      <c r="C37" s="38"/>
    </row>
    <row r="38">
      <c r="C38" s="38"/>
    </row>
    <row r="39">
      <c r="C39" s="38"/>
    </row>
    <row r="40">
      <c r="C40" s="38"/>
    </row>
    <row r="41">
      <c r="C41" s="38"/>
    </row>
    <row r="42">
      <c r="A42" s="4"/>
      <c r="B42" s="12"/>
      <c r="C42" s="12"/>
      <c r="D42" s="12"/>
      <c r="E42" s="12"/>
    </row>
    <row r="43">
      <c r="A43" s="4"/>
      <c r="B43" s="4"/>
      <c r="C43" s="4"/>
      <c r="D43" s="4"/>
      <c r="E43" s="4"/>
    </row>
    <row r="44">
      <c r="C44" s="38"/>
    </row>
    <row r="45">
      <c r="A45" s="4"/>
      <c r="B45" s="12"/>
      <c r="C45" s="12"/>
      <c r="D45" s="115"/>
      <c r="E45" s="12"/>
    </row>
    <row r="46">
      <c r="A46" s="4"/>
      <c r="B46" s="4"/>
      <c r="C46" s="4"/>
      <c r="D46" s="4"/>
      <c r="E46" s="4"/>
    </row>
    <row r="47">
      <c r="C47" s="38"/>
    </row>
    <row r="48">
      <c r="C48" s="38"/>
    </row>
    <row r="49">
      <c r="C49" s="38"/>
    </row>
    <row r="50">
      <c r="C50" s="38"/>
    </row>
    <row r="51">
      <c r="C51" s="38"/>
    </row>
    <row r="52">
      <c r="C52" s="38"/>
    </row>
    <row r="53">
      <c r="C53" s="38"/>
    </row>
    <row r="54">
      <c r="C54" s="38"/>
      <c r="F54" s="12"/>
    </row>
    <row r="55">
      <c r="A55" s="4"/>
      <c r="B55" s="12"/>
      <c r="C55" s="12"/>
      <c r="D55" s="115"/>
      <c r="E55" s="12"/>
    </row>
    <row r="56">
      <c r="A56" s="4"/>
      <c r="B56" s="4"/>
      <c r="C56" s="4"/>
      <c r="D56" s="4"/>
      <c r="E56" s="4"/>
      <c r="F56" s="12"/>
    </row>
    <row r="57">
      <c r="C57" s="38"/>
      <c r="F57" s="12"/>
    </row>
    <row r="58">
      <c r="A58" s="4"/>
      <c r="B58" s="12"/>
      <c r="C58" s="124"/>
      <c r="D58" s="115"/>
      <c r="E58" s="12"/>
    </row>
    <row r="59">
      <c r="A59" s="4"/>
      <c r="B59" s="4"/>
      <c r="C59" s="4"/>
      <c r="D59" s="4"/>
      <c r="E59" s="4"/>
    </row>
    <row r="60">
      <c r="C60" s="38"/>
    </row>
    <row r="61">
      <c r="A61" s="4"/>
      <c r="B61" s="12"/>
      <c r="C61" s="12"/>
      <c r="D61" s="115"/>
      <c r="E61" s="12"/>
    </row>
    <row r="62">
      <c r="A62" s="4"/>
      <c r="B62" s="4"/>
      <c r="C62" s="4"/>
      <c r="D62" s="4"/>
      <c r="E62" s="4"/>
    </row>
    <row r="63">
      <c r="C63" s="38"/>
    </row>
    <row r="64">
      <c r="C64" s="38"/>
    </row>
    <row r="65">
      <c r="C65" s="38"/>
    </row>
    <row r="66">
      <c r="C66" s="38"/>
    </row>
    <row r="67">
      <c r="C67" s="38"/>
    </row>
    <row r="68">
      <c r="C68" s="38"/>
    </row>
    <row r="69">
      <c r="C69" s="38"/>
    </row>
    <row r="70">
      <c r="C70" s="38"/>
    </row>
    <row r="71">
      <c r="C71" s="38"/>
    </row>
    <row r="72">
      <c r="A72" s="12"/>
      <c r="B72" s="12"/>
      <c r="C72" s="4"/>
      <c r="D72" s="12"/>
      <c r="E72" s="12"/>
      <c r="F72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4" t="s">
        <v>158</v>
      </c>
      <c r="B1" s="12"/>
      <c r="C1" s="12"/>
      <c r="D1" s="12"/>
      <c r="E1" s="12"/>
    </row>
    <row r="4">
      <c r="A4" s="105" t="s">
        <v>0</v>
      </c>
      <c r="B4" s="106"/>
      <c r="C4" s="106"/>
      <c r="D4" s="106"/>
      <c r="E4" s="106"/>
    </row>
    <row r="5">
      <c r="A5" s="4" t="s">
        <v>159</v>
      </c>
      <c r="B5" s="4" t="s">
        <v>160</v>
      </c>
      <c r="C5" s="4" t="s">
        <v>161</v>
      </c>
      <c r="D5" s="4" t="s">
        <v>162</v>
      </c>
      <c r="E5" s="4" t="s">
        <v>163</v>
      </c>
    </row>
    <row r="6">
      <c r="A6" s="3" t="s">
        <v>6</v>
      </c>
      <c r="B6" s="3" t="s">
        <v>133</v>
      </c>
      <c r="C6" s="3" t="s">
        <v>164</v>
      </c>
      <c r="D6" s="39">
        <f>COUNTA(WODO!A11:A27)</f>
        <v>17</v>
      </c>
      <c r="E6" s="3" t="s">
        <v>166</v>
      </c>
    </row>
    <row r="8">
      <c r="A8" s="3" t="s">
        <v>167</v>
      </c>
      <c r="B8" s="6">
        <v>1201.0</v>
      </c>
    </row>
    <row r="10">
      <c r="A10" s="105" t="s">
        <v>168</v>
      </c>
      <c r="B10" s="106"/>
      <c r="C10" s="106"/>
      <c r="D10" s="106"/>
      <c r="E10" s="106"/>
      <c r="F10" s="106"/>
      <c r="G10" s="106"/>
    </row>
    <row r="11">
      <c r="A11" s="4" t="s">
        <v>169</v>
      </c>
      <c r="B11" s="4" t="s">
        <v>170</v>
      </c>
      <c r="C11" s="4" t="s">
        <v>171</v>
      </c>
      <c r="D11" s="4" t="s">
        <v>172</v>
      </c>
      <c r="E11" s="4" t="s">
        <v>173</v>
      </c>
      <c r="F11" s="4" t="s">
        <v>174</v>
      </c>
      <c r="G11" s="4" t="s">
        <v>175</v>
      </c>
    </row>
    <row r="12">
      <c r="A12" s="3" t="s">
        <v>176</v>
      </c>
      <c r="B12" s="107">
        <v>46230.0</v>
      </c>
      <c r="C12" s="6">
        <v>20.0</v>
      </c>
      <c r="D12" s="6">
        <v>17.0</v>
      </c>
      <c r="E12" s="108">
        <f>IFERROR(D12/C12,"")</f>
        <v>0.85</v>
      </c>
      <c r="F12" s="39">
        <f>$B$8</f>
        <v>1201</v>
      </c>
      <c r="G12" s="109">
        <f>IFERROR(E12*F12,"")</f>
        <v>1020.85</v>
      </c>
    </row>
    <row r="13">
      <c r="A13" s="4"/>
      <c r="B13" s="111"/>
      <c r="C13" s="12"/>
      <c r="D13" s="12"/>
      <c r="E13" s="113"/>
      <c r="F13" s="12"/>
      <c r="G13" s="114"/>
    </row>
    <row r="14">
      <c r="A14" s="3" t="s">
        <v>114</v>
      </c>
      <c r="B14" s="116"/>
      <c r="C14" s="39">
        <f t="shared" ref="C14:D14" si="1">SUM(C12)</f>
        <v>20</v>
      </c>
      <c r="D14" s="39">
        <f t="shared" si="1"/>
        <v>17</v>
      </c>
      <c r="E14" s="108"/>
      <c r="G14" s="109">
        <f>SUM(G12)</f>
        <v>1020.85</v>
      </c>
    </row>
    <row r="15">
      <c r="A15" s="105"/>
      <c r="B15" s="120"/>
      <c r="C15" s="106"/>
      <c r="D15" s="106"/>
      <c r="E15" s="108"/>
      <c r="G15" s="109"/>
    </row>
    <row r="16">
      <c r="A16" s="4"/>
      <c r="B16" s="121"/>
      <c r="C16" s="4"/>
      <c r="D16" s="4"/>
      <c r="E16" s="108"/>
      <c r="G16" s="109"/>
    </row>
    <row r="17">
      <c r="B17" s="116"/>
      <c r="C17" s="17"/>
      <c r="D17" s="123"/>
      <c r="E17" s="108"/>
      <c r="G17" s="109"/>
    </row>
    <row r="18">
      <c r="B18" s="116"/>
      <c r="E18" s="108"/>
      <c r="G18" s="109"/>
    </row>
    <row r="19">
      <c r="A19" s="4"/>
      <c r="B19" s="12"/>
      <c r="C19" s="12"/>
      <c r="D19" s="12"/>
      <c r="E19" s="12"/>
      <c r="G19" s="109"/>
    </row>
    <row r="20">
      <c r="A20" s="4"/>
      <c r="B20" s="4"/>
      <c r="C20" s="4"/>
      <c r="D20" s="4"/>
      <c r="E20" s="4"/>
    </row>
    <row r="21">
      <c r="C21" s="38"/>
    </row>
    <row r="22">
      <c r="C22" s="38"/>
    </row>
    <row r="23">
      <c r="C23" s="38"/>
    </row>
    <row r="24">
      <c r="C24" s="38"/>
      <c r="D24" s="110"/>
    </row>
    <row r="25">
      <c r="C25" s="38"/>
      <c r="D25" s="110"/>
    </row>
    <row r="26">
      <c r="C26" s="38"/>
      <c r="D26" s="110"/>
    </row>
    <row r="27">
      <c r="C27" s="38"/>
      <c r="D27" s="110"/>
    </row>
    <row r="28">
      <c r="C28" s="38"/>
      <c r="D28" s="110"/>
    </row>
    <row r="29">
      <c r="C29" s="38"/>
      <c r="D29" s="110"/>
    </row>
    <row r="30">
      <c r="C30" s="38"/>
      <c r="D30" s="110"/>
    </row>
    <row r="31">
      <c r="C31" s="38"/>
      <c r="D31" s="110"/>
    </row>
    <row r="32">
      <c r="C32" s="38"/>
      <c r="D32" s="110"/>
    </row>
    <row r="33">
      <c r="C33" s="38"/>
      <c r="D33" s="110"/>
    </row>
    <row r="34">
      <c r="C34" s="38"/>
      <c r="D34" s="110"/>
    </row>
  </sheetData>
  <drawing r:id="rId1"/>
</worksheet>
</file>