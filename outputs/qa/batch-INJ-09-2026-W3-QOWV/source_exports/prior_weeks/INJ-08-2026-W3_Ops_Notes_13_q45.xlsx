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hidden" name="AECN Truck" sheetId="4" r:id="rId8"/>
    <sheet state="visible" name="Kerry" sheetId="5" r:id="rId9"/>
    <sheet state="visible" name="QOWV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Composite SR26-04824.002, C = 7.9% (m/m) ASTM D5291 Method C, sampled 2026-08-07 07:00.
Stored as a fraction (0.079) per the INJ-07-2026 W3/W4 convention; C Content Uncertainty = C% x 0.004.
LABEL DISCREPANCY - READ BEFORE VERIFICATION: SGS issued this certificate with CLIENT ID "08-2026-W2 QOWV". It is applied to W3 because:
  1. COBB has ZERO aqueous_fraction rows in the W2 window (8/1-8/8]; W2 injected WODO, not QOWV, so the W2 label had no corresponding injection.
  2. W3 injected 33 QOWV totes on 2026-08-11, after the 8/7 sampling.
  3. Precedent: W1's QOWV composite was sampled 7/29 for totes injected 7/31 - the composite is drawn from the staged lot BEFORE injection.
Confirmed a submission labelling error by Brad (Garrett, 2026-08-17). The lab document is unaltered and filed as issued in W3/Testing. A corrected COA has NOT been requested from SGS.</t>
      </text>
    </comment>
    <comment authorId="0" ref="G18">
      <text>
        <t xml:space="preserve">NO COMPOSITE C% AVAILABLE for W2 WODO.
The 2026-08-12 SGS report (SR26-04824) contains exactly two samples: .001 "08-2026-W2 AECN" (39.5% C) and .002 "08-2026-W2 QOWV" (7.9% C). No WODO sample was submitted.
The .002 result CANNOT be used here: at 7.9% C, density 1.044 g/cm3 and 0.9329 cSt it is chemically an aqueous fraction (WODO runs ~40% C and far more viscous), and it is near-identical to W1's genuine QOWV composite (8.9% C, 1.049, 0.9592).
W2 injected 17 WODO totes on 2026-08-07 (COBB oily_fraction; BGN Fraction Type = WODO on all 17). Gross removal for WODO cannot be computed until a WODO composite is run.</t>
      </text>
    </comment>
    <comment authorId="0" ref="G17">
      <text>
        <t xml:space="preserve">Composite SR26-04824.001, CLIENT ID "08-2026-W2 AECN", sampled 2026-08-08 18:00 (matches AECN Rail injection date 2026-08-08). C = 39.5% (m/m), ASTM D5291 Method C. Stored as a fraction per INJ-07-2026 W3/W4 convention. Lab: SGS St. Rose LA, signatory Tiffany Scott.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8">
      <text>
        <t xml:space="preserve">L/N (AECN-&gt;SOPOR mi / Opel-&gt;Basco mi) were absent from this sheet template (empty strings on all offload rows) and were restored on 2026-08-20, copied verbatim from the established W1/W2 EE formula pattern (bd Claude-alw). Ranges adapted to this sheet layout: VLOOKUP table $A$10:$L$15 (Section 1 rows 10-15), group range $C$39:$C$60 (Section 3 rows 39-60).</t>
      </text>
    </comment>
    <comment authorId="0" ref="D59">
      <text>
        <t xml:space="preserve">CAT ticket 1312226217837 weighed 2026-08-05 14:17 (LABELED). Source: CAT master archive (Brad).</t>
      </text>
    </comment>
    <comment authorId="0" ref="E59">
      <text>
        <t xml:space="preserve">CAT ticket 1312226218846 weighed 2026-08-06 07:39 (LABELED). Source: CAT master archive (Brad).</t>
      </text>
    </comment>
    <comment authorId="0" ref="D57">
      <text>
        <t xml:space="preserve">CAT ticket 1124426221359 weighed 2026-08-09 08:49 (LABELED). Source: CAT master archive (Brad).</t>
      </text>
    </comment>
    <comment authorId="0" ref="E57">
      <text>
        <t xml:space="preserve">CAT ticket 1312226221899 weighed 2026-08-09 12:30 (LABELED). Source: CAT master archive (Brad).</t>
      </text>
    </comment>
    <comment authorId="0" ref="D55">
      <text>
        <t xml:space="preserve">CAT ticket 1124426220356 weighed 2026-08-08 12:56 (LABELED). Source: CAT master archive (Brad).</t>
      </text>
    </comment>
    <comment authorId="0" ref="E55">
      <text>
        <t xml:space="preserve">SUBSTITUTED TARE - not a scale reading.
Trailer Standard Empty Weight for trailer KL510 = 29,478 lb (mean + 1 standard deviation of that trailer's historical CAT Scale tare weights, Apr-Jul 2026 dataset, n=4). Published in the RP VVB Guidance and unchanged from the July 2026 RP.
Trigger (b) rig mismatch: the full weigh (ticket 1124426220356, 66,940 lb, 8-08-26 12:56) was on TRACTOR CH1 / TRAILER KL510; the as-ticketed empty (1312226220890, 28,600 lb, 8-08-26 15:16) was on CH1 / KL192 - a trailer swap on the same tractor, so the pair is not a valid net. The full weigh is valid and is retained in D55; only the tare is substituted.
Supersedes a tractor-based fallback of 29,368.4 lb set 2026-08-28, which was adopted on the premise that the same-trailer rule could not be applied because KL510 has no tare anywhere in this week. That premise was incorrect: the published standard table carries a KL510 figure precisely so that no within-week tare is required - it is compiled from the Apr-Jul 2026 dataset. The superseded fallback also included the invalid 28,600 lb reading in its population despite stating that it was excluded.
KL510's published standard rests on n=4, the thinnest in the table; the guidance records that it will be refined as further tickets accrue. At 29,478 lb it is heavier than the superseded fallback, giving a smaller net - conservative.
Set 2026-08-28.</t>
      </text>
    </comment>
    <comment authorId="0" ref="D53">
      <text>
        <t xml:space="preserve">CAT ticket 1124426224386 weighed 2026-08-12 14:57 (LABELED). Source: CAT master archive (Brad).</t>
      </text>
    </comment>
    <comment authorId="0" ref="E53">
      <text>
        <t xml:space="preserve">CAT ticket 1124426225392 weighed 2026-08-13 08:11 (LABELED). Source: Gmail catscale.com (not in master archive).</t>
      </text>
    </comment>
    <comment authorId="0" ref="D51">
      <text>
        <t xml:space="preserve">CAT ticket 1124426224382 weighed 2026-08-12 09:00 (LABELED). Source: manual field capture.</t>
      </text>
    </comment>
    <comment authorId="0" ref="E51">
      <text>
        <t xml:space="preserve">CAT ticket 1312226224953 weighed 2026-08-12 09:11 (LABELED). Source: manual field capture.</t>
      </text>
    </comment>
    <comment authorId="0" ref="D49">
      <text>
        <t xml:space="preserve">CAT ticket 1124426225398 weighed 2026-08-13 15:29 (LABELED). Source: CAT master archive (Brad).</t>
      </text>
    </comment>
    <comment authorId="0" ref="E49">
      <text>
        <t xml:space="preserve">CAT ticket 1312226226013 weighed 2026-08-14 11:31 (LABELED). Source: CAT master archive (Brad).</t>
      </text>
    </comment>
    <comment authorId="0" ref="D47">
      <text>
        <t xml:space="preserve">CAT ticket 1124426225393 weighed 2026-08-13 10:25 (LABELED). Source: Gmail catscale.com (not in master archive).</t>
      </text>
    </comment>
    <comment authorId="0" ref="E47">
      <text>
        <t xml:space="preserve">CAT ticket 1124426225397 weighed 2026-08-13 13:26 (LABELED). Source: CAT master archive (Brad).</t>
      </text>
    </comment>
    <comment authorId="0" ref="D45">
      <text>
        <t xml:space="preserve">CAT ticket 1124426220354 weighed 2026-08-08 10:11 (LABELED). Source: CAT master archive (Brad).</t>
      </text>
    </comment>
    <comment authorId="0" ref="E45">
      <text>
        <t xml:space="preserve">CAT ticket 1312226221895 weighed 2026-08-09 06:59 (LABELED). Source: CAT master archive (Brad).</t>
      </text>
    </comment>
    <comment authorId="0" ref="D43">
      <text>
        <t xml:space="preserve">CAT ticket 1124426219347 weighed 2026-08-07 12:33 (LABELED). Source: CAT master archive (Brad).</t>
      </text>
    </comment>
    <comment authorId="0" ref="A8">
      <text>
        <t xml:space="preserve">W3 (2026-08-08..2026-08-15): 22 offloads / 6 railcars per COBB (bio_oil, injection_completion_date 2026-08-15). Mass basis = CAT scale tickets (D/E), NOT COBB offloaded_quantity_kg -- COBB is derivative/summary data, tickets are source.
TWO COBB OVERRIDES (ticket net mass used instead of COBB value -- see per-row notes on D41 and D45):
- SHPX215068 LD3 (row 41): COBB claimed 36,013.24864 kg (implies 79,395.69 lb, not a 20-lb scale increment, physically impossible for one shuttle). Ticket pair 1124426223375/1124426224379 gives 45,220 lb = 20,511.43 kg.
- SHPX215078 LD3 (row 45): COBB claimed 21,272.22704 kg (implies 46,897.27 lb, not a 20-lb increment). Ticket pair 1124426220354/1312226221895 gives 47,000 lb = 21,318.82 kg.
TWO OPEN ITEMS:
- GPRX5098 LD1 (row 51): no CAT ticket pair exists for either half in the 07/27-08/21 Gmail window. Left BLANK (not zero, not estimated). COBB implies exactly 42,000.000 lb net; Garrett is locating the physical ticket. Tracked bd Claude-f8e (COBB upstream correction).
- SHPX215082 LD1/LD2 (row 15 / rows 59-60): ticket evidence (all SHPX215082-labeled tickets, tractors CH1/CH2, 2026-08-05 14:17 to 2026-08-06 16:52) places the PHYSICAL unload of all four SHPX215082 loads in one continuous ~26.5h operation -- the SAME operation as LD3/LD4, which W2 already claims. COBB dates LD1/LD2 to 2026-08-15 (W3) via a bulk-applied injection_completion_date, not a per-offload event date. Included here per COBB-defines-the-offload-set convention; re-basing on physical unload date vs COBB injection_completion_date is an open methodology decision. Tracked bd Claude-m8t.</t>
      </text>
    </comment>
    <comment authorId="0" ref="E43">
      <text>
        <t xml:space="preserve">CAT ticket 1312226219879 weighed 2026-08-07 15:34 (LABELED). Source: CAT master archive (Brad).</t>
      </text>
    </comment>
    <comment authorId="0" ref="D41">
      <text>
        <t xml:space="preserve">CAT ticket 1124426223375 weighed 2026-08-11 16:19 (LABELED). Source: CAT master archive (Brad).</t>
      </text>
    </comment>
    <comment authorId="0" ref="E41">
      <text>
        <t xml:space="preserve">CAT ticket 1124426224379 weighed 2026-08-12 07:00 (LABELED). Source: CAT master archive (Brad).</t>
      </text>
    </comment>
    <comment authorId="0" ref="D39">
      <text>
        <t xml:space="preserve">CAT ticket 1124426223370 weighed 2026-08-11 11:01 (LABELED). Source: CAT master archive (Brad).</t>
      </text>
    </comment>
    <comment authorId="0" ref="E39">
      <text>
        <t xml:space="preserve">CAT ticket 1124426223373 weighed 2026-08-11 13:48 (LABELED). Source: CAT master archive (Brad).</t>
      </text>
    </comment>
    <comment authorId="0" ref="D60">
      <text>
        <t xml:space="preserve">CAT ticket 1312226218852 weighed 2026-08-06 09:46 (LABELED). Source: CAT master archive (Brad).</t>
      </text>
    </comment>
    <comment authorId="0" ref="E60">
      <text>
        <t xml:space="preserve">CAT ticket 1312226218857 weighed 2026-08-06 11:36 (LABELED). Source: CAT master archive (Brad).</t>
      </text>
    </comment>
    <comment authorId="0" ref="D58">
      <text>
        <t xml:space="preserve">CAT ticket 1124426221360 weighed 2026-08-09 14:35 (LABELED). Source: Gmail catscale.com (not in master archive).</t>
      </text>
    </comment>
    <comment authorId="0" ref="E58">
      <text>
        <t xml:space="preserve">CAT ticket 1312226222905 weighed 2026-08-10 08:00 (LABELED). Source: CAT master archive (Brad).</t>
      </text>
    </comment>
    <comment authorId="0" ref="D56">
      <text>
        <t xml:space="preserve">CAT ticket 1124426220358 weighed 2026-08-08 15:32 (LABELED). Source: Gmail catscale.com (not in master archive).</t>
      </text>
    </comment>
    <comment authorId="0" ref="E56">
      <text>
        <t xml:space="preserve">CAT ticket 1124426222363 weighed 2026-08-10 08:11 (LABELED). Source: CAT master archive (Brad).</t>
      </text>
    </comment>
    <comment authorId="0" ref="D54">
      <text>
        <t xml:space="preserve">CAT ticket 1312226224960 weighed 2026-08-12 14:09 (LABELED). Source: CAT master archive (Brad).</t>
      </text>
    </comment>
    <comment authorId="0" ref="E54">
      <text>
        <t xml:space="preserve">CAT ticket 1312226224968 weighed 2026-08-12 15:55 (LABELED). Source: CAT master archive (Brad).</t>
      </text>
    </comment>
    <comment authorId="0" ref="D52">
      <text>
        <t xml:space="preserve">CAT ticket 1124426224383 weighed 2026-08-12 09:23 (LABELED). Source: CAT master archive (Brad).</t>
      </text>
    </comment>
    <comment authorId="0" ref="E52">
      <text>
        <t xml:space="preserve">CAT ticket 1312226224956 weighed 2026-08-12 11:53 (MISLABELED ON TICKET - commodity field reads "SHPX 215068 LOAD 2"). Source: CAT master archive (Brad).</t>
      </text>
    </comment>
    <comment authorId="0" ref="D50">
      <text>
        <t xml:space="preserve">CAT ticket 1124426226399 weighed 2026-08-14 08:50 (LABELED). Source: CAT master archive (Brad).</t>
      </text>
    </comment>
    <comment authorId="0" ref="E50">
      <text>
        <t xml:space="preserve">CAT ticket 1312226226015 weighed 2026-08-14 13:00 (LABELED). Source: CAT master archive (Brad).</t>
      </text>
    </comment>
    <comment authorId="0" ref="D48">
      <text>
        <t xml:space="preserve">CAT ticket 1124426225396 weighed 2026-08-13 11:31 (LABELED). Source: CAT master archive (Brad).</t>
      </text>
    </comment>
    <comment authorId="0" ref="E48">
      <text>
        <t xml:space="preserve">CAT ticket 1312226225995 weighed 2026-08-13 15:59 (LABELED). Source: CAT master archive (Brad).</t>
      </text>
    </comment>
    <comment authorId="0" ref="D46">
      <text>
        <t xml:space="preserve">CAT ticket 1124426220355 weighed 2026-08-08 11:14 (LABELED). Source: CAT master archive (Brad).</t>
      </text>
    </comment>
    <comment authorId="0" ref="E46">
      <text>
        <t xml:space="preserve">CAT ticket 1124426220357 weighed 2026-08-08 13:49 (LABELED). Source: CAT master archive (Brad).</t>
      </text>
    </comment>
    <comment authorId="0" ref="D44">
      <text>
        <t xml:space="preserve">CAT ticket 1124426219349 weighed 2026-08-07 12:37 (LABELED). Source: CAT master archive (Brad).</t>
      </text>
    </comment>
    <comment authorId="0" ref="H15">
      <text>
        <t xml:space="preserve">Documents W2 AECN Rail Section3 SHPX215082 LD3 (19,123.43872 kg) + LD4 (19,731.252 kg) = 38,854.69072 kg already claimed on the W2 sheet. Per-BOL ticket evidence places the PHYSICAL unload of ALL FOUR SHPX215082 loads (LD1-LD4) in one continuous operation 2026-08-05 14:17 to 2026-08-06 16:52 (tractors CH1/CH2) -- i.e. LD1/LD2 (claimed here in W3 per COBB injection_completion_date=2026-08-15) were physically unloaded in the SAME event as LD3/LD4 (claimed in W2). Re-basing weekly attribution on physical unload date vs COBB bulk-applied injection_completion_date is an open methodology decision -- not resolved by this scaffold. Tracked bd Claude-m8t.</t>
      </text>
    </comment>
    <comment authorId="0" ref="E44">
      <text>
        <t xml:space="preserve">CAT ticket 1312226220886 weighed 2026-08-08 07:05 (LABELED). Source: CAT master archive (Brad).</t>
      </text>
    </comment>
    <comment authorId="0" ref="D42">
      <text>
        <t xml:space="preserve">CAT ticket 1124426223376 weighed 2026-08-11 16:23 (LABELED). Source: CAT master archive (Brad).</t>
      </text>
    </comment>
    <comment authorId="0" ref="E42">
      <text>
        <t xml:space="preserve">CAT ticket 1124426224380 weighed 2026-08-12 07:01 (LABELED). Source: CAT master archive (Brad).</t>
      </text>
    </comment>
    <comment authorId="0" ref="D40">
      <text>
        <t xml:space="preserve">CAT ticket 1124426223371 weighed 2026-08-11 11:06 (LABELED). Source: CAT master archive (Brad).</t>
      </text>
    </comment>
    <comment authorId="0" ref="E40">
      <text>
        <t xml:space="preserve">CAT ticket 1312226223938 weighed 2026-08-11 14:32 (LABELED). Source: CAT master archive (Brad).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CAT ticket 1189526222006 (weigh 2006) weighed 2026-08-10 13:19, Loves #1895 Wilson Township WI. Commodity: TANKER. Carrier Freiburger, tractor 07 / trailer 1013. Manual field capture - not in CAT master archive or Gmail.</t>
      </text>
    </comment>
    <comment authorId="0" ref="C10">
      <text>
        <t xml:space="preserve">CAT ticket 1312226224954 (weigh 4954) weighed 2026-08-12, Pilot #3122 Bunkie LA. Post-delivery empty = SOURCE OF TRUTH. Commodity: TANKER. Same tractor 07 / trailer 1013 as full weigh. Manual field capture - not in CAT master archive or Gmail.</t>
      </text>
    </comment>
    <comment authorId="0" ref="O5">
      <text>
        <t xml:space="preserve">Kerry Calciner filtration solids = 0.071% (0.00071). Cell is hyperlinked to the test.
SOURCE OF RECORD: CAR-474 'Solids Loading in Kerry-AECN-WODO oils.xlsx', sample 'MANITOWOC CALCINER PHASE' = 0.071 % Solids, lab SGS, measured 2026-05-28.
Filed this RP at: August 1 - August 31 RP / Injection Batch Data / Kerry Oil /
CAR-474 folder: https://drive.google.com/drive/folders/1TrKV8srSpVrofMKx1KM77qALoDlqQiK1
Full CAR-474 set (% solids): WODO 0.3 (Charm); GPRX 5254 Tanker Load 0.33 (SGS); GPRX 5254 Railcar Preload 0.076 (SGS); Manitowoc Calciner Phase 0.071 (SGS); Rhinelander RTP Tar 2.5 (SGS).
DISCREPANCY TO CONFIRM WITH THE LAB: the Slack announcement of CAR-474 (steven.rowland, #chemical-analysis-notifs 2026-05-29 10:42 MDT) quotes 'Kerry Manitowoc Calciner Phase Separated Tar - 0.71% solids' and 'WODO - 0.33%' - i.e. 10x this value for Kerry, and the tanker-load figure for WODO. All three copies of the CAR-474 data file read 0.071 and 0.3, so the data file is authoritative and the Slack text is treated as a transcription slip. Confirm with Steven Rowland before this constant is ever changed.
Solids is NOT on the SGS MRV COA panel (C/H/N, D445 viscosity, titration solvent volume, D664 acid number, D4052 density) - it only comes from CAR filtration work.
PRODUCT DRIFT: Calciner 0.071% vs Rhinelander 2.5% is ~35x. Confirm the product from the COA CLIENT ID / SOURCE ID before applying (W3 = '08-2026-W3 KERRY', SOURCE ID 'B CALCINER').</t>
      </text>
    </comment>
    <comment authorId="0" ref="C22">
      <text>
        <t xml:space="preserve">MOBI net of a prior-period correction, per Garrett 2026-08-24.
Physical MOBI for this load is 10,871.967932752 kg (Kerry!F10 = net x (1 - 0.0071)).
Deducted 106.952911272 kg ($O$8) to absorb the INJ-07-2026-W4 Kerry overstatement: that week used the template filtration constant 0.00071 instead of the measured 0.71% (CAR-474), so its filed MOBI 16,725.661143192 kg should have been 16,618.708231920 kg.
July 1-31 is a verified period and will NOT be restated; the shortfall is absorbed here so cumulative Kerry mass is correct. Conservative direction - reduces the current claim.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</commentList>
</comments>
</file>

<file path=xl/sharedStrings.xml><?xml version="1.0" encoding="utf-8"?>
<sst xmlns="http://schemas.openxmlformats.org/spreadsheetml/2006/main" count="428" uniqueCount="260">
  <si>
    <t>BATCH HEADER — AECN Rail</t>
  </si>
  <si>
    <t>BATCH SUMMARY</t>
  </si>
  <si>
    <t>BATCH HEADER — AECN Truck (Direct from Fort Lupton)</t>
  </si>
  <si>
    <t>BATCH HEADER — Charm WODO (IBC Totes)</t>
  </si>
  <si>
    <t>Batch ID (INJ-YYYY-WXX)</t>
  </si>
  <si>
    <t>Batch ID</t>
  </si>
  <si>
    <t>INJ-08-2026-W3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</si>
  <si>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</si>
  <si>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</si>
  <si>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</si>
  <si>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</si>
  <si>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</si>
  <si>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</si>
  <si>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Sparging Mass Loss</t>
  </si>
  <si>
    <t>Source Tab</t>
  </si>
  <si>
    <t>pH range (target)</t>
  </si>
  <si>
    <t>2.0 - 4.0</t>
  </si>
  <si>
    <t>Σ Deliveries / Cargo (kg)</t>
  </si>
  <si>
    <t>Σ Uncertainty Adj (kg)</t>
  </si>
  <si>
    <t>WODO 6-Mo CI (kg CO2e/kg), Jul-Dec 2026</t>
  </si>
  <si>
    <t>Mass Used (kg)</t>
  </si>
  <si>
    <t>SECTION 1 - IBC LEDGER  (one row per IBC tote; tote tag mass is authoritative)</t>
  </si>
  <si>
    <t>Sparging Loss (kg)</t>
  </si>
  <si>
    <t>WODO Standard Loss (kg/tote), 2026 = Mean + 1 SD</t>
  </si>
  <si>
    <t>Filtration Loss (kg)</t>
  </si>
  <si>
    <t>MOBI (kg)</t>
  </si>
  <si>
    <t>AECN→SOPOR EE (mi)</t>
  </si>
  <si>
    <t>Rail EE (mi)</t>
  </si>
  <si>
    <t>Opel→Basco EE (mi)</t>
  </si>
  <si>
    <t>Filtration Solids Content</t>
  </si>
  <si>
    <t>AECN Rail</t>
  </si>
  <si>
    <t>Transport Emissions</t>
  </si>
  <si>
    <t>SECTION 1 - DELIVERIES LEDGER  (one row per direct truck; BOL &amp; scale ticket on same row)</t>
  </si>
  <si>
    <t>Pyrolysis Emissions Mass &amp; Standard Loss</t>
  </si>
  <si>
    <t>MOBI</t>
  </si>
  <si>
    <t>Per-Production-Month CI (kg CO2e/kg) - PP Summary Output Type table, col T</t>
  </si>
  <si>
    <t>Tag</t>
  </si>
  <si>
    <t>Gross Mass (kg)</t>
  </si>
  <si>
    <t>Date</t>
  </si>
  <si>
    <t>BOL # / SO #</t>
  </si>
  <si>
    <t>Tote Mass (kg)</t>
  </si>
  <si>
    <t>BOL Mass (MT)</t>
  </si>
  <si>
    <t>Net Oil Produced (kg)</t>
  </si>
  <si>
    <t>BOL Mass (kg)</t>
  </si>
  <si>
    <t>Scale Full (lb)</t>
  </si>
  <si>
    <t>Scale Empty (lb)</t>
  </si>
  <si>
    <t>Cargo (kg)</t>
  </si>
  <si>
    <t>Standard Loss (kg)</t>
  </si>
  <si>
    <t>pH</t>
  </si>
  <si>
    <t>Net Oil Injected (kg)</t>
  </si>
  <si>
    <t>Notes</t>
  </si>
  <si>
    <t>Production Period</t>
  </si>
  <si>
    <t>Carbon Intensity</t>
  </si>
  <si>
    <t>C Content</t>
  </si>
  <si>
    <t>Production  Emissions</t>
  </si>
  <si>
    <t>Scale Uncertainty</t>
  </si>
  <si>
    <t>PP#8</t>
  </si>
  <si>
    <t>SECTION 1 - RAILCARS RECEIVED THIS WEEK  (entity-level)</t>
  </si>
  <si>
    <t>Pyrolysis Emissions Mass</t>
  </si>
  <si>
    <t>BOL Trips (AECN→SOPOR)</t>
  </si>
  <si>
    <t>AECN Truck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</si>
  <si>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</si>
  <si>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</si>
  <si>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</si>
  <si>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</si>
  <si>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</si>
  <si>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</si>
  <si>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</si>
  <si>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</si>
  <si>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</si>
  <si>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</si>
  <si>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</si>
  <si>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</si>
  <si>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Full Railcar This Week?</t>
  </si>
  <si>
    <t>Round Trip (Opel→Basco)</t>
  </si>
  <si>
    <t>SHPX215068</t>
  </si>
  <si>
    <t>Charm WODO</t>
  </si>
  <si>
    <t>2436-R, 2437-R, 2438-R</t>
  </si>
  <si>
    <t>SECTION 2 - ROLLUP  (Mass Used = Σ BOL kg; scale tickets no longer required for direct trucks per 2026-05-26)</t>
  </si>
  <si>
    <t>Kerry</t>
  </si>
  <si>
    <t>Σ BOL (kg)</t>
  </si>
  <si>
    <t>Σ Cargo (kg)</t>
  </si>
  <si>
    <t>Uncertainty Adjustment (kg)</t>
  </si>
  <si>
    <t>C Content (MOBI-wtd)</t>
  </si>
  <si>
    <t>QOWV</t>
  </si>
  <si>
    <t>Origins list (BOLs)</t>
  </si>
  <si>
    <t>July 2026 and later (Jan-Jun 2026 rolling)</t>
  </si>
  <si>
    <t>TOTAL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</si>
  <si>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</si>
  <si>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</si>
  <si>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</si>
  <si>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</si>
  <si>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</si>
  <si>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</si>
  <si>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</si>
  <si>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</si>
  <si>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</si>
  <si>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</si>
  <si>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</si>
  <si>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</si>
  <si>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SHPX215078</t>
  </si>
  <si>
    <t>2427-R, 2428-R, 2429-R</t>
  </si>
  <si>
    <t>08-2026-W3 AECN</t>
  </si>
  <si>
    <t>SECTION 2 - ROLLUP</t>
  </si>
  <si>
    <t>Transport Mass</t>
  </si>
  <si>
    <t>Σ Net Oil Produced (kg)</t>
  </si>
  <si>
    <t>MOBI — Σ Net Oil Injected (kg)</t>
  </si>
  <si>
    <t>GPRX5082</t>
  </si>
  <si>
    <t>2433-R, 2434-R, 2435-R</t>
  </si>
  <si>
    <t>WODO</t>
  </si>
  <si>
    <t>GPRX5098</t>
  </si>
  <si>
    <t>2405-R, 2439-R, 2440-R</t>
  </si>
  <si>
    <t>GPRX5139</t>
  </si>
  <si>
    <t>2406-R, 2407-R, 2408-R</t>
  </si>
  <si>
    <t>08-2026-W3 Kerry</t>
  </si>
  <si>
    <t>SHPX215082</t>
  </si>
  <si>
    <t>2418-R, 2419-R, 2423-R</t>
  </si>
  <si>
    <t>08-2026-W3 QOWV</t>
  </si>
  <si>
    <t>BATCH HEADER — Kerry (Calciner Waste Oil, IBC Totes)</t>
  </si>
  <si>
    <t>SECTION 2 - ORIGINS LEDGER  (loading BOLs at SOPOR)</t>
  </si>
  <si>
    <t>BOL #</t>
  </si>
  <si>
    <t xml:space="preserve"> </t>
  </si>
  <si>
    <t>Filtration Solids Content (Kerry Calciner)</t>
  </si>
  <si>
    <t>BATCH HEADER — QOWV (Aqueous Bio-Oil, IBC Totes)</t>
  </si>
  <si>
    <t>SECTION 1 - IBC LEDGER  (one row per Kerry tote; tote tag mass is authoritative)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</si>
  <si>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</si>
  <si>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</si>
  <si>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</si>
  <si>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</si>
  <si>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</si>
  <si>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(kg)</t>
  </si>
  <si>
    <t>QOWV 6-Mo CI (kg CO2e/kg), Jul-Dec 2026</t>
  </si>
  <si>
    <t>INJ-08-2026-W3 — QOWV Shipments &amp; EE Mileage Allocation</t>
  </si>
  <si>
    <t>Bulk tanker, Kerry calciner waste oil. FULL CAT ticket 1189526222006 (weigh 2006), 2026-08-10 13:19, Loves #1895 Wilson Township WI, gross 58480 lb. EMPTY CAT ticket 1312226224954 (weigh 4954), 2026-08-12, Pilot #3122 Bunkie LA, gross 34340 lb. Carrier Freiburger, tractor 07, trailer 1013 (same unit both weighings). No pH taken.</t>
  </si>
  <si>
    <t>Batch</t>
  </si>
  <si>
    <t>Empty Tote Weight (kg)</t>
  </si>
  <si>
    <t>Fraction</t>
  </si>
  <si>
    <t>Inj. Week</t>
  </si>
  <si>
    <t># Totes</t>
  </si>
  <si>
    <t>Shipping Orders (relevant totes)</t>
  </si>
  <si>
    <t>2026-08-08 to 2026-08-15</t>
  </si>
  <si>
    <t>5 shipping order(s) direct CO-&gt;LA: COLA21, COLA25, COLA29, COLA30, Truck 2 (by Date Shipped) = 33 totes. Plus 4 Kansas totes (118811, 118837, 118872, 118886) routed CO -&gt; Charm KS -&gt; Basco LA, allocated in table B below. 33 + 4 = 37.</t>
  </si>
  <si>
    <t>Charm CO -&gt; Basco LA distance (one-way mi)</t>
  </si>
  <si>
    <t>EE ALLOCATION TABLE - A. Direct Charm CO -&gt; Basco LA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</si>
  <si>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</si>
  <si>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</si>
  <si>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</si>
  <si>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</si>
  <si>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</si>
  <si>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</si>
  <si>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</si>
  <si>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COLA21</t>
  </si>
  <si>
    <t>Σ Net Oil — pre-filtration (kg)</t>
  </si>
  <si>
    <t>COLA25</t>
  </si>
  <si>
    <t>MFO Lot 3082 (LOT00003082), PP#8</t>
  </si>
  <si>
    <t>COLA29</t>
  </si>
  <si>
    <t>COLA30</t>
  </si>
  <si>
    <t>Truck 2 (by Date Shipped)</t>
  </si>
  <si>
    <t>SUBTOTAL A - Direct</t>
  </si>
  <si>
    <t>MFO Lot 4350 (LOT00004350), November 2025</t>
  </si>
  <si>
    <t>EE ALLOCATION TABLE - B. Via Kansas  (Charm CO -&gt; Charm KS -&gt; Basco LA)   tote tag(s): 118811, 118837, 118872, 118886</t>
  </si>
  <si>
    <t>Charm CO -&gt; Charm KS distance (one-way mi)</t>
  </si>
  <si>
    <t>INJ-08-2026-W3 — WODO Shipments &amp; EE Mileage Allocation</t>
  </si>
  <si>
    <t>Charm KS -&gt; Basco LA distance (one-way mi)</t>
  </si>
  <si>
    <t>Via-KS route total (one-way mi)</t>
  </si>
  <si>
    <t>MFO Lot 4728 (LOT00004728), February 2026</t>
  </si>
  <si>
    <t>PENDING - no truck manifest yet</t>
  </si>
  <si>
    <t>EE ALLOCATION TABLE</t>
  </si>
  <si>
    <t>MFO Lot 4765 (LOT00004765), February 2026</t>
  </si>
  <si>
    <t>Leg</t>
  </si>
  <si>
    <t>Total Totes on Truck(s)</t>
  </si>
  <si>
    <t>SECTION 3 - SCALE TICKETS + OFFLOAD WEIGHTS</t>
  </si>
  <si>
    <t>Batch Share of Truck(s)</t>
  </si>
  <si>
    <t>Mileage (one-way x trucks)</t>
  </si>
  <si>
    <t>Trucks</t>
  </si>
  <si>
    <t>Leg 1 - Shipment #32/#33: Charm CO -&gt; Charm KS</t>
  </si>
  <si>
    <t>MFO Lot 4766 (LOT00004766), February 2026</t>
  </si>
  <si>
    <t>Offload Key</t>
  </si>
  <si>
    <t>Full Scale Ticket (lb)</t>
  </si>
  <si>
    <t>Empty Scale Ticket (lb)</t>
  </si>
  <si>
    <t>MFO Lot 4772 (LOT00004772), February 2026</t>
  </si>
  <si>
    <t>Net Scaled Mass (kg)</t>
  </si>
  <si>
    <t>Leg 2 - Charm KS -&gt; Basco LA (repositioning)</t>
  </si>
  <si>
    <t>not recorded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</si>
  <si>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</si>
  <si>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</si>
  <si>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</si>
  <si>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Rail_SHPX215068_7.23.26_offload_1</t>
  </si>
  <si>
    <t>SUBTOTAL B - Via Kansas</t>
  </si>
  <si>
    <t>MFO Lot 4774 (LOT00004774), February 2026</t>
  </si>
  <si>
    <t>GRAND TOTAL ALLOCATED MILES (A + B)</t>
  </si>
  <si>
    <t>MFO Lot 4776 (LOT00004776), February 2026</t>
  </si>
  <si>
    <t>Reconciliation - totes allocated vs QOWV ledger</t>
  </si>
  <si>
    <t>MFO Lot 4817 (LOT00004817), March 2026</t>
  </si>
  <si>
    <t>MFO Lot 301006 (LOT00301006), March 2026</t>
  </si>
  <si>
    <t>PP#7</t>
  </si>
  <si>
    <t>NOTES - Kansas-routed totes</t>
  </si>
  <si>
    <t>1. Basis: these totes shipped Charm CO -&gt; Charm KS on Shipment #32/#33 (2 trucks, 34 QOWV totes, shipped 2025-10-21; BGN master tab "QOWV totes to KS Shipment #32&amp;33"), were stored at Charm KS, then repositioned Charm KS -&gt; Basco LA. They never rode a direct CO-&gt;LA truck, so they are excluded from table A and allocated their actual two-leg route here.</t>
  </si>
  <si>
    <t>2. Precedent: INJ-05-2026-W1 "KS Rail" tab charges KS-routed material the actual via-KS path ("Rail via Maize" 3,380 mi vs 2,199 mi direct). Dropping the KS legs would understate transport. The via-KS truck route (1,221 mi) is 1.7% longer than direct (1,201 mi), so this is also the conservative treatment.</t>
  </si>
  <si>
    <t>3. Leg 1 denominator: 34 totes across 2 trucks. The #32 vs #33 membership split is not recorded, but n/34 x 2 trucks = n/17 x 1 truck, so the split does not change the allocated miles.</t>
  </si>
  <si>
    <t>4. Leg 2 denominator: 6 totes = the Kansas totes recreated at LA per the QOWV_32_33 tracker (118811, 118837, 118872, 118886, 118846, 120584). Tag 197262 was removed from scope 2026-08-25; had it ridden this truck the denominator would be 7, which allocates fewer miles - 6 is the conservative choice.</t>
  </si>
  <si>
    <t>5. Distance sources: filed route maps linked at B21:C22 - "Charm CO to Charm KS.png" (537 mi, I-70 E) and "Charm KS to Charm LA.png" (684 mi, I-49 S). Attach both to the Certify transport-distance datapoints for these removals.</t>
  </si>
  <si>
    <t>6. Carbon intensity is unaffected: CI stays keyed to the tote production month (PP#7), not the route.</t>
  </si>
  <si>
    <t>MFO Lot 301018 (LOT00301018), March 2026</t>
  </si>
  <si>
    <t>MFO Lot 301024 (LOT00301024), April 2026</t>
  </si>
  <si>
    <t>MFO Lot 301037 (LOT00301037), March 2026</t>
  </si>
  <si>
    <t>MFO Lot 301039 (LOT00301039), March 2026</t>
  </si>
  <si>
    <t>MFO Lot 301040 (LOT00301040), March 2026</t>
  </si>
  <si>
    <t>MFO Lot 301051 (LOT00301051), April 2026</t>
  </si>
  <si>
    <t>MFO Lot 301054 (LOT00301054), April 2026</t>
  </si>
  <si>
    <t>MFO Lot 301057 (LOT00301057), March 2026</t>
  </si>
  <si>
    <t>MFO Lot 301060 (LOT00301060), April 2026</t>
  </si>
  <si>
    <t>MFO Lot 301063 (LOT00301063), March 2026</t>
  </si>
  <si>
    <t>MFO Lot 301065 (LOT00301065), March 2026</t>
  </si>
  <si>
    <t>MFO Lot 301067 (LOT00301067), March 2026</t>
  </si>
  <si>
    <t>MFO Lot 301070 (LOT00301070), March 2026</t>
  </si>
  <si>
    <t>MFO Lot 301074 (LOT00301074), March 2026</t>
  </si>
  <si>
    <t>MFO Lot 301075 (LOT00301075), March 2026</t>
  </si>
  <si>
    <t>MFO Lot 301080 (LOT00301080), March 2026</t>
  </si>
  <si>
    <t>MFO Lot 301083 (LOT00301083), March 2026</t>
  </si>
  <si>
    <t>MFO Lot 301086 (LOT00301086), April 2026</t>
  </si>
  <si>
    <t>MFO Lot 301087 (LOT00301087), March 2026</t>
  </si>
  <si>
    <t>MFO Lot 301088 (LOT00301088), March 2026</t>
  </si>
  <si>
    <t>MFO Lot 301092 (LOT00301092), April 2026</t>
  </si>
  <si>
    <t>MFO Lot 301093 (LOT00301093), March 2026</t>
  </si>
  <si>
    <t>MFO Lot 301138 (LOT00301138), April 2026</t>
  </si>
  <si>
    <t>MFO Lot 2590 (LOT00002590), PP#7</t>
  </si>
  <si>
    <t>Rail_SHPX215068_7.23.26_offload_2</t>
  </si>
  <si>
    <t>Kansas Tote</t>
  </si>
  <si>
    <t>MFO Lot 2574 (LOT00002574), PP#7</t>
  </si>
  <si>
    <t>MFO Lot 2536 (LOT00002536), PP#7</t>
  </si>
  <si>
    <t>MFO Lot 2488 (LOT00002488), PP#7</t>
  </si>
  <si>
    <t>Total for CO-&gt;LA</t>
  </si>
  <si>
    <t>pH (wellhead weekly median - site-level, not QOWV-specific)</t>
  </si>
  <si>
    <t>Rail_SHPX215068_7.23.26_offload_3</t>
  </si>
  <si>
    <t>Rail_SHPX215068_7.23.26_offload_4</t>
  </si>
  <si>
    <t>Rail_SHPX215078_7.17.2026_offload_1</t>
  </si>
  <si>
    <t>Rail_SHPX215078_7.17.2026_offload_2</t>
  </si>
  <si>
    <t>Rail_SHPX215078_7.17.2026_offload_3</t>
  </si>
  <si>
    <t>Rail_SHPX215078_7.17.2026_offload_4</t>
  </si>
  <si>
    <t>Rail_GPRX5082_7.22.2026_offload_1</t>
  </si>
  <si>
    <t>Rail_GPRX5082_7.22.2026_offload_2</t>
  </si>
  <si>
    <t>Rail_GPRX5082_7.22.2026_offload_3</t>
  </si>
  <si>
    <t>Rail_GPRX5082_7.22.2026_offload_4</t>
  </si>
  <si>
    <t>Rail_GPRX5098_7.27.2026_offload_1</t>
  </si>
  <si>
    <t>Rail_GPRX5098_7.27.2026_offload_2</t>
  </si>
  <si>
    <t>Rail_GPRX5098_7.27.2026_offload_3</t>
  </si>
  <si>
    <t>Rail_GPRX5098_7.27.2026_offload_4</t>
  </si>
  <si>
    <t>Rail_GPRX5139_7.1.2026_offload_1</t>
  </si>
  <si>
    <t>Rail_GPRX5139_7.1.2026_offload_2</t>
  </si>
  <si>
    <t>Rail_GPRX5139_7.1.2026_offload_3</t>
  </si>
  <si>
    <t>Rail_GPRX5139_7.1.2026_offload_4</t>
  </si>
  <si>
    <t>Rail_SHPX215082_7.12.2026_offload_1</t>
  </si>
  <si>
    <t>Rail_SHPX215082_7.12.2026_offload_2</t>
  </si>
  <si>
    <t>EE Totals (rows 39-60)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</si>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</sst>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000000000"/>
    <numFmt numFmtId="166" formatCode="#,##0.00000"/>
    <numFmt numFmtId="167" formatCode="mmmm yyyy"/>
    <numFmt numFmtId="168" formatCode="0.000000"/>
    <numFmt numFmtId="169" formatCode="0.0000%"/>
    <numFmt numFmtId="170" formatCode="0.000%"/>
    <numFmt numFmtId="171" formatCode="yyyy-mm-dd"/>
    <numFmt numFmtId="172" formatCode="0.0%"/>
    <numFmt numFmtId="173" formatCode="#,##0.0"/>
    <numFmt numFmtId="174" formatCode="#,##0.000000"/>
  </numFmts>
  <fonts count="2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color rgb="FF1F1F1F"/>
    </font>
    <font>
      <color rgb="FF000000"/>
      <name val="Arial"/>
    </font>
    <font>
      <color rgb="FF000000"/>
      <name val="-apple-system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b/>
      <u/>
      <color rgb="FF0000FF"/>
    </font>
    <font>
      <u/>
      <color rgb="FF0000FF"/>
    </font>
    <font>
      <sz val="11.0"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E499"/>
        <bgColor rgb="FFFFE499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2" fontId="4" numFmtId="0" xfId="0" applyFill="1" applyFont="1"/>
    <xf borderId="0" fillId="0" fontId="5" numFmtId="0" xfId="0" applyFont="1"/>
    <xf borderId="0" fillId="0" fontId="2" numFmtId="4" xfId="0" applyFont="1" applyNumberFormat="1"/>
    <xf borderId="0" fillId="3" fontId="3" numFmtId="0" xfId="0" applyAlignment="1" applyFill="1" applyFont="1">
      <alignment horizontal="center" readingOrder="0"/>
    </xf>
    <xf borderId="0" fillId="3" fontId="3" numFmtId="0" xfId="0" applyFill="1" applyFont="1"/>
    <xf borderId="0" fillId="3" fontId="3" numFmtId="4" xfId="0" applyAlignment="1" applyFill="1" applyFont="1" applyNumberFormat="1">
      <alignment horizontal="center" readingOrder="0"/>
    </xf>
    <xf borderId="0" fillId="4" fontId="3" numFmtId="0" xfId="0" applyAlignment="1" applyFill="1" applyFont="1">
      <alignment readingOrder="0"/>
    </xf>
    <xf borderId="0" fillId="4" fontId="3" numFmtId="4" xfId="0" applyAlignment="1" applyFill="1" applyFont="1" applyNumberFormat="1">
      <alignment horizontal="center" readingOrder="0"/>
    </xf>
    <xf borderId="0" fillId="3" fontId="3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3" fontId="3" numFmtId="2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3" fontId="2" numFmtId="49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4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0" fontId="2" numFmtId="2" xfId="0" applyFont="1" applyNumberFormat="1"/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Font="1"/>
    <xf borderId="0" fillId="3" fontId="2" numFmtId="4" xfId="0" applyFill="1" applyFont="1" applyNumberFormat="1"/>
    <xf borderId="0" fillId="3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0" xfId="0" applyFill="1" applyFont="1"/>
    <xf borderId="0" fillId="3" fontId="2" numFmtId="168" xfId="0" applyAlignment="1" applyFill="1" applyFont="1" applyNumberForma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2" xfId="0" applyAlignment="1" applyFill="1" applyFont="1" applyNumberFormat="1">
      <alignment readingOrder="0"/>
    </xf>
    <xf borderId="0" fillId="3" fontId="2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readingOrder="0"/>
    </xf>
    <xf borderId="0" fillId="0" fontId="2" numFmtId="49" xfId="0" applyFont="1" applyNumberFormat="1"/>
    <xf borderId="0" fillId="0" fontId="2" numFmtId="4" xfId="0" applyFont="1" applyNumberFormat="1"/>
    <xf borderId="0" fillId="3" fontId="2" numFmtId="0" xfId="0" applyFill="1" applyFont="1"/>
    <xf borderId="0" fillId="0" fontId="2" numFmtId="166" xfId="0" applyFont="1" applyNumberFormat="1"/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10" xfId="0" applyFont="1" applyNumberFormat="1"/>
    <xf borderId="0" fillId="0" fontId="7" numFmtId="169" xfId="0" applyFont="1" applyNumberFormat="1"/>
    <xf borderId="0" fillId="0" fontId="3" numFmtId="169" xfId="0" applyFont="1" applyNumberFormat="1"/>
    <xf borderId="0" fillId="0" fontId="8" numFmtId="169" xfId="0" applyAlignment="1" applyFont="1" applyNumberFormat="1">
      <alignment readingOrder="0"/>
    </xf>
    <xf borderId="0" fillId="3" fontId="9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10" numFmtId="170" xfId="0" applyAlignment="1" applyFont="1" applyNumberFormat="1">
      <alignment readingOrder="0"/>
    </xf>
    <xf borderId="1" fillId="0" fontId="11" numFmtId="1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0" fillId="4" fontId="13" numFmtId="4" xfId="0" applyAlignment="1" applyFill="1" applyFont="1" applyNumberFormat="1">
      <alignment readingOrder="0"/>
    </xf>
    <xf borderId="0" fillId="3" fontId="14" numFmtId="0" xfId="0" applyAlignment="1" applyFill="1" applyFont="1">
      <alignment horizontal="center" vertical="bottom"/>
    </xf>
    <xf borderId="0" fillId="3" fontId="15" numFmtId="0" xfId="0" applyAlignment="1" applyFill="1" applyFont="1">
      <alignment horizontal="center" readingOrder="0" vertical="bottom"/>
    </xf>
    <xf borderId="0" fillId="0" fontId="16" numFmtId="0" xfId="0" applyAlignment="1" applyFont="1">
      <alignment readingOrder="0"/>
    </xf>
    <xf borderId="0" fillId="0" fontId="16" numFmtId="0" xfId="0" applyFont="1"/>
    <xf borderId="1" fillId="3" fontId="14" numFmtId="0" xfId="0" applyAlignment="1" applyBorder="1" applyFill="1" applyFont="1">
      <alignment horizontal="center" readingOrder="0" vertical="bottom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1" fillId="3" fontId="15" numFmtId="0" xfId="0" applyAlignment="1" applyBorder="1" applyFill="1" applyFont="1">
      <alignment horizontal="center" readingOrder="0" vertical="bottom"/>
    </xf>
    <xf borderId="0" fillId="0" fontId="2" numFmtId="169" xfId="0" applyFont="1" applyNumberFormat="1"/>
    <xf borderId="0" fillId="3" fontId="17" numFmtId="164" xfId="0" applyAlignment="1" applyFill="1" applyFont="1" applyNumberFormat="1">
      <alignment readingOrder="0"/>
    </xf>
    <xf borderId="0" fillId="3" fontId="18" numFmtId="0" xfId="0" applyAlignment="1" applyFill="1" applyFont="1">
      <alignment readingOrder="0"/>
    </xf>
    <xf borderId="0" fillId="3" fontId="17" numFmtId="0" xfId="0" applyAlignment="1" applyFill="1" applyFont="1">
      <alignment readingOrder="0"/>
    </xf>
    <xf borderId="0" fillId="4" fontId="17" numFmtId="4" xfId="0" applyAlignment="1" applyFill="1" applyFont="1" applyNumberFormat="1">
      <alignment readingOrder="0"/>
    </xf>
    <xf borderId="1" fillId="5" fontId="12" numFmtId="1" xfId="0" applyAlignment="1" applyBorder="1" applyFill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1" fillId="0" fontId="12" numFmtId="4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1" fillId="0" fontId="11" numFmtId="4" xfId="0" applyAlignment="1" applyBorder="1" applyFont="1" applyNumberFormat="1">
      <alignment horizontal="right" readingOrder="0" vertical="bottom"/>
    </xf>
    <xf borderId="0" fillId="0" fontId="1" numFmtId="0" xfId="0" applyFont="1"/>
    <xf borderId="0" fillId="0" fontId="2" numFmtId="172" xfId="0" applyFont="1" applyNumberFormat="1"/>
    <xf borderId="1" fillId="0" fontId="12" numFmtId="4" xfId="0" applyAlignment="1" applyBorder="1" applyFont="1" applyNumberFormat="1">
      <alignment horizontal="right" vertical="bottom"/>
    </xf>
    <xf borderId="1" fillId="4" fontId="12" numFmtId="4" xfId="0" applyAlignment="1" applyBorder="1" applyFill="1" applyFont="1" applyNumberFormat="1">
      <alignment horizontal="right" readingOrder="0" vertical="bottom"/>
    </xf>
    <xf borderId="0" fillId="0" fontId="2" numFmtId="173" xfId="0" applyFont="1" applyNumberFormat="1"/>
    <xf borderId="0" fillId="0" fontId="3" numFmtId="171" xfId="0" applyAlignment="1" applyFont="1" applyNumberFormat="1">
      <alignment readingOrder="0"/>
    </xf>
    <xf borderId="0" fillId="0" fontId="3" numFmtId="172" xfId="0" applyFont="1" applyNumberFormat="1"/>
    <xf borderId="0" fillId="0" fontId="2" numFmtId="165" xfId="0" applyAlignment="1" applyFont="1" applyNumberFormat="1">
      <alignment readingOrder="0"/>
    </xf>
    <xf borderId="0" fillId="0" fontId="3" numFmtId="173" xfId="0" applyFont="1" applyNumberFormat="1"/>
    <xf borderId="0" fillId="0" fontId="2" numFmtId="10" xfId="0" applyAlignment="1" applyFont="1" applyNumberFormat="1">
      <alignment readingOrder="0"/>
    </xf>
    <xf borderId="1" fillId="4" fontId="11" numFmtId="4" xfId="0" applyAlignment="1" applyBorder="1" applyFill="1" applyFont="1" applyNumberFormat="1">
      <alignment horizontal="right" readingOrder="0" vertical="bottom"/>
    </xf>
    <xf borderId="0" fillId="0" fontId="3" numFmtId="3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71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2" numFmtId="10" xfId="0" applyFont="1" applyNumberFormat="1"/>
    <xf borderId="0" fillId="5" fontId="2" numFmtId="0" xfId="0" applyAlignment="1" applyFill="1" applyFont="1">
      <alignment readingOrder="0"/>
    </xf>
    <xf borderId="0" fillId="0" fontId="3" numFmtId="10" xfId="0" applyFont="1" applyNumberFormat="1"/>
    <xf borderId="0" fillId="5" fontId="2" numFmtId="4" xfId="0" applyAlignment="1" applyFill="1" applyFont="1" applyNumberFormat="1">
      <alignment readingOrder="0"/>
    </xf>
    <xf borderId="0" fillId="0" fontId="3" numFmtId="4" xfId="0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0" fontId="3" numFmtId="167" xfId="0" applyAlignment="1" applyFont="1" applyNumberFormat="1">
      <alignment readingOrder="0"/>
    </xf>
    <xf borderId="0" fillId="3" fontId="20" numFmtId="4" xfId="0" applyAlignment="1" applyFill="1" applyFont="1" applyNumberFormat="1">
      <alignment readingOrder="0"/>
    </xf>
    <xf borderId="0" fillId="0" fontId="17" numFmtId="0" xfId="0" applyAlignment="1" applyFont="1">
      <alignment readingOrder="0"/>
    </xf>
    <xf borderId="0" fillId="0" fontId="21" numFmtId="165" xfId="0" applyAlignment="1" applyFont="1" applyNumberFormat="1">
      <alignment readingOrder="0"/>
    </xf>
    <xf borderId="1" fillId="5" fontId="11" numFmtId="0" xfId="0" applyAlignment="1" applyBorder="1" applyFill="1" applyFont="1">
      <alignment horizontal="right" readingOrder="0" vertical="bottom"/>
    </xf>
    <xf borderId="1" fillId="0" fontId="12" numFmtId="1" xfId="0" applyAlignment="1" applyBorder="1" applyFont="1" applyNumberFormat="1">
      <alignment horizontal="right" readingOrder="0" vertical="bottom"/>
    </xf>
    <xf borderId="1" fillId="6" fontId="12" numFmtId="1" xfId="0" applyAlignment="1" applyBorder="1" applyFill="1" applyFont="1" applyNumberFormat="1">
      <alignment horizontal="right" readingOrder="0" vertical="bottom"/>
    </xf>
    <xf borderId="1" fillId="6" fontId="12" numFmtId="4" xfId="0" applyAlignment="1" applyBorder="1" applyFill="1" applyFont="1" applyNumberFormat="1">
      <alignment horizontal="right" readingOrder="0" vertical="bottom"/>
    </xf>
    <xf borderId="1" fillId="6" fontId="11" numFmtId="4" xfId="0" applyAlignment="1" applyBorder="1" applyFill="1" applyFont="1" applyNumberFormat="1">
      <alignment horizontal="right" readingOrder="0" vertical="bottom"/>
    </xf>
    <xf borderId="1" fillId="6" fontId="12" numFmtId="4" xfId="0" applyAlignment="1" applyBorder="1" applyFill="1" applyFont="1" applyNumberFormat="1">
      <alignment horizontal="right" vertical="bottom"/>
    </xf>
    <xf borderId="0" fillId="6" fontId="2" numFmtId="0" xfId="0" applyFill="1" applyFont="1"/>
    <xf borderId="0" fillId="6" fontId="2" numFmtId="165" xfId="0" applyAlignment="1" applyFill="1" applyFont="1" applyNumberFormat="1">
      <alignment readingOrder="0"/>
    </xf>
    <xf borderId="0" fillId="6" fontId="2" numFmtId="4" xfId="0" applyFill="1" applyFont="1" applyNumberFormat="1"/>
    <xf borderId="0" fillId="6" fontId="2" numFmtId="166" xfId="0" applyFill="1" applyFont="1" applyNumberFormat="1"/>
    <xf borderId="1" fillId="7" fontId="12" numFmtId="1" xfId="0" applyAlignment="1" applyBorder="1" applyFill="1" applyFont="1" applyNumberFormat="1">
      <alignment horizontal="right" readingOrder="0" vertical="bottom"/>
    </xf>
    <xf borderId="1" fillId="7" fontId="12" numFmtId="4" xfId="0" applyAlignment="1" applyBorder="1" applyFill="1" applyFont="1" applyNumberFormat="1">
      <alignment horizontal="right" readingOrder="0" vertical="bottom"/>
    </xf>
    <xf borderId="1" fillId="7" fontId="11" numFmtId="4" xfId="0" applyAlignment="1" applyBorder="1" applyFill="1" applyFont="1" applyNumberFormat="1">
      <alignment horizontal="right" readingOrder="0" vertical="bottom"/>
    </xf>
    <xf borderId="1" fillId="7" fontId="12" numFmtId="4" xfId="0" applyAlignment="1" applyBorder="1" applyFill="1" applyFont="1" applyNumberFormat="1">
      <alignment horizontal="right" vertical="bottom"/>
    </xf>
    <xf borderId="0" fillId="7" fontId="2" numFmtId="0" xfId="0" applyAlignment="1" applyFill="1" applyFont="1">
      <alignment readingOrder="0"/>
    </xf>
    <xf borderId="0" fillId="7" fontId="2" numFmtId="165" xfId="0" applyAlignment="1" applyFill="1" applyFont="1" applyNumberFormat="1">
      <alignment readingOrder="0"/>
    </xf>
    <xf borderId="0" fillId="7" fontId="2" numFmtId="4" xfId="0" applyFill="1" applyFont="1" applyNumberFormat="1"/>
    <xf borderId="0" fillId="3" fontId="2" numFmtId="10" xfId="0" applyAlignment="1" applyFill="1" applyFont="1" applyNumberFormat="1">
      <alignment readingOrder="0"/>
    </xf>
    <xf borderId="0" fillId="7" fontId="2" numFmtId="166" xfId="0" applyFill="1" applyFont="1" applyNumberFormat="1"/>
    <xf borderId="0" fillId="7" fontId="2" numFmtId="0" xfId="0" applyFill="1" applyFont="1"/>
    <xf borderId="1" fillId="7" fontId="11" numFmtId="1" xfId="0" applyAlignment="1" applyBorder="1" applyFill="1" applyFont="1" applyNumberFormat="1">
      <alignment horizontal="right" readingOrder="0" vertical="bottom"/>
    </xf>
    <xf borderId="0" fillId="0" fontId="12" numFmtId="4" xfId="0" applyAlignment="1" applyFont="1" applyNumberFormat="1">
      <alignment horizontal="right" readingOrder="0" vertical="bottom"/>
    </xf>
    <xf borderId="0" fillId="0" fontId="12" numFmtId="2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68" xfId="0" applyFont="1" applyNumberFormat="1"/>
    <xf borderId="0" fillId="3" fontId="2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7</v>
      </c>
      <c r="B3" s="5">
        <v>46242.0</v>
      </c>
    </row>
    <row r="4">
      <c r="A4" s="3" t="s">
        <v>9</v>
      </c>
      <c r="B4" s="5">
        <v>46249.0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14</v>
      </c>
      <c r="B7" s="4" t="s">
        <v>17</v>
      </c>
      <c r="C7" s="4" t="s">
        <v>18</v>
      </c>
      <c r="D7" s="7" t="s">
        <v>20</v>
      </c>
      <c r="E7" s="4" t="s">
        <v>22</v>
      </c>
      <c r="F7" s="7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4"/>
      <c r="L7" s="9"/>
      <c r="M7" s="9"/>
      <c r="N7" s="9"/>
    </row>
    <row r="8">
      <c r="A8" s="3" t="s">
        <v>30</v>
      </c>
      <c r="B8" s="12">
        <f>'AECN Rail'!B65</f>
        <v>423710.2662</v>
      </c>
      <c r="C8" s="12">
        <f>'AECN Rail'!C65</f>
        <v>148.34336</v>
      </c>
      <c r="D8" s="19">
        <f>'AECN Rail'!D65</f>
        <v>423561.9229</v>
      </c>
      <c r="E8" s="12">
        <f>'AECN Rail'!E65</f>
        <v>5463.948805</v>
      </c>
      <c r="F8" s="19">
        <f>'AECN Rail'!F65</f>
        <v>815.2910494</v>
      </c>
      <c r="G8" s="12">
        <f>'AECN Rail'!G65</f>
        <v>417282.683</v>
      </c>
      <c r="H8" s="12">
        <f>SUM('AECN Rail'!L39:L60)</f>
        <v>1757.472825</v>
      </c>
      <c r="I8" s="12">
        <f>SUM('AECN Rail'!M39:M60)</f>
        <v>12099.04931</v>
      </c>
      <c r="J8" s="12">
        <f>SUM('AECN Rail'!N39:N60)</f>
        <v>1887.6</v>
      </c>
    </row>
    <row r="9">
      <c r="A9" s="3" t="s">
        <v>60</v>
      </c>
      <c r="B9" s="12">
        <f>'AECN Truck'!B28</f>
        <v>0</v>
      </c>
      <c r="C9" s="12">
        <f>'AECN Truck'!F28</f>
        <v>0</v>
      </c>
      <c r="D9" s="19">
        <f>'AECN Truck'!C28</f>
        <v>0</v>
      </c>
      <c r="E9" s="12">
        <f>'AECN Truck'!D28</f>
        <v>0</v>
      </c>
      <c r="F9" s="19">
        <f>'AECN Truck'!E28</f>
        <v>0</v>
      </c>
      <c r="G9" s="12">
        <f>'AECN Truck'!G28</f>
        <v>0</v>
      </c>
    </row>
    <row r="10">
      <c r="A10" s="3" t="s">
        <v>76</v>
      </c>
      <c r="B10" s="12">
        <f>WODO!A33</f>
        <v>0</v>
      </c>
      <c r="C10" s="37">
        <v>0.0</v>
      </c>
      <c r="D10" s="38">
        <f>WODO!B33</f>
        <v>0</v>
      </c>
      <c r="E10" s="12" t="str">
        <f>WODO!C33</f>
        <v/>
      </c>
      <c r="F10" s="38">
        <v>0.0</v>
      </c>
      <c r="G10" s="12">
        <f>WODO!D33</f>
        <v>0</v>
      </c>
    </row>
    <row r="11">
      <c r="A11" s="3" t="s">
        <v>79</v>
      </c>
      <c r="B11" s="12">
        <f>Kerry!A22</f>
        <v>10949.71088</v>
      </c>
      <c r="C11" s="37">
        <v>0.0</v>
      </c>
      <c r="D11" s="38">
        <f>Kerry!A22</f>
        <v>10949.71088</v>
      </c>
      <c r="E11" s="37">
        <v>0.0</v>
      </c>
      <c r="F11" s="38">
        <f>Kerry!B22</f>
        <v>7.774294725</v>
      </c>
      <c r="G11" s="43">
        <f>Kerry!C22</f>
        <v>10941.93659</v>
      </c>
    </row>
    <row r="12">
      <c r="A12" s="3" t="s">
        <v>84</v>
      </c>
      <c r="B12" s="37">
        <f>QOWV!B50</f>
        <v>38152</v>
      </c>
      <c r="C12" s="37">
        <v>0.0</v>
      </c>
      <c r="D12" s="38">
        <f>QOWV!D50</f>
        <v>36020.8</v>
      </c>
      <c r="E12" s="37">
        <v>0.0</v>
      </c>
      <c r="F12" s="38">
        <v>0.0</v>
      </c>
      <c r="G12" s="12">
        <f>QOWV!F50</f>
        <v>32333.5</v>
      </c>
      <c r="I12" s="4"/>
      <c r="J12" s="9"/>
      <c r="L12" s="9"/>
      <c r="M12" s="9"/>
      <c r="N12" s="9"/>
    </row>
    <row r="13">
      <c r="A13" s="3" t="s">
        <v>87</v>
      </c>
      <c r="B13" s="12">
        <f t="shared" ref="B13:J13" si="1">SUM(B8:B12)</f>
        <v>472811.9771</v>
      </c>
      <c r="C13" s="12">
        <f t="shared" si="1"/>
        <v>148.34336</v>
      </c>
      <c r="D13" s="12">
        <f t="shared" si="1"/>
        <v>470532.4337</v>
      </c>
      <c r="E13" s="12">
        <f t="shared" si="1"/>
        <v>5463.948805</v>
      </c>
      <c r="F13" s="12">
        <f t="shared" si="1"/>
        <v>823.0653441</v>
      </c>
      <c r="G13" s="12">
        <f t="shared" si="1"/>
        <v>460558.1196</v>
      </c>
      <c r="H13" s="12">
        <f t="shared" si="1"/>
        <v>1757.472825</v>
      </c>
      <c r="I13" s="12">
        <f t="shared" si="1"/>
        <v>12099.04931</v>
      </c>
      <c r="J13" s="12">
        <f t="shared" si="1"/>
        <v>1887.6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88</v>
      </c>
      <c r="B15" s="4"/>
      <c r="C15" s="4"/>
      <c r="D15" s="4"/>
      <c r="E15" s="4"/>
      <c r="F15" s="4"/>
      <c r="G15" s="4"/>
      <c r="H15" s="9"/>
      <c r="I15" s="9"/>
      <c r="J15" s="9"/>
      <c r="K15" s="9"/>
      <c r="L15" s="9"/>
      <c r="M15" s="9"/>
    </row>
    <row r="16">
      <c r="A16" s="4" t="s">
        <v>89</v>
      </c>
      <c r="B16" s="41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3" t="s">
        <v>95</v>
      </c>
      <c r="H16" s="3" t="s">
        <v>96</v>
      </c>
      <c r="I16" s="3" t="s">
        <v>97</v>
      </c>
      <c r="J16" s="3" t="s">
        <v>98</v>
      </c>
    </row>
    <row r="17">
      <c r="A17" s="3" t="s">
        <v>99</v>
      </c>
      <c r="B17" s="12">
        <f>SUM('AECN Rail'!I10:I15)+'AECN Truck'!A28</f>
        <v>423710.2662</v>
      </c>
      <c r="C17" s="54">
        <f>'AECN Rail'!B65</f>
        <v>423710.2662</v>
      </c>
      <c r="D17" s="12">
        <f>SUM('AECN Rail'!I10:I15)+'AECN Truck'!A28</f>
        <v>423710.2662</v>
      </c>
      <c r="E17" s="12">
        <f>'AECN Rail'!G65+'AECN Truck'!G28</f>
        <v>417282.683</v>
      </c>
      <c r="F17" s="3" t="s">
        <v>102</v>
      </c>
      <c r="G17" s="57">
        <v>0.406</v>
      </c>
      <c r="H17" s="11" t="str">
        <f>HYPERLINK("https://drive.google.com/file/d/1FUXbzpufADdK1EhePR2gVlzKhtHw4g9m/view","COA SR26-05021.001")</f>
        <v>COA SR26-05021.001</v>
      </c>
      <c r="I17" s="58">
        <f t="shared" ref="I17:I20" si="2">G17*J17</f>
        <v>0.001624</v>
      </c>
      <c r="J17" s="57">
        <v>0.004</v>
      </c>
    </row>
    <row r="18">
      <c r="A18" s="3" t="s">
        <v>109</v>
      </c>
      <c r="B18" s="12">
        <f>WODO!A33</f>
        <v>0</v>
      </c>
      <c r="D18" s="12">
        <f>WODO!B33</f>
        <v>0</v>
      </c>
      <c r="E18" s="12">
        <f>WODO!D33</f>
        <v>0</v>
      </c>
      <c r="G18" s="57"/>
      <c r="H18" s="58"/>
      <c r="I18" s="58">
        <f t="shared" si="2"/>
        <v>0</v>
      </c>
      <c r="J18" s="57">
        <v>0.004</v>
      </c>
    </row>
    <row r="19">
      <c r="A19" s="3" t="s">
        <v>79</v>
      </c>
      <c r="B19" s="12">
        <f>Kerry!A22</f>
        <v>10949.71088</v>
      </c>
      <c r="D19" s="60">
        <f>Kerry!A22</f>
        <v>10949.71088</v>
      </c>
      <c r="E19" s="43">
        <f>Kerry!C22</f>
        <v>10941.93659</v>
      </c>
      <c r="F19" s="3" t="s">
        <v>114</v>
      </c>
      <c r="G19" s="57">
        <f>IFERROR(__xludf.DUMMYFUNCTION("IFERROR(AVERAGE.WEIGHTED(Kerry!I10:I18,Kerry!F10:F18),"""")"),0.538)</f>
        <v>0.538</v>
      </c>
      <c r="H19" s="61" t="str">
        <f>HYPERLINK("https://drive.google.com/file/d/1FUXbzpufADdK1EhePR2gVlzKhtHw4g9m/view","COA SR26-05021.003")</f>
        <v>COA SR26-05021.003</v>
      </c>
      <c r="I19" s="62">
        <f t="shared" si="2"/>
        <v>0.002152</v>
      </c>
      <c r="J19" s="57">
        <v>0.004</v>
      </c>
    </row>
    <row r="20">
      <c r="A20" s="3" t="s">
        <v>84</v>
      </c>
      <c r="B20" s="12">
        <f>QOWV!B50</f>
        <v>38152</v>
      </c>
      <c r="D20" s="12">
        <f>QOWV!D50</f>
        <v>36020.8</v>
      </c>
      <c r="E20" s="12">
        <f>QOWV!F50</f>
        <v>32333.5</v>
      </c>
      <c r="F20" s="3" t="s">
        <v>117</v>
      </c>
      <c r="G20" s="57">
        <v>0.082</v>
      </c>
      <c r="H20" s="63" t="str">
        <f>HYPERLINK("https://drive.google.com/file/d/1FUXbzpufADdK1EhePR2gVlzKhtHw4g9m/view","COA SR26-05021.002")</f>
        <v>COA SR26-05021.002</v>
      </c>
      <c r="I20" s="58">
        <f t="shared" si="2"/>
        <v>0.000328</v>
      </c>
      <c r="J20" s="57">
        <v>0.004</v>
      </c>
      <c r="K20" s="9"/>
      <c r="L20" s="9"/>
    </row>
    <row r="21">
      <c r="A21" s="3" t="s">
        <v>87</v>
      </c>
      <c r="B21" s="12">
        <f t="shared" ref="B21:E21" si="3">SUM(B17:B20)</f>
        <v>472811.9771</v>
      </c>
      <c r="C21" s="54">
        <f t="shared" si="3"/>
        <v>423710.2662</v>
      </c>
      <c r="D21" s="54">
        <f t="shared" si="3"/>
        <v>470680.7771</v>
      </c>
      <c r="E21" s="12">
        <f t="shared" si="3"/>
        <v>460558.1196</v>
      </c>
      <c r="F21" s="58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9"/>
      <c r="E23" s="9"/>
      <c r="F23" s="4"/>
      <c r="G23" s="4" t="s">
        <v>121</v>
      </c>
      <c r="H23" s="9"/>
      <c r="I23" s="9"/>
      <c r="J23" s="9"/>
      <c r="K23" s="9"/>
      <c r="L23" s="9"/>
      <c r="M23" s="9"/>
      <c r="N23" s="9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8</v>
      </c>
    </row>
    <row r="3">
      <c r="A3" s="3" t="s">
        <v>7</v>
      </c>
      <c r="B3" s="5">
        <v>46242.0</v>
      </c>
      <c r="N3" s="4" t="s">
        <v>10</v>
      </c>
      <c r="O3" s="6">
        <v>2.20462</v>
      </c>
    </row>
    <row r="4">
      <c r="A4" s="3" t="s">
        <v>9</v>
      </c>
      <c r="B4" s="5">
        <v>46249.0</v>
      </c>
      <c r="N4" s="4" t="s">
        <v>12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15</v>
      </c>
      <c r="O6" s="3" t="s">
        <v>16</v>
      </c>
    </row>
    <row r="7">
      <c r="N7" s="3" t="s">
        <v>29</v>
      </c>
      <c r="O7" s="23">
        <f>HYPERLINK("https://docs.google.com/spreadsheets/d/16shKoa1KP34kQJyQvzclBejW9L5-ubNSqPsMOVB7zDY/edit?usp=sharing", 0.00195)</f>
        <v>0.00195</v>
      </c>
    </row>
    <row r="8">
      <c r="A8" s="1" t="s">
        <v>57</v>
      </c>
      <c r="B8" s="2"/>
      <c r="C8" s="2"/>
      <c r="D8" s="2"/>
      <c r="E8" s="2"/>
      <c r="F8" s="2"/>
      <c r="G8" s="2"/>
      <c r="H8" s="2"/>
      <c r="I8" s="1" t="s">
        <v>58</v>
      </c>
      <c r="J8" s="2"/>
      <c r="K8" s="1"/>
      <c r="L8" s="2"/>
      <c r="M8" s="2"/>
      <c r="N8" s="1" t="s">
        <v>59</v>
      </c>
      <c r="O8" s="8">
        <v>3.0</v>
      </c>
      <c r="P8" s="2"/>
      <c r="Q8" s="2"/>
      <c r="R8" s="2"/>
    </row>
    <row r="9">
      <c r="A9" s="4" t="s">
        <v>61</v>
      </c>
      <c r="B9" s="4" t="s">
        <v>62</v>
      </c>
      <c r="C9" s="4" t="s">
        <v>63</v>
      </c>
      <c r="D9" s="16" t="s">
        <v>64</v>
      </c>
      <c r="E9" s="16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33">
        <v>2.0</v>
      </c>
      <c r="P9" s="9"/>
      <c r="Q9" s="9"/>
      <c r="R9" s="9"/>
    </row>
    <row r="10">
      <c r="A10" s="34" t="s">
        <v>75</v>
      </c>
      <c r="B10" s="35">
        <v>46249.0</v>
      </c>
      <c r="C10" s="34" t="s">
        <v>77</v>
      </c>
      <c r="D10" s="25">
        <f t="shared" ref="D10:D15" si="1">SUMIF($C$19:$C$36,$A10,$D$19:$D$36)</f>
        <v>77.78</v>
      </c>
      <c r="E10" s="25">
        <f t="shared" ref="E10:E15" si="2">SUMIF($C$19:$C$36,$A10,$E$19:$E$36)</f>
        <v>77780</v>
      </c>
      <c r="F10" s="44">
        <f t="shared" ref="F10:F15" si="3">SUMIF($C$39:$C$60,A10,$F$39:$F$60)+H10</f>
        <v>77881.7464</v>
      </c>
      <c r="G10" s="44">
        <f t="shared" ref="G10:G15" si="4">IF(AND(E10&lt;&gt;"",F10&lt;&gt;"",F10&gt;=0.95*E10),E10-F10,"")</f>
        <v>-101.7464</v>
      </c>
      <c r="H10" s="45">
        <v>0.0</v>
      </c>
      <c r="I10" s="49">
        <f t="shared" ref="I10:I15" si="5">F10-H10</f>
        <v>77881.7464</v>
      </c>
      <c r="J10" s="51">
        <v>107.5</v>
      </c>
      <c r="K10" s="51">
        <v>2199.0</v>
      </c>
      <c r="L10" s="45">
        <v>42.9</v>
      </c>
      <c r="M10" s="55" t="str">
        <f t="shared" ref="M10:M15" si="6">IF(OR($E10="",$F10=""),"",IF(AND($H10=0,$F10&gt;=0.95*$E10),"FULL","PARTIAL"))</f>
        <v>FULL</v>
      </c>
    </row>
    <row r="11">
      <c r="A11" s="34" t="s">
        <v>100</v>
      </c>
      <c r="B11" s="35">
        <v>46249.0</v>
      </c>
      <c r="C11" s="34" t="s">
        <v>101</v>
      </c>
      <c r="D11" s="25">
        <f t="shared" si="1"/>
        <v>77.69</v>
      </c>
      <c r="E11" s="25">
        <f t="shared" si="2"/>
        <v>77690</v>
      </c>
      <c r="F11" s="44">
        <f t="shared" si="3"/>
        <v>77736.59696</v>
      </c>
      <c r="G11" s="44">
        <f t="shared" si="4"/>
        <v>-46.59696</v>
      </c>
      <c r="H11" s="51">
        <v>0.0</v>
      </c>
      <c r="I11" s="49">
        <f t="shared" si="5"/>
        <v>77736.59696</v>
      </c>
      <c r="J11" s="51">
        <v>107.5</v>
      </c>
      <c r="K11" s="51">
        <v>2199.0</v>
      </c>
      <c r="L11" s="45">
        <v>42.9</v>
      </c>
      <c r="M11" s="55" t="str">
        <f t="shared" si="6"/>
        <v>FULL</v>
      </c>
    </row>
    <row r="12">
      <c r="A12" s="34" t="s">
        <v>107</v>
      </c>
      <c r="B12" s="35">
        <v>46249.0</v>
      </c>
      <c r="C12" s="34" t="s">
        <v>108</v>
      </c>
      <c r="D12" s="45">
        <f t="shared" si="1"/>
        <v>77.84</v>
      </c>
      <c r="E12" s="45">
        <f t="shared" si="2"/>
        <v>77840</v>
      </c>
      <c r="F12" s="59">
        <f t="shared" si="3"/>
        <v>77654.9504</v>
      </c>
      <c r="G12" s="59">
        <f t="shared" si="4"/>
        <v>185.0496</v>
      </c>
      <c r="H12" s="45">
        <v>0.0</v>
      </c>
      <c r="I12" s="59">
        <f t="shared" si="5"/>
        <v>77654.9504</v>
      </c>
      <c r="J12" s="45">
        <v>107.5</v>
      </c>
      <c r="K12" s="45">
        <v>2199.0</v>
      </c>
      <c r="L12" s="45">
        <v>42.9</v>
      </c>
      <c r="M12" s="55" t="str">
        <f t="shared" si="6"/>
        <v>FULL</v>
      </c>
    </row>
    <row r="13">
      <c r="A13" s="34" t="s">
        <v>110</v>
      </c>
      <c r="B13" s="35">
        <v>46249.0</v>
      </c>
      <c r="C13" s="34" t="s">
        <v>111</v>
      </c>
      <c r="D13" s="45">
        <f t="shared" si="1"/>
        <v>77.31</v>
      </c>
      <c r="E13" s="45">
        <f t="shared" si="2"/>
        <v>77310</v>
      </c>
      <c r="F13" s="59">
        <f t="shared" si="3"/>
        <v>76829.41296</v>
      </c>
      <c r="G13" s="59">
        <f t="shared" si="4"/>
        <v>480.58704</v>
      </c>
      <c r="H13" s="45">
        <v>0.0</v>
      </c>
      <c r="I13" s="59">
        <f t="shared" si="5"/>
        <v>76829.41296</v>
      </c>
      <c r="J13" s="45">
        <v>107.5</v>
      </c>
      <c r="K13" s="45">
        <v>2199.0</v>
      </c>
      <c r="L13" s="45">
        <v>42.9</v>
      </c>
      <c r="M13" s="55" t="str">
        <f t="shared" si="6"/>
        <v>FULL</v>
      </c>
    </row>
    <row r="14">
      <c r="A14" s="34" t="s">
        <v>112</v>
      </c>
      <c r="B14" s="35">
        <v>46249.0</v>
      </c>
      <c r="C14" s="34" t="s">
        <v>113</v>
      </c>
      <c r="D14" s="45">
        <f t="shared" si="1"/>
        <v>77.8</v>
      </c>
      <c r="E14" s="45">
        <f t="shared" si="2"/>
        <v>77800</v>
      </c>
      <c r="F14" s="59">
        <f t="shared" si="3"/>
        <v>74380.92334</v>
      </c>
      <c r="G14" s="59">
        <f t="shared" si="4"/>
        <v>3419.076656</v>
      </c>
      <c r="H14" s="45">
        <v>0.0</v>
      </c>
      <c r="I14" s="59">
        <f t="shared" si="5"/>
        <v>74380.92334</v>
      </c>
      <c r="J14" s="45">
        <v>107.5</v>
      </c>
      <c r="K14" s="45">
        <v>2199.0</v>
      </c>
      <c r="L14" s="45">
        <v>42.9</v>
      </c>
      <c r="M14" s="55" t="str">
        <f t="shared" si="6"/>
        <v>FULL</v>
      </c>
    </row>
    <row r="15">
      <c r="A15" s="34" t="s">
        <v>115</v>
      </c>
      <c r="B15" s="35">
        <v>46249.0</v>
      </c>
      <c r="C15" s="34" t="s">
        <v>116</v>
      </c>
      <c r="D15" s="45">
        <f t="shared" si="1"/>
        <v>78.13</v>
      </c>
      <c r="E15" s="45">
        <f t="shared" si="2"/>
        <v>78130</v>
      </c>
      <c r="F15" s="59">
        <f t="shared" si="3"/>
        <v>78081.32688</v>
      </c>
      <c r="G15" s="59">
        <f t="shared" si="4"/>
        <v>48.67312</v>
      </c>
      <c r="H15" s="45">
        <f>19123.43872+19731.252</f>
        <v>38854.69072</v>
      </c>
      <c r="I15" s="59">
        <f t="shared" si="5"/>
        <v>39226.63616</v>
      </c>
      <c r="J15" s="45">
        <v>107.5</v>
      </c>
      <c r="K15" s="45">
        <v>2199.0</v>
      </c>
      <c r="L15" s="45">
        <v>42.9</v>
      </c>
      <c r="M15" s="55" t="str">
        <f t="shared" si="6"/>
        <v>PARTIAL</v>
      </c>
    </row>
    <row r="16">
      <c r="A16" s="22"/>
      <c r="B16" s="22"/>
    </row>
    <row r="17">
      <c r="A17" s="1" t="s">
        <v>119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4" t="s">
        <v>38</v>
      </c>
      <c r="B18" s="4" t="s">
        <v>120</v>
      </c>
      <c r="C18" s="4" t="s">
        <v>61</v>
      </c>
      <c r="D18" s="16" t="s">
        <v>41</v>
      </c>
      <c r="E18" s="16" t="s">
        <v>43</v>
      </c>
      <c r="F18" s="4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35">
        <v>46224.0</v>
      </c>
      <c r="B19" s="64" t="str">
        <f>HYPERLINK("https://drive.google.com/file/d/1x1w35SZbqG09tl8elqgxFLXNT79UdPr0/view","2436-R")</f>
        <v>2436-R</v>
      </c>
      <c r="C19" s="34" t="s">
        <v>75</v>
      </c>
      <c r="D19" s="65">
        <v>26.06</v>
      </c>
      <c r="E19" s="65">
        <f t="shared" ref="E19:E36" si="7">D19*1000</f>
        <v>26060</v>
      </c>
    </row>
    <row r="20">
      <c r="A20" s="35">
        <v>46225.0</v>
      </c>
      <c r="B20" s="64" t="str">
        <f>HYPERLINK("https://drive.google.com/file/d/1KIWmdL2JHbn9tuAS7m_YcvC7BA1YemwY/view","2437-R")</f>
        <v>2437-R</v>
      </c>
      <c r="C20" s="34" t="s">
        <v>75</v>
      </c>
      <c r="D20" s="65">
        <v>25.76</v>
      </c>
      <c r="E20" s="65">
        <f t="shared" si="7"/>
        <v>25760</v>
      </c>
    </row>
    <row r="21">
      <c r="A21" s="35">
        <v>46225.0</v>
      </c>
      <c r="B21" s="64" t="str">
        <f>HYPERLINK("https://drive.google.com/file/d/1HNrUx92n0bvIwhsMnvYXV57kIDxMEMPu/view","2438-R")</f>
        <v>2438-R</v>
      </c>
      <c r="C21" s="34" t="s">
        <v>75</v>
      </c>
      <c r="D21" s="65">
        <v>25.96</v>
      </c>
      <c r="E21" s="65">
        <f t="shared" si="7"/>
        <v>25960</v>
      </c>
    </row>
    <row r="22">
      <c r="A22" s="35">
        <v>46217.0</v>
      </c>
      <c r="B22" s="64" t="str">
        <f>HYPERLINK("https://drive.google.com/file/d/1-fb-Fu4hLbpj4-zXZHpIKmUA-ivk2RC-/view","2427-R")</f>
        <v>2427-R</v>
      </c>
      <c r="C22" s="34" t="s">
        <v>100</v>
      </c>
      <c r="D22" s="65">
        <v>25.85</v>
      </c>
      <c r="E22" s="65">
        <f t="shared" si="7"/>
        <v>25850</v>
      </c>
    </row>
    <row r="23">
      <c r="A23" s="35">
        <v>46217.0</v>
      </c>
      <c r="B23" s="64" t="str">
        <f>HYPERLINK("https://drive.google.com/file/d/1UTDkSGdNPe0p2BnTlP-xwb0cBkHlJ3do/view","2428-R")</f>
        <v>2428-R</v>
      </c>
      <c r="C23" s="34" t="s">
        <v>100</v>
      </c>
      <c r="D23" s="65">
        <v>25.85</v>
      </c>
      <c r="E23" s="65">
        <f t="shared" si="7"/>
        <v>25850</v>
      </c>
    </row>
    <row r="24">
      <c r="A24" s="35">
        <v>46218.0</v>
      </c>
      <c r="B24" s="64" t="str">
        <f>HYPERLINK("https://drive.google.com/file/d/1LYsFu-L706J6r9AMwhsXhX4ZB7Bo__g4/view","2429-R")</f>
        <v>2429-R</v>
      </c>
      <c r="C24" s="34" t="s">
        <v>100</v>
      </c>
      <c r="D24" s="65">
        <v>25.99</v>
      </c>
      <c r="E24" s="65">
        <f t="shared" si="7"/>
        <v>25990</v>
      </c>
    </row>
    <row r="25">
      <c r="A25" s="35">
        <v>46223.0</v>
      </c>
      <c r="B25" s="64" t="str">
        <f>HYPERLINK("https://drive.google.com/file/d/1K-2tWdBk6l5TBLaByFLydKP8oZN7nn0K/view","2433-R")</f>
        <v>2433-R</v>
      </c>
      <c r="C25" s="34" t="s">
        <v>107</v>
      </c>
      <c r="D25" s="65">
        <v>26.06</v>
      </c>
      <c r="E25" s="65">
        <f t="shared" si="7"/>
        <v>26060</v>
      </c>
    </row>
    <row r="26">
      <c r="A26" s="35">
        <v>46223.0</v>
      </c>
      <c r="B26" s="64" t="str">
        <f>HYPERLINK("https://drive.google.com/file/d/1QMtwOLkREdblHkil2gydPsxPf-m3wxBI/view","2434-R")</f>
        <v>2434-R</v>
      </c>
      <c r="C26" s="34" t="s">
        <v>107</v>
      </c>
      <c r="D26" s="65">
        <v>25.88</v>
      </c>
      <c r="E26" s="65">
        <f t="shared" si="7"/>
        <v>25880</v>
      </c>
    </row>
    <row r="27">
      <c r="A27" s="35">
        <v>46224.0</v>
      </c>
      <c r="B27" s="64" t="str">
        <f>HYPERLINK("https://drive.google.com/file/d/17SJ5oQEhgvWyDTYIJbcR9n4AOOKPJG-6/view","2435-R")</f>
        <v>2435-R</v>
      </c>
      <c r="C27" s="34" t="s">
        <v>107</v>
      </c>
      <c r="D27" s="65">
        <v>25.9</v>
      </c>
      <c r="E27" s="65">
        <f t="shared" si="7"/>
        <v>25900</v>
      </c>
    </row>
    <row r="28">
      <c r="A28" s="79">
        <v>46202.0</v>
      </c>
      <c r="B28" s="80" t="str">
        <f>HYPERLINK("https://drive.google.com/file/d/1i7FsRNJawXRJZ1GWxwbMLKZ6oH5JBfsc/view","2405-R")</f>
        <v>2405-R</v>
      </c>
      <c r="C28" s="81" t="s">
        <v>110</v>
      </c>
      <c r="D28" s="82">
        <v>27.31</v>
      </c>
      <c r="E28" s="82">
        <f t="shared" si="7"/>
        <v>27310</v>
      </c>
      <c r="F28" s="84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</row>
    <row r="29">
      <c r="A29" s="35">
        <v>46226.0</v>
      </c>
      <c r="B29" s="64" t="str">
        <f>HYPERLINK("https://drive.google.com/file/d/1gYdyyV3eT6a1Ih99VJ9uX4jecqRZtf2s/view","2439-R")</f>
        <v>2439-R</v>
      </c>
      <c r="C29" s="34" t="s">
        <v>110</v>
      </c>
      <c r="D29" s="65">
        <v>25.69</v>
      </c>
      <c r="E29" s="65">
        <f t="shared" si="7"/>
        <v>25690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9"/>
      <c r="Q29" s="9"/>
      <c r="R29" s="9"/>
    </row>
    <row r="30">
      <c r="A30" s="35">
        <v>46227.0</v>
      </c>
      <c r="B30" s="64" t="str">
        <f>HYPERLINK("https://drive.google.com/file/d/1zxbJ3po8Wc_i1J0ltZumpu0LX4n-15Or/view","2440-R")</f>
        <v>2440-R</v>
      </c>
      <c r="C30" s="34" t="s">
        <v>110</v>
      </c>
      <c r="D30" s="65">
        <v>24.31</v>
      </c>
      <c r="E30" s="65">
        <f t="shared" si="7"/>
        <v>24310</v>
      </c>
      <c r="F30" s="25"/>
      <c r="G30" s="50"/>
      <c r="H30" s="44"/>
      <c r="I30" s="44"/>
      <c r="J30" s="25"/>
      <c r="K30" s="25"/>
      <c r="L30" s="44"/>
      <c r="M30" s="44"/>
      <c r="N30" s="44"/>
      <c r="O30" s="97"/>
    </row>
    <row r="31">
      <c r="A31" s="35">
        <v>46202.0</v>
      </c>
      <c r="B31" s="64" t="str">
        <f>HYPERLINK("https://drive.google.com/file/d/1_D0xK19GleVf_EAOb6DI06Tzeb_xtwuS/view","2406-R")</f>
        <v>2406-R</v>
      </c>
      <c r="C31" s="34" t="s">
        <v>112</v>
      </c>
      <c r="D31" s="25">
        <v>25.98</v>
      </c>
      <c r="E31" s="25">
        <f t="shared" si="7"/>
        <v>25980</v>
      </c>
      <c r="F31" s="25"/>
      <c r="G31" s="50"/>
      <c r="H31" s="44"/>
      <c r="I31" s="44"/>
      <c r="J31" s="25"/>
      <c r="K31" s="44"/>
      <c r="L31" s="44"/>
      <c r="M31" s="44"/>
      <c r="N31" s="44"/>
      <c r="O31" s="97"/>
    </row>
    <row r="32">
      <c r="A32" s="35">
        <v>46203.0</v>
      </c>
      <c r="B32" s="64" t="str">
        <f>HYPERLINK("https://drive.google.com/file/d/1-Tn8hbgdr5Ul9PR5iEsZyYtEH99NByt8/view","2407-R")</f>
        <v>2407-R</v>
      </c>
      <c r="C32" s="34" t="s">
        <v>112</v>
      </c>
      <c r="D32" s="25">
        <v>25.99</v>
      </c>
      <c r="E32" s="25">
        <f t="shared" si="7"/>
        <v>25990</v>
      </c>
      <c r="F32" s="25"/>
      <c r="G32" s="50"/>
      <c r="H32" s="44"/>
      <c r="I32" s="44"/>
      <c r="J32" s="25"/>
      <c r="K32" s="44"/>
      <c r="L32" s="44"/>
      <c r="M32" s="44"/>
      <c r="N32" s="44"/>
      <c r="O32" s="97"/>
    </row>
    <row r="33">
      <c r="A33" s="35">
        <v>46204.0</v>
      </c>
      <c r="B33" s="64" t="str">
        <f>HYPERLINK("https://drive.google.com/file/d/1Qv245VmJha0JehmEudgfio6nDCr6HEFn/view","2408-R")</f>
        <v>2408-R</v>
      </c>
      <c r="C33" s="34" t="s">
        <v>112</v>
      </c>
      <c r="D33" s="25">
        <v>25.83</v>
      </c>
      <c r="E33" s="25">
        <f t="shared" si="7"/>
        <v>25830</v>
      </c>
      <c r="F33" s="25"/>
      <c r="G33" s="50"/>
      <c r="H33" s="44"/>
      <c r="I33" s="44"/>
      <c r="J33" s="25"/>
      <c r="K33" s="44"/>
      <c r="L33" s="44"/>
      <c r="M33" s="44"/>
      <c r="N33" s="44"/>
      <c r="O33" s="97"/>
    </row>
    <row r="34">
      <c r="A34" s="35">
        <v>46211.0</v>
      </c>
      <c r="B34" s="64" t="str">
        <f>HYPERLINK("https://drive.google.com/file/d/1G-sh8koOzOzOZyn1WSphudqvvZ9A5LOz/view","2418-R")</f>
        <v>2418-R</v>
      </c>
      <c r="C34" s="34" t="s">
        <v>115</v>
      </c>
      <c r="D34" s="25">
        <v>26.07</v>
      </c>
      <c r="E34" s="25">
        <f t="shared" si="7"/>
        <v>26070</v>
      </c>
      <c r="F34" s="25"/>
      <c r="G34" s="50"/>
      <c r="H34" s="44"/>
      <c r="I34" s="44"/>
      <c r="J34" s="25"/>
      <c r="K34" s="44"/>
      <c r="L34" s="44"/>
      <c r="M34" s="44"/>
      <c r="N34" s="44"/>
      <c r="O34" s="97"/>
    </row>
    <row r="35">
      <c r="A35" s="35">
        <v>46211.0</v>
      </c>
      <c r="B35" s="64" t="str">
        <f>HYPERLINK("https://drive.google.com/file/d/1YiHrTDjk51LD0Cw2_YONHIQDBo88oJlG/view","2419-R")</f>
        <v>2419-R</v>
      </c>
      <c r="C35" s="34" t="s">
        <v>115</v>
      </c>
      <c r="D35" s="25">
        <v>26.01</v>
      </c>
      <c r="E35" s="25">
        <f t="shared" si="7"/>
        <v>26010</v>
      </c>
      <c r="F35" s="25"/>
      <c r="G35" s="50"/>
      <c r="H35" s="44"/>
      <c r="I35" s="44"/>
      <c r="J35" s="25"/>
      <c r="K35" s="44"/>
      <c r="L35" s="44"/>
      <c r="M35" s="44"/>
      <c r="N35" s="44"/>
      <c r="O35" s="97"/>
    </row>
    <row r="36">
      <c r="A36" s="35">
        <v>46215.0</v>
      </c>
      <c r="B36" s="64" t="str">
        <f>HYPERLINK("https://drive.google.com/file/d/1VWJ6Xq2mKKK03Igs8E3bK3CT7VXIHHwu/view","2423-R")</f>
        <v>2423-R</v>
      </c>
      <c r="C36" s="34" t="s">
        <v>115</v>
      </c>
      <c r="D36" s="25">
        <v>26.05</v>
      </c>
      <c r="E36" s="25">
        <f t="shared" si="7"/>
        <v>26050</v>
      </c>
      <c r="F36" s="25"/>
      <c r="G36" s="50"/>
      <c r="H36" s="44"/>
      <c r="I36" s="44"/>
      <c r="J36" s="25"/>
      <c r="K36" s="44"/>
      <c r="L36" s="44"/>
      <c r="M36" s="44"/>
      <c r="N36" s="44"/>
      <c r="O36" s="97"/>
    </row>
    <row r="37">
      <c r="A37" s="106" t="s">
        <v>171</v>
      </c>
      <c r="B37" s="106"/>
      <c r="C37" s="106"/>
      <c r="D37" s="108"/>
      <c r="E37" s="110"/>
      <c r="F37" s="108"/>
      <c r="G37" s="111"/>
      <c r="H37" s="112"/>
      <c r="I37" s="112"/>
      <c r="J37" s="108"/>
      <c r="K37" s="112"/>
      <c r="L37" s="112"/>
      <c r="M37" s="112"/>
      <c r="N37" s="112"/>
      <c r="O37" s="113"/>
      <c r="P37" s="114"/>
      <c r="Q37" s="114"/>
      <c r="R37" s="114"/>
    </row>
    <row r="38">
      <c r="A38" s="34" t="s">
        <v>38</v>
      </c>
      <c r="B38" s="34" t="s">
        <v>177</v>
      </c>
      <c r="C38" s="34" t="s">
        <v>61</v>
      </c>
      <c r="D38" s="25" t="s">
        <v>178</v>
      </c>
      <c r="E38" s="25" t="s">
        <v>179</v>
      </c>
      <c r="F38" s="65" t="s">
        <v>181</v>
      </c>
      <c r="G38" s="50" t="s">
        <v>48</v>
      </c>
      <c r="H38" s="65" t="s">
        <v>22</v>
      </c>
      <c r="I38" s="65" t="s">
        <v>24</v>
      </c>
      <c r="J38" s="65" t="s">
        <v>82</v>
      </c>
      <c r="K38" s="65" t="s">
        <v>25</v>
      </c>
      <c r="L38" s="25" t="s">
        <v>184</v>
      </c>
      <c r="M38" s="25" t="s">
        <v>185</v>
      </c>
      <c r="N38" s="25" t="s">
        <v>186</v>
      </c>
    </row>
    <row r="39">
      <c r="A39" s="35">
        <v>46249.0</v>
      </c>
      <c r="B39" s="34" t="s">
        <v>187</v>
      </c>
      <c r="C39" s="34" t="s">
        <v>75</v>
      </c>
      <c r="D39" s="116">
        <f>HYPERLINK("https://drive.google.com/file/d/1bFnI4x40KKyp7U1GS3BL4AyzTMAphXpo/view?usp=drivesdk", 79160)</f>
        <v>79160</v>
      </c>
      <c r="E39" s="116">
        <f>HYPERLINK("https://drive.google.com/file/d/1U__8I0RzNO2nO670xVFCTq3pWkCqHHDy/view?usp=drivesdk", 28700)</f>
        <v>28700</v>
      </c>
      <c r="F39" s="65">
        <f t="shared" ref="F39:F60" si="8">IF(OR(D39="",E39=""),"",(D39-E39)*$O$4)</f>
        <v>22888.25232</v>
      </c>
      <c r="G39" s="50">
        <v>2.87</v>
      </c>
      <c r="H39" s="65">
        <f t="shared" ref="H39:H60" si="9">IF(F39="","",(F39-J39)*$O$5)</f>
        <v>295.2584549</v>
      </c>
      <c r="I39" s="65">
        <f t="shared" ref="I39:I60" si="10">IF(F39="","",(F39-J39)*(1-$O$5)*$O$7)</f>
        <v>44.05633804</v>
      </c>
      <c r="J39" s="65">
        <f t="array" ref="J39">IF(F39="","",IF(ROW()=MAX(IF($C$39:$C$60=C39,ROW($C$39:$C$60),0)),MAX(0,IFERROR(VLOOKUP(C39,$A$10:$L$15,6,FALSE)-VLOOKUP(C39,$A$10:$L$15,5,FALSE),0)),0))</f>
        <v>0</v>
      </c>
      <c r="K39" s="65">
        <f t="shared" ref="K39:K60" si="11">IF(F39="","",F39-H39-I39-J39)</f>
        <v>22548.93753</v>
      </c>
      <c r="L39" s="44">
        <f t="shared" ref="L39:L60" si="12">IF(F39="","",(F39-J39)/VLOOKUP(C39,$A$10:$L$15,5,FALSE)*VLOOKUP(C39,$A$10:$L$15,10,FALSE)*$O$8)</f>
        <v>94.90179189</v>
      </c>
      <c r="M39" s="44">
        <f t="array" ref="M39">IF(F39="","",IF(IFERROR(VLOOKUP(C39,$A$10:$M$15,13,FALSE),"")="FULL",IF(ROW()=MIN(IF($C$39:$C$60=C39,ROW($C$39:$C$60),10^9)),VLOOKUP(C39,$A$10:$M$15,11,FALSE),0),(F39-J39)/VLOOKUP(C39,$A$10:$M$15,5,FALSE)*VLOOKUP(C39,$A$10:$M$15,11,FALSE)))</f>
        <v>2199</v>
      </c>
      <c r="N39" s="44">
        <f t="shared" ref="N39:N60" si="13">IF(F39="","",IFERROR(VLOOKUP(C39,$A$10:$L$15,12,FALSE),0)*$O$9)</f>
        <v>85.8</v>
      </c>
      <c r="O39" s="136"/>
    </row>
    <row r="40">
      <c r="A40" s="35">
        <v>46249.0</v>
      </c>
      <c r="B40" s="34" t="s">
        <v>227</v>
      </c>
      <c r="C40" s="34" t="s">
        <v>75</v>
      </c>
      <c r="D40" s="116">
        <f>HYPERLINK("https://drive.google.com/file/d/19iBT2AU3U1u8yv_M51Zzm7j3RwjvGoyE/view?usp=drivesdk", 70920)</f>
        <v>70920</v>
      </c>
      <c r="E40" s="116">
        <f>HYPERLINK("https://drive.google.com/file/d/1c0mYhD87ca1tgongk7G0tcjlUq5gHjsr/view?usp=drivesdk", 29300)</f>
        <v>29300</v>
      </c>
      <c r="F40" s="65">
        <f t="shared" si="8"/>
        <v>18878.49904</v>
      </c>
      <c r="G40" s="50">
        <v>2.87</v>
      </c>
      <c r="H40" s="65">
        <f t="shared" si="9"/>
        <v>243.5326376</v>
      </c>
      <c r="I40" s="65">
        <f t="shared" si="10"/>
        <v>36.33818448</v>
      </c>
      <c r="J40" s="65">
        <f t="array" ref="J40">IF(F40="","",IF(ROW()=MAX(IF($C$39:$C$60=C40,ROW($C$39:$C$60),0)),MAX(0,IFERROR(VLOOKUP(C40,$A$10:$L$15,6,FALSE)-VLOOKUP(C40,$A$10:$L$15,5,FALSE),0)),0))</f>
        <v>0</v>
      </c>
      <c r="K40" s="65">
        <f t="shared" si="11"/>
        <v>18598.62822</v>
      </c>
      <c r="L40" s="44">
        <f t="shared" si="12"/>
        <v>78.27611134</v>
      </c>
      <c r="M40" s="44">
        <f t="array" ref="M40">IF(F40="","",IF(IFERROR(VLOOKUP(C40,$A$10:$M$15,13,FALSE),"")="FULL",IF(ROW()=MIN(IF($C$39:$C$60=C40,ROW($C$39:$C$60),10^9)),VLOOKUP(C40,$A$10:$M$15,11,FALSE),0),(F40-J40)/VLOOKUP(C40,$A$10:$M$15,5,FALSE)*VLOOKUP(C40,$A$10:$M$15,11,FALSE)))</f>
        <v>0</v>
      </c>
      <c r="N40" s="44">
        <f t="shared" si="13"/>
        <v>85.8</v>
      </c>
      <c r="O40" s="136"/>
    </row>
    <row r="41">
      <c r="A41" s="35">
        <v>46249.0</v>
      </c>
      <c r="B41" s="34" t="s">
        <v>234</v>
      </c>
      <c r="C41" s="34" t="s">
        <v>75</v>
      </c>
      <c r="D41" s="116">
        <f>HYPERLINK("https://drive.google.com/file/d/1Y_Xm4ECp7k8rk3Uz83fp4Pw2tmE_9O1d/view?usp=drivesdk", 73640)</f>
        <v>73640</v>
      </c>
      <c r="E41" s="116">
        <f>HYPERLINK("https://drive.google.com/file/d/1eH_P6cYrPy5Wm0lpy_-1JFet6t6rZsEg/view?usp=drivesdk", 28420)</f>
        <v>28420</v>
      </c>
      <c r="F41" s="65">
        <f t="shared" si="8"/>
        <v>20511.43024</v>
      </c>
      <c r="G41" s="50">
        <v>2.87</v>
      </c>
      <c r="H41" s="65">
        <f t="shared" si="9"/>
        <v>264.5974501</v>
      </c>
      <c r="I41" s="65">
        <f t="shared" si="10"/>
        <v>39.48132394</v>
      </c>
      <c r="J41" s="65">
        <f t="array" ref="J41">IF(F41="","",IF(ROW()=MAX(IF($C$39:$C$60=C41,ROW($C$39:$C$60),0)),MAX(0,IFERROR(VLOOKUP(C41,$A$10:$L$15,6,FALSE)-VLOOKUP(C41,$A$10:$L$15,5,FALSE),0)),0))</f>
        <v>0</v>
      </c>
      <c r="K41" s="65">
        <f t="shared" si="11"/>
        <v>20207.35147</v>
      </c>
      <c r="L41" s="44">
        <f t="shared" si="12"/>
        <v>85.04675048</v>
      </c>
      <c r="M41" s="44">
        <f t="array" ref="M41">IF(F41="","",IF(IFERROR(VLOOKUP(C41,$A$10:$M$15,13,FALSE),"")="FULL",IF(ROW()=MIN(IF($C$39:$C$60=C41,ROW($C$39:$C$60),10^9)),VLOOKUP(C41,$A$10:$M$15,11,FALSE),0),(F41-J41)/VLOOKUP(C41,$A$10:$M$15,5,FALSE)*VLOOKUP(C41,$A$10:$M$15,11,FALSE)))</f>
        <v>0</v>
      </c>
      <c r="N41" s="44">
        <f t="shared" si="13"/>
        <v>85.8</v>
      </c>
      <c r="O41" s="136"/>
    </row>
    <row r="42">
      <c r="A42" s="35">
        <v>46249.0</v>
      </c>
      <c r="B42" s="34" t="s">
        <v>235</v>
      </c>
      <c r="C42" s="34" t="s">
        <v>75</v>
      </c>
      <c r="D42" s="116">
        <f>HYPERLINK("https://drive.google.com/file/d/17k3TU4TPtNLb96TSOu22Wf-CXGPX8Beb/view?usp=drivesdk", 63620)</f>
        <v>63620</v>
      </c>
      <c r="E42" s="116">
        <f>HYPERLINK("https://drive.google.com/file/d/11T-M124thIV-GewGOFl3CLy9Vys3PdWJ/view?usp=drivesdk", 29220)</f>
        <v>29220</v>
      </c>
      <c r="F42" s="65">
        <f t="shared" si="8"/>
        <v>15603.5648</v>
      </c>
      <c r="G42" s="50">
        <v>2.87</v>
      </c>
      <c r="H42" s="27">
        <f t="shared" si="9"/>
        <v>199.9734574</v>
      </c>
      <c r="I42" s="27">
        <f t="shared" si="10"/>
        <v>29.83859764</v>
      </c>
      <c r="J42" s="27">
        <f t="array" ref="J42">IF(F42="","",IF(ROW()=MAX(IF($C$39:$C$60=C42,ROW($C$39:$C$60),0)),MAX(0,IFERROR(VLOOKUP(C42,$A$10:$L$15,6,FALSE)-VLOOKUP(C42,$A$10:$L$15,5,FALSE),0)),0))</f>
        <v>101.7464</v>
      </c>
      <c r="K42" s="27">
        <f t="shared" si="11"/>
        <v>15272.00635</v>
      </c>
      <c r="L42" s="44">
        <f t="shared" si="12"/>
        <v>64.27534628</v>
      </c>
      <c r="M42" s="44">
        <f t="array" ref="M42">IF(F42="","",IF(IFERROR(VLOOKUP(C42,$A$10:$M$15,13,FALSE),"")="FULL",IF(ROW()=MIN(IF($C$39:$C$60=C42,ROW($C$39:$C$60),10^9)),VLOOKUP(C42,$A$10:$M$15,11,FALSE),0),(F42-J42)/VLOOKUP(C42,$A$10:$M$15,5,FALSE)*VLOOKUP(C42,$A$10:$M$15,11,FALSE)))</f>
        <v>0</v>
      </c>
      <c r="N42" s="44">
        <f t="shared" si="13"/>
        <v>85.8</v>
      </c>
      <c r="O42" s="55"/>
    </row>
    <row r="43">
      <c r="A43" s="35">
        <v>46249.0</v>
      </c>
      <c r="B43" s="34" t="s">
        <v>236</v>
      </c>
      <c r="C43" s="34" t="s">
        <v>100</v>
      </c>
      <c r="D43" s="116">
        <f>HYPERLINK("https://drive.google.com/file/d/1Z6V5p-tqzJkLZw-I53SYklbaR3HDCCUC/view?usp=drivesdk", 72680)</f>
        <v>72680</v>
      </c>
      <c r="E43" s="116">
        <f>HYPERLINK("https://drive.google.com/file/d/1UVEOAdkui7I8GZOY8BG_U8EgYUvCFjRf/view?usp=drivesdk", 29180)</f>
        <v>29180</v>
      </c>
      <c r="F43" s="65">
        <f t="shared" si="8"/>
        <v>19731.252</v>
      </c>
      <c r="G43" s="50">
        <v>2.87</v>
      </c>
      <c r="H43" s="27">
        <f t="shared" si="9"/>
        <v>254.5331508</v>
      </c>
      <c r="I43" s="27">
        <f t="shared" si="10"/>
        <v>37.97960176</v>
      </c>
      <c r="J43" s="65">
        <f t="array" ref="J43">IF(F43="","",IF(ROW()=MAX(IF($C$39:$C$60=C43,ROW($C$39:$C$60),0)),MAX(0,IFERROR(VLOOKUP(C43,$A$10:$L$15,6,FALSE)-VLOOKUP(C43,$A$10:$L$15,5,FALSE),0)),0))</f>
        <v>0</v>
      </c>
      <c r="K43" s="27">
        <f t="shared" si="11"/>
        <v>19438.73925</v>
      </c>
      <c r="L43" s="44">
        <f t="shared" si="12"/>
        <v>81.90666456</v>
      </c>
      <c r="M43" s="44">
        <f t="array" ref="M43">IF(F43="","",IF(IFERROR(VLOOKUP(C43,$A$10:$M$15,13,FALSE),"")="FULL",IF(ROW()=MIN(IF($C$39:$C$60=C43,ROW($C$39:$C$60),10^9)),VLOOKUP(C43,$A$10:$M$15,11,FALSE),0),(F43-J43)/VLOOKUP(C43,$A$10:$M$15,5,FALSE)*VLOOKUP(C43,$A$10:$M$15,11,FALSE)))</f>
        <v>2199</v>
      </c>
      <c r="N43" s="44">
        <f t="shared" si="13"/>
        <v>85.8</v>
      </c>
      <c r="O43" s="55"/>
    </row>
    <row r="44">
      <c r="A44" s="35">
        <v>46249.0</v>
      </c>
      <c r="B44" s="34" t="s">
        <v>237</v>
      </c>
      <c r="C44" s="34" t="s">
        <v>100</v>
      </c>
      <c r="D44" s="116">
        <f>HYPERLINK("https://drive.google.com/file/d/15XckUM_hwBDlBiuCjbP-5Scl58c-qMqy/view?usp=drivesdk", 69800)</f>
        <v>69800</v>
      </c>
      <c r="E44" s="116">
        <f>HYPERLINK("https://drive.google.com/file/d/1Ek1k5hYK6MyJQUT5XzVbi9rc3Gf1kZvf/view?usp=drivesdk", 28560)</f>
        <v>28560</v>
      </c>
      <c r="F44" s="65">
        <f t="shared" si="8"/>
        <v>18706.13408</v>
      </c>
      <c r="G44" s="50">
        <v>2.87</v>
      </c>
      <c r="H44" s="27">
        <f t="shared" si="9"/>
        <v>241.3091296</v>
      </c>
      <c r="I44" s="27">
        <f t="shared" si="10"/>
        <v>36.00640865</v>
      </c>
      <c r="J44" s="65">
        <f t="array" ref="J44">IF(F44="","",IF(ROW()=MAX(IF($C$39:$C$60=C44,ROW($C$39:$C$60),0)),MAX(0,IFERROR(VLOOKUP(C44,$A$10:$L$15,6,FALSE)-VLOOKUP(C44,$A$10:$L$15,5,FALSE),0)),0))</f>
        <v>0</v>
      </c>
      <c r="K44" s="27">
        <f t="shared" si="11"/>
        <v>18428.81854</v>
      </c>
      <c r="L44" s="44">
        <f t="shared" si="12"/>
        <v>77.65128383</v>
      </c>
      <c r="M44" s="44">
        <f t="array" ref="M44">IF(F44="","",IF(IFERROR(VLOOKUP(C44,$A$10:$M$15,13,FALSE),"")="FULL",IF(ROW()=MIN(IF($C$39:$C$60=C44,ROW($C$39:$C$60),10^9)),VLOOKUP(C44,$A$10:$M$15,11,FALSE),0),(F44-J44)/VLOOKUP(C44,$A$10:$M$15,5,FALSE)*VLOOKUP(C44,$A$10:$M$15,11,FALSE)))</f>
        <v>0</v>
      </c>
      <c r="N44" s="44">
        <f t="shared" si="13"/>
        <v>85.8</v>
      </c>
      <c r="O44" s="55"/>
    </row>
    <row r="45">
      <c r="A45" s="35">
        <v>46249.0</v>
      </c>
      <c r="B45" s="34" t="s">
        <v>238</v>
      </c>
      <c r="C45" s="34" t="s">
        <v>100</v>
      </c>
      <c r="D45" s="116">
        <f>HYPERLINK("https://drive.google.com/file/d/10DppfCjPxoAwIcJWVjwhLZFqLxADMVbw/view?usp=drivesdk", 75900)</f>
        <v>75900</v>
      </c>
      <c r="E45" s="116">
        <f>HYPERLINK("https://drive.google.com/file/d/1r2OkVW7PZhbRGMLscTrBwoMmQoP0N4ZQ/view?usp=drivesdk", 28900)</f>
        <v>28900</v>
      </c>
      <c r="F45" s="65">
        <f t="shared" si="8"/>
        <v>21318.824</v>
      </c>
      <c r="G45" s="50">
        <v>2.87</v>
      </c>
      <c r="H45" s="27">
        <f t="shared" si="9"/>
        <v>275.0128296</v>
      </c>
      <c r="I45" s="27">
        <f t="shared" si="10"/>
        <v>41.03543178</v>
      </c>
      <c r="J45" s="65">
        <f t="array" ref="J45">IF(F45="","",IF(ROW()=MAX(IF($C$39:$C$60=C45,ROW($C$39:$C$60),0)),MAX(0,IFERROR(VLOOKUP(C45,$A$10:$L$15,6,FALSE)-VLOOKUP(C45,$A$10:$L$15,5,FALSE),0)),0))</f>
        <v>0</v>
      </c>
      <c r="K45" s="27">
        <f t="shared" si="11"/>
        <v>21002.77574</v>
      </c>
      <c r="L45" s="44">
        <f t="shared" si="12"/>
        <v>88.49685597</v>
      </c>
      <c r="M45" s="44">
        <f t="array" ref="M45">IF(F45="","",IF(IFERROR(VLOOKUP(C45,$A$10:$M$15,13,FALSE),"")="FULL",IF(ROW()=MIN(IF($C$39:$C$60=C45,ROW($C$39:$C$60),10^9)),VLOOKUP(C45,$A$10:$M$15,11,FALSE),0),(F45-J45)/VLOOKUP(C45,$A$10:$M$15,5,FALSE)*VLOOKUP(C45,$A$10:$M$15,11,FALSE)))</f>
        <v>0</v>
      </c>
      <c r="N45" s="44">
        <f t="shared" si="13"/>
        <v>85.8</v>
      </c>
      <c r="O45" s="55"/>
    </row>
    <row r="46">
      <c r="A46" s="35">
        <v>46249.0</v>
      </c>
      <c r="B46" s="34" t="s">
        <v>239</v>
      </c>
      <c r="C46" s="34" t="s">
        <v>100</v>
      </c>
      <c r="D46" s="116">
        <f>HYPERLINK("https://drive.google.com/file/d/1VbF3uypQXJwVfpnyoiJw1S5pY1RJrrMN/view?usp=drivesdk", 68000)</f>
        <v>68000</v>
      </c>
      <c r="E46" s="149">
        <f>HYPERLINK("https://drive.google.com/file/d/1zsZ2J8zNuoxFFMhKyCZOuMtEZI5RQFD3/view?usp=drivesdk", 28360)</f>
        <v>28360</v>
      </c>
      <c r="F46" s="27">
        <f t="shared" si="8"/>
        <v>17980.38688</v>
      </c>
      <c r="G46" s="50">
        <v>2.87</v>
      </c>
      <c r="H46" s="27">
        <f t="shared" si="9"/>
        <v>231.34589</v>
      </c>
      <c r="I46" s="27">
        <f t="shared" si="10"/>
        <v>34.51976586</v>
      </c>
      <c r="J46" s="27">
        <f t="array" ref="J46">IF(F46="","",IF(ROW()=MAX(IF($C$39:$C$60=C46,ROW($C$39:$C$60),0)),MAX(0,IFERROR(VLOOKUP(C46,$A$10:$L$15,6,FALSE)-VLOOKUP(C46,$A$10:$L$15,5,FALSE),0)),0))</f>
        <v>46.59696</v>
      </c>
      <c r="K46" s="27">
        <f t="shared" si="11"/>
        <v>17667.92426</v>
      </c>
      <c r="L46" s="44">
        <f t="shared" si="12"/>
        <v>74.44519564</v>
      </c>
      <c r="M46" s="44">
        <f t="array" ref="M46">IF(F46="","",IF(IFERROR(VLOOKUP(C46,$A$10:$M$15,13,FALSE),"")="FULL",IF(ROW()=MIN(IF($C$39:$C$60=C46,ROW($C$39:$C$60),10^9)),VLOOKUP(C46,$A$10:$M$15,11,FALSE),0),(F46-J46)/VLOOKUP(C46,$A$10:$M$15,5,FALSE)*VLOOKUP(C46,$A$10:$M$15,11,FALSE)))</f>
        <v>0</v>
      </c>
      <c r="N46" s="44">
        <f t="shared" si="13"/>
        <v>85.8</v>
      </c>
      <c r="O46" s="55"/>
    </row>
    <row r="47">
      <c r="A47" s="35">
        <v>46249.0</v>
      </c>
      <c r="B47" s="34" t="s">
        <v>240</v>
      </c>
      <c r="C47" s="34" t="s">
        <v>107</v>
      </c>
      <c r="D47" s="116">
        <f>HYPERLINK("https://drive.google.com/file/d/1huxak02PCWOxrkZ8ko2gB4SINBp4OW-j/view?usp=drivesdk", 74280)</f>
        <v>74280</v>
      </c>
      <c r="E47" s="116">
        <f>HYPERLINK("https://drive.google.com/file/d/1KbSbMIN2Mh-XxJKu8iKMO199QOQXITWN/view?usp=drivesdk", 28300)</f>
        <v>28300</v>
      </c>
      <c r="F47" s="27">
        <f t="shared" si="8"/>
        <v>20856.16016</v>
      </c>
      <c r="G47" s="50">
        <v>2.87</v>
      </c>
      <c r="H47" s="27">
        <f t="shared" si="9"/>
        <v>269.0444661</v>
      </c>
      <c r="I47" s="27">
        <f t="shared" si="10"/>
        <v>40.1448756</v>
      </c>
      <c r="J47" s="65">
        <f t="array" ref="J47">IF(F47="","",IF(ROW()=MAX(IF($C$39:$C$60=C47,ROW($C$39:$C$60),0)),MAX(0,IFERROR(VLOOKUP(C47,$A$10:$L$15,6,FALSE)-VLOOKUP(C47,$A$10:$L$15,5,FALSE),0)),0))</f>
        <v>0</v>
      </c>
      <c r="K47" s="27">
        <f t="shared" si="11"/>
        <v>20546.97082</v>
      </c>
      <c r="L47" s="44">
        <f t="shared" si="12"/>
        <v>86.40945082</v>
      </c>
      <c r="M47" s="44">
        <f t="array" ref="M47">IF(F47="","",IF(IFERROR(VLOOKUP(C47,$A$10:$M$15,13,FALSE),"")="FULL",IF(ROW()=MIN(IF($C$39:$C$60=C47,ROW($C$39:$C$60),10^9)),VLOOKUP(C47,$A$10:$M$15,11,FALSE),0),(F47-J47)/VLOOKUP(C47,$A$10:$M$15,5,FALSE)*VLOOKUP(C47,$A$10:$M$15,11,FALSE)))</f>
        <v>2199</v>
      </c>
      <c r="N47" s="44">
        <f t="shared" si="13"/>
        <v>85.8</v>
      </c>
      <c r="O47" s="55"/>
    </row>
    <row r="48">
      <c r="A48" s="35">
        <v>46249.0</v>
      </c>
      <c r="B48" s="34" t="s">
        <v>241</v>
      </c>
      <c r="C48" s="34" t="s">
        <v>107</v>
      </c>
      <c r="D48" s="116">
        <f>HYPERLINK("https://drive.google.com/file/d/1-kB2qUFiWX2v6ibueVFwAabJEWk4BVAE/view?usp=drivesdk", 71580)</f>
        <v>71580</v>
      </c>
      <c r="E48" s="116">
        <f>HYPERLINK("https://drive.google.com/file/d/1S9BwoDhagW4BpwB9XSV9iNBkbrLBN6FL/view?usp=drivesdk", 29260)</f>
        <v>29260</v>
      </c>
      <c r="F48" s="27">
        <f t="shared" si="8"/>
        <v>19196.01344</v>
      </c>
      <c r="G48" s="50">
        <v>2.87</v>
      </c>
      <c r="H48" s="150">
        <f t="shared" si="9"/>
        <v>247.6285734</v>
      </c>
      <c r="I48" s="150">
        <f t="shared" si="10"/>
        <v>36.94935049</v>
      </c>
      <c r="J48" s="151">
        <f t="array" ref="J48">IF(F48="","",IF(ROW()=MAX(IF($C$39:$C$60=C48,ROW($C$39:$C$60),0)),MAX(0,IFERROR(VLOOKUP(C48,$A$10:$L$15,6,FALSE)-VLOOKUP(C48,$A$10:$L$15,5,FALSE),0)),0))</f>
        <v>0</v>
      </c>
      <c r="K48" s="27">
        <f t="shared" si="11"/>
        <v>18911.43552</v>
      </c>
      <c r="L48" s="152">
        <f t="shared" si="12"/>
        <v>79.53127357</v>
      </c>
      <c r="M48" s="152">
        <f t="array" ref="M48">IF(F48="","",IF(IFERROR(VLOOKUP(C48,$A$10:$M$15,13,FALSE),"")="FULL",IF(ROW()=MIN(IF($C$39:$C$60=C48,ROW($C$39:$C$60),10^9)),VLOOKUP(C48,$A$10:$M$15,11,FALSE),0),(F48-J48)/VLOOKUP(C48,$A$10:$M$15,5,FALSE)*VLOOKUP(C48,$A$10:$M$15,11,FALSE)))</f>
        <v>0</v>
      </c>
      <c r="N48" s="55">
        <f t="shared" si="13"/>
        <v>85.8</v>
      </c>
      <c r="O48" s="55"/>
    </row>
    <row r="49" ht="16.5" customHeight="1">
      <c r="A49" s="35">
        <v>46249.0</v>
      </c>
      <c r="B49" s="34" t="s">
        <v>242</v>
      </c>
      <c r="C49" s="34" t="s">
        <v>107</v>
      </c>
      <c r="D49" s="116">
        <f>HYPERLINK("https://drive.google.com/file/d/13wZlKBWzqtYnAOs2Ba5yeEIUjawj1WQ1/view?usp=drivesdk", 74020)</f>
        <v>74020</v>
      </c>
      <c r="E49" s="116">
        <f>HYPERLINK("https://drive.google.com/file/d/1wIA_UFHENwRoUeb2H2Dtn_vLXUvn4waJ/view?usp=drivesdk", 28800)</f>
        <v>28800</v>
      </c>
      <c r="F49" s="27">
        <f t="shared" si="8"/>
        <v>20511.43024</v>
      </c>
      <c r="G49" s="50">
        <v>2.87</v>
      </c>
      <c r="H49" s="150">
        <f t="shared" si="9"/>
        <v>264.5974501</v>
      </c>
      <c r="I49" s="150">
        <f t="shared" si="10"/>
        <v>39.48132394</v>
      </c>
      <c r="J49" s="151">
        <f t="array" ref="J49">IF(F49="","",IF(ROW()=MAX(IF($C$39:$C$60=C49,ROW($C$39:$C$60),0)),MAX(0,IFERROR(VLOOKUP(C49,$A$10:$L$15,6,FALSE)-VLOOKUP(C49,$A$10:$L$15,5,FALSE),0)),0))</f>
        <v>0</v>
      </c>
      <c r="K49" s="27">
        <f t="shared" si="11"/>
        <v>20207.35147</v>
      </c>
      <c r="L49" s="152">
        <f t="shared" si="12"/>
        <v>84.98119543</v>
      </c>
      <c r="M49" s="152">
        <f t="array" ref="M49">IF(F49="","",IF(IFERROR(VLOOKUP(C49,$A$10:$M$15,13,FALSE),"")="FULL",IF(ROW()=MIN(IF($C$39:$C$60=C49,ROW($C$39:$C$60),10^9)),VLOOKUP(C49,$A$10:$M$15,11,FALSE),0),(F49-J49)/VLOOKUP(C49,$A$10:$M$15,5,FALSE)*VLOOKUP(C49,$A$10:$M$15,11,FALSE)))</f>
        <v>0</v>
      </c>
      <c r="N49" s="55">
        <f t="shared" si="13"/>
        <v>85.8</v>
      </c>
      <c r="O49" s="55"/>
      <c r="P49" s="2"/>
      <c r="Q49" s="2"/>
      <c r="R49" s="2"/>
    </row>
    <row r="50">
      <c r="A50" s="35">
        <v>46249.0</v>
      </c>
      <c r="B50" s="34" t="s">
        <v>243</v>
      </c>
      <c r="C50" s="34" t="s">
        <v>107</v>
      </c>
      <c r="D50" s="116">
        <f>HYPERLINK("https://drive.google.com/file/d/1TvykxVbFgx-0agfsR021La6M4vYiue8f/view?usp=drivesdk", 66760)</f>
        <v>66760</v>
      </c>
      <c r="E50" s="116">
        <f>HYPERLINK("https://drive.google.com/file/d/1Q0W3ECEoMYIw5o364GBQzhVAlmbfsF3J/view?usp=drivesdk", 29080)</f>
        <v>29080</v>
      </c>
      <c r="F50" s="65">
        <f t="shared" si="8"/>
        <v>17091.34656</v>
      </c>
      <c r="G50" s="25">
        <v>2.87</v>
      </c>
      <c r="H50" s="153">
        <f t="shared" si="9"/>
        <v>220.4783706</v>
      </c>
      <c r="I50" s="153">
        <f t="shared" si="10"/>
        <v>32.89819297</v>
      </c>
      <c r="J50" s="154">
        <f t="array" ref="J50">IF(F50="","",IF(ROW()=MAX(IF($C$39:$C$60=C50,ROW($C$39:$C$60),0)),MAX(0,IFERROR(VLOOKUP(C50,$A$10:$L$15,6,FALSE)-VLOOKUP(C50,$A$10:$L$15,5,FALSE),0)),0))</f>
        <v>0</v>
      </c>
      <c r="K50" s="154">
        <f t="shared" si="11"/>
        <v>16837.97</v>
      </c>
      <c r="L50" s="155">
        <f t="shared" si="12"/>
        <v>70.81139858</v>
      </c>
      <c r="M50" s="155">
        <f t="array" ref="M50">IF(F50="","",IF(IFERROR(VLOOKUP(C50,$A$10:$M$15,13,FALSE),"")="FULL",IF(ROW()=MIN(IF($C$39:$C$60=C50,ROW($C$39:$C$60),10^9)),VLOOKUP(C50,$A$10:$M$15,11,FALSE),0),(F50-J50)/VLOOKUP(C50,$A$10:$M$15,5,FALSE)*VLOOKUP(C50,$A$10:$M$15,11,FALSE)))</f>
        <v>0</v>
      </c>
      <c r="N50" s="55">
        <f t="shared" si="13"/>
        <v>85.8</v>
      </c>
      <c r="O50" s="55"/>
      <c r="P50" s="9"/>
      <c r="Q50" s="9"/>
      <c r="R50" s="9"/>
    </row>
    <row r="51">
      <c r="A51" s="35">
        <v>46249.0</v>
      </c>
      <c r="B51" s="25" t="s">
        <v>244</v>
      </c>
      <c r="C51" s="25" t="s">
        <v>110</v>
      </c>
      <c r="D51" s="116">
        <f>HYPERLINK("https://drive.google.com/file/d/14bERKRxzbcdkOPLgRJAFMEWJDXJSjVfQ/view?usp=drivesdk", 70500)</f>
        <v>70500</v>
      </c>
      <c r="E51" s="116">
        <f>HYPERLINK("https://drive.google.com/file/d/1t9Fz0AxIUb-10O3NDny25MBkjIaR48CE/view?usp=drivesdk", 28500)</f>
        <v>28500</v>
      </c>
      <c r="F51" s="27">
        <f t="shared" si="8"/>
        <v>19050.864</v>
      </c>
      <c r="G51" s="50">
        <v>2.87</v>
      </c>
      <c r="H51" s="150">
        <f t="shared" si="9"/>
        <v>245.7561456</v>
      </c>
      <c r="I51" s="150">
        <f t="shared" si="10"/>
        <v>36.66996032</v>
      </c>
      <c r="J51" s="154">
        <f t="array" ref="J51">IF(F51="","",IF(ROW()=MAX(IF($C$39:$C$60=C51,ROW($C$39:$C$60),0)),MAX(0,IFERROR(VLOOKUP(C51,$A$10:$L$15,6,FALSE)-VLOOKUP(C51,$A$10:$L$15,5,FALSE),0)),0))</f>
        <v>0</v>
      </c>
      <c r="K51" s="156">
        <f t="shared" si="11"/>
        <v>18768.43789</v>
      </c>
      <c r="L51" s="152">
        <f t="shared" si="12"/>
        <v>79.47100815</v>
      </c>
      <c r="M51" s="152">
        <f t="array" ref="M51">IF(F51="","",IF(IFERROR(VLOOKUP(C51,$A$10:$M$15,13,FALSE),"")="FULL",IF(ROW()=MIN(IF($C$39:$C$60=C51,ROW($C$39:$C$60),10^9)),VLOOKUP(C51,$A$10:$M$15,11,FALSE),0),(F51-J51)/VLOOKUP(C51,$A$10:$M$15,5,FALSE)*VLOOKUP(C51,$A$10:$M$15,11,FALSE)))</f>
        <v>2199</v>
      </c>
      <c r="N51" s="55">
        <f t="shared" si="13"/>
        <v>85.8</v>
      </c>
      <c r="O51" s="55"/>
    </row>
    <row r="52">
      <c r="A52" s="35">
        <v>46249.0</v>
      </c>
      <c r="B52" s="34" t="s">
        <v>245</v>
      </c>
      <c r="C52" s="34" t="s">
        <v>110</v>
      </c>
      <c r="D52" s="116">
        <f>HYPERLINK("https://drive.google.com/file/d/1tP1skWMKCV4UFdWX_QB4nGguv9k27PbE/view?usp=drivesdk", 71860)</f>
        <v>71860</v>
      </c>
      <c r="E52" s="116">
        <f>HYPERLINK("https://drive.google.com/file/d/1ZVmfn-iCgwfq_fiPvP1S5VHnCegRDrEW/view?usp=drivesdk", 29360)</f>
        <v>29360</v>
      </c>
      <c r="F52" s="27">
        <f t="shared" si="8"/>
        <v>19277.66</v>
      </c>
      <c r="G52" s="50">
        <v>2.87</v>
      </c>
      <c r="H52" s="150">
        <f t="shared" si="9"/>
        <v>248.681814</v>
      </c>
      <c r="I52" s="150">
        <f t="shared" si="10"/>
        <v>37.10650746</v>
      </c>
      <c r="J52" s="151">
        <f t="array" ref="J52">IF(F52="","",IF(ROW()=MAX(IF($C$39:$C$60=C52,ROW($C$39:$C$60),0)),MAX(0,IFERROR(VLOOKUP(C52,$A$10:$L$15,6,FALSE)-VLOOKUP(C52,$A$10:$L$15,5,FALSE),0)),0))</f>
        <v>0</v>
      </c>
      <c r="K52" s="27">
        <f t="shared" si="11"/>
        <v>18991.87168</v>
      </c>
      <c r="L52" s="152">
        <f t="shared" si="12"/>
        <v>80.41709158</v>
      </c>
      <c r="M52" s="152">
        <f t="array" ref="M52">IF(F52="","",IF(IFERROR(VLOOKUP(C52,$A$10:$M$15,13,FALSE),"")="FULL",IF(ROW()=MIN(IF($C$39:$C$60=C52,ROW($C$39:$C$60),10^9)),VLOOKUP(C52,$A$10:$M$15,11,FALSE),0),(F52-J52)/VLOOKUP(C52,$A$10:$M$15,5,FALSE)*VLOOKUP(C52,$A$10:$M$15,11,FALSE)))</f>
        <v>0</v>
      </c>
      <c r="N52" s="55">
        <f t="shared" si="13"/>
        <v>85.8</v>
      </c>
      <c r="O52" s="55"/>
    </row>
    <row r="53">
      <c r="A53" s="35">
        <v>46249.0</v>
      </c>
      <c r="B53" s="34" t="s">
        <v>246</v>
      </c>
      <c r="C53" s="34" t="s">
        <v>110</v>
      </c>
      <c r="D53" s="116">
        <f>HYPERLINK("https://drive.google.com/file/d/1Mz6yJ20FVAEa0Sps-dMC7hv9cUz0E-9h/view?usp=drivesdk", 71640)</f>
        <v>71640</v>
      </c>
      <c r="E53" s="116">
        <f>HYPERLINK("https://drive.google.com/file/d/11u8bncRrBq2Q_5MG57ObTCZH7vh0jMgf/view?usp=drivesdk", 28520)</f>
        <v>28520</v>
      </c>
      <c r="F53" s="27">
        <f t="shared" si="8"/>
        <v>19558.88704</v>
      </c>
      <c r="G53" s="50">
        <v>2.87</v>
      </c>
      <c r="H53" s="150">
        <f t="shared" si="9"/>
        <v>252.3096428</v>
      </c>
      <c r="I53" s="150">
        <f t="shared" si="10"/>
        <v>37.64782592</v>
      </c>
      <c r="J53" s="151">
        <f t="array" ref="J53">IF(F53="","",IF(ROW()=MAX(IF($C$39:$C$60=C53,ROW($C$39:$C$60),0)),MAX(0,IFERROR(VLOOKUP(C53,$A$10:$L$15,6,FALSE)-VLOOKUP(C53,$A$10:$L$15,5,FALSE),0)),0))</f>
        <v>0</v>
      </c>
      <c r="K53" s="27">
        <f t="shared" si="11"/>
        <v>19268.92957</v>
      </c>
      <c r="L53" s="152">
        <f t="shared" si="12"/>
        <v>81.59023503</v>
      </c>
      <c r="M53" s="152">
        <f t="array" ref="M53">IF(F53="","",IF(IFERROR(VLOOKUP(C53,$A$10:$M$15,13,FALSE),"")="FULL",IF(ROW()=MIN(IF($C$39:$C$60=C53,ROW($C$39:$C$60),10^9)),VLOOKUP(C53,$A$10:$M$15,11,FALSE),0),(F53-J53)/VLOOKUP(C53,$A$10:$M$15,5,FALSE)*VLOOKUP(C53,$A$10:$M$15,11,FALSE)))</f>
        <v>0</v>
      </c>
      <c r="N53" s="55">
        <f t="shared" si="13"/>
        <v>85.8</v>
      </c>
      <c r="O53" s="55"/>
    </row>
    <row r="54">
      <c r="A54" s="35">
        <v>46249.0</v>
      </c>
      <c r="B54" s="34" t="s">
        <v>247</v>
      </c>
      <c r="C54" s="34" t="s">
        <v>110</v>
      </c>
      <c r="D54" s="116">
        <f>HYPERLINK("https://drive.google.com/file/d/1JwVt_AQaRyLt6Vk0Mh30DPqPd4RTkx8t/view?usp=drivesdk", 70920)</f>
        <v>70920</v>
      </c>
      <c r="E54" s="116">
        <f>HYPERLINK("https://drive.google.com/file/d/1gBi8BRXtkQRAsh-YPvrriH4r76azSfMv/view?usp=drivesdk", 29160)</f>
        <v>29160</v>
      </c>
      <c r="F54" s="65">
        <f t="shared" si="8"/>
        <v>18942.00192</v>
      </c>
      <c r="G54" s="50">
        <v>2.87</v>
      </c>
      <c r="H54" s="150">
        <f t="shared" si="9"/>
        <v>244.3518248</v>
      </c>
      <c r="I54" s="150">
        <f t="shared" si="10"/>
        <v>36.46041769</v>
      </c>
      <c r="J54" s="157">
        <f t="array" ref="J54">IF(F54="","",IF(ROW()=MAX(IF($C$39:$C$60=C54,ROW($C$39:$C$60),0)),MAX(0,IFERROR(VLOOKUP(C54,$A$10:$L$15,6,FALSE)-VLOOKUP(C54,$A$10:$L$15,5,FALSE),0)),0))</f>
        <v>0</v>
      </c>
      <c r="K54" s="27">
        <f t="shared" si="11"/>
        <v>18661.18968</v>
      </c>
      <c r="L54" s="152">
        <f t="shared" si="12"/>
        <v>79.0168881</v>
      </c>
      <c r="M54" s="152">
        <f t="array" ref="M54">IF(F54="","",IF(IFERROR(VLOOKUP(C54,$A$10:$M$15,13,FALSE),"")="FULL",IF(ROW()=MIN(IF($C$39:$C$60=C54,ROW($C$39:$C$60),10^9)),VLOOKUP(C54,$A$10:$M$15,11,FALSE),0),(F54-J54)/VLOOKUP(C54,$A$10:$M$15,5,FALSE)*VLOOKUP(C54,$A$10:$M$15,11,FALSE)))</f>
        <v>0</v>
      </c>
      <c r="N54" s="55">
        <f t="shared" si="13"/>
        <v>85.8</v>
      </c>
      <c r="O54" s="55"/>
    </row>
    <row r="55">
      <c r="A55" s="35">
        <v>46249.0</v>
      </c>
      <c r="B55" s="34" t="s">
        <v>248</v>
      </c>
      <c r="C55" s="34" t="s">
        <v>112</v>
      </c>
      <c r="D55" s="116">
        <f>HYPERLINK("https://drive.google.com/file/d/1-JsWaEjqqhKfJ-Hb7HMhvHTNYHzyYIK9/view?usp=drivesdk", 66940)</f>
        <v>66940</v>
      </c>
      <c r="E55" s="25">
        <v>29478.0</v>
      </c>
      <c r="F55" s="65">
        <f t="shared" si="8"/>
        <v>16992.4635</v>
      </c>
      <c r="G55" s="50">
        <v>2.87</v>
      </c>
      <c r="H55" s="150">
        <f t="shared" si="9"/>
        <v>219.2027792</v>
      </c>
      <c r="I55" s="150">
        <f t="shared" si="10"/>
        <v>32.70785841</v>
      </c>
      <c r="J55" s="157">
        <f t="array" ref="J55">IF(F55="","",IF(ROW()=MAX(IF($C$39:$C$60=C55,ROW($C$39:$C$60),0)),MAX(0,IFERROR(VLOOKUP(C55,$A$10:$L$15,6,FALSE)-VLOOKUP(C55,$A$10:$L$15,5,FALSE),0)),0))</f>
        <v>0</v>
      </c>
      <c r="K55" s="27">
        <f t="shared" si="11"/>
        <v>16740.55287</v>
      </c>
      <c r="L55" s="152">
        <f t="shared" si="12"/>
        <v>70.43791105</v>
      </c>
      <c r="M55" s="152">
        <f t="array" ref="M55">IF(F55="","",IF(IFERROR(VLOOKUP(C55,$A$10:$M$15,13,FALSE),"")="FULL",IF(ROW()=MIN(IF($C$39:$C$60=C55,ROW($C$39:$C$60),10^9)),VLOOKUP(C55,$A$10:$M$15,11,FALSE),0),(F55-J55)/VLOOKUP(C55,$A$10:$M$15,5,FALSE)*VLOOKUP(C55,$A$10:$M$15,11,FALSE)))</f>
        <v>2199</v>
      </c>
      <c r="N55" s="55">
        <f t="shared" si="13"/>
        <v>85.8</v>
      </c>
      <c r="O55" s="55"/>
    </row>
    <row r="56">
      <c r="A56" s="35">
        <v>46249.0</v>
      </c>
      <c r="B56" s="34" t="s">
        <v>249</v>
      </c>
      <c r="C56" s="34" t="s">
        <v>112</v>
      </c>
      <c r="D56" s="116">
        <f>HYPERLINK("https://drive.google.com/file/d/1KO1tzdhLeA7nPwQNTXuELxbeKYAiYsqJ/view?usp=drivesdk", 73040)</f>
        <v>73040</v>
      </c>
      <c r="E56" s="116">
        <f>HYPERLINK("https://drive.google.com/file/d/1cb9CQOiWarHHTCnBAHvSjUK3AXHm2gAs/view?usp=drivesdk", 28800)</f>
        <v>28800</v>
      </c>
      <c r="F56" s="65">
        <f t="shared" si="8"/>
        <v>20066.91008</v>
      </c>
      <c r="G56" s="50">
        <v>2.87</v>
      </c>
      <c r="H56" s="150">
        <f t="shared" si="9"/>
        <v>258.86314</v>
      </c>
      <c r="I56" s="150">
        <f t="shared" si="10"/>
        <v>38.62569153</v>
      </c>
      <c r="J56" s="157">
        <f t="array" ref="J56">IF(F56="","",IF(ROW()=MAX(IF($C$39:$C$60=C56,ROW($C$39:$C$60),0)),MAX(0,IFERROR(VLOOKUP(C56,$A$10:$L$15,6,FALSE)-VLOOKUP(C56,$A$10:$L$15,5,FALSE),0)),0))</f>
        <v>0</v>
      </c>
      <c r="K56" s="27">
        <f t="shared" si="11"/>
        <v>19769.42125</v>
      </c>
      <c r="L56" s="152">
        <f t="shared" si="12"/>
        <v>83.18224294</v>
      </c>
      <c r="M56" s="152">
        <f t="array" ref="M56">IF(F56="","",IF(IFERROR(VLOOKUP(C56,$A$10:$M$15,13,FALSE),"")="FULL",IF(ROW()=MIN(IF($C$39:$C$60=C56,ROW($C$39:$C$60),10^9)),VLOOKUP(C56,$A$10:$M$15,11,FALSE),0),(F56-J56)/VLOOKUP(C56,$A$10:$M$15,5,FALSE)*VLOOKUP(C56,$A$10:$M$15,11,FALSE)))</f>
        <v>0</v>
      </c>
      <c r="N56" s="55">
        <f t="shared" si="13"/>
        <v>85.8</v>
      </c>
      <c r="O56" s="55"/>
    </row>
    <row r="57">
      <c r="A57" s="35">
        <v>46249.0</v>
      </c>
      <c r="B57" s="34" t="s">
        <v>250</v>
      </c>
      <c r="C57" s="34" t="s">
        <v>112</v>
      </c>
      <c r="D57" s="116">
        <f>HYPERLINK("https://drive.google.com/file/d/1Hph7FcZ1I_P_36tl8uz4j5CNlwx_CNvA/view?usp=drivesdk", 75400)</f>
        <v>75400</v>
      </c>
      <c r="E57" s="116">
        <f>HYPERLINK("https://drive.google.com/file/d/13wVUKtTTNCVB4VYJ5A-Vf1fshUH4Y4qE/view?usp=drivesdk", 29300)</f>
        <v>29300</v>
      </c>
      <c r="F57" s="65">
        <f t="shared" si="8"/>
        <v>20910.5912</v>
      </c>
      <c r="G57" s="50">
        <v>2.87</v>
      </c>
      <c r="H57" s="150">
        <f t="shared" si="9"/>
        <v>269.7466265</v>
      </c>
      <c r="I57" s="150">
        <f t="shared" si="10"/>
        <v>40.24964692</v>
      </c>
      <c r="J57" s="157">
        <f t="array" ref="J57">IF(F57="","",IF(ROW()=MAX(IF($C$39:$C$60=C57,ROW($C$39:$C$60),0)),MAX(0,IFERROR(VLOOKUP(C57,$A$10:$L$15,6,FALSE)-VLOOKUP(C57,$A$10:$L$15,5,FALSE),0)),0))</f>
        <v>0</v>
      </c>
      <c r="K57" s="27">
        <f t="shared" si="11"/>
        <v>20600.59493</v>
      </c>
      <c r="L57" s="152">
        <f t="shared" si="12"/>
        <v>86.67950722</v>
      </c>
      <c r="M57" s="152">
        <f t="array" ref="M57">IF(F57="","",IF(IFERROR(VLOOKUP(C57,$A$10:$M$15,13,FALSE),"")="FULL",IF(ROW()=MIN(IF($C$39:$C$60=C57,ROW($C$39:$C$60),10^9)),VLOOKUP(C57,$A$10:$M$15,11,FALSE),0),(F57-J57)/VLOOKUP(C57,$A$10:$M$15,5,FALSE)*VLOOKUP(C57,$A$10:$M$15,11,FALSE)))</f>
        <v>0</v>
      </c>
      <c r="N57" s="55">
        <f t="shared" si="13"/>
        <v>85.8</v>
      </c>
      <c r="O57" s="55"/>
    </row>
    <row r="58">
      <c r="A58" s="35">
        <v>46249.0</v>
      </c>
      <c r="B58" s="34" t="s">
        <v>251</v>
      </c>
      <c r="C58" s="34" t="s">
        <v>112</v>
      </c>
      <c r="D58" s="116">
        <f>HYPERLINK("https://drive.google.com/file/d/1w1YJK3J7efVUlyJ8I4UHuaU23RS6dPhV/view?usp=drivesdk", 65440)</f>
        <v>65440</v>
      </c>
      <c r="E58" s="116">
        <f>HYPERLINK("https://drive.google.com/file/d/1nkg7UfQczJe_H9-Mrp4Jmponp4VVK2Fk/view?usp=drivesdk", 29260)</f>
        <v>29260</v>
      </c>
      <c r="F58" s="65">
        <f t="shared" si="8"/>
        <v>16410.95856</v>
      </c>
      <c r="G58" s="50">
        <v>2.87</v>
      </c>
      <c r="H58" s="150">
        <f t="shared" si="9"/>
        <v>211.7013654</v>
      </c>
      <c r="I58" s="150">
        <f t="shared" si="10"/>
        <v>31.58855153</v>
      </c>
      <c r="J58" s="157">
        <f t="array" ref="J58">IF(F58="","",IF(ROW()=MAX(IF($C$39:$C$60=C58,ROW($C$39:$C$60),0)),MAX(0,IFERROR(VLOOKUP(C58,$A$10:$L$15,6,FALSE)-VLOOKUP(C58,$A$10:$L$15,5,FALSE),0)),0))</f>
        <v>0</v>
      </c>
      <c r="K58" s="27">
        <f t="shared" si="11"/>
        <v>16167.66864</v>
      </c>
      <c r="L58" s="152">
        <f t="shared" si="12"/>
        <v>68.02743105</v>
      </c>
      <c r="M58" s="152">
        <f t="array" ref="M58">IF(F58="","",IF(IFERROR(VLOOKUP(C58,$A$10:$M$15,13,FALSE),"")="FULL",IF(ROW()=MIN(IF($C$39:$C$60=C58,ROW($C$39:$C$60),10^9)),VLOOKUP(C58,$A$10:$M$15,11,FALSE),0),(F58-J58)/VLOOKUP(C58,$A$10:$M$15,5,FALSE)*VLOOKUP(C58,$A$10:$M$15,11,FALSE)))</f>
        <v>0</v>
      </c>
      <c r="N58" s="55">
        <f t="shared" si="13"/>
        <v>85.8</v>
      </c>
      <c r="O58" s="55"/>
    </row>
    <row r="59">
      <c r="A59" s="35">
        <v>46249.0</v>
      </c>
      <c r="B59" s="34" t="s">
        <v>252</v>
      </c>
      <c r="C59" s="34" t="s">
        <v>115</v>
      </c>
      <c r="D59" s="116">
        <f>HYPERLINK("https://drive.google.com/file/d/1bEDy1S88gb2pKQbNLyb6SHh8pRghQd27/view?usp=drivesdk", 72740)</f>
        <v>72740</v>
      </c>
      <c r="E59" s="116">
        <f>HYPERLINK("https://drive.google.com/file/d/1775enL5344O1w9Flvr2fWfz-pIPBwkC0/view?usp=drivesdk", 29220)</f>
        <v>29220</v>
      </c>
      <c r="F59" s="65">
        <f t="shared" si="8"/>
        <v>19740.32384</v>
      </c>
      <c r="G59" s="50">
        <v>2.87</v>
      </c>
      <c r="H59" s="150">
        <f t="shared" si="9"/>
        <v>254.6501775</v>
      </c>
      <c r="I59" s="150">
        <f t="shared" si="10"/>
        <v>37.99706364</v>
      </c>
      <c r="J59" s="157">
        <f t="array" ref="J59">IF(F59="","",IF(ROW()=MAX(IF($C$39:$C$60=C59,ROW($C$39:$C$60),0)),MAX(0,IFERROR(VLOOKUP(C59,$A$10:$L$15,6,FALSE)-VLOOKUP(C59,$A$10:$L$15,5,FALSE),0)),0))</f>
        <v>0</v>
      </c>
      <c r="K59" s="27">
        <f t="shared" si="11"/>
        <v>19447.6766</v>
      </c>
      <c r="L59" s="152">
        <f t="shared" si="12"/>
        <v>81.48284191</v>
      </c>
      <c r="M59" s="152">
        <f t="array" ref="M59">IF(F59="","",IF(IFERROR(VLOOKUP(C59,$A$10:$M$15,13,FALSE),"")="FULL",IF(ROW()=MIN(IF($C$39:$C$60=C59,ROW($C$39:$C$60),10^9)),VLOOKUP(C59,$A$10:$M$15,11,FALSE),0),(F59-J59)/VLOOKUP(C59,$A$10:$M$15,5,FALSE)*VLOOKUP(C59,$A$10:$M$15,11,FALSE)))</f>
        <v>555.5992848</v>
      </c>
      <c r="N59" s="55">
        <f t="shared" si="13"/>
        <v>85.8</v>
      </c>
      <c r="O59" s="55"/>
    </row>
    <row r="60">
      <c r="A60" s="35">
        <v>46249.0</v>
      </c>
      <c r="B60" s="34" t="s">
        <v>253</v>
      </c>
      <c r="C60" s="34" t="s">
        <v>115</v>
      </c>
      <c r="D60" s="116">
        <f>HYPERLINK("https://drive.google.com/file/d/1GsLmpKZuqICPLpPslJQX9cSVW2gcImme/view?usp=drivesdk", 71760)</f>
        <v>71760</v>
      </c>
      <c r="E60" s="116">
        <f>HYPERLINK("https://drive.google.com/file/d/1-FIY4oK4p6njGTMKQtZ1q_-TMmCE3ZSO/view?usp=drivesdk", 28800)</f>
        <v>28800</v>
      </c>
      <c r="F60" s="65">
        <f t="shared" si="8"/>
        <v>19486.31232</v>
      </c>
      <c r="G60" s="50">
        <v>2.87</v>
      </c>
      <c r="H60" s="150">
        <f t="shared" si="9"/>
        <v>251.3734289</v>
      </c>
      <c r="I60" s="150">
        <f t="shared" si="10"/>
        <v>37.50813084</v>
      </c>
      <c r="J60" s="157">
        <f t="array" ref="J60">IF(F60="","",IF(ROW()=MAX(IF($C$39:$C$60=C60,ROW($C$39:$C$60),0)),MAX(0,IFERROR(VLOOKUP(C60,$A$10:$L$15,6,FALSE)-VLOOKUP(C60,$A$10:$L$15,5,FALSE),0)),0))</f>
        <v>0</v>
      </c>
      <c r="K60" s="27">
        <f t="shared" si="11"/>
        <v>19197.43076</v>
      </c>
      <c r="L60" s="152">
        <f t="shared" si="12"/>
        <v>80.43434946</v>
      </c>
      <c r="M60" s="152">
        <f t="array" ref="M60">IF(F60="","",IF(IFERROR(VLOOKUP(C60,$A$10:$M$15,13,FALSE),"")="FULL",IF(ROW()=MIN(IF($C$39:$C$60=C60,ROW($C$39:$C$60),10^9)),VLOOKUP(C60,$A$10:$M$15,11,FALSE),0),(F60-J60)/VLOOKUP(C60,$A$10:$M$15,5,FALSE)*VLOOKUP(C60,$A$10:$M$15,11,FALSE)))</f>
        <v>548.4500293</v>
      </c>
      <c r="N60" s="55">
        <f t="shared" si="13"/>
        <v>85.8</v>
      </c>
      <c r="O60" s="55"/>
    </row>
    <row r="61">
      <c r="A61" s="3" t="s">
        <v>254</v>
      </c>
      <c r="D61" s="12"/>
      <c r="E61" s="12"/>
      <c r="F61" s="12"/>
      <c r="G61" s="32"/>
      <c r="L61" s="12">
        <f t="shared" ref="L61:N61" si="14">SUM(L39:L60)</f>
        <v>1757.472825</v>
      </c>
      <c r="M61" s="12">
        <f t="shared" si="14"/>
        <v>12099.04931</v>
      </c>
      <c r="N61" s="12">
        <f t="shared" si="14"/>
        <v>1887.6</v>
      </c>
    </row>
    <row r="62">
      <c r="A62" s="22"/>
    </row>
    <row r="63">
      <c r="A63" s="158" t="s">
        <v>255</v>
      </c>
      <c r="B63" s="159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</row>
    <row r="64">
      <c r="A64" s="4" t="s">
        <v>256</v>
      </c>
      <c r="B64" s="4" t="s">
        <v>257</v>
      </c>
      <c r="C64" s="4" t="s">
        <v>258</v>
      </c>
      <c r="D64" s="4" t="s">
        <v>259</v>
      </c>
      <c r="E64" s="4" t="s">
        <v>22</v>
      </c>
      <c r="F64" s="4" t="s">
        <v>24</v>
      </c>
      <c r="G64" s="4" t="s">
        <v>25</v>
      </c>
      <c r="H64" s="4" t="s">
        <v>48</v>
      </c>
      <c r="I64" s="4"/>
      <c r="N64" s="3" t="s">
        <v>85</v>
      </c>
    </row>
    <row r="65">
      <c r="A65" s="12">
        <f>SUM(I10:I15)</f>
        <v>423710.2662</v>
      </c>
      <c r="B65" s="54">
        <f>SUM(F39:F60)</f>
        <v>423710.2662</v>
      </c>
      <c r="C65" s="12">
        <f>SUM(J39:J60)</f>
        <v>148.34336</v>
      </c>
      <c r="D65" s="54">
        <f>B65-C65</f>
        <v>423561.9229</v>
      </c>
      <c r="E65" s="12">
        <f t="shared" ref="E65:F65" si="15">SUM(H39:H60)</f>
        <v>5463.948805</v>
      </c>
      <c r="F65" s="12">
        <f t="shared" si="15"/>
        <v>815.2910494</v>
      </c>
      <c r="G65" s="12">
        <f>SUM(K39:K60)</f>
        <v>417282.683</v>
      </c>
      <c r="H65" s="43">
        <f>IFERROR(AVERAGE(G39:G60),"")</f>
        <v>2.87</v>
      </c>
      <c r="N65" s="43" t="str">
        <f>IFERROR(__xludf.DUMMYFUNCTION("TRIM(TEXTJOIN("", "",TRUE,IFERROR(FILTER(B19:B36,B19:B36&lt;&gt;""""),"""")))"),"2436-R, 2437-R, 2438-R, 2427-R, 2428-R, 2429-R, 2433-R, 2434-R, 2435-R, 2405-R, 2439-R, 2440-R, 2406-R, 2407-R, 2408-R, 2418-R, 2419-R, 2423-R")</f>
        <v>2436-R, 2437-R, 2438-R, 2427-R, 2428-R, 2429-R, 2433-R, 2434-R, 2435-R, 2405-R, 2439-R, 2440-R, 2406-R, 2407-R, 2408-R, 2418-R, 2419-R, 2423-R</v>
      </c>
    </row>
    <row r="66">
      <c r="A66" s="22"/>
    </row>
    <row r="68">
      <c r="A68" s="22"/>
    </row>
    <row r="69">
      <c r="A69" s="22"/>
    </row>
    <row r="70">
      <c r="A70" s="22"/>
      <c r="E70" s="3" t="s">
        <v>121</v>
      </c>
    </row>
    <row r="71">
      <c r="A71" s="22"/>
    </row>
    <row r="72">
      <c r="A72" s="22"/>
    </row>
    <row r="73">
      <c r="A73" s="2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3" t="s">
        <v>6</v>
      </c>
      <c r="K2" s="4" t="s">
        <v>8</v>
      </c>
    </row>
    <row r="3">
      <c r="A3" s="3" t="s">
        <v>7</v>
      </c>
      <c r="B3" s="5">
        <v>46242.0</v>
      </c>
      <c r="K3" s="4" t="s">
        <v>10</v>
      </c>
      <c r="L3" s="6">
        <v>2.20462</v>
      </c>
    </row>
    <row r="4">
      <c r="A4" s="3" t="s">
        <v>9</v>
      </c>
      <c r="B4" s="5">
        <v>46249.0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19</v>
      </c>
      <c r="L7" s="6">
        <v>0.795241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1" t="s">
        <v>23</v>
      </c>
      <c r="L8" s="8">
        <v>7.84</v>
      </c>
      <c r="M8" s="10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7"/>
      <c r="B9" s="13" t="s">
        <v>31</v>
      </c>
      <c r="D9" s="13" t="s">
        <v>33</v>
      </c>
      <c r="F9" s="13" t="s">
        <v>34</v>
      </c>
      <c r="G9" s="7"/>
      <c r="H9" s="7"/>
      <c r="I9" s="7"/>
      <c r="J9" s="14"/>
      <c r="K9" s="4" t="s">
        <v>35</v>
      </c>
      <c r="L9" s="9"/>
      <c r="M9" s="9"/>
    </row>
    <row r="10">
      <c r="A10" s="13" t="s">
        <v>36</v>
      </c>
      <c r="B10" s="13" t="s">
        <v>37</v>
      </c>
      <c r="C10" s="15" t="s">
        <v>40</v>
      </c>
      <c r="D10" s="17" t="s">
        <v>42</v>
      </c>
      <c r="E10" s="15" t="s">
        <v>47</v>
      </c>
      <c r="F10" s="17" t="s">
        <v>49</v>
      </c>
      <c r="G10" s="18" t="s">
        <v>51</v>
      </c>
      <c r="H10" s="20" t="s">
        <v>52</v>
      </c>
      <c r="I10" s="16" t="s">
        <v>54</v>
      </c>
      <c r="J10" s="16" t="s">
        <v>55</v>
      </c>
      <c r="K10" s="3" t="s">
        <v>56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24"/>
      <c r="B11" s="25"/>
      <c r="C11" s="25"/>
      <c r="D11" s="27"/>
      <c r="E11" s="25"/>
      <c r="F11" s="27"/>
      <c r="G11" s="28"/>
      <c r="H11" s="29"/>
      <c r="I11" s="27"/>
      <c r="J11" s="30"/>
      <c r="K11" s="31">
        <v>45962.0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A12" s="24"/>
      <c r="B12" s="25"/>
      <c r="C12" s="25"/>
      <c r="D12" s="27"/>
      <c r="E12" s="25"/>
      <c r="F12" s="27"/>
      <c r="G12" s="28"/>
      <c r="H12" s="29"/>
      <c r="I12" s="27"/>
      <c r="J12" s="30"/>
      <c r="K12" s="31">
        <v>45992.0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A13" s="24"/>
      <c r="B13" s="25"/>
      <c r="C13" s="25"/>
      <c r="D13" s="27"/>
      <c r="E13" s="25"/>
      <c r="F13" s="27"/>
      <c r="G13" s="28"/>
      <c r="H13" s="29"/>
      <c r="I13" s="27"/>
      <c r="J13" s="30"/>
      <c r="K13" s="31">
        <v>46023.0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A14" s="24"/>
      <c r="B14" s="25"/>
      <c r="C14" s="25"/>
      <c r="D14" s="27"/>
      <c r="E14" s="25"/>
      <c r="F14" s="27"/>
      <c r="G14" s="28"/>
      <c r="H14" s="29"/>
      <c r="I14" s="27"/>
      <c r="J14" s="30"/>
      <c r="K14" s="31">
        <v>46054.0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A15" s="24"/>
      <c r="B15" s="25"/>
      <c r="C15" s="25"/>
      <c r="D15" s="27"/>
      <c r="E15" s="25"/>
      <c r="F15" s="27"/>
      <c r="G15" s="28"/>
      <c r="H15" s="29"/>
      <c r="I15" s="27"/>
      <c r="J15" s="30"/>
      <c r="K15" s="31">
        <v>46082.0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A16" s="24"/>
      <c r="B16" s="25"/>
      <c r="C16" s="25"/>
      <c r="D16" s="27"/>
      <c r="E16" s="25"/>
      <c r="F16" s="27"/>
      <c r="G16" s="28"/>
      <c r="H16" s="29"/>
      <c r="I16" s="27"/>
      <c r="J16" s="30"/>
      <c r="K16" s="31">
        <v>46113.0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A17" s="24"/>
      <c r="B17" s="25"/>
      <c r="C17" s="25"/>
      <c r="D17" s="27"/>
      <c r="E17" s="25"/>
      <c r="F17" s="27"/>
      <c r="G17" s="28"/>
      <c r="H17" s="29"/>
      <c r="I17" s="27"/>
      <c r="J17" s="30"/>
      <c r="K17" s="31">
        <v>46143.0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A18" s="24"/>
      <c r="B18" s="25"/>
      <c r="C18" s="25"/>
      <c r="D18" s="27"/>
      <c r="E18" s="25"/>
      <c r="F18" s="27"/>
      <c r="G18" s="28"/>
      <c r="H18" s="29"/>
      <c r="I18" s="27"/>
      <c r="J18" s="30"/>
      <c r="K18" s="31">
        <v>46174.0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A19" s="24"/>
      <c r="B19" s="25"/>
      <c r="C19" s="25"/>
      <c r="D19" s="27"/>
      <c r="E19" s="25"/>
      <c r="F19" s="27"/>
      <c r="G19" s="28"/>
      <c r="H19" s="29"/>
      <c r="I19" s="27"/>
      <c r="J19" s="30"/>
      <c r="K19" s="3" t="s">
        <v>86</v>
      </c>
      <c r="L19" s="43">
        <f>$L$7</f>
        <v>0.795241</v>
      </c>
    </row>
    <row r="20">
      <c r="A20" s="24"/>
      <c r="B20" s="25"/>
      <c r="C20" s="25"/>
      <c r="D20" s="27"/>
      <c r="E20" s="25"/>
      <c r="F20" s="27"/>
      <c r="G20" s="28"/>
      <c r="H20" s="29"/>
      <c r="I20" s="27"/>
      <c r="J20" s="30"/>
    </row>
    <row r="21">
      <c r="A21" s="24"/>
      <c r="B21" s="25"/>
      <c r="C21" s="25"/>
      <c r="D21" s="27"/>
      <c r="E21" s="25"/>
      <c r="F21" s="27"/>
      <c r="G21" s="28"/>
      <c r="H21" s="29"/>
      <c r="I21" s="27"/>
      <c r="J21" s="30"/>
    </row>
    <row r="22">
      <c r="A22" s="24"/>
      <c r="B22" s="25"/>
      <c r="C22" s="25"/>
      <c r="D22" s="27"/>
      <c r="E22" s="25"/>
      <c r="F22" s="27"/>
      <c r="G22" s="28"/>
      <c r="H22" s="29"/>
      <c r="I22" s="27"/>
      <c r="J22" s="30"/>
    </row>
    <row r="23">
      <c r="A23" s="24"/>
      <c r="B23" s="25"/>
      <c r="C23" s="25"/>
      <c r="D23" s="27"/>
      <c r="E23" s="25"/>
      <c r="F23" s="27"/>
      <c r="G23" s="28"/>
      <c r="H23" s="29"/>
      <c r="I23" s="27"/>
      <c r="J23" s="30"/>
    </row>
    <row r="24">
      <c r="A24" s="24"/>
      <c r="B24" s="25"/>
      <c r="C24" s="25"/>
      <c r="D24" s="27"/>
      <c r="E24" s="25"/>
      <c r="F24" s="27"/>
      <c r="G24" s="28"/>
      <c r="H24" s="29"/>
      <c r="I24" s="27"/>
      <c r="J24" s="30"/>
    </row>
    <row r="25">
      <c r="A25" s="45"/>
      <c r="B25" s="45"/>
      <c r="C25" s="25"/>
      <c r="D25" s="27"/>
      <c r="E25" s="44"/>
      <c r="F25" s="27"/>
      <c r="G25" s="28"/>
      <c r="H25" s="46"/>
      <c r="I25" s="47"/>
      <c r="J25" s="47"/>
    </row>
    <row r="26">
      <c r="A26" s="45"/>
      <c r="B26" s="45"/>
      <c r="C26" s="25"/>
      <c r="D26" s="27"/>
      <c r="E26" s="44"/>
      <c r="F26" s="27"/>
      <c r="G26" s="28"/>
      <c r="H26" s="48"/>
      <c r="I26" s="47"/>
      <c r="J26" s="47"/>
    </row>
    <row r="27">
      <c r="A27" s="45"/>
      <c r="B27" s="45"/>
      <c r="C27" s="25"/>
      <c r="D27" s="27"/>
      <c r="E27" s="44"/>
      <c r="F27" s="27"/>
      <c r="G27" s="28"/>
      <c r="H27" s="50"/>
      <c r="I27" s="47"/>
      <c r="J27" s="47"/>
    </row>
    <row r="28">
      <c r="C28" s="12"/>
      <c r="D28" s="12"/>
      <c r="E28" s="36"/>
      <c r="F28" s="12"/>
      <c r="G28" s="53"/>
      <c r="H28" s="32"/>
    </row>
    <row r="29">
      <c r="A29" s="3" t="s">
        <v>87</v>
      </c>
      <c r="B29" s="12">
        <f t="shared" ref="B29:F29" si="1">SUM(B11:B27)</f>
        <v>0</v>
      </c>
      <c r="C29" s="12">
        <f t="shared" si="1"/>
        <v>0</v>
      </c>
      <c r="D29" s="12">
        <f t="shared" si="1"/>
        <v>0</v>
      </c>
      <c r="E29" s="36">
        <f t="shared" si="1"/>
        <v>0</v>
      </c>
      <c r="F29" s="12">
        <f t="shared" si="1"/>
        <v>0</v>
      </c>
      <c r="G29" s="53"/>
      <c r="H29" s="32" t="str">
        <f>IFERROR(SUMPRODUCT(D11:D27,H11:H27)/SUMIF(H11:H27,"&lt;&gt;",D11:D27),"")</f>
        <v/>
      </c>
      <c r="I29" s="12">
        <f t="shared" ref="I29:J29" si="2">SUM(I11:I27)</f>
        <v>0</v>
      </c>
      <c r="J29" s="56">
        <f t="shared" si="2"/>
        <v>0</v>
      </c>
    </row>
    <row r="30">
      <c r="C30" s="12"/>
      <c r="D30" s="12"/>
      <c r="E30" s="12"/>
      <c r="F30" s="12"/>
      <c r="G30" s="53"/>
      <c r="H30" s="32"/>
    </row>
    <row r="31">
      <c r="A31" s="1" t="s">
        <v>103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104</v>
      </c>
      <c r="B32" s="4" t="s">
        <v>105</v>
      </c>
      <c r="C32" s="4" t="s">
        <v>67</v>
      </c>
      <c r="D32" s="4" t="s">
        <v>106</v>
      </c>
      <c r="E32" s="4"/>
      <c r="F32" s="4"/>
      <c r="G32" s="4"/>
      <c r="H32" s="4"/>
      <c r="I32" s="9"/>
      <c r="J32" s="9"/>
      <c r="K32" s="9"/>
      <c r="L32" s="9"/>
      <c r="M32" s="9"/>
      <c r="N32" s="9"/>
      <c r="O32" s="9"/>
    </row>
    <row r="33">
      <c r="A33" s="12">
        <f>B29</f>
        <v>0</v>
      </c>
      <c r="B33" s="12">
        <f>SUM(D11:D27)</f>
        <v>0</v>
      </c>
      <c r="C33" s="12" t="str">
        <f>IF(D33=0,"",B33-D33)</f>
        <v/>
      </c>
      <c r="D33" s="12">
        <f>SUM(F11:F27)</f>
        <v>0</v>
      </c>
      <c r="E33" s="12"/>
      <c r="F33" s="32"/>
      <c r="G33" s="32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8</v>
      </c>
    </row>
    <row r="3">
      <c r="A3" s="3" t="s">
        <v>7</v>
      </c>
      <c r="B3" s="5">
        <v>46242.0</v>
      </c>
      <c r="K3" s="4" t="s">
        <v>10</v>
      </c>
      <c r="L3" s="6">
        <v>2.20462</v>
      </c>
    </row>
    <row r="4">
      <c r="A4" s="3" t="s">
        <v>9</v>
      </c>
      <c r="B4" s="5">
        <v>46249.0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29</v>
      </c>
      <c r="L7" s="11">
        <f>HYPERLINK("https://docs.google.com/spreadsheets/d/16shKoa1KP34kQJyQvzclBejW9L5-ubNSqPsMOVB7zDY/edit?usp=sharing", 0.00195)</f>
        <v>0.00195</v>
      </c>
    </row>
    <row r="8">
      <c r="A8" s="1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38</v>
      </c>
      <c r="B9" s="4" t="s">
        <v>39</v>
      </c>
      <c r="C9" s="16" t="s">
        <v>41</v>
      </c>
      <c r="D9" s="16" t="s">
        <v>43</v>
      </c>
      <c r="E9" s="4" t="s">
        <v>44</v>
      </c>
      <c r="F9" s="4" t="s">
        <v>45</v>
      </c>
      <c r="G9" s="16" t="s">
        <v>46</v>
      </c>
      <c r="H9" s="4" t="s">
        <v>48</v>
      </c>
      <c r="I9" s="4" t="s">
        <v>50</v>
      </c>
      <c r="J9" s="4" t="s">
        <v>22</v>
      </c>
      <c r="K9" s="4" t="s">
        <v>24</v>
      </c>
      <c r="L9" s="4" t="s">
        <v>25</v>
      </c>
      <c r="M9" s="4" t="s">
        <v>53</v>
      </c>
      <c r="N9" s="9"/>
    </row>
    <row r="10">
      <c r="A10" s="21"/>
      <c r="B10" s="22"/>
      <c r="C10" s="26"/>
      <c r="D10" s="26"/>
      <c r="E10" s="12"/>
      <c r="F10" s="12"/>
      <c r="G10" s="26"/>
      <c r="H10" s="32"/>
    </row>
    <row r="11">
      <c r="A11" s="21"/>
      <c r="B11" s="22"/>
      <c r="C11" s="26"/>
      <c r="D11" s="26"/>
      <c r="E11" s="12"/>
      <c r="F11" s="12"/>
      <c r="G11" s="26"/>
      <c r="H11" s="32"/>
    </row>
    <row r="12">
      <c r="A12" s="21"/>
      <c r="B12" s="22"/>
      <c r="C12" s="26"/>
      <c r="D12" s="26"/>
      <c r="E12" s="12"/>
      <c r="F12" s="12"/>
      <c r="G12" s="26"/>
      <c r="H12" s="32"/>
    </row>
    <row r="13">
      <c r="A13" s="21"/>
      <c r="B13" s="22"/>
      <c r="C13" s="26"/>
      <c r="D13" s="26"/>
      <c r="E13" s="12"/>
      <c r="F13" s="12"/>
      <c r="G13" s="26"/>
      <c r="H13" s="32"/>
    </row>
    <row r="14">
      <c r="A14" s="21"/>
      <c r="B14" s="22"/>
      <c r="C14" s="26"/>
      <c r="D14" s="26"/>
      <c r="E14" s="12"/>
      <c r="F14" s="12"/>
      <c r="G14" s="26"/>
      <c r="H14" s="32"/>
    </row>
    <row r="15">
      <c r="A15" s="21"/>
      <c r="C15" s="26"/>
      <c r="D15" s="26"/>
      <c r="E15" s="12"/>
      <c r="F15" s="12"/>
      <c r="G15" s="26"/>
      <c r="H15" s="32"/>
    </row>
    <row r="16">
      <c r="A16" s="22"/>
      <c r="C16" s="36"/>
      <c r="D16" s="36"/>
      <c r="E16" s="12"/>
      <c r="F16" s="12"/>
      <c r="G16" s="36"/>
      <c r="H16" s="32"/>
    </row>
    <row r="17">
      <c r="A17" s="22"/>
      <c r="C17" s="36"/>
      <c r="D17" s="36"/>
      <c r="E17" s="12"/>
      <c r="F17" s="12"/>
      <c r="G17" s="36"/>
      <c r="H17" s="32"/>
    </row>
    <row r="18">
      <c r="A18" s="22"/>
      <c r="C18" s="36"/>
      <c r="D18" s="36"/>
      <c r="E18" s="12"/>
      <c r="F18" s="12"/>
      <c r="G18" s="36"/>
      <c r="H18" s="32"/>
    </row>
    <row r="19">
      <c r="A19" s="22"/>
      <c r="C19" s="36"/>
      <c r="D19" s="36"/>
      <c r="E19" s="12"/>
      <c r="F19" s="12"/>
      <c r="G19" s="36"/>
      <c r="H19" s="32"/>
    </row>
    <row r="20">
      <c r="A20" s="22"/>
      <c r="C20" s="36"/>
      <c r="D20" s="36"/>
      <c r="E20" s="12"/>
      <c r="F20" s="12"/>
      <c r="G20" s="36"/>
      <c r="H20" s="32"/>
    </row>
    <row r="21">
      <c r="A21" s="22"/>
      <c r="C21" s="36"/>
      <c r="D21" s="36"/>
      <c r="E21" s="12"/>
      <c r="F21" s="12"/>
      <c r="G21" s="36"/>
      <c r="H21" s="32"/>
    </row>
    <row r="22">
      <c r="A22" s="22"/>
      <c r="C22" s="36"/>
      <c r="D22" s="36"/>
      <c r="E22" s="12"/>
      <c r="F22" s="12"/>
      <c r="G22" s="36"/>
      <c r="H22" s="32"/>
    </row>
    <row r="23">
      <c r="A23" s="22"/>
      <c r="C23" s="36"/>
      <c r="D23" s="36"/>
      <c r="E23" s="12"/>
      <c r="F23" s="12"/>
      <c r="G23" s="36"/>
      <c r="H23" s="32"/>
    </row>
    <row r="24">
      <c r="A24" s="22"/>
      <c r="C24" s="36"/>
      <c r="D24" s="36"/>
      <c r="E24" s="12"/>
      <c r="F24" s="12"/>
      <c r="G24" s="36"/>
      <c r="H24" s="32"/>
    </row>
    <row r="25">
      <c r="A25" s="22"/>
      <c r="C25" s="12"/>
      <c r="D25" s="12"/>
      <c r="E25" s="12"/>
      <c r="F25" s="12"/>
      <c r="G25" s="12"/>
      <c r="H25" s="32"/>
    </row>
    <row r="26">
      <c r="A26" s="1" t="s">
        <v>78</v>
      </c>
      <c r="B26" s="2"/>
      <c r="C26" s="39"/>
      <c r="D26" s="39"/>
      <c r="E26" s="39"/>
      <c r="F26" s="39"/>
      <c r="G26" s="39"/>
      <c r="H26" s="40"/>
      <c r="I26" s="2"/>
      <c r="J26" s="2"/>
      <c r="K26" s="2"/>
      <c r="L26" s="2"/>
      <c r="M26" s="2"/>
      <c r="N26" s="2"/>
    </row>
    <row r="27">
      <c r="A27" s="4" t="s">
        <v>80</v>
      </c>
      <c r="B27" s="4" t="s">
        <v>81</v>
      </c>
      <c r="C27" s="41" t="s">
        <v>20</v>
      </c>
      <c r="D27" s="41" t="s">
        <v>22</v>
      </c>
      <c r="E27" s="41" t="s">
        <v>24</v>
      </c>
      <c r="F27" s="41" t="s">
        <v>82</v>
      </c>
      <c r="G27" s="41" t="s">
        <v>25</v>
      </c>
      <c r="H27" s="42" t="s">
        <v>48</v>
      </c>
      <c r="I27" s="4" t="s">
        <v>83</v>
      </c>
      <c r="J27" s="4"/>
      <c r="K27" s="4" t="s">
        <v>85</v>
      </c>
      <c r="L27" s="9"/>
      <c r="M27" s="9"/>
      <c r="N27" s="9"/>
    </row>
    <row r="28">
      <c r="A28" s="22">
        <f>SUMIFS(D10:D24,B10:B24,"&lt;&gt;")</f>
        <v>0</v>
      </c>
      <c r="B28" s="12">
        <f>SUMIFS(G10:G24,B10:B24,"&lt;&gt;")</f>
        <v>0</v>
      </c>
      <c r="C28" s="19">
        <f>A28</f>
        <v>0</v>
      </c>
      <c r="D28" s="12">
        <f>C28*$L$5</f>
        <v>0</v>
      </c>
      <c r="E28" s="37">
        <f>(C28-D28)*$L$7</f>
        <v>0</v>
      </c>
      <c r="F28" s="52">
        <v>0.0</v>
      </c>
      <c r="G28" s="32">
        <f>C28-D28-E28-F28</f>
        <v>0</v>
      </c>
      <c r="H28" s="32" t="str">
        <f>IFERROR(AVERAGE(H10:H24),"")</f>
        <v/>
      </c>
      <c r="I28" s="43" t="str">
        <f>IFERROR(SUMPRODUCT(L10:L24,M10:M24)/SUM(L10:L24),"")</f>
        <v/>
      </c>
      <c r="K28" s="43" t="str">
        <f>IFERROR(__xludf.DUMMYFUNCTION("TRIM(TEXTJOIN("", "",TRUE,IFERROR(FILTER(B10:B24,B10:B24&lt;&gt;""""),"""")))"),"")</f>
        <v/>
      </c>
    </row>
    <row r="29">
      <c r="A29" s="22"/>
      <c r="C29" s="12"/>
      <c r="D29" s="12"/>
      <c r="E29" s="12"/>
      <c r="F29" s="12"/>
      <c r="G29" s="12"/>
      <c r="H29" s="32"/>
    </row>
    <row r="30">
      <c r="A30" s="22"/>
      <c r="C30" s="12"/>
      <c r="D30" s="12"/>
      <c r="E30" s="12"/>
      <c r="F30" s="12"/>
      <c r="G30" s="12"/>
      <c r="H30" s="32"/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3" t="s">
        <v>6</v>
      </c>
      <c r="L2" s="4"/>
      <c r="N2" s="3" t="s">
        <v>8</v>
      </c>
    </row>
    <row r="3">
      <c r="A3" s="3" t="s">
        <v>7</v>
      </c>
      <c r="B3" s="5">
        <v>46242.0</v>
      </c>
      <c r="L3" s="4"/>
      <c r="N3" s="3" t="s">
        <v>10</v>
      </c>
      <c r="O3" s="6">
        <v>2.20462</v>
      </c>
    </row>
    <row r="4">
      <c r="A4" s="3" t="s">
        <v>9</v>
      </c>
      <c r="B4" s="5">
        <v>46249.0</v>
      </c>
      <c r="L4" s="4"/>
      <c r="N4" s="3" t="s">
        <v>12</v>
      </c>
      <c r="O4" s="6">
        <v>0.453592</v>
      </c>
    </row>
    <row r="5">
      <c r="L5" s="4"/>
      <c r="N5" s="3" t="s">
        <v>122</v>
      </c>
      <c r="O5" s="66">
        <f>HYPERLINK("https://drive.google.com/file/d/1twIf0H9Ma4crVsPgD0Iq6eFDwxQIC-ni/view",0.00071)</f>
        <v>0.00071</v>
      </c>
    </row>
    <row r="6">
      <c r="L6" s="4"/>
      <c r="N6" s="3" t="s">
        <v>15</v>
      </c>
      <c r="O6" s="3" t="s">
        <v>16</v>
      </c>
    </row>
    <row r="7">
      <c r="N7" s="3" t="s">
        <v>98</v>
      </c>
      <c r="O7" s="6">
        <v>0.004</v>
      </c>
    </row>
    <row r="8">
      <c r="A8" s="1" t="s">
        <v>124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8"/>
      <c r="P8" s="2"/>
    </row>
    <row r="9">
      <c r="A9" s="4" t="s">
        <v>38</v>
      </c>
      <c r="B9" s="16" t="s">
        <v>125</v>
      </c>
      <c r="C9" s="16" t="s">
        <v>126</v>
      </c>
      <c r="D9" s="16" t="s">
        <v>127</v>
      </c>
      <c r="E9" s="4" t="s">
        <v>128</v>
      </c>
      <c r="F9" s="4" t="s">
        <v>129</v>
      </c>
      <c r="G9" s="16" t="s">
        <v>48</v>
      </c>
      <c r="H9" s="4" t="s">
        <v>50</v>
      </c>
      <c r="I9" s="4" t="s">
        <v>53</v>
      </c>
      <c r="J9" s="4" t="s">
        <v>97</v>
      </c>
      <c r="K9" s="4" t="s">
        <v>130</v>
      </c>
      <c r="L9" s="4"/>
      <c r="M9" s="4"/>
      <c r="N9" s="4"/>
    </row>
    <row r="10">
      <c r="A10" s="5">
        <v>46246.0</v>
      </c>
      <c r="B10" s="69">
        <f>HYPERLINK("https://drive.google.com/file/d/1m9mO3zsWev11uDcj8vPgfnfxG6qaTvWE/view?usp=drivesdk", 58480)</f>
        <v>58480</v>
      </c>
      <c r="C10" s="69">
        <f>HYPERLINK("https://drive.google.com/file/d/1UpTCf72W2-HKAg0Vp1n7tw1I92xC3NuU/view?usp=drivesdk", 34340)</f>
        <v>34340</v>
      </c>
      <c r="D10" s="26">
        <f>IF(B10="","",(B10-C10)*$O$4)</f>
        <v>10949.71088</v>
      </c>
      <c r="E10" s="12">
        <f>D10</f>
        <v>10949.71088</v>
      </c>
      <c r="F10" s="12">
        <f>IF(E10="","",E10*(1-$O$5))</f>
        <v>10941.93659</v>
      </c>
      <c r="G10" s="26">
        <v>2.87</v>
      </c>
      <c r="H10" s="3" t="s">
        <v>133</v>
      </c>
      <c r="I10" s="57">
        <v>0.538</v>
      </c>
      <c r="J10" s="78">
        <f>I10*$O$7</f>
        <v>0.002152</v>
      </c>
      <c r="K10" s="3">
        <v>72.57</v>
      </c>
    </row>
    <row r="11">
      <c r="A11" s="5"/>
      <c r="B11" s="26"/>
      <c r="C11" s="26"/>
      <c r="D11" s="26"/>
      <c r="E11" s="12"/>
      <c r="F11" s="12"/>
      <c r="G11" s="26"/>
    </row>
    <row r="12">
      <c r="A12" s="5"/>
      <c r="B12" s="26"/>
      <c r="C12" s="26"/>
      <c r="D12" s="26"/>
      <c r="E12" s="12"/>
      <c r="F12" s="12"/>
      <c r="G12" s="26"/>
    </row>
    <row r="13">
      <c r="A13" s="5"/>
      <c r="B13" s="26"/>
      <c r="C13" s="26"/>
      <c r="D13" s="26"/>
      <c r="E13" s="12"/>
      <c r="F13" s="12"/>
      <c r="G13" s="26"/>
    </row>
    <row r="14">
      <c r="B14" s="12"/>
      <c r="C14" s="12"/>
      <c r="D14" s="12"/>
      <c r="E14" s="12"/>
      <c r="F14" s="12"/>
      <c r="G14" s="12"/>
    </row>
    <row r="15">
      <c r="A15" s="1"/>
      <c r="B15" s="2"/>
      <c r="C15" s="39"/>
      <c r="D15" s="39"/>
      <c r="E15" s="39"/>
      <c r="F15" s="39"/>
      <c r="G15" s="39"/>
      <c r="H15" s="39"/>
      <c r="I15" s="39"/>
      <c r="J15" s="2"/>
      <c r="K15" s="2"/>
      <c r="L15" s="2"/>
      <c r="M15" s="2"/>
      <c r="N15" s="2"/>
      <c r="O15" s="2"/>
      <c r="P15" s="2"/>
    </row>
    <row r="16">
      <c r="A16" s="4"/>
      <c r="B16" s="4"/>
      <c r="C16" s="41"/>
      <c r="D16" s="41"/>
      <c r="E16" s="41"/>
      <c r="F16" s="41"/>
      <c r="G16" s="41"/>
      <c r="H16" s="41"/>
      <c r="I16" s="41"/>
      <c r="J16" s="4"/>
      <c r="K16" s="9"/>
      <c r="L16" s="9"/>
      <c r="M16" s="9"/>
      <c r="N16" s="9"/>
      <c r="O16" s="9"/>
      <c r="P16" s="9"/>
    </row>
    <row r="17">
      <c r="A17" s="12"/>
      <c r="B17" s="12"/>
      <c r="C17" s="19"/>
      <c r="D17" s="19"/>
      <c r="E17" s="19"/>
      <c r="F17" s="12"/>
      <c r="G17" s="37"/>
      <c r="H17" s="37"/>
      <c r="I17" s="12"/>
    </row>
    <row r="18">
      <c r="C18" s="12"/>
      <c r="D18" s="12"/>
      <c r="E18" s="12"/>
      <c r="F18" s="12"/>
      <c r="G18" s="12"/>
      <c r="H18" s="12"/>
      <c r="I18" s="12"/>
    </row>
    <row r="19">
      <c r="C19" s="12"/>
      <c r="D19" s="12"/>
      <c r="E19" s="12"/>
      <c r="F19" s="12"/>
      <c r="G19" s="12"/>
      <c r="H19" s="12"/>
      <c r="I19" s="12"/>
    </row>
    <row r="20">
      <c r="A20" s="3" t="s">
        <v>103</v>
      </c>
    </row>
    <row r="21">
      <c r="A21" s="3" t="s">
        <v>152</v>
      </c>
      <c r="B21" s="3" t="s">
        <v>24</v>
      </c>
      <c r="C21" s="3" t="s">
        <v>25</v>
      </c>
      <c r="D21" s="3" t="s">
        <v>48</v>
      </c>
    </row>
    <row r="22">
      <c r="A22" s="43">
        <f>SUMIFS(E10:E18,A10:A18,"&lt;&gt;")</f>
        <v>10949.71088</v>
      </c>
      <c r="B22" s="43">
        <f>A22*$O$5</f>
        <v>7.774294725</v>
      </c>
      <c r="C22" s="43">
        <f>A22-B22</f>
        <v>10941.93659</v>
      </c>
      <c r="D22" s="43">
        <f>IFERROR(AVERAGE(G10:G18),"")</f>
        <v>2.87</v>
      </c>
    </row>
    <row r="32">
      <c r="C32" s="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8</v>
      </c>
      <c r="M2" s="67" t="s">
        <v>48</v>
      </c>
      <c r="N2" s="68">
        <v>2.91</v>
      </c>
    </row>
    <row r="3">
      <c r="A3" s="3" t="s">
        <v>7</v>
      </c>
      <c r="B3" s="5">
        <v>46242.0</v>
      </c>
      <c r="K3" s="4" t="s">
        <v>10</v>
      </c>
      <c r="L3" s="6">
        <v>2.20462</v>
      </c>
    </row>
    <row r="4">
      <c r="A4" s="3" t="s">
        <v>9</v>
      </c>
      <c r="B4" s="5">
        <v>46249.0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131</v>
      </c>
      <c r="L7" s="6">
        <v>0.120947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0"/>
      <c r="B9" s="71" t="s">
        <v>31</v>
      </c>
      <c r="D9" s="71" t="s">
        <v>58</v>
      </c>
      <c r="F9" s="13" t="s">
        <v>34</v>
      </c>
      <c r="G9" s="7"/>
      <c r="H9" s="7"/>
      <c r="I9" s="7"/>
      <c r="J9" s="14"/>
      <c r="K9" s="3" t="s">
        <v>35</v>
      </c>
    </row>
    <row r="10">
      <c r="A10" s="74" t="s">
        <v>36</v>
      </c>
      <c r="B10" s="77" t="s">
        <v>37</v>
      </c>
      <c r="C10" s="77" t="s">
        <v>40</v>
      </c>
      <c r="D10" s="77" t="s">
        <v>42</v>
      </c>
      <c r="E10" s="77" t="s">
        <v>135</v>
      </c>
      <c r="F10" s="77" t="s">
        <v>49</v>
      </c>
      <c r="G10" s="7" t="s">
        <v>51</v>
      </c>
      <c r="H10" s="7" t="s">
        <v>52</v>
      </c>
      <c r="I10" s="7" t="s">
        <v>54</v>
      </c>
      <c r="J10" s="7" t="s">
        <v>55</v>
      </c>
      <c r="K10" s="3" t="s">
        <v>56</v>
      </c>
      <c r="L10" s="6">
        <v>0.1575553394801048</v>
      </c>
      <c r="M10" s="11" t="str">
        <f>HYPERLINK("https://docs.google.com/spreadsheets/d/1L167k_JS3mnisFy3VpS-OXgI8U0cK-4nC6A9sxl-ozk/edit","PP Summary")</f>
        <v>PP Summary</v>
      </c>
    </row>
    <row r="11">
      <c r="A11" s="83">
        <v>120554.0</v>
      </c>
      <c r="B11" s="85">
        <v>1050.0</v>
      </c>
      <c r="C11" s="87">
        <v>57.6</v>
      </c>
      <c r="D11" s="90">
        <f t="shared" ref="D11:D43" si="1">B11-C11</f>
        <v>992.4</v>
      </c>
      <c r="E11" s="91">
        <v>164.0</v>
      </c>
      <c r="F11" s="90">
        <f t="shared" ref="F11:F43" si="2">IF(E11="","",B11-E11)</f>
        <v>886</v>
      </c>
      <c r="G11" s="3" t="s">
        <v>154</v>
      </c>
      <c r="H11" s="95">
        <f>$L$10</f>
        <v>0.1575553395</v>
      </c>
      <c r="I11" s="12">
        <f t="shared" ref="I11:I43" si="3">IF(H11="","",H11*D11)</f>
        <v>156.3579189</v>
      </c>
      <c r="J11" s="56">
        <f t="shared" ref="J11:J43" si="4">2.5*$L$4</f>
        <v>1.13398</v>
      </c>
      <c r="K11" s="31">
        <v>45962.0</v>
      </c>
      <c r="L11" s="6">
        <v>0.1392140547840092</v>
      </c>
      <c r="M11" s="11" t="str">
        <f>HYPERLINK("https://docs.google.com/spreadsheets/d/1W8jWu3sp39WnSuds1Ja0FWDG5UuWN9v5NUmF6yh_WbI/edit","PP Summary")</f>
        <v>PP Summary</v>
      </c>
    </row>
    <row r="12">
      <c r="A12" s="83">
        <v>228057.0</v>
      </c>
      <c r="B12" s="85">
        <v>1025.0</v>
      </c>
      <c r="C12" s="87">
        <v>57.6</v>
      </c>
      <c r="D12" s="87">
        <f t="shared" si="1"/>
        <v>967.4</v>
      </c>
      <c r="E12" s="98">
        <v>189.0</v>
      </c>
      <c r="F12" s="90">
        <f t="shared" si="2"/>
        <v>836</v>
      </c>
      <c r="G12" s="3" t="s">
        <v>159</v>
      </c>
      <c r="H12" s="95">
        <f>$L$11</f>
        <v>0.1392140548</v>
      </c>
      <c r="I12" s="12">
        <f t="shared" si="3"/>
        <v>134.6756766</v>
      </c>
      <c r="J12" s="56">
        <f t="shared" si="4"/>
        <v>1.13398</v>
      </c>
      <c r="K12" s="31">
        <v>45992.0</v>
      </c>
      <c r="L12" s="6">
        <v>0.16306166436976688</v>
      </c>
      <c r="M12" s="11" t="str">
        <f>HYPERLINK("https://docs.google.com/spreadsheets/d/1-L6m2wYknC3o-yIts9KK7FrYAb5lZIv4AwaizK8FbMc/edit","PP Summary")</f>
        <v>PP Summary</v>
      </c>
    </row>
    <row r="13">
      <c r="A13" s="83">
        <v>300066.0</v>
      </c>
      <c r="B13" s="85">
        <v>962.0</v>
      </c>
      <c r="C13" s="87">
        <v>57.6</v>
      </c>
      <c r="D13" s="90">
        <f t="shared" si="1"/>
        <v>904.4</v>
      </c>
      <c r="E13" s="98">
        <v>257.5</v>
      </c>
      <c r="F13" s="90">
        <f t="shared" si="2"/>
        <v>704.5</v>
      </c>
      <c r="G13" s="3" t="s">
        <v>165</v>
      </c>
      <c r="H13" s="95">
        <f t="shared" ref="H13:H18" si="5">$L$14</f>
        <v>0.1330497939</v>
      </c>
      <c r="I13" s="12">
        <f t="shared" si="3"/>
        <v>120.3302336</v>
      </c>
      <c r="J13" s="56">
        <f t="shared" si="4"/>
        <v>1.13398</v>
      </c>
      <c r="K13" s="31">
        <v>46023.0</v>
      </c>
      <c r="L13" s="6">
        <v>0.15683401691482485</v>
      </c>
      <c r="M13" s="11" t="str">
        <f>HYPERLINK("https://docs.google.com/spreadsheets/d/1bPZ7pNsR5rv-om-BypF4lK3nczjn4HJNO2dzimwnx7E/edit","PP Summary")</f>
        <v>PP Summary</v>
      </c>
    </row>
    <row r="14">
      <c r="A14" s="83">
        <v>301003.0</v>
      </c>
      <c r="B14" s="85">
        <v>1007.0</v>
      </c>
      <c r="C14" s="87">
        <v>57.6</v>
      </c>
      <c r="D14" s="90">
        <f t="shared" si="1"/>
        <v>949.4</v>
      </c>
      <c r="E14" s="91">
        <v>153.0</v>
      </c>
      <c r="F14" s="90">
        <f t="shared" si="2"/>
        <v>854</v>
      </c>
      <c r="G14" s="3" t="s">
        <v>168</v>
      </c>
      <c r="H14" s="95">
        <f t="shared" si="5"/>
        <v>0.1330497939</v>
      </c>
      <c r="I14" s="12">
        <f t="shared" si="3"/>
        <v>126.3174743</v>
      </c>
      <c r="J14" s="56">
        <f t="shared" si="4"/>
        <v>1.13398</v>
      </c>
      <c r="K14" s="31">
        <v>46054.0</v>
      </c>
      <c r="L14" s="6">
        <v>0.13304979391442986</v>
      </c>
      <c r="M14" s="11" t="str">
        <f>HYPERLINK("https://docs.google.com/spreadsheets/d/1vH7bborVnc-TCby3wEkpzi7GGMOI5jMJooEW0V-rOQ4/edit","PP Summary")</f>
        <v>PP Summary</v>
      </c>
    </row>
    <row r="15">
      <c r="A15" s="83">
        <v>301002.0</v>
      </c>
      <c r="B15" s="85">
        <v>1051.0</v>
      </c>
      <c r="C15" s="87">
        <v>57.6</v>
      </c>
      <c r="D15" s="90">
        <f t="shared" si="1"/>
        <v>993.4</v>
      </c>
      <c r="E15" s="91">
        <v>142.0</v>
      </c>
      <c r="F15" s="90">
        <f t="shared" si="2"/>
        <v>909</v>
      </c>
      <c r="G15" s="3" t="s">
        <v>176</v>
      </c>
      <c r="H15" s="95">
        <f t="shared" si="5"/>
        <v>0.1330497939</v>
      </c>
      <c r="I15" s="12">
        <f t="shared" si="3"/>
        <v>132.1716653</v>
      </c>
      <c r="J15" s="56">
        <f t="shared" si="4"/>
        <v>1.13398</v>
      </c>
      <c r="K15" s="31">
        <v>46082.0</v>
      </c>
      <c r="L15" s="6">
        <v>0.11852515320294801</v>
      </c>
      <c r="M15" s="11" t="str">
        <f>HYPERLINK("https://docs.google.com/spreadsheets/d/1O7y30opa_u1_deqFm_w2qgVyxi_75X00xnzKuyVyh6o/edit","PP Summary")</f>
        <v>PP Summary</v>
      </c>
    </row>
    <row r="16">
      <c r="A16" s="83">
        <v>300067.0</v>
      </c>
      <c r="B16" s="85">
        <v>1024.0</v>
      </c>
      <c r="C16" s="87">
        <v>57.6</v>
      </c>
      <c r="D16" s="90">
        <f t="shared" si="1"/>
        <v>966.4</v>
      </c>
      <c r="E16" s="91">
        <v>154.0</v>
      </c>
      <c r="F16" s="90">
        <f t="shared" si="2"/>
        <v>870</v>
      </c>
      <c r="G16" s="3" t="s">
        <v>180</v>
      </c>
      <c r="H16" s="95">
        <f t="shared" si="5"/>
        <v>0.1330497939</v>
      </c>
      <c r="I16" s="12">
        <f t="shared" si="3"/>
        <v>128.5793208</v>
      </c>
      <c r="J16" s="56">
        <f t="shared" si="4"/>
        <v>1.13398</v>
      </c>
      <c r="K16" s="31">
        <v>46113.0</v>
      </c>
      <c r="L16" s="6">
        <v>0.131418453205342</v>
      </c>
      <c r="M16" s="11" t="str">
        <f>HYPERLINK("https://docs.google.com/spreadsheets/d/10Qwx7K6sUcOBrCebGUGVaVeLQnhzvcT8sHQ0Sy3VBBM/edit","PP Summary")</f>
        <v>PP Summary</v>
      </c>
    </row>
    <row r="17">
      <c r="A17" s="83">
        <v>300097.0</v>
      </c>
      <c r="B17" s="85">
        <v>991.0</v>
      </c>
      <c r="C17" s="87">
        <v>57.6</v>
      </c>
      <c r="D17" s="90">
        <f t="shared" si="1"/>
        <v>933.4</v>
      </c>
      <c r="E17" s="91">
        <v>153.0</v>
      </c>
      <c r="F17" s="90">
        <f t="shared" si="2"/>
        <v>838</v>
      </c>
      <c r="G17" s="3" t="s">
        <v>189</v>
      </c>
      <c r="H17" s="95">
        <f t="shared" si="5"/>
        <v>0.1330497939</v>
      </c>
      <c r="I17" s="12">
        <f t="shared" si="3"/>
        <v>124.1886776</v>
      </c>
      <c r="J17" s="56">
        <f t="shared" si="4"/>
        <v>1.13398</v>
      </c>
      <c r="K17" s="31">
        <v>46143.0</v>
      </c>
      <c r="L17" s="6">
        <v>0.1106615762401743</v>
      </c>
      <c r="M17" s="11" t="str">
        <f>HYPERLINK("https://docs.google.com/spreadsheets/d/1m66t1jsLGc4e6AWnCFMsFbkSceZ9IYC_-bfTsbP_OYc/edit","PP Summary")</f>
        <v>PP Summary</v>
      </c>
    </row>
    <row r="18">
      <c r="A18" s="83">
        <v>301026.0</v>
      </c>
      <c r="B18" s="85">
        <v>1034.0</v>
      </c>
      <c r="C18" s="87">
        <v>57.6</v>
      </c>
      <c r="D18" s="90">
        <f t="shared" si="1"/>
        <v>976.4</v>
      </c>
      <c r="E18" s="91">
        <v>154.0</v>
      </c>
      <c r="F18" s="90">
        <f t="shared" si="2"/>
        <v>880</v>
      </c>
      <c r="G18" s="3" t="s">
        <v>191</v>
      </c>
      <c r="H18" s="95">
        <f t="shared" si="5"/>
        <v>0.1330497939</v>
      </c>
      <c r="I18" s="12">
        <f t="shared" si="3"/>
        <v>129.9098188</v>
      </c>
      <c r="J18" s="56">
        <f t="shared" si="4"/>
        <v>1.13398</v>
      </c>
      <c r="K18" s="31">
        <v>46174.0</v>
      </c>
      <c r="L18" s="6">
        <v>0.1236896673712938</v>
      </c>
      <c r="M18" s="11" t="str">
        <f>HYPERLINK("https://docs.google.com/spreadsheets/d/1MUQajDI2a_Cn9xWGPP7z4PhhphZnfl2_CSTnpB07Wgk/edit","PP Summary")</f>
        <v>PP Summary</v>
      </c>
    </row>
    <row r="19">
      <c r="A19" s="83">
        <v>301004.0</v>
      </c>
      <c r="B19" s="85">
        <v>1058.0</v>
      </c>
      <c r="C19" s="87">
        <v>57.6</v>
      </c>
      <c r="D19" s="90">
        <f t="shared" si="1"/>
        <v>1000.4</v>
      </c>
      <c r="E19" s="91">
        <v>154.0</v>
      </c>
      <c r="F19" s="90">
        <f t="shared" si="2"/>
        <v>904</v>
      </c>
      <c r="G19" s="3" t="s">
        <v>193</v>
      </c>
      <c r="H19" s="95">
        <f t="shared" ref="H19:H21" si="6">$L$15</f>
        <v>0.1185251532</v>
      </c>
      <c r="I19" s="12">
        <f t="shared" si="3"/>
        <v>118.5725633</v>
      </c>
      <c r="J19" s="56">
        <f t="shared" si="4"/>
        <v>1.13398</v>
      </c>
      <c r="K19" s="3" t="s">
        <v>86</v>
      </c>
      <c r="L19" s="43">
        <f>$L$7</f>
        <v>0.120947</v>
      </c>
    </row>
    <row r="20">
      <c r="A20" s="83">
        <v>301006.0</v>
      </c>
      <c r="B20" s="85">
        <v>1038.0</v>
      </c>
      <c r="C20" s="87">
        <v>57.6</v>
      </c>
      <c r="D20" s="90">
        <f t="shared" si="1"/>
        <v>980.4</v>
      </c>
      <c r="E20" s="98">
        <v>116.0</v>
      </c>
      <c r="F20" s="90">
        <f t="shared" si="2"/>
        <v>922</v>
      </c>
      <c r="G20" s="3" t="s">
        <v>194</v>
      </c>
      <c r="H20" s="95">
        <f t="shared" si="6"/>
        <v>0.1185251532</v>
      </c>
      <c r="I20" s="12">
        <f t="shared" si="3"/>
        <v>116.2020602</v>
      </c>
      <c r="J20" s="56">
        <f t="shared" si="4"/>
        <v>1.13398</v>
      </c>
      <c r="K20" s="3" t="s">
        <v>195</v>
      </c>
      <c r="L20" s="6">
        <v>0.13736711280644612</v>
      </c>
      <c r="M20" s="11" t="str">
        <f>HYPERLINK("https://docs.google.com/spreadsheets/d/1qPyS0H9Wx8z2vMl_3ANE1YLYahKLeL1Qo8OmZ_ol9aI/edit","PP Summary")</f>
        <v>PP Summary</v>
      </c>
    </row>
    <row r="21">
      <c r="A21" s="83">
        <v>301018.0</v>
      </c>
      <c r="B21" s="85">
        <v>1051.0</v>
      </c>
      <c r="C21" s="87">
        <v>57.6</v>
      </c>
      <c r="D21" s="90">
        <f t="shared" si="1"/>
        <v>993.4</v>
      </c>
      <c r="E21" s="91">
        <v>134.5</v>
      </c>
      <c r="F21" s="90">
        <f t="shared" si="2"/>
        <v>916.5</v>
      </c>
      <c r="G21" s="3" t="s">
        <v>203</v>
      </c>
      <c r="H21" s="95">
        <f t="shared" si="6"/>
        <v>0.1185251532</v>
      </c>
      <c r="I21" s="12">
        <f t="shared" si="3"/>
        <v>117.7428872</v>
      </c>
      <c r="J21" s="56">
        <f t="shared" si="4"/>
        <v>1.13398</v>
      </c>
    </row>
    <row r="22">
      <c r="A22" s="83">
        <v>301024.0</v>
      </c>
      <c r="B22" s="85">
        <v>1076.0</v>
      </c>
      <c r="C22" s="87">
        <v>57.6</v>
      </c>
      <c r="D22" s="90">
        <f t="shared" si="1"/>
        <v>1018.4</v>
      </c>
      <c r="E22" s="91">
        <v>167.0</v>
      </c>
      <c r="F22" s="90">
        <f t="shared" si="2"/>
        <v>909</v>
      </c>
      <c r="G22" s="3" t="s">
        <v>204</v>
      </c>
      <c r="H22" s="95">
        <f>$L$16</f>
        <v>0.1314184532</v>
      </c>
      <c r="I22" s="12">
        <f t="shared" si="3"/>
        <v>133.8365527</v>
      </c>
      <c r="J22" s="56">
        <f t="shared" si="4"/>
        <v>1.13398</v>
      </c>
    </row>
    <row r="23">
      <c r="A23" s="83">
        <v>301037.0</v>
      </c>
      <c r="B23" s="85">
        <v>1153.0</v>
      </c>
      <c r="C23" s="87">
        <v>57.6</v>
      </c>
      <c r="D23" s="90">
        <f t="shared" si="1"/>
        <v>1095.4</v>
      </c>
      <c r="E23" s="91">
        <v>134.5</v>
      </c>
      <c r="F23" s="90">
        <f t="shared" si="2"/>
        <v>1018.5</v>
      </c>
      <c r="G23" s="3" t="s">
        <v>205</v>
      </c>
      <c r="H23" s="95">
        <f t="shared" ref="H23:H25" si="7">$L$15</f>
        <v>0.1185251532</v>
      </c>
      <c r="I23" s="12">
        <f t="shared" si="3"/>
        <v>129.8324528</v>
      </c>
      <c r="J23" s="56">
        <f t="shared" si="4"/>
        <v>1.13398</v>
      </c>
    </row>
    <row r="24">
      <c r="A24" s="83">
        <v>301039.0</v>
      </c>
      <c r="B24" s="85">
        <v>1051.0</v>
      </c>
      <c r="C24" s="87">
        <v>57.6</v>
      </c>
      <c r="D24" s="90">
        <f t="shared" si="1"/>
        <v>993.4</v>
      </c>
      <c r="E24" s="91">
        <v>145.5</v>
      </c>
      <c r="F24" s="90">
        <f t="shared" si="2"/>
        <v>905.5</v>
      </c>
      <c r="G24" s="3" t="s">
        <v>206</v>
      </c>
      <c r="H24" s="95">
        <f t="shared" si="7"/>
        <v>0.1185251532</v>
      </c>
      <c r="I24" s="12">
        <f t="shared" si="3"/>
        <v>117.7428872</v>
      </c>
      <c r="J24" s="56">
        <f t="shared" si="4"/>
        <v>1.13398</v>
      </c>
    </row>
    <row r="25">
      <c r="A25" s="83">
        <v>301040.0</v>
      </c>
      <c r="B25" s="85">
        <v>1059.0</v>
      </c>
      <c r="C25" s="87">
        <v>57.6</v>
      </c>
      <c r="D25" s="90">
        <f t="shared" si="1"/>
        <v>1001.4</v>
      </c>
      <c r="E25" s="91">
        <v>82.5</v>
      </c>
      <c r="F25" s="90">
        <f t="shared" si="2"/>
        <v>976.5</v>
      </c>
      <c r="G25" s="3" t="s">
        <v>207</v>
      </c>
      <c r="H25" s="95">
        <f t="shared" si="7"/>
        <v>0.1185251532</v>
      </c>
      <c r="I25" s="12">
        <f t="shared" si="3"/>
        <v>118.6910884</v>
      </c>
      <c r="J25" s="56">
        <f t="shared" si="4"/>
        <v>1.13398</v>
      </c>
    </row>
    <row r="26">
      <c r="A26" s="83">
        <v>301051.0</v>
      </c>
      <c r="B26" s="85">
        <v>1152.0</v>
      </c>
      <c r="C26" s="87">
        <v>57.6</v>
      </c>
      <c r="D26" s="90">
        <f t="shared" si="1"/>
        <v>1094.4</v>
      </c>
      <c r="E26" s="91">
        <v>183.0</v>
      </c>
      <c r="F26" s="90">
        <f t="shared" si="2"/>
        <v>969</v>
      </c>
      <c r="G26" s="3" t="s">
        <v>208</v>
      </c>
      <c r="H26" s="95">
        <f t="shared" ref="H26:H27" si="8">$L$16</f>
        <v>0.1314184532</v>
      </c>
      <c r="I26" s="12">
        <f t="shared" si="3"/>
        <v>143.8243552</v>
      </c>
      <c r="J26" s="56">
        <f t="shared" si="4"/>
        <v>1.13398</v>
      </c>
    </row>
    <row r="27">
      <c r="A27" s="83">
        <v>301054.0</v>
      </c>
      <c r="B27" s="85">
        <v>1107.0</v>
      </c>
      <c r="C27" s="87">
        <v>57.6</v>
      </c>
      <c r="D27" s="90">
        <f t="shared" si="1"/>
        <v>1049.4</v>
      </c>
      <c r="E27" s="91">
        <v>148.0</v>
      </c>
      <c r="F27" s="90">
        <f t="shared" si="2"/>
        <v>959</v>
      </c>
      <c r="G27" s="3" t="s">
        <v>209</v>
      </c>
      <c r="H27" s="95">
        <f t="shared" si="8"/>
        <v>0.1314184532</v>
      </c>
      <c r="I27" s="12">
        <f t="shared" si="3"/>
        <v>137.9105248</v>
      </c>
      <c r="J27" s="56">
        <f t="shared" si="4"/>
        <v>1.13398</v>
      </c>
    </row>
    <row r="28">
      <c r="A28" s="83">
        <v>301057.0</v>
      </c>
      <c r="B28" s="85">
        <v>1040.0</v>
      </c>
      <c r="C28" s="87">
        <v>57.6</v>
      </c>
      <c r="D28" s="90">
        <f t="shared" si="1"/>
        <v>982.4</v>
      </c>
      <c r="E28" s="91">
        <v>170.5</v>
      </c>
      <c r="F28" s="90">
        <f t="shared" si="2"/>
        <v>869.5</v>
      </c>
      <c r="G28" s="3" t="s">
        <v>210</v>
      </c>
      <c r="H28" s="95">
        <f>$L$15</f>
        <v>0.1185251532</v>
      </c>
      <c r="I28" s="12">
        <f t="shared" si="3"/>
        <v>116.4391105</v>
      </c>
      <c r="J28" s="56">
        <f t="shared" si="4"/>
        <v>1.13398</v>
      </c>
    </row>
    <row r="29">
      <c r="A29" s="83">
        <v>301060.0</v>
      </c>
      <c r="B29" s="85">
        <v>1067.0</v>
      </c>
      <c r="C29" s="87">
        <v>57.6</v>
      </c>
      <c r="D29" s="90">
        <f t="shared" si="1"/>
        <v>1009.4</v>
      </c>
      <c r="E29" s="91">
        <v>165.0</v>
      </c>
      <c r="F29" s="90">
        <f t="shared" si="2"/>
        <v>902</v>
      </c>
      <c r="G29" s="3" t="s">
        <v>211</v>
      </c>
      <c r="H29" s="95">
        <f>$L$16</f>
        <v>0.1314184532</v>
      </c>
      <c r="I29" s="12">
        <f t="shared" si="3"/>
        <v>132.6537867</v>
      </c>
      <c r="J29" s="56">
        <f t="shared" si="4"/>
        <v>1.13398</v>
      </c>
    </row>
    <row r="30">
      <c r="A30" s="83">
        <v>301063.0</v>
      </c>
      <c r="B30" s="85">
        <v>1008.0</v>
      </c>
      <c r="C30" s="87">
        <v>57.6</v>
      </c>
      <c r="D30" s="90">
        <f t="shared" si="1"/>
        <v>950.4</v>
      </c>
      <c r="E30" s="91">
        <v>157.0</v>
      </c>
      <c r="F30" s="90">
        <f t="shared" si="2"/>
        <v>851</v>
      </c>
      <c r="G30" s="3" t="s">
        <v>212</v>
      </c>
      <c r="H30" s="95">
        <f t="shared" ref="H30:H37" si="9">$L$15</f>
        <v>0.1185251532</v>
      </c>
      <c r="I30" s="12">
        <f t="shared" si="3"/>
        <v>112.6463056</v>
      </c>
      <c r="J30" s="56">
        <f t="shared" si="4"/>
        <v>1.13398</v>
      </c>
    </row>
    <row r="31">
      <c r="A31" s="83">
        <v>301065.0</v>
      </c>
      <c r="B31" s="85">
        <v>1084.0</v>
      </c>
      <c r="C31" s="87">
        <v>57.6</v>
      </c>
      <c r="D31" s="90">
        <f t="shared" si="1"/>
        <v>1026.4</v>
      </c>
      <c r="E31" s="98">
        <v>178.0</v>
      </c>
      <c r="F31" s="90">
        <f t="shared" si="2"/>
        <v>906</v>
      </c>
      <c r="G31" s="3" t="s">
        <v>213</v>
      </c>
      <c r="H31" s="95">
        <f t="shared" si="9"/>
        <v>0.1185251532</v>
      </c>
      <c r="I31" s="12">
        <f t="shared" si="3"/>
        <v>121.6542172</v>
      </c>
      <c r="J31" s="56">
        <f t="shared" si="4"/>
        <v>1.13398</v>
      </c>
    </row>
    <row r="32">
      <c r="A32" s="83">
        <v>301067.0</v>
      </c>
      <c r="B32" s="85">
        <v>985.0</v>
      </c>
      <c r="C32" s="87">
        <v>57.6</v>
      </c>
      <c r="D32" s="85">
        <f t="shared" si="1"/>
        <v>927.4</v>
      </c>
      <c r="E32" s="98">
        <v>153.0</v>
      </c>
      <c r="F32" s="90">
        <f t="shared" si="2"/>
        <v>832</v>
      </c>
      <c r="G32" s="117" t="s">
        <v>214</v>
      </c>
      <c r="H32" s="118">
        <f t="shared" si="9"/>
        <v>0.1185251532</v>
      </c>
      <c r="I32" s="12">
        <f t="shared" si="3"/>
        <v>109.9202271</v>
      </c>
      <c r="J32" s="56">
        <f t="shared" si="4"/>
        <v>1.13398</v>
      </c>
    </row>
    <row r="33">
      <c r="A33" s="119">
        <v>301070.0</v>
      </c>
      <c r="B33" s="85">
        <v>1011.0</v>
      </c>
      <c r="C33" s="87">
        <v>57.6</v>
      </c>
      <c r="D33" s="90">
        <f t="shared" si="1"/>
        <v>953.4</v>
      </c>
      <c r="E33" s="91">
        <v>142.0</v>
      </c>
      <c r="F33" s="90">
        <f t="shared" si="2"/>
        <v>869</v>
      </c>
      <c r="G33" s="3" t="s">
        <v>215</v>
      </c>
      <c r="H33" s="95">
        <f t="shared" si="9"/>
        <v>0.1185251532</v>
      </c>
      <c r="I33" s="12">
        <f t="shared" si="3"/>
        <v>113.0018811</v>
      </c>
      <c r="J33" s="56">
        <f t="shared" si="4"/>
        <v>1.13398</v>
      </c>
    </row>
    <row r="34">
      <c r="A34" s="83">
        <v>301074.0</v>
      </c>
      <c r="B34" s="85">
        <v>940.0</v>
      </c>
      <c r="C34" s="87">
        <v>57.6</v>
      </c>
      <c r="D34" s="90">
        <f t="shared" si="1"/>
        <v>882.4</v>
      </c>
      <c r="E34" s="91">
        <v>167.0</v>
      </c>
      <c r="F34" s="90">
        <f t="shared" si="2"/>
        <v>773</v>
      </c>
      <c r="G34" s="3" t="s">
        <v>216</v>
      </c>
      <c r="H34" s="95">
        <f t="shared" si="9"/>
        <v>0.1185251532</v>
      </c>
      <c r="I34" s="12">
        <f t="shared" si="3"/>
        <v>104.5865952</v>
      </c>
      <c r="J34" s="56">
        <f t="shared" si="4"/>
        <v>1.13398</v>
      </c>
    </row>
    <row r="35">
      <c r="A35" s="83">
        <v>301075.0</v>
      </c>
      <c r="B35" s="85">
        <v>832.0</v>
      </c>
      <c r="C35" s="87">
        <v>57.6</v>
      </c>
      <c r="D35" s="90">
        <f t="shared" si="1"/>
        <v>774.4</v>
      </c>
      <c r="E35" s="91">
        <v>130.5</v>
      </c>
      <c r="F35" s="90">
        <f t="shared" si="2"/>
        <v>701.5</v>
      </c>
      <c r="G35" s="3" t="s">
        <v>217</v>
      </c>
      <c r="H35" s="95">
        <f t="shared" si="9"/>
        <v>0.1185251532</v>
      </c>
      <c r="I35" s="12">
        <f t="shared" si="3"/>
        <v>91.78587864</v>
      </c>
      <c r="J35" s="56">
        <f t="shared" si="4"/>
        <v>1.13398</v>
      </c>
    </row>
    <row r="36">
      <c r="A36" s="83">
        <v>301080.0</v>
      </c>
      <c r="B36" s="85">
        <v>1061.0</v>
      </c>
      <c r="C36" s="87">
        <v>57.6</v>
      </c>
      <c r="D36" s="90">
        <f t="shared" si="1"/>
        <v>1003.4</v>
      </c>
      <c r="E36" s="91">
        <v>140.5</v>
      </c>
      <c r="F36" s="90">
        <f t="shared" si="2"/>
        <v>920.5</v>
      </c>
      <c r="G36" s="3" t="s">
        <v>218</v>
      </c>
      <c r="H36" s="95">
        <f t="shared" si="9"/>
        <v>0.1185251532</v>
      </c>
      <c r="I36" s="12">
        <f t="shared" si="3"/>
        <v>118.9281387</v>
      </c>
      <c r="J36" s="56">
        <f t="shared" si="4"/>
        <v>1.13398</v>
      </c>
    </row>
    <row r="37">
      <c r="A37" s="83">
        <v>301083.0</v>
      </c>
      <c r="B37" s="85">
        <v>1068.0</v>
      </c>
      <c r="C37" s="87">
        <v>57.6</v>
      </c>
      <c r="D37" s="90">
        <f t="shared" si="1"/>
        <v>1010.4</v>
      </c>
      <c r="E37" s="91">
        <v>138.0</v>
      </c>
      <c r="F37" s="90">
        <f t="shared" si="2"/>
        <v>930</v>
      </c>
      <c r="G37" s="3" t="s">
        <v>219</v>
      </c>
      <c r="H37" s="95">
        <f t="shared" si="9"/>
        <v>0.1185251532</v>
      </c>
      <c r="I37" s="12">
        <f t="shared" si="3"/>
        <v>119.7578148</v>
      </c>
      <c r="J37" s="56">
        <f t="shared" si="4"/>
        <v>1.13398</v>
      </c>
    </row>
    <row r="38">
      <c r="A38" s="83">
        <v>301086.0</v>
      </c>
      <c r="B38" s="85">
        <v>992.0</v>
      </c>
      <c r="C38" s="87">
        <v>57.6</v>
      </c>
      <c r="D38" s="90">
        <f t="shared" si="1"/>
        <v>934.4</v>
      </c>
      <c r="E38" s="98">
        <v>170.5</v>
      </c>
      <c r="F38" s="90">
        <f t="shared" si="2"/>
        <v>821.5</v>
      </c>
      <c r="G38" s="3" t="s">
        <v>220</v>
      </c>
      <c r="H38" s="95">
        <f>$L$16</f>
        <v>0.1314184532</v>
      </c>
      <c r="I38" s="12">
        <f t="shared" si="3"/>
        <v>122.7974027</v>
      </c>
      <c r="J38" s="56">
        <f t="shared" si="4"/>
        <v>1.13398</v>
      </c>
    </row>
    <row r="39">
      <c r="A39" s="120">
        <v>301087.0</v>
      </c>
      <c r="B39" s="85">
        <v>1067.0</v>
      </c>
      <c r="C39" s="87">
        <v>57.6</v>
      </c>
      <c r="D39" s="90">
        <f t="shared" si="1"/>
        <v>1009.4</v>
      </c>
      <c r="E39" s="91">
        <v>134.0</v>
      </c>
      <c r="F39" s="90">
        <f t="shared" si="2"/>
        <v>933</v>
      </c>
      <c r="G39" s="3" t="s">
        <v>221</v>
      </c>
      <c r="H39" s="95">
        <f t="shared" ref="H39:H40" si="10">$L$15</f>
        <v>0.1185251532</v>
      </c>
      <c r="I39" s="12">
        <f t="shared" si="3"/>
        <v>119.6392896</v>
      </c>
      <c r="J39" s="56">
        <f t="shared" si="4"/>
        <v>1.13398</v>
      </c>
    </row>
    <row r="40">
      <c r="A40" s="120">
        <v>301088.0</v>
      </c>
      <c r="B40" s="85">
        <v>1053.0</v>
      </c>
      <c r="C40" s="87">
        <v>57.6</v>
      </c>
      <c r="D40" s="90">
        <f t="shared" si="1"/>
        <v>995.4</v>
      </c>
      <c r="E40" s="91">
        <v>191.0</v>
      </c>
      <c r="F40" s="90">
        <f t="shared" si="2"/>
        <v>862</v>
      </c>
      <c r="G40" s="3" t="s">
        <v>222</v>
      </c>
      <c r="H40" s="95">
        <f t="shared" si="10"/>
        <v>0.1185251532</v>
      </c>
      <c r="I40" s="12">
        <f t="shared" si="3"/>
        <v>117.9799375</v>
      </c>
      <c r="J40" s="56">
        <f t="shared" si="4"/>
        <v>1.13398</v>
      </c>
    </row>
    <row r="41">
      <c r="A41" s="120">
        <v>301092.0</v>
      </c>
      <c r="B41" s="85">
        <v>1002.0</v>
      </c>
      <c r="C41" s="87">
        <v>57.6</v>
      </c>
      <c r="D41" s="90">
        <f t="shared" si="1"/>
        <v>944.4</v>
      </c>
      <c r="E41" s="91">
        <v>143.5</v>
      </c>
      <c r="F41" s="90">
        <f t="shared" si="2"/>
        <v>858.5</v>
      </c>
      <c r="G41" s="3" t="s">
        <v>223</v>
      </c>
      <c r="H41" s="95">
        <f>$L$16</f>
        <v>0.1314184532</v>
      </c>
      <c r="I41" s="12">
        <f t="shared" si="3"/>
        <v>124.1115872</v>
      </c>
      <c r="J41" s="56">
        <f t="shared" si="4"/>
        <v>1.13398</v>
      </c>
    </row>
    <row r="42">
      <c r="A42" s="120">
        <v>301093.0</v>
      </c>
      <c r="B42" s="85">
        <v>981.0</v>
      </c>
      <c r="C42" s="87">
        <v>57.6</v>
      </c>
      <c r="D42" s="90">
        <f t="shared" si="1"/>
        <v>923.4</v>
      </c>
      <c r="E42" s="98">
        <v>174.0</v>
      </c>
      <c r="F42" s="90">
        <f t="shared" si="2"/>
        <v>807</v>
      </c>
      <c r="G42" s="3" t="s">
        <v>224</v>
      </c>
      <c r="H42" s="95">
        <f>$L$15</f>
        <v>0.1185251532</v>
      </c>
      <c r="I42" s="12">
        <f t="shared" si="3"/>
        <v>109.4461265</v>
      </c>
      <c r="J42" s="56">
        <f t="shared" si="4"/>
        <v>1.13398</v>
      </c>
    </row>
    <row r="43">
      <c r="A43" s="120">
        <v>301138.0</v>
      </c>
      <c r="B43" s="85">
        <v>1033.0</v>
      </c>
      <c r="C43" s="87">
        <v>57.6</v>
      </c>
      <c r="D43" s="90">
        <f t="shared" si="1"/>
        <v>975.4</v>
      </c>
      <c r="E43" s="91">
        <v>148.0</v>
      </c>
      <c r="F43" s="90">
        <f t="shared" si="2"/>
        <v>885</v>
      </c>
      <c r="G43" s="3" t="s">
        <v>225</v>
      </c>
      <c r="H43" s="95">
        <f>$L$16</f>
        <v>0.1314184532</v>
      </c>
      <c r="I43" s="12">
        <f t="shared" si="3"/>
        <v>128.1855593</v>
      </c>
      <c r="J43" s="56">
        <f t="shared" si="4"/>
        <v>1.13398</v>
      </c>
    </row>
    <row r="44">
      <c r="A44" s="121"/>
      <c r="B44" s="122"/>
      <c r="C44" s="123"/>
      <c r="D44" s="124"/>
      <c r="E44" s="122"/>
      <c r="F44" s="124"/>
      <c r="G44" s="125"/>
      <c r="H44" s="126"/>
      <c r="I44" s="127"/>
      <c r="J44" s="128"/>
    </row>
    <row r="45">
      <c r="A45" s="129">
        <v>118811.0</v>
      </c>
      <c r="B45" s="130">
        <v>999.0</v>
      </c>
      <c r="C45" s="131">
        <v>57.6</v>
      </c>
      <c r="D45" s="132">
        <f t="shared" ref="D45:D48" si="11">IF(C45="","",B45-C45)</f>
        <v>941.4</v>
      </c>
      <c r="E45" s="131">
        <v>227.0</v>
      </c>
      <c r="F45" s="132">
        <f t="shared" ref="F45:F48" si="12">IF(E45="","",B45-E45)</f>
        <v>772</v>
      </c>
      <c r="G45" s="133" t="s">
        <v>226</v>
      </c>
      <c r="H45" s="134">
        <f t="shared" ref="H45:H48" si="13">$L$20</f>
        <v>0.1373671128</v>
      </c>
      <c r="I45" s="135">
        <f t="shared" ref="I45:I48" si="14">IF(D45="","",H45*D45)</f>
        <v>129.3174</v>
      </c>
      <c r="J45" s="137">
        <f t="shared" ref="J45:J48" si="15">2.5*$L$4</f>
        <v>1.13398</v>
      </c>
      <c r="K45" s="133" t="s">
        <v>228</v>
      </c>
      <c r="L45" s="138"/>
      <c r="M45" s="138"/>
      <c r="N45" s="138"/>
    </row>
    <row r="46">
      <c r="A46" s="139">
        <v>118837.0</v>
      </c>
      <c r="B46" s="130">
        <v>969.0</v>
      </c>
      <c r="C46" s="131">
        <v>57.6</v>
      </c>
      <c r="D46" s="132">
        <f t="shared" si="11"/>
        <v>911.4</v>
      </c>
      <c r="E46" s="131">
        <v>149.5</v>
      </c>
      <c r="F46" s="132">
        <f t="shared" si="12"/>
        <v>819.5</v>
      </c>
      <c r="G46" s="133" t="s">
        <v>229</v>
      </c>
      <c r="H46" s="134">
        <f t="shared" si="13"/>
        <v>0.1373671128</v>
      </c>
      <c r="I46" s="135">
        <f t="shared" si="14"/>
        <v>125.1963866</v>
      </c>
      <c r="J46" s="137">
        <f t="shared" si="15"/>
        <v>1.13398</v>
      </c>
      <c r="K46" s="133" t="s">
        <v>228</v>
      </c>
      <c r="L46" s="138"/>
      <c r="M46" s="138"/>
      <c r="N46" s="138"/>
    </row>
    <row r="47">
      <c r="A47" s="139">
        <v>118872.0</v>
      </c>
      <c r="B47" s="130">
        <v>1109.0</v>
      </c>
      <c r="C47" s="131">
        <v>57.6</v>
      </c>
      <c r="D47" s="132">
        <f t="shared" si="11"/>
        <v>1051.4</v>
      </c>
      <c r="E47" s="131">
        <v>158.5</v>
      </c>
      <c r="F47" s="132">
        <f t="shared" si="12"/>
        <v>950.5</v>
      </c>
      <c r="G47" s="133" t="s">
        <v>230</v>
      </c>
      <c r="H47" s="134">
        <f t="shared" si="13"/>
        <v>0.1373671128</v>
      </c>
      <c r="I47" s="135">
        <f t="shared" si="14"/>
        <v>144.4277824</v>
      </c>
      <c r="J47" s="137">
        <f t="shared" si="15"/>
        <v>1.13398</v>
      </c>
      <c r="K47" s="133" t="s">
        <v>228</v>
      </c>
      <c r="L47" s="138"/>
      <c r="M47" s="138"/>
      <c r="N47" s="138"/>
    </row>
    <row r="48">
      <c r="A48" s="139">
        <v>118886.0</v>
      </c>
      <c r="B48" s="130">
        <v>962.0</v>
      </c>
      <c r="C48" s="131">
        <v>57.6</v>
      </c>
      <c r="D48" s="132">
        <f t="shared" si="11"/>
        <v>904.4</v>
      </c>
      <c r="E48" s="131">
        <v>149.5</v>
      </c>
      <c r="F48" s="132">
        <f t="shared" si="12"/>
        <v>812.5</v>
      </c>
      <c r="G48" s="133" t="s">
        <v>231</v>
      </c>
      <c r="H48" s="134">
        <f t="shared" si="13"/>
        <v>0.1373671128</v>
      </c>
      <c r="I48" s="135">
        <f t="shared" si="14"/>
        <v>124.2348168</v>
      </c>
      <c r="J48" s="137">
        <f t="shared" si="15"/>
        <v>1.13398</v>
      </c>
      <c r="K48" s="133" t="s">
        <v>228</v>
      </c>
      <c r="L48" s="138"/>
      <c r="M48" s="138"/>
      <c r="N48" s="138"/>
    </row>
    <row r="49">
      <c r="A49" s="120"/>
      <c r="B49" s="85"/>
      <c r="C49" s="87"/>
      <c r="D49" s="90"/>
      <c r="E49" s="91"/>
      <c r="F49" s="90"/>
      <c r="H49" s="95"/>
      <c r="I49" s="12"/>
      <c r="J49" s="56"/>
    </row>
    <row r="50">
      <c r="A50" s="67" t="s">
        <v>87</v>
      </c>
      <c r="B50" s="85">
        <f t="shared" ref="B50:F50" si="16">SUM(B11:B48)</f>
        <v>38152</v>
      </c>
      <c r="C50" s="87">
        <f t="shared" si="16"/>
        <v>2131.2</v>
      </c>
      <c r="D50" s="90">
        <f t="shared" si="16"/>
        <v>36020.8</v>
      </c>
      <c r="E50" s="91">
        <f t="shared" si="16"/>
        <v>5818.5</v>
      </c>
      <c r="F50" s="90">
        <f t="shared" si="16"/>
        <v>32333.5</v>
      </c>
      <c r="H50" s="95">
        <f>IFERROR(SUMPRODUCT(D11:D48,H11:H48)/SUMIF(H11:H48,"&lt;&gt;",D11:D48),"")</f>
        <v>0.1269709835</v>
      </c>
      <c r="I50" s="12">
        <f t="shared" ref="I50:J50" si="17">SUM(I11:I48)</f>
        <v>4573.596402</v>
      </c>
      <c r="J50" s="56">
        <f t="shared" si="17"/>
        <v>41.95726</v>
      </c>
    </row>
    <row r="51">
      <c r="A51" s="67" t="s">
        <v>232</v>
      </c>
      <c r="B51" s="85">
        <f>SUM(B11:B43)</f>
        <v>34113</v>
      </c>
      <c r="C51" s="87"/>
      <c r="D51" s="90"/>
      <c r="E51" s="91"/>
      <c r="F51" s="90"/>
      <c r="H51" s="95"/>
      <c r="I51" s="12"/>
      <c r="J51" s="140">
        <f>SUM(J11:J43)</f>
        <v>37.42134</v>
      </c>
    </row>
    <row r="52">
      <c r="A52" s="67" t="s">
        <v>233</v>
      </c>
      <c r="B52" s="120">
        <v>2.87</v>
      </c>
      <c r="C52" s="87"/>
      <c r="D52" s="120"/>
      <c r="E52" s="90"/>
      <c r="F52" s="120"/>
      <c r="J52" s="141">
        <f>SUM(J45:J48)</f>
        <v>4.53592</v>
      </c>
    </row>
    <row r="53">
      <c r="A53" s="120"/>
      <c r="B53" s="68"/>
      <c r="C53" s="87"/>
      <c r="D53" s="90"/>
      <c r="E53" s="90"/>
      <c r="F53" s="90"/>
    </row>
    <row r="54">
      <c r="A54" s="120"/>
      <c r="B54" s="68"/>
      <c r="C54" s="87" t="s">
        <v>121</v>
      </c>
      <c r="D54" s="90"/>
      <c r="E54" s="90"/>
      <c r="F54" s="90"/>
    </row>
    <row r="55">
      <c r="A55" s="120"/>
      <c r="B55" s="68"/>
      <c r="C55" s="87"/>
      <c r="D55" s="90"/>
      <c r="E55" s="90"/>
      <c r="F55" s="90"/>
    </row>
    <row r="56">
      <c r="A56" s="120"/>
      <c r="B56" s="68"/>
      <c r="C56" s="87"/>
      <c r="D56" s="90"/>
      <c r="E56" s="90"/>
      <c r="F56" s="90"/>
    </row>
    <row r="57">
      <c r="B57" s="142"/>
      <c r="C57" s="143"/>
      <c r="D57" s="12"/>
      <c r="E57" s="12"/>
      <c r="F57" s="12"/>
      <c r="G57" s="37"/>
      <c r="H57" s="37"/>
      <c r="I57" s="32"/>
    </row>
    <row r="58">
      <c r="B58" s="144"/>
      <c r="C58" s="144"/>
      <c r="D58" s="145"/>
      <c r="E58" s="145"/>
      <c r="F58" s="145"/>
      <c r="G58" s="41"/>
      <c r="H58" s="146"/>
      <c r="I58" s="147"/>
      <c r="J58" s="9"/>
    </row>
    <row r="59">
      <c r="B59" s="142"/>
      <c r="D59" s="12"/>
      <c r="E59" s="12"/>
      <c r="F59" s="12"/>
      <c r="G59" s="37"/>
      <c r="H59" s="37"/>
      <c r="I59" s="32"/>
    </row>
    <row r="60">
      <c r="B60" s="142"/>
      <c r="D60" s="12"/>
      <c r="E60" s="12"/>
      <c r="F60" s="12"/>
      <c r="G60" s="37"/>
      <c r="H60" s="37"/>
      <c r="I60" s="148"/>
    </row>
    <row r="61">
      <c r="B61" s="142"/>
      <c r="D61" s="12"/>
      <c r="E61" s="12"/>
      <c r="F61" s="12"/>
      <c r="G61" s="37"/>
      <c r="H61" s="37"/>
      <c r="I61" s="32"/>
    </row>
    <row r="62">
      <c r="B62" s="142"/>
      <c r="D62" s="12"/>
      <c r="E62" s="12"/>
      <c r="F62" s="12"/>
      <c r="G62" s="37"/>
      <c r="H62" s="37"/>
      <c r="I62" s="32"/>
    </row>
    <row r="63">
      <c r="B63" s="142"/>
      <c r="D63" s="12"/>
      <c r="E63" s="12"/>
      <c r="F63" s="12"/>
      <c r="G63" s="37"/>
      <c r="H63" s="37"/>
      <c r="I63" s="32"/>
    </row>
    <row r="64">
      <c r="B64" s="142"/>
      <c r="D64" s="12"/>
      <c r="E64" s="12"/>
      <c r="F64" s="12"/>
      <c r="G64" s="37"/>
      <c r="H64" s="37"/>
      <c r="I64" s="32"/>
    </row>
    <row r="65">
      <c r="B65" s="142"/>
      <c r="D65" s="12"/>
      <c r="E65" s="12"/>
      <c r="F65" s="12"/>
      <c r="G65" s="37"/>
      <c r="H65" s="37"/>
      <c r="I65" s="32"/>
    </row>
    <row r="66">
      <c r="B66" s="142"/>
      <c r="D66" s="12"/>
      <c r="E66" s="12"/>
      <c r="F66" s="12"/>
      <c r="G66" s="37"/>
      <c r="H66" s="37"/>
      <c r="I66" s="32"/>
    </row>
    <row r="67">
      <c r="B67" s="142"/>
      <c r="D67" s="12"/>
      <c r="E67" s="12"/>
      <c r="F67" s="12"/>
      <c r="G67" s="37"/>
      <c r="H67" s="37"/>
      <c r="I67" s="32"/>
    </row>
    <row r="68">
      <c r="B68" s="142"/>
      <c r="D68" s="12"/>
      <c r="E68" s="12"/>
      <c r="F68" s="12"/>
      <c r="G68" s="37"/>
      <c r="H68" s="37"/>
      <c r="I68" s="32"/>
    </row>
    <row r="69">
      <c r="B69" s="142"/>
      <c r="D69" s="12"/>
      <c r="E69" s="12"/>
      <c r="F69" s="12"/>
      <c r="G69" s="37"/>
      <c r="H69" s="37"/>
      <c r="I69" s="32"/>
    </row>
    <row r="70">
      <c r="B70" s="142"/>
      <c r="D70" s="12"/>
      <c r="E70" s="12"/>
      <c r="F70" s="12"/>
      <c r="G70" s="37"/>
      <c r="H70" s="37"/>
      <c r="I70" s="32"/>
    </row>
    <row r="71">
      <c r="B71" s="142"/>
      <c r="D71" s="12"/>
      <c r="E71" s="12"/>
      <c r="F71" s="12"/>
      <c r="G71" s="37"/>
      <c r="H71" s="37"/>
      <c r="I71" s="32"/>
    </row>
    <row r="72">
      <c r="B72" s="142"/>
      <c r="D72" s="12"/>
      <c r="E72" s="12"/>
      <c r="F72" s="12"/>
      <c r="G72" s="37"/>
      <c r="H72" s="37"/>
      <c r="I72" s="32"/>
    </row>
    <row r="73">
      <c r="B73" s="142"/>
      <c r="D73" s="12"/>
      <c r="E73" s="12"/>
      <c r="F73" s="12"/>
      <c r="G73" s="37"/>
      <c r="H73" s="37"/>
      <c r="I73" s="32"/>
    </row>
    <row r="74">
      <c r="B74" s="142"/>
      <c r="D74" s="12"/>
      <c r="E74" s="12"/>
      <c r="F74" s="12"/>
      <c r="G74" s="37"/>
      <c r="H74" s="37"/>
      <c r="I74" s="32"/>
    </row>
    <row r="75">
      <c r="B75" s="142"/>
      <c r="D75" s="12"/>
      <c r="E75" s="12"/>
      <c r="F75" s="12"/>
      <c r="G75" s="37"/>
      <c r="H75" s="37"/>
      <c r="I75" s="32"/>
    </row>
    <row r="76">
      <c r="B76" s="142"/>
      <c r="D76" s="12"/>
      <c r="E76" s="12"/>
      <c r="F76" s="12"/>
      <c r="G76" s="37"/>
      <c r="H76" s="37"/>
      <c r="I76" s="32"/>
    </row>
    <row r="77">
      <c r="B77" s="142"/>
      <c r="D77" s="12"/>
      <c r="E77" s="12"/>
      <c r="F77" s="12"/>
      <c r="G77" s="37"/>
      <c r="H77" s="37"/>
      <c r="I77" s="32"/>
    </row>
    <row r="78">
      <c r="B78" s="142"/>
      <c r="D78" s="12"/>
      <c r="E78" s="12"/>
      <c r="F78" s="12"/>
      <c r="G78" s="37"/>
      <c r="H78" s="37"/>
      <c r="I78" s="32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72" t="s">
        <v>132</v>
      </c>
      <c r="B1" s="73"/>
      <c r="C1" s="73"/>
      <c r="D1" s="73"/>
      <c r="E1" s="73"/>
      <c r="F1" s="73"/>
      <c r="G1" s="73"/>
    </row>
    <row r="4">
      <c r="A4" s="75" t="s">
        <v>1</v>
      </c>
      <c r="B4" s="76"/>
      <c r="C4" s="76"/>
      <c r="D4" s="76"/>
      <c r="E4" s="76"/>
      <c r="F4" s="9"/>
      <c r="G4" s="9"/>
    </row>
    <row r="5">
      <c r="A5" s="4" t="s">
        <v>134</v>
      </c>
      <c r="B5" s="4" t="s">
        <v>136</v>
      </c>
      <c r="C5" s="4" t="s">
        <v>137</v>
      </c>
      <c r="D5" s="4" t="s">
        <v>138</v>
      </c>
      <c r="E5" s="4" t="s">
        <v>139</v>
      </c>
      <c r="F5" s="9"/>
      <c r="G5" s="9"/>
    </row>
    <row r="6">
      <c r="A6" s="3" t="s">
        <v>6</v>
      </c>
      <c r="B6" s="3" t="s">
        <v>84</v>
      </c>
      <c r="C6" s="3" t="s">
        <v>140</v>
      </c>
      <c r="D6" s="43">
        <f>COUNTA(QOWV!A11:A48)</f>
        <v>37</v>
      </c>
      <c r="E6" s="3" t="s">
        <v>141</v>
      </c>
    </row>
    <row r="8">
      <c r="A8" s="4" t="s">
        <v>142</v>
      </c>
      <c r="B8" s="33">
        <v>1201.0</v>
      </c>
      <c r="C8" s="9"/>
      <c r="D8" s="9"/>
      <c r="E8" s="9"/>
      <c r="F8" s="9"/>
      <c r="G8" s="9"/>
    </row>
    <row r="10">
      <c r="A10" s="75" t="s">
        <v>143</v>
      </c>
      <c r="B10" s="76"/>
      <c r="C10" s="76"/>
      <c r="D10" s="76"/>
      <c r="E10" s="76"/>
      <c r="F10" s="76"/>
      <c r="G10" s="76"/>
    </row>
    <row r="11">
      <c r="A11" s="4" t="s">
        <v>144</v>
      </c>
      <c r="B11" s="4" t="s">
        <v>145</v>
      </c>
      <c r="C11" s="4" t="s">
        <v>146</v>
      </c>
      <c r="D11" s="4" t="s">
        <v>147</v>
      </c>
      <c r="E11" s="4" t="s">
        <v>148</v>
      </c>
      <c r="F11" s="4" t="s">
        <v>149</v>
      </c>
      <c r="G11" s="4" t="s">
        <v>150</v>
      </c>
    </row>
    <row r="12">
      <c r="A12" s="3" t="s">
        <v>151</v>
      </c>
      <c r="B12" s="86">
        <v>46195.0</v>
      </c>
      <c r="C12" s="6">
        <v>40.0</v>
      </c>
      <c r="D12" s="6">
        <v>1.0</v>
      </c>
      <c r="E12" s="89">
        <f t="shared" ref="E12:E16" si="1">IFERROR(D12/C12,"")</f>
        <v>0.025</v>
      </c>
      <c r="F12" s="43">
        <f t="shared" ref="F12:F16" si="2">$B$8</f>
        <v>1201</v>
      </c>
      <c r="G12" s="92">
        <f t="shared" ref="G12:G16" si="3">IFERROR(E12*F12,"")</f>
        <v>30.025</v>
      </c>
    </row>
    <row r="13">
      <c r="A13" s="3" t="s">
        <v>153</v>
      </c>
      <c r="B13" s="86">
        <v>46219.0</v>
      </c>
      <c r="C13" s="6">
        <v>40.0</v>
      </c>
      <c r="D13" s="6">
        <v>6.0</v>
      </c>
      <c r="E13" s="89">
        <f t="shared" si="1"/>
        <v>0.15</v>
      </c>
      <c r="F13" s="43">
        <f t="shared" si="2"/>
        <v>1201</v>
      </c>
      <c r="G13" s="92">
        <f t="shared" si="3"/>
        <v>180.15</v>
      </c>
    </row>
    <row r="14">
      <c r="A14" s="4" t="s">
        <v>155</v>
      </c>
      <c r="B14" s="93">
        <v>46237.0</v>
      </c>
      <c r="C14" s="33">
        <v>21.0</v>
      </c>
      <c r="D14" s="33">
        <v>18.0</v>
      </c>
      <c r="E14" s="94">
        <f t="shared" si="1"/>
        <v>0.8571428571</v>
      </c>
      <c r="F14" s="9">
        <f t="shared" si="2"/>
        <v>1201</v>
      </c>
      <c r="G14" s="96">
        <f t="shared" si="3"/>
        <v>1029.428571</v>
      </c>
    </row>
    <row r="15">
      <c r="A15" s="4" t="s">
        <v>156</v>
      </c>
      <c r="B15" s="93">
        <v>46238.0</v>
      </c>
      <c r="C15" s="33">
        <v>20.0</v>
      </c>
      <c r="D15" s="33">
        <v>7.0</v>
      </c>
      <c r="E15" s="94">
        <f t="shared" si="1"/>
        <v>0.35</v>
      </c>
      <c r="F15" s="9">
        <f t="shared" si="2"/>
        <v>1201</v>
      </c>
      <c r="G15" s="96">
        <f t="shared" si="3"/>
        <v>420.35</v>
      </c>
    </row>
    <row r="16">
      <c r="A16" s="4" t="s">
        <v>157</v>
      </c>
      <c r="B16" s="86">
        <v>45993.0</v>
      </c>
      <c r="C16" s="6">
        <v>36.0</v>
      </c>
      <c r="D16" s="6">
        <v>1.0</v>
      </c>
      <c r="E16" s="89">
        <f t="shared" si="1"/>
        <v>0.02777777778</v>
      </c>
      <c r="F16" s="43">
        <f t="shared" si="2"/>
        <v>1201</v>
      </c>
      <c r="G16" s="92">
        <f t="shared" si="3"/>
        <v>33.36111111</v>
      </c>
    </row>
    <row r="17">
      <c r="A17" s="4"/>
      <c r="B17" s="93"/>
      <c r="C17" s="4"/>
      <c r="D17" s="4"/>
      <c r="E17" s="94"/>
      <c r="F17" s="9"/>
      <c r="G17" s="96"/>
    </row>
    <row r="18">
      <c r="A18" s="4" t="s">
        <v>158</v>
      </c>
      <c r="B18" s="93"/>
      <c r="C18" s="41">
        <f t="shared" ref="C18:D18" si="4">SUM(C12:C16)</f>
        <v>157</v>
      </c>
      <c r="D18" s="4">
        <f t="shared" si="4"/>
        <v>33</v>
      </c>
      <c r="E18" s="94"/>
      <c r="F18" s="9"/>
      <c r="G18" s="96">
        <f>SUM(G12:G16)</f>
        <v>1693.314683</v>
      </c>
    </row>
    <row r="19">
      <c r="C19" s="32"/>
      <c r="G19" s="92"/>
    </row>
    <row r="20">
      <c r="A20" s="75" t="s">
        <v>160</v>
      </c>
      <c r="B20" s="76"/>
      <c r="C20" s="76"/>
      <c r="D20" s="76"/>
      <c r="E20" s="9"/>
      <c r="F20" s="9"/>
      <c r="G20" s="9"/>
      <c r="H20" s="9"/>
    </row>
    <row r="21">
      <c r="A21" s="4" t="s">
        <v>161</v>
      </c>
      <c r="B21" s="99">
        <v>537.0</v>
      </c>
      <c r="C21" s="100" t="str">
        <f>HYPERLINK("https://drive.google.com/file/d/17DLmRf2gOawFmCywpNFa-iReA4BzVVMu/view","Charm CO to Charm KS route map")</f>
        <v>Charm CO to Charm KS route map</v>
      </c>
      <c r="D21" s="4"/>
      <c r="E21" s="4"/>
      <c r="F21" s="9"/>
      <c r="G21" s="9"/>
    </row>
    <row r="22">
      <c r="A22" s="3" t="s">
        <v>163</v>
      </c>
      <c r="B22" s="101">
        <v>684.0</v>
      </c>
      <c r="C22" s="11" t="str">
        <f>HYPERLINK("https://drive.google.com/file/d/1fTT5YTSzi0Xc_7m-j21lb6Us_w9dZIa5/view","Charm KS to Charm LA route map")</f>
        <v>Charm KS to Charm LA route map</v>
      </c>
      <c r="D22" s="101"/>
      <c r="F22" s="9"/>
    </row>
    <row r="23">
      <c r="A23" s="3" t="s">
        <v>164</v>
      </c>
      <c r="B23" s="102">
        <f>B21+B22</f>
        <v>1221</v>
      </c>
      <c r="C23" s="43" t="str">
        <f>"vs "&amp;TEXT($B$8,"#,##0")&amp;" mi direct ("&amp;TEXT((B23-$B$8)/$B$8,"+0.0%")&amp;")"</f>
        <v>vs 1,201 mi direct (+1.7%)</v>
      </c>
      <c r="D23" s="103"/>
    </row>
    <row r="24">
      <c r="A24" s="4"/>
      <c r="B24" s="9"/>
      <c r="C24" s="9"/>
      <c r="D24" s="104"/>
      <c r="E24" s="9"/>
    </row>
    <row r="25">
      <c r="A25" s="4" t="s">
        <v>169</v>
      </c>
      <c r="B25" s="4" t="s">
        <v>145</v>
      </c>
      <c r="C25" s="4" t="s">
        <v>170</v>
      </c>
      <c r="D25" s="4" t="s">
        <v>147</v>
      </c>
      <c r="E25" s="4" t="s">
        <v>172</v>
      </c>
      <c r="F25" s="4" t="s">
        <v>173</v>
      </c>
      <c r="G25" s="4" t="s">
        <v>150</v>
      </c>
      <c r="H25" s="4" t="s">
        <v>174</v>
      </c>
    </row>
    <row r="26">
      <c r="A26" s="3" t="s">
        <v>175</v>
      </c>
      <c r="B26" s="103">
        <v>45951.0</v>
      </c>
      <c r="C26" s="101">
        <v>34.0</v>
      </c>
      <c r="D26" s="101">
        <v>4.0</v>
      </c>
      <c r="E26" s="43">
        <f t="shared" ref="E26:E27" si="5">IFERROR(D26/C26,"")</f>
        <v>0.1176470588</v>
      </c>
      <c r="F26" s="92">
        <f>$B$21*H26</f>
        <v>1074</v>
      </c>
      <c r="G26" s="92">
        <f t="shared" ref="G26:G27" si="6">IFERROR(E26*F26,"")</f>
        <v>126.3529412</v>
      </c>
      <c r="H26" s="101">
        <v>2.0</v>
      </c>
    </row>
    <row r="27">
      <c r="A27" s="3" t="s">
        <v>182</v>
      </c>
      <c r="B27" s="3" t="s">
        <v>183</v>
      </c>
      <c r="C27" s="101">
        <v>6.0</v>
      </c>
      <c r="D27" s="101">
        <v>4.0</v>
      </c>
      <c r="E27" s="43">
        <f t="shared" si="5"/>
        <v>0.6666666667</v>
      </c>
      <c r="F27" s="92">
        <f>$B$22*H27</f>
        <v>684</v>
      </c>
      <c r="G27" s="92">
        <f t="shared" si="6"/>
        <v>456</v>
      </c>
      <c r="H27" s="101">
        <v>1.0</v>
      </c>
    </row>
    <row r="28">
      <c r="A28" s="4" t="s">
        <v>188</v>
      </c>
      <c r="B28" s="9"/>
      <c r="C28" s="115"/>
      <c r="D28" s="9"/>
      <c r="E28" s="9"/>
      <c r="F28" s="96"/>
      <c r="G28" s="96">
        <f>SUM(G26:G27)</f>
        <v>582.3529412</v>
      </c>
      <c r="H28" s="9"/>
    </row>
    <row r="29">
      <c r="C29" s="31"/>
    </row>
    <row r="30">
      <c r="A30" s="4" t="s">
        <v>190</v>
      </c>
      <c r="B30" s="9"/>
      <c r="C30" s="115"/>
      <c r="D30" s="9"/>
      <c r="E30" s="9"/>
      <c r="F30" s="9"/>
      <c r="G30" s="96">
        <f>G18+G28</f>
        <v>2275.667624</v>
      </c>
      <c r="H30" s="9"/>
    </row>
    <row r="31">
      <c r="C31" s="31"/>
    </row>
    <row r="32">
      <c r="A32" s="3" t="s">
        <v>192</v>
      </c>
      <c r="B32" s="102">
        <f>D18+D27</f>
        <v>37</v>
      </c>
      <c r="C32" s="101">
        <f>COUNTA(QOWV!A11:A48)</f>
        <v>37</v>
      </c>
      <c r="D32" s="43" t="str">
        <f>IF(B32=C32,"OK - every tote allocated","MISMATCH - check tote counts")</f>
        <v>OK - every tote allocated</v>
      </c>
    </row>
    <row r="33">
      <c r="C33" s="31"/>
      <c r="F33" s="9"/>
    </row>
    <row r="34">
      <c r="A34" s="4" t="s">
        <v>196</v>
      </c>
      <c r="B34" s="9"/>
      <c r="C34" s="115"/>
      <c r="D34" s="9"/>
      <c r="E34" s="9"/>
      <c r="F34" s="9"/>
      <c r="G34" s="9"/>
      <c r="H34" s="9"/>
    </row>
    <row r="35">
      <c r="A35" s="3" t="s">
        <v>197</v>
      </c>
      <c r="C35" s="31"/>
      <c r="F35" s="9"/>
    </row>
    <row r="36">
      <c r="A36" s="3" t="s">
        <v>198</v>
      </c>
      <c r="C36" s="31"/>
      <c r="F36" s="9"/>
    </row>
    <row r="37">
      <c r="A37" s="3" t="s">
        <v>199</v>
      </c>
      <c r="C37" s="31"/>
    </row>
    <row r="38">
      <c r="A38" s="3" t="s">
        <v>200</v>
      </c>
      <c r="C38" s="31"/>
    </row>
    <row r="39">
      <c r="A39" s="3" t="s">
        <v>201</v>
      </c>
      <c r="C39" s="31"/>
    </row>
    <row r="40">
      <c r="A40" s="3" t="s">
        <v>202</v>
      </c>
      <c r="C40" s="31"/>
    </row>
    <row r="41">
      <c r="C41" s="31"/>
    </row>
    <row r="42">
      <c r="A42" s="4"/>
      <c r="B42" s="9"/>
      <c r="C42" s="9"/>
      <c r="D42" s="9"/>
      <c r="E42" s="9"/>
    </row>
    <row r="43">
      <c r="A43" s="4"/>
      <c r="B43" s="4"/>
      <c r="C43" s="4"/>
      <c r="D43" s="4"/>
      <c r="E43" s="4"/>
    </row>
    <row r="44">
      <c r="C44" s="31"/>
    </row>
    <row r="45">
      <c r="A45" s="4"/>
      <c r="B45" s="9"/>
      <c r="C45" s="9"/>
      <c r="D45" s="104"/>
      <c r="E45" s="9"/>
    </row>
    <row r="46">
      <c r="A46" s="4"/>
      <c r="B46" s="4"/>
      <c r="C46" s="4"/>
      <c r="D46" s="4"/>
      <c r="E46" s="4"/>
    </row>
    <row r="47">
      <c r="C47" s="31"/>
    </row>
    <row r="48">
      <c r="C48" s="31"/>
    </row>
    <row r="49">
      <c r="C49" s="31"/>
    </row>
    <row r="50">
      <c r="C50" s="31"/>
    </row>
    <row r="51">
      <c r="C51" s="31"/>
    </row>
    <row r="52">
      <c r="C52" s="31"/>
    </row>
    <row r="53">
      <c r="C53" s="31"/>
    </row>
    <row r="54">
      <c r="C54" s="31"/>
      <c r="F54" s="9"/>
    </row>
    <row r="55">
      <c r="A55" s="4"/>
      <c r="B55" s="9"/>
      <c r="C55" s="9"/>
      <c r="D55" s="104"/>
      <c r="E55" s="9"/>
    </row>
    <row r="56">
      <c r="A56" s="4"/>
      <c r="B56" s="4"/>
      <c r="C56" s="4"/>
      <c r="D56" s="4"/>
      <c r="E56" s="4"/>
      <c r="F56" s="9"/>
    </row>
    <row r="57">
      <c r="C57" s="31"/>
      <c r="F57" s="9"/>
    </row>
    <row r="58">
      <c r="A58" s="4"/>
      <c r="B58" s="9"/>
      <c r="C58" s="115"/>
      <c r="D58" s="104"/>
      <c r="E58" s="9"/>
    </row>
    <row r="59">
      <c r="A59" s="4"/>
      <c r="B59" s="4"/>
      <c r="C59" s="4"/>
      <c r="D59" s="4"/>
      <c r="E59" s="4"/>
    </row>
    <row r="60">
      <c r="C60" s="31"/>
    </row>
    <row r="61">
      <c r="A61" s="4"/>
      <c r="B61" s="9"/>
      <c r="C61" s="9"/>
      <c r="D61" s="104"/>
      <c r="E61" s="9"/>
    </row>
    <row r="62">
      <c r="A62" s="4"/>
      <c r="B62" s="4"/>
      <c r="C62" s="4"/>
      <c r="D62" s="4"/>
      <c r="E62" s="4"/>
    </row>
    <row r="63">
      <c r="C63" s="31"/>
    </row>
    <row r="64">
      <c r="C64" s="31"/>
    </row>
    <row r="65">
      <c r="C65" s="31"/>
    </row>
    <row r="66">
      <c r="C66" s="31"/>
    </row>
    <row r="67">
      <c r="C67" s="31"/>
    </row>
    <row r="68">
      <c r="C68" s="31"/>
    </row>
    <row r="69">
      <c r="C69" s="31"/>
    </row>
    <row r="70">
      <c r="C70" s="31"/>
    </row>
    <row r="71">
      <c r="C71" s="31"/>
    </row>
    <row r="72">
      <c r="A72" s="9"/>
      <c r="B72" s="9"/>
      <c r="C72" s="4"/>
      <c r="D72" s="9"/>
      <c r="E72" s="9"/>
      <c r="F72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162</v>
      </c>
      <c r="B1" s="9"/>
      <c r="C1" s="9"/>
      <c r="D1" s="9"/>
      <c r="E1" s="9"/>
    </row>
    <row r="4">
      <c r="A4" s="75" t="s">
        <v>1</v>
      </c>
      <c r="B4" s="76"/>
      <c r="C4" s="76"/>
      <c r="D4" s="76"/>
      <c r="E4" s="76"/>
    </row>
    <row r="5">
      <c r="A5" s="4" t="s">
        <v>134</v>
      </c>
      <c r="B5" s="4" t="s">
        <v>136</v>
      </c>
      <c r="C5" s="4" t="s">
        <v>137</v>
      </c>
      <c r="D5" s="4" t="s">
        <v>138</v>
      </c>
      <c r="E5" s="4" t="s">
        <v>139</v>
      </c>
    </row>
    <row r="6">
      <c r="A6" s="3" t="s">
        <v>6</v>
      </c>
      <c r="B6" s="3" t="s">
        <v>109</v>
      </c>
      <c r="C6" s="3" t="s">
        <v>140</v>
      </c>
      <c r="D6" s="43">
        <f>COUNTA(WODO!A11:A27)</f>
        <v>0</v>
      </c>
      <c r="E6" s="3" t="s">
        <v>166</v>
      </c>
    </row>
    <row r="8">
      <c r="A8" s="3" t="s">
        <v>142</v>
      </c>
      <c r="B8" s="6">
        <v>1201.0</v>
      </c>
    </row>
    <row r="10">
      <c r="A10" s="75" t="s">
        <v>167</v>
      </c>
      <c r="B10" s="76"/>
      <c r="C10" s="76"/>
      <c r="D10" s="76"/>
      <c r="E10" s="76"/>
      <c r="F10" s="76"/>
      <c r="G10" s="76"/>
    </row>
    <row r="11">
      <c r="A11" s="4" t="s">
        <v>144</v>
      </c>
      <c r="B11" s="4" t="s">
        <v>145</v>
      </c>
      <c r="C11" s="4" t="s">
        <v>146</v>
      </c>
      <c r="D11" s="4" t="s">
        <v>147</v>
      </c>
      <c r="E11" s="4" t="s">
        <v>148</v>
      </c>
      <c r="F11" s="4" t="s">
        <v>149</v>
      </c>
      <c r="G11" s="4" t="s">
        <v>150</v>
      </c>
    </row>
    <row r="12">
      <c r="B12" s="103"/>
      <c r="E12" s="105"/>
      <c r="G12" s="12"/>
    </row>
    <row r="13">
      <c r="A13" s="4"/>
      <c r="B13" s="9"/>
      <c r="C13" s="9"/>
      <c r="D13" s="9"/>
      <c r="E13" s="107"/>
      <c r="F13" s="9"/>
      <c r="G13" s="109"/>
    </row>
    <row r="15">
      <c r="A15" s="75"/>
      <c r="B15" s="76"/>
      <c r="C15" s="76"/>
      <c r="D15" s="76"/>
    </row>
    <row r="16">
      <c r="A16" s="4"/>
      <c r="B16" s="4"/>
      <c r="C16" s="4"/>
      <c r="D16" s="4"/>
    </row>
    <row r="17">
      <c r="C17" s="12"/>
      <c r="D17" s="102"/>
    </row>
    <row r="19">
      <c r="A19" s="4"/>
      <c r="B19" s="9"/>
      <c r="C19" s="9"/>
      <c r="D19" s="9"/>
      <c r="E19" s="9"/>
    </row>
    <row r="20">
      <c r="A20" s="4"/>
      <c r="B20" s="4"/>
      <c r="C20" s="4"/>
      <c r="D20" s="4"/>
      <c r="E20" s="4"/>
    </row>
    <row r="21">
      <c r="C21" s="31"/>
    </row>
    <row r="22">
      <c r="C22" s="31"/>
    </row>
    <row r="23">
      <c r="C23" s="31"/>
    </row>
    <row r="24">
      <c r="C24" s="31"/>
      <c r="D24" s="103"/>
    </row>
    <row r="25">
      <c r="C25" s="31"/>
      <c r="D25" s="103"/>
    </row>
    <row r="26">
      <c r="C26" s="31"/>
      <c r="D26" s="103"/>
    </row>
    <row r="27">
      <c r="C27" s="31"/>
      <c r="D27" s="103"/>
    </row>
    <row r="28">
      <c r="C28" s="31"/>
      <c r="D28" s="103"/>
    </row>
    <row r="29">
      <c r="C29" s="31"/>
      <c r="D29" s="103"/>
    </row>
    <row r="30">
      <c r="C30" s="31"/>
      <c r="D30" s="103"/>
    </row>
    <row r="31">
      <c r="C31" s="31"/>
      <c r="D31" s="103"/>
    </row>
    <row r="32">
      <c r="C32" s="31"/>
      <c r="D32" s="103"/>
    </row>
    <row r="33">
      <c r="C33" s="31"/>
      <c r="D33" s="103"/>
    </row>
    <row r="34">
      <c r="C34" s="31"/>
      <c r="D34" s="103"/>
    </row>
  </sheetData>
  <drawing r:id="rId1"/>
</worksheet>
</file>