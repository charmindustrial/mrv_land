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WODO" sheetId="3" r:id="rId7"/>
    <sheet state="visible" name="AECN Truck" sheetId="4" r:id="rId8"/>
    <sheet state="hidden" name="Kerry" sheetId="5" r:id="rId9"/>
    <sheet state="visible" name="QOWV" sheetId="6" r:id="rId10"/>
    <sheet state="visible" name="QOWV Shipments &amp; EE Allocation" sheetId="7" r:id="rId11"/>
    <sheet state="hidden" name="WODO Shipments &amp; EE Allocation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8">
      <text>
        <t xml:space="preserve">W4 (2026-08-15..2026-08-22): 4 offloads / 1 railcar per COBB (bio_oil, injection_completion_date in window; injection_batch = INJ-08-2026-W4_bio_oil).
All 4 offload masses are scale-ticket derived (full - empty) x $O$4 and tie to COBB offloaded_quantity_kg to 0.00 kg. Every implied lb is a multiple of 20 (CAT scale increment), so no COBB value was substituted.
Loaded/tare pairs resolved by tractor identity (CH1/CH2) as well as net mass.</t>
      </text>
    </comment>
    <comment authorId="0" ref="D42">
      <text>
        <t xml:space="preserve">CAT ticket 1124426228415 (LOADED), weighed 2026-08-16 14:40, CAT scale 1244, tractor CH1. Gross 64,800 lb.
Source: Gmail from:weighmytruck@catscale.com, harvested 2026-08-25; PDF filed in Injection Batch Data/W4/Scale Tickets.</t>
      </text>
    </comment>
    <comment authorId="0" ref="D41">
      <text>
        <t xml:space="preserve">CAT ticket 1124426228414 (LOADED), weighed 2026-08-16 09:17, CAT scale 1244, tractor CH1. Gross 77,960 lb.
Source: Gmail from:weighmytruck@catscale.com, harvested 2026-08-25; PDF filed in Injection Batch Data/W4/Scale Tickets.</t>
      </text>
    </comment>
    <comment authorId="0" ref="E42">
      <text>
        <t xml:space="preserve">CAT ticket 1312226229047 (TARE), weighed 2026-08-17 10:43, CAT scale 3122, tractor CH1. Gross 29,120 lb.
Source: Gmail from:weighmytruck@catscale.com, harvested 2026-08-25; PDF filed in Injection Batch Data/W4/Scale Tickets.</t>
      </text>
    </comment>
    <comment authorId="0" ref="D40">
      <text>
        <t xml:space="preserve">CAT ticket 1124426227413 (LOADED), weighed 2026-08-15 11:44, CAT scale 1244, tractor CH1. Gross 73,860 lb.
Source: Gmail from:weighmytruck@catscale.com, harvested 2026-08-25; PDF filed in Injection Batch Data/W4/Scale Tickets.</t>
      </text>
    </comment>
    <comment authorId="0" ref="E41">
      <text>
        <t xml:space="preserve">CAT ticket 1312226228034 (TARE), weighed 2026-08-16 12:26, CAT scale 3122, tractor CH1. Gross 29,400 lb.
Source: Gmail from:weighmytruck@catscale.com, harvested 2026-08-25; PDF filed in Injection Batch Data/W4/Scale Tickets.</t>
      </text>
    </comment>
    <comment authorId="0" ref="G10">
      <text>
        <t xml:space="preserve">Loss 341.55 kg = 0.44% of the 78,060 kg loaded. Railcar is functionally closed (offloaded &gt;= 95% of loaded), so Loss displays.</t>
      </text>
    </comment>
    <comment authorId="0" ref="D39">
      <text>
        <t xml:space="preserve">CAT ticket 1124426227412 (LOADED), weighed 2026-08-15 11:31, CAT scale 1244, tractor CH2. Gross 71,400 lb.
Source: Gmail from:weighmytruck@catscale.com, harvested 2026-08-25; PDF filed in Injection Batch Data/W4/Scale Tickets.</t>
      </text>
    </comment>
    <comment authorId="0" ref="E40">
      <text>
        <t xml:space="preserve">CAT ticket 1312226228029 (TARE), weighed 2026-08-16 07:26, CAT scale 3122, tractor CH1. Gross 29,580 lb.
Source: Gmail from:weighmytruck@catscale.com, harvested 2026-08-25; PDF filed in Injection Batch Data/W4/Scale Tickets.</t>
      </text>
    </comment>
    <comment authorId="0" ref="H10">
      <text>
        <t xml:space="preserve">Previously Claimed = 0. SHPX215076 (loading Rail_SHPX215076_6.29.2026) has no offload in any earlier week or RP -- COBB returns only these 4 offload rows for this railcar.</t>
      </text>
    </comment>
    <comment authorId="0" ref="E39">
      <text>
        <t xml:space="preserve">CAT ticket 1312226229048 (TARE), weighed 2026-08-17 10:49, CAT scale 3122, tractor CH2. Gross 28,580 lb.
Source: Gmail from:weighmytruck@catscale.com, harvested 2026-08-25; PDF filed in Injection Batch Data/W4/Scale Tickets.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5">
      <text>
        <t xml:space="preserve">Kerry Calciner filtration solids = 0.071% (0.00071). Cell is hyperlinked to the test.
SOURCE OF RECORD: CAR-474 'Solids Loading in Kerry-AECN-WODO oils.xlsx', sample 'MANITOWOC CALCINER PHASE' = 0.071 % Solids, lab SGS, measured 2026-05-28.
Filed this RP at: August 1 - August 31 RP / Injection Batch Data / Kerry Oil /
CAR-474 folder: https://drive.google.com/drive/folders/1TrKV8srSpVrofMKx1KM77qALoDlqQiK1
Full CAR-474 set (% solids): WODO 0.3 (Charm); GPRX 5254 Tanker Load 0.33 (SGS); GPRX 5254 Railcar Preload 0.076 (SGS); Manitowoc Calciner Phase 0.071 (SGS); Rhinelander RTP Tar 2.5 (SGS).
DISCREPANCY TO CONFIRM WITH THE LAB: the Slack announcement of CAR-474 (steven.rowland, #chemical-analysis-notifs 2026-05-29 10:42 MDT) quotes 'Kerry Manitowoc Calciner Phase Separated Tar - 0.71% solids' and 'WODO - 0.33%' - i.e. 10x this value for Kerry, and the tanker-load figure for WODO. All three copies of the CAR-474 data file read 0.071 and 0.3, so the data file is authoritative and the Slack text is treated as a transcription slip. Confirm with Steven Rowland before this constant is ever changed.
Solids is NOT on the SGS MRV COA panel (C/H/N, D445 viscosity, titration solvent volume, D664 acid number, D4052 density) - it only comes from CAR filtration work.
PRODUCT DRIFT: Calciner 0.071% vs Rhinelander 2.5% is ~35x. Confirm the product from the COA CLIENT ID / SOURCE ID before applying (W3 = '08-2026-W3 KERRY', SOURCE ID 'B CALCINER').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COBB security_tag for this tote reads "30008" -- a dropped leading zero. The tote is 300008 (MFO Lot 4484, December 2025 PP) per the BGN Inventory Master. Corrected here; flag upstream so COBB stops emitting the truncated tag.</t>
      </text>
    </comment>
    <comment authorId="0" ref="L7">
      <text>
        <t xml:space="preserve">H2 2026 rolling 6-month Carbon Intensity (Garrett, 2026-08-18). Computed from Jan-Jun 2026 Production Period Summaries (V2_Charm_BioOil_Mass_Weighted_CI_Jan-Jun_2026.xlsx), held fixed for Jul-Dec 2026 reporting, then re-derived for the next 6-month window. Supersedes the per-PP Carbon Intensity lookup for this column -- every tote in this ledger uses this ONE value regardless of which PP it originated from. Does not affect the lab composite C%% used for gross removal.</t>
      </text>
    </comment>
    <comment authorId="0" ref="C10">
      <text>
        <t xml:space="preserve">Tote Mass = tare by TOTE SIZE, not by oil fraction: 275 gal -&gt; 57.6 kg. Every W4 tote is 275 gal per BGN Inventory Master col Q. Where the master still shows the legacy 62.93 tare (tote 120534), 57.6 is used -- 62.93 is the known PP#7/PP#8 defect (57.6 + a WODO-only 5.33 loss misapplied to QOWV).</t>
      </text>
    </comment>
    <comment authorId="0" ref="E10">
      <text>
        <t xml:space="preserve">Empty Tote Weight is a MEASURED post-injection value (totes retain residual oil, typically 1-10 kg above the 57.6 kg tare) and is the one open input on this tab. Brad recorded W4 QOWV empty weights on 2026-08-24 (Slack #louisiana-crew) -- pull them from the tote manager / the crew list.
COBB quantity_consumed cannot substitute: it implies a plausible empty weight for only 23 of the 42 totes and a physically impossible negative for the other 17 (consumed &gt; gross). See beads Claude-qbh.
Until E is filled, Net Oil Injected (F) and the Summary QOWV MOBI stay blank/0.</t>
      </text>
    </comment>
    <comment authorId="0" ref="A53">
      <text>
        <t xml:space="preserve">Kansas tote. Not in the BGN "Q4 2025 -2026 Production Inventory Master" -- sourced from the Archive 2024-2025 master (PP#7, 6/1-6/30): gross 889 kg, tare 57.6, net 831.4. Cross-checked against the QOWV_32_33 sheet row 29 (LOT00002676, 831.4 kg, flagged "This will be W4").
Excluded from the Charm CO -&gt; Basco LA EE allocation: it did not travel that route.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">
      <text>
        <t xml:space="preserve">Total Totes on Truck counted from the BGN Inventory Master Ship Status column: COLA_27=20, COLA_30=20, COLA21=20, COLA_29=20, COLA_25=20; the 2025-12-02 "Truck 2" group = 36 by Date Shipped.
W3 used 40 for COLA21 and COLA_25 and 21 for COLA_29, which the master does not support (no COLA truck exceeds 20 totes). The master counts are used here -- they are also the more conservative choice (smaller denominator -&gt; more allocated miles). Reconcile W3 against the COLA BOL manifests.</t>
      </text>
    </comment>
  </commentList>
</comments>
</file>

<file path=xl/sharedStrings.xml><?xml version="1.0" encoding="utf-8"?>
<sst xmlns="http://schemas.openxmlformats.org/spreadsheetml/2006/main" count="364" uniqueCount="235">
  <si>
    <t>BATCH SUMMARY</t>
  </si>
  <si>
    <t>BATCH HEADER — AECN Rail</t>
  </si>
  <si>
    <t>BATCH HEADER — Charm WODO (IBC Totes)</t>
  </si>
  <si>
    <t>Batch ID</t>
  </si>
  <si>
    <t>INJ-08-2026-W4</t>
  </si>
  <si>
    <t>Week Start (Sat)</t>
  </si>
  <si>
    <t>Week End (Sat)</t>
  </si>
  <si>
    <t>Batch ID (INJ-YYYY-WXX)</t>
  </si>
  <si>
    <t>SECTION 1 - PER-TAB SUMMARY  (each row pulls from its mode tab)</t>
  </si>
  <si>
    <t>BATCH HEADER — AECN Truck (Direct from Fort Lupton)</t>
  </si>
  <si>
    <t>Constants</t>
  </si>
  <si>
    <t>Source Tab</t>
  </si>
  <si>
    <t>Σ Deliveries / Cargo (kg)</t>
  </si>
  <si>
    <t>Σ Uncertainty Adj (kg)</t>
  </si>
  <si>
    <t>Mass Used (kg)</t>
  </si>
  <si>
    <t>Lbs/Kg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</si>
  <si>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</si>
  <si>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</si>
  <si>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</si>
  <si>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</si>
  <si>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</si>
  <si>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</si>
  <si>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</si>
  <si>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Kg/Lbs</t>
  </si>
  <si>
    <t>Sparging Mass Loss</t>
  </si>
  <si>
    <t>pH range (target)</t>
  </si>
  <si>
    <t>2.0 - 4.0</t>
  </si>
  <si>
    <t>Filtration Solids Content</t>
  </si>
  <si>
    <t>WODO 6-Mo CI (kg CO2e/kg), Jul-Dec 2026</t>
  </si>
  <si>
    <t>SECTION 1 - IBC LEDGER  (one row per IBC tote; tote tag mass is authoritative)</t>
  </si>
  <si>
    <t>WODO Standard Loss (kg/tote), 2026 = Mean + 1 SD</t>
  </si>
  <si>
    <t>SECTION 1 - RAILCARS RECEIVED THIS WEEK  (entity-level)</t>
  </si>
  <si>
    <t>Transport Emissions</t>
  </si>
  <si>
    <t>Pyrolysis Emissions Mass &amp; Standard Loss</t>
  </si>
  <si>
    <t>MOBI</t>
  </si>
  <si>
    <t>Pyrolysis Emissions Mass</t>
  </si>
  <si>
    <t>BOL Trips (AECN→SOPOR)</t>
  </si>
  <si>
    <t>Per-Production-Month CI (kg CO2e/kg) - PP Summary Output Type table, col T</t>
  </si>
  <si>
    <t>SECTION 1 - DELIVERIES LEDGER  (one row per direct truck; BOL &amp; scale ticket on same row)</t>
  </si>
  <si>
    <t>Railcar #</t>
  </si>
  <si>
    <t>Arrival Date at Opelousas</t>
  </si>
  <si>
    <t>Tag</t>
  </si>
  <si>
    <t>Loading BOLs (comma-sep)</t>
  </si>
  <si>
    <t>Gross Mass (kg)</t>
  </si>
  <si>
    <t>Total Loaded (MT)</t>
  </si>
  <si>
    <t>Tote Mass (kg)</t>
  </si>
  <si>
    <t>Total Loaded (kg)</t>
  </si>
  <si>
    <t>Total Offloaded (kg, auto)</t>
  </si>
  <si>
    <t>Date</t>
  </si>
  <si>
    <t>Loss (kg)</t>
  </si>
  <si>
    <t>Net Oil Produced (kg)</t>
  </si>
  <si>
    <t>BOL # / SO #</t>
  </si>
  <si>
    <t>Previously Claimed (kg)</t>
  </si>
  <si>
    <t>Claimed This Week (kg)</t>
  </si>
  <si>
    <t>Standard Loss (kg)</t>
  </si>
  <si>
    <t>BOL Mass (MT)</t>
  </si>
  <si>
    <t>AECN→SOPOR (mi)</t>
  </si>
  <si>
    <t>Net Oil Injected (kg)</t>
  </si>
  <si>
    <t>Rail (mi)</t>
  </si>
  <si>
    <t>BOL Mass (kg)</t>
  </si>
  <si>
    <t>Opel→Basco (mi)</t>
  </si>
  <si>
    <t>Production Period</t>
  </si>
  <si>
    <t>pH</t>
  </si>
  <si>
    <t>Full Railcar This Week?</t>
  </si>
  <si>
    <t>Notes</t>
  </si>
  <si>
    <t>Round Trip (Opel→Basco)</t>
  </si>
  <si>
    <t>Carbon Intensity</t>
  </si>
  <si>
    <t>EE</t>
  </si>
  <si>
    <t>Production  Emissions</t>
  </si>
  <si>
    <t>Scale Uncertainty</t>
  </si>
  <si>
    <t>PP#8</t>
  </si>
  <si>
    <t>SHPX215076</t>
  </si>
  <si>
    <t>AECN Truck</t>
  </si>
  <si>
    <t>2402-R, 2403-R, 2404-R</t>
  </si>
  <si>
    <t>Charm WODO</t>
  </si>
  <si>
    <t>AECN delivery 8/19/2026</t>
  </si>
  <si>
    <t>Kerry</t>
  </si>
  <si>
    <t>QOWV</t>
  </si>
  <si>
    <t>TOTAL</t>
  </si>
  <si>
    <t>SECTION 2 - PER-OIL-TYPE ROLLUP  (composite C% per oil type per week)</t>
  </si>
  <si>
    <t>Oil Type</t>
  </si>
  <si>
    <t>Transport Mass - upstream (kg)</t>
  </si>
  <si>
    <t>Transport Mass - downstream Opel→Basco (kg)</t>
  </si>
  <si>
    <t>Pyrolysis Mass (kg)</t>
  </si>
  <si>
    <t>MOBI - sequestration (kg)</t>
  </si>
  <si>
    <t>July 2026 and later (Jan-Jun 2026 rolling)</t>
  </si>
  <si>
    <t>Composite Sample ID</t>
  </si>
  <si>
    <t>C %</t>
  </si>
  <si>
    <t>Lab COA Link</t>
  </si>
  <si>
    <t>C Content Uncertainty</t>
  </si>
  <si>
    <t>Testing Uncertainty</t>
  </si>
  <si>
    <t>AECN</t>
  </si>
  <si>
    <t>AECN delivery 8/22/2026</t>
  </si>
  <si>
    <t>AECN delivery 8/21/2026</t>
  </si>
  <si>
    <t>SECTION 2 - ORIGINS LEDGER  (loading BOLs at SOPOR)</t>
  </si>
  <si>
    <t>08-2026-W4 AECN</t>
  </si>
  <si>
    <t>BOL #</t>
  </si>
  <si>
    <t>WODO</t>
  </si>
  <si>
    <t>SECTION 2 - ROLLUP</t>
  </si>
  <si>
    <t>Transport Mass</t>
  </si>
  <si>
    <t>Σ Net Oil Produced (kg)</t>
  </si>
  <si>
    <t>MOBI — Σ Net Oil Injected (kg)</t>
  </si>
  <si>
    <t>08-2026-W4 QOWV</t>
  </si>
  <si>
    <t xml:space="preserve"> </t>
  </si>
  <si>
    <t>SECTION 2 - ROLLUP  (Mass Used = Σ BOL kg; scale tickets no longer required for direct trucks per 2026-05-26)</t>
  </si>
  <si>
    <t>Σ BOL (kg)</t>
  </si>
  <si>
    <t>Uncertainty Adjustment (kg)</t>
  </si>
  <si>
    <t>SECTION 3 - SCALE TICKETS + OFFLOAD WEIGHTS</t>
  </si>
  <si>
    <t>Offload Key</t>
  </si>
  <si>
    <t>Full Scale Ticket (lb)</t>
  </si>
  <si>
    <t>Empty Scale Ticket (lb)</t>
  </si>
  <si>
    <t>Net Scaled Mass (kg)</t>
  </si>
  <si>
    <t>AECN→SOPOR (mi, x3 — full BOL)</t>
  </si>
  <si>
    <t>Rail (mi) — FULL railcar: flat 2199 on first offload; PARTIAL: offload-mass-basis allocation</t>
  </si>
  <si>
    <t>Opel→Basco (mi, x2 — downstream, per offload)</t>
  </si>
  <si>
    <t>Rail_SHPX215076_6.29.2026_offload_1</t>
  </si>
  <si>
    <t>BATCH HEADER — Kerry (Calciner Waste Oil, IBC Totes)</t>
  </si>
  <si>
    <t>Filtration Solids Content (Kerry Calciner)</t>
  </si>
  <si>
    <t>BATCH HEADER — QOWV (Aqueous Bio-Oil, IBC Totes)</t>
  </si>
  <si>
    <t>QOWV 6-Mo CI (kg CO2e/kg), Jul-Dec 2026</t>
  </si>
  <si>
    <t>Empty Tote Weight (kg)</t>
  </si>
  <si>
    <t>SECTION 1 - IBC LEDGER  (one row per Kerry tote; tote tag mass is authoritative)</t>
  </si>
  <si>
    <t>Full Ticket (lb)</t>
  </si>
  <si>
    <t>Empty Ticket 2 (lb)</t>
  </si>
  <si>
    <t>Gross Mass (kg) — transport</t>
  </si>
  <si>
    <t xml:space="preserve">Net Oil (kg) </t>
  </si>
  <si>
    <t>Net Injected (kg) — MOBI</t>
  </si>
  <si>
    <t>C Content</t>
  </si>
  <si>
    <t>Mass Uncertainty (kg)</t>
  </si>
  <si>
    <t>MFO Lot 301000 (LOT00301000), March 2026</t>
  </si>
  <si>
    <t>Σ Net Oil — pre-filtration (kg)</t>
  </si>
  <si>
    <t>INJ-08-2026-W4 - QOWV Shipments &amp; EE Mileage Allocation</t>
  </si>
  <si>
    <t>MFO Lot 301005 (LOT00301005), April 2026</t>
  </si>
  <si>
    <t>Batch</t>
  </si>
  <si>
    <t>Fraction</t>
  </si>
  <si>
    <t>Inj. Week</t>
  </si>
  <si>
    <t># Totes</t>
  </si>
  <si>
    <t>Shipping Orders (relevant totes)</t>
  </si>
  <si>
    <t>2026-08-15 to 2026-08-22</t>
  </si>
  <si>
    <t>MFO Lot 301008 (LOT00301008), April 2026</t>
  </si>
  <si>
    <t>6 shipping order(s) direct CO-&gt;LA: COLA_27, COLA_30, COLA21, COLA_29, COLA_25, Truck 2 (by Date Shipped) = 41 totes. Totals-on-truck counted from BGN master Ship Status. Plus 1 Kansas tote (118846) routed CO -&gt; Charm KS -&gt; Basco LA, allocated in table B below. 41 + 1 = 42.</t>
  </si>
  <si>
    <t>Charm CO -&gt; Basco LA distance (one-way mi)</t>
  </si>
  <si>
    <t>MFO Lot 301013 (LOT00301013), March 2026</t>
  </si>
  <si>
    <t>EE ALLOCATION TABLE - A. Direct Charm CO -&gt; Basco LA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</si>
  <si>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</si>
  <si>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</si>
  <si>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</si>
  <si>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</si>
  <si>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</si>
  <si>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</si>
  <si>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</si>
  <si>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COLA_27</t>
  </si>
  <si>
    <t>MFO Lot 301015 (LOT00301015), March 2026</t>
  </si>
  <si>
    <t>INJ-08-2026-W4 - WODO Shipments &amp; EE Mileage Allocation</t>
  </si>
  <si>
    <t>MFO Lot 301019 (LOT00301019), March 2026</t>
  </si>
  <si>
    <t>COLA_30</t>
  </si>
  <si>
    <t>MFO Lot 301021 (LOT00301021), April 2026</t>
  </si>
  <si>
    <t>COLA21</t>
  </si>
  <si>
    <t>N/A - no WODO totes injected this week</t>
  </si>
  <si>
    <t>EE ALLOCATION TABLE</t>
  </si>
  <si>
    <t>COLA_29</t>
  </si>
  <si>
    <t>COLA_25</t>
  </si>
  <si>
    <t>MFO Lot 301022 (LOT00301022), April 2026</t>
  </si>
  <si>
    <t>Truck 2 (by Date Shipped)</t>
  </si>
  <si>
    <t>SUBTOTAL A - Direct</t>
  </si>
  <si>
    <t>MFO Lot 301029 (LOT00301029), March 2026</t>
  </si>
  <si>
    <t>EE ALLOCATION TABLE - B. Via Kansas  (Charm CO -&gt; Charm KS -&gt; Basco LA)   tote tag(s): 118846</t>
  </si>
  <si>
    <t>Charm CO -&gt; Charm KS distance (one-way mi)</t>
  </si>
  <si>
    <t>MFO Lot 301038 (LOT00301038), March 2026</t>
  </si>
  <si>
    <t>Charm KS -&gt; Basco LA distance (one-way mi)</t>
  </si>
  <si>
    <t>PP#7</t>
  </si>
  <si>
    <t>Via-KS route total (one-way mi)</t>
  </si>
  <si>
    <t>MFO Lot 301044 (LOT00301044), March 2026</t>
  </si>
  <si>
    <t>MFO Lot 301045 (LOT00301045), March 2026</t>
  </si>
  <si>
    <t>Leg</t>
  </si>
  <si>
    <t>Total Totes on Truck(s)</t>
  </si>
  <si>
    <t>MFO Lot 301046 (LOT00301046), March 2026</t>
  </si>
  <si>
    <t>Batch Share of Truck(s)</t>
  </si>
  <si>
    <t>Mileage (one-way x trucks)</t>
  </si>
  <si>
    <t>Trucks</t>
  </si>
  <si>
    <t>Leg 1 - Shipment #32/#33: Charm CO -&gt; Charm KS</t>
  </si>
  <si>
    <t>MFO Lot 301048 (LOT00301048), April 2026</t>
  </si>
  <si>
    <t>MFO Lot 301049 (LOT00301049), March 2026</t>
  </si>
  <si>
    <t>Leg 2 - Charm KS -&gt; Basco LA (repositioning)</t>
  </si>
  <si>
    <t>MFO Lot 301056 (LOT00301056), April 2026</t>
  </si>
  <si>
    <t>SUBTOTAL B - Via Kansas</t>
  </si>
  <si>
    <t>MFO Lot 301059 (LOT00301059), March 2026</t>
  </si>
  <si>
    <t>GRAND TOTAL ALLOCATED MILES (A + B)</t>
  </si>
  <si>
    <t>MFO Lot 301061 (LOT00301061), March 2026</t>
  </si>
  <si>
    <t>Reconciliation - totes allocated vs QOWV ledger</t>
  </si>
  <si>
    <t>MFO Lot 301069 (LOT00301069), March 2026</t>
  </si>
  <si>
    <t>Rail_SHPX215076_6.29.2026_offload_2</t>
  </si>
  <si>
    <t>MFO Lot 301071 (LOT00301071), March 2026</t>
  </si>
  <si>
    <t>NOTES - Kansas-routed totes</t>
  </si>
  <si>
    <t>1. Basis: these totes shipped Charm CO -&gt; Charm KS on Shipment #32/#33 (2 trucks, 34 QOWV totes, shipped 2025-10-21; BGN master tab "QOWV totes to KS Shipment #32&amp;33"), were stored at Charm KS, then repositioned Charm KS -&gt; Basco LA. They never rode a direct CO-&gt;LA truck, so they are excluded from table A and allocated their actual two-leg route here.</t>
  </si>
  <si>
    <t>2. Precedent: INJ-05-2026-W1 "KS Rail" tab charges KS-routed material the actual via-KS path ("Rail via Maize" 3,380 mi vs 2,199 mi direct). Dropping the KS legs would understate transport. The via-KS truck route (1,221 mi) is 1.7% longer than direct (1,201 mi), so this is also the conservative treatment.</t>
  </si>
  <si>
    <t>3. Leg 1 denominator: 34 totes across 2 trucks. The #32 vs #33 membership split is not recorded, but n/34 x 2 trucks = n/17 x 1 truck, so the split does not change the allocated miles.</t>
  </si>
  <si>
    <t>4. Leg 2 denominator: 6 totes = the Kansas totes recreated at LA per the QOWV_32_33 tracker (118811, 118837, 118872, 118886, 118846, 120584). Tag 197262 was removed from scope 2026-08-25; had it ridden this truck the denominator would be 7, which allocates fewer miles - 6 is the conservative choice.</t>
  </si>
  <si>
    <t>5. Distance sources: filed route maps linked at B21:C22 - "Charm CO to Charm KS.png" (537 mi, I-70 E) and "Charm KS to Charm LA.png" (684 mi, I-49 S). Attach both to the Certify transport-distance datapoints for these removals.</t>
  </si>
  <si>
    <t>6. Carbon intensity is unaffected: CI stays keyed to the tote production month (PP#7), not the route.</t>
  </si>
  <si>
    <t>MFO Lot 301073 (LOT00301073), March 2026</t>
  </si>
  <si>
    <t>MFO Lot 301077 (LOT00301077), March 2026</t>
  </si>
  <si>
    <t>MFO Lot 301079 (LOT00301079), April 2026</t>
  </si>
  <si>
    <t>MFO Lot 301084 (LOT00301084), March 2026</t>
  </si>
  <si>
    <t>MFO Lot 301094 (LOT00301094), March 2026</t>
  </si>
  <si>
    <t>MFO Lot 301099 (LOT00301099), March 2026</t>
  </si>
  <si>
    <t>MFO Lot 2892 (LOT00002892), PP#8</t>
  </si>
  <si>
    <t>MFO Lot 3235 (LOT00003235), PP#8</t>
  </si>
  <si>
    <t>MFO Lot 4336 (LOT00004336), November 2025</t>
  </si>
  <si>
    <t>MFO Lot 4338 (LOT00004338), November 2025</t>
  </si>
  <si>
    <t>MFO Lot 4348 (LOT00004348), November 2025</t>
  </si>
  <si>
    <t>MFO Lot 4484 (LOT00004484), December 2025</t>
  </si>
  <si>
    <t>Rail_SHPX215076_6.29.2026_offload_3</t>
  </si>
  <si>
    <t>MFO Lot 4490 (LOT00004490), December 2025</t>
  </si>
  <si>
    <t>MFO Lot 4492 (LOT00004492), December 2025</t>
  </si>
  <si>
    <t>MFO Lot 4730 (LOT00004730), February 2026</t>
  </si>
  <si>
    <t>MFO Lot 4769 (LOT00004769), February 2026</t>
  </si>
  <si>
    <t>MFO Lot 4804 (LOT00004804), March 2026</t>
  </si>
  <si>
    <t>MFO Lot 4805 (LOT00004805), March 2026</t>
  </si>
  <si>
    <t>MFO Lot 4806 (LOT00004806), March 2026</t>
  </si>
  <si>
    <t>MFO Lot 4808 (LOT00004808), March 2026</t>
  </si>
  <si>
    <t>MFO Lot 4816 (LOT00004816), March 2026</t>
  </si>
  <si>
    <t>Rail_SHPX215076_6.29.2026_offload_4</t>
  </si>
  <si>
    <t>MFO Lot 2676 (LOT00002676), PP#7</t>
  </si>
  <si>
    <t>Kansas Tote</t>
  </si>
  <si>
    <t>Total CO-&gt;LA</t>
  </si>
  <si>
    <t>Total CO-&gt;KS-&gt;LA</t>
  </si>
  <si>
    <t>pH (wellhead weekly median - site-level, not QOWV-specific)</t>
  </si>
  <si>
    <t>EE Totals (rows 39-60)</t>
  </si>
  <si>
    <t>SECTION 4 - ROLLUP  (Mass Used = Deliveries - Uncertainty Adj)</t>
  </si>
  <si>
    <t>Pyrolysis + Upstream Transport (BOL, kg)</t>
  </si>
  <si>
    <t>Deliveries raw / Downstream Transport (scale tickets, kg)</t>
  </si>
  <si>
    <t>Uncertainty Adj (kg)</t>
  </si>
  <si>
    <t>Mass Used (post-adj) (kg)</t>
  </si>
  <si>
    <t>Origins list (BOLs)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</si>
</sst>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"/>
    <numFmt numFmtId="165" formatCode="0.0000000000"/>
    <numFmt numFmtId="166" formatCode="#,##0.00000"/>
    <numFmt numFmtId="167" formatCode="mmmm yyyy"/>
    <numFmt numFmtId="168" formatCode="0.000000"/>
    <numFmt numFmtId="169" formatCode="0.0000%"/>
    <numFmt numFmtId="170" formatCode="0.000%"/>
    <numFmt numFmtId="171" formatCode="yyyy-mm-dd"/>
    <numFmt numFmtId="172" formatCode="0.0%"/>
    <numFmt numFmtId="173" formatCode="#,##0.0"/>
    <numFmt numFmtId="174" formatCode="#,##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color rgb="FF1F1F1F"/>
    </font>
    <font>
      <b/>
      <sz val="12.0"/>
      <color theme="1"/>
      <name val="Arial"/>
      <scheme val="minor"/>
    </font>
    <font>
      <b/>
      <u/>
      <color rgb="FF0000FF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FFF"/>
        <bgColor rgb="FFFFFFFF"/>
      </patternFill>
    </fill>
    <fill>
      <patternFill patternType="solid">
        <fgColor rgb="FFD8EAF9"/>
        <bgColor rgb="FFD8EAF9"/>
      </patternFill>
    </fill>
    <fill>
      <patternFill patternType="solid">
        <fgColor rgb="FFD9EAD3"/>
        <bgColor rgb="FFD9EAD3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2" fontId="1" numFmtId="0" xfId="0" applyAlignment="1" applyFill="1" applyFont="1">
      <alignment readingOrder="0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2" fontId="5" numFmtId="0" xfId="0" applyFill="1" applyFont="1"/>
    <xf borderId="0" fillId="3" fontId="2" numFmtId="4" xfId="0" applyFill="1" applyFont="1" applyNumberFormat="1"/>
    <xf borderId="0" fillId="3" fontId="3" numFmtId="0" xfId="0" applyAlignment="1" applyFill="1" applyFont="1">
      <alignment horizontal="center" readingOrder="0"/>
    </xf>
    <xf borderId="0" fillId="0" fontId="6" numFmtId="0" xfId="0" applyFont="1"/>
    <xf borderId="0" fillId="3" fontId="3" numFmtId="0" xfId="0" applyFill="1" applyFont="1"/>
    <xf borderId="0" fillId="4" fontId="3" numFmtId="0" xfId="0" applyAlignment="1" applyFill="1" applyFont="1">
      <alignment readingOrder="0"/>
    </xf>
    <xf borderId="0" fillId="3" fontId="3" numFmtId="4" xfId="0" applyAlignment="1" applyFill="1" applyFont="1" applyNumberFormat="1">
      <alignment horizontal="center" readingOrder="0"/>
    </xf>
    <xf borderId="0" fillId="4" fontId="3" numFmtId="4" xfId="0" applyAlignment="1" applyFill="1" applyFont="1" applyNumberFormat="1">
      <alignment horizontal="center"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164" xfId="0" applyAlignment="1" applyFill="1" applyFont="1" applyNumberFormat="1">
      <alignment readingOrder="0"/>
    </xf>
    <xf borderId="0" fillId="3" fontId="2" numFmtId="1" xfId="0" applyAlignment="1" applyFill="1" applyFont="1" applyNumberFormat="1">
      <alignment horizontal="right" readingOrder="0"/>
    </xf>
    <xf borderId="0" fillId="3" fontId="2" numFmtId="4" xfId="0" applyAlignment="1" applyFill="1" applyFont="1" applyNumberFormat="1">
      <alignment readingOrder="0"/>
    </xf>
    <xf borderId="0" fillId="4" fontId="2" numFmtId="4" xfId="0" applyFill="1" applyFont="1" applyNumberFormat="1"/>
    <xf borderId="0" fillId="0" fontId="7" numFmtId="164" xfId="0" applyFont="1" applyNumberFormat="1"/>
    <xf borderId="0" fillId="3" fontId="2" numFmtId="49" xfId="0" applyAlignment="1" applyFill="1" applyFont="1" applyNumberFormat="1">
      <alignment readingOrder="0"/>
    </xf>
    <xf borderId="0" fillId="4" fontId="2" numFmtId="4" xfId="0" applyAlignment="1" applyFill="1" applyFont="1" applyNumberFormat="1">
      <alignment readingOrder="0"/>
    </xf>
    <xf borderId="0" fillId="3" fontId="2" numFmtId="165" xfId="0" applyAlignment="1" applyFill="1" applyFont="1" applyNumberFormat="1">
      <alignment readingOrder="0"/>
    </xf>
    <xf borderId="0" fillId="4" fontId="2" numFmtId="166" xfId="0" applyFill="1" applyFont="1" applyNumberFormat="1"/>
    <xf borderId="0" fillId="0" fontId="2" numFmtId="167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3" fontId="2" numFmtId="4" xfId="0" applyFill="1" applyFont="1" applyNumberFormat="1"/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3" fontId="2" numFmtId="0" xfId="0" applyFill="1" applyFont="1"/>
    <xf borderId="0" fillId="0" fontId="3" numFmtId="4" xfId="0" applyAlignment="1" applyFont="1" applyNumberFormat="1">
      <alignment readingOrder="0"/>
    </xf>
    <xf borderId="0" fillId="3" fontId="2" numFmtId="4" xfId="0" applyFill="1" applyFont="1" applyNumberFormat="1"/>
    <xf borderId="0" fillId="0" fontId="2" numFmtId="4" xfId="0" applyFont="1" applyNumberFormat="1"/>
    <xf borderId="0" fillId="0" fontId="2" numFmtId="164" xfId="0" applyFont="1" applyNumberFormat="1"/>
    <xf borderId="0" fillId="0" fontId="2" numFmtId="10" xfId="0" applyAlignment="1" applyFont="1" applyNumberFormat="1">
      <alignment readingOrder="0"/>
    </xf>
    <xf borderId="0" fillId="0" fontId="2" numFmtId="2" xfId="0" applyFont="1" applyNumberFormat="1"/>
    <xf borderId="0" fillId="3" fontId="2" numFmtId="2" xfId="0" applyFill="1" applyFont="1" applyNumberFormat="1"/>
    <xf borderId="0" fillId="4" fontId="2" numFmtId="0" xfId="0" applyFill="1" applyFont="1"/>
    <xf borderId="0" fillId="3" fontId="2" numFmtId="168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4" fontId="2" numFmtId="4" xfId="0" applyFill="1" applyFont="1" applyNumberFormat="1"/>
    <xf borderId="0" fillId="0" fontId="2" numFmtId="49" xfId="0" applyFont="1" applyNumberFormat="1"/>
    <xf borderId="0" fillId="3" fontId="8" numFmtId="0" xfId="0" applyAlignment="1" applyFill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10" xfId="0" applyFont="1" applyNumberFormat="1"/>
    <xf borderId="0" fillId="0" fontId="3" numFmtId="169" xfId="0" applyFont="1" applyNumberFormat="1"/>
    <xf borderId="0" fillId="0" fontId="2" numFmtId="166" xfId="0" applyFont="1" applyNumberFormat="1"/>
    <xf borderId="0" fillId="3" fontId="9" numFmtId="164" xfId="0" applyAlignment="1" applyFill="1" applyFont="1" applyNumberFormat="1">
      <alignment readingOrder="0"/>
    </xf>
    <xf borderId="0" fillId="3" fontId="9" numFmtId="0" xfId="0" applyAlignment="1" applyFill="1" applyFont="1">
      <alignment readingOrder="0"/>
    </xf>
    <xf borderId="0" fillId="4" fontId="9" numFmtId="4" xfId="0" applyAlignment="1" applyFill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0" numFmtId="16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2" fontId="1" numFmtId="4" xfId="0" applyFill="1" applyFont="1" applyNumberFormat="1"/>
    <xf borderId="0" fillId="2" fontId="1" numFmtId="2" xfId="0" applyFill="1" applyFont="1" applyNumberFormat="1"/>
    <xf borderId="0" fillId="0" fontId="3" numFmtId="2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5" fontId="2" numFmtId="4" xfId="0" applyFill="1" applyFont="1" applyNumberFormat="1"/>
    <xf borderId="0" fillId="5" fontId="2" numFmtId="10" xfId="0" applyAlignment="1" applyFill="1" applyFont="1" applyNumberFormat="1">
      <alignment readingOrder="0"/>
    </xf>
    <xf borderId="0" fillId="5" fontId="2" numFmtId="0" xfId="0" applyFill="1" applyFont="1"/>
    <xf borderId="0" fillId="3" fontId="11" numFmtId="4" xfId="0" applyAlignment="1" applyFill="1" applyFont="1" applyNumberFormat="1">
      <alignment readingOrder="0"/>
    </xf>
    <xf borderId="0" fillId="3" fontId="12" numFmtId="0" xfId="0" applyAlignment="1" applyFill="1" applyFont="1">
      <alignment horizontal="center" vertical="bottom"/>
    </xf>
    <xf borderId="0" fillId="3" fontId="13" numFmtId="0" xfId="0" applyAlignment="1" applyFill="1" applyFont="1">
      <alignment horizontal="center" readingOrder="0" vertical="bottom"/>
    </xf>
    <xf borderId="1" fillId="3" fontId="12" numFmtId="0" xfId="0" applyAlignment="1" applyBorder="1" applyFill="1" applyFont="1">
      <alignment horizontal="center" readingOrder="0" vertical="bottom"/>
    </xf>
    <xf borderId="1" fillId="3" fontId="13" numFmtId="0" xfId="0" applyAlignment="1" applyBorder="1" applyFill="1" applyFont="1">
      <alignment horizontal="center" readingOrder="0" vertical="bottom"/>
    </xf>
    <xf borderId="1" fillId="5" fontId="14" numFmtId="1" xfId="0" applyAlignment="1" applyBorder="1" applyFill="1" applyFont="1" applyNumberFormat="1">
      <alignment horizontal="right" readingOrder="0" vertical="bottom"/>
    </xf>
    <xf borderId="1" fillId="0" fontId="14" numFmtId="4" xfId="0" applyAlignment="1" applyBorder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readingOrder="0" vertical="bottom"/>
    </xf>
    <xf borderId="0" fillId="0" fontId="16" numFmtId="170" xfId="0" applyAlignment="1" applyFont="1" applyNumberFormat="1">
      <alignment readingOrder="0"/>
    </xf>
    <xf borderId="1" fillId="0" fontId="14" numFmtId="4" xfId="0" applyAlignment="1" applyBorder="1" applyFont="1" applyNumberFormat="1">
      <alignment horizontal="right" vertical="bottom"/>
    </xf>
    <xf borderId="1" fillId="4" fontId="14" numFmtId="4" xfId="0" applyAlignment="1" applyBorder="1" applyFill="1" applyFont="1" applyNumberFormat="1">
      <alignment horizontal="right" readingOrder="0" vertical="bottom"/>
    </xf>
    <xf borderId="0" fillId="0" fontId="2" numFmtId="169" xfId="0" applyFont="1" applyNumberFormat="1"/>
    <xf borderId="0" fillId="0" fontId="2" numFmtId="165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0" xfId="0" applyFont="1"/>
    <xf borderId="0" fillId="2" fontId="3" numFmtId="0" xfId="0" applyAlignment="1" applyFill="1" applyFont="1">
      <alignment readingOrder="0"/>
    </xf>
    <xf borderId="1" fillId="4" fontId="15" numFmtId="4" xfId="0" applyAlignment="1" applyBorder="1" applyFill="1" applyFont="1" applyNumberFormat="1">
      <alignment horizontal="right" readingOrder="0" vertical="bottom"/>
    </xf>
    <xf borderId="0" fillId="2" fontId="3" numFmtId="0" xfId="0" applyFill="1" applyFont="1"/>
    <xf borderId="0" fillId="0" fontId="2" numFmtId="171" xfId="0" applyAlignment="1" applyFont="1" applyNumberFormat="1">
      <alignment readingOrder="0"/>
    </xf>
    <xf borderId="0" fillId="0" fontId="2" numFmtId="172" xfId="0" applyFont="1" applyNumberFormat="1"/>
    <xf borderId="0" fillId="0" fontId="2" numFmtId="173" xfId="0" applyFont="1" applyNumberFormat="1"/>
    <xf borderId="0" fillId="0" fontId="3" numFmtId="171" xfId="0" applyAlignment="1" applyFont="1" applyNumberFormat="1">
      <alignment readingOrder="0"/>
    </xf>
    <xf borderId="0" fillId="0" fontId="3" numFmtId="172" xfId="0" applyFont="1" applyNumberFormat="1"/>
    <xf borderId="0" fillId="0" fontId="3" numFmtId="173" xfId="0" applyFont="1" applyNumberFormat="1"/>
    <xf borderId="0" fillId="0" fontId="2" numFmtId="171" xfId="0" applyAlignment="1" applyFont="1" applyNumberFormat="1">
      <alignment readingOrder="0"/>
    </xf>
    <xf borderId="0" fillId="0" fontId="2" numFmtId="10" xfId="0" applyFont="1" applyNumberFormat="1"/>
    <xf borderId="0" fillId="0" fontId="3" numFmtId="10" xfId="0" applyFont="1" applyNumberFormat="1"/>
    <xf borderId="0" fillId="0" fontId="3" numFmtId="4" xfId="0" applyFont="1" applyNumberFormat="1"/>
    <xf borderId="0" fillId="0" fontId="2" numFmtId="3" xfId="0" applyFont="1" applyNumberFormat="1"/>
    <xf borderId="0" fillId="0" fontId="3" numFmtId="3" xfId="0" applyAlignment="1" applyFont="1" applyNumberFormat="1">
      <alignment readingOrder="0"/>
    </xf>
    <xf borderId="0" fillId="0" fontId="18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3" fontId="2" numFmtId="10" xfId="0" applyAlignment="1" applyFill="1" applyFont="1" applyNumberFormat="1">
      <alignment readingOrder="0"/>
    </xf>
    <xf borderId="0" fillId="0" fontId="9" numFmtId="0" xfId="0" applyAlignment="1" applyFont="1">
      <alignment readingOrder="0"/>
    </xf>
    <xf borderId="0" fillId="0" fontId="19" numFmtId="165" xfId="0" applyAlignment="1" applyFont="1" applyNumberFormat="1">
      <alignment readingOrder="0"/>
    </xf>
    <xf borderId="1" fillId="5" fontId="15" numFmtId="0" xfId="0" applyAlignment="1" applyBorder="1" applyFill="1" applyFont="1">
      <alignment horizontal="right" readingOrder="0" vertical="bottom"/>
    </xf>
    <xf borderId="1" fillId="0" fontId="14" numFmtId="1" xfId="0" applyAlignment="1" applyBorder="1" applyFont="1" applyNumberFormat="1">
      <alignment horizontal="right" readingOrder="0" vertical="bottom"/>
    </xf>
    <xf borderId="1" fillId="0" fontId="15" numFmtId="1" xfId="0" applyAlignment="1" applyBorder="1" applyFont="1" applyNumberFormat="1">
      <alignment horizontal="right" readingOrder="0" vertical="bottom"/>
    </xf>
    <xf borderId="1" fillId="0" fontId="14" numFmtId="0" xfId="0" applyAlignment="1" applyBorder="1" applyFont="1">
      <alignment horizontal="right" readingOrder="0" vertical="bottom"/>
    </xf>
    <xf borderId="1" fillId="6" fontId="14" numFmtId="1" xfId="0" applyAlignment="1" applyBorder="1" applyFill="1" applyFont="1" applyNumberFormat="1">
      <alignment horizontal="right" readingOrder="0" vertical="bottom"/>
    </xf>
    <xf borderId="1" fillId="6" fontId="14" numFmtId="0" xfId="0" applyAlignment="1" applyBorder="1" applyFill="1" applyFont="1">
      <alignment horizontal="right" readingOrder="0" vertical="bottom"/>
    </xf>
    <xf borderId="1" fillId="6" fontId="15" numFmtId="4" xfId="0" applyAlignment="1" applyBorder="1" applyFill="1" applyFont="1" applyNumberFormat="1">
      <alignment horizontal="right" readingOrder="0" vertical="bottom"/>
    </xf>
    <xf borderId="1" fillId="6" fontId="14" numFmtId="4" xfId="0" applyAlignment="1" applyBorder="1" applyFill="1" applyFont="1" applyNumberFormat="1">
      <alignment horizontal="right" vertical="bottom"/>
    </xf>
    <xf borderId="1" fillId="6" fontId="14" numFmtId="4" xfId="0" applyAlignment="1" applyBorder="1" applyFill="1" applyFont="1" applyNumberFormat="1">
      <alignment horizontal="right" readingOrder="0" vertical="bottom"/>
    </xf>
    <xf borderId="0" fillId="6" fontId="2" numFmtId="0" xfId="0" applyAlignment="1" applyFill="1" applyFont="1">
      <alignment readingOrder="0"/>
    </xf>
    <xf borderId="0" fillId="6" fontId="2" numFmtId="0" xfId="0" applyFill="1" applyFont="1"/>
    <xf borderId="0" fillId="0" fontId="3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4" xfId="0" applyAlignment="1" applyFont="1" applyNumberFormat="1">
      <alignment readingOrder="0"/>
    </xf>
    <xf borderId="0" fillId="0" fontId="3" numFmtId="2" xfId="0" applyFont="1" applyNumberFormat="1"/>
    <xf borderId="0" fillId="0" fontId="2" numFmtId="1" xfId="0" applyAlignment="1" applyFont="1" applyNumberFormat="1">
      <alignment readingOrder="0"/>
    </xf>
    <xf borderId="0" fillId="0" fontId="2" numFmtId="168" xfId="0" applyFont="1" applyNumberFormat="1"/>
    <xf borderId="0" fillId="3" fontId="2" numFmtId="4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3" fontId="2" numFmtId="2" xfId="0" applyFill="1" applyFont="1" applyNumberFormat="1"/>
    <xf borderId="0" fillId="4" fontId="2" numFmtId="2" xfId="0" applyAlignment="1" applyFill="1" applyFont="1" applyNumberFormat="1">
      <alignment readingOrder="0"/>
    </xf>
    <xf borderId="0" fillId="4" fontId="2" numFmtId="2" xfId="0" applyAlignment="1" applyFill="1" applyFont="1" applyNumberFormat="1">
      <alignment readingOrder="0"/>
    </xf>
    <xf borderId="0" fillId="3" fontId="2" numFmtId="2" xfId="0" applyAlignment="1" applyFill="1" applyFont="1" applyNumberFormat="1">
      <alignment readingOrder="0"/>
    </xf>
    <xf borderId="0" fillId="4" fontId="2" numFmtId="2" xfId="0" applyFill="1" applyFont="1" applyNumberFormat="1"/>
    <xf borderId="0" fillId="4" fontId="2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5" fontId="3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2.75"/>
    <col customWidth="1" min="3" max="3" width="23.38"/>
    <col customWidth="1" min="4" max="4" width="21.25"/>
    <col customWidth="1" min="5" max="5" width="18.13"/>
    <col customWidth="1" min="6" max="6" width="16.0"/>
    <col customWidth="1" min="7" max="7" width="11.38"/>
    <col customWidth="1" min="8" max="8" width="19.63"/>
    <col customWidth="1" min="9" max="9" width="15.13"/>
    <col customWidth="1" min="10" max="10" width="17.63"/>
    <col customWidth="1" min="11" max="11" width="12.0"/>
    <col customWidth="1" min="12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3" t="s">
        <v>4</v>
      </c>
    </row>
    <row r="3">
      <c r="A3" s="3" t="s">
        <v>5</v>
      </c>
      <c r="B3" s="4">
        <v>46249.0</v>
      </c>
    </row>
    <row r="4">
      <c r="A4" s="3" t="s">
        <v>6</v>
      </c>
      <c r="B4" s="4">
        <v>46256.0</v>
      </c>
    </row>
    <row r="6">
      <c r="A6" s="1" t="s">
        <v>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11</v>
      </c>
      <c r="B7" s="5" t="s">
        <v>12</v>
      </c>
      <c r="C7" s="5" t="s">
        <v>13</v>
      </c>
      <c r="D7" s="6" t="s">
        <v>14</v>
      </c>
      <c r="E7" s="5" t="s">
        <v>16</v>
      </c>
      <c r="F7" s="6" t="s">
        <v>17</v>
      </c>
      <c r="G7" s="5" t="s">
        <v>18</v>
      </c>
      <c r="H7" s="5" t="s">
        <v>19</v>
      </c>
      <c r="I7" s="5" t="s">
        <v>20</v>
      </c>
      <c r="J7" s="5" t="s">
        <v>21</v>
      </c>
      <c r="K7" s="5"/>
      <c r="L7" s="8"/>
      <c r="M7" s="8"/>
      <c r="N7" s="8"/>
    </row>
    <row r="8">
      <c r="A8" s="3" t="s">
        <v>22</v>
      </c>
      <c r="B8" s="10">
        <f>'AECN Rail'!B65</f>
        <v>77718.45328</v>
      </c>
      <c r="C8" s="10">
        <f>'AECN Rail'!C65</f>
        <v>0</v>
      </c>
      <c r="D8" s="13">
        <f>'AECN Rail'!D65</f>
        <v>77718.45328</v>
      </c>
      <c r="E8" s="10">
        <f>'AECN Rail'!E65</f>
        <v>1002.568047</v>
      </c>
      <c r="F8" s="13">
        <f>'AECN Rail'!F65</f>
        <v>149.5959762</v>
      </c>
      <c r="G8" s="10">
        <f>'AECN Rail'!G65</f>
        <v>76566.28926</v>
      </c>
      <c r="H8" s="10">
        <f>SUM('AECN Rail'!L39:L60)</f>
        <v>321.0889211</v>
      </c>
      <c r="I8" s="10">
        <f>SUM('AECN Rail'!M39:M60)</f>
        <v>2199</v>
      </c>
      <c r="J8" s="10">
        <f>SUM('AECN Rail'!N39:N60)</f>
        <v>343.2</v>
      </c>
    </row>
    <row r="9">
      <c r="A9" s="3" t="s">
        <v>72</v>
      </c>
      <c r="B9" s="10">
        <f>'AECN Truck'!A28</f>
        <v>78880</v>
      </c>
      <c r="C9" s="10">
        <f>'AECN Truck'!E28</f>
        <v>0</v>
      </c>
      <c r="D9" s="13">
        <f>'AECN Truck'!B28</f>
        <v>78880</v>
      </c>
      <c r="E9" s="10">
        <f>'AECN Truck'!C28</f>
        <v>1017.552</v>
      </c>
      <c r="F9" s="13">
        <f>'AECN Truck'!D28</f>
        <v>151.8317736</v>
      </c>
      <c r="G9" s="10">
        <f>'AECN Truck'!F28</f>
        <v>77710.61623</v>
      </c>
    </row>
    <row r="10">
      <c r="A10" s="3" t="s">
        <v>74</v>
      </c>
      <c r="B10" s="10">
        <f>WODO!A33</f>
        <v>0</v>
      </c>
      <c r="C10" s="35">
        <v>0.0</v>
      </c>
      <c r="D10" s="37">
        <f>WODO!B33</f>
        <v>0</v>
      </c>
      <c r="E10" s="10" t="str">
        <f>WODO!C33</f>
        <v/>
      </c>
      <c r="F10" s="37">
        <v>0.0</v>
      </c>
      <c r="G10" s="10">
        <f>WODO!D33</f>
        <v>0</v>
      </c>
    </row>
    <row r="11">
      <c r="A11" s="3" t="s">
        <v>76</v>
      </c>
      <c r="B11" s="10">
        <f>Kerry!A22</f>
        <v>0</v>
      </c>
      <c r="C11" s="35">
        <v>0.0</v>
      </c>
      <c r="D11" s="37">
        <f>Kerry!A22</f>
        <v>0</v>
      </c>
      <c r="E11" s="35">
        <v>0.0</v>
      </c>
      <c r="F11" s="37">
        <f>Kerry!B22</f>
        <v>0</v>
      </c>
      <c r="G11" s="39">
        <f>Kerry!C22</f>
        <v>0</v>
      </c>
    </row>
    <row r="12">
      <c r="A12" s="3" t="s">
        <v>77</v>
      </c>
      <c r="B12" s="35">
        <f>QOWV!B55</f>
        <v>42850</v>
      </c>
      <c r="C12" s="35">
        <v>0.0</v>
      </c>
      <c r="D12" s="37">
        <f>QOWV!D55</f>
        <v>40430.8</v>
      </c>
      <c r="E12" s="35">
        <v>0.0</v>
      </c>
      <c r="F12" s="37">
        <v>0.0</v>
      </c>
      <c r="G12" s="10">
        <f>QOWV!F55</f>
        <v>36568.5</v>
      </c>
      <c r="I12" s="5"/>
      <c r="J12" s="8"/>
      <c r="L12" s="8"/>
      <c r="M12" s="8"/>
      <c r="N12" s="8"/>
    </row>
    <row r="13">
      <c r="A13" s="3" t="s">
        <v>78</v>
      </c>
      <c r="B13" s="10">
        <f t="shared" ref="B13:J13" si="1">SUM(B8:B12)</f>
        <v>199448.4533</v>
      </c>
      <c r="C13" s="10">
        <f t="shared" si="1"/>
        <v>0</v>
      </c>
      <c r="D13" s="10">
        <f t="shared" si="1"/>
        <v>197029.2533</v>
      </c>
      <c r="E13" s="10">
        <f t="shared" si="1"/>
        <v>2020.120047</v>
      </c>
      <c r="F13" s="10">
        <f t="shared" si="1"/>
        <v>301.4277498</v>
      </c>
      <c r="G13" s="10">
        <f t="shared" si="1"/>
        <v>190845.4055</v>
      </c>
      <c r="H13" s="10">
        <f t="shared" si="1"/>
        <v>321.0889211</v>
      </c>
      <c r="I13" s="10">
        <f t="shared" si="1"/>
        <v>2199</v>
      </c>
      <c r="J13" s="10">
        <f t="shared" si="1"/>
        <v>343.2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79</v>
      </c>
      <c r="B15" s="5"/>
      <c r="C15" s="5"/>
      <c r="D15" s="5"/>
      <c r="E15" s="5"/>
      <c r="F15" s="5"/>
      <c r="G15" s="5"/>
      <c r="H15" s="8"/>
      <c r="I15" s="8"/>
      <c r="J15" s="8"/>
      <c r="K15" s="8"/>
      <c r="L15" s="8"/>
      <c r="M15" s="8"/>
    </row>
    <row r="16">
      <c r="A16" s="5" t="s">
        <v>80</v>
      </c>
      <c r="B16" s="45" t="s">
        <v>81</v>
      </c>
      <c r="C16" s="5" t="s">
        <v>82</v>
      </c>
      <c r="D16" s="5" t="s">
        <v>83</v>
      </c>
      <c r="E16" s="5" t="s">
        <v>84</v>
      </c>
      <c r="F16" s="5" t="s">
        <v>86</v>
      </c>
      <c r="G16" s="3" t="s">
        <v>87</v>
      </c>
      <c r="H16" s="3" t="s">
        <v>88</v>
      </c>
      <c r="I16" s="3" t="s">
        <v>89</v>
      </c>
      <c r="J16" s="3" t="s">
        <v>90</v>
      </c>
    </row>
    <row r="17">
      <c r="A17" s="3" t="s">
        <v>91</v>
      </c>
      <c r="B17" s="10">
        <f>SUM('AECN Rail'!I10:I15)+'AECN Truck'!A28</f>
        <v>156598.4533</v>
      </c>
      <c r="C17" s="47">
        <f>'AECN Rail'!B65</f>
        <v>77718.45328</v>
      </c>
      <c r="D17" s="10">
        <f>SUM('AECN Rail'!I10:I15)+'AECN Truck'!A28</f>
        <v>156598.4533</v>
      </c>
      <c r="E17" s="10">
        <f>'AECN Rail'!G65+'AECN Truck'!F28</f>
        <v>154276.9055</v>
      </c>
      <c r="F17" s="3" t="s">
        <v>95</v>
      </c>
      <c r="G17" s="49">
        <v>0.404</v>
      </c>
      <c r="H17" s="15" t="str">
        <f>HYPERLINK("https://drive.google.com/file/d/1Mae3M6CniH9wjtb0iQmefJFZzMLBY8y7/view","COA SR26-05110.001")</f>
        <v>COA SR26-05110.001</v>
      </c>
      <c r="I17" s="55">
        <f t="shared" ref="I17:I20" si="2">G17*J17</f>
        <v>0.001616</v>
      </c>
      <c r="J17" s="49">
        <v>0.004</v>
      </c>
    </row>
    <row r="18">
      <c r="A18" s="3" t="s">
        <v>97</v>
      </c>
      <c r="B18" s="10">
        <f>WODO!A33</f>
        <v>0</v>
      </c>
      <c r="D18" s="10">
        <f>WODO!B33</f>
        <v>0</v>
      </c>
      <c r="E18" s="10">
        <f>WODO!D33</f>
        <v>0</v>
      </c>
      <c r="G18" s="49"/>
      <c r="H18" s="55"/>
      <c r="I18" s="55">
        <f t="shared" si="2"/>
        <v>0</v>
      </c>
      <c r="J18" s="49">
        <v>0.004</v>
      </c>
    </row>
    <row r="19">
      <c r="A19" s="3" t="s">
        <v>76</v>
      </c>
      <c r="B19" s="10">
        <f>Kerry!A22</f>
        <v>0</v>
      </c>
      <c r="D19" s="60">
        <f>Kerry!A22</f>
        <v>0</v>
      </c>
      <c r="E19" s="39">
        <f>Kerry!C22</f>
        <v>0</v>
      </c>
      <c r="G19" s="49" t="str">
        <f>IFERROR(__xludf.DUMMYFUNCTION("IFERROR(AVERAGE.WEIGHTED(Kerry!I10:I18,Kerry!F10:F18),"""")"),"")</f>
        <v/>
      </c>
      <c r="H19" s="61"/>
      <c r="I19" s="61">
        <f t="shared" si="2"/>
        <v>0</v>
      </c>
      <c r="J19" s="49">
        <v>0.004</v>
      </c>
    </row>
    <row r="20">
      <c r="A20" s="3" t="s">
        <v>77</v>
      </c>
      <c r="B20" s="10">
        <f>QOWV!B55</f>
        <v>42850</v>
      </c>
      <c r="D20" s="10">
        <f>QOWV!D55</f>
        <v>40430.8</v>
      </c>
      <c r="E20" s="10">
        <f>QOWV!F55</f>
        <v>36568.5</v>
      </c>
      <c r="F20" s="3" t="s">
        <v>102</v>
      </c>
      <c r="G20" s="49">
        <v>0.081</v>
      </c>
      <c r="H20" s="68" t="str">
        <f>HYPERLINK("https://drive.google.com/file/d/1Mae3M6CniH9wjtb0iQmefJFZzMLBY8y7/view","COA SR26-05110.002")</f>
        <v>COA SR26-05110.002</v>
      </c>
      <c r="I20" s="55">
        <f t="shared" si="2"/>
        <v>0.000324</v>
      </c>
      <c r="J20" s="49">
        <v>0.004</v>
      </c>
      <c r="K20" s="8"/>
      <c r="L20" s="8"/>
    </row>
    <row r="21">
      <c r="A21" s="3" t="s">
        <v>78</v>
      </c>
      <c r="B21" s="10">
        <f t="shared" ref="B21:E21" si="3">SUM(B17:B20)</f>
        <v>199448.4533</v>
      </c>
      <c r="C21" s="47">
        <f t="shared" si="3"/>
        <v>77718.45328</v>
      </c>
      <c r="D21" s="47">
        <f t="shared" si="3"/>
        <v>197029.2533</v>
      </c>
      <c r="E21" s="10">
        <f t="shared" si="3"/>
        <v>190845.4055</v>
      </c>
      <c r="F21" s="5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8"/>
      <c r="E23" s="8"/>
      <c r="F23" s="5"/>
      <c r="G23" s="5" t="s">
        <v>103</v>
      </c>
      <c r="H23" s="8"/>
      <c r="I23" s="8"/>
      <c r="J23" s="8"/>
      <c r="K23" s="8"/>
      <c r="L23" s="8"/>
      <c r="M23" s="8"/>
      <c r="N23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46.13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8.25"/>
    <col customWidth="1" min="9" max="9" width="19.75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7</v>
      </c>
      <c r="B2" s="3" t="s">
        <v>4</v>
      </c>
      <c r="N2" s="5" t="s">
        <v>10</v>
      </c>
    </row>
    <row r="3">
      <c r="A3" s="3" t="s">
        <v>5</v>
      </c>
      <c r="B3" s="4">
        <v>46249.0</v>
      </c>
      <c r="N3" s="5" t="s">
        <v>15</v>
      </c>
      <c r="O3" s="7">
        <v>2.20462</v>
      </c>
    </row>
    <row r="4">
      <c r="A4" s="3" t="s">
        <v>6</v>
      </c>
      <c r="B4" s="4">
        <v>46256.0</v>
      </c>
      <c r="N4" s="5" t="s">
        <v>23</v>
      </c>
      <c r="O4" s="7">
        <v>0.453592</v>
      </c>
    </row>
    <row r="5">
      <c r="N5" s="5" t="s">
        <v>24</v>
      </c>
      <c r="O5" s="7">
        <v>0.0129</v>
      </c>
    </row>
    <row r="6">
      <c r="N6" s="5" t="s">
        <v>25</v>
      </c>
      <c r="O6" s="3" t="s">
        <v>26</v>
      </c>
    </row>
    <row r="7">
      <c r="N7" s="3" t="s">
        <v>27</v>
      </c>
      <c r="O7" s="11">
        <f>HYPERLINK("https://docs.google.com/spreadsheets/d/16shKoa1KP34kQJyQvzclBejW9L5-ubNSqPsMOVB7zDY/edit?usp=sharing", 0.00195)</f>
        <v>0.00195</v>
      </c>
    </row>
    <row r="8">
      <c r="A8" s="1" t="s">
        <v>31</v>
      </c>
      <c r="B8" s="2"/>
      <c r="C8" s="2"/>
      <c r="D8" s="2"/>
      <c r="E8" s="2"/>
      <c r="F8" s="2"/>
      <c r="G8" s="2"/>
      <c r="H8" s="2"/>
      <c r="I8" s="1" t="s">
        <v>35</v>
      </c>
      <c r="J8" s="2"/>
      <c r="K8" s="1"/>
      <c r="L8" s="2"/>
      <c r="M8" s="2"/>
      <c r="N8" s="1" t="s">
        <v>36</v>
      </c>
      <c r="O8" s="9">
        <v>3.0</v>
      </c>
      <c r="P8" s="2"/>
      <c r="Q8" s="2"/>
      <c r="R8" s="2"/>
    </row>
    <row r="9">
      <c r="A9" s="5" t="s">
        <v>39</v>
      </c>
      <c r="B9" s="5" t="s">
        <v>40</v>
      </c>
      <c r="C9" s="5" t="s">
        <v>42</v>
      </c>
      <c r="D9" s="17" t="s">
        <v>44</v>
      </c>
      <c r="E9" s="17" t="s">
        <v>46</v>
      </c>
      <c r="F9" s="5" t="s">
        <v>47</v>
      </c>
      <c r="G9" s="5" t="s">
        <v>49</v>
      </c>
      <c r="H9" s="5" t="s">
        <v>52</v>
      </c>
      <c r="I9" s="5" t="s">
        <v>53</v>
      </c>
      <c r="J9" s="5" t="s">
        <v>56</v>
      </c>
      <c r="K9" s="5" t="s">
        <v>58</v>
      </c>
      <c r="L9" s="5" t="s">
        <v>60</v>
      </c>
      <c r="M9" s="5" t="s">
        <v>63</v>
      </c>
      <c r="N9" s="5" t="s">
        <v>65</v>
      </c>
      <c r="O9" s="22">
        <v>2.0</v>
      </c>
      <c r="P9" s="8"/>
      <c r="Q9" s="8"/>
      <c r="R9" s="8"/>
    </row>
    <row r="10">
      <c r="A10" s="24" t="s">
        <v>71</v>
      </c>
      <c r="B10" s="25">
        <v>46256.0</v>
      </c>
      <c r="C10" s="24" t="s">
        <v>73</v>
      </c>
      <c r="D10" s="27">
        <f>SUMIF($C$19:$C$36,$A10,$D$19:$D$36)</f>
        <v>78.06</v>
      </c>
      <c r="E10" s="27">
        <f>SUMIF($C$19:$C$36,$A10,$E$19:$E$36)</f>
        <v>78060</v>
      </c>
      <c r="F10" s="38">
        <f>SUMIF($C$39:$C$60,A10,$F$39:$F$60)+H10</f>
        <v>77718.45328</v>
      </c>
      <c r="G10" s="38">
        <f>IF(AND(E10&lt;&gt;"",F10&lt;&gt;"",F10&gt;=0.95*E10),E10-F10,"")</f>
        <v>341.54672</v>
      </c>
      <c r="H10" s="40">
        <v>0.0</v>
      </c>
      <c r="I10" s="42">
        <f>F10-H10</f>
        <v>77718.45328</v>
      </c>
      <c r="J10" s="43">
        <v>107.5</v>
      </c>
      <c r="K10" s="43">
        <v>2199.0</v>
      </c>
      <c r="L10" s="40">
        <v>42.9</v>
      </c>
      <c r="M10" s="44" t="str">
        <f>IF(OR($E10="",$F10=""),"",IF(AND($H10=0,$F10&gt;=0.95*$E10),"FULL","PARTIAL"))</f>
        <v>FULL</v>
      </c>
    </row>
    <row r="11">
      <c r="A11" s="24"/>
      <c r="B11" s="25"/>
      <c r="C11" s="24"/>
      <c r="D11" s="27"/>
      <c r="E11" s="27"/>
      <c r="F11" s="38"/>
      <c r="G11" s="38"/>
      <c r="H11" s="43"/>
      <c r="I11" s="43"/>
      <c r="J11" s="43"/>
      <c r="K11" s="43"/>
      <c r="L11" s="40"/>
      <c r="M11" s="44"/>
    </row>
    <row r="12">
      <c r="A12" s="24"/>
      <c r="B12" s="25"/>
      <c r="C12" s="24"/>
      <c r="D12" s="40"/>
      <c r="E12" s="40"/>
      <c r="F12" s="46"/>
      <c r="G12" s="46"/>
      <c r="H12" s="40"/>
      <c r="I12" s="44"/>
      <c r="J12" s="40"/>
      <c r="K12" s="40"/>
      <c r="L12" s="40"/>
      <c r="M12" s="44"/>
    </row>
    <row r="13">
      <c r="A13" s="24"/>
      <c r="B13" s="25"/>
      <c r="C13" s="24"/>
      <c r="D13" s="40"/>
      <c r="E13" s="40"/>
      <c r="F13" s="46"/>
      <c r="G13" s="46"/>
      <c r="H13" s="40"/>
      <c r="I13" s="44"/>
      <c r="J13" s="40"/>
      <c r="K13" s="40"/>
      <c r="L13" s="40"/>
      <c r="M13" s="44"/>
    </row>
    <row r="14">
      <c r="A14" s="24"/>
      <c r="B14" s="25"/>
      <c r="C14" s="24"/>
      <c r="D14" s="40"/>
      <c r="E14" s="40"/>
      <c r="F14" s="46"/>
      <c r="G14" s="46"/>
      <c r="H14" s="40"/>
      <c r="I14" s="44"/>
      <c r="J14" s="40"/>
      <c r="K14" s="40"/>
      <c r="L14" s="40"/>
      <c r="M14" s="44"/>
    </row>
    <row r="15">
      <c r="A15" s="24"/>
      <c r="B15" s="25"/>
      <c r="C15" s="24"/>
      <c r="D15" s="40"/>
      <c r="E15" s="40"/>
      <c r="F15" s="46"/>
      <c r="G15" s="46"/>
      <c r="H15" s="40"/>
      <c r="I15" s="44"/>
      <c r="J15" s="40"/>
      <c r="K15" s="40"/>
      <c r="L15" s="40"/>
      <c r="M15" s="44"/>
    </row>
    <row r="16">
      <c r="A16" s="48"/>
      <c r="B16" s="48"/>
    </row>
    <row r="17">
      <c r="A17" s="1" t="s">
        <v>94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>
      <c r="A18" s="5" t="s">
        <v>48</v>
      </c>
      <c r="B18" s="5" t="s">
        <v>96</v>
      </c>
      <c r="C18" s="5" t="s">
        <v>39</v>
      </c>
      <c r="D18" s="17" t="s">
        <v>55</v>
      </c>
      <c r="E18" s="17" t="s">
        <v>59</v>
      </c>
      <c r="F18" s="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25">
        <v>46198.0</v>
      </c>
      <c r="B19" s="58" t="str">
        <f>HYPERLINK("https://drive.google.com/file/d/1365pe_azW6UeuhrEeVETj3dLrYXTkgGH/view","2402-R")</f>
        <v>2402-R</v>
      </c>
      <c r="C19" s="24" t="s">
        <v>71</v>
      </c>
      <c r="D19" s="59">
        <v>26.04</v>
      </c>
      <c r="E19" s="59">
        <f t="shared" ref="E19:E21" si="1">D19*1000</f>
        <v>26040</v>
      </c>
    </row>
    <row r="20">
      <c r="A20" s="25">
        <v>46199.0</v>
      </c>
      <c r="B20" s="58" t="str">
        <f>HYPERLINK("https://drive.google.com/file/d/1pj7sDlY7EnKLj9wcvy434XXHmplJiogi/view","2403-R")</f>
        <v>2403-R</v>
      </c>
      <c r="C20" s="24" t="s">
        <v>71</v>
      </c>
      <c r="D20" s="59">
        <v>26.04</v>
      </c>
      <c r="E20" s="59">
        <f t="shared" si="1"/>
        <v>26040</v>
      </c>
    </row>
    <row r="21">
      <c r="A21" s="25">
        <v>46199.0</v>
      </c>
      <c r="B21" s="58" t="str">
        <f>HYPERLINK("https://drive.google.com/file/d/1ji3cv2FKCP_K1ahxfXI7SyGBluiqw1Z-/view","2404-R")</f>
        <v>2404-R</v>
      </c>
      <c r="C21" s="24" t="s">
        <v>71</v>
      </c>
      <c r="D21" s="59">
        <v>25.98</v>
      </c>
      <c r="E21" s="59">
        <f t="shared" si="1"/>
        <v>25980</v>
      </c>
    </row>
    <row r="22">
      <c r="A22" s="25"/>
      <c r="B22" s="24"/>
      <c r="C22" s="24"/>
      <c r="D22" s="59"/>
      <c r="E22" s="59"/>
    </row>
    <row r="23">
      <c r="A23" s="25"/>
      <c r="B23" s="24"/>
      <c r="C23" s="24"/>
      <c r="D23" s="59"/>
      <c r="E23" s="59"/>
    </row>
    <row r="24">
      <c r="A24" s="25"/>
      <c r="B24" s="24"/>
      <c r="C24" s="24"/>
      <c r="D24" s="59"/>
      <c r="E24" s="59"/>
    </row>
    <row r="25">
      <c r="A25" s="25"/>
      <c r="B25" s="24"/>
      <c r="C25" s="24"/>
      <c r="D25" s="59"/>
      <c r="E25" s="59"/>
    </row>
    <row r="26">
      <c r="A26" s="25"/>
      <c r="B26" s="24"/>
      <c r="C26" s="24"/>
      <c r="D26" s="59"/>
      <c r="E26" s="59"/>
    </row>
    <row r="27">
      <c r="A27" s="25"/>
      <c r="B27" s="24"/>
      <c r="C27" s="24"/>
      <c r="D27" s="59"/>
      <c r="E27" s="59"/>
    </row>
    <row r="28">
      <c r="A28" s="63"/>
      <c r="B28" s="64"/>
      <c r="C28" s="64"/>
      <c r="D28" s="65"/>
      <c r="E28" s="65"/>
      <c r="F28" s="66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>
      <c r="A29" s="25"/>
      <c r="B29" s="24"/>
      <c r="C29" s="24"/>
      <c r="D29" s="59"/>
      <c r="E29" s="59"/>
      <c r="F29" s="5"/>
      <c r="G29" s="5"/>
      <c r="H29" s="5"/>
      <c r="I29" s="5"/>
      <c r="J29" s="5"/>
      <c r="K29" s="5"/>
      <c r="L29" s="5"/>
      <c r="M29" s="5"/>
      <c r="N29" s="5"/>
      <c r="O29" s="5"/>
      <c r="P29" s="8"/>
      <c r="Q29" s="8"/>
      <c r="R29" s="8"/>
    </row>
    <row r="30">
      <c r="A30" s="25"/>
      <c r="B30" s="24"/>
      <c r="C30" s="24"/>
      <c r="D30" s="59"/>
      <c r="E30" s="59"/>
      <c r="F30" s="27"/>
      <c r="G30" s="54"/>
      <c r="H30" s="38"/>
      <c r="I30" s="38"/>
      <c r="J30" s="27"/>
      <c r="K30" s="27"/>
      <c r="L30" s="38"/>
      <c r="M30" s="38"/>
      <c r="N30" s="38"/>
      <c r="O30" s="69"/>
    </row>
    <row r="31">
      <c r="A31" s="25"/>
      <c r="B31" s="24"/>
      <c r="C31" s="24"/>
      <c r="D31" s="27"/>
      <c r="E31" s="27"/>
      <c r="F31" s="27"/>
      <c r="G31" s="54"/>
      <c r="H31" s="38"/>
      <c r="I31" s="38"/>
      <c r="J31" s="27"/>
      <c r="K31" s="38"/>
      <c r="L31" s="38"/>
      <c r="M31" s="38"/>
      <c r="N31" s="38"/>
      <c r="O31" s="69"/>
    </row>
    <row r="32">
      <c r="A32" s="25"/>
      <c r="B32" s="24"/>
      <c r="C32" s="24"/>
      <c r="D32" s="27"/>
      <c r="E32" s="27"/>
      <c r="F32" s="27"/>
      <c r="G32" s="54"/>
      <c r="H32" s="38"/>
      <c r="I32" s="38"/>
      <c r="J32" s="27"/>
      <c r="K32" s="38"/>
      <c r="L32" s="38"/>
      <c r="M32" s="38"/>
      <c r="N32" s="38"/>
      <c r="O32" s="69"/>
    </row>
    <row r="33">
      <c r="A33" s="25"/>
      <c r="B33" s="24"/>
      <c r="C33" s="24"/>
      <c r="D33" s="27"/>
      <c r="E33" s="27"/>
      <c r="F33" s="27"/>
      <c r="G33" s="54"/>
      <c r="H33" s="38"/>
      <c r="I33" s="38"/>
      <c r="J33" s="27"/>
      <c r="K33" s="38"/>
      <c r="L33" s="38"/>
      <c r="M33" s="38"/>
      <c r="N33" s="38"/>
      <c r="O33" s="69"/>
    </row>
    <row r="34">
      <c r="A34" s="25"/>
      <c r="B34" s="24"/>
      <c r="C34" s="24"/>
      <c r="D34" s="27"/>
      <c r="E34" s="27"/>
      <c r="F34" s="27"/>
      <c r="G34" s="54"/>
      <c r="H34" s="38"/>
      <c r="I34" s="38"/>
      <c r="J34" s="27"/>
      <c r="K34" s="38"/>
      <c r="L34" s="38"/>
      <c r="M34" s="38"/>
      <c r="N34" s="38"/>
      <c r="O34" s="69"/>
    </row>
    <row r="35">
      <c r="A35" s="25"/>
      <c r="B35" s="24"/>
      <c r="C35" s="24"/>
      <c r="D35" s="27"/>
      <c r="E35" s="27"/>
      <c r="F35" s="27"/>
      <c r="G35" s="54"/>
      <c r="H35" s="38"/>
      <c r="I35" s="38"/>
      <c r="J35" s="27"/>
      <c r="K35" s="38"/>
      <c r="L35" s="38"/>
      <c r="M35" s="38"/>
      <c r="N35" s="38"/>
      <c r="O35" s="69"/>
    </row>
    <row r="36">
      <c r="A36" s="25"/>
      <c r="B36" s="24"/>
      <c r="C36" s="24"/>
      <c r="D36" s="27"/>
      <c r="E36" s="27"/>
      <c r="F36" s="27"/>
      <c r="G36" s="54"/>
      <c r="H36" s="38"/>
      <c r="I36" s="38"/>
      <c r="J36" s="27"/>
      <c r="K36" s="38"/>
      <c r="L36" s="38"/>
      <c r="M36" s="38"/>
      <c r="N36" s="38"/>
      <c r="O36" s="69"/>
    </row>
    <row r="37">
      <c r="A37" s="73" t="s">
        <v>107</v>
      </c>
      <c r="B37" s="73"/>
      <c r="C37" s="73"/>
      <c r="D37" s="74"/>
      <c r="E37" s="75"/>
      <c r="F37" s="74"/>
      <c r="G37" s="76"/>
      <c r="H37" s="77"/>
      <c r="I37" s="77"/>
      <c r="J37" s="74"/>
      <c r="K37" s="77"/>
      <c r="L37" s="77"/>
      <c r="M37" s="77"/>
      <c r="N37" s="77"/>
      <c r="O37" s="78"/>
      <c r="P37" s="79"/>
      <c r="Q37" s="79"/>
      <c r="R37" s="79"/>
    </row>
    <row r="38">
      <c r="A38" s="24" t="s">
        <v>48</v>
      </c>
      <c r="B38" s="24" t="s">
        <v>108</v>
      </c>
      <c r="C38" s="24" t="s">
        <v>39</v>
      </c>
      <c r="D38" s="27" t="s">
        <v>109</v>
      </c>
      <c r="E38" s="27" t="s">
        <v>110</v>
      </c>
      <c r="F38" s="59" t="s">
        <v>111</v>
      </c>
      <c r="G38" s="54" t="s">
        <v>62</v>
      </c>
      <c r="H38" s="59" t="s">
        <v>16</v>
      </c>
      <c r="I38" s="59" t="s">
        <v>17</v>
      </c>
      <c r="J38" s="59" t="s">
        <v>106</v>
      </c>
      <c r="K38" s="59" t="s">
        <v>18</v>
      </c>
      <c r="L38" s="27" t="s">
        <v>112</v>
      </c>
      <c r="M38" s="27" t="s">
        <v>113</v>
      </c>
      <c r="N38" s="27" t="s">
        <v>114</v>
      </c>
    </row>
    <row r="39">
      <c r="A39" s="25">
        <v>46256.0</v>
      </c>
      <c r="B39" s="24" t="s">
        <v>115</v>
      </c>
      <c r="C39" s="24" t="s">
        <v>71</v>
      </c>
      <c r="D39" s="80">
        <f>HYPERLINK("https://drive.google.com/file/d/1rdO2z0DvxK4FJuUFf1G1SzcUTIXm5cLU/view?usp=drivesdk", 71400)</f>
        <v>71400</v>
      </c>
      <c r="E39" s="80">
        <f>HYPERLINK("https://drive.google.com/file/d/1JbALLHc5KIQtMtNo_TKIHEiHAhJFsJSG/view?usp=drivesdk", 28580)</f>
        <v>28580</v>
      </c>
      <c r="F39" s="59">
        <f t="shared" ref="F39:F50" si="2">IF(OR(D39="",E39=""),"",(D39-E39)*$O$4)</f>
        <v>19422.80944</v>
      </c>
      <c r="G39" s="54">
        <v>2.9</v>
      </c>
      <c r="H39" s="59">
        <f t="shared" ref="H39:H50" si="3">IF(F39="","",(F39-J39)*$O$5)</f>
        <v>250.5542418</v>
      </c>
      <c r="I39" s="59">
        <f t="shared" ref="I39:I50" si="4">IF(F39="","",(F39-J39)*(1-$O$5)*$O$7)</f>
        <v>37.38589764</v>
      </c>
      <c r="J39" s="59">
        <f t="array" ref="J39">IF(F39="","",IF(ROW()=MAX(IF($C$39:$C$60=C39,ROW($C$39:$C$60),0)),MAX(0,IFERROR(VLOOKUP(C39,$A$10:$L$15,6,FALSE)-VLOOKUP(C39,$A$10:$L$15,5,FALSE),0)),0))</f>
        <v>0</v>
      </c>
      <c r="K39" s="59">
        <f t="shared" ref="K39:K50" si="5">IF(F39="","",F39-H39-I39-J39)</f>
        <v>19134.8693</v>
      </c>
      <c r="L39" s="38">
        <f t="shared" ref="L39:L50" si="6">IF(F39="","",(F39-J39)/VLOOKUP(C39,$A$10:$L$15,5,FALSE)*VLOOKUP(C39,$A$10:$L$15,10,FALSE)*$O$8)</f>
        <v>80.24412048</v>
      </c>
      <c r="M39" s="38">
        <f t="array" ref="M39">IF(F39="","",IF(IFERROR(VLOOKUP(C39,$A$10:$M$15,13,FALSE),"")="FULL",IF(ROW()=MIN(IF($C$39:$C$60=C39,ROW($C$39:$C$60),10^9)),VLOOKUP(C39,$A$10:$M$15,11,FALSE),0),(F39-J39)/VLOOKUP(C39,$A$10:$M$15,5,FALSE)*VLOOKUP(C39,$A$10:$M$15,11,FALSE)))</f>
        <v>2199</v>
      </c>
      <c r="N39" s="38">
        <f t="shared" ref="N39:N50" si="7">IF(F39="","",IFERROR(VLOOKUP(C39,$A$10:$L$15,12,FALSE),0)*$O$9)</f>
        <v>85.8</v>
      </c>
      <c r="O39" s="114"/>
    </row>
    <row r="40">
      <c r="A40" s="25">
        <v>46256.0</v>
      </c>
      <c r="B40" s="24" t="s">
        <v>191</v>
      </c>
      <c r="C40" s="24" t="s">
        <v>71</v>
      </c>
      <c r="D40" s="80">
        <f>HYPERLINK("https://drive.google.com/file/d/12dgYoF2RZ9sGSCKwlQIDHg_rxiemfjPs/view?usp=drivesdk", 73860)</f>
        <v>73860</v>
      </c>
      <c r="E40" s="80">
        <f>HYPERLINK("https://drive.google.com/file/d/13kjXiHsc4i8WWkf9M7qb-lGQpTXqq-T9/view?usp=drivesdk", 29580)</f>
        <v>29580</v>
      </c>
      <c r="F40" s="59">
        <f t="shared" si="2"/>
        <v>20085.05376</v>
      </c>
      <c r="G40" s="54">
        <v>2.9</v>
      </c>
      <c r="H40" s="59">
        <f t="shared" si="3"/>
        <v>259.0971935</v>
      </c>
      <c r="I40" s="59">
        <f t="shared" si="4"/>
        <v>38.6606153</v>
      </c>
      <c r="J40" s="59">
        <f t="array" ref="J40">IF(F40="","",IF(ROW()=MAX(IF($C$39:$C$60=C40,ROW($C$39:$C$60),0)),MAX(0,IFERROR(VLOOKUP(C40,$A$10:$L$15,6,FALSE)-VLOOKUP(C40,$A$10:$L$15,5,FALSE),0)),0))</f>
        <v>0</v>
      </c>
      <c r="K40" s="59">
        <f t="shared" si="5"/>
        <v>19787.29595</v>
      </c>
      <c r="L40" s="38">
        <f t="shared" si="6"/>
        <v>82.9801414</v>
      </c>
      <c r="M40" s="38">
        <f t="array" ref="M40">IF(F40="","",IF(IFERROR(VLOOKUP(C40,$A$10:$M$15,13,FALSE),"")="FULL",IF(ROW()=MIN(IF($C$39:$C$60=C40,ROW($C$39:$C$60),10^9)),VLOOKUP(C40,$A$10:$M$15,11,FALSE),0),(F40-J40)/VLOOKUP(C40,$A$10:$M$15,5,FALSE)*VLOOKUP(C40,$A$10:$M$15,11,FALSE)))</f>
        <v>0</v>
      </c>
      <c r="N40" s="38">
        <f t="shared" si="7"/>
        <v>85.8</v>
      </c>
      <c r="O40" s="114"/>
    </row>
    <row r="41">
      <c r="A41" s="25">
        <v>46256.0</v>
      </c>
      <c r="B41" s="24" t="s">
        <v>212</v>
      </c>
      <c r="C41" s="24" t="s">
        <v>71</v>
      </c>
      <c r="D41" s="80">
        <f>HYPERLINK("https://drive.google.com/file/d/1gkQEXgse9-QXHceQ_TVumEouT8tOz8fB/view?usp=drivesdk", 77960)</f>
        <v>77960</v>
      </c>
      <c r="E41" s="80">
        <f>HYPERLINK("https://drive.google.com/file/d/1IlmShDZgS86aewv-cGbiK7gDK5I0xZWo/view?usp=drivesdk", 29400)</f>
        <v>29400</v>
      </c>
      <c r="F41" s="59">
        <f t="shared" si="2"/>
        <v>22026.42752</v>
      </c>
      <c r="G41" s="54">
        <v>2.9</v>
      </c>
      <c r="H41" s="59">
        <f t="shared" si="3"/>
        <v>284.140915</v>
      </c>
      <c r="I41" s="59">
        <f t="shared" si="4"/>
        <v>42.39745888</v>
      </c>
      <c r="J41" s="59">
        <f t="array" ref="J41">IF(F41="","",IF(ROW()=MAX(IF($C$39:$C$60=C41,ROW($C$39:$C$60),0)),MAX(0,IFERROR(VLOOKUP(C41,$A$10:$L$15,6,FALSE)-VLOOKUP(C41,$A$10:$L$15,5,FALSE),0)),0))</f>
        <v>0</v>
      </c>
      <c r="K41" s="59">
        <f t="shared" si="5"/>
        <v>21699.88915</v>
      </c>
      <c r="L41" s="38">
        <f t="shared" si="6"/>
        <v>91.00080547</v>
      </c>
      <c r="M41" s="38">
        <f t="array" ref="M41">IF(F41="","",IF(IFERROR(VLOOKUP(C41,$A$10:$M$15,13,FALSE),"")="FULL",IF(ROW()=MIN(IF($C$39:$C$60=C41,ROW($C$39:$C$60),10^9)),VLOOKUP(C41,$A$10:$M$15,11,FALSE),0),(F41-J41)/VLOOKUP(C41,$A$10:$M$15,5,FALSE)*VLOOKUP(C41,$A$10:$M$15,11,FALSE)))</f>
        <v>0</v>
      </c>
      <c r="N41" s="38">
        <f t="shared" si="7"/>
        <v>85.8</v>
      </c>
      <c r="O41" s="114"/>
    </row>
    <row r="42">
      <c r="A42" s="25">
        <v>46256.0</v>
      </c>
      <c r="B42" s="24" t="s">
        <v>222</v>
      </c>
      <c r="C42" s="24" t="s">
        <v>71</v>
      </c>
      <c r="D42" s="80">
        <f>HYPERLINK("https://drive.google.com/file/d/1NiwNUcVEev9zZjabMDJbTu_TzMkGJqHZ/view?usp=drivesdk", 64800)</f>
        <v>64800</v>
      </c>
      <c r="E42" s="80">
        <f>HYPERLINK("https://drive.google.com/file/d/1Pds5AW0OcH7qqYP-Ku4mF3P3fU2vLQv1/view?usp=drivesdk", 29120)</f>
        <v>29120</v>
      </c>
      <c r="F42" s="59">
        <f t="shared" si="2"/>
        <v>16184.16256</v>
      </c>
      <c r="G42" s="54">
        <v>2.9</v>
      </c>
      <c r="H42" s="28">
        <f t="shared" si="3"/>
        <v>208.775697</v>
      </c>
      <c r="I42" s="28">
        <f t="shared" si="4"/>
        <v>31.15200438</v>
      </c>
      <c r="J42" s="28">
        <f t="array" ref="J42">IF(F42="","",IF(ROW()=MAX(IF($C$39:$C$60=C42,ROW($C$39:$C$60),0)),MAX(0,IFERROR(VLOOKUP(C42,$A$10:$L$15,6,FALSE)-VLOOKUP(C42,$A$10:$L$15,5,FALSE),0)),0))</f>
        <v>0</v>
      </c>
      <c r="K42" s="28">
        <f t="shared" si="5"/>
        <v>15944.23486</v>
      </c>
      <c r="L42" s="38">
        <f t="shared" si="6"/>
        <v>66.86385377</v>
      </c>
      <c r="M42" s="38">
        <f t="array" ref="M42">IF(F42="","",IF(IFERROR(VLOOKUP(C42,$A$10:$M$15,13,FALSE),"")="FULL",IF(ROW()=MIN(IF($C$39:$C$60=C42,ROW($C$39:$C$60),10^9)),VLOOKUP(C42,$A$10:$M$15,11,FALSE),0),(F42-J42)/VLOOKUP(C42,$A$10:$M$15,5,FALSE)*VLOOKUP(C42,$A$10:$M$15,11,FALSE)))</f>
        <v>0</v>
      </c>
      <c r="N42" s="38">
        <f t="shared" si="7"/>
        <v>85.8</v>
      </c>
      <c r="O42" s="44"/>
    </row>
    <row r="43">
      <c r="A43" s="25"/>
      <c r="B43" s="24"/>
      <c r="C43" s="24"/>
      <c r="D43" s="27"/>
      <c r="E43" s="27"/>
      <c r="F43" s="59" t="str">
        <f t="shared" si="2"/>
        <v/>
      </c>
      <c r="G43" s="54"/>
      <c r="H43" s="28" t="str">
        <f t="shared" si="3"/>
        <v/>
      </c>
      <c r="I43" s="28" t="str">
        <f t="shared" si="4"/>
        <v/>
      </c>
      <c r="J43" s="59" t="str">
        <f t="array" ref="J43">IF(F43="","",IF(ROW()=MAX(IF($C$39:$C$60=C43,ROW($C$39:$C$60),0)),MAX(0,IFERROR(VLOOKUP(C43,$A$10:$L$15,6,FALSE)-VLOOKUP(C43,$A$10:$L$15,5,FALSE),0)),0))</f>
        <v/>
      </c>
      <c r="K43" s="28" t="str">
        <f t="shared" si="5"/>
        <v/>
      </c>
      <c r="L43" s="38" t="str">
        <f t="shared" si="6"/>
        <v/>
      </c>
      <c r="M43" s="38" t="str">
        <f t="array" ref="M43">IF(F43="","",IF(IFERROR(VLOOKUP(C43,$A$10:$M$15,13,FALSE),"")="FULL",IF(ROW()=MIN(IF($C$39:$C$60=C43,ROW($C$39:$C$60),10^9)),VLOOKUP(C43,$A$10:$M$15,11,FALSE),0),(F43-J43)/VLOOKUP(C43,$A$10:$M$15,5,FALSE)*VLOOKUP(C43,$A$10:$M$15,11,FALSE)))</f>
        <v/>
      </c>
      <c r="N43" s="38" t="str">
        <f t="shared" si="7"/>
        <v/>
      </c>
      <c r="O43" s="44"/>
    </row>
    <row r="44">
      <c r="A44" s="25"/>
      <c r="B44" s="24"/>
      <c r="C44" s="24"/>
      <c r="D44" s="27"/>
      <c r="E44" s="27"/>
      <c r="F44" s="59" t="str">
        <f t="shared" si="2"/>
        <v/>
      </c>
      <c r="G44" s="54"/>
      <c r="H44" s="28" t="str">
        <f t="shared" si="3"/>
        <v/>
      </c>
      <c r="I44" s="28" t="str">
        <f t="shared" si="4"/>
        <v/>
      </c>
      <c r="J44" s="59" t="str">
        <f t="array" ref="J44">IF(F44="","",IF(ROW()=MAX(IF($C$39:$C$60=C44,ROW($C$39:$C$60),0)),MAX(0,IFERROR(VLOOKUP(C44,$A$10:$L$15,6,FALSE)-VLOOKUP(C44,$A$10:$L$15,5,FALSE),0)),0))</f>
        <v/>
      </c>
      <c r="K44" s="28" t="str">
        <f t="shared" si="5"/>
        <v/>
      </c>
      <c r="L44" s="38" t="str">
        <f t="shared" si="6"/>
        <v/>
      </c>
      <c r="M44" s="38" t="str">
        <f t="array" ref="M44">IF(F44="","",IF(IFERROR(VLOOKUP(C44,$A$10:$M$15,13,FALSE),"")="FULL",IF(ROW()=MIN(IF($C$39:$C$60=C44,ROW($C$39:$C$60),10^9)),VLOOKUP(C44,$A$10:$M$15,11,FALSE),0),(F44-J44)/VLOOKUP(C44,$A$10:$M$15,5,FALSE)*VLOOKUP(C44,$A$10:$M$15,11,FALSE)))</f>
        <v/>
      </c>
      <c r="N44" s="38" t="str">
        <f t="shared" si="7"/>
        <v/>
      </c>
      <c r="O44" s="44"/>
    </row>
    <row r="45">
      <c r="A45" s="25"/>
      <c r="B45" s="24"/>
      <c r="C45" s="24"/>
      <c r="D45" s="27"/>
      <c r="E45" s="27"/>
      <c r="F45" s="59" t="str">
        <f t="shared" si="2"/>
        <v/>
      </c>
      <c r="G45" s="54"/>
      <c r="H45" s="28" t="str">
        <f t="shared" si="3"/>
        <v/>
      </c>
      <c r="I45" s="28" t="str">
        <f t="shared" si="4"/>
        <v/>
      </c>
      <c r="J45" s="59" t="str">
        <f t="array" ref="J45">IF(F45="","",IF(ROW()=MAX(IF($C$39:$C$60=C45,ROW($C$39:$C$60),0)),MAX(0,IFERROR(VLOOKUP(C45,$A$10:$L$15,6,FALSE)-VLOOKUP(C45,$A$10:$L$15,5,FALSE),0)),0))</f>
        <v/>
      </c>
      <c r="K45" s="28" t="str">
        <f t="shared" si="5"/>
        <v/>
      </c>
      <c r="L45" s="38" t="str">
        <f t="shared" si="6"/>
        <v/>
      </c>
      <c r="M45" s="38" t="str">
        <f t="array" ref="M45">IF(F45="","",IF(IFERROR(VLOOKUP(C45,$A$10:$M$15,13,FALSE),"")="FULL",IF(ROW()=MIN(IF($C$39:$C$60=C45,ROW($C$39:$C$60),10^9)),VLOOKUP(C45,$A$10:$M$15,11,FALSE),0),(F45-J45)/VLOOKUP(C45,$A$10:$M$15,5,FALSE)*VLOOKUP(C45,$A$10:$M$15,11,FALSE)))</f>
        <v/>
      </c>
      <c r="N45" s="38" t="str">
        <f t="shared" si="7"/>
        <v/>
      </c>
      <c r="O45" s="44"/>
    </row>
    <row r="46">
      <c r="A46" s="25"/>
      <c r="B46" s="24"/>
      <c r="C46" s="24"/>
      <c r="D46" s="27"/>
      <c r="E46" s="134"/>
      <c r="F46" s="28" t="str">
        <f t="shared" si="2"/>
        <v/>
      </c>
      <c r="G46" s="54"/>
      <c r="H46" s="28" t="str">
        <f t="shared" si="3"/>
        <v/>
      </c>
      <c r="I46" s="28" t="str">
        <f t="shared" si="4"/>
        <v/>
      </c>
      <c r="J46" s="28" t="str">
        <f t="array" ref="J46">IF(F46="","",IF(ROW()=MAX(IF($C$39:$C$60=C46,ROW($C$39:$C$60),0)),MAX(0,IFERROR(VLOOKUP(C46,$A$10:$L$15,6,FALSE)-VLOOKUP(C46,$A$10:$L$15,5,FALSE),0)),0))</f>
        <v/>
      </c>
      <c r="K46" s="28" t="str">
        <f t="shared" si="5"/>
        <v/>
      </c>
      <c r="L46" s="38" t="str">
        <f t="shared" si="6"/>
        <v/>
      </c>
      <c r="M46" s="38" t="str">
        <f t="array" ref="M46">IF(F46="","",IF(IFERROR(VLOOKUP(C46,$A$10:$M$15,13,FALSE),"")="FULL",IF(ROW()=MIN(IF($C$39:$C$60=C46,ROW($C$39:$C$60),10^9)),VLOOKUP(C46,$A$10:$M$15,11,FALSE),0),(F46-J46)/VLOOKUP(C46,$A$10:$M$15,5,FALSE)*VLOOKUP(C46,$A$10:$M$15,11,FALSE)))</f>
        <v/>
      </c>
      <c r="N46" s="38" t="str">
        <f t="shared" si="7"/>
        <v/>
      </c>
      <c r="O46" s="44"/>
    </row>
    <row r="47">
      <c r="A47" s="25"/>
      <c r="B47" s="24"/>
      <c r="C47" s="24"/>
      <c r="D47" s="27"/>
      <c r="E47" s="27"/>
      <c r="F47" s="28" t="str">
        <f t="shared" si="2"/>
        <v/>
      </c>
      <c r="G47" s="54"/>
      <c r="H47" s="28" t="str">
        <f t="shared" si="3"/>
        <v/>
      </c>
      <c r="I47" s="28" t="str">
        <f t="shared" si="4"/>
        <v/>
      </c>
      <c r="J47" s="59" t="str">
        <f t="array" ref="J47">IF(F47="","",IF(ROW()=MAX(IF($C$39:$C$60=C47,ROW($C$39:$C$60),0)),MAX(0,IFERROR(VLOOKUP(C47,$A$10:$L$15,6,FALSE)-VLOOKUP(C47,$A$10:$L$15,5,FALSE),0)),0))</f>
        <v/>
      </c>
      <c r="K47" s="28" t="str">
        <f t="shared" si="5"/>
        <v/>
      </c>
      <c r="L47" s="38" t="str">
        <f t="shared" si="6"/>
        <v/>
      </c>
      <c r="M47" s="38" t="str">
        <f t="array" ref="M47">IF(F47="","",IF(IFERROR(VLOOKUP(C47,$A$10:$M$15,13,FALSE),"")="FULL",IF(ROW()=MIN(IF($C$39:$C$60=C47,ROW($C$39:$C$60),10^9)),VLOOKUP(C47,$A$10:$M$15,11,FALSE),0),(F47-J47)/VLOOKUP(C47,$A$10:$M$15,5,FALSE)*VLOOKUP(C47,$A$10:$M$15,11,FALSE)))</f>
        <v/>
      </c>
      <c r="N47" s="38" t="str">
        <f t="shared" si="7"/>
        <v/>
      </c>
      <c r="O47" s="44"/>
    </row>
    <row r="48">
      <c r="A48" s="25"/>
      <c r="B48" s="24"/>
      <c r="C48" s="24"/>
      <c r="D48" s="27"/>
      <c r="E48" s="27"/>
      <c r="F48" s="28" t="str">
        <f t="shared" si="2"/>
        <v/>
      </c>
      <c r="G48" s="54"/>
      <c r="H48" s="135" t="str">
        <f t="shared" si="3"/>
        <v/>
      </c>
      <c r="I48" s="135" t="str">
        <f t="shared" si="4"/>
        <v/>
      </c>
      <c r="J48" s="136" t="str">
        <f t="array" ref="J48">IF(F48="","",IF(ROW()=MAX(IF($C$39:$C$60=C48,ROW($C$39:$C$60),0)),MAX(0,IFERROR(VLOOKUP(C48,$A$10:$L$15,6,FALSE)-VLOOKUP(C48,$A$10:$L$15,5,FALSE),0)),0))</f>
        <v/>
      </c>
      <c r="K48" s="52" t="str">
        <f t="shared" si="5"/>
        <v/>
      </c>
      <c r="L48" s="137" t="str">
        <f t="shared" si="6"/>
        <v/>
      </c>
      <c r="M48" s="137" t="str">
        <f t="array" ref="M48">IF(F48="","",IF(IFERROR(VLOOKUP(C48,$A$10:$M$15,13,FALSE),"")="FULL",IF(ROW()=MIN(IF($C$39:$C$60=C48,ROW($C$39:$C$60),10^9)),VLOOKUP(C48,$A$10:$M$15,11,FALSE),0),(F48-J48)/VLOOKUP(C48,$A$10:$M$15,5,FALSE)*VLOOKUP(C48,$A$10:$M$15,11,FALSE)))</f>
        <v/>
      </c>
      <c r="N48" s="44" t="str">
        <f t="shared" si="7"/>
        <v/>
      </c>
      <c r="O48" s="44"/>
    </row>
    <row r="49" ht="16.5" customHeight="1">
      <c r="A49" s="25"/>
      <c r="B49" s="24"/>
      <c r="C49" s="24"/>
      <c r="D49" s="27"/>
      <c r="E49" s="27"/>
      <c r="F49" s="28" t="str">
        <f t="shared" si="2"/>
        <v/>
      </c>
      <c r="G49" s="54"/>
      <c r="H49" s="135" t="str">
        <f t="shared" si="3"/>
        <v/>
      </c>
      <c r="I49" s="135" t="str">
        <f t="shared" si="4"/>
        <v/>
      </c>
      <c r="J49" s="136" t="str">
        <f t="array" ref="J49">IF(F49="","",IF(ROW()=MAX(IF($C$39:$C$60=C49,ROW($C$39:$C$60),0)),MAX(0,IFERROR(VLOOKUP(C49,$A$10:$L$15,6,FALSE)-VLOOKUP(C49,$A$10:$L$15,5,FALSE),0)),0))</f>
        <v/>
      </c>
      <c r="K49" s="52" t="str">
        <f t="shared" si="5"/>
        <v/>
      </c>
      <c r="L49" s="137" t="str">
        <f t="shared" si="6"/>
        <v/>
      </c>
      <c r="M49" s="137" t="str">
        <f t="array" ref="M49">IF(F49="","",IF(IFERROR(VLOOKUP(C49,$A$10:$M$15,13,FALSE),"")="FULL",IF(ROW()=MIN(IF($C$39:$C$60=C49,ROW($C$39:$C$60),10^9)),VLOOKUP(C49,$A$10:$M$15,11,FALSE),0),(F49-J49)/VLOOKUP(C49,$A$10:$M$15,5,FALSE)*VLOOKUP(C49,$A$10:$M$15,11,FALSE)))</f>
        <v/>
      </c>
      <c r="N49" s="44" t="str">
        <f t="shared" si="7"/>
        <v/>
      </c>
      <c r="O49" s="44"/>
      <c r="P49" s="2"/>
      <c r="Q49" s="2"/>
      <c r="R49" s="2"/>
    </row>
    <row r="50">
      <c r="A50" s="25"/>
      <c r="B50" s="24"/>
      <c r="C50" s="24"/>
      <c r="D50" s="27"/>
      <c r="E50" s="27"/>
      <c r="F50" s="59" t="str">
        <f t="shared" si="2"/>
        <v/>
      </c>
      <c r="G50" s="27"/>
      <c r="H50" s="138" t="str">
        <f t="shared" si="3"/>
        <v/>
      </c>
      <c r="I50" s="138" t="str">
        <f t="shared" si="4"/>
        <v/>
      </c>
      <c r="J50" s="139" t="str">
        <f t="array" ref="J50">IF(F50="","",IF(ROW()=MAX(IF($C$39:$C$60=C50,ROW($C$39:$C$60),0)),MAX(0,IFERROR(VLOOKUP(C50,$A$10:$L$15,6,FALSE)-VLOOKUP(C50,$A$10:$L$15,5,FALSE),0)),0))</f>
        <v/>
      </c>
      <c r="K50" s="139" t="str">
        <f t="shared" si="5"/>
        <v/>
      </c>
      <c r="L50" s="140" t="str">
        <f t="shared" si="6"/>
        <v/>
      </c>
      <c r="M50" s="140" t="str">
        <f t="array" ref="M50">IF(F50="","",IF(IFERROR(VLOOKUP(C50,$A$10:$M$15,13,FALSE),"")="FULL",IF(ROW()=MIN(IF($C$39:$C$60=C50,ROW($C$39:$C$60),10^9)),VLOOKUP(C50,$A$10:$M$15,11,FALSE),0),(F50-J50)/VLOOKUP(C50,$A$10:$M$15,5,FALSE)*VLOOKUP(C50,$A$10:$M$15,11,FALSE)))</f>
        <v/>
      </c>
      <c r="N50" s="44" t="str">
        <f t="shared" si="7"/>
        <v/>
      </c>
      <c r="O50" s="44"/>
      <c r="P50" s="8"/>
      <c r="Q50" s="8"/>
      <c r="R50" s="8"/>
    </row>
    <row r="51">
      <c r="A51" s="25"/>
      <c r="B51" s="27"/>
      <c r="C51" s="27"/>
      <c r="D51" s="27"/>
      <c r="E51" s="27"/>
      <c r="F51" s="28"/>
      <c r="G51" s="54"/>
      <c r="H51" s="135"/>
      <c r="I51" s="135"/>
      <c r="J51" s="139"/>
      <c r="K51" s="141"/>
      <c r="L51" s="137"/>
      <c r="M51" s="137"/>
      <c r="N51" s="44"/>
      <c r="O51" s="44"/>
    </row>
    <row r="52">
      <c r="A52" s="25"/>
      <c r="B52" s="24"/>
      <c r="C52" s="24"/>
      <c r="D52" s="27"/>
      <c r="E52" s="27"/>
      <c r="F52" s="28"/>
      <c r="G52" s="54"/>
      <c r="H52" s="135"/>
      <c r="I52" s="135"/>
      <c r="J52" s="136"/>
      <c r="K52" s="52"/>
      <c r="L52" s="137"/>
      <c r="M52" s="137"/>
      <c r="N52" s="44"/>
      <c r="O52" s="44"/>
    </row>
    <row r="53">
      <c r="A53" s="25"/>
      <c r="B53" s="24"/>
      <c r="C53" s="24"/>
      <c r="D53" s="27"/>
      <c r="E53" s="27"/>
      <c r="F53" s="28"/>
      <c r="G53" s="54"/>
      <c r="H53" s="135"/>
      <c r="I53" s="135"/>
      <c r="J53" s="136"/>
      <c r="K53" s="52"/>
      <c r="L53" s="137"/>
      <c r="M53" s="137"/>
      <c r="N53" s="44"/>
      <c r="O53" s="44"/>
    </row>
    <row r="54">
      <c r="A54" s="25"/>
      <c r="B54" s="24"/>
      <c r="C54" s="24"/>
      <c r="D54" s="27"/>
      <c r="E54" s="27"/>
      <c r="F54" s="59"/>
      <c r="G54" s="54"/>
      <c r="H54" s="135"/>
      <c r="I54" s="135"/>
      <c r="J54" s="142"/>
      <c r="K54" s="52"/>
      <c r="L54" s="137"/>
      <c r="M54" s="137"/>
      <c r="N54" s="44"/>
      <c r="O54" s="44"/>
    </row>
    <row r="55">
      <c r="A55" s="25"/>
      <c r="B55" s="24"/>
      <c r="C55" s="24"/>
      <c r="D55" s="27"/>
      <c r="E55" s="27"/>
      <c r="F55" s="59"/>
      <c r="G55" s="54"/>
      <c r="H55" s="135"/>
      <c r="I55" s="135"/>
      <c r="J55" s="142"/>
      <c r="K55" s="52"/>
      <c r="L55" s="137"/>
      <c r="M55" s="137"/>
      <c r="N55" s="44"/>
      <c r="O55" s="44"/>
    </row>
    <row r="56">
      <c r="A56" s="25"/>
      <c r="B56" s="24"/>
      <c r="C56" s="24"/>
      <c r="D56" s="27"/>
      <c r="E56" s="27"/>
      <c r="F56" s="59"/>
      <c r="G56" s="54"/>
      <c r="H56" s="135"/>
      <c r="I56" s="135"/>
      <c r="J56" s="142"/>
      <c r="K56" s="52"/>
      <c r="L56" s="137"/>
      <c r="M56" s="137"/>
      <c r="N56" s="44"/>
      <c r="O56" s="44"/>
    </row>
    <row r="57">
      <c r="A57" s="25"/>
      <c r="B57" s="24"/>
      <c r="C57" s="24"/>
      <c r="D57" s="27"/>
      <c r="E57" s="27"/>
      <c r="F57" s="59"/>
      <c r="G57" s="54"/>
      <c r="H57" s="135"/>
      <c r="I57" s="135"/>
      <c r="J57" s="142"/>
      <c r="K57" s="52"/>
      <c r="L57" s="137"/>
      <c r="M57" s="137"/>
      <c r="N57" s="44"/>
      <c r="O57" s="44"/>
    </row>
    <row r="58">
      <c r="A58" s="25"/>
      <c r="B58" s="24"/>
      <c r="C58" s="24"/>
      <c r="D58" s="27"/>
      <c r="E58" s="27"/>
      <c r="F58" s="59"/>
      <c r="G58" s="54"/>
      <c r="H58" s="135"/>
      <c r="I58" s="135"/>
      <c r="J58" s="142"/>
      <c r="K58" s="52"/>
      <c r="L58" s="137"/>
      <c r="M58" s="137"/>
      <c r="N58" s="44"/>
      <c r="O58" s="44"/>
    </row>
    <row r="59">
      <c r="A59" s="25"/>
      <c r="B59" s="24"/>
      <c r="C59" s="24"/>
      <c r="D59" s="27"/>
      <c r="E59" s="27"/>
      <c r="F59" s="59"/>
      <c r="G59" s="54"/>
      <c r="H59" s="135"/>
      <c r="I59" s="135"/>
      <c r="J59" s="142"/>
      <c r="K59" s="52"/>
      <c r="L59" s="137"/>
      <c r="M59" s="137"/>
      <c r="N59" s="44"/>
      <c r="O59" s="44"/>
    </row>
    <row r="60">
      <c r="A60" s="25"/>
      <c r="B60" s="24"/>
      <c r="C60" s="24"/>
      <c r="D60" s="27"/>
      <c r="E60" s="27"/>
      <c r="F60" s="59"/>
      <c r="G60" s="54"/>
      <c r="H60" s="135"/>
      <c r="I60" s="135"/>
      <c r="J60" s="142"/>
      <c r="K60" s="52"/>
      <c r="L60" s="137"/>
      <c r="M60" s="137"/>
      <c r="N60" s="44"/>
      <c r="O60" s="44"/>
    </row>
    <row r="61">
      <c r="A61" s="3" t="s">
        <v>228</v>
      </c>
      <c r="D61" s="10"/>
      <c r="E61" s="10"/>
      <c r="F61" s="10"/>
      <c r="G61" s="50"/>
      <c r="L61" s="10">
        <f t="shared" ref="L61:N61" si="8">SUM(L39:L60)</f>
        <v>321.0889211</v>
      </c>
      <c r="M61" s="10">
        <f t="shared" si="8"/>
        <v>2199</v>
      </c>
      <c r="N61" s="10">
        <f t="shared" si="8"/>
        <v>343.2</v>
      </c>
    </row>
    <row r="62">
      <c r="A62" s="48"/>
    </row>
    <row r="63">
      <c r="A63" s="143" t="s">
        <v>229</v>
      </c>
      <c r="B63" s="144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</row>
    <row r="64">
      <c r="A64" s="5" t="s">
        <v>230</v>
      </c>
      <c r="B64" s="5" t="s">
        <v>231</v>
      </c>
      <c r="C64" s="5" t="s">
        <v>232</v>
      </c>
      <c r="D64" s="5" t="s">
        <v>233</v>
      </c>
      <c r="E64" s="5" t="s">
        <v>16</v>
      </c>
      <c r="F64" s="5" t="s">
        <v>17</v>
      </c>
      <c r="G64" s="5" t="s">
        <v>18</v>
      </c>
      <c r="H64" s="5" t="s">
        <v>62</v>
      </c>
      <c r="I64" s="5"/>
      <c r="N64" s="3" t="s">
        <v>234</v>
      </c>
    </row>
    <row r="65">
      <c r="A65" s="10">
        <f>SUM(I10:I15)</f>
        <v>77718.45328</v>
      </c>
      <c r="B65" s="47">
        <f>SUM(F39:F60)</f>
        <v>77718.45328</v>
      </c>
      <c r="C65" s="10">
        <f>SUM(J39:J60)</f>
        <v>0</v>
      </c>
      <c r="D65" s="47">
        <f>B65-C65</f>
        <v>77718.45328</v>
      </c>
      <c r="E65" s="10">
        <f t="shared" ref="E65:F65" si="9">SUM(H39:H60)</f>
        <v>1002.568047</v>
      </c>
      <c r="F65" s="10">
        <f t="shared" si="9"/>
        <v>149.5959762</v>
      </c>
      <c r="G65" s="10">
        <f>SUM(K39:K60)</f>
        <v>76566.28926</v>
      </c>
      <c r="H65" s="39">
        <f>IFERROR(AVERAGE(G39:G60),"")</f>
        <v>2.9</v>
      </c>
      <c r="N65" s="39" t="str">
        <f>IFERROR(__xludf.DUMMYFUNCTION("TRIM(TEXTJOIN("", "",TRUE,IFERROR(FILTER(B19:B36,B19:B36&lt;&gt;""""),"""")))"),"2402-R, 2403-R, 2404-R")</f>
        <v>2402-R, 2403-R, 2404-R</v>
      </c>
    </row>
    <row r="66">
      <c r="A66" s="48"/>
    </row>
    <row r="68">
      <c r="A68" s="48"/>
    </row>
    <row r="69">
      <c r="A69" s="48"/>
    </row>
    <row r="70">
      <c r="A70" s="48"/>
      <c r="E70" s="3" t="s">
        <v>103</v>
      </c>
    </row>
    <row r="71">
      <c r="A71" s="48"/>
    </row>
    <row r="72">
      <c r="A72" s="48"/>
    </row>
    <row r="73">
      <c r="A73" s="48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5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7</v>
      </c>
      <c r="B2" s="3" t="s">
        <v>4</v>
      </c>
      <c r="K2" s="5" t="s">
        <v>10</v>
      </c>
    </row>
    <row r="3">
      <c r="A3" s="3" t="s">
        <v>5</v>
      </c>
      <c r="B3" s="4">
        <v>46249.0</v>
      </c>
      <c r="K3" s="5" t="s">
        <v>15</v>
      </c>
      <c r="L3" s="7">
        <v>2.20462</v>
      </c>
    </row>
    <row r="4">
      <c r="A4" s="3" t="s">
        <v>6</v>
      </c>
      <c r="B4" s="4">
        <v>46256.0</v>
      </c>
      <c r="K4" s="5" t="s">
        <v>23</v>
      </c>
      <c r="L4" s="7">
        <v>0.453592</v>
      </c>
    </row>
    <row r="5">
      <c r="K5" s="5" t="s">
        <v>24</v>
      </c>
      <c r="L5" s="7">
        <v>0.0129</v>
      </c>
    </row>
    <row r="6">
      <c r="K6" s="5" t="s">
        <v>25</v>
      </c>
      <c r="L6" s="3" t="s">
        <v>26</v>
      </c>
    </row>
    <row r="7">
      <c r="K7" s="3" t="s">
        <v>28</v>
      </c>
      <c r="L7" s="7">
        <v>0.795241</v>
      </c>
    </row>
    <row r="8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K8" s="1" t="s">
        <v>30</v>
      </c>
      <c r="L8" s="9">
        <v>7.84</v>
      </c>
      <c r="M8" s="12" t="str">
        <f>HYPERLINK("https://docs.google.com/spreadsheets/d/15fnYOYMmu-7a-p8Alst6mAOsV7X854y6HBDYwQRUm5s/edit","Tote Loss Dataset")</f>
        <v>Tote Loss Dataset</v>
      </c>
      <c r="N8" s="2"/>
      <c r="O8" s="2"/>
    </row>
    <row r="9">
      <c r="A9" s="6"/>
      <c r="B9" s="14" t="s">
        <v>32</v>
      </c>
      <c r="D9" s="14" t="s">
        <v>33</v>
      </c>
      <c r="F9" s="14" t="s">
        <v>34</v>
      </c>
      <c r="G9" s="6"/>
      <c r="H9" s="6"/>
      <c r="I9" s="6"/>
      <c r="J9" s="16"/>
      <c r="K9" s="5" t="s">
        <v>37</v>
      </c>
      <c r="L9" s="8"/>
      <c r="M9" s="8"/>
    </row>
    <row r="10">
      <c r="A10" s="14" t="s">
        <v>41</v>
      </c>
      <c r="B10" s="14" t="s">
        <v>43</v>
      </c>
      <c r="C10" s="18" t="s">
        <v>45</v>
      </c>
      <c r="D10" s="19" t="s">
        <v>50</v>
      </c>
      <c r="E10" s="18" t="s">
        <v>54</v>
      </c>
      <c r="F10" s="19" t="s">
        <v>57</v>
      </c>
      <c r="G10" s="20" t="s">
        <v>61</v>
      </c>
      <c r="H10" s="21" t="s">
        <v>66</v>
      </c>
      <c r="I10" s="17" t="s">
        <v>68</v>
      </c>
      <c r="J10" s="17" t="s">
        <v>69</v>
      </c>
      <c r="K10" s="3" t="s">
        <v>70</v>
      </c>
      <c r="L10" s="7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A11" s="26"/>
      <c r="B11" s="27"/>
      <c r="C11" s="27"/>
      <c r="D11" s="28"/>
      <c r="E11" s="27"/>
      <c r="F11" s="28"/>
      <c r="G11" s="30"/>
      <c r="H11" s="32"/>
      <c r="I11" s="28"/>
      <c r="J11" s="33"/>
      <c r="K11" s="34">
        <v>45962.0</v>
      </c>
      <c r="L11" s="7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A12" s="26"/>
      <c r="B12" s="27"/>
      <c r="C12" s="27"/>
      <c r="D12" s="28"/>
      <c r="E12" s="27"/>
      <c r="F12" s="28"/>
      <c r="G12" s="30"/>
      <c r="H12" s="32"/>
      <c r="I12" s="28"/>
      <c r="J12" s="33"/>
      <c r="K12" s="34">
        <v>45992.0</v>
      </c>
      <c r="L12" s="7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A13" s="26"/>
      <c r="B13" s="27"/>
      <c r="C13" s="27"/>
      <c r="D13" s="28"/>
      <c r="E13" s="27"/>
      <c r="F13" s="28"/>
      <c r="G13" s="30"/>
      <c r="H13" s="32"/>
      <c r="I13" s="28"/>
      <c r="J13" s="33"/>
      <c r="K13" s="34">
        <v>46023.0</v>
      </c>
      <c r="L13" s="7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A14" s="26"/>
      <c r="B14" s="27"/>
      <c r="C14" s="27"/>
      <c r="D14" s="28"/>
      <c r="E14" s="27"/>
      <c r="F14" s="28"/>
      <c r="G14" s="30"/>
      <c r="H14" s="32"/>
      <c r="I14" s="28"/>
      <c r="J14" s="33"/>
      <c r="K14" s="34">
        <v>46054.0</v>
      </c>
      <c r="L14" s="7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A15" s="26"/>
      <c r="B15" s="27"/>
      <c r="C15" s="27"/>
      <c r="D15" s="28"/>
      <c r="E15" s="27"/>
      <c r="F15" s="28"/>
      <c r="G15" s="30"/>
      <c r="H15" s="32"/>
      <c r="I15" s="28"/>
      <c r="J15" s="33"/>
      <c r="K15" s="34">
        <v>46082.0</v>
      </c>
      <c r="L15" s="7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A16" s="26"/>
      <c r="B16" s="27"/>
      <c r="C16" s="27"/>
      <c r="D16" s="28"/>
      <c r="E16" s="27"/>
      <c r="F16" s="28"/>
      <c r="G16" s="30"/>
      <c r="H16" s="32"/>
      <c r="I16" s="28"/>
      <c r="J16" s="33"/>
      <c r="K16" s="34">
        <v>46113.0</v>
      </c>
      <c r="L16" s="7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A17" s="26"/>
      <c r="B17" s="27"/>
      <c r="C17" s="27"/>
      <c r="D17" s="28"/>
      <c r="E17" s="27"/>
      <c r="F17" s="28"/>
      <c r="G17" s="30"/>
      <c r="H17" s="32"/>
      <c r="I17" s="28"/>
      <c r="J17" s="33"/>
      <c r="K17" s="34">
        <v>46143.0</v>
      </c>
      <c r="L17" s="7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A18" s="26"/>
      <c r="B18" s="27"/>
      <c r="C18" s="27"/>
      <c r="D18" s="28"/>
      <c r="E18" s="27"/>
      <c r="F18" s="28"/>
      <c r="G18" s="30"/>
      <c r="H18" s="32"/>
      <c r="I18" s="28"/>
      <c r="J18" s="33"/>
      <c r="K18" s="34">
        <v>46174.0</v>
      </c>
      <c r="L18" s="7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A19" s="26"/>
      <c r="B19" s="27"/>
      <c r="C19" s="27"/>
      <c r="D19" s="28"/>
      <c r="E19" s="27"/>
      <c r="F19" s="28"/>
      <c r="G19" s="30"/>
      <c r="H19" s="32"/>
      <c r="I19" s="28"/>
      <c r="J19" s="33"/>
      <c r="K19" s="3" t="s">
        <v>85</v>
      </c>
      <c r="L19" s="39">
        <f>$L$7</f>
        <v>0.795241</v>
      </c>
    </row>
    <row r="20">
      <c r="A20" s="26"/>
      <c r="B20" s="27"/>
      <c r="C20" s="27"/>
      <c r="D20" s="28"/>
      <c r="E20" s="27"/>
      <c r="F20" s="28"/>
      <c r="G20" s="30"/>
      <c r="H20" s="32"/>
      <c r="I20" s="28"/>
      <c r="J20" s="33"/>
    </row>
    <row r="21">
      <c r="A21" s="26"/>
      <c r="B21" s="27"/>
      <c r="C21" s="27"/>
      <c r="D21" s="28"/>
      <c r="E21" s="27"/>
      <c r="F21" s="28"/>
      <c r="G21" s="30"/>
      <c r="H21" s="32"/>
      <c r="I21" s="28"/>
      <c r="J21" s="33"/>
    </row>
    <row r="22">
      <c r="A22" s="26"/>
      <c r="B22" s="27"/>
      <c r="C22" s="27"/>
      <c r="D22" s="28"/>
      <c r="E22" s="27"/>
      <c r="F22" s="28"/>
      <c r="G22" s="30"/>
      <c r="H22" s="32"/>
      <c r="I22" s="28"/>
      <c r="J22" s="33"/>
    </row>
    <row r="23">
      <c r="A23" s="26"/>
      <c r="B23" s="27"/>
      <c r="C23" s="27"/>
      <c r="D23" s="28"/>
      <c r="E23" s="27"/>
      <c r="F23" s="28"/>
      <c r="G23" s="30"/>
      <c r="H23" s="32"/>
      <c r="I23" s="28"/>
      <c r="J23" s="33"/>
    </row>
    <row r="24">
      <c r="A24" s="26"/>
      <c r="B24" s="27"/>
      <c r="C24" s="27"/>
      <c r="D24" s="28"/>
      <c r="E24" s="27"/>
      <c r="F24" s="28"/>
      <c r="G24" s="30"/>
      <c r="H24" s="32"/>
      <c r="I24" s="28"/>
      <c r="J24" s="33"/>
    </row>
    <row r="25">
      <c r="A25" s="40"/>
      <c r="B25" s="40"/>
      <c r="C25" s="27"/>
      <c r="D25" s="28"/>
      <c r="E25" s="38"/>
      <c r="F25" s="28"/>
      <c r="G25" s="30"/>
      <c r="H25" s="51"/>
      <c r="I25" s="52"/>
      <c r="J25" s="52"/>
    </row>
    <row r="26">
      <c r="A26" s="40"/>
      <c r="B26" s="40"/>
      <c r="C26" s="27"/>
      <c r="D26" s="28"/>
      <c r="E26" s="38"/>
      <c r="F26" s="28"/>
      <c r="G26" s="30"/>
      <c r="H26" s="53"/>
      <c r="I26" s="52"/>
      <c r="J26" s="52"/>
    </row>
    <row r="27">
      <c r="A27" s="40"/>
      <c r="B27" s="40"/>
      <c r="C27" s="27"/>
      <c r="D27" s="28"/>
      <c r="E27" s="38"/>
      <c r="F27" s="28"/>
      <c r="G27" s="30"/>
      <c r="H27" s="54"/>
      <c r="I27" s="52"/>
      <c r="J27" s="52"/>
    </row>
    <row r="28">
      <c r="C28" s="10"/>
      <c r="D28" s="10"/>
      <c r="E28" s="56"/>
      <c r="F28" s="10"/>
      <c r="G28" s="57"/>
      <c r="H28" s="50"/>
    </row>
    <row r="29">
      <c r="A29" s="3" t="s">
        <v>78</v>
      </c>
      <c r="B29" s="10">
        <f t="shared" ref="B29:F29" si="1">SUM(B11:B27)</f>
        <v>0</v>
      </c>
      <c r="C29" s="10">
        <f t="shared" si="1"/>
        <v>0</v>
      </c>
      <c r="D29" s="10">
        <f t="shared" si="1"/>
        <v>0</v>
      </c>
      <c r="E29" s="56">
        <f t="shared" si="1"/>
        <v>0</v>
      </c>
      <c r="F29" s="10">
        <f t="shared" si="1"/>
        <v>0</v>
      </c>
      <c r="G29" s="57"/>
      <c r="H29" s="50" t="str">
        <f>IFERROR(SUMPRODUCT(D11:D27,H11:H27)/SUMIF(H11:H27,"&lt;&gt;",D11:D27),"")</f>
        <v/>
      </c>
      <c r="I29" s="10">
        <f t="shared" ref="I29:J29" si="2">SUM(I11:I27)</f>
        <v>0</v>
      </c>
      <c r="J29" s="62">
        <f t="shared" si="2"/>
        <v>0</v>
      </c>
    </row>
    <row r="30">
      <c r="C30" s="10"/>
      <c r="D30" s="10"/>
      <c r="E30" s="10"/>
      <c r="F30" s="10"/>
      <c r="G30" s="57"/>
      <c r="H30" s="50"/>
    </row>
    <row r="31">
      <c r="A31" s="1" t="s">
        <v>98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5" t="s">
        <v>99</v>
      </c>
      <c r="B32" s="5" t="s">
        <v>100</v>
      </c>
      <c r="C32" s="5" t="s">
        <v>49</v>
      </c>
      <c r="D32" s="5" t="s">
        <v>101</v>
      </c>
      <c r="E32" s="5"/>
      <c r="F32" s="5"/>
      <c r="G32" s="5"/>
      <c r="H32" s="5"/>
      <c r="I32" s="8"/>
      <c r="J32" s="8"/>
      <c r="K32" s="8"/>
      <c r="L32" s="8"/>
      <c r="M32" s="8"/>
      <c r="N32" s="8"/>
      <c r="O32" s="8"/>
    </row>
    <row r="33">
      <c r="A33" s="10">
        <f>B29</f>
        <v>0</v>
      </c>
      <c r="B33" s="10">
        <f>SUM(D11:D27)</f>
        <v>0</v>
      </c>
      <c r="C33" s="10" t="str">
        <f>IF(D33=0,"",B33-D33)</f>
        <v/>
      </c>
      <c r="D33" s="10">
        <f>SUM(F11:F27)</f>
        <v>0</v>
      </c>
      <c r="E33" s="10"/>
      <c r="F33" s="50"/>
      <c r="G33" s="50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4</v>
      </c>
      <c r="K2" s="5" t="s">
        <v>10</v>
      </c>
    </row>
    <row r="3">
      <c r="A3" s="3" t="s">
        <v>5</v>
      </c>
      <c r="B3" s="4">
        <v>46249.0</v>
      </c>
      <c r="K3" s="5" t="s">
        <v>15</v>
      </c>
      <c r="L3" s="7">
        <v>2.20462</v>
      </c>
    </row>
    <row r="4">
      <c r="A4" s="3" t="s">
        <v>6</v>
      </c>
      <c r="B4" s="4">
        <v>46256.0</v>
      </c>
      <c r="K4" s="5" t="s">
        <v>23</v>
      </c>
      <c r="L4" s="7">
        <v>0.453592</v>
      </c>
    </row>
    <row r="5">
      <c r="K5" s="5" t="s">
        <v>24</v>
      </c>
      <c r="L5" s="7">
        <v>0.0129</v>
      </c>
    </row>
    <row r="6">
      <c r="K6" s="5" t="s">
        <v>25</v>
      </c>
      <c r="L6" s="3" t="s">
        <v>26</v>
      </c>
    </row>
    <row r="7">
      <c r="K7" s="3" t="s">
        <v>27</v>
      </c>
      <c r="L7" s="15">
        <f>HYPERLINK("https://docs.google.com/spreadsheets/d/16shKoa1KP34kQJyQvzclBejW9L5-ubNSqPsMOVB7zDY/edit?usp=sharing", 0.00195)</f>
        <v>0.00195</v>
      </c>
    </row>
    <row r="8">
      <c r="A8" s="1" t="s">
        <v>38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48</v>
      </c>
      <c r="B9" s="5" t="s">
        <v>51</v>
      </c>
      <c r="C9" s="17" t="s">
        <v>55</v>
      </c>
      <c r="D9" s="17" t="s">
        <v>59</v>
      </c>
      <c r="E9" s="5" t="s">
        <v>62</v>
      </c>
      <c r="F9" s="5" t="s">
        <v>64</v>
      </c>
      <c r="G9" s="5" t="s">
        <v>16</v>
      </c>
      <c r="H9" s="5" t="s">
        <v>17</v>
      </c>
      <c r="I9" s="5" t="s">
        <v>18</v>
      </c>
      <c r="J9" s="5" t="s">
        <v>67</v>
      </c>
      <c r="K9" s="8"/>
    </row>
    <row r="10">
      <c r="A10" s="23">
        <v>46256.0</v>
      </c>
      <c r="B10" s="29" t="str">
        <f>HYPERLINK("https://drive.google.com/file/d/1ZpVgshBO80bfKUnwVnMaMb_P_k6cUyPD/view","2471-T")</f>
        <v>2471-T</v>
      </c>
      <c r="C10" s="31">
        <v>19.56</v>
      </c>
      <c r="D10" s="31">
        <f t="shared" ref="D10:D24" si="1">IF(C10="","",C10*1000)</f>
        <v>19560</v>
      </c>
      <c r="E10" s="36">
        <v>2.9</v>
      </c>
      <c r="F10" s="3" t="s">
        <v>75</v>
      </c>
      <c r="G10" s="39">
        <f t="shared" ref="G10:G24" si="2">IF(D10="","",D10*$L$5)</f>
        <v>252.324</v>
      </c>
      <c r="H10" s="39">
        <f t="shared" ref="H10:H24" si="3">IF(D10="","",(D10-G10)*$L$7)</f>
        <v>37.6499682</v>
      </c>
      <c r="I10" s="10">
        <f t="shared" ref="I10:I24" si="4">IF(D10="","",D10-G10-H10)</f>
        <v>19270.02603</v>
      </c>
      <c r="J10" s="41">
        <v>2197.0</v>
      </c>
    </row>
    <row r="11">
      <c r="A11" s="23">
        <v>46256.0</v>
      </c>
      <c r="B11" s="29" t="str">
        <f>HYPERLINK("https://drive.google.com/file/d/1Ui6mWOJa690VxgftBfLGtKZJ8r02z2y-/view","2472-T")</f>
        <v>2472-T</v>
      </c>
      <c r="C11" s="31">
        <v>19.87</v>
      </c>
      <c r="D11" s="31">
        <f t="shared" si="1"/>
        <v>19870</v>
      </c>
      <c r="E11" s="36">
        <v>2.9</v>
      </c>
      <c r="F11" s="3" t="s">
        <v>75</v>
      </c>
      <c r="G11" s="39">
        <f t="shared" si="2"/>
        <v>256.323</v>
      </c>
      <c r="H11" s="39">
        <f t="shared" si="3"/>
        <v>38.24667015</v>
      </c>
      <c r="I11" s="10">
        <f t="shared" si="4"/>
        <v>19575.43033</v>
      </c>
      <c r="J11" s="41">
        <v>2197.0</v>
      </c>
    </row>
    <row r="12">
      <c r="A12" s="23">
        <v>46256.0</v>
      </c>
      <c r="B12" s="29" t="str">
        <f>HYPERLINK("https://drive.google.com/file/d/1VD4WRabpMMe_jtqlx0njI3KKdDWkkozz/view","2474-T")</f>
        <v>2474-T</v>
      </c>
      <c r="C12" s="31">
        <v>19.4</v>
      </c>
      <c r="D12" s="31">
        <f t="shared" si="1"/>
        <v>19400</v>
      </c>
      <c r="E12" s="36">
        <v>2.9</v>
      </c>
      <c r="F12" s="3" t="s">
        <v>92</v>
      </c>
      <c r="G12" s="39">
        <f t="shared" si="2"/>
        <v>250.26</v>
      </c>
      <c r="H12" s="39">
        <f t="shared" si="3"/>
        <v>37.341993</v>
      </c>
      <c r="I12" s="10">
        <f t="shared" si="4"/>
        <v>19112.39801</v>
      </c>
      <c r="J12" s="41">
        <v>2197.0</v>
      </c>
    </row>
    <row r="13">
      <c r="A13" s="23">
        <v>46256.0</v>
      </c>
      <c r="B13" s="29" t="str">
        <f>HYPERLINK("https://drive.google.com/file/d/1XWBZg6ynbPx0CVe_wkEG8uJzTpvz1V6c/view","2477-T")</f>
        <v>2477-T</v>
      </c>
      <c r="C13" s="31">
        <v>20.05</v>
      </c>
      <c r="D13" s="31">
        <f t="shared" si="1"/>
        <v>20050</v>
      </c>
      <c r="E13" s="36">
        <v>2.9</v>
      </c>
      <c r="F13" s="3" t="s">
        <v>93</v>
      </c>
      <c r="G13" s="39">
        <f t="shared" si="2"/>
        <v>258.645</v>
      </c>
      <c r="H13" s="39">
        <f t="shared" si="3"/>
        <v>38.59314225</v>
      </c>
      <c r="I13" s="10">
        <f t="shared" si="4"/>
        <v>19752.76186</v>
      </c>
      <c r="J13" s="41">
        <v>2197.0</v>
      </c>
    </row>
    <row r="14">
      <c r="A14" s="23"/>
      <c r="B14" s="48"/>
      <c r="C14" s="31"/>
      <c r="D14" s="31" t="str">
        <f t="shared" si="1"/>
        <v/>
      </c>
      <c r="E14" s="50"/>
      <c r="G14" s="39" t="str">
        <f t="shared" si="2"/>
        <v/>
      </c>
      <c r="H14" s="39" t="str">
        <f t="shared" si="3"/>
        <v/>
      </c>
      <c r="I14" s="39" t="str">
        <f t="shared" si="4"/>
        <v/>
      </c>
      <c r="J14" s="47"/>
    </row>
    <row r="15">
      <c r="A15" s="23"/>
      <c r="C15" s="31"/>
      <c r="D15" s="31" t="str">
        <f t="shared" si="1"/>
        <v/>
      </c>
      <c r="E15" s="50"/>
      <c r="G15" s="39" t="str">
        <f t="shared" si="2"/>
        <v/>
      </c>
      <c r="H15" s="39" t="str">
        <f t="shared" si="3"/>
        <v/>
      </c>
      <c r="I15" s="39" t="str">
        <f t="shared" si="4"/>
        <v/>
      </c>
      <c r="J15" s="47"/>
    </row>
    <row r="16">
      <c r="A16" s="48"/>
      <c r="C16" s="56"/>
      <c r="D16" s="56" t="str">
        <f t="shared" si="1"/>
        <v/>
      </c>
      <c r="E16" s="50"/>
      <c r="G16" s="39" t="str">
        <f t="shared" si="2"/>
        <v/>
      </c>
      <c r="H16" s="39" t="str">
        <f t="shared" si="3"/>
        <v/>
      </c>
      <c r="I16" s="39" t="str">
        <f t="shared" si="4"/>
        <v/>
      </c>
      <c r="J16" s="47"/>
    </row>
    <row r="17">
      <c r="A17" s="48"/>
      <c r="C17" s="56"/>
      <c r="D17" s="56" t="str">
        <f t="shared" si="1"/>
        <v/>
      </c>
      <c r="E17" s="50"/>
      <c r="G17" s="39" t="str">
        <f t="shared" si="2"/>
        <v/>
      </c>
      <c r="H17" s="39" t="str">
        <f t="shared" si="3"/>
        <v/>
      </c>
      <c r="I17" s="39" t="str">
        <f t="shared" si="4"/>
        <v/>
      </c>
      <c r="J17" s="47"/>
    </row>
    <row r="18">
      <c r="A18" s="48"/>
      <c r="C18" s="56"/>
      <c r="D18" s="56" t="str">
        <f t="shared" si="1"/>
        <v/>
      </c>
      <c r="E18" s="50"/>
      <c r="G18" s="39" t="str">
        <f t="shared" si="2"/>
        <v/>
      </c>
      <c r="H18" s="39" t="str">
        <f t="shared" si="3"/>
        <v/>
      </c>
      <c r="I18" s="39" t="str">
        <f t="shared" si="4"/>
        <v/>
      </c>
      <c r="J18" s="47"/>
    </row>
    <row r="19">
      <c r="A19" s="48"/>
      <c r="C19" s="56"/>
      <c r="D19" s="56" t="str">
        <f t="shared" si="1"/>
        <v/>
      </c>
      <c r="E19" s="50"/>
      <c r="G19" s="39" t="str">
        <f t="shared" si="2"/>
        <v/>
      </c>
      <c r="H19" s="39" t="str">
        <f t="shared" si="3"/>
        <v/>
      </c>
      <c r="I19" s="39" t="str">
        <f t="shared" si="4"/>
        <v/>
      </c>
      <c r="J19" s="47"/>
    </row>
    <row r="20">
      <c r="A20" s="48"/>
      <c r="C20" s="56"/>
      <c r="D20" s="56" t="str">
        <f t="shared" si="1"/>
        <v/>
      </c>
      <c r="E20" s="50"/>
      <c r="G20" s="39" t="str">
        <f t="shared" si="2"/>
        <v/>
      </c>
      <c r="H20" s="39" t="str">
        <f t="shared" si="3"/>
        <v/>
      </c>
      <c r="I20" s="39" t="str">
        <f t="shared" si="4"/>
        <v/>
      </c>
      <c r="J20" s="47"/>
    </row>
    <row r="21">
      <c r="A21" s="48"/>
      <c r="C21" s="56"/>
      <c r="D21" s="56" t="str">
        <f t="shared" si="1"/>
        <v/>
      </c>
      <c r="E21" s="50"/>
      <c r="G21" s="39" t="str">
        <f t="shared" si="2"/>
        <v/>
      </c>
      <c r="H21" s="39" t="str">
        <f t="shared" si="3"/>
        <v/>
      </c>
      <c r="I21" s="39" t="str">
        <f t="shared" si="4"/>
        <v/>
      </c>
      <c r="J21" s="47"/>
    </row>
    <row r="22">
      <c r="A22" s="48"/>
      <c r="C22" s="56"/>
      <c r="D22" s="56" t="str">
        <f t="shared" si="1"/>
        <v/>
      </c>
      <c r="E22" s="50"/>
      <c r="G22" s="39" t="str">
        <f t="shared" si="2"/>
        <v/>
      </c>
      <c r="H22" s="39" t="str">
        <f t="shared" si="3"/>
        <v/>
      </c>
      <c r="I22" s="39" t="str">
        <f t="shared" si="4"/>
        <v/>
      </c>
      <c r="J22" s="47"/>
    </row>
    <row r="23">
      <c r="A23" s="48"/>
      <c r="C23" s="56"/>
      <c r="D23" s="56" t="str">
        <f t="shared" si="1"/>
        <v/>
      </c>
      <c r="E23" s="50"/>
      <c r="G23" s="39" t="str">
        <f t="shared" si="2"/>
        <v/>
      </c>
      <c r="H23" s="39" t="str">
        <f t="shared" si="3"/>
        <v/>
      </c>
      <c r="I23" s="39" t="str">
        <f t="shared" si="4"/>
        <v/>
      </c>
      <c r="J23" s="47"/>
    </row>
    <row r="24">
      <c r="A24" s="48"/>
      <c r="C24" s="56"/>
      <c r="D24" s="56" t="str">
        <f t="shared" si="1"/>
        <v/>
      </c>
      <c r="E24" s="50"/>
      <c r="G24" s="39" t="str">
        <f t="shared" si="2"/>
        <v/>
      </c>
      <c r="H24" s="39" t="str">
        <f t="shared" si="3"/>
        <v/>
      </c>
      <c r="I24" s="39" t="str">
        <f t="shared" si="4"/>
        <v/>
      </c>
      <c r="J24" s="47"/>
    </row>
    <row r="25">
      <c r="A25" s="48"/>
      <c r="C25" s="10"/>
      <c r="D25" s="10"/>
      <c r="E25" s="10"/>
      <c r="F25" s="10"/>
      <c r="G25" s="10"/>
      <c r="H25" s="50"/>
      <c r="J25" s="47">
        <f>SUM(J10:J13)</f>
        <v>8788</v>
      </c>
    </row>
    <row r="26">
      <c r="A26" s="1" t="s">
        <v>104</v>
      </c>
      <c r="B26" s="2"/>
      <c r="C26" s="70"/>
      <c r="D26" s="70"/>
      <c r="E26" s="70"/>
      <c r="F26" s="70"/>
      <c r="G26" s="70"/>
      <c r="H26" s="71"/>
      <c r="I26" s="2"/>
      <c r="J26" s="2"/>
      <c r="K26" s="2"/>
      <c r="L26" s="2"/>
      <c r="M26" s="2"/>
      <c r="N26" s="2"/>
    </row>
    <row r="27">
      <c r="A27" s="5" t="s">
        <v>105</v>
      </c>
      <c r="B27" s="45" t="s">
        <v>14</v>
      </c>
      <c r="C27" s="45" t="s">
        <v>16</v>
      </c>
      <c r="D27" s="45" t="s">
        <v>17</v>
      </c>
      <c r="E27" s="45" t="s">
        <v>106</v>
      </c>
      <c r="F27" s="45" t="s">
        <v>18</v>
      </c>
      <c r="G27" s="72" t="s">
        <v>62</v>
      </c>
      <c r="H27" s="5"/>
      <c r="I27" s="5"/>
      <c r="J27" s="5"/>
      <c r="K27" s="8"/>
      <c r="L27" s="8"/>
      <c r="M27" s="8"/>
    </row>
    <row r="28">
      <c r="A28" s="47">
        <f>SUMIFS(D10:D24,B10:B24,"&lt;&gt;")</f>
        <v>78880</v>
      </c>
      <c r="B28" s="13">
        <f>A28</f>
        <v>78880</v>
      </c>
      <c r="C28" s="10">
        <f>B28*$L$5</f>
        <v>1017.552</v>
      </c>
      <c r="D28" s="35">
        <f>(B28-C28)*$L$7</f>
        <v>151.8317736</v>
      </c>
      <c r="E28" s="36">
        <v>0.0</v>
      </c>
      <c r="F28" s="47">
        <f>B28-C28-D28-E28</f>
        <v>77710.61623</v>
      </c>
      <c r="G28" s="50">
        <f>IFERROR(AVERAGE(E10:E24),"")</f>
        <v>2.9</v>
      </c>
    </row>
    <row r="29">
      <c r="A29" s="48"/>
      <c r="C29" s="10"/>
      <c r="D29" s="10"/>
      <c r="E29" s="10"/>
      <c r="F29" s="10"/>
      <c r="G29" s="10"/>
      <c r="H29" s="50"/>
    </row>
    <row r="30">
      <c r="A30" s="48"/>
      <c r="C30" s="10"/>
      <c r="D30" s="10"/>
      <c r="E30" s="10"/>
      <c r="F30" s="10"/>
      <c r="G30" s="10"/>
      <c r="H30" s="50"/>
    </row>
    <row r="31">
      <c r="A31" s="48"/>
    </row>
    <row r="32">
      <c r="A32" s="48"/>
    </row>
    <row r="33">
      <c r="A33" s="48"/>
    </row>
    <row r="34">
      <c r="A34" s="48"/>
    </row>
    <row r="35">
      <c r="A35" s="48"/>
    </row>
    <row r="36">
      <c r="A36" s="48"/>
    </row>
    <row r="37">
      <c r="A37" s="48"/>
    </row>
    <row r="38">
      <c r="A38" s="48"/>
    </row>
    <row r="39">
      <c r="A39" s="48"/>
    </row>
    <row r="40">
      <c r="A40" s="48"/>
    </row>
    <row r="41">
      <c r="A41" s="48"/>
    </row>
    <row r="42">
      <c r="A42" s="48"/>
    </row>
    <row r="43">
      <c r="A43" s="48"/>
    </row>
    <row r="44">
      <c r="A44" s="48"/>
    </row>
    <row r="45">
      <c r="A45" s="48"/>
    </row>
    <row r="46">
      <c r="A46" s="48"/>
    </row>
    <row r="47">
      <c r="A47" s="48"/>
    </row>
    <row r="48">
      <c r="A48" s="48"/>
    </row>
    <row r="49">
      <c r="A49" s="48"/>
    </row>
    <row r="50">
      <c r="A50" s="48"/>
    </row>
    <row r="51">
      <c r="A51" s="48"/>
    </row>
    <row r="52">
      <c r="A52" s="48"/>
    </row>
    <row r="53">
      <c r="A53" s="48"/>
    </row>
    <row r="54">
      <c r="A54" s="48"/>
    </row>
    <row r="55">
      <c r="A55" s="48"/>
    </row>
    <row r="56">
      <c r="A56" s="48"/>
    </row>
    <row r="57">
      <c r="A57" s="48"/>
    </row>
    <row r="58">
      <c r="A58" s="48"/>
    </row>
    <row r="59">
      <c r="A59" s="48"/>
    </row>
    <row r="60">
      <c r="A60" s="4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38"/>
    <col customWidth="1" min="3" max="5" width="23.88"/>
    <col customWidth="1" min="6" max="6" width="21.13"/>
    <col customWidth="1" min="7" max="7" width="20.88"/>
    <col customWidth="1" min="8" max="9" width="16.38"/>
    <col customWidth="1" min="10" max="10" width="35.13"/>
    <col customWidth="1" min="11" max="16" width="16.38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7</v>
      </c>
      <c r="B2" s="3" t="s">
        <v>4</v>
      </c>
      <c r="L2" s="5"/>
      <c r="N2" s="3" t="s">
        <v>10</v>
      </c>
    </row>
    <row r="3">
      <c r="A3" s="3" t="s">
        <v>5</v>
      </c>
      <c r="B3" s="4">
        <v>46249.0</v>
      </c>
      <c r="L3" s="5"/>
      <c r="N3" s="3" t="s">
        <v>15</v>
      </c>
      <c r="O3" s="7">
        <v>2.20462</v>
      </c>
    </row>
    <row r="4">
      <c r="A4" s="3" t="s">
        <v>6</v>
      </c>
      <c r="B4" s="4">
        <v>46256.0</v>
      </c>
      <c r="L4" s="5"/>
      <c r="N4" s="3" t="s">
        <v>23</v>
      </c>
      <c r="O4" s="7">
        <v>0.453592</v>
      </c>
    </row>
    <row r="5">
      <c r="L5" s="5"/>
      <c r="N5" s="3" t="s">
        <v>117</v>
      </c>
      <c r="O5" s="88">
        <f>HYPERLINK("https://drive.google.com/file/d/1twIf0H9Ma4crVsPgD0Iq6eFDwxQIC-ni/view",0.00071)</f>
        <v>0.00071</v>
      </c>
    </row>
    <row r="6">
      <c r="L6" s="5"/>
      <c r="N6" s="3" t="s">
        <v>25</v>
      </c>
      <c r="O6" s="3" t="s">
        <v>26</v>
      </c>
    </row>
    <row r="7">
      <c r="N7" s="3" t="s">
        <v>90</v>
      </c>
      <c r="O7" s="7">
        <v>0.004</v>
      </c>
    </row>
    <row r="8">
      <c r="A8" s="1" t="s">
        <v>121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"/>
      <c r="O8" s="9"/>
      <c r="P8" s="2"/>
    </row>
    <row r="9">
      <c r="A9" s="5" t="s">
        <v>48</v>
      </c>
      <c r="B9" s="17" t="s">
        <v>122</v>
      </c>
      <c r="C9" s="17" t="s">
        <v>123</v>
      </c>
      <c r="D9" s="17" t="s">
        <v>124</v>
      </c>
      <c r="E9" s="5" t="s">
        <v>125</v>
      </c>
      <c r="F9" s="5" t="s">
        <v>126</v>
      </c>
      <c r="G9" s="17" t="s">
        <v>62</v>
      </c>
      <c r="H9" s="5" t="s">
        <v>64</v>
      </c>
      <c r="I9" s="5" t="s">
        <v>127</v>
      </c>
      <c r="J9" s="5" t="s">
        <v>89</v>
      </c>
      <c r="K9" s="5" t="s">
        <v>128</v>
      </c>
      <c r="L9" s="5"/>
      <c r="M9" s="5"/>
      <c r="N9" s="5"/>
    </row>
    <row r="10">
      <c r="A10" s="4"/>
      <c r="B10" s="31"/>
      <c r="C10" s="31"/>
      <c r="D10" s="31"/>
      <c r="E10" s="10"/>
      <c r="F10" s="10"/>
      <c r="G10" s="31"/>
      <c r="I10" s="49"/>
      <c r="J10" s="91"/>
    </row>
    <row r="11">
      <c r="A11" s="4"/>
      <c r="B11" s="31"/>
      <c r="C11" s="31"/>
      <c r="D11" s="31"/>
      <c r="E11" s="10"/>
      <c r="F11" s="10"/>
      <c r="G11" s="31"/>
    </row>
    <row r="12">
      <c r="A12" s="4"/>
      <c r="B12" s="31"/>
      <c r="C12" s="31"/>
      <c r="D12" s="31"/>
      <c r="E12" s="10"/>
      <c r="F12" s="10"/>
      <c r="G12" s="31"/>
    </row>
    <row r="13">
      <c r="A13" s="4"/>
      <c r="B13" s="31"/>
      <c r="C13" s="31"/>
      <c r="D13" s="31"/>
      <c r="E13" s="10"/>
      <c r="F13" s="10"/>
      <c r="G13" s="31"/>
    </row>
    <row r="14">
      <c r="B14" s="10"/>
      <c r="C14" s="10"/>
      <c r="D14" s="10"/>
      <c r="E14" s="10"/>
      <c r="F14" s="10"/>
      <c r="G14" s="10"/>
    </row>
    <row r="15">
      <c r="A15" s="1"/>
      <c r="B15" s="2"/>
      <c r="C15" s="70"/>
      <c r="D15" s="70"/>
      <c r="E15" s="70"/>
      <c r="F15" s="70"/>
      <c r="G15" s="70"/>
      <c r="H15" s="70"/>
      <c r="I15" s="70"/>
      <c r="J15" s="2"/>
      <c r="K15" s="2"/>
      <c r="L15" s="2"/>
      <c r="M15" s="2"/>
      <c r="N15" s="2"/>
      <c r="O15" s="2"/>
      <c r="P15" s="2"/>
    </row>
    <row r="16">
      <c r="A16" s="5"/>
      <c r="B16" s="5"/>
      <c r="C16" s="45"/>
      <c r="D16" s="45"/>
      <c r="E16" s="45"/>
      <c r="F16" s="45"/>
      <c r="G16" s="45"/>
      <c r="H16" s="45"/>
      <c r="I16" s="45"/>
      <c r="J16" s="5"/>
      <c r="K16" s="8"/>
      <c r="L16" s="8"/>
      <c r="M16" s="8"/>
      <c r="N16" s="8"/>
      <c r="O16" s="8"/>
      <c r="P16" s="8"/>
    </row>
    <row r="17">
      <c r="A17" s="10"/>
      <c r="B17" s="10"/>
      <c r="C17" s="13"/>
      <c r="D17" s="13"/>
      <c r="E17" s="13"/>
      <c r="F17" s="10"/>
      <c r="G17" s="35"/>
      <c r="H17" s="35"/>
      <c r="I17" s="10"/>
    </row>
    <row r="18">
      <c r="C18" s="10"/>
      <c r="D18" s="10"/>
      <c r="E18" s="10"/>
      <c r="F18" s="10"/>
      <c r="G18" s="10"/>
      <c r="H18" s="10"/>
      <c r="I18" s="10"/>
    </row>
    <row r="19">
      <c r="C19" s="10"/>
      <c r="D19" s="10"/>
      <c r="E19" s="10"/>
      <c r="F19" s="10"/>
      <c r="G19" s="10"/>
      <c r="H19" s="10"/>
      <c r="I19" s="10"/>
    </row>
    <row r="20">
      <c r="A20" s="3" t="s">
        <v>98</v>
      </c>
    </row>
    <row r="21">
      <c r="A21" s="3" t="s">
        <v>130</v>
      </c>
      <c r="B21" s="3" t="s">
        <v>17</v>
      </c>
      <c r="C21" s="3" t="s">
        <v>18</v>
      </c>
      <c r="D21" s="3" t="s">
        <v>62</v>
      </c>
    </row>
    <row r="22">
      <c r="A22" s="39">
        <f>SUMIFS(E10:E18,A10:A18,"&lt;&gt;")</f>
        <v>0</v>
      </c>
      <c r="B22" s="39">
        <f>A22*$O$5</f>
        <v>0</v>
      </c>
      <c r="C22" s="39">
        <f>A22-B22</f>
        <v>0</v>
      </c>
      <c r="D22" s="39" t="str">
        <f>IFERROR(AVERAGE(G10:G18),"")</f>
        <v/>
      </c>
    </row>
    <row r="32">
      <c r="C32" s="3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7</v>
      </c>
      <c r="B2" s="3" t="s">
        <v>4</v>
      </c>
      <c r="K2" s="5" t="s">
        <v>10</v>
      </c>
    </row>
    <row r="3">
      <c r="A3" s="3" t="s">
        <v>5</v>
      </c>
      <c r="B3" s="4">
        <v>46249.0</v>
      </c>
      <c r="K3" s="5" t="s">
        <v>15</v>
      </c>
      <c r="L3" s="7">
        <v>2.20462</v>
      </c>
    </row>
    <row r="4">
      <c r="A4" s="3" t="s">
        <v>6</v>
      </c>
      <c r="B4" s="4">
        <v>46256.0</v>
      </c>
      <c r="K4" s="5" t="s">
        <v>23</v>
      </c>
      <c r="L4" s="7">
        <v>0.453592</v>
      </c>
    </row>
    <row r="5">
      <c r="K5" s="5" t="s">
        <v>24</v>
      </c>
      <c r="L5" s="7">
        <v>0.0129</v>
      </c>
    </row>
    <row r="6">
      <c r="K6" s="5" t="s">
        <v>25</v>
      </c>
      <c r="L6" s="3" t="s">
        <v>26</v>
      </c>
    </row>
    <row r="7">
      <c r="K7" s="3" t="s">
        <v>119</v>
      </c>
      <c r="L7" s="7">
        <v>0.120947</v>
      </c>
    </row>
    <row r="8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81"/>
      <c r="B9" s="82" t="s">
        <v>32</v>
      </c>
      <c r="D9" s="82" t="s">
        <v>35</v>
      </c>
      <c r="F9" s="14" t="s">
        <v>34</v>
      </c>
      <c r="G9" s="6"/>
      <c r="H9" s="6"/>
      <c r="I9" s="6"/>
      <c r="J9" s="16"/>
      <c r="K9" s="3" t="s">
        <v>37</v>
      </c>
    </row>
    <row r="10">
      <c r="A10" s="83" t="s">
        <v>41</v>
      </c>
      <c r="B10" s="84" t="s">
        <v>43</v>
      </c>
      <c r="C10" s="84" t="s">
        <v>45</v>
      </c>
      <c r="D10" s="84" t="s">
        <v>50</v>
      </c>
      <c r="E10" s="84" t="s">
        <v>120</v>
      </c>
      <c r="F10" s="84" t="s">
        <v>57</v>
      </c>
      <c r="G10" s="6" t="s">
        <v>61</v>
      </c>
      <c r="H10" s="6" t="s">
        <v>66</v>
      </c>
      <c r="I10" s="6" t="s">
        <v>68</v>
      </c>
      <c r="J10" s="6" t="s">
        <v>69</v>
      </c>
      <c r="K10" s="3" t="s">
        <v>70</v>
      </c>
      <c r="L10" s="7">
        <v>0.1575553394801048</v>
      </c>
      <c r="M10" s="15" t="str">
        <f>HYPERLINK("https://docs.google.com/spreadsheets/d/1L167k_JS3mnisFy3VpS-OXgI8U0cK-4nC6A9sxl-ozk/edit","PP Summary")</f>
        <v>PP Summary</v>
      </c>
    </row>
    <row r="11">
      <c r="A11" s="85">
        <v>301000.0</v>
      </c>
      <c r="B11" s="86">
        <v>952.0</v>
      </c>
      <c r="C11" s="87">
        <v>57.6</v>
      </c>
      <c r="D11" s="89">
        <f t="shared" ref="D11:D51" si="1">B11-C11</f>
        <v>894.4</v>
      </c>
      <c r="E11" s="90">
        <v>147.5</v>
      </c>
      <c r="F11" s="89">
        <f t="shared" ref="F11:F51" si="2">IF(E11="","",B11-E11)</f>
        <v>804.5</v>
      </c>
      <c r="G11" s="3" t="s">
        <v>129</v>
      </c>
      <c r="H11" s="92">
        <f>$L$15</f>
        <v>0.1185251532</v>
      </c>
      <c r="I11" s="10">
        <f t="shared" ref="I11:I51" si="3">IF(H11="","",H11*D11)</f>
        <v>106.008897</v>
      </c>
      <c r="J11" s="62">
        <f t="shared" ref="J11:J51" si="4">2.5*$L$4</f>
        <v>1.13398</v>
      </c>
      <c r="K11" s="34">
        <v>45962.0</v>
      </c>
      <c r="L11" s="7">
        <v>0.1392140547840092</v>
      </c>
      <c r="M11" s="15" t="str">
        <f>HYPERLINK("https://docs.google.com/spreadsheets/d/1W8jWu3sp39WnSuds1Ja0FWDG5UuWN9v5NUmF6yh_WbI/edit","PP Summary")</f>
        <v>PP Summary</v>
      </c>
    </row>
    <row r="12">
      <c r="A12" s="85">
        <v>301005.0</v>
      </c>
      <c r="B12" s="86">
        <v>1001.0</v>
      </c>
      <c r="C12" s="87">
        <v>57.6</v>
      </c>
      <c r="D12" s="87">
        <f t="shared" si="1"/>
        <v>943.4</v>
      </c>
      <c r="E12" s="96">
        <v>171.0</v>
      </c>
      <c r="F12" s="89">
        <f t="shared" si="2"/>
        <v>830</v>
      </c>
      <c r="G12" s="3" t="s">
        <v>132</v>
      </c>
      <c r="H12" s="92">
        <f t="shared" ref="H12:H13" si="5">$L$16</f>
        <v>0.1314184532</v>
      </c>
      <c r="I12" s="10">
        <f t="shared" si="3"/>
        <v>123.9801688</v>
      </c>
      <c r="J12" s="62">
        <f t="shared" si="4"/>
        <v>1.13398</v>
      </c>
      <c r="K12" s="34">
        <v>45992.0</v>
      </c>
      <c r="L12" s="7">
        <v>0.16306166436976688</v>
      </c>
      <c r="M12" s="15" t="str">
        <f>HYPERLINK("https://docs.google.com/spreadsheets/d/1-L6m2wYknC3o-yIts9KK7FrYAb5lZIv4AwaizK8FbMc/edit","PP Summary")</f>
        <v>PP Summary</v>
      </c>
    </row>
    <row r="13">
      <c r="A13" s="85">
        <v>301008.0</v>
      </c>
      <c r="B13" s="86">
        <v>1014.0</v>
      </c>
      <c r="C13" s="87">
        <v>57.6</v>
      </c>
      <c r="D13" s="89">
        <f t="shared" si="1"/>
        <v>956.4</v>
      </c>
      <c r="E13" s="96">
        <v>153.5</v>
      </c>
      <c r="F13" s="89">
        <f t="shared" si="2"/>
        <v>860.5</v>
      </c>
      <c r="G13" s="3" t="s">
        <v>139</v>
      </c>
      <c r="H13" s="92">
        <f t="shared" si="5"/>
        <v>0.1314184532</v>
      </c>
      <c r="I13" s="10">
        <f t="shared" si="3"/>
        <v>125.6886086</v>
      </c>
      <c r="J13" s="62">
        <f t="shared" si="4"/>
        <v>1.13398</v>
      </c>
      <c r="K13" s="34">
        <v>46023.0</v>
      </c>
      <c r="L13" s="7">
        <v>0.15683401691482485</v>
      </c>
      <c r="M13" s="15" t="str">
        <f>HYPERLINK("https://docs.google.com/spreadsheets/d/1bPZ7pNsR5rv-om-BypF4lK3nczjn4HJNO2dzimwnx7E/edit","PP Summary")</f>
        <v>PP Summary</v>
      </c>
    </row>
    <row r="14">
      <c r="A14" s="85">
        <v>301013.0</v>
      </c>
      <c r="B14" s="86">
        <v>1019.0</v>
      </c>
      <c r="C14" s="87">
        <v>57.6</v>
      </c>
      <c r="D14" s="89">
        <f t="shared" si="1"/>
        <v>961.4</v>
      </c>
      <c r="E14" s="90">
        <v>142.5</v>
      </c>
      <c r="F14" s="89">
        <f t="shared" si="2"/>
        <v>876.5</v>
      </c>
      <c r="G14" s="3" t="s">
        <v>142</v>
      </c>
      <c r="H14" s="92">
        <f t="shared" ref="H14:H16" si="6">$L$15</f>
        <v>0.1185251532</v>
      </c>
      <c r="I14" s="10">
        <f t="shared" si="3"/>
        <v>113.9500823</v>
      </c>
      <c r="J14" s="62">
        <f t="shared" si="4"/>
        <v>1.13398</v>
      </c>
      <c r="K14" s="34">
        <v>46054.0</v>
      </c>
      <c r="L14" s="7">
        <v>0.13304979391442986</v>
      </c>
      <c r="M14" s="15" t="str">
        <f>HYPERLINK("https://docs.google.com/spreadsheets/d/1vH7bborVnc-TCby3wEkpzi7GGMOI5jMJooEW0V-rOQ4/edit","PP Summary")</f>
        <v>PP Summary</v>
      </c>
    </row>
    <row r="15">
      <c r="A15" s="85">
        <v>301015.0</v>
      </c>
      <c r="B15" s="86">
        <v>995.0</v>
      </c>
      <c r="C15" s="87">
        <v>57.6</v>
      </c>
      <c r="D15" s="89">
        <f t="shared" si="1"/>
        <v>937.4</v>
      </c>
      <c r="E15" s="90">
        <v>138.0</v>
      </c>
      <c r="F15" s="89">
        <f t="shared" si="2"/>
        <v>857</v>
      </c>
      <c r="G15" s="3" t="s">
        <v>152</v>
      </c>
      <c r="H15" s="92">
        <f t="shared" si="6"/>
        <v>0.1185251532</v>
      </c>
      <c r="I15" s="10">
        <f t="shared" si="3"/>
        <v>111.1054786</v>
      </c>
      <c r="J15" s="62">
        <f t="shared" si="4"/>
        <v>1.13398</v>
      </c>
      <c r="K15" s="34">
        <v>46082.0</v>
      </c>
      <c r="L15" s="7">
        <v>0.11852515320294801</v>
      </c>
      <c r="M15" s="15" t="str">
        <f>HYPERLINK("https://docs.google.com/spreadsheets/d/1O7y30opa_u1_deqFm_w2qgVyxi_75X00xnzKuyVyh6o/edit","PP Summary")</f>
        <v>PP Summary</v>
      </c>
    </row>
    <row r="16">
      <c r="A16" s="85">
        <v>301019.0</v>
      </c>
      <c r="B16" s="86">
        <v>1031.0</v>
      </c>
      <c r="C16" s="87">
        <v>57.6</v>
      </c>
      <c r="D16" s="89">
        <f t="shared" si="1"/>
        <v>973.4</v>
      </c>
      <c r="E16" s="90">
        <v>158.5</v>
      </c>
      <c r="F16" s="89">
        <f t="shared" si="2"/>
        <v>872.5</v>
      </c>
      <c r="G16" s="3" t="s">
        <v>154</v>
      </c>
      <c r="H16" s="92">
        <f t="shared" si="6"/>
        <v>0.1185251532</v>
      </c>
      <c r="I16" s="10">
        <f t="shared" si="3"/>
        <v>115.3723841</v>
      </c>
      <c r="J16" s="62">
        <f t="shared" si="4"/>
        <v>1.13398</v>
      </c>
      <c r="K16" s="34">
        <v>46113.0</v>
      </c>
      <c r="L16" s="7">
        <v>0.131418453205342</v>
      </c>
      <c r="M16" s="15" t="str">
        <f>HYPERLINK("https://docs.google.com/spreadsheets/d/10Qwx7K6sUcOBrCebGUGVaVeLQnhzvcT8sHQ0Sy3VBBM/edit","PP Summary")</f>
        <v>PP Summary</v>
      </c>
    </row>
    <row r="17">
      <c r="A17" s="85">
        <v>301021.0</v>
      </c>
      <c r="B17" s="86">
        <v>1074.0</v>
      </c>
      <c r="C17" s="87">
        <v>57.6</v>
      </c>
      <c r="D17" s="89">
        <f t="shared" si="1"/>
        <v>1016.4</v>
      </c>
      <c r="E17" s="90">
        <v>166.0</v>
      </c>
      <c r="F17" s="89">
        <f t="shared" si="2"/>
        <v>908</v>
      </c>
      <c r="G17" s="3" t="s">
        <v>156</v>
      </c>
      <c r="H17" s="92">
        <f t="shared" ref="H17:H18" si="7">$L$16</f>
        <v>0.1314184532</v>
      </c>
      <c r="I17" s="10">
        <f t="shared" si="3"/>
        <v>133.5737158</v>
      </c>
      <c r="J17" s="62">
        <f t="shared" si="4"/>
        <v>1.13398</v>
      </c>
      <c r="K17" s="34">
        <v>46143.0</v>
      </c>
      <c r="L17" s="7">
        <v>0.1106615762401743</v>
      </c>
      <c r="M17" s="15" t="str">
        <f>HYPERLINK("https://docs.google.com/spreadsheets/d/1m66t1jsLGc4e6AWnCFMsFbkSceZ9IYC_-bfTsbP_OYc/edit","PP Summary")</f>
        <v>PP Summary</v>
      </c>
    </row>
    <row r="18">
      <c r="A18" s="85">
        <v>301022.0</v>
      </c>
      <c r="B18" s="86">
        <v>1041.0</v>
      </c>
      <c r="C18" s="87">
        <v>57.6</v>
      </c>
      <c r="D18" s="89">
        <f t="shared" si="1"/>
        <v>983.4</v>
      </c>
      <c r="E18" s="90">
        <v>154.0</v>
      </c>
      <c r="F18" s="89">
        <f t="shared" si="2"/>
        <v>887</v>
      </c>
      <c r="G18" s="3" t="s">
        <v>162</v>
      </c>
      <c r="H18" s="92">
        <f t="shared" si="7"/>
        <v>0.1314184532</v>
      </c>
      <c r="I18" s="10">
        <f t="shared" si="3"/>
        <v>129.2369069</v>
      </c>
      <c r="J18" s="62">
        <f t="shared" si="4"/>
        <v>1.13398</v>
      </c>
      <c r="K18" s="34">
        <v>46174.0</v>
      </c>
      <c r="L18" s="7">
        <v>0.1236896673712938</v>
      </c>
      <c r="M18" s="15" t="str">
        <f>HYPERLINK("https://docs.google.com/spreadsheets/d/1MUQajDI2a_Cn9xWGPP7z4PhhphZnfl2_CSTnpB07Wgk/edit","PP Summary")</f>
        <v>PP Summary</v>
      </c>
    </row>
    <row r="19">
      <c r="A19" s="85">
        <v>301029.0</v>
      </c>
      <c r="B19" s="86">
        <v>941.0</v>
      </c>
      <c r="C19" s="87">
        <v>57.6</v>
      </c>
      <c r="D19" s="89">
        <f t="shared" si="1"/>
        <v>883.4</v>
      </c>
      <c r="E19" s="90">
        <v>148.0</v>
      </c>
      <c r="F19" s="89">
        <f t="shared" si="2"/>
        <v>793</v>
      </c>
      <c r="G19" s="3" t="s">
        <v>165</v>
      </c>
      <c r="H19" s="92">
        <f t="shared" ref="H19:H23" si="8">$L$15</f>
        <v>0.1185251532</v>
      </c>
      <c r="I19" s="10">
        <f t="shared" si="3"/>
        <v>104.7051203</v>
      </c>
      <c r="J19" s="62">
        <f t="shared" si="4"/>
        <v>1.13398</v>
      </c>
      <c r="K19" s="3" t="s">
        <v>85</v>
      </c>
      <c r="L19" s="39">
        <f>$L$7</f>
        <v>0.120947</v>
      </c>
    </row>
    <row r="20">
      <c r="A20" s="85">
        <v>301038.0</v>
      </c>
      <c r="B20" s="86">
        <v>1031.0</v>
      </c>
      <c r="C20" s="87">
        <v>57.6</v>
      </c>
      <c r="D20" s="89">
        <f t="shared" si="1"/>
        <v>973.4</v>
      </c>
      <c r="E20" s="96">
        <v>156.5</v>
      </c>
      <c r="F20" s="89">
        <f t="shared" si="2"/>
        <v>874.5</v>
      </c>
      <c r="G20" s="3" t="s">
        <v>168</v>
      </c>
      <c r="H20" s="92">
        <f t="shared" si="8"/>
        <v>0.1185251532</v>
      </c>
      <c r="I20" s="10">
        <f t="shared" si="3"/>
        <v>115.3723841</v>
      </c>
      <c r="J20" s="62">
        <f t="shared" si="4"/>
        <v>1.13398</v>
      </c>
      <c r="K20" s="3" t="s">
        <v>170</v>
      </c>
      <c r="L20" s="7">
        <v>0.13736711280644612</v>
      </c>
      <c r="M20" s="15" t="str">
        <f>HYPERLINK("https://docs.google.com/spreadsheets/d/1qPyS0H9Wx8z2vMl_3ANE1YLYahKLeL1Qo8OmZ_ol9aI/edit","PP Summary")</f>
        <v>PP Summary</v>
      </c>
    </row>
    <row r="21">
      <c r="A21" s="85">
        <v>301044.0</v>
      </c>
      <c r="B21" s="86">
        <v>1067.0</v>
      </c>
      <c r="C21" s="87">
        <v>57.6</v>
      </c>
      <c r="D21" s="89">
        <f t="shared" si="1"/>
        <v>1009.4</v>
      </c>
      <c r="E21" s="90">
        <v>145.0</v>
      </c>
      <c r="F21" s="89">
        <f t="shared" si="2"/>
        <v>922</v>
      </c>
      <c r="G21" s="3" t="s">
        <v>172</v>
      </c>
      <c r="H21" s="92">
        <f t="shared" si="8"/>
        <v>0.1185251532</v>
      </c>
      <c r="I21" s="10">
        <f t="shared" si="3"/>
        <v>119.6392896</v>
      </c>
      <c r="J21" s="62">
        <f t="shared" si="4"/>
        <v>1.13398</v>
      </c>
    </row>
    <row r="22">
      <c r="A22" s="85">
        <v>301045.0</v>
      </c>
      <c r="B22" s="86">
        <v>1166.0</v>
      </c>
      <c r="C22" s="87">
        <v>57.6</v>
      </c>
      <c r="D22" s="89">
        <f t="shared" si="1"/>
        <v>1108.4</v>
      </c>
      <c r="E22" s="90">
        <v>145.5</v>
      </c>
      <c r="F22" s="89">
        <f t="shared" si="2"/>
        <v>1020.5</v>
      </c>
      <c r="G22" s="3" t="s">
        <v>173</v>
      </c>
      <c r="H22" s="92">
        <f t="shared" si="8"/>
        <v>0.1185251532</v>
      </c>
      <c r="I22" s="10">
        <f t="shared" si="3"/>
        <v>131.3732798</v>
      </c>
      <c r="J22" s="62">
        <f t="shared" si="4"/>
        <v>1.13398</v>
      </c>
    </row>
    <row r="23">
      <c r="A23" s="85">
        <v>301046.0</v>
      </c>
      <c r="B23" s="86">
        <v>1053.0</v>
      </c>
      <c r="C23" s="87">
        <v>57.6</v>
      </c>
      <c r="D23" s="89">
        <f t="shared" si="1"/>
        <v>995.4</v>
      </c>
      <c r="E23" s="90">
        <v>166.5</v>
      </c>
      <c r="F23" s="89">
        <f t="shared" si="2"/>
        <v>886.5</v>
      </c>
      <c r="G23" s="3" t="s">
        <v>176</v>
      </c>
      <c r="H23" s="92">
        <f t="shared" si="8"/>
        <v>0.1185251532</v>
      </c>
      <c r="I23" s="10">
        <f t="shared" si="3"/>
        <v>117.9799375</v>
      </c>
      <c r="J23" s="62">
        <f t="shared" si="4"/>
        <v>1.13398</v>
      </c>
    </row>
    <row r="24">
      <c r="A24" s="85">
        <v>301048.0</v>
      </c>
      <c r="B24" s="86">
        <v>855.0</v>
      </c>
      <c r="C24" s="87">
        <v>57.6</v>
      </c>
      <c r="D24" s="89">
        <f t="shared" si="1"/>
        <v>797.4</v>
      </c>
      <c r="E24" s="90">
        <v>172.0</v>
      </c>
      <c r="F24" s="89">
        <f t="shared" si="2"/>
        <v>683</v>
      </c>
      <c r="G24" s="3" t="s">
        <v>181</v>
      </c>
      <c r="H24" s="92">
        <f>$L$16</f>
        <v>0.1314184532</v>
      </c>
      <c r="I24" s="10">
        <f t="shared" si="3"/>
        <v>104.7930746</v>
      </c>
      <c r="J24" s="62">
        <f t="shared" si="4"/>
        <v>1.13398</v>
      </c>
    </row>
    <row r="25">
      <c r="A25" s="85">
        <v>301049.0</v>
      </c>
      <c r="B25" s="86">
        <v>957.0</v>
      </c>
      <c r="C25" s="87">
        <v>57.6</v>
      </c>
      <c r="D25" s="89">
        <f t="shared" si="1"/>
        <v>899.4</v>
      </c>
      <c r="E25" s="90">
        <v>148.5</v>
      </c>
      <c r="F25" s="89">
        <f t="shared" si="2"/>
        <v>808.5</v>
      </c>
      <c r="G25" s="3" t="s">
        <v>182</v>
      </c>
      <c r="H25" s="92">
        <f>$L$15</f>
        <v>0.1185251532</v>
      </c>
      <c r="I25" s="10">
        <f t="shared" si="3"/>
        <v>106.6015228</v>
      </c>
      <c r="J25" s="62">
        <f t="shared" si="4"/>
        <v>1.13398</v>
      </c>
    </row>
    <row r="26">
      <c r="A26" s="85">
        <v>301056.0</v>
      </c>
      <c r="B26" s="86">
        <v>1018.0</v>
      </c>
      <c r="C26" s="87">
        <v>57.6</v>
      </c>
      <c r="D26" s="89">
        <f t="shared" si="1"/>
        <v>960.4</v>
      </c>
      <c r="E26" s="90">
        <v>90.0</v>
      </c>
      <c r="F26" s="89">
        <f t="shared" si="2"/>
        <v>928</v>
      </c>
      <c r="G26" s="3" t="s">
        <v>184</v>
      </c>
      <c r="H26" s="92">
        <f>$L$16</f>
        <v>0.1314184532</v>
      </c>
      <c r="I26" s="10">
        <f t="shared" si="3"/>
        <v>126.2142825</v>
      </c>
      <c r="J26" s="62">
        <f t="shared" si="4"/>
        <v>1.13398</v>
      </c>
    </row>
    <row r="27">
      <c r="A27" s="85">
        <v>301059.0</v>
      </c>
      <c r="B27" s="86">
        <v>1022.0</v>
      </c>
      <c r="C27" s="87">
        <v>57.6</v>
      </c>
      <c r="D27" s="89">
        <f t="shared" si="1"/>
        <v>964.4</v>
      </c>
      <c r="E27" s="90">
        <v>145.5</v>
      </c>
      <c r="F27" s="89">
        <f t="shared" si="2"/>
        <v>876.5</v>
      </c>
      <c r="G27" s="3" t="s">
        <v>186</v>
      </c>
      <c r="H27" s="92">
        <f t="shared" ref="H27:H32" si="9">$L$15</f>
        <v>0.1185251532</v>
      </c>
      <c r="I27" s="10">
        <f t="shared" si="3"/>
        <v>114.3056577</v>
      </c>
      <c r="J27" s="62">
        <f t="shared" si="4"/>
        <v>1.13398</v>
      </c>
    </row>
    <row r="28">
      <c r="A28" s="85">
        <v>301061.0</v>
      </c>
      <c r="B28" s="86">
        <v>1023.0</v>
      </c>
      <c r="C28" s="87">
        <v>57.6</v>
      </c>
      <c r="D28" s="89">
        <f t="shared" si="1"/>
        <v>965.4</v>
      </c>
      <c r="E28" s="90">
        <v>148.5</v>
      </c>
      <c r="F28" s="89">
        <f t="shared" si="2"/>
        <v>874.5</v>
      </c>
      <c r="G28" s="3" t="s">
        <v>188</v>
      </c>
      <c r="H28" s="92">
        <f t="shared" si="9"/>
        <v>0.1185251532</v>
      </c>
      <c r="I28" s="10">
        <f t="shared" si="3"/>
        <v>114.4241829</v>
      </c>
      <c r="J28" s="62">
        <f t="shared" si="4"/>
        <v>1.13398</v>
      </c>
    </row>
    <row r="29">
      <c r="A29" s="85">
        <v>301069.0</v>
      </c>
      <c r="B29" s="86">
        <v>985.0</v>
      </c>
      <c r="C29" s="87">
        <v>57.6</v>
      </c>
      <c r="D29" s="89">
        <f t="shared" si="1"/>
        <v>927.4</v>
      </c>
      <c r="E29" s="90">
        <v>152.0</v>
      </c>
      <c r="F29" s="89">
        <f t="shared" si="2"/>
        <v>833</v>
      </c>
      <c r="G29" s="3" t="s">
        <v>190</v>
      </c>
      <c r="H29" s="92">
        <f t="shared" si="9"/>
        <v>0.1185251532</v>
      </c>
      <c r="I29" s="10">
        <f t="shared" si="3"/>
        <v>109.9202271</v>
      </c>
      <c r="J29" s="62">
        <f t="shared" si="4"/>
        <v>1.13398</v>
      </c>
    </row>
    <row r="30">
      <c r="A30" s="85">
        <v>301071.0</v>
      </c>
      <c r="B30" s="86">
        <v>1026.0</v>
      </c>
      <c r="C30" s="87">
        <v>57.6</v>
      </c>
      <c r="D30" s="89">
        <f t="shared" si="1"/>
        <v>968.4</v>
      </c>
      <c r="E30" s="90">
        <v>153.0</v>
      </c>
      <c r="F30" s="89">
        <f t="shared" si="2"/>
        <v>873</v>
      </c>
      <c r="G30" s="3" t="s">
        <v>192</v>
      </c>
      <c r="H30" s="92">
        <f t="shared" si="9"/>
        <v>0.1185251532</v>
      </c>
      <c r="I30" s="10">
        <f t="shared" si="3"/>
        <v>114.7797584</v>
      </c>
      <c r="J30" s="62">
        <f t="shared" si="4"/>
        <v>1.13398</v>
      </c>
    </row>
    <row r="31">
      <c r="A31" s="85">
        <v>301073.0</v>
      </c>
      <c r="B31" s="86">
        <v>1058.0</v>
      </c>
      <c r="C31" s="87">
        <v>57.6</v>
      </c>
      <c r="D31" s="89">
        <f t="shared" si="1"/>
        <v>1000.4</v>
      </c>
      <c r="E31" s="96">
        <v>139.0</v>
      </c>
      <c r="F31" s="89">
        <f t="shared" si="2"/>
        <v>919</v>
      </c>
      <c r="G31" s="3" t="s">
        <v>200</v>
      </c>
      <c r="H31" s="92">
        <f t="shared" si="9"/>
        <v>0.1185251532</v>
      </c>
      <c r="I31" s="10">
        <f t="shared" si="3"/>
        <v>118.5725633</v>
      </c>
      <c r="J31" s="62">
        <f t="shared" si="4"/>
        <v>1.13398</v>
      </c>
    </row>
    <row r="32">
      <c r="A32" s="85">
        <v>301077.0</v>
      </c>
      <c r="B32" s="86">
        <v>1075.0</v>
      </c>
      <c r="C32" s="87">
        <v>57.6</v>
      </c>
      <c r="D32" s="86">
        <f t="shared" si="1"/>
        <v>1017.4</v>
      </c>
      <c r="E32" s="96">
        <v>158.5</v>
      </c>
      <c r="F32" s="89">
        <f t="shared" si="2"/>
        <v>916.5</v>
      </c>
      <c r="G32" s="115" t="s">
        <v>201</v>
      </c>
      <c r="H32" s="116">
        <f t="shared" si="9"/>
        <v>0.1185251532</v>
      </c>
      <c r="I32" s="10">
        <f t="shared" si="3"/>
        <v>120.5874909</v>
      </c>
      <c r="J32" s="62">
        <f t="shared" si="4"/>
        <v>1.13398</v>
      </c>
    </row>
    <row r="33">
      <c r="A33" s="117">
        <v>301079.0</v>
      </c>
      <c r="B33" s="86">
        <v>1072.0</v>
      </c>
      <c r="C33" s="87">
        <v>57.6</v>
      </c>
      <c r="D33" s="89">
        <f t="shared" si="1"/>
        <v>1014.4</v>
      </c>
      <c r="E33" s="90">
        <v>160.0</v>
      </c>
      <c r="F33" s="89">
        <f t="shared" si="2"/>
        <v>912</v>
      </c>
      <c r="G33" s="3" t="s">
        <v>202</v>
      </c>
      <c r="H33" s="92">
        <f>$L$16</f>
        <v>0.1314184532</v>
      </c>
      <c r="I33" s="10">
        <f t="shared" si="3"/>
        <v>133.3108789</v>
      </c>
      <c r="J33" s="62">
        <f t="shared" si="4"/>
        <v>1.13398</v>
      </c>
    </row>
    <row r="34">
      <c r="A34" s="85">
        <v>301084.0</v>
      </c>
      <c r="B34" s="86">
        <v>1030.0</v>
      </c>
      <c r="C34" s="87">
        <v>57.6</v>
      </c>
      <c r="D34" s="89">
        <f t="shared" si="1"/>
        <v>972.4</v>
      </c>
      <c r="E34" s="90">
        <v>140.0</v>
      </c>
      <c r="F34" s="89">
        <f t="shared" si="2"/>
        <v>890</v>
      </c>
      <c r="G34" s="3" t="s">
        <v>203</v>
      </c>
      <c r="H34" s="92">
        <f t="shared" ref="H34:H36" si="10">$L$15</f>
        <v>0.1185251532</v>
      </c>
      <c r="I34" s="10">
        <f t="shared" si="3"/>
        <v>115.253859</v>
      </c>
      <c r="J34" s="62">
        <f t="shared" si="4"/>
        <v>1.13398</v>
      </c>
    </row>
    <row r="35">
      <c r="A35" s="85">
        <v>301094.0</v>
      </c>
      <c r="B35" s="86">
        <v>1140.0</v>
      </c>
      <c r="C35" s="87">
        <v>57.6</v>
      </c>
      <c r="D35" s="89">
        <f t="shared" si="1"/>
        <v>1082.4</v>
      </c>
      <c r="E35" s="90">
        <v>167.5</v>
      </c>
      <c r="F35" s="89">
        <f t="shared" si="2"/>
        <v>972.5</v>
      </c>
      <c r="G35" s="3" t="s">
        <v>204</v>
      </c>
      <c r="H35" s="92">
        <f t="shared" si="10"/>
        <v>0.1185251532</v>
      </c>
      <c r="I35" s="10">
        <f t="shared" si="3"/>
        <v>128.2916258</v>
      </c>
      <c r="J35" s="62">
        <f t="shared" si="4"/>
        <v>1.13398</v>
      </c>
    </row>
    <row r="36">
      <c r="A36" s="85">
        <v>301099.0</v>
      </c>
      <c r="B36" s="86">
        <v>917.0</v>
      </c>
      <c r="C36" s="87">
        <v>57.6</v>
      </c>
      <c r="D36" s="89">
        <f t="shared" si="1"/>
        <v>859.4</v>
      </c>
      <c r="E36" s="90">
        <v>158.5</v>
      </c>
      <c r="F36" s="89">
        <f t="shared" si="2"/>
        <v>758.5</v>
      </c>
      <c r="G36" s="3" t="s">
        <v>205</v>
      </c>
      <c r="H36" s="92">
        <f t="shared" si="10"/>
        <v>0.1185251532</v>
      </c>
      <c r="I36" s="10">
        <f t="shared" si="3"/>
        <v>101.8605167</v>
      </c>
      <c r="J36" s="62">
        <f t="shared" si="4"/>
        <v>1.13398</v>
      </c>
    </row>
    <row r="37">
      <c r="A37" s="85">
        <v>120534.0</v>
      </c>
      <c r="B37" s="86">
        <v>1033.0</v>
      </c>
      <c r="C37" s="87">
        <v>57.6</v>
      </c>
      <c r="D37" s="89">
        <f t="shared" si="1"/>
        <v>975.4</v>
      </c>
      <c r="E37" s="90">
        <v>109.5</v>
      </c>
      <c r="F37" s="89">
        <f t="shared" si="2"/>
        <v>923.5</v>
      </c>
      <c r="G37" s="3" t="s">
        <v>206</v>
      </c>
      <c r="H37" s="92">
        <f t="shared" ref="H37:H38" si="11">$L$10</f>
        <v>0.1575553395</v>
      </c>
      <c r="I37" s="10">
        <f t="shared" si="3"/>
        <v>153.6794781</v>
      </c>
      <c r="J37" s="62">
        <f t="shared" si="4"/>
        <v>1.13398</v>
      </c>
    </row>
    <row r="38">
      <c r="A38" s="85">
        <v>15188.0</v>
      </c>
      <c r="B38" s="86">
        <v>1044.0</v>
      </c>
      <c r="C38" s="87">
        <v>57.6</v>
      </c>
      <c r="D38" s="89">
        <f t="shared" si="1"/>
        <v>986.4</v>
      </c>
      <c r="E38" s="96">
        <v>179.0</v>
      </c>
      <c r="F38" s="89">
        <f t="shared" si="2"/>
        <v>865</v>
      </c>
      <c r="G38" s="3" t="s">
        <v>207</v>
      </c>
      <c r="H38" s="92">
        <f t="shared" si="11"/>
        <v>0.1575553395</v>
      </c>
      <c r="I38" s="10">
        <f t="shared" si="3"/>
        <v>155.4125869</v>
      </c>
      <c r="J38" s="62">
        <f t="shared" si="4"/>
        <v>1.13398</v>
      </c>
    </row>
    <row r="39">
      <c r="A39" s="118">
        <v>228428.0</v>
      </c>
      <c r="B39" s="86">
        <v>1017.0</v>
      </c>
      <c r="C39" s="87">
        <v>57.6</v>
      </c>
      <c r="D39" s="89">
        <f t="shared" si="1"/>
        <v>959.4</v>
      </c>
      <c r="E39" s="90">
        <v>166.0</v>
      </c>
      <c r="F39" s="89">
        <f t="shared" si="2"/>
        <v>851</v>
      </c>
      <c r="G39" s="3" t="s">
        <v>208</v>
      </c>
      <c r="H39" s="92">
        <f t="shared" ref="H39:H41" si="12">$L$11</f>
        <v>0.1392140548</v>
      </c>
      <c r="I39" s="10">
        <f t="shared" si="3"/>
        <v>133.5619642</v>
      </c>
      <c r="J39" s="62">
        <f t="shared" si="4"/>
        <v>1.13398</v>
      </c>
    </row>
    <row r="40">
      <c r="A40" s="118">
        <v>228439.0</v>
      </c>
      <c r="B40" s="86">
        <v>925.0</v>
      </c>
      <c r="C40" s="87">
        <v>57.6</v>
      </c>
      <c r="D40" s="89">
        <f t="shared" si="1"/>
        <v>867.4</v>
      </c>
      <c r="E40" s="90">
        <v>142.5</v>
      </c>
      <c r="F40" s="89">
        <f t="shared" si="2"/>
        <v>782.5</v>
      </c>
      <c r="G40" s="3" t="s">
        <v>209</v>
      </c>
      <c r="H40" s="92">
        <f t="shared" si="12"/>
        <v>0.1392140548</v>
      </c>
      <c r="I40" s="10">
        <f t="shared" si="3"/>
        <v>120.7542711</v>
      </c>
      <c r="J40" s="62">
        <f t="shared" si="4"/>
        <v>1.13398</v>
      </c>
    </row>
    <row r="41">
      <c r="A41" s="118">
        <v>228087.0</v>
      </c>
      <c r="B41" s="86">
        <v>1124.0</v>
      </c>
      <c r="C41" s="87">
        <v>57.6</v>
      </c>
      <c r="D41" s="89">
        <f t="shared" si="1"/>
        <v>1066.4</v>
      </c>
      <c r="E41" s="90">
        <v>159.5</v>
      </c>
      <c r="F41" s="89">
        <f t="shared" si="2"/>
        <v>964.5</v>
      </c>
      <c r="G41" s="3" t="s">
        <v>210</v>
      </c>
      <c r="H41" s="92">
        <f t="shared" si="12"/>
        <v>0.1392140548</v>
      </c>
      <c r="I41" s="10">
        <f t="shared" si="3"/>
        <v>148.457868</v>
      </c>
      <c r="J41" s="62">
        <f t="shared" si="4"/>
        <v>1.13398</v>
      </c>
    </row>
    <row r="42">
      <c r="A42" s="118">
        <v>300008.0</v>
      </c>
      <c r="B42" s="86">
        <v>1030.0</v>
      </c>
      <c r="C42" s="87">
        <v>57.6</v>
      </c>
      <c r="D42" s="89">
        <f t="shared" si="1"/>
        <v>972.4</v>
      </c>
      <c r="E42" s="96">
        <v>153.5</v>
      </c>
      <c r="F42" s="89">
        <f t="shared" si="2"/>
        <v>876.5</v>
      </c>
      <c r="G42" s="3" t="s">
        <v>211</v>
      </c>
      <c r="H42" s="92">
        <f t="shared" ref="H42:H44" si="13">$L$12</f>
        <v>0.1630616644</v>
      </c>
      <c r="I42" s="10">
        <f t="shared" si="3"/>
        <v>158.5611624</v>
      </c>
      <c r="J42" s="62">
        <f t="shared" si="4"/>
        <v>1.13398</v>
      </c>
    </row>
    <row r="43">
      <c r="A43" s="118">
        <v>300058.0</v>
      </c>
      <c r="B43" s="86">
        <v>934.0</v>
      </c>
      <c r="C43" s="87">
        <v>57.6</v>
      </c>
      <c r="D43" s="89">
        <f t="shared" si="1"/>
        <v>876.4</v>
      </c>
      <c r="E43" s="90">
        <v>148.0</v>
      </c>
      <c r="F43" s="89">
        <f t="shared" si="2"/>
        <v>786</v>
      </c>
      <c r="G43" s="3" t="s">
        <v>213</v>
      </c>
      <c r="H43" s="92">
        <f t="shared" si="13"/>
        <v>0.1630616644</v>
      </c>
      <c r="I43" s="10">
        <f t="shared" si="3"/>
        <v>142.9072427</v>
      </c>
      <c r="J43" s="62">
        <f t="shared" si="4"/>
        <v>1.13398</v>
      </c>
    </row>
    <row r="44">
      <c r="A44" s="118">
        <v>300036.0</v>
      </c>
      <c r="B44" s="86">
        <v>1034.0</v>
      </c>
      <c r="C44" s="87">
        <v>57.6</v>
      </c>
      <c r="D44" s="89">
        <f t="shared" si="1"/>
        <v>976.4</v>
      </c>
      <c r="E44" s="96">
        <v>175.5</v>
      </c>
      <c r="F44" s="89">
        <f t="shared" si="2"/>
        <v>858.5</v>
      </c>
      <c r="G44" s="3" t="s">
        <v>214</v>
      </c>
      <c r="H44" s="92">
        <f t="shared" si="13"/>
        <v>0.1630616644</v>
      </c>
      <c r="I44" s="10">
        <f t="shared" si="3"/>
        <v>159.2134091</v>
      </c>
      <c r="J44" s="62">
        <f t="shared" si="4"/>
        <v>1.13398</v>
      </c>
    </row>
    <row r="45">
      <c r="A45" s="118">
        <v>300047.0</v>
      </c>
      <c r="B45" s="86">
        <v>1038.0</v>
      </c>
      <c r="C45" s="87">
        <v>57.6</v>
      </c>
      <c r="D45" s="89">
        <f t="shared" si="1"/>
        <v>980.4</v>
      </c>
      <c r="E45" s="96">
        <v>112.0</v>
      </c>
      <c r="F45" s="89">
        <f t="shared" si="2"/>
        <v>926</v>
      </c>
      <c r="G45" s="3" t="s">
        <v>215</v>
      </c>
      <c r="H45" s="92">
        <f t="shared" ref="H45:H46" si="14">$L$14</f>
        <v>0.1330497939</v>
      </c>
      <c r="I45" s="10">
        <f t="shared" si="3"/>
        <v>130.442018</v>
      </c>
      <c r="J45" s="62">
        <f t="shared" si="4"/>
        <v>1.13398</v>
      </c>
      <c r="K45" s="3"/>
    </row>
    <row r="46">
      <c r="A46" s="119">
        <v>301027.0</v>
      </c>
      <c r="B46" s="86">
        <v>970.0</v>
      </c>
      <c r="C46" s="87">
        <v>57.6</v>
      </c>
      <c r="D46" s="89">
        <f t="shared" si="1"/>
        <v>912.4</v>
      </c>
      <c r="E46" s="96">
        <v>97.0</v>
      </c>
      <c r="F46" s="89">
        <f t="shared" si="2"/>
        <v>873</v>
      </c>
      <c r="G46" s="3" t="s">
        <v>216</v>
      </c>
      <c r="H46" s="92">
        <f t="shared" si="14"/>
        <v>0.1330497939</v>
      </c>
      <c r="I46" s="10">
        <f t="shared" si="3"/>
        <v>121.394632</v>
      </c>
      <c r="J46" s="62">
        <f t="shared" si="4"/>
        <v>1.13398</v>
      </c>
      <c r="K46" s="3"/>
    </row>
    <row r="47">
      <c r="A47" s="119">
        <v>301062.0</v>
      </c>
      <c r="B47" s="86">
        <v>1011.0</v>
      </c>
      <c r="C47" s="87">
        <v>57.6</v>
      </c>
      <c r="D47" s="89">
        <f t="shared" si="1"/>
        <v>953.4</v>
      </c>
      <c r="E47" s="96">
        <v>164.5</v>
      </c>
      <c r="F47" s="89">
        <f t="shared" si="2"/>
        <v>846.5</v>
      </c>
      <c r="G47" s="3" t="s">
        <v>217</v>
      </c>
      <c r="H47" s="92">
        <f t="shared" ref="H47:H51" si="15">$L$15</f>
        <v>0.1185251532</v>
      </c>
      <c r="I47" s="10">
        <f t="shared" si="3"/>
        <v>113.0018811</v>
      </c>
      <c r="J47" s="62">
        <f t="shared" si="4"/>
        <v>1.13398</v>
      </c>
      <c r="K47" s="3"/>
    </row>
    <row r="48">
      <c r="A48" s="119">
        <v>301050.0</v>
      </c>
      <c r="B48" s="86">
        <v>1047.0</v>
      </c>
      <c r="C48" s="87">
        <v>57.6</v>
      </c>
      <c r="D48" s="89">
        <f t="shared" si="1"/>
        <v>989.4</v>
      </c>
      <c r="E48" s="96">
        <v>149.0</v>
      </c>
      <c r="F48" s="89">
        <f t="shared" si="2"/>
        <v>898</v>
      </c>
      <c r="G48" s="3" t="s">
        <v>218</v>
      </c>
      <c r="H48" s="92">
        <f t="shared" si="15"/>
        <v>0.1185251532</v>
      </c>
      <c r="I48" s="10">
        <f t="shared" si="3"/>
        <v>117.2687866</v>
      </c>
      <c r="J48" s="62">
        <f t="shared" si="4"/>
        <v>1.13398</v>
      </c>
      <c r="K48" s="3"/>
    </row>
    <row r="49">
      <c r="A49" s="118">
        <v>301034.0</v>
      </c>
      <c r="B49" s="86">
        <v>1026.0</v>
      </c>
      <c r="C49" s="87">
        <v>57.6</v>
      </c>
      <c r="D49" s="89">
        <f t="shared" si="1"/>
        <v>968.4</v>
      </c>
      <c r="E49" s="90">
        <v>155.0</v>
      </c>
      <c r="F49" s="89">
        <f t="shared" si="2"/>
        <v>871</v>
      </c>
      <c r="G49" s="3" t="s">
        <v>219</v>
      </c>
      <c r="H49" s="92">
        <f t="shared" si="15"/>
        <v>0.1185251532</v>
      </c>
      <c r="I49" s="10">
        <f t="shared" si="3"/>
        <v>114.7797584</v>
      </c>
      <c r="J49" s="62">
        <f t="shared" si="4"/>
        <v>1.13398</v>
      </c>
    </row>
    <row r="50">
      <c r="A50" s="118">
        <v>301030.0</v>
      </c>
      <c r="B50" s="86">
        <v>1030.0</v>
      </c>
      <c r="C50" s="87">
        <v>57.6</v>
      </c>
      <c r="D50" s="89">
        <f t="shared" si="1"/>
        <v>972.4</v>
      </c>
      <c r="E50" s="90">
        <v>151.5</v>
      </c>
      <c r="F50" s="89">
        <f t="shared" si="2"/>
        <v>878.5</v>
      </c>
      <c r="G50" s="3" t="s">
        <v>220</v>
      </c>
      <c r="H50" s="92">
        <f t="shared" si="15"/>
        <v>0.1185251532</v>
      </c>
      <c r="I50" s="10">
        <f t="shared" si="3"/>
        <v>115.253859</v>
      </c>
      <c r="J50" s="62">
        <f t="shared" si="4"/>
        <v>1.13398</v>
      </c>
    </row>
    <row r="51">
      <c r="A51" s="118">
        <v>301035.0</v>
      </c>
      <c r="B51" s="86">
        <v>1135.0</v>
      </c>
      <c r="C51" s="87">
        <v>57.6</v>
      </c>
      <c r="D51" s="89">
        <f t="shared" si="1"/>
        <v>1077.4</v>
      </c>
      <c r="E51" s="90">
        <v>139.5</v>
      </c>
      <c r="F51" s="89">
        <f t="shared" si="2"/>
        <v>995.5</v>
      </c>
      <c r="G51" s="3" t="s">
        <v>221</v>
      </c>
      <c r="H51" s="92">
        <f t="shared" si="15"/>
        <v>0.1185251532</v>
      </c>
      <c r="I51" s="10">
        <f t="shared" si="3"/>
        <v>127.6990001</v>
      </c>
      <c r="J51" s="62">
        <f t="shared" si="4"/>
        <v>1.13398</v>
      </c>
    </row>
    <row r="52">
      <c r="A52" s="118"/>
      <c r="B52" s="120"/>
      <c r="C52" s="87"/>
      <c r="D52" s="89"/>
      <c r="E52" s="89"/>
      <c r="F52" s="89"/>
    </row>
    <row r="53">
      <c r="A53" s="121">
        <v>118846.0</v>
      </c>
      <c r="B53" s="122">
        <v>889.0</v>
      </c>
      <c r="C53" s="123">
        <v>57.6</v>
      </c>
      <c r="D53" s="124">
        <f>IF(C53="","",B53-C53)</f>
        <v>831.4</v>
      </c>
      <c r="E53" s="125">
        <v>154.0</v>
      </c>
      <c r="F53" s="124">
        <f>IF(E53="","",B53-E53)</f>
        <v>735</v>
      </c>
      <c r="G53" s="126" t="s">
        <v>223</v>
      </c>
      <c r="H53" s="127">
        <f>$L$20</f>
        <v>0.1373671128</v>
      </c>
      <c r="I53" s="127">
        <f>IF(D53="","",H53*D53)</f>
        <v>114.2070176</v>
      </c>
      <c r="J53" s="127">
        <f>2.5*$L$4</f>
        <v>1.13398</v>
      </c>
      <c r="K53" s="126" t="s">
        <v>224</v>
      </c>
    </row>
    <row r="54">
      <c r="A54" s="118"/>
      <c r="B54" s="120"/>
      <c r="C54" s="87"/>
      <c r="D54" s="89"/>
      <c r="E54" s="89"/>
      <c r="F54" s="89"/>
    </row>
    <row r="55">
      <c r="A55" s="118" t="s">
        <v>78</v>
      </c>
      <c r="B55" s="86">
        <f t="shared" ref="B55:F55" si="16">SUM(B11:B53)</f>
        <v>42850</v>
      </c>
      <c r="C55" s="87">
        <f t="shared" si="16"/>
        <v>2419.2</v>
      </c>
      <c r="D55" s="89">
        <f t="shared" si="16"/>
        <v>40430.8</v>
      </c>
      <c r="E55" s="89">
        <f t="shared" si="16"/>
        <v>6281.5</v>
      </c>
      <c r="F55" s="89">
        <f t="shared" si="16"/>
        <v>36568.5</v>
      </c>
      <c r="H55" s="39">
        <f>IFERROR(SUMPRODUCT(D11:D53,H11:H53)/SUMIF(H11:H53,"&lt;&gt;",D11:D53),"")</f>
        <v>0.1282066353</v>
      </c>
      <c r="I55" s="10">
        <f t="shared" ref="I55:J55" si="17">SUM(I11:I53)</f>
        <v>5183.496829</v>
      </c>
      <c r="J55" s="62">
        <f t="shared" si="17"/>
        <v>47.62716</v>
      </c>
    </row>
    <row r="56">
      <c r="A56" s="119" t="s">
        <v>225</v>
      </c>
      <c r="B56" s="86">
        <f>B55-B57</f>
        <v>41961</v>
      </c>
      <c r="C56" s="87"/>
      <c r="D56" s="89"/>
      <c r="E56" s="89"/>
      <c r="F56" s="89"/>
      <c r="J56" s="62">
        <f>SUM(J11:J51)</f>
        <v>46.49318</v>
      </c>
    </row>
    <row r="57">
      <c r="A57" s="119" t="s">
        <v>226</v>
      </c>
      <c r="B57" s="120">
        <f>B53</f>
        <v>889</v>
      </c>
      <c r="C57" s="87"/>
      <c r="D57" s="89"/>
      <c r="E57" s="89"/>
      <c r="F57" s="89"/>
      <c r="G57" s="35"/>
      <c r="H57" s="35"/>
      <c r="I57" s="50"/>
      <c r="J57" s="39">
        <f>J53</f>
        <v>1.13398</v>
      </c>
    </row>
    <row r="58">
      <c r="B58" s="128"/>
      <c r="C58" s="128"/>
      <c r="D58" s="129"/>
      <c r="E58" s="129"/>
      <c r="F58" s="129"/>
      <c r="G58" s="45"/>
      <c r="H58" s="130"/>
      <c r="I58" s="131"/>
      <c r="J58" s="8"/>
    </row>
    <row r="59">
      <c r="A59" s="3" t="s">
        <v>227</v>
      </c>
      <c r="B59" s="132">
        <v>2.9</v>
      </c>
      <c r="D59" s="10"/>
      <c r="E59" s="10"/>
      <c r="F59" s="10"/>
      <c r="G59" s="35"/>
      <c r="H59" s="35"/>
      <c r="I59" s="50"/>
    </row>
    <row r="60">
      <c r="B60" s="132"/>
      <c r="D60" s="10"/>
      <c r="E60" s="10"/>
      <c r="F60" s="10"/>
      <c r="G60" s="35"/>
      <c r="H60" s="35"/>
      <c r="I60" s="133"/>
    </row>
    <row r="61">
      <c r="B61" s="132"/>
      <c r="D61" s="10"/>
      <c r="E61" s="10"/>
      <c r="F61" s="10"/>
      <c r="G61" s="35"/>
      <c r="H61" s="35"/>
      <c r="I61" s="50"/>
    </row>
    <row r="62">
      <c r="B62" s="132"/>
      <c r="D62" s="10"/>
      <c r="E62" s="10"/>
      <c r="F62" s="10"/>
      <c r="G62" s="35"/>
      <c r="H62" s="35"/>
      <c r="I62" s="50"/>
    </row>
    <row r="63">
      <c r="B63" s="132"/>
      <c r="D63" s="10"/>
      <c r="E63" s="10"/>
      <c r="F63" s="10"/>
      <c r="G63" s="35"/>
      <c r="H63" s="35"/>
      <c r="I63" s="50"/>
    </row>
    <row r="64">
      <c r="B64" s="132"/>
      <c r="D64" s="10"/>
      <c r="E64" s="10"/>
      <c r="F64" s="10"/>
      <c r="G64" s="35"/>
      <c r="H64" s="35"/>
      <c r="I64" s="50"/>
    </row>
    <row r="65">
      <c r="B65" s="132"/>
      <c r="D65" s="10"/>
      <c r="E65" s="10"/>
      <c r="F65" s="10"/>
      <c r="G65" s="35"/>
      <c r="H65" s="35"/>
      <c r="I65" s="50"/>
    </row>
    <row r="66">
      <c r="B66" s="132"/>
      <c r="D66" s="10"/>
      <c r="E66" s="10"/>
      <c r="F66" s="10"/>
      <c r="G66" s="35"/>
      <c r="H66" s="35"/>
      <c r="I66" s="50"/>
    </row>
    <row r="67">
      <c r="B67" s="132"/>
      <c r="D67" s="10"/>
      <c r="E67" s="10"/>
      <c r="F67" s="10"/>
      <c r="G67" s="35"/>
      <c r="H67" s="35"/>
      <c r="I67" s="50"/>
    </row>
    <row r="68">
      <c r="B68" s="132"/>
      <c r="D68" s="10"/>
      <c r="E68" s="10"/>
      <c r="F68" s="10"/>
      <c r="G68" s="35"/>
      <c r="H68" s="35"/>
      <c r="I68" s="50"/>
    </row>
    <row r="69">
      <c r="B69" s="132"/>
      <c r="D69" s="10"/>
      <c r="E69" s="10"/>
      <c r="F69" s="10"/>
      <c r="G69" s="35"/>
      <c r="H69" s="35"/>
      <c r="I69" s="50"/>
    </row>
    <row r="70">
      <c r="B70" s="132"/>
      <c r="D70" s="10"/>
      <c r="E70" s="10"/>
      <c r="F70" s="10"/>
      <c r="G70" s="35"/>
      <c r="H70" s="35"/>
      <c r="I70" s="50"/>
    </row>
    <row r="71">
      <c r="B71" s="132"/>
      <c r="D71" s="10"/>
      <c r="E71" s="10"/>
      <c r="F71" s="10"/>
      <c r="G71" s="35"/>
      <c r="H71" s="35"/>
      <c r="I71" s="50"/>
    </row>
    <row r="72">
      <c r="B72" s="132"/>
      <c r="D72" s="10"/>
      <c r="E72" s="10"/>
      <c r="F72" s="10"/>
      <c r="G72" s="35"/>
      <c r="H72" s="35"/>
      <c r="I72" s="50"/>
    </row>
    <row r="73">
      <c r="B73" s="132"/>
      <c r="D73" s="10"/>
      <c r="E73" s="10"/>
      <c r="F73" s="10"/>
      <c r="G73" s="35"/>
      <c r="H73" s="35"/>
      <c r="I73" s="50"/>
    </row>
    <row r="74">
      <c r="B74" s="132"/>
      <c r="D74" s="10"/>
      <c r="E74" s="10"/>
      <c r="F74" s="10"/>
      <c r="G74" s="35"/>
      <c r="H74" s="35"/>
      <c r="I74" s="50"/>
    </row>
    <row r="75">
      <c r="B75" s="132"/>
      <c r="D75" s="10"/>
      <c r="E75" s="10"/>
      <c r="F75" s="10"/>
      <c r="G75" s="35"/>
      <c r="H75" s="35"/>
      <c r="I75" s="50"/>
    </row>
    <row r="76">
      <c r="B76" s="132"/>
      <c r="D76" s="10"/>
      <c r="E76" s="10"/>
      <c r="F76" s="10"/>
      <c r="G76" s="35"/>
      <c r="H76" s="35"/>
      <c r="I76" s="50"/>
    </row>
    <row r="77">
      <c r="B77" s="132"/>
      <c r="D77" s="10"/>
      <c r="E77" s="10"/>
      <c r="F77" s="10"/>
      <c r="G77" s="35"/>
      <c r="H77" s="35"/>
      <c r="I77" s="50"/>
    </row>
    <row r="78">
      <c r="B78" s="132"/>
      <c r="D78" s="10"/>
      <c r="E78" s="10"/>
      <c r="F78" s="10"/>
      <c r="G78" s="35"/>
      <c r="H78" s="35"/>
      <c r="I78" s="50"/>
    </row>
  </sheetData>
  <mergeCells count="2">
    <mergeCell ref="B9:C9"/>
    <mergeCell ref="D9:E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93" t="s">
        <v>131</v>
      </c>
      <c r="B1" s="94"/>
      <c r="C1" s="94"/>
      <c r="D1" s="94"/>
      <c r="E1" s="94"/>
      <c r="F1" s="94"/>
      <c r="G1" s="94"/>
    </row>
    <row r="4">
      <c r="A4" s="95" t="s">
        <v>0</v>
      </c>
      <c r="B4" s="97"/>
      <c r="C4" s="97"/>
      <c r="D4" s="97"/>
      <c r="E4" s="97"/>
      <c r="F4" s="8"/>
      <c r="G4" s="8"/>
    </row>
    <row r="5">
      <c r="A5" s="5" t="s">
        <v>133</v>
      </c>
      <c r="B5" s="5" t="s">
        <v>134</v>
      </c>
      <c r="C5" s="5" t="s">
        <v>135</v>
      </c>
      <c r="D5" s="5" t="s">
        <v>136</v>
      </c>
      <c r="E5" s="5" t="s">
        <v>137</v>
      </c>
      <c r="F5" s="8"/>
      <c r="G5" s="8"/>
    </row>
    <row r="6">
      <c r="A6" s="3" t="s">
        <v>4</v>
      </c>
      <c r="B6" s="3" t="s">
        <v>77</v>
      </c>
      <c r="C6" s="3" t="s">
        <v>138</v>
      </c>
      <c r="D6" s="39">
        <f>COUNTA(QOWV!A11:A53)</f>
        <v>42</v>
      </c>
      <c r="E6" s="3" t="s">
        <v>140</v>
      </c>
    </row>
    <row r="8">
      <c r="A8" s="5" t="s">
        <v>141</v>
      </c>
      <c r="B8" s="22">
        <v>1201.0</v>
      </c>
      <c r="C8" s="8"/>
      <c r="D8" s="8"/>
      <c r="E8" s="8"/>
      <c r="F8" s="8"/>
      <c r="G8" s="8"/>
    </row>
    <row r="10">
      <c r="A10" s="95" t="s">
        <v>143</v>
      </c>
      <c r="B10" s="97"/>
      <c r="C10" s="97"/>
      <c r="D10" s="97"/>
      <c r="E10" s="97"/>
      <c r="F10" s="97"/>
      <c r="G10" s="97"/>
    </row>
    <row r="11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149</v>
      </c>
      <c r="G11" s="5" t="s">
        <v>150</v>
      </c>
    </row>
    <row r="12">
      <c r="A12" s="3" t="s">
        <v>151</v>
      </c>
      <c r="B12" s="98">
        <v>46227.0</v>
      </c>
      <c r="C12" s="7">
        <v>20.0</v>
      </c>
      <c r="D12" s="7">
        <v>18.0</v>
      </c>
      <c r="E12" s="99">
        <f t="shared" ref="E12:E17" si="1">IFERROR(D12/C12,"")</f>
        <v>0.9</v>
      </c>
      <c r="F12" s="39">
        <f t="shared" ref="F12:F17" si="2">$B$8</f>
        <v>1201</v>
      </c>
      <c r="G12" s="100">
        <f t="shared" ref="G12:G17" si="3">IFERROR(E12*F12,"")</f>
        <v>1080.9</v>
      </c>
    </row>
    <row r="13">
      <c r="A13" s="3" t="s">
        <v>155</v>
      </c>
      <c r="B13" s="98">
        <v>46238.0</v>
      </c>
      <c r="C13" s="7">
        <v>20.0</v>
      </c>
      <c r="D13" s="7">
        <v>11.0</v>
      </c>
      <c r="E13" s="99">
        <f t="shared" si="1"/>
        <v>0.55</v>
      </c>
      <c r="F13" s="39">
        <f t="shared" si="2"/>
        <v>1201</v>
      </c>
      <c r="G13" s="100">
        <f t="shared" si="3"/>
        <v>660.55</v>
      </c>
    </row>
    <row r="14">
      <c r="A14" s="5" t="s">
        <v>157</v>
      </c>
      <c r="B14" s="101"/>
      <c r="C14" s="22">
        <v>20.0</v>
      </c>
      <c r="D14" s="22">
        <v>6.0</v>
      </c>
      <c r="E14" s="102">
        <f t="shared" si="1"/>
        <v>0.3</v>
      </c>
      <c r="F14" s="8">
        <f t="shared" si="2"/>
        <v>1201</v>
      </c>
      <c r="G14" s="103">
        <f t="shared" si="3"/>
        <v>360.3</v>
      </c>
    </row>
    <row r="15">
      <c r="A15" s="5" t="s">
        <v>160</v>
      </c>
      <c r="B15" s="101">
        <v>46237.0</v>
      </c>
      <c r="C15" s="22">
        <v>20.0</v>
      </c>
      <c r="D15" s="22">
        <v>2.0</v>
      </c>
      <c r="E15" s="102">
        <f t="shared" si="1"/>
        <v>0.1</v>
      </c>
      <c r="F15" s="8">
        <f t="shared" si="2"/>
        <v>1201</v>
      </c>
      <c r="G15" s="103">
        <f t="shared" si="3"/>
        <v>120.1</v>
      </c>
    </row>
    <row r="16">
      <c r="A16" s="5" t="s">
        <v>161</v>
      </c>
      <c r="B16" s="98">
        <v>46219.0</v>
      </c>
      <c r="C16" s="7">
        <v>20.0</v>
      </c>
      <c r="D16" s="7">
        <v>2.0</v>
      </c>
      <c r="E16" s="99">
        <f t="shared" si="1"/>
        <v>0.1</v>
      </c>
      <c r="F16" s="39">
        <f t="shared" si="2"/>
        <v>1201</v>
      </c>
      <c r="G16" s="100">
        <f t="shared" si="3"/>
        <v>120.1</v>
      </c>
    </row>
    <row r="17">
      <c r="A17" s="5" t="s">
        <v>163</v>
      </c>
      <c r="B17" s="101">
        <v>45993.0</v>
      </c>
      <c r="C17" s="5">
        <v>36.0</v>
      </c>
      <c r="D17" s="5">
        <v>2.0</v>
      </c>
      <c r="E17" s="102">
        <f t="shared" si="1"/>
        <v>0.05555555556</v>
      </c>
      <c r="F17" s="8">
        <f t="shared" si="2"/>
        <v>1201</v>
      </c>
      <c r="G17" s="103">
        <f t="shared" si="3"/>
        <v>66.72222222</v>
      </c>
    </row>
    <row r="18">
      <c r="A18" s="5" t="s">
        <v>164</v>
      </c>
      <c r="B18" s="101"/>
      <c r="C18" s="45">
        <f t="shared" ref="C18:D18" si="4">SUM(C12:C17)</f>
        <v>136</v>
      </c>
      <c r="D18" s="5">
        <f t="shared" si="4"/>
        <v>41</v>
      </c>
      <c r="E18" s="102"/>
      <c r="F18" s="8"/>
      <c r="G18" s="103">
        <f>SUM(G12:G17)</f>
        <v>2408.672222</v>
      </c>
    </row>
    <row r="19">
      <c r="C19" s="50"/>
      <c r="G19" s="100"/>
    </row>
    <row r="20">
      <c r="A20" s="95" t="s">
        <v>166</v>
      </c>
      <c r="B20" s="97"/>
      <c r="C20" s="97"/>
      <c r="D20" s="97"/>
      <c r="E20" s="8"/>
      <c r="F20" s="8"/>
      <c r="G20" s="8"/>
      <c r="H20" s="8"/>
    </row>
    <row r="21">
      <c r="A21" s="5" t="s">
        <v>167</v>
      </c>
      <c r="B21" s="109">
        <v>537.0</v>
      </c>
      <c r="C21" s="110" t="str">
        <f>HYPERLINK("https://drive.google.com/file/d/17DLmRf2gOawFmCywpNFa-iReA4BzVVMu/view","Charm CO to Charm KS route map")</f>
        <v>Charm CO to Charm KS route map</v>
      </c>
      <c r="D21" s="5"/>
      <c r="E21" s="5"/>
      <c r="F21" s="8"/>
      <c r="G21" s="8"/>
    </row>
    <row r="22">
      <c r="A22" s="3" t="s">
        <v>169</v>
      </c>
      <c r="B22" s="111">
        <v>684.0</v>
      </c>
      <c r="C22" s="15" t="str">
        <f>HYPERLINK("https://drive.google.com/file/d/1fTT5YTSzi0Xc_7m-j21lb6Us_w9dZIa5/view","Charm KS to Charm LA route map")</f>
        <v>Charm KS to Charm LA route map</v>
      </c>
      <c r="D22" s="111"/>
      <c r="F22" s="8"/>
    </row>
    <row r="23">
      <c r="A23" s="3" t="s">
        <v>171</v>
      </c>
      <c r="B23" s="108">
        <f>B21+B22</f>
        <v>1221</v>
      </c>
      <c r="C23" s="39" t="str">
        <f>"vs "&amp;TEXT($B$8,"#,##0")&amp;" mi direct ("&amp;TEXT((B23-$B$8)/$B$8,"+0.0%")&amp;")"</f>
        <v>vs 1,201 mi direct (+1.7%)</v>
      </c>
      <c r="D23" s="104"/>
    </row>
    <row r="24">
      <c r="A24" s="5"/>
      <c r="B24" s="8"/>
      <c r="C24" s="8"/>
      <c r="D24" s="112"/>
      <c r="E24" s="8"/>
    </row>
    <row r="25">
      <c r="A25" s="5" t="s">
        <v>174</v>
      </c>
      <c r="B25" s="5" t="s">
        <v>145</v>
      </c>
      <c r="C25" s="5" t="s">
        <v>175</v>
      </c>
      <c r="D25" s="5" t="s">
        <v>147</v>
      </c>
      <c r="E25" s="5" t="s">
        <v>177</v>
      </c>
      <c r="F25" s="5" t="s">
        <v>178</v>
      </c>
      <c r="G25" s="5" t="s">
        <v>150</v>
      </c>
      <c r="H25" s="5" t="s">
        <v>179</v>
      </c>
    </row>
    <row r="26">
      <c r="A26" s="3" t="s">
        <v>180</v>
      </c>
      <c r="B26" s="104">
        <v>45951.0</v>
      </c>
      <c r="C26" s="111">
        <v>34.0</v>
      </c>
      <c r="D26" s="111">
        <v>1.0</v>
      </c>
      <c r="E26" s="39">
        <f t="shared" ref="E26:E27" si="5">IFERROR(D26/C26,"")</f>
        <v>0.02941176471</v>
      </c>
      <c r="F26" s="100">
        <f>$B$21*H26</f>
        <v>1074</v>
      </c>
      <c r="G26" s="100">
        <f t="shared" ref="G26:G27" si="6">IFERROR(E26*F26,"")</f>
        <v>31.58823529</v>
      </c>
      <c r="H26" s="111">
        <v>2.0</v>
      </c>
    </row>
    <row r="27">
      <c r="A27" s="3" t="s">
        <v>183</v>
      </c>
      <c r="B27" s="3">
        <v>2025.0</v>
      </c>
      <c r="C27" s="111">
        <v>6.0</v>
      </c>
      <c r="D27" s="111">
        <v>1.0</v>
      </c>
      <c r="E27" s="39">
        <f t="shared" si="5"/>
        <v>0.1666666667</v>
      </c>
      <c r="F27" s="100">
        <f>$B$22*H27</f>
        <v>684</v>
      </c>
      <c r="G27" s="100">
        <f t="shared" si="6"/>
        <v>114</v>
      </c>
      <c r="H27" s="111">
        <v>1.0</v>
      </c>
    </row>
    <row r="28">
      <c r="A28" s="5" t="s">
        <v>185</v>
      </c>
      <c r="B28" s="8"/>
      <c r="C28" s="113"/>
      <c r="D28" s="8"/>
      <c r="E28" s="8"/>
      <c r="F28" s="103"/>
      <c r="G28" s="103">
        <f>SUM(G26:G27)</f>
        <v>145.5882353</v>
      </c>
      <c r="H28" s="8"/>
    </row>
    <row r="29">
      <c r="C29" s="34"/>
    </row>
    <row r="30">
      <c r="A30" s="5" t="s">
        <v>187</v>
      </c>
      <c r="B30" s="8"/>
      <c r="C30" s="113"/>
      <c r="D30" s="8"/>
      <c r="E30" s="8"/>
      <c r="F30" s="8"/>
      <c r="G30" s="103">
        <f>G18+G28</f>
        <v>2554.260458</v>
      </c>
      <c r="H30" s="8"/>
    </row>
    <row r="31">
      <c r="C31" s="34"/>
    </row>
    <row r="32">
      <c r="A32" s="3" t="s">
        <v>189</v>
      </c>
      <c r="B32" s="108">
        <f>D18+D27</f>
        <v>42</v>
      </c>
      <c r="C32" s="111">
        <f>COUNTA(QOWV!A11:A53)</f>
        <v>42</v>
      </c>
      <c r="D32" s="39" t="str">
        <f>IF(B32=C32,"OK - every tote allocated","MISMATCH - check tote counts")</f>
        <v>OK - every tote allocated</v>
      </c>
    </row>
    <row r="33">
      <c r="C33" s="34"/>
      <c r="F33" s="8"/>
    </row>
    <row r="34">
      <c r="A34" s="5" t="s">
        <v>193</v>
      </c>
      <c r="B34" s="8"/>
      <c r="C34" s="113"/>
      <c r="D34" s="8"/>
      <c r="E34" s="8"/>
      <c r="F34" s="8"/>
      <c r="G34" s="8"/>
      <c r="H34" s="8"/>
    </row>
    <row r="35">
      <c r="A35" s="3" t="s">
        <v>194</v>
      </c>
      <c r="C35" s="34"/>
      <c r="F35" s="8"/>
    </row>
    <row r="36">
      <c r="A36" s="3" t="s">
        <v>195</v>
      </c>
      <c r="C36" s="34"/>
      <c r="F36" s="8"/>
    </row>
    <row r="37">
      <c r="A37" s="3" t="s">
        <v>196</v>
      </c>
      <c r="C37" s="34"/>
    </row>
    <row r="38">
      <c r="A38" s="3" t="s">
        <v>197</v>
      </c>
      <c r="C38" s="34"/>
    </row>
    <row r="39">
      <c r="A39" s="3" t="s">
        <v>198</v>
      </c>
      <c r="C39" s="34"/>
    </row>
    <row r="40">
      <c r="A40" s="3" t="s">
        <v>199</v>
      </c>
      <c r="C40" s="34"/>
    </row>
    <row r="41">
      <c r="C41" s="34"/>
    </row>
    <row r="42">
      <c r="A42" s="5"/>
      <c r="B42" s="8"/>
      <c r="C42" s="8"/>
      <c r="D42" s="8"/>
      <c r="E42" s="8"/>
    </row>
    <row r="43">
      <c r="A43" s="5"/>
      <c r="B43" s="5"/>
      <c r="C43" s="5"/>
      <c r="D43" s="5"/>
      <c r="E43" s="5"/>
    </row>
    <row r="44">
      <c r="C44" s="34"/>
    </row>
    <row r="45">
      <c r="A45" s="5"/>
      <c r="B45" s="8"/>
      <c r="C45" s="8"/>
      <c r="D45" s="112"/>
      <c r="E45" s="8"/>
    </row>
    <row r="46">
      <c r="A46" s="5"/>
      <c r="B46" s="5"/>
      <c r="C46" s="5"/>
      <c r="D46" s="5"/>
      <c r="E46" s="5"/>
    </row>
    <row r="47">
      <c r="C47" s="34"/>
    </row>
    <row r="48">
      <c r="C48" s="34"/>
    </row>
    <row r="49">
      <c r="C49" s="34"/>
    </row>
    <row r="50">
      <c r="C50" s="34"/>
    </row>
    <row r="51">
      <c r="C51" s="34"/>
    </row>
    <row r="52">
      <c r="C52" s="34"/>
    </row>
    <row r="53">
      <c r="C53" s="34"/>
    </row>
    <row r="54">
      <c r="C54" s="34"/>
      <c r="F54" s="8"/>
    </row>
    <row r="55">
      <c r="A55" s="5"/>
      <c r="B55" s="8"/>
      <c r="C55" s="8"/>
      <c r="D55" s="112"/>
      <c r="E55" s="8"/>
    </row>
    <row r="56">
      <c r="A56" s="5"/>
      <c r="B56" s="5"/>
      <c r="C56" s="5"/>
      <c r="D56" s="5"/>
      <c r="E56" s="5"/>
      <c r="F56" s="8"/>
    </row>
    <row r="57">
      <c r="C57" s="34"/>
      <c r="F57" s="8"/>
    </row>
    <row r="58">
      <c r="A58" s="5"/>
      <c r="B58" s="8"/>
      <c r="C58" s="113"/>
      <c r="D58" s="112"/>
      <c r="E58" s="8"/>
    </row>
    <row r="59">
      <c r="A59" s="5"/>
      <c r="B59" s="5"/>
      <c r="C59" s="5"/>
      <c r="D59" s="5"/>
      <c r="E59" s="5"/>
    </row>
    <row r="60">
      <c r="C60" s="34"/>
    </row>
    <row r="61">
      <c r="A61" s="5"/>
      <c r="B61" s="8"/>
      <c r="C61" s="8"/>
      <c r="D61" s="112"/>
      <c r="E61" s="8"/>
    </row>
    <row r="62">
      <c r="A62" s="5"/>
      <c r="B62" s="5"/>
      <c r="C62" s="5"/>
      <c r="D62" s="5"/>
      <c r="E62" s="5"/>
    </row>
    <row r="63">
      <c r="C63" s="34"/>
    </row>
    <row r="64">
      <c r="C64" s="34"/>
    </row>
    <row r="65">
      <c r="C65" s="34"/>
    </row>
    <row r="66">
      <c r="C66" s="34"/>
    </row>
    <row r="67">
      <c r="C67" s="34"/>
    </row>
    <row r="68">
      <c r="C68" s="34"/>
    </row>
    <row r="69">
      <c r="C69" s="34"/>
    </row>
    <row r="70">
      <c r="C70" s="34"/>
    </row>
    <row r="71">
      <c r="C71" s="34"/>
    </row>
    <row r="72">
      <c r="A72" s="8"/>
      <c r="B72" s="8"/>
      <c r="C72" s="5"/>
      <c r="D72" s="8"/>
      <c r="E72" s="8"/>
      <c r="F72" s="8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153</v>
      </c>
      <c r="B1" s="8"/>
      <c r="C1" s="8"/>
      <c r="D1" s="8"/>
      <c r="E1" s="8"/>
    </row>
    <row r="4">
      <c r="A4" s="95" t="s">
        <v>0</v>
      </c>
      <c r="B4" s="97"/>
      <c r="C4" s="97"/>
      <c r="D4" s="97"/>
      <c r="E4" s="97"/>
    </row>
    <row r="5">
      <c r="A5" s="5" t="s">
        <v>133</v>
      </c>
      <c r="B5" s="5" t="s">
        <v>134</v>
      </c>
      <c r="C5" s="5" t="s">
        <v>135</v>
      </c>
      <c r="D5" s="5" t="s">
        <v>136</v>
      </c>
      <c r="E5" s="5" t="s">
        <v>137</v>
      </c>
    </row>
    <row r="6">
      <c r="A6" s="3" t="s">
        <v>4</v>
      </c>
      <c r="B6" s="3" t="s">
        <v>97</v>
      </c>
      <c r="C6" s="3" t="s">
        <v>138</v>
      </c>
      <c r="D6" s="39">
        <f>COUNTA(WODO!A11:A27)</f>
        <v>0</v>
      </c>
      <c r="E6" s="3" t="s">
        <v>158</v>
      </c>
    </row>
    <row r="8">
      <c r="A8" s="3" t="s">
        <v>141</v>
      </c>
      <c r="B8" s="7">
        <v>1201.0</v>
      </c>
    </row>
    <row r="10">
      <c r="A10" s="95" t="s">
        <v>159</v>
      </c>
      <c r="B10" s="97"/>
      <c r="C10" s="97"/>
      <c r="D10" s="97"/>
      <c r="E10" s="97"/>
      <c r="F10" s="97"/>
      <c r="G10" s="97"/>
    </row>
    <row r="11">
      <c r="A11" s="5" t="s">
        <v>144</v>
      </c>
      <c r="B11" s="5" t="s">
        <v>145</v>
      </c>
      <c r="C11" s="5" t="s">
        <v>146</v>
      </c>
      <c r="D11" s="5" t="s">
        <v>147</v>
      </c>
      <c r="E11" s="5" t="s">
        <v>148</v>
      </c>
      <c r="F11" s="5" t="s">
        <v>149</v>
      </c>
      <c r="G11" s="5" t="s">
        <v>150</v>
      </c>
    </row>
    <row r="12">
      <c r="B12" s="104"/>
      <c r="E12" s="105"/>
      <c r="G12" s="10"/>
    </row>
    <row r="13">
      <c r="A13" s="5"/>
      <c r="B13" s="8"/>
      <c r="C13" s="8"/>
      <c r="D13" s="8"/>
      <c r="E13" s="106"/>
      <c r="F13" s="8"/>
      <c r="G13" s="107"/>
    </row>
    <row r="15">
      <c r="A15" s="95"/>
      <c r="B15" s="97"/>
      <c r="C15" s="97"/>
      <c r="D15" s="97"/>
    </row>
    <row r="16">
      <c r="A16" s="5"/>
      <c r="B16" s="5"/>
      <c r="C16" s="5"/>
      <c r="D16" s="5"/>
    </row>
    <row r="17">
      <c r="C17" s="10"/>
      <c r="D17" s="108"/>
    </row>
    <row r="19">
      <c r="A19" s="5"/>
      <c r="B19" s="8"/>
      <c r="C19" s="8"/>
      <c r="D19" s="8"/>
      <c r="E19" s="8"/>
    </row>
    <row r="20">
      <c r="A20" s="5"/>
      <c r="B20" s="5"/>
      <c r="C20" s="5"/>
      <c r="D20" s="5"/>
      <c r="E20" s="5"/>
    </row>
    <row r="21">
      <c r="C21" s="34"/>
    </row>
    <row r="22">
      <c r="C22" s="34"/>
    </row>
    <row r="23">
      <c r="C23" s="34"/>
    </row>
    <row r="24">
      <c r="C24" s="34"/>
      <c r="D24" s="104"/>
    </row>
    <row r="25">
      <c r="C25" s="34"/>
      <c r="D25" s="104"/>
    </row>
    <row r="26">
      <c r="C26" s="34"/>
      <c r="D26" s="104"/>
    </row>
    <row r="27">
      <c r="C27" s="34"/>
      <c r="D27" s="104"/>
    </row>
    <row r="28">
      <c r="C28" s="34"/>
      <c r="D28" s="104"/>
    </row>
    <row r="29">
      <c r="C29" s="34"/>
      <c r="D29" s="104"/>
    </row>
    <row r="30">
      <c r="C30" s="34"/>
      <c r="D30" s="104"/>
    </row>
    <row r="31">
      <c r="C31" s="34"/>
      <c r="D31" s="104"/>
    </row>
    <row r="32">
      <c r="C32" s="34"/>
      <c r="D32" s="104"/>
    </row>
    <row r="33">
      <c r="C33" s="34"/>
      <c r="D33" s="104"/>
    </row>
    <row r="34">
      <c r="C34" s="34"/>
      <c r="D34" s="104"/>
    </row>
  </sheetData>
  <drawing r:id="rId1"/>
</worksheet>
</file>