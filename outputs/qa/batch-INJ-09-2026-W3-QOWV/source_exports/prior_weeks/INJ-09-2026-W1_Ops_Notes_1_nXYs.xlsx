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<sst xmlns="http://schemas.openxmlformats.org/spreadsheetml/2006/main" count="428" uniqueCount="200">
  <si>
    <t>BATCH SUMMARY</t>
  </si>
  <si>
    <t>BATCH HEADER — AECN Rail</t>
  </si>
  <si>
    <t>BATCH HEADER — AECN Truck (Direct from Fort Lupton)</t>
  </si>
  <si>
    <t>Batch ID</t>
  </si>
  <si>
    <t>Batch ID (INJ-YYYY-WXX)</t>
  </si>
  <si>
    <t>INJ-09-2026-W1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</si>
  <si>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</si>
  <si>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</si>
  <si>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</si>
  <si>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</si>
  <si>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</si>
  <si>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</si>
  <si>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Source Tab</t>
  </si>
  <si>
    <t>Sparging Mass Loss</t>
  </si>
  <si>
    <t>Σ Deliveries / Cargo (kg)</t>
  </si>
  <si>
    <t>Σ Uncertainty Adj (kg)</t>
  </si>
  <si>
    <t>pH range (target)</t>
  </si>
  <si>
    <t>2.0 - 4.0</t>
  </si>
  <si>
    <t>Mass Used (kg)</t>
  </si>
  <si>
    <t>Filtration Solids Content</t>
  </si>
  <si>
    <t>Sparging Loss (kg)</t>
  </si>
  <si>
    <t>SECTION 1 - DELIVERIES LEDGER  (one row per direct truck; BOL &amp; scale ticket on same row)</t>
  </si>
  <si>
    <t>Filtration Loss (kg)</t>
  </si>
  <si>
    <t>MOBI (kg)</t>
  </si>
  <si>
    <t>AECN→SOPOR EE (mi)</t>
  </si>
  <si>
    <t>Rail EE (mi)</t>
  </si>
  <si>
    <t>Opel→Basco EE (mi)</t>
  </si>
  <si>
    <t>Date</t>
  </si>
  <si>
    <t>AECN Rail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</si>
  <si>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</si>
  <si>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</si>
  <si>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</si>
  <si>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</si>
  <si>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</si>
  <si>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</si>
  <si>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</si>
  <si>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</si>
  <si>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</si>
  <si>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</si>
  <si>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BATCH HEADER — Charm WODO (IBC Totes)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</si>
  <si>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</si>
  <si>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</si>
  <si>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</si>
  <si>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</si>
  <si>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</si>
  <si>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</si>
  <si>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</si>
  <si>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</si>
  <si>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</si>
  <si>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WODO 6-Mo CI (kg CO2e/kg), Jul-Dec 2026</t>
  </si>
  <si>
    <t>Previously Claimed (kg)</t>
  </si>
  <si>
    <t>Prior-RP Claimed (kg)</t>
  </si>
  <si>
    <t>SECTION 1 - IBC LEDGER  (one row per IBC tote; tote tag mass is authoritative)</t>
  </si>
  <si>
    <t>AECN→SOPOR (mi)</t>
  </si>
  <si>
    <t>Rail (mi)</t>
  </si>
  <si>
    <t>Opel→Basco (mi)</t>
  </si>
  <si>
    <t>Round Trip (Opel→Basco)</t>
  </si>
  <si>
    <t>WODO Standard Loss (kg/tote), 2026 = Mean + 1 SD</t>
  </si>
  <si>
    <t>Full Railcar This Week?</t>
  </si>
  <si>
    <t>GRPX5254</t>
  </si>
  <si>
    <t>2430-R, 2431-R, 2432-R</t>
  </si>
  <si>
    <t>Transport Emissions</t>
  </si>
  <si>
    <t>Pyrolysis Emissions Mass &amp; Standard Loss</t>
  </si>
  <si>
    <t>AECN Truck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</si>
  <si>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</si>
  <si>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</si>
  <si>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</si>
  <si>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</si>
  <si>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</si>
  <si>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</si>
  <si>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</si>
  <si>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</si>
  <si>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</si>
  <si>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</si>
  <si>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</si>
  <si>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</si>
  <si>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</si>
  <si>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Charm WODO</t>
  </si>
  <si>
    <t>New railcar this RP. Loaded 7/15/2026 at SOPOR (BOLs 2430-R/2431-R/2432-R, 77,870 kg). All 4 offloads logged this week, scale-ticket confirmed (delta &lt;1 kg vs COBB on all 4). Prior-RP claimed: 0 kg.</t>
  </si>
  <si>
    <t>MFO Lot 4692 (LOT00004692), February 2026</t>
  </si>
  <si>
    <t>Kerry</t>
  </si>
  <si>
    <t>November 2025</t>
  </si>
  <si>
    <t>QOWV</t>
  </si>
  <si>
    <t>GPRX5107</t>
  </si>
  <si>
    <t>2444-R, 2445-R, 2446-R</t>
  </si>
  <si>
    <t>MFO Lot 301072 (LOT00301072), March 2026</t>
  </si>
  <si>
    <t>Whole Oil</t>
  </si>
  <si>
    <t>New railcar this RP. Loaded 7/27-7/29/2026 at SOPOR (BOLs 2444-R/2445-R/2446-R, 78,010 kg). Offload 3 (LD3) scale-ticket pair was initially unresolvable in a Gmail harvest (2026-08-15 to 2026-09-15); the Full/Empty pair was subsequently located and filed, and all 4 offloads are now ticketed. Closure 78,026.90 / 78,010 kg = 100.02%; the 16.89584 kg overage is removed via the Uncertainty Adjustment on offload 4. Prior-RP claimed: 0 kg.</t>
  </si>
  <si>
    <t>December 2025</t>
  </si>
  <si>
    <t>MFO Lot 301076 (LOT00301076), March 2026</t>
  </si>
  <si>
    <t>TOTAL</t>
  </si>
  <si>
    <t>SECTION 2 - ORIGINS LEDGER  (loading BOLs at SOPOR)</t>
  </si>
  <si>
    <t>January 2026</t>
  </si>
  <si>
    <t>BOL #</t>
  </si>
  <si>
    <t>MFO Lot 301095 (LOT00301095), March 2026</t>
  </si>
  <si>
    <t>February 2026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</si>
  <si>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</si>
  <si>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</si>
  <si>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</si>
  <si>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</si>
  <si>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</si>
  <si>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</si>
  <si>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</si>
  <si>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</si>
  <si>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</si>
  <si>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MFO Lot 301097 (LOT00301097), March 2026</t>
  </si>
  <si>
    <t>SR26-05371.001</t>
  </si>
  <si>
    <t>March 2026</t>
  </si>
  <si>
    <t>MFO Lot 301140 (LOT00301140), May 2026</t>
  </si>
  <si>
    <t>April 2026</t>
  </si>
  <si>
    <t>WODO</t>
  </si>
  <si>
    <t>MFO Lot 301143 (LOT00301143), May 2026</t>
  </si>
  <si>
    <t>SR26-05444.001</t>
  </si>
  <si>
    <t>SECTION 3 - SCALE TICKTS + OFFLOAD WEIGHTS</t>
  </si>
  <si>
    <t>May 2026</t>
  </si>
  <si>
    <t>Full Scale Ticket (lb)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</si>
  <si>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</si>
  <si>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</si>
  <si>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</si>
  <si>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</si>
  <si>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</si>
  <si>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</si>
  <si>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Rail_GRPX5254_7.17.2026_offload_1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</si>
  <si>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</si>
  <si>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</si>
  <si>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</si>
  <si>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</si>
  <si>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Origins list (BOLs)</t>
  </si>
  <si>
    <t xml:space="preserve"> </t>
  </si>
  <si>
    <t>BATCH HEADER — Kerry (Calciner Waste Oil, IBC Totes)</t>
  </si>
  <si>
    <t>MFO Lot 301165 (LOT00301165), May 2026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</si>
  <si>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</si>
  <si>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</si>
  <si>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</si>
  <si>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</si>
  <si>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</si>
  <si>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</si>
  <si>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</si>
  <si>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June 2026</t>
  </si>
  <si>
    <t>MFO Lot 301181 (LOT00301181), May 2026</t>
  </si>
  <si>
    <t>July 2026 and later (Jan-Jun 2026 rolling)</t>
  </si>
  <si>
    <t>V2_Charm_BioOil_Mass_Weighted_CI_Jan-Jun_2026.xlsx</t>
  </si>
  <si>
    <t>BATCH HEADER — QOWV (Aqueous Bio-Oil, IBC Totes)</t>
  </si>
  <si>
    <t>SECTION 2 - ROLLUP</t>
  </si>
  <si>
    <t>Σ Net Injected (kg)</t>
  </si>
  <si>
    <t>Origins list (Tote tags)</t>
  </si>
  <si>
    <t>SECTION 1 - IBC LEDGER  (one row per QOWV tote; tote tag mass is authoritative)</t>
  </si>
  <si>
    <t>Pyrolysis Emissions Mass</t>
  </si>
  <si>
    <t>MFO Lot 301190 (LOT00301190), May 2026</t>
  </si>
  <si>
    <t>Empty Tote Weight (kg)</t>
  </si>
  <si>
    <t>MFO Lot 301197 (LOT00301197), May 2026</t>
  </si>
  <si>
    <t>MFO Lot 301257 (LOT00301257), July 2026</t>
  </si>
  <si>
    <t>MFO Lot 301302 (LOT00301302), July 2026</t>
  </si>
  <si>
    <t>BATCH HEADER — Whole Oil (IBC Totes)</t>
  </si>
  <si>
    <t>Rail_GRPX5254_7.17.2026_offload_2</t>
  </si>
  <si>
    <t>WODO 6-Mo CI (kg CO2e/kg), Jul-Dec 2026 — BORROWED for Whole Oil (no DC Whole Oil CI yet)</t>
  </si>
  <si>
    <t>MFO Lot 301310 (LOT00301310), August 2026</t>
  </si>
  <si>
    <t>Rail_GRPX5254_7.17.2026_offload_3</t>
  </si>
  <si>
    <t>Transport Mass</t>
  </si>
  <si>
    <t>Σ Net Oil Produced (kg)</t>
  </si>
  <si>
    <t>MOBI — Σ Net Oil Injected (kg)</t>
  </si>
  <si>
    <t>Rail_GRPX5254_7.17.2026_offload_4</t>
  </si>
  <si>
    <t>INJ-09-2026-W1 - QOWV Shipments &amp; EE Mileage Allocation</t>
  </si>
  <si>
    <t>Batch</t>
  </si>
  <si>
    <t>Fraction</t>
  </si>
  <si>
    <t>Inj. Week</t>
  </si>
  <si>
    <t># Totes</t>
  </si>
  <si>
    <t>Ship Date(s)</t>
  </si>
  <si>
    <t>2026-08-29 to 2026-09-05</t>
  </si>
  <si>
    <t>none (zero QOWV/aqueous_fraction rows in COBB this window)</t>
  </si>
  <si>
    <t>--- Shipment 2025-12-10 --- (14 of 35 totes on this truck are W4-relevant)</t>
  </si>
  <si>
    <t>INJ-09-2026-W1 - WODO Shipments &amp; EE Mileage</t>
  </si>
  <si>
    <t>Metal Tag</t>
  </si>
  <si>
    <t>Date Loaded</t>
  </si>
  <si>
    <t>October 2025</t>
  </si>
  <si>
    <t>INJ-05-2026-W4</t>
  </si>
  <si>
    <t>September 2025</t>
  </si>
  <si>
    <t>Shipping Orders (relevant totes)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</si>
  <si>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</si>
  <si>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</si>
  <si>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EE ALLOCATION TABLE</t>
  </si>
  <si>
    <t>Rail_GPRX5107_7.29.2026_offload_1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</si>
  <si>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</si>
  <si>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</si>
  <si>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</si>
  <si>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</si>
  <si>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</si>
  <si>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</si>
  <si>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</si>
  <si>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</si>
  <si>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INJ-09-2026-W1 - Whole Oil Shipments &amp; EE Mileage</t>
  </si>
  <si>
    <t>1 shipping order(s) direct CO-&gt;LA: COLA_32 = 1 of 18 totes on the truck (the other 17 are BGN QOWV, not in this batch). Tier-1 resolution: Ship Status on Q4 2025-2026 Production Inventory Master.</t>
  </si>
  <si>
    <t>Check - every batch tote is allocated to a truck</t>
  </si>
  <si>
    <t>COLA_32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</si>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</sst>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0.0000"/>
    <numFmt numFmtId="166" formatCode="m/d/yy"/>
    <numFmt numFmtId="167" formatCode="yyyy-mm-dd"/>
    <numFmt numFmtId="168" formatCode="0.0000%"/>
    <numFmt numFmtId="169" formatCode="#,##0.000000"/>
    <numFmt numFmtId="170" formatCode="0.00000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u/>
      <color theme="1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sz val="12.0"/>
      <color theme="1"/>
      <name val="Arial"/>
      <scheme val="minor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0" fontId="4" numFmtId="0" xfId="0" applyFont="1"/>
    <xf borderId="0" fillId="0" fontId="2" numFmtId="4" xfId="0" applyFont="1" applyNumberFormat="1"/>
    <xf borderId="0" fillId="4" fontId="2" numFmtId="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3" fontId="2" numFmtId="4" xfId="0" applyFill="1" applyFont="1" applyNumberFormat="1"/>
    <xf borderId="0" fillId="2" fontId="1" numFmtId="0" xfId="0" applyAlignment="1" applyFill="1" applyFont="1">
      <alignment readingOrder="0"/>
    </xf>
    <xf borderId="0" fillId="0" fontId="2" numFmtId="2" xfId="0" applyFont="1" applyNumberFormat="1"/>
    <xf borderId="0" fillId="0" fontId="3" numFmtId="0" xfId="0" applyAlignment="1" applyFont="1">
      <alignment readingOrder="0"/>
    </xf>
    <xf borderId="0" fillId="0" fontId="2" numFmtId="0" xfId="0" applyFont="1"/>
    <xf borderId="0" fillId="2" fontId="6" numFmtId="0" xfId="0" applyFill="1" applyFont="1"/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3" fontId="2" numFmtId="4" xfId="0" applyAlignment="1" applyFill="1" applyFont="1" applyNumberFormat="1">
      <alignment readingOrder="0"/>
    </xf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4" fontId="2" numFmtId="4" xfId="0" applyFill="1" applyFont="1" applyNumberFormat="1"/>
    <xf borderId="0" fillId="4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0" xfId="0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5" fontId="8" numFmtId="4" xfId="0" applyAlignment="1" applyFill="1" applyFont="1" applyNumberFormat="1">
      <alignment readingOrder="0"/>
    </xf>
    <xf borderId="0" fillId="2" fontId="1" numFmtId="2" xfId="0" applyFill="1" applyFont="1" applyNumberFormat="1"/>
    <xf borderId="0" fillId="0" fontId="3" numFmtId="2" xfId="0" applyAlignment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4" xfId="0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2" numFmtId="1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1" fillId="0" fontId="12" numFmtId="0" xfId="0" applyAlignment="1" applyBorder="1" applyFont="1">
      <alignment horizontal="right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right" vertical="bottom"/>
    </xf>
    <xf borderId="0" fillId="0" fontId="17" numFmtId="4" xfId="0" applyAlignment="1" applyFont="1" applyNumberFormat="1">
      <alignment readingOrder="0"/>
    </xf>
    <xf borderId="0" fillId="5" fontId="2" numFmtId="4" xfId="0" applyFill="1" applyFont="1" applyNumberFormat="1"/>
    <xf borderId="0" fillId="0" fontId="2" numFmtId="1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2" xfId="0" applyFont="1" applyNumberFormat="1"/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0" fontId="2" numFmtId="170" xfId="0" applyFont="1" applyNumberFormat="1"/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0" fontId="19" numFmtId="0" xfId="0" applyAlignment="1" applyFont="1">
      <alignment readingOrder="0"/>
    </xf>
    <xf borderId="0" fillId="0" fontId="19" numFmtId="0" xfId="0" applyFont="1"/>
    <xf borderId="0" fillId="0" fontId="2" numFmtId="10" xfId="0" applyFont="1" applyNumberFormat="1"/>
    <xf borderId="0" fillId="6" fontId="3" numFmtId="0" xfId="0" applyAlignment="1" applyFill="1" applyFont="1">
      <alignment readingOrder="0"/>
    </xf>
    <xf borderId="0" fillId="6" fontId="20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1_DxRBIbYTa3o65q_zEv_GSB6Ci6Pt8/edit?usp=sharing&amp;ouid=101844676175294262253&amp;rtpof=true&amp;sd=tru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5</v>
      </c>
    </row>
    <row r="3">
      <c r="A3" s="3" t="s">
        <v>6</v>
      </c>
      <c r="B3" s="5">
        <v>46263.0</v>
      </c>
    </row>
    <row r="4">
      <c r="A4" s="3" t="s">
        <v>8</v>
      </c>
      <c r="B4" s="5">
        <v>46270.0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12</v>
      </c>
      <c r="B7" s="4" t="s">
        <v>14</v>
      </c>
      <c r="C7" s="4" t="s">
        <v>15</v>
      </c>
      <c r="D7" s="7" t="s">
        <v>18</v>
      </c>
      <c r="E7" s="4" t="s">
        <v>20</v>
      </c>
      <c r="F7" s="7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8"/>
      <c r="L7" s="8"/>
      <c r="M7" s="8"/>
      <c r="N7" s="8"/>
    </row>
    <row r="8">
      <c r="A8" s="3" t="s">
        <v>28</v>
      </c>
      <c r="B8" s="11">
        <f>'AECN Rail'!A44</f>
        <v>155880</v>
      </c>
      <c r="C8" s="11">
        <f>'AECN Rail'!B44</f>
        <v>16.89584</v>
      </c>
      <c r="D8" s="14">
        <f>'AECN Rail'!C44</f>
        <v>155863.1042</v>
      </c>
      <c r="E8" s="11">
        <f>'AECN Rail'!D44</f>
        <v>2008.07786</v>
      </c>
      <c r="F8" s="14">
        <f>'AECN Rail'!E44</f>
        <v>301.1674702</v>
      </c>
      <c r="G8" s="11">
        <f>'AECN Rail'!F44</f>
        <v>153355.7051</v>
      </c>
      <c r="H8" s="11">
        <f>'AECN Rail'!L36</f>
        <v>644.1093682</v>
      </c>
      <c r="I8" s="11">
        <f>'AECN Rail'!M36</f>
        <v>4398</v>
      </c>
      <c r="J8" s="11">
        <f>'AECN Rail'!N36</f>
        <v>686.4</v>
      </c>
    </row>
    <row r="9">
      <c r="A9" s="3" t="s">
        <v>63</v>
      </c>
      <c r="B9" s="11">
        <f>'AECN Truck'!A28</f>
        <v>277790</v>
      </c>
      <c r="C9" s="11">
        <f>'AECN Truck'!F28</f>
        <v>0</v>
      </c>
      <c r="D9" s="14">
        <f>'AECN Truck'!C28</f>
        <v>277790</v>
      </c>
      <c r="E9" s="11">
        <f>'AECN Truck'!D28</f>
        <v>3583.491</v>
      </c>
      <c r="F9" s="14">
        <f>'AECN Truck'!E28</f>
        <v>537.4447576</v>
      </c>
      <c r="G9" s="11">
        <f>'AECN Truck'!G28</f>
        <v>273669.0642</v>
      </c>
    </row>
    <row r="10">
      <c r="A10" s="3" t="s">
        <v>77</v>
      </c>
      <c r="B10" s="11">
        <f>WODO!A33</f>
        <v>14926</v>
      </c>
      <c r="C10" s="20">
        <f>WODO!A33-WODO!B33</f>
        <v>748.8</v>
      </c>
      <c r="D10" s="23">
        <f>WODO!B33</f>
        <v>14177.2</v>
      </c>
      <c r="E10" s="11">
        <f>WODO!C33</f>
        <v>101.92</v>
      </c>
      <c r="F10" s="23">
        <v>0.0</v>
      </c>
      <c r="G10" s="20">
        <f>WODO!D33</f>
        <v>14075.28</v>
      </c>
    </row>
    <row r="11">
      <c r="A11" s="3" t="s">
        <v>80</v>
      </c>
      <c r="B11" s="11">
        <f>Kerry!A33</f>
        <v>0</v>
      </c>
      <c r="C11" s="20">
        <v>0.0</v>
      </c>
      <c r="D11" s="23">
        <f>Kerry!A33</f>
        <v>0</v>
      </c>
      <c r="E11" s="11">
        <f>Kerry!B33</f>
        <v>0</v>
      </c>
      <c r="F11" s="23">
        <v>0.0</v>
      </c>
      <c r="G11" s="6">
        <f>Kerry!C33</f>
        <v>0</v>
      </c>
    </row>
    <row r="12">
      <c r="A12" s="3" t="s">
        <v>82</v>
      </c>
      <c r="B12" s="20">
        <f>QOWV!B53</f>
        <v>0</v>
      </c>
      <c r="C12" s="20">
        <v>0.0</v>
      </c>
      <c r="D12" s="23">
        <f>QOWV!D53</f>
        <v>0</v>
      </c>
      <c r="E12" s="20">
        <v>0.0</v>
      </c>
      <c r="F12" s="23">
        <v>0.0</v>
      </c>
      <c r="G12" s="28">
        <f>QOWV!F53</f>
        <v>0</v>
      </c>
      <c r="I12" s="4"/>
      <c r="J12" s="8"/>
      <c r="K12" s="8"/>
      <c r="L12" s="8"/>
      <c r="M12" s="8"/>
      <c r="N12" s="8"/>
    </row>
    <row r="13">
      <c r="A13" s="3" t="s">
        <v>86</v>
      </c>
      <c r="B13" s="20">
        <f>'Whole Oil'!A33</f>
        <v>1173</v>
      </c>
      <c r="C13" s="20">
        <f>'Whole Oil'!A33-'Whole Oil'!B33</f>
        <v>57.6</v>
      </c>
      <c r="D13" s="23">
        <f>'Whole Oil'!B33</f>
        <v>1115.4</v>
      </c>
      <c r="E13" s="20">
        <f>'Whole Oil'!C33</f>
        <v>11.4</v>
      </c>
      <c r="F13" s="23">
        <v>0.0</v>
      </c>
      <c r="G13" s="20">
        <f>'Whole Oil'!D33</f>
        <v>1104</v>
      </c>
      <c r="I13" s="4"/>
      <c r="J13" s="8"/>
      <c r="K13" s="8"/>
      <c r="L13" s="8"/>
      <c r="M13" s="8"/>
      <c r="N13" s="8"/>
    </row>
    <row r="14">
      <c r="A14" s="3" t="s">
        <v>90</v>
      </c>
      <c r="B14" s="11">
        <f t="shared" ref="B14:J14" si="1">SUM(B8:B13)</f>
        <v>449769</v>
      </c>
      <c r="C14" s="11">
        <f t="shared" si="1"/>
        <v>823.29584</v>
      </c>
      <c r="D14" s="11">
        <f t="shared" si="1"/>
        <v>448945.7042</v>
      </c>
      <c r="E14" s="11">
        <f t="shared" si="1"/>
        <v>5704.88886</v>
      </c>
      <c r="F14" s="11">
        <f t="shared" si="1"/>
        <v>838.6122278</v>
      </c>
      <c r="G14" s="11">
        <f t="shared" si="1"/>
        <v>442204.0493</v>
      </c>
      <c r="H14" s="11">
        <f t="shared" si="1"/>
        <v>644.1093682</v>
      </c>
      <c r="I14" s="11">
        <f t="shared" si="1"/>
        <v>4398</v>
      </c>
      <c r="J14" s="11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4" t="s">
        <v>96</v>
      </c>
      <c r="B16" s="4"/>
      <c r="C16" s="4"/>
      <c r="D16" s="4"/>
      <c r="E16" s="4"/>
      <c r="F16" s="4"/>
      <c r="G16" s="4"/>
      <c r="H16" s="8"/>
      <c r="I16" s="8"/>
      <c r="J16" s="8"/>
      <c r="K16" s="8"/>
      <c r="L16" s="8"/>
      <c r="M16" s="8"/>
    </row>
    <row r="17">
      <c r="A17" s="3" t="s">
        <v>97</v>
      </c>
      <c r="B17" s="20" t="s">
        <v>23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</row>
    <row r="18">
      <c r="A18" s="3" t="s">
        <v>104</v>
      </c>
      <c r="B18" s="11">
        <f>G8+G9</f>
        <v>427024.7693</v>
      </c>
      <c r="C18" s="3" t="s">
        <v>106</v>
      </c>
      <c r="D18" s="5">
        <v>46270.0</v>
      </c>
      <c r="E18" s="31">
        <f>IFERROR(('AECN Rail'!H44*G8+'AECN Truck'!I28*G9)/(G8+G9),"")</f>
        <v>0.504</v>
      </c>
      <c r="F18" s="32" t="str">
        <f>HYPERLINK("https://drive.google.com/file/d/1uEG4UNe5gCHo4M55OWK4Hd1w62Hca-nu/view","COA SR26-05371.001")</f>
        <v>COA SR26-05371.001</v>
      </c>
      <c r="G18" s="33">
        <f t="shared" ref="G18:G19" si="2">E18*H18</f>
        <v>0.002016</v>
      </c>
      <c r="H18" s="31">
        <v>0.004</v>
      </c>
    </row>
    <row r="19">
      <c r="A19" s="3" t="s">
        <v>110</v>
      </c>
      <c r="B19" s="11">
        <f t="shared" ref="B19:B22" si="3">G10</f>
        <v>14075.28</v>
      </c>
      <c r="C19" s="3" t="s">
        <v>112</v>
      </c>
      <c r="D19" s="5">
        <v>46270.0</v>
      </c>
      <c r="E19" s="31">
        <v>0.573</v>
      </c>
      <c r="F19" s="10" t="str">
        <f>HYPERLINK("https://drive.google.com/file/d/1Wyv_L0FLgu7Q_ZhWZqLyzPjO48Rdgeny/view","COA SR26-05444.001")</f>
        <v>COA SR26-05444.001</v>
      </c>
      <c r="G19" s="33">
        <f t="shared" si="2"/>
        <v>0.002292</v>
      </c>
      <c r="H19" s="31">
        <v>0.004</v>
      </c>
    </row>
    <row r="20">
      <c r="A20" s="3" t="s">
        <v>80</v>
      </c>
      <c r="B20" s="11">
        <f t="shared" si="3"/>
        <v>0</v>
      </c>
      <c r="E20" s="36"/>
      <c r="H20" s="36"/>
    </row>
    <row r="21">
      <c r="A21" s="3" t="s">
        <v>82</v>
      </c>
      <c r="B21" s="11">
        <f t="shared" si="3"/>
        <v>0</v>
      </c>
      <c r="C21" s="3"/>
      <c r="D21" s="5"/>
      <c r="E21" s="31"/>
      <c r="F21" s="4"/>
      <c r="G21" s="33"/>
      <c r="H21" s="31"/>
      <c r="I21" s="8"/>
      <c r="J21" s="8"/>
      <c r="K21" s="8"/>
      <c r="L21" s="8"/>
      <c r="M21" s="8"/>
    </row>
    <row r="22">
      <c r="A22" s="3" t="s">
        <v>86</v>
      </c>
      <c r="B22" s="11">
        <f t="shared" si="3"/>
        <v>1104</v>
      </c>
      <c r="C22" s="3"/>
      <c r="D22" s="5"/>
      <c r="E22" s="31">
        <v>0.3689</v>
      </c>
      <c r="F22" s="4"/>
      <c r="G22" s="33">
        <f>E22*H22</f>
        <v>0.0014756</v>
      </c>
      <c r="H22" s="31">
        <v>0.004</v>
      </c>
      <c r="I22" s="8"/>
      <c r="J22" s="8"/>
      <c r="K22" s="8"/>
      <c r="L22" s="8"/>
      <c r="M22" s="8"/>
    </row>
    <row r="23">
      <c r="A23" s="3" t="s">
        <v>90</v>
      </c>
      <c r="B23" s="11">
        <f>SUM(B18:B22)</f>
        <v>442204.0493</v>
      </c>
      <c r="E23" s="36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4"/>
      <c r="B25" s="4"/>
      <c r="C25" s="4"/>
      <c r="D25" s="8"/>
      <c r="E25" s="8"/>
      <c r="F25" s="4"/>
      <c r="G25" s="4" t="s">
        <v>128</v>
      </c>
      <c r="H25" s="8"/>
      <c r="I25" s="8"/>
      <c r="J25" s="8"/>
      <c r="K25" s="8"/>
      <c r="L25" s="8"/>
      <c r="M25" s="8"/>
      <c r="N2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7</v>
      </c>
    </row>
    <row r="3">
      <c r="A3" s="3" t="s">
        <v>6</v>
      </c>
      <c r="B3" s="5">
        <v>46263.0</v>
      </c>
      <c r="N3" s="4" t="s">
        <v>9</v>
      </c>
      <c r="O3" s="6">
        <v>2.20462</v>
      </c>
    </row>
    <row r="4">
      <c r="A4" s="3" t="s">
        <v>8</v>
      </c>
      <c r="B4" s="5">
        <v>46270.0</v>
      </c>
      <c r="N4" s="4" t="s">
        <v>11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16</v>
      </c>
      <c r="O6" s="3" t="s">
        <v>17</v>
      </c>
    </row>
    <row r="7">
      <c r="N7" s="3" t="s">
        <v>19</v>
      </c>
      <c r="O7" s="13">
        <f>HYPERLINK("https://docs.google.com/spreadsheets/d/1XhIwfVwGTl2T04CAlA-qee03gfqxNWwBmSCAeiSW548/edit?usp=sharing", 0.00196)</f>
        <v>0.00196</v>
      </c>
    </row>
    <row r="8">
      <c r="A8" s="1" t="s">
        <v>40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41</v>
      </c>
      <c r="O8" s="15">
        <v>3.0</v>
      </c>
      <c r="P8" s="2"/>
      <c r="Q8" s="2"/>
      <c r="R8" s="2"/>
    </row>
    <row r="9">
      <c r="A9" s="4" t="s">
        <v>42</v>
      </c>
      <c r="B9" s="4" t="s">
        <v>43</v>
      </c>
      <c r="C9" s="4" t="s">
        <v>44</v>
      </c>
      <c r="D9" s="9" t="s">
        <v>45</v>
      </c>
      <c r="E9" s="9" t="s">
        <v>46</v>
      </c>
      <c r="F9" s="4" t="s">
        <v>47</v>
      </c>
      <c r="G9" s="4" t="s">
        <v>48</v>
      </c>
      <c r="H9" s="4" t="s">
        <v>50</v>
      </c>
      <c r="I9" s="4" t="s">
        <v>51</v>
      </c>
      <c r="J9" s="4" t="s">
        <v>53</v>
      </c>
      <c r="K9" s="4" t="s">
        <v>54</v>
      </c>
      <c r="L9" s="4" t="s">
        <v>55</v>
      </c>
      <c r="M9" s="4" t="s">
        <v>36</v>
      </c>
      <c r="N9" s="4" t="s">
        <v>56</v>
      </c>
      <c r="O9" s="17">
        <v>2.0</v>
      </c>
      <c r="P9" s="4" t="s">
        <v>58</v>
      </c>
      <c r="Q9" s="8"/>
      <c r="R9" s="8"/>
    </row>
    <row r="10">
      <c r="A10" s="3" t="s">
        <v>59</v>
      </c>
      <c r="B10" s="5">
        <v>46267.0</v>
      </c>
      <c r="C10" s="3" t="s">
        <v>60</v>
      </c>
      <c r="D10" s="12">
        <v>77.87</v>
      </c>
      <c r="E10" s="12">
        <v>77870.0</v>
      </c>
      <c r="F10" s="11">
        <f t="shared" ref="F10:F11" si="1">SUMIF($C$28:$C$41,A10,$F$28:$F$41)+H10</f>
        <v>77654.9504</v>
      </c>
      <c r="G10" s="11">
        <f t="shared" ref="G10:G14" si="2">IF(AND(E10&lt;&gt;"",F10&lt;&gt;"",F10&gt;=0.95*E10),E10-F10,"")</f>
        <v>215.0496</v>
      </c>
      <c r="H10" s="6">
        <v>0.0</v>
      </c>
      <c r="I10" s="22">
        <v>0.0</v>
      </c>
      <c r="J10" s="22">
        <v>107.5</v>
      </c>
      <c r="K10" s="22">
        <v>2199.0</v>
      </c>
      <c r="L10" s="6">
        <v>42.9</v>
      </c>
      <c r="M10" s="3" t="s">
        <v>78</v>
      </c>
      <c r="P10" s="18" t="str">
        <f t="shared" ref="P10:P14" si="3">IF(OR($E10="",$F10=""),"",IF(AND($H10=0,$F10&gt;=0.95*$E10),"FULL","PARTIAL"))</f>
        <v>FULL</v>
      </c>
    </row>
    <row r="11">
      <c r="A11" s="3" t="s">
        <v>83</v>
      </c>
      <c r="B11" s="26">
        <v>46261.0</v>
      </c>
      <c r="C11" s="3" t="s">
        <v>84</v>
      </c>
      <c r="D11" s="12">
        <v>78.01</v>
      </c>
      <c r="E11" s="12">
        <v>78010.0</v>
      </c>
      <c r="F11" s="11">
        <f t="shared" si="1"/>
        <v>78026.89584</v>
      </c>
      <c r="G11" s="11">
        <f t="shared" si="2"/>
        <v>-16.89584</v>
      </c>
      <c r="H11" s="22">
        <v>0.0</v>
      </c>
      <c r="I11" s="22">
        <v>0.0</v>
      </c>
      <c r="J11" s="22">
        <v>107.5</v>
      </c>
      <c r="K11" s="22">
        <v>2199.0</v>
      </c>
      <c r="L11" s="6">
        <v>42.9</v>
      </c>
      <c r="M11" s="3" t="s">
        <v>87</v>
      </c>
      <c r="P11" s="18" t="str">
        <f t="shared" si="3"/>
        <v>FULL</v>
      </c>
    </row>
    <row r="12">
      <c r="D12" s="30"/>
      <c r="E12" s="30"/>
      <c r="G12" s="18" t="str">
        <f t="shared" si="2"/>
        <v/>
      </c>
      <c r="P12" s="18" t="str">
        <f t="shared" si="3"/>
        <v/>
      </c>
    </row>
    <row r="13">
      <c r="D13" s="30"/>
      <c r="E13" s="30"/>
      <c r="G13" s="18" t="str">
        <f t="shared" si="2"/>
        <v/>
      </c>
      <c r="P13" s="18" t="str">
        <f t="shared" si="3"/>
        <v/>
      </c>
    </row>
    <row r="14">
      <c r="G14" s="18" t="str">
        <f t="shared" si="2"/>
        <v/>
      </c>
      <c r="P14" s="18" t="str">
        <f t="shared" si="3"/>
        <v/>
      </c>
    </row>
    <row r="15">
      <c r="A15" s="1" t="s">
        <v>91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27</v>
      </c>
      <c r="B16" s="4" t="s">
        <v>93</v>
      </c>
      <c r="C16" s="4" t="s">
        <v>42</v>
      </c>
      <c r="D16" s="9" t="s">
        <v>30</v>
      </c>
      <c r="E16" s="9" t="s">
        <v>31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46218.0</v>
      </c>
      <c r="B17" s="10" t="str">
        <f>HYPERLINK("https://drive.google.com/file/d/1jXCSDFw7KSEvsQw_UwatoZvUcvADnVKu/view","2430-R")</f>
        <v>2430-R</v>
      </c>
      <c r="C17" s="3" t="s">
        <v>59</v>
      </c>
      <c r="D17" s="12">
        <v>25.98</v>
      </c>
      <c r="E17" s="12">
        <v>25980.0</v>
      </c>
    </row>
    <row r="18">
      <c r="A18" s="5">
        <v>46218.0</v>
      </c>
      <c r="B18" s="10" t="str">
        <f>HYPERLINK("https://drive.google.com/file/d/1gPkcBZCCoS_j5S7Wv3PA46TKTrWVX3vz/view","2431-R")</f>
        <v>2431-R</v>
      </c>
      <c r="C18" s="3" t="s">
        <v>59</v>
      </c>
      <c r="D18" s="12">
        <v>25.84</v>
      </c>
      <c r="E18" s="12">
        <v>25840.0</v>
      </c>
    </row>
    <row r="19">
      <c r="A19" s="5">
        <v>46218.0</v>
      </c>
      <c r="B19" s="10" t="str">
        <f>HYPERLINK("https://drive.google.com/file/d/1bh9Q4to_lNiuCq-Ia7m0EtMT3IyAbA7J/view","2432-R")</f>
        <v>2432-R</v>
      </c>
      <c r="C19" s="3" t="s">
        <v>59</v>
      </c>
      <c r="D19" s="12">
        <v>26.05</v>
      </c>
      <c r="E19" s="12">
        <v>26050.0</v>
      </c>
    </row>
    <row r="20">
      <c r="A20" s="5"/>
      <c r="D20" s="12"/>
      <c r="E20" s="12"/>
    </row>
    <row r="21">
      <c r="A21" s="5">
        <v>46230.0</v>
      </c>
      <c r="B21" s="10" t="str">
        <f>HYPERLINK("https://drive.google.com/file/d/1SH4RhZW1vdjFhqqABd3wfpzrugBfimYW/view","2444-R")</f>
        <v>2444-R</v>
      </c>
      <c r="C21" s="3" t="s">
        <v>83</v>
      </c>
      <c r="D21" s="12">
        <v>25.86</v>
      </c>
      <c r="E21" s="12">
        <v>25860.0</v>
      </c>
    </row>
    <row r="22">
      <c r="A22" s="5">
        <v>46231.0</v>
      </c>
      <c r="B22" s="10" t="str">
        <f>HYPERLINK("https://drive.google.com/file/d/1uJ7yAopnSiKUeslPUDU9eHVu4c-qZLiU/view","2445-R")</f>
        <v>2445-R</v>
      </c>
      <c r="C22" s="3" t="s">
        <v>83</v>
      </c>
      <c r="D22" s="12">
        <v>26.06</v>
      </c>
      <c r="E22" s="12">
        <v>26060.0</v>
      </c>
    </row>
    <row r="23">
      <c r="A23" s="5">
        <v>46231.0</v>
      </c>
      <c r="B23" s="10" t="str">
        <f>HYPERLINK("https://drive.google.com/file/d/1y43ybZxgmWvUChUS4z7oPvC3A778nEEp/view","2446-R")</f>
        <v>2446-R</v>
      </c>
      <c r="C23" s="3" t="s">
        <v>83</v>
      </c>
      <c r="D23" s="20">
        <v>26.09</v>
      </c>
      <c r="E23" s="20">
        <v>26090.0</v>
      </c>
    </row>
    <row r="24">
      <c r="A24" s="5"/>
      <c r="D24" s="20"/>
      <c r="E24" s="20"/>
    </row>
    <row r="25">
      <c r="A25" s="5"/>
      <c r="D25" s="20"/>
      <c r="E25" s="20"/>
    </row>
    <row r="26">
      <c r="A26" s="1" t="s">
        <v>113</v>
      </c>
      <c r="B26" s="1"/>
      <c r="C26" s="1"/>
      <c r="D26" s="34"/>
      <c r="E26" s="34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5" t="s">
        <v>115</v>
      </c>
      <c r="E27" s="35" t="s">
        <v>116</v>
      </c>
      <c r="F27" s="9" t="s">
        <v>117</v>
      </c>
      <c r="G27" s="4" t="s">
        <v>35</v>
      </c>
      <c r="H27" s="9" t="s">
        <v>20</v>
      </c>
      <c r="I27" s="9" t="s">
        <v>22</v>
      </c>
      <c r="J27" s="9" t="s">
        <v>118</v>
      </c>
      <c r="K27" s="9" t="s">
        <v>23</v>
      </c>
      <c r="L27" s="4" t="s">
        <v>119</v>
      </c>
      <c r="M27" s="4" t="s">
        <v>120</v>
      </c>
      <c r="N27" s="4" t="s">
        <v>121</v>
      </c>
      <c r="O27" s="4" t="s">
        <v>37</v>
      </c>
      <c r="P27" s="8"/>
      <c r="Q27" s="8"/>
      <c r="R27" s="8"/>
    </row>
    <row r="28">
      <c r="A28" s="37">
        <v>46269.0</v>
      </c>
      <c r="B28" s="38" t="s">
        <v>122</v>
      </c>
      <c r="C28" s="38" t="s">
        <v>59</v>
      </c>
      <c r="D28" s="41">
        <f>HYPERLINK("https://drive.google.com/file/d/1_JU0p6ybIW9_76m_DRa_mQgmt-WcGP1f/view",71660)</f>
        <v>71660</v>
      </c>
      <c r="E28" s="41">
        <f>HYPERLINK("https://drive.google.com/file/d/1_gJVD_i6eAye5hgyRuF86ij2DPnCbkXi/view",28800)</f>
        <v>28800</v>
      </c>
      <c r="F28" s="44">
        <f t="shared" ref="F28:F35" si="4">IF(OR(D28="",E28=""),"",(D28-E28)*$O$4)</f>
        <v>19440.95312</v>
      </c>
      <c r="G28" s="45"/>
      <c r="H28" s="46">
        <f t="shared" ref="H28:H35" si="5">IF(F28="","",(F28-J28)*$O$5)</f>
        <v>250.7882952</v>
      </c>
      <c r="I28" s="46">
        <f t="shared" ref="I28:I35" si="6">IF(F28="","",(F28-J28)*(1-$O$5)*$O$7)</f>
        <v>37.61272306</v>
      </c>
      <c r="J28" s="44">
        <f t="array" ref="J28">IF(F28="","",IF(ROW()=MAX(IF($C$28:$C$35=C28,ROW($C$28:$C$35),0)),MAX(0,IFERROR(VLOOKUP(C28,$A$10:$L$14,6,FALSE)-VLOOKUP(C28,$A$10:$L$14,5,FALSE),0)),0))</f>
        <v>0</v>
      </c>
      <c r="K28" s="44">
        <f t="shared" ref="K28:K35" si="7">IF(F28="","",F28-H28-I28-J28)</f>
        <v>19152.5521</v>
      </c>
      <c r="L28" s="46">
        <f t="shared" ref="L28:L35" si="8">IF(F28="","",(F28-J28)/VLOOKUP(C28,$A$10:$L$14,5,FALSE)*VLOOKUP(C28,$A$10:$L$14,10,FALSE)*$O$8)</f>
        <v>80.51505562</v>
      </c>
      <c r="M28" s="46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2199</v>
      </c>
      <c r="N28" s="46">
        <f t="shared" ref="N28:N35" si="9">IF(F28="","",IFERROR(VLOOKUP(C28,$A$10:$L$14,12,FALSE),0)*$O$9)</f>
        <v>85.8</v>
      </c>
      <c r="O28" s="57">
        <v>0.504</v>
      </c>
    </row>
    <row r="29">
      <c r="A29" s="5">
        <v>46269.0</v>
      </c>
      <c r="B29" s="3" t="s">
        <v>154</v>
      </c>
      <c r="C29" s="3" t="s">
        <v>59</v>
      </c>
      <c r="D29" s="58">
        <f>HYPERLINK("https://drive.google.com/file/d/17WZr_s6_7QZrRRqFWpZ3CVciRui1zkAh/view",73380)</f>
        <v>73380</v>
      </c>
      <c r="E29" s="58">
        <f>HYPERLINK("https://drive.google.com/file/d/1jmCBqpLaQdXQ5wnh0zwp8fteqACeuvbc/view",29620)</f>
        <v>29620</v>
      </c>
      <c r="F29" s="12">
        <f t="shared" si="4"/>
        <v>19849.18592</v>
      </c>
      <c r="G29" s="21"/>
      <c r="H29" s="29">
        <f t="shared" si="5"/>
        <v>256.0544984</v>
      </c>
      <c r="I29" s="29">
        <f t="shared" si="6"/>
        <v>38.40253759</v>
      </c>
      <c r="J29" s="12">
        <f t="array" ref="J29">IF(F29="","",IF(ROW()=MAX(IF($C$28:$C$35=C29,ROW($C$28:$C$35),0)),MAX(0,IFERROR(VLOOKUP(C29,$A$10:$L$14,6,FALSE)-VLOOKUP(C29,$A$10:$L$14,5,FALSE),0)),0))</f>
        <v>0</v>
      </c>
      <c r="K29" s="29">
        <f t="shared" si="7"/>
        <v>19554.72888</v>
      </c>
      <c r="L29" s="11">
        <f t="shared" si="8"/>
        <v>82.20575908</v>
      </c>
      <c r="M29" s="11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0</v>
      </c>
      <c r="N29" s="11">
        <f t="shared" si="9"/>
        <v>85.8</v>
      </c>
      <c r="O29" s="57">
        <v>0.504</v>
      </c>
    </row>
    <row r="30">
      <c r="A30" s="5">
        <v>46269.0</v>
      </c>
      <c r="B30" s="3" t="s">
        <v>157</v>
      </c>
      <c r="C30" s="3" t="s">
        <v>59</v>
      </c>
      <c r="D30" s="58">
        <f>HYPERLINK("https://drive.google.com/file/d/1ULPxxgUVEfm42xMQEZR-1ZFgPbR4TCVE/view",74260)</f>
        <v>74260</v>
      </c>
      <c r="E30" s="65">
        <f>HYPERLINK("https://drive.google.com/file/d/1HhgUjH4Qqm8hSHw72Judhw5zN7BLr0sJ/view",28400)</f>
        <v>28400</v>
      </c>
      <c r="F30" s="12">
        <f t="shared" si="4"/>
        <v>20801.72912</v>
      </c>
      <c r="G30" s="21"/>
      <c r="H30" s="29">
        <f t="shared" si="5"/>
        <v>268.3423056</v>
      </c>
      <c r="I30" s="29">
        <f t="shared" si="6"/>
        <v>40.24543816</v>
      </c>
      <c r="J30" s="12">
        <f t="array" ref="J30">IF(F30="","",IF(ROW()=MAX(IF($C$28:$C$35=C30,ROW($C$28:$C$35),0)),MAX(0,IFERROR(VLOOKUP(C30,$A$10:$L$14,6,FALSE)-VLOOKUP(C30,$A$10:$L$14,5,FALSE),0)),0))</f>
        <v>0</v>
      </c>
      <c r="K30" s="29">
        <f t="shared" si="7"/>
        <v>20493.14138</v>
      </c>
      <c r="L30" s="11">
        <f t="shared" si="8"/>
        <v>86.1507338</v>
      </c>
      <c r="M30" s="11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0</v>
      </c>
      <c r="N30" s="11">
        <f t="shared" si="9"/>
        <v>85.8</v>
      </c>
      <c r="O30" s="57">
        <v>0.504</v>
      </c>
    </row>
    <row r="31">
      <c r="A31" s="72">
        <v>46269.0</v>
      </c>
      <c r="B31" s="7" t="s">
        <v>161</v>
      </c>
      <c r="C31" s="7" t="s">
        <v>59</v>
      </c>
      <c r="D31" s="73">
        <f>HYPERLINK("https://drive.google.com/file/d/1Ni-VUlybdxCfWNbrqt4szXARmPAFXcOf/view",68140)</f>
        <v>68140</v>
      </c>
      <c r="E31" s="73">
        <f>HYPERLINK("https://drive.google.com/file/d/1Zk7dSiehwQ-BkOgwgvLOC2E4iam_4VIn/view",29420)</f>
        <v>29420</v>
      </c>
      <c r="F31" s="75">
        <f t="shared" si="4"/>
        <v>17563.08224</v>
      </c>
      <c r="G31" s="76"/>
      <c r="H31" s="77">
        <f t="shared" si="5"/>
        <v>226.5637609</v>
      </c>
      <c r="I31" s="77">
        <f t="shared" si="6"/>
        <v>33.97957622</v>
      </c>
      <c r="J31" s="75">
        <f t="array" ref="J31">IF(F31="","",IF(ROW()=MAX(IF($C$28:$C$35=C31,ROW($C$28:$C$35),0)),MAX(0,IFERROR(VLOOKUP(C31,$A$10:$L$14,6,FALSE)-VLOOKUP(C31,$A$10:$L$14,5,FALSE),0)),0))</f>
        <v>0</v>
      </c>
      <c r="K31" s="77">
        <f t="shared" si="7"/>
        <v>17302.5389</v>
      </c>
      <c r="L31" s="75">
        <f t="shared" si="8"/>
        <v>72.73781973</v>
      </c>
      <c r="M31" s="77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0</v>
      </c>
      <c r="N31" s="77">
        <f t="shared" si="9"/>
        <v>85.8</v>
      </c>
      <c r="O31" s="57">
        <v>0.504</v>
      </c>
    </row>
    <row r="32">
      <c r="A32" s="5">
        <v>46269.0</v>
      </c>
      <c r="B32" s="3" t="s">
        <v>181</v>
      </c>
      <c r="C32" s="3" t="s">
        <v>83</v>
      </c>
      <c r="D32" s="58">
        <f>HYPERLINK("https://drive.google.com/file/d/16SoUErKh8J_0O28iTf8789vwpXxlkaBS/view",78360)</f>
        <v>78360</v>
      </c>
      <c r="E32" s="58">
        <f>HYPERLINK("https://drive.google.com/file/d/1yi2rWInFYH_w3UIIytt5lP9mKI_e53--/view",29440)</f>
        <v>29440</v>
      </c>
      <c r="F32" s="12">
        <f t="shared" si="4"/>
        <v>22189.72064</v>
      </c>
      <c r="G32" s="21"/>
      <c r="H32" s="12">
        <f t="shared" si="5"/>
        <v>286.2473963</v>
      </c>
      <c r="I32" s="12">
        <f t="shared" si="6"/>
        <v>42.93080756</v>
      </c>
      <c r="J32" s="12">
        <f t="array" ref="J32">IF(F32="","",IF(ROW()=MAX(IF($C$28:$C$35=C32,ROW($C$28:$C$35),0)),MAX(0,IFERROR(VLOOKUP(C32,$A$10:$L$14,6,FALSE)-VLOOKUP(C32,$A$10:$L$14,5,FALSE),0)),0))</f>
        <v>0</v>
      </c>
      <c r="K32" s="12">
        <f t="shared" si="7"/>
        <v>21860.54244</v>
      </c>
      <c r="L32" s="11">
        <f t="shared" si="8"/>
        <v>91.73419954</v>
      </c>
      <c r="M32" s="11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11">
        <f t="shared" si="9"/>
        <v>85.8</v>
      </c>
      <c r="O32" s="57">
        <v>0.504</v>
      </c>
    </row>
    <row r="33">
      <c r="A33" s="5">
        <v>46269.0</v>
      </c>
      <c r="B33" s="3" t="s">
        <v>194</v>
      </c>
      <c r="C33" s="3" t="s">
        <v>83</v>
      </c>
      <c r="D33" s="58">
        <f>HYPERLINK("https://drive.google.com/file/d/1AE0X1N14LP2G8YuIPckUqF87RYZMHr1F/view",74140)</f>
        <v>74140</v>
      </c>
      <c r="E33" s="58">
        <f>HYPERLINK("https://drive.google.com/file/d/1PBCyFKtfv4Osxvx3yJtf9cRzJvCGI3K-/view",28640)</f>
        <v>28640</v>
      </c>
      <c r="F33" s="12">
        <f t="shared" si="4"/>
        <v>20638.436</v>
      </c>
      <c r="G33" s="21"/>
      <c r="H33" s="12">
        <f t="shared" si="5"/>
        <v>266.2358244</v>
      </c>
      <c r="I33" s="12">
        <f t="shared" si="6"/>
        <v>39.92951234</v>
      </c>
      <c r="J33" s="12">
        <f t="array" ref="J33">IF(F33="","",IF(ROW()=MAX(IF($C$28:$C$35=C33,ROW($C$28:$C$35),0)),MAX(0,IFERROR(VLOOKUP(C33,$A$10:$L$14,6,FALSE)-VLOOKUP(C33,$A$10:$L$14,5,FALSE),0)),0))</f>
        <v>0</v>
      </c>
      <c r="K33" s="12">
        <f t="shared" si="7"/>
        <v>20332.27066</v>
      </c>
      <c r="L33" s="11">
        <f t="shared" si="8"/>
        <v>85.3210564</v>
      </c>
      <c r="M33" s="11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11">
        <f t="shared" si="9"/>
        <v>85.8</v>
      </c>
      <c r="O33" s="57">
        <v>0.504</v>
      </c>
    </row>
    <row r="34">
      <c r="A34" s="72">
        <v>46269.0</v>
      </c>
      <c r="B34" s="81" t="s">
        <v>195</v>
      </c>
      <c r="C34" s="81" t="s">
        <v>83</v>
      </c>
      <c r="D34" s="82">
        <f>HYPERLINK("https://drive.google.com/file/d/1KqKrquwMU658U3gcSaNLxW4nqK3NyTzt/view",72600)</f>
        <v>72600</v>
      </c>
      <c r="E34" s="82">
        <f>HYPERLINK("https://drive.google.com/file/d/1-tUppanrmcwhAQWzsZw0ZPPon8UMpUzj/view",28480)</f>
        <v>28480</v>
      </c>
      <c r="F34" s="83">
        <f t="shared" si="4"/>
        <v>20012.47904</v>
      </c>
      <c r="G34" s="84"/>
      <c r="H34" s="83">
        <f t="shared" si="5"/>
        <v>258.1609796</v>
      </c>
      <c r="I34" s="83">
        <f t="shared" si="6"/>
        <v>38.7184634</v>
      </c>
      <c r="J34" s="83">
        <f t="array" ref="J34">IF(F34="","",IF(ROW()=MAX(IF($C$28:$C$35=C34,ROW($C$28:$C$35),0)),MAX(0,IFERROR(VLOOKUP(C34,$A$10:$L$14,6,FALSE)-VLOOKUP(C34,$A$10:$L$14,5,FALSE),0)),0))</f>
        <v>0</v>
      </c>
      <c r="K34" s="83">
        <f t="shared" si="7"/>
        <v>19715.5996</v>
      </c>
      <c r="L34" s="11">
        <f t="shared" si="8"/>
        <v>82.73329689</v>
      </c>
      <c r="M34" s="11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11">
        <f t="shared" si="9"/>
        <v>85.8</v>
      </c>
      <c r="O34" s="57">
        <v>0.504</v>
      </c>
    </row>
    <row r="35">
      <c r="A35" s="5">
        <v>46269.0</v>
      </c>
      <c r="B35" s="3" t="s">
        <v>196</v>
      </c>
      <c r="C35" s="3" t="s">
        <v>83</v>
      </c>
      <c r="D35" s="58">
        <f>HYPERLINK("https://drive.google.com/file/d/1DlOlwvd0TjwLsZaQUInhkULuiM3_IbOf/view",62780)</f>
        <v>62780</v>
      </c>
      <c r="E35" s="58">
        <f>HYPERLINK("https://drive.google.com/file/d/19xIrMn--zHfdTJ4-Oj4-vTD-hKAdke6J/view",29300)</f>
        <v>29300</v>
      </c>
      <c r="F35" s="20">
        <f t="shared" si="4"/>
        <v>15186.26016</v>
      </c>
      <c r="G35" s="16"/>
      <c r="H35" s="11">
        <f t="shared" si="5"/>
        <v>195.6847997</v>
      </c>
      <c r="I35" s="11">
        <f t="shared" si="6"/>
        <v>29.34841186</v>
      </c>
      <c r="J35" s="20">
        <f t="array" ref="J35">IF(F35="","",IF(ROW()=MAX(IF($C$28:$C$35=C35,ROW($C$28:$C$35),0)),MAX(0,IFERROR(VLOOKUP(C35,$A$10:$L$14,6,FALSE)-VLOOKUP(C35,$A$10:$L$14,5,FALSE),0)),0))</f>
        <v>16.89584</v>
      </c>
      <c r="K35" s="11">
        <f t="shared" si="7"/>
        <v>14944.33111</v>
      </c>
      <c r="L35" s="11">
        <f t="shared" si="8"/>
        <v>62.71144716</v>
      </c>
      <c r="M35" s="11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11">
        <f t="shared" si="9"/>
        <v>85.8</v>
      </c>
      <c r="O35" s="6">
        <v>0.504</v>
      </c>
    </row>
    <row r="36">
      <c r="A36" s="5"/>
      <c r="D36" s="11"/>
      <c r="E36" s="11"/>
      <c r="F36" s="20"/>
      <c r="G36" s="16"/>
      <c r="H36" s="11"/>
      <c r="I36" s="11"/>
      <c r="J36" s="11"/>
      <c r="K36" s="11"/>
      <c r="L36" s="11">
        <f t="shared" ref="L36:N36" si="10">SUM(L28:L35)</f>
        <v>644.1093682</v>
      </c>
      <c r="M36" s="11">
        <f t="shared" si="10"/>
        <v>4398</v>
      </c>
      <c r="N36" s="11">
        <f t="shared" si="10"/>
        <v>686.4</v>
      </c>
    </row>
    <row r="37">
      <c r="A37" s="5"/>
      <c r="D37" s="11"/>
      <c r="E37" s="11"/>
      <c r="F37" s="20"/>
      <c r="G37" s="16"/>
      <c r="H37" s="11"/>
      <c r="I37" s="11"/>
      <c r="J37" s="11"/>
      <c r="K37" s="11"/>
      <c r="L37" s="11" t="str">
        <f t="shared" ref="L37:L40" si="11">IF(F37="","",(F37-J37)/VLOOKUP(C37,$A$10:$L$14,5,FALSE)*VLOOKUP(C37,$A$10:$L$14,10,FALSE)*$O$8)</f>
        <v/>
      </c>
      <c r="M37" s="11" t="str">
        <f t="shared" ref="M37:M40" si="12">IF(F37="","",(F37-J37)/VLOOKUP(C37,$A$10:$L$14,5,FALSE)*VLOOKUP(C37,$A$10:$L$14,11,FALSE))</f>
        <v/>
      </c>
      <c r="N37" s="11" t="str">
        <f t="shared" ref="N37:N40" si="13">IF(F37="","",IFERROR(VLOOKUP(C37,$A$10:$L$14,12,FALSE),0)*$O$9)</f>
        <v/>
      </c>
    </row>
    <row r="38">
      <c r="A38" s="5"/>
      <c r="D38" s="11"/>
      <c r="E38" s="11"/>
      <c r="F38" s="20"/>
      <c r="G38" s="16"/>
      <c r="H38" s="11"/>
      <c r="I38" s="11"/>
      <c r="J38" s="11"/>
      <c r="K38" s="11"/>
      <c r="L38" s="11" t="str">
        <f t="shared" si="11"/>
        <v/>
      </c>
      <c r="M38" s="11" t="str">
        <f t="shared" si="12"/>
        <v/>
      </c>
      <c r="N38" s="11" t="str">
        <f t="shared" si="13"/>
        <v/>
      </c>
    </row>
    <row r="39">
      <c r="D39" s="11"/>
      <c r="E39" s="11"/>
      <c r="F39" s="11"/>
      <c r="G39" s="16"/>
      <c r="H39" s="11"/>
      <c r="I39" s="11"/>
      <c r="J39" s="11"/>
      <c r="K39" s="11"/>
      <c r="L39" s="11" t="str">
        <f t="shared" si="11"/>
        <v/>
      </c>
      <c r="M39" s="11" t="str">
        <f t="shared" si="12"/>
        <v/>
      </c>
      <c r="N39" s="11" t="str">
        <f t="shared" si="13"/>
        <v/>
      </c>
    </row>
    <row r="40">
      <c r="D40" s="11"/>
      <c r="E40" s="11"/>
      <c r="F40" s="11"/>
      <c r="G40" s="16"/>
      <c r="H40" s="11"/>
      <c r="I40" s="11"/>
      <c r="J40" s="11"/>
      <c r="K40" s="11"/>
      <c r="L40" s="11" t="str">
        <f t="shared" si="11"/>
        <v/>
      </c>
      <c r="M40" s="11" t="str">
        <f t="shared" si="12"/>
        <v/>
      </c>
      <c r="N40" s="11" t="str">
        <f t="shared" si="13"/>
        <v/>
      </c>
    </row>
    <row r="41">
      <c r="D41" s="11"/>
      <c r="E41" s="11"/>
      <c r="F41" s="11"/>
      <c r="G41" s="16"/>
    </row>
    <row r="42">
      <c r="A42" s="1" t="s">
        <v>197</v>
      </c>
      <c r="B42" s="2"/>
      <c r="C42" s="2"/>
      <c r="D42" s="40"/>
      <c r="E42" s="40"/>
      <c r="F42" s="40"/>
      <c r="G42" s="4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198</v>
      </c>
      <c r="B43" s="4" t="s">
        <v>15</v>
      </c>
      <c r="C43" s="4" t="s">
        <v>199</v>
      </c>
      <c r="D43" s="35" t="s">
        <v>20</v>
      </c>
      <c r="E43" s="35" t="s">
        <v>22</v>
      </c>
      <c r="F43" s="35" t="s">
        <v>23</v>
      </c>
      <c r="G43" s="35" t="s">
        <v>35</v>
      </c>
      <c r="H43" s="43" t="s">
        <v>37</v>
      </c>
      <c r="I43" s="43"/>
      <c r="J43" s="43"/>
      <c r="K43" s="43"/>
      <c r="L43" s="4"/>
      <c r="M43" s="4" t="s">
        <v>127</v>
      </c>
      <c r="N43" s="8"/>
      <c r="O43" s="8"/>
      <c r="P43" s="8"/>
      <c r="Q43" s="8"/>
      <c r="R43" s="8"/>
    </row>
    <row r="44">
      <c r="A44" s="11">
        <f>SUM(E17:E23)</f>
        <v>155880</v>
      </c>
      <c r="B44" s="11">
        <f>SUM(J28:J40)</f>
        <v>16.89584</v>
      </c>
      <c r="C44" s="14">
        <f>A44-B44</f>
        <v>155863.1042</v>
      </c>
      <c r="D44" s="11">
        <f t="shared" ref="D44:E44" si="14">SUM(H28:H40)</f>
        <v>2008.07786</v>
      </c>
      <c r="E44" s="11">
        <f t="shared" si="14"/>
        <v>301.1674702</v>
      </c>
      <c r="F44" s="11">
        <f>SUM(K28:K40)</f>
        <v>153355.7051</v>
      </c>
      <c r="G44" s="16" t="str">
        <f>IFERROR(AVERAGE(G28:G40),"")</f>
        <v/>
      </c>
      <c r="H44" s="36">
        <f>IFERROR(SUMPRODUCT(K28:K40,O28:O40)/SUM(K28:K40),"")</f>
        <v>0.504</v>
      </c>
      <c r="I44" s="16"/>
      <c r="J44" s="16"/>
      <c r="K44" s="16"/>
      <c r="L44" s="16"/>
      <c r="M44" s="18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11"/>
      <c r="E45" s="11"/>
      <c r="F45" s="11"/>
      <c r="G45" s="16"/>
    </row>
    <row r="46">
      <c r="D46" s="11"/>
      <c r="E46" s="11"/>
      <c r="F46" s="11"/>
      <c r="G46" s="16"/>
    </row>
    <row r="47">
      <c r="D47" s="11"/>
      <c r="E47" s="11"/>
      <c r="F47" s="11"/>
      <c r="G47" s="16"/>
    </row>
    <row r="48">
      <c r="D48" s="11"/>
      <c r="E48" s="11"/>
      <c r="F48" s="11"/>
      <c r="G48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16</v>
      </c>
      <c r="L6" s="3" t="s">
        <v>17</v>
      </c>
    </row>
    <row r="7">
      <c r="K7" s="3" t="s">
        <v>19</v>
      </c>
      <c r="L7" s="6">
        <v>0.00196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27</v>
      </c>
      <c r="B9" s="4" t="s">
        <v>29</v>
      </c>
      <c r="C9" s="9" t="s">
        <v>30</v>
      </c>
      <c r="D9" s="9" t="s">
        <v>31</v>
      </c>
      <c r="E9" s="4" t="s">
        <v>32</v>
      </c>
      <c r="F9" s="4" t="s">
        <v>33</v>
      </c>
      <c r="G9" s="9" t="s">
        <v>34</v>
      </c>
      <c r="H9" s="4" t="s">
        <v>35</v>
      </c>
      <c r="I9" s="4" t="s">
        <v>36</v>
      </c>
      <c r="J9" s="4" t="s">
        <v>20</v>
      </c>
      <c r="K9" s="4" t="s">
        <v>22</v>
      </c>
      <c r="L9" s="4" t="s">
        <v>23</v>
      </c>
      <c r="M9" s="4" t="s">
        <v>37</v>
      </c>
      <c r="N9" s="4" t="s">
        <v>38</v>
      </c>
    </row>
    <row r="10">
      <c r="A10" s="5">
        <v>46262.0</v>
      </c>
      <c r="B10" s="10" t="str">
        <f>HYPERLINK("https://drive.google.com/file/d/1fbBNoHCORi45PyQrJw48xrvh4BgwgekZ/view","2481-T")</f>
        <v>2481-T</v>
      </c>
      <c r="C10" s="12">
        <v>19.98</v>
      </c>
      <c r="D10" s="12">
        <f t="shared" ref="D10:D23" si="1">IF(C10="","",C10*1000)</f>
        <v>19980</v>
      </c>
      <c r="E10" s="11"/>
      <c r="F10" s="11"/>
      <c r="G10" s="12" t="str">
        <f t="shared" ref="G10:G23" si="2">IF(AND(E10&lt;&gt;"",F10&lt;&gt;""),(E10-F10)*$L$4,"")</f>
        <v/>
      </c>
      <c r="H10" s="16"/>
      <c r="J10" s="18">
        <f t="shared" ref="J10:J24" si="3">IF(D10="","",D10*$L$5)</f>
        <v>257.742</v>
      </c>
      <c r="K10" s="18">
        <f t="shared" ref="K10:K24" si="4">IF(D10="","",(D10-J10)*$L$7)</f>
        <v>38.65562568</v>
      </c>
      <c r="L10" s="11">
        <f t="shared" ref="L10:L24" si="5">IF(D10="","",D10-J10-K10)</f>
        <v>19683.60237</v>
      </c>
      <c r="M10" s="6">
        <v>0.504</v>
      </c>
      <c r="N10" s="3">
        <v>2197.0</v>
      </c>
    </row>
    <row r="11">
      <c r="A11" s="5">
        <v>46265.0</v>
      </c>
      <c r="B11" s="10" t="str">
        <f>HYPERLINK("https://drive.google.com/file/d/1xUvAg7VmARJGCElJzr9JD7encByoNZlB/view","2484-T")</f>
        <v>2484-T</v>
      </c>
      <c r="C11" s="12">
        <v>20.03</v>
      </c>
      <c r="D11" s="12">
        <f t="shared" si="1"/>
        <v>20030</v>
      </c>
      <c r="E11" s="11"/>
      <c r="F11" s="11"/>
      <c r="G11" s="12" t="str">
        <f t="shared" si="2"/>
        <v/>
      </c>
      <c r="H11" s="16"/>
      <c r="J11" s="18">
        <f t="shared" si="3"/>
        <v>258.387</v>
      </c>
      <c r="K11" s="18">
        <f t="shared" si="4"/>
        <v>38.75236148</v>
      </c>
      <c r="L11" s="11">
        <f t="shared" si="5"/>
        <v>19732.86064</v>
      </c>
      <c r="M11" s="6">
        <v>0.504</v>
      </c>
      <c r="N11" s="3">
        <v>2197.0</v>
      </c>
    </row>
    <row r="12">
      <c r="A12" s="5">
        <v>46262.0</v>
      </c>
      <c r="B12" s="10" t="str">
        <f>HYPERLINK("https://drive.google.com/file/d/1cd-Uvz7CxeDJALItrCOfMZVCJXH6mfVF/view","2485-T")</f>
        <v>2485-T</v>
      </c>
      <c r="C12" s="12">
        <v>20.04</v>
      </c>
      <c r="D12" s="12">
        <f t="shared" si="1"/>
        <v>20040</v>
      </c>
      <c r="E12" s="11"/>
      <c r="F12" s="11"/>
      <c r="G12" s="12" t="str">
        <f t="shared" si="2"/>
        <v/>
      </c>
      <c r="H12" s="16"/>
      <c r="J12" s="18">
        <f t="shared" si="3"/>
        <v>258.516</v>
      </c>
      <c r="K12" s="18">
        <f t="shared" si="4"/>
        <v>38.77170864</v>
      </c>
      <c r="L12" s="11">
        <f t="shared" si="5"/>
        <v>19742.71229</v>
      </c>
      <c r="M12" s="6">
        <v>0.504</v>
      </c>
      <c r="N12" s="3">
        <v>2197.0</v>
      </c>
    </row>
    <row r="13">
      <c r="A13" s="5">
        <v>46267.0</v>
      </c>
      <c r="B13" s="10" t="str">
        <f>HYPERLINK("https://drive.google.com/file/d/1xkxQc8johc4dh4T5fJ6xEm3HtZ7PRaZ1/view","2486-T")</f>
        <v>2486-T</v>
      </c>
      <c r="C13" s="12">
        <v>19.92</v>
      </c>
      <c r="D13" s="12">
        <f t="shared" si="1"/>
        <v>19920</v>
      </c>
      <c r="E13" s="11"/>
      <c r="F13" s="11"/>
      <c r="G13" s="12" t="str">
        <f t="shared" si="2"/>
        <v/>
      </c>
      <c r="H13" s="16"/>
      <c r="J13" s="18">
        <f t="shared" si="3"/>
        <v>256.968</v>
      </c>
      <c r="K13" s="18">
        <f t="shared" si="4"/>
        <v>38.53954272</v>
      </c>
      <c r="L13" s="11">
        <f t="shared" si="5"/>
        <v>19624.49246</v>
      </c>
      <c r="M13" s="6">
        <v>0.504</v>
      </c>
      <c r="N13" s="3">
        <v>2197.0</v>
      </c>
    </row>
    <row r="14">
      <c r="A14" s="5">
        <v>46263.0</v>
      </c>
      <c r="B14" s="10" t="str">
        <f>HYPERLINK("https://drive.google.com/file/d/1APBDf3mxzsPxltg3UvC9COM9xQ1kBG1G/view","2487-T")</f>
        <v>2487-T</v>
      </c>
      <c r="C14" s="12">
        <v>19.82</v>
      </c>
      <c r="D14" s="12">
        <f t="shared" si="1"/>
        <v>19820</v>
      </c>
      <c r="E14" s="11"/>
      <c r="F14" s="11"/>
      <c r="G14" s="12" t="str">
        <f t="shared" si="2"/>
        <v/>
      </c>
      <c r="H14" s="16"/>
      <c r="J14" s="18">
        <f t="shared" si="3"/>
        <v>255.678</v>
      </c>
      <c r="K14" s="18">
        <f t="shared" si="4"/>
        <v>38.34607112</v>
      </c>
      <c r="L14" s="11">
        <f t="shared" si="5"/>
        <v>19525.97593</v>
      </c>
      <c r="M14" s="6">
        <v>0.504</v>
      </c>
      <c r="N14" s="3">
        <v>2197.0</v>
      </c>
    </row>
    <row r="15">
      <c r="A15" s="5">
        <v>46267.0</v>
      </c>
      <c r="B15" s="10" t="str">
        <f>HYPERLINK("https://drive.google.com/file/d/1XiJX799OTZrJU2iSJOTt2IyrD6tGpEW8/view","2488-T")</f>
        <v>2488-T</v>
      </c>
      <c r="C15" s="12">
        <v>19.22</v>
      </c>
      <c r="D15" s="12">
        <f t="shared" si="1"/>
        <v>19220</v>
      </c>
      <c r="E15" s="11"/>
      <c r="F15" s="11"/>
      <c r="G15" s="12" t="str">
        <f t="shared" si="2"/>
        <v/>
      </c>
      <c r="H15" s="16"/>
      <c r="J15" s="18">
        <f t="shared" si="3"/>
        <v>247.938</v>
      </c>
      <c r="K15" s="18">
        <f t="shared" si="4"/>
        <v>37.18524152</v>
      </c>
      <c r="L15" s="11">
        <f t="shared" si="5"/>
        <v>18934.87676</v>
      </c>
      <c r="M15" s="6">
        <v>0.504</v>
      </c>
      <c r="N15" s="3">
        <v>2197.0</v>
      </c>
    </row>
    <row r="16">
      <c r="A16" s="27">
        <v>46267.0</v>
      </c>
      <c r="B16" s="10" t="str">
        <f>HYPERLINK("https://drive.google.com/file/d/19lTFJGKL-SjLFJNTKY8yTvB9FfscEQZQ/view","2489-T")</f>
        <v>2489-T</v>
      </c>
      <c r="C16" s="12">
        <v>19.87</v>
      </c>
      <c r="D16" s="29">
        <f t="shared" si="1"/>
        <v>19870</v>
      </c>
      <c r="E16" s="11"/>
      <c r="F16" s="11"/>
      <c r="G16" s="29" t="str">
        <f t="shared" si="2"/>
        <v/>
      </c>
      <c r="H16" s="16"/>
      <c r="J16" s="18">
        <f t="shared" si="3"/>
        <v>256.323</v>
      </c>
      <c r="K16" s="18">
        <f t="shared" si="4"/>
        <v>38.44280692</v>
      </c>
      <c r="L16" s="11">
        <f t="shared" si="5"/>
        <v>19575.23419</v>
      </c>
      <c r="M16" s="6">
        <v>0.504</v>
      </c>
      <c r="N16" s="3">
        <v>2197.0</v>
      </c>
    </row>
    <row r="17">
      <c r="A17" s="27">
        <v>46267.0</v>
      </c>
      <c r="B17" s="10" t="str">
        <f>HYPERLINK("https://drive.google.com/file/d/1ELwB0qCGfTUO26TzgLIsiZy7DX8u6cXI/view","2490-T")</f>
        <v>2490-T</v>
      </c>
      <c r="C17" s="12">
        <v>19.86</v>
      </c>
      <c r="D17" s="29">
        <f t="shared" si="1"/>
        <v>19860</v>
      </c>
      <c r="E17" s="11"/>
      <c r="F17" s="11"/>
      <c r="G17" s="29" t="str">
        <f t="shared" si="2"/>
        <v/>
      </c>
      <c r="H17" s="16"/>
      <c r="J17" s="18">
        <f t="shared" si="3"/>
        <v>256.194</v>
      </c>
      <c r="K17" s="18">
        <f t="shared" si="4"/>
        <v>38.42345976</v>
      </c>
      <c r="L17" s="11">
        <f t="shared" si="5"/>
        <v>19565.38254</v>
      </c>
      <c r="M17" s="6">
        <v>0.504</v>
      </c>
      <c r="N17" s="3">
        <v>2197.0</v>
      </c>
    </row>
    <row r="18">
      <c r="A18" s="27">
        <v>46267.0</v>
      </c>
      <c r="B18" s="10" t="str">
        <f>HYPERLINK("https://drive.google.com/file/d/191iaPmbGJiVdr_L4E-M1cAIczG5BvzVL/view","2491-T")</f>
        <v>2491-T</v>
      </c>
      <c r="C18" s="12">
        <v>19.92</v>
      </c>
      <c r="D18" s="29">
        <f t="shared" si="1"/>
        <v>19920</v>
      </c>
      <c r="E18" s="11"/>
      <c r="F18" s="11"/>
      <c r="G18" s="29" t="str">
        <f t="shared" si="2"/>
        <v/>
      </c>
      <c r="H18" s="16"/>
      <c r="J18" s="18">
        <f t="shared" si="3"/>
        <v>256.968</v>
      </c>
      <c r="K18" s="18">
        <f t="shared" si="4"/>
        <v>38.53954272</v>
      </c>
      <c r="L18" s="11">
        <f t="shared" si="5"/>
        <v>19624.49246</v>
      </c>
      <c r="M18" s="6">
        <v>0.504</v>
      </c>
      <c r="N18" s="3">
        <v>2197.0</v>
      </c>
    </row>
    <row r="19">
      <c r="A19" s="27">
        <v>46265.0</v>
      </c>
      <c r="B19" s="10" t="str">
        <f>HYPERLINK("https://drive.google.com/file/d/1TzEj5vflEwY_D_iYJInhSrFPov2l_RkP/view","2492-T")</f>
        <v>2492-T</v>
      </c>
      <c r="C19" s="12">
        <v>20.17</v>
      </c>
      <c r="D19" s="29">
        <f t="shared" si="1"/>
        <v>20170</v>
      </c>
      <c r="E19" s="11"/>
      <c r="F19" s="11"/>
      <c r="G19" s="29" t="str">
        <f t="shared" si="2"/>
        <v/>
      </c>
      <c r="H19" s="16"/>
      <c r="J19" s="18">
        <f t="shared" si="3"/>
        <v>260.193</v>
      </c>
      <c r="K19" s="18">
        <f t="shared" si="4"/>
        <v>39.02322172</v>
      </c>
      <c r="L19" s="11">
        <f t="shared" si="5"/>
        <v>19870.78378</v>
      </c>
      <c r="M19" s="6">
        <v>0.504</v>
      </c>
      <c r="N19" s="3">
        <v>2197.0</v>
      </c>
    </row>
    <row r="20">
      <c r="A20" s="27">
        <v>46265.0</v>
      </c>
      <c r="B20" s="10" t="str">
        <f>HYPERLINK("https://drive.google.com/file/d/1bYt02sn2j5EZfn1ZPAm8eMxVjivuv6U6/view","2493-T")</f>
        <v>2493-T</v>
      </c>
      <c r="C20" s="12">
        <v>19.32</v>
      </c>
      <c r="D20" s="29">
        <f t="shared" si="1"/>
        <v>19320</v>
      </c>
      <c r="E20" s="11"/>
      <c r="F20" s="11"/>
      <c r="G20" s="29" t="str">
        <f t="shared" si="2"/>
        <v/>
      </c>
      <c r="H20" s="16"/>
      <c r="J20" s="18">
        <f t="shared" si="3"/>
        <v>249.228</v>
      </c>
      <c r="K20" s="18">
        <f t="shared" si="4"/>
        <v>37.37871312</v>
      </c>
      <c r="L20" s="11">
        <f t="shared" si="5"/>
        <v>19033.39329</v>
      </c>
      <c r="M20" s="6">
        <v>0.504</v>
      </c>
      <c r="N20" s="3">
        <v>2197.0</v>
      </c>
    </row>
    <row r="21">
      <c r="A21" s="27">
        <v>46266.0</v>
      </c>
      <c r="B21" s="10" t="str">
        <f>HYPERLINK("https://drive.google.com/file/d/1re8INIKz3cECx28LPoSU7h_hjVWGB9Cq/view","2494-T")</f>
        <v>2494-T</v>
      </c>
      <c r="C21" s="12">
        <v>19.88</v>
      </c>
      <c r="D21" s="29">
        <f t="shared" si="1"/>
        <v>19880</v>
      </c>
      <c r="E21" s="11"/>
      <c r="F21" s="11"/>
      <c r="G21" s="29" t="str">
        <f t="shared" si="2"/>
        <v/>
      </c>
      <c r="H21" s="16"/>
      <c r="J21" s="18">
        <f t="shared" si="3"/>
        <v>256.452</v>
      </c>
      <c r="K21" s="18">
        <f t="shared" si="4"/>
        <v>38.46215408</v>
      </c>
      <c r="L21" s="11">
        <f t="shared" si="5"/>
        <v>19585.08585</v>
      </c>
      <c r="M21" s="6">
        <v>0.504</v>
      </c>
      <c r="N21" s="3">
        <v>2197.0</v>
      </c>
    </row>
    <row r="22">
      <c r="A22" s="27">
        <v>46268.0</v>
      </c>
      <c r="B22" s="10" t="str">
        <f>HYPERLINK("https://drive.google.com/file/d/1w10JWWfxG-ocjO30cVGUeRhf9Mqerinl/view","2495-T")</f>
        <v>2495-T</v>
      </c>
      <c r="C22" s="12">
        <v>19.99</v>
      </c>
      <c r="D22" s="29">
        <f t="shared" si="1"/>
        <v>19990</v>
      </c>
      <c r="E22" s="11"/>
      <c r="F22" s="11"/>
      <c r="G22" s="29" t="str">
        <f t="shared" si="2"/>
        <v/>
      </c>
      <c r="H22" s="16"/>
      <c r="J22" s="18">
        <f t="shared" si="3"/>
        <v>257.871</v>
      </c>
      <c r="K22" s="18">
        <f t="shared" si="4"/>
        <v>38.67497284</v>
      </c>
      <c r="L22" s="11">
        <f t="shared" si="5"/>
        <v>19693.45403</v>
      </c>
      <c r="M22" s="6">
        <v>0.504</v>
      </c>
      <c r="N22" s="3">
        <v>2197.0</v>
      </c>
    </row>
    <row r="23">
      <c r="A23" s="27">
        <v>46269.0</v>
      </c>
      <c r="B23" s="10" t="str">
        <f>HYPERLINK("https://drive.google.com/file/d/1zcCpdDAYVdNkm5jMzP1rbPhq36hE9cjm/view","2496-T")</f>
        <v>2496-T</v>
      </c>
      <c r="C23" s="12">
        <v>19.77</v>
      </c>
      <c r="D23" s="29">
        <f t="shared" si="1"/>
        <v>19770</v>
      </c>
      <c r="E23" s="11"/>
      <c r="F23" s="11"/>
      <c r="G23" s="29" t="str">
        <f t="shared" si="2"/>
        <v/>
      </c>
      <c r="H23" s="16"/>
      <c r="J23" s="18">
        <f t="shared" si="3"/>
        <v>255.033</v>
      </c>
      <c r="K23" s="18">
        <f t="shared" si="4"/>
        <v>38.24933532</v>
      </c>
      <c r="L23" s="11">
        <f t="shared" si="5"/>
        <v>19476.71766</v>
      </c>
      <c r="M23" s="6">
        <v>0.504</v>
      </c>
      <c r="N23" s="3">
        <v>2197.0</v>
      </c>
    </row>
    <row r="24">
      <c r="C24" s="29"/>
      <c r="D24" s="29"/>
      <c r="E24" s="11"/>
      <c r="F24" s="11"/>
      <c r="G24" s="29"/>
      <c r="H24" s="16"/>
      <c r="J24" s="18" t="str">
        <f t="shared" si="3"/>
        <v/>
      </c>
      <c r="K24" s="18" t="str">
        <f t="shared" si="4"/>
        <v/>
      </c>
      <c r="L24" s="18" t="str">
        <f t="shared" si="5"/>
        <v/>
      </c>
    </row>
    <row r="25">
      <c r="C25" s="11"/>
      <c r="D25" s="11"/>
      <c r="E25" s="11"/>
      <c r="F25" s="11"/>
      <c r="G25" s="11"/>
      <c r="H25" s="16"/>
      <c r="N25" s="39">
        <f>sum(N10:N23)</f>
        <v>30758</v>
      </c>
    </row>
    <row r="26">
      <c r="A26" s="1" t="s">
        <v>123</v>
      </c>
      <c r="B26" s="2"/>
      <c r="C26" s="40"/>
      <c r="D26" s="40"/>
      <c r="E26" s="40"/>
      <c r="F26" s="40"/>
      <c r="G26" s="40"/>
      <c r="H26" s="42"/>
      <c r="I26" s="2"/>
      <c r="J26" s="2"/>
      <c r="K26" s="2"/>
      <c r="L26" s="2"/>
      <c r="M26" s="2"/>
      <c r="N26" s="2"/>
    </row>
    <row r="27">
      <c r="A27" s="4" t="s">
        <v>124</v>
      </c>
      <c r="B27" s="4" t="s">
        <v>125</v>
      </c>
      <c r="C27" s="35" t="s">
        <v>18</v>
      </c>
      <c r="D27" s="35" t="s">
        <v>20</v>
      </c>
      <c r="E27" s="35" t="s">
        <v>22</v>
      </c>
      <c r="F27" s="35" t="s">
        <v>118</v>
      </c>
      <c r="G27" s="35" t="s">
        <v>23</v>
      </c>
      <c r="H27" s="43" t="s">
        <v>35</v>
      </c>
      <c r="I27" s="4" t="s">
        <v>126</v>
      </c>
      <c r="J27" s="4"/>
      <c r="K27" s="4" t="s">
        <v>127</v>
      </c>
      <c r="L27" s="8"/>
      <c r="M27" s="8"/>
      <c r="N27" s="8"/>
    </row>
    <row r="28">
      <c r="A28" s="11">
        <f>SUMIFS(D10:D24,B10:B24,"&lt;&gt;")</f>
        <v>277790</v>
      </c>
      <c r="B28" s="11">
        <f>SUMIFS(G10:G24,B10:B24,"&lt;&gt;")</f>
        <v>0</v>
      </c>
      <c r="C28" s="14">
        <f>A28</f>
        <v>277790</v>
      </c>
      <c r="D28" s="11">
        <f>C28*$L$5</f>
        <v>3583.491</v>
      </c>
      <c r="E28" s="20">
        <f>(C28-D28)*$L$7</f>
        <v>537.4447576</v>
      </c>
      <c r="F28" s="21">
        <v>0.0</v>
      </c>
      <c r="G28" s="47">
        <f>C28-D28-E28-F28</f>
        <v>273669.0642</v>
      </c>
      <c r="H28" s="16" t="str">
        <f>IFERROR(AVERAGE(H10:H24),"")</f>
        <v/>
      </c>
      <c r="I28" s="18">
        <f>IFERROR(SUMPRODUCT(L10:L24,M10:M24)/SUM(L10:L24),"")</f>
        <v>0.504</v>
      </c>
      <c r="K28" s="18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11"/>
      <c r="D29" s="11"/>
      <c r="E29" s="11"/>
      <c r="F29" s="11"/>
      <c r="G29" s="11"/>
      <c r="H29" s="16"/>
    </row>
    <row r="30">
      <c r="C30" s="11"/>
      <c r="D30" s="11"/>
      <c r="E30" s="11"/>
      <c r="F30" s="11"/>
      <c r="G30" s="11"/>
      <c r="H3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16</v>
      </c>
      <c r="L6" s="3" t="s">
        <v>17</v>
      </c>
    </row>
    <row r="7">
      <c r="K7" s="3" t="s">
        <v>49</v>
      </c>
      <c r="L7" s="6">
        <v>0.795241</v>
      </c>
    </row>
    <row r="8">
      <c r="A8" s="1" t="s">
        <v>52</v>
      </c>
      <c r="B8" s="2"/>
      <c r="C8" s="2"/>
      <c r="D8" s="2"/>
      <c r="E8" s="2"/>
      <c r="F8" s="2"/>
      <c r="G8" s="2"/>
      <c r="H8" s="2"/>
      <c r="I8" s="2"/>
      <c r="J8" s="1"/>
      <c r="K8" s="1" t="s">
        <v>57</v>
      </c>
      <c r="L8" s="15">
        <v>7.84</v>
      </c>
      <c r="M8" s="19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61</v>
      </c>
      <c r="C9" s="4"/>
      <c r="D9" s="4" t="s">
        <v>62</v>
      </c>
      <c r="E9" s="9"/>
      <c r="F9" s="4" t="s">
        <v>64</v>
      </c>
      <c r="G9" s="4"/>
      <c r="H9" s="4"/>
      <c r="I9" s="4"/>
      <c r="J9" s="8"/>
      <c r="K9" s="4" t="s">
        <v>65</v>
      </c>
      <c r="L9" s="8"/>
      <c r="M9" s="8"/>
    </row>
    <row r="10">
      <c r="A10" s="3" t="s">
        <v>66</v>
      </c>
      <c r="B10" s="3" t="s">
        <v>67</v>
      </c>
      <c r="C10" s="20" t="s">
        <v>68</v>
      </c>
      <c r="D10" s="20" t="s">
        <v>69</v>
      </c>
      <c r="E10" s="12" t="s">
        <v>70</v>
      </c>
      <c r="F10" s="20" t="s">
        <v>71</v>
      </c>
      <c r="G10" s="20" t="s">
        <v>72</v>
      </c>
      <c r="H10" s="21" t="s">
        <v>73</v>
      </c>
      <c r="I10" s="3" t="s">
        <v>74</v>
      </c>
      <c r="J10" s="3" t="s">
        <v>75</v>
      </c>
      <c r="K10" s="3" t="s">
        <v>76</v>
      </c>
      <c r="L10" s="6">
        <v>0.7128290192302931</v>
      </c>
      <c r="M10" s="10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6">
        <v>1165.0</v>
      </c>
      <c r="C11" s="20">
        <v>57.6</v>
      </c>
      <c r="D11" s="11">
        <f t="shared" ref="D11:D23" si="1">B11-C11</f>
        <v>1107.4</v>
      </c>
      <c r="E11" s="12">
        <f t="shared" ref="E11:E23" si="2">$L$8</f>
        <v>7.84</v>
      </c>
      <c r="F11" s="11">
        <f t="shared" ref="F11:F23" si="3">D11-E11</f>
        <v>1099.56</v>
      </c>
      <c r="G11" s="20" t="s">
        <v>79</v>
      </c>
      <c r="H11" s="24">
        <f>$L$14</f>
        <v>0.8498961226</v>
      </c>
      <c r="I11" s="18">
        <f t="shared" ref="I11:I23" si="4">IF(H11="","",H11*D11)</f>
        <v>941.1749662</v>
      </c>
      <c r="J11" s="18">
        <f t="shared" ref="J11:J23" si="5">2.5*$L$4</f>
        <v>1.13398</v>
      </c>
      <c r="K11" s="25" t="s">
        <v>81</v>
      </c>
      <c r="L11" s="6">
        <v>0.9748408534875329</v>
      </c>
      <c r="M11" s="10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6">
        <v>1135.0</v>
      </c>
      <c r="C12" s="20">
        <v>57.6</v>
      </c>
      <c r="D12" s="11">
        <f t="shared" si="1"/>
        <v>1077.4</v>
      </c>
      <c r="E12" s="12">
        <f t="shared" si="2"/>
        <v>7.84</v>
      </c>
      <c r="F12" s="11">
        <f t="shared" si="3"/>
        <v>1069.56</v>
      </c>
      <c r="G12" s="20" t="s">
        <v>85</v>
      </c>
      <c r="H12" s="24">
        <f t="shared" ref="H12:H15" si="6">$L$15</f>
        <v>0.790064533</v>
      </c>
      <c r="I12" s="18">
        <f t="shared" si="4"/>
        <v>851.2155278</v>
      </c>
      <c r="J12" s="18">
        <f t="shared" si="5"/>
        <v>1.13398</v>
      </c>
      <c r="K12" s="25" t="s">
        <v>88</v>
      </c>
      <c r="L12" s="6">
        <v>0.9721828239230533</v>
      </c>
      <c r="M12" s="10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6">
        <v>1111.0</v>
      </c>
      <c r="C13" s="20">
        <v>57.6</v>
      </c>
      <c r="D13" s="11">
        <f t="shared" si="1"/>
        <v>1053.4</v>
      </c>
      <c r="E13" s="12">
        <f t="shared" si="2"/>
        <v>7.84</v>
      </c>
      <c r="F13" s="11">
        <f t="shared" si="3"/>
        <v>1045.56</v>
      </c>
      <c r="G13" s="20" t="s">
        <v>89</v>
      </c>
      <c r="H13" s="24">
        <f t="shared" si="6"/>
        <v>0.790064533</v>
      </c>
      <c r="I13" s="18">
        <f t="shared" si="4"/>
        <v>832.253979</v>
      </c>
      <c r="J13" s="18">
        <f t="shared" si="5"/>
        <v>1.13398</v>
      </c>
      <c r="K13" s="25" t="s">
        <v>92</v>
      </c>
      <c r="L13" s="6">
        <v>0.9319944877512889</v>
      </c>
      <c r="M13" s="10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6">
        <v>1150.0</v>
      </c>
      <c r="C14" s="20">
        <v>57.6</v>
      </c>
      <c r="D14" s="11">
        <f t="shared" si="1"/>
        <v>1092.4</v>
      </c>
      <c r="E14" s="12">
        <f t="shared" si="2"/>
        <v>7.84</v>
      </c>
      <c r="F14" s="11">
        <f t="shared" si="3"/>
        <v>1084.56</v>
      </c>
      <c r="G14" s="20" t="s">
        <v>94</v>
      </c>
      <c r="H14" s="24">
        <f t="shared" si="6"/>
        <v>0.790064533</v>
      </c>
      <c r="I14" s="18">
        <f t="shared" si="4"/>
        <v>863.0664958</v>
      </c>
      <c r="J14" s="18">
        <f t="shared" si="5"/>
        <v>1.13398</v>
      </c>
      <c r="K14" s="25" t="s">
        <v>95</v>
      </c>
      <c r="L14" s="6">
        <v>0.84989612258998</v>
      </c>
      <c r="M14" s="10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6">
        <v>1140.0</v>
      </c>
      <c r="C15" s="20">
        <v>57.6</v>
      </c>
      <c r="D15" s="11">
        <f t="shared" si="1"/>
        <v>1082.4</v>
      </c>
      <c r="E15" s="12">
        <f t="shared" si="2"/>
        <v>7.84</v>
      </c>
      <c r="F15" s="11">
        <f t="shared" si="3"/>
        <v>1074.56</v>
      </c>
      <c r="G15" s="20" t="s">
        <v>105</v>
      </c>
      <c r="H15" s="24">
        <f t="shared" si="6"/>
        <v>0.790064533</v>
      </c>
      <c r="I15" s="18">
        <f t="shared" si="4"/>
        <v>855.1658505</v>
      </c>
      <c r="J15" s="18">
        <f t="shared" si="5"/>
        <v>1.13398</v>
      </c>
      <c r="K15" s="25" t="s">
        <v>107</v>
      </c>
      <c r="L15" s="6">
        <v>0.7900645329689984</v>
      </c>
      <c r="M15" s="10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6">
        <v>1138.0</v>
      </c>
      <c r="C16" s="20">
        <v>57.6</v>
      </c>
      <c r="D16" s="11">
        <f t="shared" si="1"/>
        <v>1080.4</v>
      </c>
      <c r="E16" s="29">
        <f t="shared" si="2"/>
        <v>7.84</v>
      </c>
      <c r="F16" s="11">
        <f t="shared" si="3"/>
        <v>1072.56</v>
      </c>
      <c r="G16" s="20" t="s">
        <v>108</v>
      </c>
      <c r="H16" s="24">
        <f t="shared" ref="H16:H21" si="7">$L$17</f>
        <v>0.6328458891</v>
      </c>
      <c r="I16" s="18">
        <f t="shared" si="4"/>
        <v>683.7266986</v>
      </c>
      <c r="J16" s="18">
        <f t="shared" si="5"/>
        <v>1.13398</v>
      </c>
      <c r="K16" s="25" t="s">
        <v>109</v>
      </c>
      <c r="L16" s="6">
        <v>0.7848323401347014</v>
      </c>
      <c r="M16" s="10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6">
        <v>1179.0</v>
      </c>
      <c r="C17" s="20">
        <v>57.6</v>
      </c>
      <c r="D17" s="11">
        <f t="shared" si="1"/>
        <v>1121.4</v>
      </c>
      <c r="E17" s="29">
        <f t="shared" si="2"/>
        <v>7.84</v>
      </c>
      <c r="F17" s="11">
        <f t="shared" si="3"/>
        <v>1113.56</v>
      </c>
      <c r="G17" s="20" t="s">
        <v>111</v>
      </c>
      <c r="H17" s="24">
        <f t="shared" si="7"/>
        <v>0.6328458891</v>
      </c>
      <c r="I17" s="18">
        <f t="shared" si="4"/>
        <v>709.6733801</v>
      </c>
      <c r="J17" s="18">
        <f t="shared" si="5"/>
        <v>1.13398</v>
      </c>
      <c r="K17" s="25" t="s">
        <v>114</v>
      </c>
      <c r="L17" s="6">
        <v>0.6328458891234968</v>
      </c>
      <c r="M17" s="10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6">
        <v>1220.0</v>
      </c>
      <c r="C18" s="20">
        <v>57.6</v>
      </c>
      <c r="D18" s="11">
        <f t="shared" si="1"/>
        <v>1162.4</v>
      </c>
      <c r="E18" s="29">
        <f t="shared" si="2"/>
        <v>7.84</v>
      </c>
      <c r="F18" s="11">
        <f t="shared" si="3"/>
        <v>1154.56</v>
      </c>
      <c r="G18" s="20" t="s">
        <v>130</v>
      </c>
      <c r="H18" s="24">
        <f t="shared" si="7"/>
        <v>0.6328458891</v>
      </c>
      <c r="I18" s="18">
        <f t="shared" si="4"/>
        <v>735.6200615</v>
      </c>
      <c r="J18" s="18">
        <f t="shared" si="5"/>
        <v>1.13398</v>
      </c>
      <c r="K18" s="25" t="s">
        <v>138</v>
      </c>
      <c r="L18" s="6">
        <v>1.1105355635937064</v>
      </c>
      <c r="M18" s="10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6">
        <v>1183.0</v>
      </c>
      <c r="C19" s="20">
        <v>57.6</v>
      </c>
      <c r="D19" s="11">
        <f t="shared" si="1"/>
        <v>1125.4</v>
      </c>
      <c r="E19" s="29">
        <f t="shared" si="2"/>
        <v>7.84</v>
      </c>
      <c r="F19" s="11">
        <f t="shared" si="3"/>
        <v>1117.56</v>
      </c>
      <c r="G19" s="20" t="s">
        <v>139</v>
      </c>
      <c r="H19" s="24">
        <f t="shared" si="7"/>
        <v>0.6328458891</v>
      </c>
      <c r="I19" s="18">
        <f t="shared" si="4"/>
        <v>712.2047636</v>
      </c>
      <c r="J19" s="18">
        <f t="shared" si="5"/>
        <v>1.13398</v>
      </c>
      <c r="K19" s="3" t="s">
        <v>140</v>
      </c>
      <c r="L19" s="18">
        <f>$L$7</f>
        <v>0.795241</v>
      </c>
      <c r="M19" s="50" t="s">
        <v>141</v>
      </c>
    </row>
    <row r="20">
      <c r="A20" s="3">
        <v>301190.0</v>
      </c>
      <c r="B20" s="6">
        <v>1194.0</v>
      </c>
      <c r="C20" s="20">
        <v>57.6</v>
      </c>
      <c r="D20" s="11">
        <f t="shared" si="1"/>
        <v>1136.4</v>
      </c>
      <c r="E20" s="29">
        <f t="shared" si="2"/>
        <v>7.84</v>
      </c>
      <c r="F20" s="11">
        <f t="shared" si="3"/>
        <v>1128.56</v>
      </c>
      <c r="G20" s="20" t="s">
        <v>148</v>
      </c>
      <c r="H20" s="24">
        <f t="shared" si="7"/>
        <v>0.6328458891</v>
      </c>
      <c r="I20" s="18">
        <f t="shared" si="4"/>
        <v>719.1660684</v>
      </c>
      <c r="J20" s="18">
        <f t="shared" si="5"/>
        <v>1.13398</v>
      </c>
    </row>
    <row r="21">
      <c r="A21" s="3">
        <v>301197.0</v>
      </c>
      <c r="B21" s="6">
        <v>1158.0</v>
      </c>
      <c r="C21" s="20">
        <v>57.6</v>
      </c>
      <c r="D21" s="11">
        <f t="shared" si="1"/>
        <v>1100.4</v>
      </c>
      <c r="E21" s="29">
        <f t="shared" si="2"/>
        <v>7.84</v>
      </c>
      <c r="F21" s="11">
        <f t="shared" si="3"/>
        <v>1092.56</v>
      </c>
      <c r="G21" s="20" t="s">
        <v>150</v>
      </c>
      <c r="H21" s="24">
        <f t="shared" si="7"/>
        <v>0.6328458891</v>
      </c>
      <c r="I21" s="18">
        <f t="shared" si="4"/>
        <v>696.3836164</v>
      </c>
      <c r="J21" s="18">
        <f t="shared" si="5"/>
        <v>1.13398</v>
      </c>
    </row>
    <row r="22">
      <c r="A22" s="3">
        <v>301257.0</v>
      </c>
      <c r="B22" s="6">
        <v>1115.0</v>
      </c>
      <c r="C22" s="20">
        <v>57.6</v>
      </c>
      <c r="D22" s="11">
        <f t="shared" si="1"/>
        <v>1057.4</v>
      </c>
      <c r="E22" s="29">
        <f t="shared" si="2"/>
        <v>7.84</v>
      </c>
      <c r="F22" s="11">
        <f t="shared" si="3"/>
        <v>1049.56</v>
      </c>
      <c r="G22" s="20" t="s">
        <v>151</v>
      </c>
      <c r="H22" s="24">
        <f t="shared" ref="H22:H23" si="8">$L$19</f>
        <v>0.795241</v>
      </c>
      <c r="I22" s="18">
        <f t="shared" si="4"/>
        <v>840.8878334</v>
      </c>
      <c r="J22" s="18">
        <f t="shared" si="5"/>
        <v>1.13398</v>
      </c>
    </row>
    <row r="23">
      <c r="A23" s="3">
        <v>301302.0</v>
      </c>
      <c r="B23" s="6">
        <v>1038.0</v>
      </c>
      <c r="C23" s="20">
        <v>57.6</v>
      </c>
      <c r="D23" s="11">
        <f t="shared" si="1"/>
        <v>980.4</v>
      </c>
      <c r="E23" s="29">
        <f t="shared" si="2"/>
        <v>7.84</v>
      </c>
      <c r="F23" s="11">
        <f t="shared" si="3"/>
        <v>972.56</v>
      </c>
      <c r="G23" s="20" t="s">
        <v>152</v>
      </c>
      <c r="H23" s="24">
        <f t="shared" si="8"/>
        <v>0.795241</v>
      </c>
      <c r="I23" s="18">
        <f t="shared" si="4"/>
        <v>779.6542764</v>
      </c>
      <c r="J23" s="18">
        <f t="shared" si="5"/>
        <v>1.13398</v>
      </c>
    </row>
    <row r="24">
      <c r="C24" s="11"/>
      <c r="D24" s="11"/>
      <c r="E24" s="29"/>
      <c r="F24" s="11"/>
      <c r="G24" s="11"/>
      <c r="H24" s="24"/>
    </row>
    <row r="25">
      <c r="A25" s="3" t="s">
        <v>90</v>
      </c>
      <c r="B25" s="18">
        <f t="shared" ref="B25:F25" si="9">SUM(B11:B23)</f>
        <v>14926</v>
      </c>
      <c r="C25" s="11">
        <f t="shared" si="9"/>
        <v>748.8</v>
      </c>
      <c r="D25" s="11">
        <f t="shared" si="9"/>
        <v>14177.2</v>
      </c>
      <c r="E25" s="29">
        <f t="shared" si="9"/>
        <v>101.92</v>
      </c>
      <c r="F25" s="11">
        <f t="shared" si="9"/>
        <v>14075.28</v>
      </c>
      <c r="G25" s="11"/>
      <c r="H25" s="24">
        <f>I25/D25</f>
        <v>0.7208894223</v>
      </c>
      <c r="I25" s="18">
        <f t="shared" ref="I25:J25" si="10">SUM(I11:I23)</f>
        <v>10220.19352</v>
      </c>
      <c r="J25" s="18">
        <f t="shared" si="10"/>
        <v>14.74174</v>
      </c>
    </row>
    <row r="26">
      <c r="C26" s="11"/>
      <c r="D26" s="11"/>
      <c r="E26" s="29"/>
      <c r="F26" s="11"/>
      <c r="G26" s="11"/>
      <c r="H26" s="16"/>
    </row>
    <row r="27">
      <c r="E27" s="29"/>
      <c r="F27" s="11"/>
      <c r="G27" s="11"/>
      <c r="H27" s="16"/>
    </row>
    <row r="28">
      <c r="E28" s="29"/>
      <c r="F28" s="11"/>
      <c r="G28" s="11"/>
      <c r="H28" s="16"/>
    </row>
    <row r="29">
      <c r="E29" s="29"/>
      <c r="F29" s="11"/>
      <c r="G29" s="11"/>
      <c r="H29" s="16"/>
    </row>
    <row r="30">
      <c r="C30" s="11"/>
      <c r="D30" s="11"/>
      <c r="E30" s="11"/>
      <c r="F30" s="11"/>
      <c r="G30" s="11"/>
      <c r="H30" s="16"/>
    </row>
    <row r="31">
      <c r="A31" s="1" t="s">
        <v>143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158</v>
      </c>
      <c r="B32" s="3" t="s">
        <v>159</v>
      </c>
      <c r="C32" s="20" t="s">
        <v>48</v>
      </c>
      <c r="D32" s="35" t="s">
        <v>160</v>
      </c>
      <c r="E32" s="16"/>
      <c r="F32" s="16"/>
    </row>
    <row r="33">
      <c r="A33" s="18">
        <f>B25</f>
        <v>14926</v>
      </c>
      <c r="B33" s="11">
        <f>SUM(D11:D23)</f>
        <v>14177.2</v>
      </c>
      <c r="C33" s="11">
        <f>IF(D33=0,"",B33-D33)</f>
        <v>101.92</v>
      </c>
      <c r="D33" s="69">
        <f>SUM(F11:F23)</f>
        <v>14075.28</v>
      </c>
    </row>
  </sheetData>
  <hyperlinks>
    <hyperlink r:id="rId1" ref="M1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7</v>
      </c>
    </row>
    <row r="3">
      <c r="A3" s="3" t="s">
        <v>6</v>
      </c>
      <c r="B3" s="5">
        <v>46263.0</v>
      </c>
      <c r="J3" s="4"/>
      <c r="L3" s="3" t="s">
        <v>9</v>
      </c>
      <c r="M3" s="6">
        <v>2.20462</v>
      </c>
    </row>
    <row r="4">
      <c r="A4" s="3" t="s">
        <v>8</v>
      </c>
      <c r="B4" s="5">
        <v>46270.0</v>
      </c>
      <c r="J4" s="4"/>
      <c r="L4" s="3" t="s">
        <v>11</v>
      </c>
      <c r="M4" s="6">
        <v>0.453592</v>
      </c>
    </row>
    <row r="5">
      <c r="J5" s="4"/>
      <c r="L5" s="3" t="s">
        <v>13</v>
      </c>
      <c r="M5" s="6">
        <v>0.0129</v>
      </c>
    </row>
    <row r="6">
      <c r="J6" s="4"/>
      <c r="L6" s="3" t="s">
        <v>16</v>
      </c>
      <c r="M6" s="3" t="s">
        <v>17</v>
      </c>
    </row>
    <row r="7">
      <c r="L7" s="3" t="s">
        <v>103</v>
      </c>
      <c r="M7" s="6">
        <v>0.004</v>
      </c>
    </row>
    <row r="8">
      <c r="A8" s="1" t="s">
        <v>131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27</v>
      </c>
      <c r="B9" s="4" t="s">
        <v>132</v>
      </c>
      <c r="C9" s="9" t="s">
        <v>133</v>
      </c>
      <c r="D9" s="9" t="s">
        <v>134</v>
      </c>
      <c r="E9" s="4" t="s">
        <v>135</v>
      </c>
      <c r="F9" s="4" t="s">
        <v>136</v>
      </c>
      <c r="G9" s="9" t="s">
        <v>35</v>
      </c>
      <c r="H9" s="4" t="s">
        <v>36</v>
      </c>
      <c r="I9" s="4" t="s">
        <v>37</v>
      </c>
      <c r="J9" s="4" t="s">
        <v>102</v>
      </c>
      <c r="K9" s="4" t="s">
        <v>137</v>
      </c>
      <c r="L9" s="8"/>
      <c r="M9" s="8"/>
    </row>
    <row r="10">
      <c r="A10" s="5"/>
      <c r="C10" s="12"/>
      <c r="D10" s="12"/>
      <c r="E10" s="11"/>
      <c r="F10" s="11"/>
      <c r="G10" s="12"/>
    </row>
    <row r="11">
      <c r="A11" s="5"/>
      <c r="C11" s="12"/>
      <c r="D11" s="12"/>
      <c r="E11" s="11"/>
      <c r="F11" s="11"/>
      <c r="G11" s="12"/>
    </row>
    <row r="12">
      <c r="A12" s="5"/>
      <c r="C12" s="12"/>
      <c r="D12" s="12"/>
      <c r="E12" s="11"/>
      <c r="F12" s="11"/>
      <c r="G12" s="12"/>
    </row>
    <row r="13">
      <c r="A13" s="5"/>
      <c r="C13" s="12"/>
      <c r="D13" s="12"/>
      <c r="E13" s="11"/>
      <c r="F13" s="11"/>
      <c r="G13" s="12"/>
    </row>
    <row r="14">
      <c r="C14" s="29"/>
      <c r="D14" s="29"/>
      <c r="E14" s="11"/>
      <c r="F14" s="11"/>
      <c r="G14" s="29"/>
    </row>
    <row r="15">
      <c r="C15" s="29"/>
      <c r="D15" s="29"/>
      <c r="E15" s="11"/>
      <c r="F15" s="11"/>
      <c r="G15" s="29"/>
    </row>
    <row r="16">
      <c r="C16" s="29"/>
      <c r="D16" s="29"/>
      <c r="E16" s="11"/>
      <c r="F16" s="11"/>
      <c r="G16" s="29"/>
    </row>
    <row r="17">
      <c r="C17" s="29"/>
      <c r="D17" s="29"/>
      <c r="E17" s="11"/>
      <c r="F17" s="11"/>
      <c r="G17" s="29"/>
    </row>
    <row r="18">
      <c r="C18" s="29"/>
      <c r="D18" s="29"/>
      <c r="E18" s="11"/>
      <c r="F18" s="11"/>
      <c r="G18" s="29"/>
    </row>
    <row r="19">
      <c r="C19" s="29"/>
      <c r="D19" s="29"/>
      <c r="E19" s="11"/>
      <c r="F19" s="11"/>
      <c r="G19" s="29"/>
    </row>
    <row r="20">
      <c r="C20" s="29"/>
      <c r="D20" s="29"/>
      <c r="E20" s="11"/>
      <c r="F20" s="11"/>
      <c r="G20" s="29"/>
    </row>
    <row r="21">
      <c r="C21" s="29"/>
      <c r="D21" s="29"/>
      <c r="E21" s="11"/>
      <c r="F21" s="11"/>
      <c r="G21" s="29"/>
    </row>
    <row r="22">
      <c r="C22" s="29"/>
      <c r="D22" s="29"/>
      <c r="E22" s="11"/>
      <c r="F22" s="11"/>
      <c r="G22" s="29"/>
    </row>
    <row r="23">
      <c r="C23" s="29"/>
      <c r="D23" s="29"/>
      <c r="E23" s="11"/>
      <c r="F23" s="11"/>
      <c r="G23" s="29"/>
    </row>
    <row r="24">
      <c r="C24" s="29"/>
      <c r="D24" s="29"/>
      <c r="E24" s="11"/>
      <c r="F24" s="11"/>
      <c r="G24" s="29"/>
    </row>
    <row r="25">
      <c r="C25" s="11"/>
      <c r="D25" s="11"/>
      <c r="E25" s="11"/>
      <c r="F25" s="11"/>
      <c r="G25" s="11"/>
    </row>
    <row r="26">
      <c r="A26" s="1"/>
      <c r="B26" s="2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</row>
    <row r="27">
      <c r="A27" s="4"/>
      <c r="B27" s="4"/>
      <c r="C27" s="35"/>
      <c r="D27" s="35"/>
      <c r="E27" s="35"/>
      <c r="F27" s="35"/>
      <c r="G27" s="35"/>
      <c r="H27" s="4"/>
      <c r="I27" s="8"/>
      <c r="J27" s="8"/>
      <c r="K27" s="8"/>
      <c r="L27" s="8"/>
      <c r="M27" s="8"/>
    </row>
    <row r="28">
      <c r="A28" s="11"/>
      <c r="B28" s="11"/>
      <c r="C28" s="14"/>
      <c r="D28" s="11"/>
      <c r="E28" s="20"/>
      <c r="F28" s="20"/>
      <c r="G28" s="11"/>
    </row>
    <row r="29">
      <c r="C29" s="11"/>
      <c r="D29" s="11"/>
      <c r="E29" s="11"/>
      <c r="F29" s="11"/>
      <c r="G29" s="11"/>
    </row>
    <row r="30">
      <c r="C30" s="11"/>
      <c r="D30" s="11"/>
      <c r="E30" s="11"/>
      <c r="F30" s="11"/>
      <c r="G30" s="11"/>
    </row>
    <row r="31">
      <c r="A31" s="3" t="s">
        <v>143</v>
      </c>
    </row>
    <row r="32">
      <c r="A32" s="3" t="s">
        <v>144</v>
      </c>
      <c r="B32" s="3" t="s">
        <v>20</v>
      </c>
      <c r="C32" s="3" t="s">
        <v>23</v>
      </c>
      <c r="D32" s="3" t="s">
        <v>35</v>
      </c>
      <c r="E32" s="3" t="s">
        <v>126</v>
      </c>
      <c r="F32" s="3"/>
      <c r="G32" s="3" t="s">
        <v>145</v>
      </c>
    </row>
    <row r="33">
      <c r="A33" s="18">
        <f>SUMIFS(F10:F29,B10:B29,"&lt;&gt;")</f>
        <v>0</v>
      </c>
      <c r="B33" s="18">
        <f>A33*$M$5</f>
        <v>0</v>
      </c>
      <c r="C33" s="18">
        <f>A33-B33</f>
        <v>0</v>
      </c>
      <c r="D33" s="18" t="str">
        <f>IFERROR(AVERAGE(G10:G29),"")</f>
        <v/>
      </c>
      <c r="E33" s="18" t="str">
        <f>IFERROR(__xludf.DUMMYFUNCTION("IFERROR(AVERAGE.WEIGHTED(I10:I29,F10:F29),"""")"),"")</f>
        <v/>
      </c>
      <c r="G33" s="18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16</v>
      </c>
      <c r="L6" s="3" t="s">
        <v>17</v>
      </c>
    </row>
    <row r="8">
      <c r="A8" s="1" t="s">
        <v>146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61</v>
      </c>
      <c r="C9" s="49"/>
      <c r="D9" s="49" t="s">
        <v>147</v>
      </c>
      <c r="E9" s="4"/>
      <c r="F9" s="4" t="s">
        <v>64</v>
      </c>
      <c r="G9" s="4"/>
      <c r="H9" s="4"/>
      <c r="I9" s="4"/>
    </row>
    <row r="10">
      <c r="A10" s="51" t="s">
        <v>66</v>
      </c>
      <c r="B10" s="52" t="s">
        <v>67</v>
      </c>
      <c r="C10" s="52" t="s">
        <v>68</v>
      </c>
      <c r="D10" s="52" t="s">
        <v>69</v>
      </c>
      <c r="E10" s="52" t="s">
        <v>149</v>
      </c>
      <c r="F10" s="52" t="s">
        <v>71</v>
      </c>
      <c r="G10" s="4" t="s">
        <v>72</v>
      </c>
      <c r="H10" s="4" t="s">
        <v>73</v>
      </c>
      <c r="I10" s="4" t="s">
        <v>74</v>
      </c>
      <c r="J10" s="4" t="s">
        <v>75</v>
      </c>
    </row>
    <row r="11">
      <c r="A11" s="53"/>
      <c r="B11" s="54"/>
      <c r="C11" s="55"/>
      <c r="D11" s="54">
        <f t="shared" ref="D11:D51" si="1">B11-C11</f>
        <v>0</v>
      </c>
      <c r="E11" s="54"/>
      <c r="F11" s="54">
        <f t="shared" ref="F11:F51" si="2">B11-E11</f>
        <v>0</v>
      </c>
      <c r="H11" s="6">
        <v>0.1575553394801048</v>
      </c>
      <c r="I11" s="18">
        <f t="shared" ref="I11:I51" si="3">H11*D11</f>
        <v>0</v>
      </c>
      <c r="J11" s="18">
        <f t="shared" ref="J11:J51" si="4">2.5*$L$4</f>
        <v>1.13398</v>
      </c>
    </row>
    <row r="12">
      <c r="A12" s="53"/>
      <c r="B12" s="54"/>
      <c r="C12" s="55"/>
      <c r="D12" s="55">
        <f t="shared" si="1"/>
        <v>0</v>
      </c>
      <c r="E12" s="56"/>
      <c r="F12" s="54">
        <f t="shared" si="2"/>
        <v>0</v>
      </c>
      <c r="H12" s="6">
        <v>0.1575553394801048</v>
      </c>
      <c r="I12" s="18">
        <f t="shared" si="3"/>
        <v>0</v>
      </c>
      <c r="J12" s="18">
        <f t="shared" si="4"/>
        <v>1.13398</v>
      </c>
    </row>
    <row r="13">
      <c r="A13" s="53"/>
      <c r="B13" s="54"/>
      <c r="C13" s="55"/>
      <c r="D13" s="54">
        <f t="shared" si="1"/>
        <v>0</v>
      </c>
      <c r="E13" s="54"/>
      <c r="F13" s="54">
        <f t="shared" si="2"/>
        <v>0</v>
      </c>
      <c r="H13" s="6">
        <v>0.1575553394801048</v>
      </c>
      <c r="I13" s="18">
        <f t="shared" si="3"/>
        <v>0</v>
      </c>
      <c r="J13" s="18">
        <f t="shared" si="4"/>
        <v>1.13398</v>
      </c>
    </row>
    <row r="14">
      <c r="A14" s="53"/>
      <c r="B14" s="54"/>
      <c r="C14" s="55"/>
      <c r="D14" s="54">
        <f t="shared" si="1"/>
        <v>0</v>
      </c>
      <c r="E14" s="54"/>
      <c r="F14" s="54">
        <f t="shared" si="2"/>
        <v>0</v>
      </c>
      <c r="H14" s="6">
        <v>0.1575553394801048</v>
      </c>
      <c r="I14" s="18">
        <f t="shared" si="3"/>
        <v>0</v>
      </c>
      <c r="J14" s="18">
        <f t="shared" si="4"/>
        <v>1.13398</v>
      </c>
    </row>
    <row r="15">
      <c r="A15" s="53"/>
      <c r="B15" s="54"/>
      <c r="C15" s="55"/>
      <c r="D15" s="54">
        <f t="shared" si="1"/>
        <v>0</v>
      </c>
      <c r="E15" s="54"/>
      <c r="F15" s="54">
        <f t="shared" si="2"/>
        <v>0</v>
      </c>
      <c r="H15" s="6">
        <v>0.1575553394801048</v>
      </c>
      <c r="I15" s="18">
        <f t="shared" si="3"/>
        <v>0</v>
      </c>
      <c r="J15" s="18">
        <f t="shared" si="4"/>
        <v>1.13398</v>
      </c>
    </row>
    <row r="16">
      <c r="A16" s="53"/>
      <c r="B16" s="54"/>
      <c r="C16" s="55"/>
      <c r="D16" s="54">
        <f t="shared" si="1"/>
        <v>0</v>
      </c>
      <c r="E16" s="54"/>
      <c r="F16" s="54">
        <f t="shared" si="2"/>
        <v>0</v>
      </c>
      <c r="H16" s="6">
        <v>0.1575553394801048</v>
      </c>
      <c r="I16" s="18">
        <f t="shared" si="3"/>
        <v>0</v>
      </c>
      <c r="J16" s="18">
        <f t="shared" si="4"/>
        <v>1.13398</v>
      </c>
    </row>
    <row r="17">
      <c r="A17" s="53"/>
      <c r="B17" s="54"/>
      <c r="C17" s="55"/>
      <c r="D17" s="54">
        <f t="shared" si="1"/>
        <v>0</v>
      </c>
      <c r="E17" s="54"/>
      <c r="F17" s="54">
        <f t="shared" si="2"/>
        <v>0</v>
      </c>
      <c r="H17" s="6">
        <v>0.1575553394801048</v>
      </c>
      <c r="I17" s="18">
        <f t="shared" si="3"/>
        <v>0</v>
      </c>
      <c r="J17" s="18">
        <f t="shared" si="4"/>
        <v>1.13398</v>
      </c>
    </row>
    <row r="18">
      <c r="A18" s="53"/>
      <c r="B18" s="54"/>
      <c r="C18" s="55"/>
      <c r="D18" s="54">
        <f t="shared" si="1"/>
        <v>0</v>
      </c>
      <c r="E18" s="54"/>
      <c r="F18" s="54">
        <f t="shared" si="2"/>
        <v>0</v>
      </c>
      <c r="H18" s="6">
        <v>0.1575553394801048</v>
      </c>
      <c r="I18" s="18">
        <f t="shared" si="3"/>
        <v>0</v>
      </c>
      <c r="J18" s="18">
        <f t="shared" si="4"/>
        <v>1.13398</v>
      </c>
    </row>
    <row r="19">
      <c r="A19" s="53"/>
      <c r="B19" s="54"/>
      <c r="C19" s="55"/>
      <c r="D19" s="54">
        <f t="shared" si="1"/>
        <v>0</v>
      </c>
      <c r="E19" s="54"/>
      <c r="F19" s="54">
        <f t="shared" si="2"/>
        <v>0</v>
      </c>
      <c r="H19" s="6">
        <v>0.1575553394801048</v>
      </c>
      <c r="I19" s="18">
        <f t="shared" si="3"/>
        <v>0</v>
      </c>
      <c r="J19" s="18">
        <f t="shared" si="4"/>
        <v>1.13398</v>
      </c>
    </row>
    <row r="20">
      <c r="A20" s="53"/>
      <c r="B20" s="54"/>
      <c r="C20" s="55"/>
      <c r="D20" s="54">
        <f t="shared" si="1"/>
        <v>0</v>
      </c>
      <c r="E20" s="56"/>
      <c r="F20" s="54">
        <f t="shared" si="2"/>
        <v>0</v>
      </c>
      <c r="H20" s="6">
        <v>0.1575553394801048</v>
      </c>
      <c r="I20" s="18">
        <f t="shared" si="3"/>
        <v>0</v>
      </c>
      <c r="J20" s="18">
        <f t="shared" si="4"/>
        <v>1.13398</v>
      </c>
    </row>
    <row r="21">
      <c r="A21" s="53"/>
      <c r="B21" s="54"/>
      <c r="C21" s="55"/>
      <c r="D21" s="54">
        <f t="shared" si="1"/>
        <v>0</v>
      </c>
      <c r="E21" s="54"/>
      <c r="F21" s="54">
        <f t="shared" si="2"/>
        <v>0</v>
      </c>
      <c r="H21" s="6">
        <v>0.1575553394801048</v>
      </c>
      <c r="I21" s="18">
        <f t="shared" si="3"/>
        <v>0</v>
      </c>
      <c r="J21" s="18">
        <f t="shared" si="4"/>
        <v>1.13398</v>
      </c>
    </row>
    <row r="22">
      <c r="A22" s="53"/>
      <c r="B22" s="54"/>
      <c r="C22" s="55"/>
      <c r="D22" s="54">
        <f t="shared" si="1"/>
        <v>0</v>
      </c>
      <c r="E22" s="54"/>
      <c r="F22" s="54">
        <f t="shared" si="2"/>
        <v>0</v>
      </c>
      <c r="H22" s="6">
        <v>0.1575553394801048</v>
      </c>
      <c r="I22" s="18">
        <f t="shared" si="3"/>
        <v>0</v>
      </c>
      <c r="J22" s="18">
        <f t="shared" si="4"/>
        <v>1.13398</v>
      </c>
    </row>
    <row r="23">
      <c r="A23" s="53"/>
      <c r="B23" s="54"/>
      <c r="C23" s="55"/>
      <c r="D23" s="54">
        <f t="shared" si="1"/>
        <v>0</v>
      </c>
      <c r="E23" s="54"/>
      <c r="F23" s="54">
        <f t="shared" si="2"/>
        <v>0</v>
      </c>
      <c r="H23" s="6">
        <v>0.1575553394801048</v>
      </c>
      <c r="I23" s="18">
        <f t="shared" si="3"/>
        <v>0</v>
      </c>
      <c r="J23" s="18">
        <f t="shared" si="4"/>
        <v>1.13398</v>
      </c>
    </row>
    <row r="24">
      <c r="A24" s="53"/>
      <c r="B24" s="54"/>
      <c r="C24" s="55"/>
      <c r="D24" s="54">
        <f t="shared" si="1"/>
        <v>0</v>
      </c>
      <c r="E24" s="54"/>
      <c r="F24" s="54">
        <f t="shared" si="2"/>
        <v>0</v>
      </c>
      <c r="H24" s="6">
        <v>0.1575553394801048</v>
      </c>
      <c r="I24" s="18">
        <f t="shared" si="3"/>
        <v>0</v>
      </c>
      <c r="J24" s="18">
        <f t="shared" si="4"/>
        <v>1.13398</v>
      </c>
    </row>
    <row r="25">
      <c r="A25" s="53"/>
      <c r="B25" s="54"/>
      <c r="C25" s="55"/>
      <c r="D25" s="54">
        <f t="shared" si="1"/>
        <v>0</v>
      </c>
      <c r="E25" s="54"/>
      <c r="F25" s="54">
        <f t="shared" si="2"/>
        <v>0</v>
      </c>
      <c r="H25" s="6">
        <v>0.1575553394801048</v>
      </c>
      <c r="I25" s="18">
        <f t="shared" si="3"/>
        <v>0</v>
      </c>
      <c r="J25" s="18">
        <f t="shared" si="4"/>
        <v>1.13398</v>
      </c>
    </row>
    <row r="26">
      <c r="A26" s="53"/>
      <c r="B26" s="54"/>
      <c r="C26" s="55"/>
      <c r="D26" s="54">
        <f t="shared" si="1"/>
        <v>0</v>
      </c>
      <c r="E26" s="54"/>
      <c r="F26" s="54">
        <f t="shared" si="2"/>
        <v>0</v>
      </c>
      <c r="H26" s="6">
        <v>0.1575553394801048</v>
      </c>
      <c r="I26" s="18">
        <f t="shared" si="3"/>
        <v>0</v>
      </c>
      <c r="J26" s="18">
        <f t="shared" si="4"/>
        <v>1.13398</v>
      </c>
    </row>
    <row r="27">
      <c r="A27" s="53"/>
      <c r="B27" s="54"/>
      <c r="C27" s="55"/>
      <c r="D27" s="54">
        <f t="shared" si="1"/>
        <v>0</v>
      </c>
      <c r="E27" s="54"/>
      <c r="F27" s="54">
        <f t="shared" si="2"/>
        <v>0</v>
      </c>
      <c r="H27" s="6">
        <v>0.1575553394801048</v>
      </c>
      <c r="I27" s="18">
        <f t="shared" si="3"/>
        <v>0</v>
      </c>
      <c r="J27" s="18">
        <f t="shared" si="4"/>
        <v>1.13398</v>
      </c>
    </row>
    <row r="28">
      <c r="A28" s="53"/>
      <c r="B28" s="54"/>
      <c r="C28" s="55"/>
      <c r="D28" s="54">
        <f t="shared" si="1"/>
        <v>0</v>
      </c>
      <c r="E28" s="54"/>
      <c r="F28" s="54">
        <f t="shared" si="2"/>
        <v>0</v>
      </c>
      <c r="H28" s="6">
        <v>0.11056982394624702</v>
      </c>
      <c r="I28" s="18">
        <f t="shared" si="3"/>
        <v>0</v>
      </c>
      <c r="J28" s="18">
        <f t="shared" si="4"/>
        <v>1.13398</v>
      </c>
    </row>
    <row r="29">
      <c r="A29" s="53"/>
      <c r="B29" s="54"/>
      <c r="C29" s="55"/>
      <c r="D29" s="54">
        <f t="shared" si="1"/>
        <v>0</v>
      </c>
      <c r="E29" s="54"/>
      <c r="F29" s="54">
        <f t="shared" si="2"/>
        <v>0</v>
      </c>
      <c r="H29" s="6">
        <v>0.11056982394624702</v>
      </c>
      <c r="I29" s="18">
        <f t="shared" si="3"/>
        <v>0</v>
      </c>
      <c r="J29" s="18">
        <f t="shared" si="4"/>
        <v>1.13398</v>
      </c>
    </row>
    <row r="30">
      <c r="A30" s="53"/>
      <c r="B30" s="54"/>
      <c r="C30" s="55"/>
      <c r="D30" s="54">
        <f t="shared" si="1"/>
        <v>0</v>
      </c>
      <c r="E30" s="54"/>
      <c r="F30" s="54">
        <f t="shared" si="2"/>
        <v>0</v>
      </c>
      <c r="H30" s="6">
        <v>0.11056982394624702</v>
      </c>
      <c r="I30" s="18">
        <f t="shared" si="3"/>
        <v>0</v>
      </c>
      <c r="J30" s="18">
        <f t="shared" si="4"/>
        <v>1.13398</v>
      </c>
    </row>
    <row r="31">
      <c r="A31" s="53"/>
      <c r="B31" s="54"/>
      <c r="C31" s="55"/>
      <c r="D31" s="54">
        <f t="shared" si="1"/>
        <v>0</v>
      </c>
      <c r="E31" s="54"/>
      <c r="F31" s="54">
        <f t="shared" si="2"/>
        <v>0</v>
      </c>
      <c r="H31" s="6">
        <v>0.11056982394624702</v>
      </c>
      <c r="I31" s="18">
        <f t="shared" si="3"/>
        <v>0</v>
      </c>
      <c r="J31" s="18">
        <f t="shared" si="4"/>
        <v>1.13398</v>
      </c>
    </row>
    <row r="32">
      <c r="A32" s="53"/>
      <c r="B32" s="60"/>
      <c r="C32" s="55"/>
      <c r="D32" s="54">
        <f t="shared" si="1"/>
        <v>0</v>
      </c>
      <c r="E32" s="56"/>
      <c r="F32" s="54">
        <f t="shared" si="2"/>
        <v>0</v>
      </c>
      <c r="G32" s="61"/>
      <c r="H32" s="62">
        <v>0.11056982394624702</v>
      </c>
      <c r="I32" s="18">
        <f t="shared" si="3"/>
        <v>0</v>
      </c>
      <c r="J32" s="18">
        <f t="shared" si="4"/>
        <v>1.13398</v>
      </c>
    </row>
    <row r="33">
      <c r="A33" s="53"/>
      <c r="B33" s="63"/>
      <c r="C33" s="55"/>
      <c r="D33" s="54">
        <f t="shared" si="1"/>
        <v>0</v>
      </c>
      <c r="E33" s="54"/>
      <c r="F33" s="54">
        <f t="shared" si="2"/>
        <v>0</v>
      </c>
      <c r="H33" s="6">
        <v>0.11056982394624702</v>
      </c>
      <c r="I33" s="18">
        <f t="shared" si="3"/>
        <v>0</v>
      </c>
      <c r="J33" s="18">
        <f t="shared" si="4"/>
        <v>1.13398</v>
      </c>
    </row>
    <row r="34">
      <c r="A34" s="53"/>
      <c r="B34" s="64"/>
      <c r="C34" s="55"/>
      <c r="D34" s="54">
        <f t="shared" si="1"/>
        <v>0</v>
      </c>
      <c r="E34" s="64"/>
      <c r="F34" s="54">
        <f t="shared" si="2"/>
        <v>0</v>
      </c>
      <c r="H34" s="6">
        <v>0.11056982394624702</v>
      </c>
      <c r="I34" s="18">
        <f t="shared" si="3"/>
        <v>0</v>
      </c>
      <c r="J34" s="18">
        <f t="shared" si="4"/>
        <v>1.13398</v>
      </c>
    </row>
    <row r="35">
      <c r="A35" s="53"/>
      <c r="B35" s="60"/>
      <c r="C35" s="55"/>
      <c r="D35" s="54">
        <f t="shared" si="1"/>
        <v>0</v>
      </c>
      <c r="E35" s="54"/>
      <c r="F35" s="54">
        <f t="shared" si="2"/>
        <v>0</v>
      </c>
      <c r="H35" s="6">
        <v>0.11056982394624702</v>
      </c>
      <c r="I35" s="18">
        <f t="shared" si="3"/>
        <v>0</v>
      </c>
      <c r="J35" s="18">
        <f t="shared" si="4"/>
        <v>1.13398</v>
      </c>
    </row>
    <row r="36">
      <c r="A36" s="53"/>
      <c r="B36" s="60"/>
      <c r="C36" s="55"/>
      <c r="D36" s="54">
        <f t="shared" si="1"/>
        <v>0</v>
      </c>
      <c r="E36" s="54"/>
      <c r="F36" s="54">
        <f t="shared" si="2"/>
        <v>0</v>
      </c>
      <c r="H36" s="6">
        <v>0.11056982394624702</v>
      </c>
      <c r="I36" s="18">
        <f t="shared" si="3"/>
        <v>0</v>
      </c>
      <c r="J36" s="18">
        <f t="shared" si="4"/>
        <v>1.13398</v>
      </c>
    </row>
    <row r="37">
      <c r="A37" s="53"/>
      <c r="B37" s="60"/>
      <c r="C37" s="55"/>
      <c r="D37" s="54">
        <f t="shared" si="1"/>
        <v>0</v>
      </c>
      <c r="E37" s="54"/>
      <c r="F37" s="54">
        <f t="shared" si="2"/>
        <v>0</v>
      </c>
      <c r="H37" s="6">
        <v>0.11056982394624702</v>
      </c>
      <c r="I37" s="18">
        <f t="shared" si="3"/>
        <v>0</v>
      </c>
      <c r="J37" s="18">
        <f t="shared" si="4"/>
        <v>1.13398</v>
      </c>
    </row>
    <row r="38">
      <c r="A38" s="53"/>
      <c r="B38" s="60"/>
      <c r="C38" s="55"/>
      <c r="D38" s="54">
        <f t="shared" si="1"/>
        <v>0</v>
      </c>
      <c r="E38" s="56"/>
      <c r="F38" s="54">
        <f t="shared" si="2"/>
        <v>0</v>
      </c>
      <c r="H38" s="6">
        <v>0.1110176228550779</v>
      </c>
      <c r="I38" s="18">
        <f t="shared" si="3"/>
        <v>0</v>
      </c>
      <c r="J38" s="18">
        <f t="shared" si="4"/>
        <v>1.13398</v>
      </c>
    </row>
    <row r="39">
      <c r="A39" s="53"/>
      <c r="B39" s="60"/>
      <c r="C39" s="55"/>
      <c r="D39" s="54">
        <f t="shared" si="1"/>
        <v>0</v>
      </c>
      <c r="E39" s="54"/>
      <c r="F39" s="54">
        <f t="shared" si="2"/>
        <v>0</v>
      </c>
      <c r="H39" s="6">
        <v>0.12868956697570233</v>
      </c>
      <c r="I39" s="18">
        <f t="shared" si="3"/>
        <v>0</v>
      </c>
      <c r="J39" s="18">
        <f t="shared" si="4"/>
        <v>1.13398</v>
      </c>
    </row>
    <row r="40">
      <c r="A40" s="53"/>
      <c r="B40" s="60"/>
      <c r="C40" s="55"/>
      <c r="D40" s="54">
        <f t="shared" si="1"/>
        <v>0</v>
      </c>
      <c r="E40" s="54"/>
      <c r="F40" s="54">
        <f t="shared" si="2"/>
        <v>0</v>
      </c>
      <c r="H40" s="6">
        <v>0.1110176228550779</v>
      </c>
      <c r="I40" s="18">
        <f t="shared" si="3"/>
        <v>0</v>
      </c>
      <c r="J40" s="18">
        <f t="shared" si="4"/>
        <v>1.13398</v>
      </c>
    </row>
    <row r="41">
      <c r="A41" s="53"/>
      <c r="B41" s="60"/>
      <c r="C41" s="55"/>
      <c r="D41" s="54">
        <f t="shared" si="1"/>
        <v>0</v>
      </c>
      <c r="E41" s="54"/>
      <c r="F41" s="54">
        <f t="shared" si="2"/>
        <v>0</v>
      </c>
      <c r="H41" s="6">
        <v>0.1110176228550779</v>
      </c>
      <c r="I41" s="18">
        <f t="shared" si="3"/>
        <v>0</v>
      </c>
      <c r="J41" s="18">
        <f t="shared" si="4"/>
        <v>1.13398</v>
      </c>
    </row>
    <row r="42">
      <c r="A42" s="53"/>
      <c r="B42" s="60"/>
      <c r="C42" s="55"/>
      <c r="D42" s="54">
        <f t="shared" si="1"/>
        <v>0</v>
      </c>
      <c r="E42" s="56"/>
      <c r="F42" s="54">
        <f t="shared" si="2"/>
        <v>0</v>
      </c>
      <c r="H42" s="6">
        <v>0.1110176228550779</v>
      </c>
      <c r="I42" s="18">
        <f t="shared" si="3"/>
        <v>0</v>
      </c>
      <c r="J42" s="18">
        <f t="shared" si="4"/>
        <v>1.13398</v>
      </c>
    </row>
    <row r="43">
      <c r="A43" s="53"/>
      <c r="B43" s="60"/>
      <c r="C43" s="55"/>
      <c r="D43" s="54">
        <f t="shared" si="1"/>
        <v>0</v>
      </c>
      <c r="E43" s="54"/>
      <c r="F43" s="54">
        <f t="shared" si="2"/>
        <v>0</v>
      </c>
      <c r="H43" s="6">
        <v>0.1110176228550779</v>
      </c>
      <c r="I43" s="18">
        <f t="shared" si="3"/>
        <v>0</v>
      </c>
      <c r="J43" s="18">
        <f t="shared" si="4"/>
        <v>1.13398</v>
      </c>
    </row>
    <row r="44">
      <c r="A44" s="53"/>
      <c r="B44" s="60"/>
      <c r="C44" s="55"/>
      <c r="D44" s="54">
        <f t="shared" si="1"/>
        <v>0</v>
      </c>
      <c r="E44" s="54"/>
      <c r="F44" s="54">
        <f t="shared" si="2"/>
        <v>0</v>
      </c>
      <c r="H44" s="6">
        <v>0.1110176228550779</v>
      </c>
      <c r="I44" s="18">
        <f t="shared" si="3"/>
        <v>0</v>
      </c>
      <c r="J44" s="18">
        <f t="shared" si="4"/>
        <v>1.13398</v>
      </c>
    </row>
    <row r="45">
      <c r="A45" s="53"/>
      <c r="B45" s="60"/>
      <c r="C45" s="55"/>
      <c r="D45" s="54">
        <f t="shared" si="1"/>
        <v>0</v>
      </c>
      <c r="E45" s="54"/>
      <c r="F45" s="54">
        <f t="shared" si="2"/>
        <v>0</v>
      </c>
      <c r="H45" s="6">
        <v>0.1110176228550779</v>
      </c>
      <c r="I45" s="18">
        <f t="shared" si="3"/>
        <v>0</v>
      </c>
      <c r="J45" s="18">
        <f t="shared" si="4"/>
        <v>1.13398</v>
      </c>
    </row>
    <row r="46">
      <c r="A46" s="53"/>
      <c r="B46" s="60"/>
      <c r="C46" s="55"/>
      <c r="D46" s="54">
        <f t="shared" si="1"/>
        <v>0</v>
      </c>
      <c r="E46" s="54"/>
      <c r="F46" s="54">
        <f t="shared" si="2"/>
        <v>0</v>
      </c>
      <c r="H46" s="6">
        <v>0.1110176228550779</v>
      </c>
      <c r="I46" s="18">
        <f t="shared" si="3"/>
        <v>0</v>
      </c>
      <c r="J46" s="18">
        <f t="shared" si="4"/>
        <v>1.13398</v>
      </c>
    </row>
    <row r="47">
      <c r="A47" s="53"/>
      <c r="B47" s="60"/>
      <c r="C47" s="55"/>
      <c r="D47" s="54">
        <f t="shared" si="1"/>
        <v>0</v>
      </c>
      <c r="E47" s="54"/>
      <c r="F47" s="54">
        <f t="shared" si="2"/>
        <v>0</v>
      </c>
      <c r="H47" s="6">
        <v>0.1110176228550779</v>
      </c>
      <c r="I47" s="18">
        <f t="shared" si="3"/>
        <v>0</v>
      </c>
      <c r="J47" s="18">
        <f t="shared" si="4"/>
        <v>1.13398</v>
      </c>
    </row>
    <row r="48">
      <c r="A48" s="53"/>
      <c r="B48" s="60"/>
      <c r="C48" s="55"/>
      <c r="D48" s="54">
        <f t="shared" si="1"/>
        <v>0</v>
      </c>
      <c r="E48" s="54"/>
      <c r="F48" s="54">
        <f t="shared" si="2"/>
        <v>0</v>
      </c>
      <c r="H48" s="6">
        <v>0.1110176228550779</v>
      </c>
      <c r="I48" s="18">
        <f t="shared" si="3"/>
        <v>0</v>
      </c>
      <c r="J48" s="18">
        <f t="shared" si="4"/>
        <v>1.13398</v>
      </c>
    </row>
    <row r="49">
      <c r="A49" s="53"/>
      <c r="B49" s="60"/>
      <c r="C49" s="55"/>
      <c r="D49" s="54">
        <f t="shared" si="1"/>
        <v>0</v>
      </c>
      <c r="E49" s="54"/>
      <c r="F49" s="54">
        <f t="shared" si="2"/>
        <v>0</v>
      </c>
      <c r="H49" s="6">
        <v>0.1110176228550779</v>
      </c>
      <c r="I49" s="18">
        <f t="shared" si="3"/>
        <v>0</v>
      </c>
      <c r="J49" s="18">
        <f t="shared" si="4"/>
        <v>1.13398</v>
      </c>
    </row>
    <row r="50">
      <c r="A50" s="53"/>
      <c r="B50" s="60"/>
      <c r="C50" s="55"/>
      <c r="D50" s="54">
        <f t="shared" si="1"/>
        <v>0</v>
      </c>
      <c r="E50" s="54"/>
      <c r="F50" s="54">
        <f t="shared" si="2"/>
        <v>0</v>
      </c>
      <c r="H50" s="6">
        <v>0.1110176228550779</v>
      </c>
      <c r="I50" s="18">
        <f t="shared" si="3"/>
        <v>0</v>
      </c>
      <c r="J50" s="18">
        <f t="shared" si="4"/>
        <v>1.13398</v>
      </c>
    </row>
    <row r="51">
      <c r="A51" s="53"/>
      <c r="B51" s="60"/>
      <c r="C51" s="55"/>
      <c r="D51" s="54">
        <f t="shared" si="1"/>
        <v>0</v>
      </c>
      <c r="E51" s="54"/>
      <c r="F51" s="54">
        <f t="shared" si="2"/>
        <v>0</v>
      </c>
      <c r="H51" s="6">
        <v>0.1110176228550779</v>
      </c>
      <c r="I51" s="18">
        <f t="shared" si="3"/>
        <v>0</v>
      </c>
      <c r="J51" s="18">
        <f t="shared" si="4"/>
        <v>1.13398</v>
      </c>
    </row>
    <row r="52">
      <c r="B52" s="67"/>
      <c r="C52" s="47"/>
      <c r="D52" s="11"/>
      <c r="E52" s="11"/>
      <c r="F52" s="11"/>
      <c r="G52" s="11" t="str">
        <f>IF(AND(D52&lt;&gt;"",F52&lt;&gt;""),(D52-F52)*$L$4,"")</f>
        <v/>
      </c>
      <c r="H52" s="11" t="str">
        <f>IF(G52="","",G52*(1-$L$5))</f>
        <v/>
      </c>
      <c r="I52" s="16"/>
    </row>
    <row r="53">
      <c r="B53" s="68">
        <f>SUM(B10:B51)</f>
        <v>0</v>
      </c>
      <c r="C53" s="68"/>
      <c r="D53" s="68">
        <f>SUM(D10:D51)</f>
        <v>0</v>
      </c>
      <c r="E53" s="68"/>
      <c r="F53" s="68">
        <f>SUM(F9:F51)</f>
        <v>0</v>
      </c>
      <c r="G53" s="69"/>
      <c r="H53" s="70" t="str">
        <f>SUMPRODUCT(D11:D51,H11:H51)/SUM(D11:D51)</f>
        <v>#DIV/0!</v>
      </c>
      <c r="I53" s="71">
        <f>sum(I11:I51)</f>
        <v>0</v>
      </c>
      <c r="J53" s="18">
        <f>SUM(J9:J51)</f>
        <v>46.49318</v>
      </c>
    </row>
    <row r="54">
      <c r="B54" s="67"/>
      <c r="D54" s="11"/>
      <c r="E54" s="11"/>
      <c r="F54" s="11"/>
      <c r="G54" s="11" t="str">
        <f t="shared" ref="G54:G73" si="5">IF(AND(D54&lt;&gt;"",F54&lt;&gt;""),(D54-F54)*$L$4,"")</f>
        <v/>
      </c>
      <c r="H54" s="11" t="str">
        <f t="shared" ref="H54:H73" si="6">IF(G54="","",G54*(1-$L$5))</f>
        <v/>
      </c>
      <c r="I54" s="16"/>
    </row>
    <row r="55">
      <c r="B55" s="67"/>
      <c r="D55" s="11"/>
      <c r="E55" s="11"/>
      <c r="F55" s="11"/>
      <c r="G55" s="11" t="str">
        <f t="shared" si="5"/>
        <v/>
      </c>
      <c r="H55" s="11" t="str">
        <f t="shared" si="6"/>
        <v/>
      </c>
      <c r="I55" s="74"/>
    </row>
    <row r="56">
      <c r="B56" s="67"/>
      <c r="D56" s="11"/>
      <c r="E56" s="11"/>
      <c r="F56" s="11"/>
      <c r="G56" s="11" t="str">
        <f t="shared" si="5"/>
        <v/>
      </c>
      <c r="H56" s="11" t="str">
        <f t="shared" si="6"/>
        <v/>
      </c>
      <c r="I56" s="16"/>
    </row>
    <row r="57">
      <c r="B57" s="67"/>
      <c r="D57" s="11"/>
      <c r="E57" s="11"/>
      <c r="F57" s="11"/>
      <c r="G57" s="11" t="str">
        <f t="shared" si="5"/>
        <v/>
      </c>
      <c r="H57" s="11" t="str">
        <f t="shared" si="6"/>
        <v/>
      </c>
      <c r="I57" s="16"/>
    </row>
    <row r="58">
      <c r="B58" s="67"/>
      <c r="D58" s="11"/>
      <c r="E58" s="11"/>
      <c r="F58" s="11"/>
      <c r="G58" s="11" t="str">
        <f t="shared" si="5"/>
        <v/>
      </c>
      <c r="H58" s="11" t="str">
        <f t="shared" si="6"/>
        <v/>
      </c>
      <c r="I58" s="16"/>
    </row>
    <row r="59">
      <c r="B59" s="67"/>
      <c r="D59" s="11"/>
      <c r="E59" s="11"/>
      <c r="F59" s="11"/>
      <c r="G59" s="11" t="str">
        <f t="shared" si="5"/>
        <v/>
      </c>
      <c r="H59" s="11" t="str">
        <f t="shared" si="6"/>
        <v/>
      </c>
      <c r="I59" s="16"/>
    </row>
    <row r="60">
      <c r="B60" s="67"/>
      <c r="D60" s="11"/>
      <c r="E60" s="11"/>
      <c r="F60" s="11"/>
      <c r="G60" s="11" t="str">
        <f t="shared" si="5"/>
        <v/>
      </c>
      <c r="H60" s="11" t="str">
        <f t="shared" si="6"/>
        <v/>
      </c>
      <c r="I60" s="16"/>
    </row>
    <row r="61">
      <c r="B61" s="67"/>
      <c r="D61" s="11"/>
      <c r="E61" s="11"/>
      <c r="F61" s="11"/>
      <c r="G61" s="11" t="str">
        <f t="shared" si="5"/>
        <v/>
      </c>
      <c r="H61" s="11" t="str">
        <f t="shared" si="6"/>
        <v/>
      </c>
      <c r="I61" s="16"/>
    </row>
    <row r="62">
      <c r="B62" s="67"/>
      <c r="D62" s="11"/>
      <c r="E62" s="11"/>
      <c r="F62" s="11"/>
      <c r="G62" s="11" t="str">
        <f t="shared" si="5"/>
        <v/>
      </c>
      <c r="H62" s="11" t="str">
        <f t="shared" si="6"/>
        <v/>
      </c>
      <c r="I62" s="16"/>
    </row>
    <row r="63">
      <c r="B63" s="67"/>
      <c r="D63" s="11"/>
      <c r="E63" s="11"/>
      <c r="F63" s="11"/>
      <c r="G63" s="11" t="str">
        <f t="shared" si="5"/>
        <v/>
      </c>
      <c r="H63" s="11" t="str">
        <f t="shared" si="6"/>
        <v/>
      </c>
      <c r="I63" s="16"/>
    </row>
    <row r="64">
      <c r="B64" s="67"/>
      <c r="D64" s="11"/>
      <c r="E64" s="11"/>
      <c r="F64" s="11"/>
      <c r="G64" s="11" t="str">
        <f t="shared" si="5"/>
        <v/>
      </c>
      <c r="H64" s="11" t="str">
        <f t="shared" si="6"/>
        <v/>
      </c>
      <c r="I64" s="16"/>
    </row>
    <row r="65">
      <c r="B65" s="67"/>
      <c r="D65" s="11"/>
      <c r="E65" s="11"/>
      <c r="F65" s="11"/>
      <c r="G65" s="11" t="str">
        <f t="shared" si="5"/>
        <v/>
      </c>
      <c r="H65" s="11" t="str">
        <f t="shared" si="6"/>
        <v/>
      </c>
      <c r="I65" s="16"/>
    </row>
    <row r="66">
      <c r="B66" s="67"/>
      <c r="D66" s="11"/>
      <c r="E66" s="11"/>
      <c r="F66" s="11"/>
      <c r="G66" s="11" t="str">
        <f t="shared" si="5"/>
        <v/>
      </c>
      <c r="H66" s="11" t="str">
        <f t="shared" si="6"/>
        <v/>
      </c>
      <c r="I66" s="16"/>
    </row>
    <row r="67">
      <c r="B67" s="67"/>
      <c r="D67" s="11"/>
      <c r="E67" s="11"/>
      <c r="F67" s="11"/>
      <c r="G67" s="11" t="str">
        <f t="shared" si="5"/>
        <v/>
      </c>
      <c r="H67" s="11" t="str">
        <f t="shared" si="6"/>
        <v/>
      </c>
      <c r="I67" s="16"/>
    </row>
    <row r="68">
      <c r="B68" s="67"/>
      <c r="D68" s="11"/>
      <c r="E68" s="11"/>
      <c r="F68" s="11"/>
      <c r="G68" s="11" t="str">
        <f t="shared" si="5"/>
        <v/>
      </c>
      <c r="H68" s="11" t="str">
        <f t="shared" si="6"/>
        <v/>
      </c>
      <c r="I68" s="16"/>
    </row>
    <row r="69">
      <c r="B69" s="67"/>
      <c r="D69" s="11"/>
      <c r="E69" s="11"/>
      <c r="F69" s="11"/>
      <c r="G69" s="11" t="str">
        <f t="shared" si="5"/>
        <v/>
      </c>
      <c r="H69" s="11" t="str">
        <f t="shared" si="6"/>
        <v/>
      </c>
      <c r="I69" s="16"/>
    </row>
    <row r="70">
      <c r="B70" s="67"/>
      <c r="D70" s="11"/>
      <c r="E70" s="11"/>
      <c r="F70" s="11"/>
      <c r="G70" s="11" t="str">
        <f t="shared" si="5"/>
        <v/>
      </c>
      <c r="H70" s="11" t="str">
        <f t="shared" si="6"/>
        <v/>
      </c>
      <c r="I70" s="16"/>
    </row>
    <row r="71">
      <c r="B71" s="67"/>
      <c r="D71" s="11"/>
      <c r="E71" s="11"/>
      <c r="F71" s="11"/>
      <c r="G71" s="11" t="str">
        <f t="shared" si="5"/>
        <v/>
      </c>
      <c r="H71" s="11" t="str">
        <f t="shared" si="6"/>
        <v/>
      </c>
      <c r="I71" s="16"/>
    </row>
    <row r="72">
      <c r="B72" s="67"/>
      <c r="D72" s="11"/>
      <c r="E72" s="11"/>
      <c r="F72" s="11"/>
      <c r="G72" s="11" t="str">
        <f t="shared" si="5"/>
        <v/>
      </c>
      <c r="H72" s="11" t="str">
        <f t="shared" si="6"/>
        <v/>
      </c>
      <c r="I72" s="16"/>
    </row>
    <row r="73">
      <c r="B73" s="67"/>
      <c r="D73" s="11"/>
      <c r="E73" s="11"/>
      <c r="F73" s="11"/>
      <c r="G73" s="11" t="str">
        <f t="shared" si="5"/>
        <v/>
      </c>
      <c r="H73" s="11" t="str">
        <f t="shared" si="6"/>
        <v/>
      </c>
      <c r="I73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7</v>
      </c>
    </row>
    <row r="3">
      <c r="A3" s="3" t="s">
        <v>6</v>
      </c>
      <c r="B3" s="5">
        <v>46263.0</v>
      </c>
      <c r="K3" s="4" t="s">
        <v>9</v>
      </c>
      <c r="L3" s="6">
        <v>2.20462</v>
      </c>
    </row>
    <row r="4">
      <c r="A4" s="3" t="s">
        <v>8</v>
      </c>
      <c r="B4" s="5">
        <v>46270.0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16</v>
      </c>
      <c r="L6" s="3" t="s">
        <v>17</v>
      </c>
    </row>
    <row r="7">
      <c r="K7" s="3" t="s">
        <v>155</v>
      </c>
      <c r="L7" s="6">
        <v>0.795241</v>
      </c>
    </row>
    <row r="8">
      <c r="A8" s="1" t="s">
        <v>52</v>
      </c>
      <c r="B8" s="2"/>
      <c r="C8" s="2"/>
      <c r="D8" s="2"/>
      <c r="E8" s="2"/>
      <c r="F8" s="2"/>
      <c r="G8" s="2"/>
      <c r="H8" s="2"/>
      <c r="I8" s="2"/>
      <c r="J8" s="1"/>
      <c r="K8" s="1"/>
      <c r="L8" s="15"/>
      <c r="M8" s="2"/>
      <c r="N8" s="2"/>
    </row>
    <row r="9">
      <c r="A9" s="4"/>
      <c r="B9" s="4" t="s">
        <v>61</v>
      </c>
      <c r="C9" s="4"/>
      <c r="D9" s="4" t="s">
        <v>147</v>
      </c>
      <c r="E9" s="9"/>
      <c r="F9" s="4" t="s">
        <v>64</v>
      </c>
      <c r="G9" s="4"/>
      <c r="H9" s="4"/>
      <c r="I9" s="4"/>
      <c r="J9" s="8"/>
      <c r="K9" s="4" t="s">
        <v>65</v>
      </c>
      <c r="L9" s="8"/>
      <c r="M9" s="8"/>
    </row>
    <row r="10">
      <c r="A10" s="3" t="s">
        <v>66</v>
      </c>
      <c r="B10" s="3" t="s">
        <v>67</v>
      </c>
      <c r="C10" s="20" t="s">
        <v>68</v>
      </c>
      <c r="D10" s="20" t="s">
        <v>69</v>
      </c>
      <c r="E10" s="59" t="s">
        <v>149</v>
      </c>
      <c r="F10" s="20" t="s">
        <v>71</v>
      </c>
      <c r="G10" s="20" t="s">
        <v>72</v>
      </c>
      <c r="H10" s="21" t="s">
        <v>73</v>
      </c>
      <c r="I10" s="3" t="s">
        <v>74</v>
      </c>
      <c r="J10" s="3" t="s">
        <v>75</v>
      </c>
      <c r="K10" s="3" t="s">
        <v>76</v>
      </c>
      <c r="L10" s="6">
        <v>0.7128290192302931</v>
      </c>
      <c r="M10" s="10" t="str">
        <f>HYPERLINK("https://docs.google.com/spreadsheets/d/1L167k_JS3mnisFy3VpS-OXgI8U0cK-4nC6A9sxl-ozk/edit","PP Summary")</f>
        <v>PP Summary</v>
      </c>
    </row>
    <row r="11">
      <c r="A11" s="3">
        <v>301310.0</v>
      </c>
      <c r="B11" s="6">
        <v>1173.0</v>
      </c>
      <c r="C11" s="20">
        <v>57.6</v>
      </c>
      <c r="D11" s="11">
        <f>B11-C11</f>
        <v>1115.4</v>
      </c>
      <c r="E11" s="59">
        <v>69.0</v>
      </c>
      <c r="F11" s="11">
        <f>B11-E11</f>
        <v>1104</v>
      </c>
      <c r="G11" s="20" t="s">
        <v>156</v>
      </c>
      <c r="H11" s="24">
        <f>$L$19</f>
        <v>0.795241</v>
      </c>
      <c r="I11" s="18">
        <f>IF(H11="","",H11*D11)</f>
        <v>887.0118114</v>
      </c>
      <c r="J11" s="18">
        <f>2.5*$L$4</f>
        <v>1.13398</v>
      </c>
      <c r="K11" s="25" t="s">
        <v>81</v>
      </c>
      <c r="L11" s="6">
        <v>0.9748408534875329</v>
      </c>
      <c r="M11" s="10" t="str">
        <f>HYPERLINK("https://docs.google.com/spreadsheets/d/1W8jWu3sp39WnSuds1Ja0FWDG5UuWN9v5NUmF6yh_WbI/edit","PP Summary")</f>
        <v>PP Summary</v>
      </c>
    </row>
    <row r="12">
      <c r="C12" s="20"/>
      <c r="D12" s="11"/>
      <c r="E12" s="59"/>
      <c r="F12" s="11"/>
      <c r="G12" s="20"/>
      <c r="H12" s="24"/>
      <c r="K12" s="25" t="s">
        <v>88</v>
      </c>
      <c r="L12" s="6">
        <v>0.9721828239230533</v>
      </c>
      <c r="M12" s="10" t="str">
        <f>HYPERLINK("https://docs.google.com/spreadsheets/d/1-L6m2wYknC3o-yIts9KK7FrYAb5lZIv4AwaizK8FbMc/edit","PP Summary")</f>
        <v>PP Summary</v>
      </c>
    </row>
    <row r="13">
      <c r="C13" s="20"/>
      <c r="D13" s="11"/>
      <c r="E13" s="59"/>
      <c r="F13" s="11"/>
      <c r="G13" s="20"/>
      <c r="H13" s="24"/>
      <c r="K13" s="25" t="s">
        <v>92</v>
      </c>
      <c r="L13" s="6">
        <v>0.9319944877512889</v>
      </c>
      <c r="M13" s="10" t="str">
        <f>HYPERLINK("https://docs.google.com/spreadsheets/d/1bPZ7pNsR5rv-om-BypF4lK3nczjn4HJNO2dzimwnx7E/edit","PP Summary")</f>
        <v>PP Summary</v>
      </c>
    </row>
    <row r="14">
      <c r="C14" s="20"/>
      <c r="D14" s="11"/>
      <c r="E14" s="59"/>
      <c r="F14" s="11"/>
      <c r="G14" s="20"/>
      <c r="H14" s="24"/>
      <c r="K14" s="25" t="s">
        <v>95</v>
      </c>
      <c r="L14" s="6">
        <v>0.84989612258998</v>
      </c>
      <c r="M14" s="10" t="str">
        <f>HYPERLINK("https://docs.google.com/spreadsheets/d/1vH7bborVnc-TCby3wEkpzi7GGMOI5jMJooEW0V-rOQ4/edit","PP Summary")</f>
        <v>PP Summary</v>
      </c>
    </row>
    <row r="15">
      <c r="C15" s="20"/>
      <c r="D15" s="11"/>
      <c r="E15" s="59"/>
      <c r="F15" s="11"/>
      <c r="G15" s="20"/>
      <c r="H15" s="24"/>
      <c r="K15" s="25" t="s">
        <v>107</v>
      </c>
      <c r="L15" s="6">
        <v>0.7900645329689984</v>
      </c>
      <c r="M15" s="10" t="str">
        <f>HYPERLINK("https://docs.google.com/spreadsheets/d/1O7y30opa_u1_deqFm_w2qgVyxi_75X00xnzKuyVyh6o/edit","PP Summary")</f>
        <v>PP Summary</v>
      </c>
    </row>
    <row r="16">
      <c r="C16" s="20"/>
      <c r="D16" s="11"/>
      <c r="E16" s="66"/>
      <c r="F16" s="11"/>
      <c r="G16" s="20"/>
      <c r="H16" s="24"/>
      <c r="K16" s="25" t="s">
        <v>109</v>
      </c>
      <c r="L16" s="6">
        <v>0.7848323401347014</v>
      </c>
      <c r="M16" s="10" t="str">
        <f>HYPERLINK("https://docs.google.com/spreadsheets/d/10Qwx7K6sUcOBrCebGUGVaVeLQnhzvcT8sHQ0Sy3VBBM/edit","PP Summary")</f>
        <v>PP Summary</v>
      </c>
    </row>
    <row r="17">
      <c r="C17" s="20"/>
      <c r="D17" s="11"/>
      <c r="E17" s="66"/>
      <c r="F17" s="11"/>
      <c r="G17" s="20"/>
      <c r="H17" s="24"/>
      <c r="K17" s="25" t="s">
        <v>114</v>
      </c>
      <c r="L17" s="6">
        <v>0.6328458891234968</v>
      </c>
      <c r="M17" s="10" t="str">
        <f>HYPERLINK("https://docs.google.com/spreadsheets/d/1m66t1jsLGc4e6AWnCFMsFbkSceZ9IYC_-bfTsbP_OYc/edit","PP Summary")</f>
        <v>PP Summary</v>
      </c>
    </row>
    <row r="18">
      <c r="C18" s="20"/>
      <c r="D18" s="11"/>
      <c r="E18" s="66"/>
      <c r="F18" s="11"/>
      <c r="G18" s="20"/>
      <c r="H18" s="24"/>
      <c r="K18" s="25" t="s">
        <v>138</v>
      </c>
      <c r="L18" s="6">
        <v>1.1105355635937064</v>
      </c>
      <c r="M18" s="10" t="str">
        <f>HYPERLINK("https://docs.google.com/spreadsheets/d/1MUQajDI2a_Cn9xWGPP7z4PhhphZnfl2_CSTnpB07Wgk/edit","PP Summary")</f>
        <v>PP Summary</v>
      </c>
    </row>
    <row r="19">
      <c r="C19" s="20"/>
      <c r="D19" s="11"/>
      <c r="E19" s="66"/>
      <c r="F19" s="11"/>
      <c r="G19" s="20"/>
      <c r="H19" s="24"/>
      <c r="K19" s="3" t="s">
        <v>140</v>
      </c>
      <c r="L19" s="18">
        <f>$L$7</f>
        <v>0.795241</v>
      </c>
    </row>
    <row r="20">
      <c r="C20" s="20"/>
      <c r="D20" s="11"/>
      <c r="E20" s="66"/>
      <c r="F20" s="11"/>
      <c r="G20" s="20"/>
      <c r="H20" s="24"/>
    </row>
    <row r="21">
      <c r="C21" s="20"/>
      <c r="D21" s="11"/>
      <c r="E21" s="66"/>
      <c r="F21" s="11"/>
      <c r="G21" s="20"/>
      <c r="H21" s="24"/>
    </row>
    <row r="22">
      <c r="C22" s="20"/>
      <c r="D22" s="11"/>
      <c r="E22" s="66"/>
      <c r="F22" s="11"/>
      <c r="G22" s="20"/>
      <c r="H22" s="24"/>
    </row>
    <row r="23">
      <c r="C23" s="20"/>
      <c r="D23" s="11"/>
      <c r="E23" s="66"/>
      <c r="F23" s="11"/>
      <c r="G23" s="20"/>
      <c r="H23" s="24"/>
    </row>
    <row r="24">
      <c r="C24" s="11"/>
      <c r="D24" s="11"/>
      <c r="E24" s="29"/>
      <c r="F24" s="11"/>
      <c r="G24" s="11"/>
      <c r="H24" s="24"/>
    </row>
    <row r="25">
      <c r="A25" s="3" t="s">
        <v>90</v>
      </c>
      <c r="B25" s="18">
        <f t="shared" ref="B25:F25" si="1">SUM(B11:B23)</f>
        <v>1173</v>
      </c>
      <c r="C25" s="11">
        <f t="shared" si="1"/>
        <v>57.6</v>
      </c>
      <c r="D25" s="11">
        <f t="shared" si="1"/>
        <v>1115.4</v>
      </c>
      <c r="E25" s="29">
        <f t="shared" si="1"/>
        <v>69</v>
      </c>
      <c r="F25" s="11">
        <f t="shared" si="1"/>
        <v>1104</v>
      </c>
      <c r="G25" s="11"/>
      <c r="H25" s="24">
        <f>I25/D25</f>
        <v>0.795241</v>
      </c>
      <c r="I25" s="18">
        <f t="shared" ref="I25:J25" si="2">SUM(I11:I23)</f>
        <v>887.0118114</v>
      </c>
      <c r="J25" s="18">
        <f t="shared" si="2"/>
        <v>1.13398</v>
      </c>
    </row>
    <row r="26">
      <c r="C26" s="11"/>
      <c r="D26" s="11"/>
      <c r="E26" s="29"/>
      <c r="F26" s="11"/>
      <c r="G26" s="11"/>
      <c r="H26" s="16"/>
    </row>
    <row r="27">
      <c r="E27" s="29"/>
      <c r="F27" s="11"/>
      <c r="G27" s="11"/>
      <c r="H27" s="16"/>
    </row>
    <row r="28">
      <c r="E28" s="29"/>
      <c r="F28" s="11"/>
      <c r="G28" s="11"/>
      <c r="H28" s="16"/>
    </row>
    <row r="29">
      <c r="E29" s="29"/>
      <c r="F29" s="11"/>
      <c r="G29" s="11"/>
      <c r="H29" s="16"/>
    </row>
    <row r="30">
      <c r="C30" s="11"/>
      <c r="D30" s="11"/>
      <c r="E30" s="11"/>
      <c r="F30" s="11"/>
      <c r="G30" s="11"/>
      <c r="H30" s="16"/>
    </row>
    <row r="31">
      <c r="A31" s="1" t="s">
        <v>143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158</v>
      </c>
      <c r="B32" s="3" t="s">
        <v>159</v>
      </c>
      <c r="C32" s="20" t="s">
        <v>48</v>
      </c>
      <c r="D32" s="35" t="s">
        <v>160</v>
      </c>
      <c r="E32" s="16"/>
      <c r="F32" s="16"/>
    </row>
    <row r="33">
      <c r="A33" s="18">
        <f>B25</f>
        <v>1173</v>
      </c>
      <c r="B33" s="11">
        <f>SUM(D11:D23)</f>
        <v>1115.4</v>
      </c>
      <c r="C33" s="11">
        <f>IF(D33=0,"",B33-D33)</f>
        <v>11.4</v>
      </c>
      <c r="D33" s="69">
        <f>SUM(F11:F23)</f>
        <v>1104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8" t="s">
        <v>162</v>
      </c>
      <c r="B1" s="79"/>
      <c r="C1" s="79"/>
      <c r="D1" s="79"/>
      <c r="E1" s="79"/>
      <c r="F1" s="79"/>
      <c r="G1" s="79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163</v>
      </c>
      <c r="B5" s="4" t="s">
        <v>164</v>
      </c>
      <c r="C5" s="4" t="s">
        <v>165</v>
      </c>
      <c r="D5" s="4" t="s">
        <v>166</v>
      </c>
      <c r="E5" s="4" t="s">
        <v>167</v>
      </c>
      <c r="F5" s="8"/>
      <c r="G5" s="8"/>
    </row>
    <row r="6">
      <c r="A6" s="3" t="s">
        <v>5</v>
      </c>
      <c r="B6" s="3" t="s">
        <v>82</v>
      </c>
      <c r="C6" s="3" t="s">
        <v>168</v>
      </c>
      <c r="D6" s="6">
        <v>0.0</v>
      </c>
      <c r="E6" s="3" t="s">
        <v>169</v>
      </c>
    </row>
    <row r="8">
      <c r="A8" s="4"/>
      <c r="B8" s="17"/>
      <c r="C8" s="8"/>
      <c r="D8" s="8"/>
      <c r="E8" s="8"/>
      <c r="F8" s="8"/>
      <c r="G8" s="8"/>
    </row>
    <row r="10">
      <c r="A10" s="4"/>
      <c r="B10" s="8"/>
      <c r="C10" s="8"/>
      <c r="D10" s="8"/>
      <c r="E10" s="8"/>
      <c r="F10" s="8"/>
      <c r="G10" s="8"/>
    </row>
    <row r="11">
      <c r="A11" s="4"/>
      <c r="B11" s="4"/>
      <c r="C11" s="4"/>
      <c r="D11" s="4"/>
      <c r="E11" s="4"/>
      <c r="F11" s="4"/>
      <c r="G11" s="4"/>
    </row>
    <row r="12">
      <c r="B12" s="27"/>
      <c r="E12" s="80"/>
      <c r="G12" s="16"/>
    </row>
    <row r="13">
      <c r="B13" s="27"/>
      <c r="E13" s="80"/>
      <c r="G13" s="16"/>
    </row>
    <row r="14">
      <c r="B14" s="27"/>
      <c r="E14" s="80"/>
      <c r="G14" s="16"/>
    </row>
    <row r="15">
      <c r="A15" s="4"/>
      <c r="B15" s="8"/>
      <c r="C15" s="8"/>
      <c r="D15" s="8"/>
      <c r="E15" s="8"/>
      <c r="F15" s="8"/>
      <c r="G15" s="71"/>
    </row>
    <row r="17">
      <c r="A17" s="4"/>
      <c r="B17" s="8"/>
      <c r="C17" s="8"/>
      <c r="D17" s="8"/>
      <c r="E17" s="8"/>
      <c r="F17" s="8"/>
      <c r="G17" s="8"/>
    </row>
    <row r="18">
      <c r="A18" s="4"/>
      <c r="B18" s="4"/>
      <c r="C18" s="4"/>
      <c r="D18" s="4"/>
      <c r="E18" s="8"/>
      <c r="F18" s="8"/>
      <c r="G18" s="8"/>
    </row>
    <row r="19">
      <c r="C19" s="16"/>
    </row>
    <row r="21">
      <c r="A21" s="4"/>
      <c r="B21" s="8"/>
      <c r="C21" s="8"/>
      <c r="D21" s="8"/>
      <c r="E21" s="8"/>
      <c r="F21" s="8"/>
      <c r="G21" s="8"/>
    </row>
    <row r="22">
      <c r="A22" s="4"/>
      <c r="B22" s="4"/>
      <c r="C22" s="4"/>
      <c r="D22" s="4"/>
      <c r="E22" s="4"/>
      <c r="F22" s="8"/>
    </row>
    <row r="23">
      <c r="D23" s="27"/>
    </row>
    <row r="24">
      <c r="D24" s="27"/>
    </row>
    <row r="25">
      <c r="D25" s="27"/>
    </row>
    <row r="26">
      <c r="D26" s="27"/>
    </row>
    <row r="27">
      <c r="D27" s="27"/>
    </row>
    <row r="28">
      <c r="D28" s="27"/>
    </row>
    <row r="29">
      <c r="D29" s="27"/>
    </row>
    <row r="30">
      <c r="D30" s="27"/>
    </row>
    <row r="31">
      <c r="D31" s="27"/>
    </row>
    <row r="32">
      <c r="D32" s="27"/>
    </row>
    <row r="33">
      <c r="A33" s="8"/>
      <c r="B33" s="8"/>
      <c r="C33" s="4"/>
      <c r="D33" s="8"/>
      <c r="E33" s="8"/>
      <c r="F33" s="8"/>
    </row>
    <row r="35">
      <c r="A35" s="4"/>
      <c r="B35" s="8"/>
      <c r="C35" s="8"/>
      <c r="D35" s="8"/>
      <c r="E35" s="8"/>
      <c r="F35" s="8"/>
    </row>
    <row r="36">
      <c r="A36" s="4"/>
      <c r="B36" s="4"/>
      <c r="C36" s="4"/>
      <c r="D36" s="4"/>
      <c r="E36" s="4"/>
      <c r="F36" s="8"/>
    </row>
    <row r="37">
      <c r="D37" s="27"/>
    </row>
    <row r="38">
      <c r="D38" s="27"/>
    </row>
    <row r="39">
      <c r="D39" s="27"/>
    </row>
    <row r="40">
      <c r="D40" s="27"/>
    </row>
    <row r="41">
      <c r="D41" s="27"/>
    </row>
    <row r="42">
      <c r="D42" s="27"/>
    </row>
    <row r="43">
      <c r="D43" s="27"/>
    </row>
    <row r="44">
      <c r="D44" s="27"/>
    </row>
    <row r="45">
      <c r="D45" s="27"/>
    </row>
    <row r="46">
      <c r="D46" s="27"/>
    </row>
    <row r="47">
      <c r="D47" s="27"/>
    </row>
    <row r="48">
      <c r="D48" s="27"/>
    </row>
    <row r="49">
      <c r="D49" s="27"/>
    </row>
    <row r="50">
      <c r="D50" s="27"/>
    </row>
    <row r="51">
      <c r="D51" s="27"/>
    </row>
    <row r="52">
      <c r="D52" s="27"/>
    </row>
    <row r="53">
      <c r="D53" s="27"/>
    </row>
    <row r="54">
      <c r="A54" s="8"/>
      <c r="B54" s="8"/>
      <c r="C54" s="4"/>
      <c r="D54" s="8"/>
      <c r="E54" s="8"/>
      <c r="F54" s="8"/>
    </row>
    <row r="56">
      <c r="A56" s="4" t="s">
        <v>170</v>
      </c>
      <c r="B56" s="8"/>
      <c r="C56" s="8"/>
      <c r="D56" s="8"/>
      <c r="E56" s="8"/>
      <c r="F56" s="8"/>
    </row>
    <row r="57">
      <c r="A57" s="4" t="s">
        <v>172</v>
      </c>
      <c r="B57" s="4" t="s">
        <v>164</v>
      </c>
      <c r="C57" s="4" t="s">
        <v>72</v>
      </c>
      <c r="D57" s="4" t="s">
        <v>173</v>
      </c>
      <c r="E57" s="4" t="s">
        <v>163</v>
      </c>
      <c r="F57" s="8"/>
    </row>
    <row r="58">
      <c r="A58" s="3">
        <v>228427.0</v>
      </c>
      <c r="B58" s="3" t="s">
        <v>82</v>
      </c>
      <c r="C58" s="25" t="s">
        <v>174</v>
      </c>
      <c r="D58" s="27">
        <v>46001.0</v>
      </c>
      <c r="E58" s="3" t="s">
        <v>175</v>
      </c>
    </row>
    <row r="59">
      <c r="A59" s="3">
        <v>228408.0</v>
      </c>
      <c r="B59" s="3" t="s">
        <v>82</v>
      </c>
      <c r="C59" s="25" t="s">
        <v>176</v>
      </c>
      <c r="D59" s="27">
        <v>46001.0</v>
      </c>
      <c r="E59" s="3" t="s">
        <v>175</v>
      </c>
    </row>
    <row r="60">
      <c r="A60" s="3">
        <v>228465.0</v>
      </c>
      <c r="B60" s="3" t="s">
        <v>82</v>
      </c>
      <c r="C60" s="25" t="s">
        <v>174</v>
      </c>
      <c r="D60" s="27">
        <v>46001.0</v>
      </c>
      <c r="E60" s="3" t="s">
        <v>175</v>
      </c>
    </row>
    <row r="61">
      <c r="A61" s="3">
        <v>228496.0</v>
      </c>
      <c r="B61" s="3" t="s">
        <v>82</v>
      </c>
      <c r="C61" s="25" t="s">
        <v>174</v>
      </c>
      <c r="D61" s="27">
        <v>46001.0</v>
      </c>
      <c r="E61" s="3" t="s">
        <v>175</v>
      </c>
    </row>
    <row r="62">
      <c r="A62" s="3">
        <v>228431.0</v>
      </c>
      <c r="B62" s="3" t="s">
        <v>82</v>
      </c>
      <c r="C62" s="25" t="s">
        <v>174</v>
      </c>
      <c r="D62" s="27">
        <v>46001.0</v>
      </c>
      <c r="E62" s="3" t="s">
        <v>175</v>
      </c>
    </row>
    <row r="63">
      <c r="A63" s="3">
        <v>228455.0</v>
      </c>
      <c r="B63" s="3" t="s">
        <v>82</v>
      </c>
      <c r="C63" s="25" t="s">
        <v>174</v>
      </c>
      <c r="D63" s="27">
        <v>46001.0</v>
      </c>
      <c r="E63" s="3" t="s">
        <v>175</v>
      </c>
    </row>
    <row r="64">
      <c r="A64" s="3">
        <v>228458.0</v>
      </c>
      <c r="B64" s="3" t="s">
        <v>82</v>
      </c>
      <c r="C64" s="25" t="s">
        <v>174</v>
      </c>
      <c r="D64" s="27">
        <v>46001.0</v>
      </c>
      <c r="E64" s="3" t="s">
        <v>175</v>
      </c>
    </row>
    <row r="65">
      <c r="A65" s="3">
        <v>228422.0</v>
      </c>
      <c r="B65" s="3" t="s">
        <v>82</v>
      </c>
      <c r="C65" s="25" t="s">
        <v>174</v>
      </c>
      <c r="D65" s="27">
        <v>46001.0</v>
      </c>
      <c r="E65" s="3" t="s">
        <v>175</v>
      </c>
    </row>
    <row r="66">
      <c r="A66" s="3">
        <v>228466.0</v>
      </c>
      <c r="B66" s="3" t="s">
        <v>82</v>
      </c>
      <c r="C66" s="25" t="s">
        <v>174</v>
      </c>
      <c r="D66" s="27">
        <v>46001.0</v>
      </c>
      <c r="E66" s="3" t="s">
        <v>175</v>
      </c>
    </row>
    <row r="67">
      <c r="A67" s="3">
        <v>228462.0</v>
      </c>
      <c r="B67" s="3" t="s">
        <v>82</v>
      </c>
      <c r="C67" s="25" t="s">
        <v>174</v>
      </c>
      <c r="D67" s="27">
        <v>46001.0</v>
      </c>
      <c r="E67" s="3" t="s">
        <v>175</v>
      </c>
    </row>
    <row r="68">
      <c r="A68" s="3">
        <v>228494.0</v>
      </c>
      <c r="B68" s="3" t="s">
        <v>82</v>
      </c>
      <c r="C68" s="25" t="s">
        <v>174</v>
      </c>
      <c r="D68" s="27">
        <v>46001.0</v>
      </c>
      <c r="E68" s="3" t="s">
        <v>175</v>
      </c>
    </row>
    <row r="69">
      <c r="A69" s="3">
        <v>228438.0</v>
      </c>
      <c r="B69" s="3" t="s">
        <v>82</v>
      </c>
      <c r="C69" s="25" t="s">
        <v>174</v>
      </c>
      <c r="D69" s="27">
        <v>46001.0</v>
      </c>
      <c r="E69" s="3" t="s">
        <v>175</v>
      </c>
    </row>
    <row r="70">
      <c r="A70" s="3">
        <v>228403.0</v>
      </c>
      <c r="B70" s="3" t="s">
        <v>82</v>
      </c>
      <c r="C70" s="25" t="s">
        <v>174</v>
      </c>
      <c r="D70" s="27">
        <v>46001.0</v>
      </c>
      <c r="E70" s="3" t="s">
        <v>175</v>
      </c>
    </row>
    <row r="71">
      <c r="A71" s="3">
        <v>228476.0</v>
      </c>
      <c r="B71" s="3" t="s">
        <v>82</v>
      </c>
      <c r="C71" s="25" t="s">
        <v>174</v>
      </c>
      <c r="D71" s="27">
        <v>46001.0</v>
      </c>
      <c r="E71" s="3" t="s">
        <v>175</v>
      </c>
    </row>
    <row r="72">
      <c r="A72" s="8"/>
      <c r="B72" s="8"/>
      <c r="C72" s="4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171</v>
      </c>
    </row>
    <row r="4">
      <c r="A4" s="3" t="s">
        <v>0</v>
      </c>
    </row>
    <row r="5">
      <c r="A5" s="3" t="s">
        <v>163</v>
      </c>
      <c r="B5" s="3" t="s">
        <v>164</v>
      </c>
      <c r="C5" s="3" t="s">
        <v>165</v>
      </c>
      <c r="D5" s="3" t="s">
        <v>166</v>
      </c>
      <c r="E5" s="3" t="s">
        <v>177</v>
      </c>
    </row>
    <row r="6">
      <c r="A6" s="3" t="s">
        <v>5</v>
      </c>
      <c r="B6" s="3" t="s">
        <v>110</v>
      </c>
      <c r="C6" s="3" t="s">
        <v>168</v>
      </c>
      <c r="D6" s="18">
        <f>COUNTA(WODO!A11:A23)</f>
        <v>13</v>
      </c>
      <c r="E6" s="3" t="s">
        <v>178</v>
      </c>
    </row>
    <row r="8">
      <c r="A8" s="3" t="s">
        <v>179</v>
      </c>
      <c r="B8" s="6">
        <v>1201.0</v>
      </c>
    </row>
    <row r="10">
      <c r="A10" s="3" t="s">
        <v>180</v>
      </c>
    </row>
    <row r="11">
      <c r="A11" s="3" t="s">
        <v>182</v>
      </c>
      <c r="B11" s="3" t="s">
        <v>183</v>
      </c>
      <c r="C11" s="3" t="s">
        <v>184</v>
      </c>
      <c r="D11" s="3" t="s">
        <v>185</v>
      </c>
      <c r="E11" s="3" t="s">
        <v>186</v>
      </c>
      <c r="F11" s="3" t="s">
        <v>187</v>
      </c>
      <c r="G11" s="3" t="s">
        <v>188</v>
      </c>
    </row>
    <row r="12">
      <c r="A12" s="3" t="s">
        <v>189</v>
      </c>
      <c r="B12" s="27">
        <v>46266.0</v>
      </c>
      <c r="C12" s="6">
        <v>20.0</v>
      </c>
      <c r="D12" s="18">
        <f>$D$6</f>
        <v>13</v>
      </c>
      <c r="E12" s="18">
        <f>IFERROR(D12/C12,"")</f>
        <v>0.65</v>
      </c>
      <c r="F12" s="18">
        <f>$B$8</f>
        <v>1201</v>
      </c>
      <c r="G12" s="18">
        <f>IFERROR(E12*F12,"")</f>
        <v>780.65</v>
      </c>
    </row>
    <row r="14">
      <c r="A14" s="3" t="s">
        <v>90</v>
      </c>
      <c r="C14" s="18">
        <f t="shared" ref="C14:D14" si="1">SUM(C12:C13)</f>
        <v>20</v>
      </c>
      <c r="D14" s="18">
        <f t="shared" si="1"/>
        <v>13</v>
      </c>
      <c r="G14" s="18">
        <f>SUM(G12:G13)</f>
        <v>780.65</v>
      </c>
    </row>
    <row r="16">
      <c r="A16" s="3" t="s">
        <v>192</v>
      </c>
      <c r="B16" s="18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190</v>
      </c>
    </row>
    <row r="4">
      <c r="A4" s="3" t="s">
        <v>0</v>
      </c>
    </row>
    <row r="5">
      <c r="A5" s="3" t="s">
        <v>163</v>
      </c>
      <c r="B5" s="3" t="s">
        <v>164</v>
      </c>
      <c r="C5" s="3" t="s">
        <v>165</v>
      </c>
      <c r="D5" s="3" t="s">
        <v>166</v>
      </c>
      <c r="E5" s="3" t="s">
        <v>177</v>
      </c>
    </row>
    <row r="6">
      <c r="A6" s="3" t="s">
        <v>5</v>
      </c>
      <c r="B6" s="3" t="s">
        <v>86</v>
      </c>
      <c r="C6" s="3" t="s">
        <v>168</v>
      </c>
      <c r="D6" s="18">
        <f>COUNTA('Whole Oil'!A11:A23)</f>
        <v>1</v>
      </c>
      <c r="E6" s="3" t="s">
        <v>191</v>
      </c>
    </row>
    <row r="8">
      <c r="A8" s="3" t="s">
        <v>179</v>
      </c>
      <c r="B8" s="6">
        <v>1201.0</v>
      </c>
    </row>
    <row r="10">
      <c r="A10" s="3" t="s">
        <v>180</v>
      </c>
    </row>
    <row r="11">
      <c r="A11" s="3" t="s">
        <v>182</v>
      </c>
      <c r="B11" s="3" t="s">
        <v>183</v>
      </c>
      <c r="C11" s="3" t="s">
        <v>184</v>
      </c>
      <c r="D11" s="3" t="s">
        <v>185</v>
      </c>
      <c r="E11" s="3" t="s">
        <v>186</v>
      </c>
      <c r="F11" s="3" t="s">
        <v>187</v>
      </c>
      <c r="G11" s="3" t="s">
        <v>188</v>
      </c>
    </row>
    <row r="12">
      <c r="A12" s="3" t="s">
        <v>193</v>
      </c>
      <c r="B12" s="27">
        <v>46254.0</v>
      </c>
      <c r="C12" s="6">
        <v>18.0</v>
      </c>
      <c r="D12" s="18">
        <f>$D$6</f>
        <v>1</v>
      </c>
      <c r="E12" s="18">
        <f>IFERROR(D12/C12,"")</f>
        <v>0.05555555556</v>
      </c>
      <c r="F12" s="18">
        <f>$B$8</f>
        <v>1201</v>
      </c>
      <c r="G12" s="18">
        <f>IFERROR(E12*F12,"")</f>
        <v>66.72222222</v>
      </c>
    </row>
    <row r="14">
      <c r="A14" s="3" t="s">
        <v>90</v>
      </c>
      <c r="C14" s="18">
        <f t="shared" ref="C14:D14" si="1">SUM(C12:C13)</f>
        <v>18</v>
      </c>
      <c r="D14" s="18">
        <f t="shared" si="1"/>
        <v>1</v>
      </c>
      <c r="G14" s="18">
        <f>SUM(G12:G13)</f>
        <v>66.72222222</v>
      </c>
    </row>
    <row r="16">
      <c r="A16" s="3" t="s">
        <v>192</v>
      </c>
      <c r="B16" s="18" t="str">
        <f>IF($D$14=$D$6,"OK","MISMATCH")</f>
        <v>OK</v>
      </c>
    </row>
  </sheetData>
  <drawing r:id="rId1"/>
</worksheet>
</file>