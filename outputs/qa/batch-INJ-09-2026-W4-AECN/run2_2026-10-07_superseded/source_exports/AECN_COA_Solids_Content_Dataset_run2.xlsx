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Per Load" sheetId="2" r:id="rId6"/>
    <sheet state="visible" name="Unique COAs" sheetId="3" r:id="rId7"/>
    <sheet state="visible" name="Materiality (Sec 2)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tc={eb2b79c7-4e31-436b-9c9b-8a2acaf9342a}</author>
  </authors>
  <commentList>
    <comment authorId="0" xr:uid="{eb2b79c7-4e31-436b-9c9b-8a2acaf9342a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@garrett.lutz@charmindustrial.com From this value down through row 10: These should all be functions. If they're just hard-coded the math isn't auditable.
</t>
      </text>
    </comment>
  </commentList>
</comments>
</file>

<file path=xl/sharedStrings.xml><?xml version="1.0" encoding="utf-8"?>
<sst xmlns="http://schemas.openxmlformats.org/spreadsheetml/2006/main" count="905" uniqueCount="396">
  <si>
    <t>Metric</t>
  </si>
  <si>
    <t>COA</t>
  </si>
  <si>
    <t>load_id</t>
  </si>
  <si>
    <t>Section 2 - Aggregate Materiality: Fixed-Mean vs Per-CofA Filtration-Loss Deduction</t>
  </si>
  <si>
    <t>Value</t>
  </si>
  <si>
    <t>Notes</t>
  </si>
  <si>
    <t>solid_content</t>
  </si>
  <si>
    <t>file_id</t>
  </si>
  <si>
    <t>load_count</t>
  </si>
  <si>
    <t>Window: May 2025 - May 2026   |   ASTM D7579 (BioEnergie AE Cote-Nord)   |   all figures live from the Per Load tab</t>
  </si>
  <si>
    <t>delivery_date</t>
  </si>
  <si>
    <t>Assumptions</t>
  </si>
  <si>
    <t>Window</t>
  </si>
  <si>
    <t>Fixed-mean constant (adopted)</t>
  </si>
  <si>
    <t>RS1-250512-1</t>
  </si>
  <si>
    <t>0.240%</t>
  </si>
  <si>
    <t>2025-05-18 to 2026-05-18</t>
  </si>
  <si>
    <t>loaded_mass_kg</t>
  </si>
  <si>
    <t>last 12 months from 2026-05-18</t>
  </si>
  <si>
    <t>loss_per_cofa_kg</t>
  </si>
  <si>
    <t>1hdiKvUjHRqHRg0dBgY024y51LMEyAWJm</t>
  </si>
  <si>
    <t>loss_fixed_kg</t>
  </si>
  <si>
    <t>Source</t>
  </si>
  <si>
    <t>C content</t>
  </si>
  <si>
    <t>Bio-Oil Injection Tracker &gt; Loads (col D COA hyperlinks)</t>
  </si>
  <si>
    <t>Loads in window</t>
  </si>
  <si>
    <t>CO₂e factor (44 / 12)</t>
  </si>
  <si>
    <t>5/19/2025</t>
  </si>
  <si>
    <t>Unique COA PDFs</t>
  </si>
  <si>
    <t>RS1-250516-1</t>
  </si>
  <si>
    <t>0.180%</t>
  </si>
  <si>
    <t>1CaEjU_epE9VEXJInlz8RCkUAUIwjdGGk</t>
  </si>
  <si>
    <t>Total loaded mass (kg)</t>
  </si>
  <si>
    <t>Mean (per unique COA)</t>
  </si>
  <si>
    <t>RS1-250521-1</t>
  </si>
  <si>
    <t>0.170%</t>
  </si>
  <si>
    <t>1XYOM8HiQUbS9kilGm0ChyN-zL5Jh1n1o</t>
  </si>
  <si>
    <t>Aggregate impact across all loads</t>
  </si>
  <si>
    <t>RS1-250526-1</t>
  </si>
  <si>
    <t>19JOgx0ABBEvZspVsfKKYmoEHHXWYKY9I</t>
  </si>
  <si>
    <t>5/20/2025</t>
  </si>
  <si>
    <t>RS3-250513-1</t>
  </si>
  <si>
    <t>0.210%</t>
  </si>
  <si>
    <t>1DO2zWczGw-plAcuWdQ3-6fyqTvrhfEKv</t>
  </si>
  <si>
    <t>Current (per-CofA policy)</t>
  </si>
  <si>
    <t>RS1-250604-1</t>
  </si>
  <si>
    <t>1PArCv-ChT5CfVwUfrn0ckUPKRe24avkG</t>
  </si>
  <si>
    <t>Proposed (fixed 0.196%)</t>
  </si>
  <si>
    <t>Δ (proposed - current)</t>
  </si>
  <si>
    <t>Δ %</t>
  </si>
  <si>
    <t>5/22/2025</t>
  </si>
  <si>
    <t>RS1-250618-1</t>
  </si>
  <si>
    <t>Filtration-loss mass (kg)</t>
  </si>
  <si>
    <t>0.250%</t>
  </si>
  <si>
    <t>15aI2_OglWpN3l3lviNtdR7wFg3IjQUmB</t>
  </si>
  <si>
    <t>5/23/2025</t>
  </si>
  <si>
    <t>RS3-250519-1</t>
  </si>
  <si>
    <t>RS1-250627-1</t>
  </si>
  <si>
    <t>1mW08is17mbSbnbSoGVv6xsXJKr8icOtk</t>
  </si>
  <si>
    <t>0.220%</t>
  </si>
  <si>
    <t>1kNDW441NfjRDSdgB5B-asRuLYoQ9RUYD</t>
  </si>
  <si>
    <t>RS1-250708-1</t>
  </si>
  <si>
    <t>5/24/2025</t>
  </si>
  <si>
    <t>15EoF6SCKGDCLLvBUytY2nd8C_PkJI4-G</t>
  </si>
  <si>
    <t>RS1-250713-1</t>
  </si>
  <si>
    <t>5/26/2025</t>
  </si>
  <si>
    <t>13pXcvCUx9c8SPn2ma4J79saTiX8R3OBl</t>
  </si>
  <si>
    <t>simple mean across distinct CofAs</t>
  </si>
  <si>
    <t>Mean (per load)</t>
  </si>
  <si>
    <t>6/6/2025</t>
  </si>
  <si>
    <t>Injected mass (kg)</t>
  </si>
  <si>
    <t>RS1-250715-1</t>
  </si>
  <si>
    <t>0.290%</t>
  </si>
  <si>
    <t>1U_tQnCZbY05PVqCRdVMsyh8X2_MN9yFi</t>
  </si>
  <si>
    <t>6/7/2025</t>
  </si>
  <si>
    <t>RS3-250531-1</t>
  </si>
  <si>
    <t>0.230%</t>
  </si>
  <si>
    <t>1YhpedaMWb_wCZ95CMEtfTzQRHPta26oc</t>
  </si>
  <si>
    <t>RS1-250717-1</t>
  </si>
  <si>
    <t>6/8/2025</t>
  </si>
  <si>
    <t>1Eql9jEnS8PKiXqdEnjXVF8fHiGsdjHMy</t>
  </si>
  <si>
    <t>each load counted; weighted by deliveries per CofA</t>
  </si>
  <si>
    <t>Gross CDR (tCO₂e)</t>
  </si>
  <si>
    <t>Min</t>
  </si>
  <si>
    <t>RS1-250720-1</t>
  </si>
  <si>
    <t>1d3gksjhHgTmCjqdODDIwlsYN-ALz4NOy</t>
  </si>
  <si>
    <t>RS1-250727-1</t>
  </si>
  <si>
    <t>0.300%</t>
  </si>
  <si>
    <t>1k6qpb6KScnFf3cZfVfSIbeH_nGcjL6pH</t>
  </si>
  <si>
    <t>RS1-250809-1</t>
  </si>
  <si>
    <t>Δ filtration loss as % of total loaded mass</t>
  </si>
  <si>
    <t>0.200%</t>
  </si>
  <si>
    <t>14GpQVW_xENP6jcQle8gvLqAj8GPuwevo</t>
  </si>
  <si>
    <t>Max</t>
  </si>
  <si>
    <t>Δ gross CDR as % of gross CDR</t>
  </si>
  <si>
    <t>RS1-250817-1</t>
  </si>
  <si>
    <t>0.190%</t>
  </si>
  <si>
    <t>6/9/2025</t>
  </si>
  <si>
    <t>1uOXlLieYl1PEh18Xv8UcpPrwgkl85Xzf</t>
  </si>
  <si>
    <t>RS1-250911-1</t>
  </si>
  <si>
    <t>1lmysZnJMxut3Rz0rCevssPRBiwYK3Cax</t>
  </si>
  <si>
    <t>6/23/2025</t>
  </si>
  <si>
    <t>RS3-250616-1</t>
  </si>
  <si>
    <t>RS1-251011-1</t>
  </si>
  <si>
    <t>1LE9w6mrFoIQqHhhg8pEyWdDOJDAQppYr</t>
  </si>
  <si>
    <t>1_57dnpB5F3G53tGA5ZSWpaj6pPCfqnuk</t>
  </si>
  <si>
    <t>Std dev (per load, population)</t>
  </si>
  <si>
    <t>RS1-260117-1</t>
  </si>
  <si>
    <t>Note: %ΔCDR = %Δinjected mass at any constant C content, so the result is invariant to the C content assumption. Δ column = proposed minus current.</t>
  </si>
  <si>
    <t>0.130%</t>
  </si>
  <si>
    <t>6/27/2025</t>
  </si>
  <si>
    <t>1EGRnCfZxRo59RRfQWKFPv9IfeAKwKYyB</t>
  </si>
  <si>
    <t>RS1-260201-1</t>
  </si>
  <si>
    <t>1evJ90vRP7A8upIW5uphC5KOcPb0Wf5Ad</t>
  </si>
  <si>
    <t>6/28/2025</t>
  </si>
  <si>
    <t>RS1-260204-1</t>
  </si>
  <si>
    <t>0.150%</t>
  </si>
  <si>
    <t>1sJP4JnKqqRyszUDP06uZL6gmUbqmFktZ</t>
  </si>
  <si>
    <t>6/30/2025</t>
  </si>
  <si>
    <t>RS1-260212-1</t>
  </si>
  <si>
    <t>Recommended value for filtration loss</t>
  </si>
  <si>
    <t>1yrATA8kFY0vCZ-4LHQqRM_xteSPIrxpg</t>
  </si>
  <si>
    <t>7/3/2025</t>
  </si>
  <si>
    <t>RS1-260217-1</t>
  </si>
  <si>
    <t>0.140%</t>
  </si>
  <si>
    <t>1Vf9E8ujUWPCwzBgiwjYdqmSlSC6GvsPF</t>
  </si>
  <si>
    <t>per-load mean — best represents what is actually delivered</t>
  </si>
  <si>
    <t>RS1-260221-1</t>
  </si>
  <si>
    <t>1KcRGfEJa5-lhcU9QxVfJRNVuHEqKJWi7</t>
  </si>
  <si>
    <t>7/4/2025</t>
  </si>
  <si>
    <t>RS1-260225-1</t>
  </si>
  <si>
    <t>1GiHRLg-Fr8yT-11Kv2sf8mS9t9qYAJpH</t>
  </si>
  <si>
    <t>7/7/2025</t>
  </si>
  <si>
    <t>RS2-250701-1</t>
  </si>
  <si>
    <t>1JJJtHCUK9LchQ62DDxl5Dx0yQxu6wy5W</t>
  </si>
  <si>
    <t>RS1-260302-1</t>
  </si>
  <si>
    <t>1p9kGPHGeZSD4JBjtYjlm8JpJhq26f7OC</t>
  </si>
  <si>
    <t>RS1-260305-1</t>
  </si>
  <si>
    <t>1IJNLEaAY1gVofl95Q69ZXS9sUAWGwTGs</t>
  </si>
  <si>
    <t>RS1-260310-1</t>
  </si>
  <si>
    <t>1Q2k-ajtZbNIqN7ZKThKVfT4KVfa51Lrd</t>
  </si>
  <si>
    <t>7/8/2025</t>
  </si>
  <si>
    <t>RS3-250705-1</t>
  </si>
  <si>
    <t>1QZJpFcnAQSNZkD1YePCJaoMCu1meWVNY</t>
  </si>
  <si>
    <t>RS1-260312-1</t>
  </si>
  <si>
    <t>1c8QFeZriGWSHxebJz8AIiJwp-o4V4cOS</t>
  </si>
  <si>
    <t>7/9/2025</t>
  </si>
  <si>
    <t>RS1-260316-1</t>
  </si>
  <si>
    <t>0.160%</t>
  </si>
  <si>
    <t>1fdfsW_keQys68RDkoCkaX9XEID6od0VN</t>
  </si>
  <si>
    <t>7/12/2025</t>
  </si>
  <si>
    <t>RS1-260406-1</t>
  </si>
  <si>
    <t>1SgXxgD0KZSuND3Xb_9Pw5wYHyuJcDhA4</t>
  </si>
  <si>
    <t>RS1-260407-1</t>
  </si>
  <si>
    <t>1kTDSDdACopG9VykR0sdwR4MDn792HAuC</t>
  </si>
  <si>
    <t>7/14/2025</t>
  </si>
  <si>
    <t>RS3-250624-1</t>
  </si>
  <si>
    <t>1fBcm7ZMF5W_9xW5WxiWcYS2pPwAg_nD8</t>
  </si>
  <si>
    <t>RS1-260421-1</t>
  </si>
  <si>
    <t>1vz7Qca03qovkBkXCe0QkjPaVF2NO6fDY</t>
  </si>
  <si>
    <t>7/15/2025</t>
  </si>
  <si>
    <t>RS3-250712-1</t>
  </si>
  <si>
    <t>RS1-260502-1</t>
  </si>
  <si>
    <t>1q4gK1LKOTgb1K32ydanXTaWAN-zlIxBV</t>
  </si>
  <si>
    <t>1F4qwOmw7LKCjjzHHQ1aauIB2ShTsg52o</t>
  </si>
  <si>
    <t>RS1-260504-1</t>
  </si>
  <si>
    <t>1v02Hg9Awf-vfb2TS8QI4GE-BYL8DSdET</t>
  </si>
  <si>
    <t>7/17/2025</t>
  </si>
  <si>
    <t>RS1-260505-1</t>
  </si>
  <si>
    <t>1WFa7Mp6ZOR0aVq-j0ghqBnXqYMpQDP5u</t>
  </si>
  <si>
    <t>RS2-250813-1</t>
  </si>
  <si>
    <t>13FCskwWJT16HCd14-LkX1uGV1pxOTPQ6</t>
  </si>
  <si>
    <t>7/18/2025</t>
  </si>
  <si>
    <t>RS2-250825-1</t>
  </si>
  <si>
    <t>1jOfwCNzpp3Bc6B-XSPOqtyzRa0r2H1qp</t>
  </si>
  <si>
    <t>RS3-250714-1</t>
  </si>
  <si>
    <t>RS2-250905-1</t>
  </si>
  <si>
    <t>1lHNrJlICeXoMfvp2Qa6Qc0GO_SxvwvZk</t>
  </si>
  <si>
    <t>1_peRjjwJFXRXVVCInHWd_P61D9g30iES</t>
  </si>
  <si>
    <t>RS2-250919-1</t>
  </si>
  <si>
    <t>1hee2b5b_D81j3LImGlJJJsO_retOH-_V</t>
  </si>
  <si>
    <t>RS2-250919-1, RS3-250915-1</t>
  </si>
  <si>
    <t>7/19/2025</t>
  </si>
  <si>
    <t>0.205%</t>
  </si>
  <si>
    <t>RS2-250919-1, RS3-250923-1</t>
  </si>
  <si>
    <t>RS2-251002-1</t>
  </si>
  <si>
    <t>1NLoZbJ3mln9xSK0POYB54aOTVXeeJTX6</t>
  </si>
  <si>
    <t>7/20/2025</t>
  </si>
  <si>
    <t>RS2-251014-1</t>
  </si>
  <si>
    <t>7/25/2025</t>
  </si>
  <si>
    <t>11dw4dbRuW3eRhbalu3HdLQKnhGQUslSN</t>
  </si>
  <si>
    <t>7/26/2025</t>
  </si>
  <si>
    <t>7/27/2025</t>
  </si>
  <si>
    <t>7/28/2025</t>
  </si>
  <si>
    <t>RS3-250723-1</t>
  </si>
  <si>
    <t>0.260%</t>
  </si>
  <si>
    <t>1W3OsXQH6SuaRqHnIvUVV-eYw71PgdRmT</t>
  </si>
  <si>
    <t>207</t>
  </si>
  <si>
    <t>208</t>
  </si>
  <si>
    <t>7/30/2025</t>
  </si>
  <si>
    <t>209</t>
  </si>
  <si>
    <t>8/2/2025</t>
  </si>
  <si>
    <t>RS3-250809-1</t>
  </si>
  <si>
    <t>1qWOVtVkgdROUFiLtMHi229ivYpU_5E_3</t>
  </si>
  <si>
    <t>210</t>
  </si>
  <si>
    <t>RS3-250915-1</t>
  </si>
  <si>
    <t>8/14/2025</t>
  </si>
  <si>
    <t>1ssNNS-AUNqigoK4Pxi4sYhx8PLZ8DIJ3</t>
  </si>
  <si>
    <t>211</t>
  </si>
  <si>
    <t>8/15/2025</t>
  </si>
  <si>
    <t>RS3-250923-1</t>
  </si>
  <si>
    <t>1wmE3tpAo2xesteygoEwj4qPnaJ8bvuY9</t>
  </si>
  <si>
    <t>212</t>
  </si>
  <si>
    <t>8/20/2025</t>
  </si>
  <si>
    <t>RS3-251006-1</t>
  </si>
  <si>
    <t>1HnpijX0PW3HB4Xbk-6-cG1RtekGM08Le</t>
  </si>
  <si>
    <t>213</t>
  </si>
  <si>
    <t>RS3-251017-1</t>
  </si>
  <si>
    <t>1sKd13kKguvDjaLQYL2AHKMIwBx6hrhuu</t>
  </si>
  <si>
    <t>RS3-260128-1</t>
  </si>
  <si>
    <t>0.120%</t>
  </si>
  <si>
    <t>1_fNiqSMFpsyGZhTCjjbY3BbSS7kIS-ig</t>
  </si>
  <si>
    <t>215</t>
  </si>
  <si>
    <t>8/23/2025</t>
  </si>
  <si>
    <t>RS3-260203-1</t>
  </si>
  <si>
    <t>214</t>
  </si>
  <si>
    <t>1d3ALVVyNagSJ724tcp5lSjnFxmIxZ_tH</t>
  </si>
  <si>
    <t>8/24/2025</t>
  </si>
  <si>
    <t>RS3-260205-1</t>
  </si>
  <si>
    <t>216</t>
  </si>
  <si>
    <t>1llMoJlQ_OShGGKjmNDt7eKNx6ZXNsEt_</t>
  </si>
  <si>
    <t>8/26/2025</t>
  </si>
  <si>
    <t>RS3-260216-1</t>
  </si>
  <si>
    <t>1vJIiKH27Y8iH3fhnq-qfTVH7fZtXuH5W</t>
  </si>
  <si>
    <t>217</t>
  </si>
  <si>
    <t>8/27/2025</t>
  </si>
  <si>
    <t>RS3-260219-1</t>
  </si>
  <si>
    <t>1CndXSlkDFITRZrCMbawccCngmWYq4G-N</t>
  </si>
  <si>
    <t>218</t>
  </si>
  <si>
    <t>9/2/2025</t>
  </si>
  <si>
    <t>RS3-260223-1</t>
  </si>
  <si>
    <t>1YhtzQMMNY-QchbdPNRl0mnILf4vgpSWM</t>
  </si>
  <si>
    <t>219</t>
  </si>
  <si>
    <t>9/3/2025</t>
  </si>
  <si>
    <t>RS3-260303-1</t>
  </si>
  <si>
    <t>1-8oa8FaaOtglnZbouNzAiPI0lyvT_lT7</t>
  </si>
  <si>
    <t>221</t>
  </si>
  <si>
    <t>9/13/2025</t>
  </si>
  <si>
    <t>RS3-260310-1</t>
  </si>
  <si>
    <t>15pKhZyfIDW4yvm29Y52WhHGAGsLCUBRt</t>
  </si>
  <si>
    <t>220</t>
  </si>
  <si>
    <t>9/14/2025</t>
  </si>
  <si>
    <t>RS3-260312-1</t>
  </si>
  <si>
    <t>1HRpVxIKnlIFZ0r6rsMTrd8znTBWFOcix</t>
  </si>
  <si>
    <t>222</t>
  </si>
  <si>
    <t>RS3-260314-1</t>
  </si>
  <si>
    <t>9/17/2025</t>
  </si>
  <si>
    <t>1vPpJmvWGS0OivuaveJPZvsoKp7l5amVi</t>
  </si>
  <si>
    <t>RS3-260318-1</t>
  </si>
  <si>
    <t>1qHzsvJhmq2BXVFwy898v9QQkgKYN64pe</t>
  </si>
  <si>
    <t>223</t>
  </si>
  <si>
    <t>RS3-260410-1</t>
  </si>
  <si>
    <t>1xf-eeh9FEz9IgYhUHgebIoj7hkfvgfBk</t>
  </si>
  <si>
    <t>224</t>
  </si>
  <si>
    <t>9/21/2025</t>
  </si>
  <si>
    <t>RS3-260506-1</t>
  </si>
  <si>
    <t>1vj6RPj9Y2VhuXnqavAyyk-5tRn3oDDQA</t>
  </si>
  <si>
    <t>225</t>
  </si>
  <si>
    <t>9/22/2025</t>
  </si>
  <si>
    <t>226</t>
  </si>
  <si>
    <t>9/26/2025</t>
  </si>
  <si>
    <t>229</t>
  </si>
  <si>
    <t>9/30/2025</t>
  </si>
  <si>
    <t>231</t>
  </si>
  <si>
    <t>230</t>
  </si>
  <si>
    <t>10/2/2025</t>
  </si>
  <si>
    <t>233</t>
  </si>
  <si>
    <t>10/11/2025</t>
  </si>
  <si>
    <t>232</t>
  </si>
  <si>
    <t>10/13/2025</t>
  </si>
  <si>
    <t>227</t>
  </si>
  <si>
    <t>10/14/2025</t>
  </si>
  <si>
    <t>228</t>
  </si>
  <si>
    <t>234</t>
  </si>
  <si>
    <t>10/15/2025</t>
  </si>
  <si>
    <t>235</t>
  </si>
  <si>
    <t>10/16/2025</t>
  </si>
  <si>
    <t>236</t>
  </si>
  <si>
    <t>10/21/2025</t>
  </si>
  <si>
    <t>237</t>
  </si>
  <si>
    <t>238</t>
  </si>
  <si>
    <t>10/24/2025</t>
  </si>
  <si>
    <t>239</t>
  </si>
  <si>
    <t>240</t>
  </si>
  <si>
    <t>12/1/2025</t>
  </si>
  <si>
    <t>241</t>
  </si>
  <si>
    <t>242</t>
  </si>
  <si>
    <t>12/9/2025</t>
  </si>
  <si>
    <t>243</t>
  </si>
  <si>
    <t>246</t>
  </si>
  <si>
    <t>2/5/2026</t>
  </si>
  <si>
    <t>247</t>
  </si>
  <si>
    <t>2/6/2026</t>
  </si>
  <si>
    <t>248</t>
  </si>
  <si>
    <t>2/8/2026</t>
  </si>
  <si>
    <t>249</t>
  </si>
  <si>
    <t>2/9/2026</t>
  </si>
  <si>
    <t>250</t>
  </si>
  <si>
    <t>2/10/2026</t>
  </si>
  <si>
    <t>251</t>
  </si>
  <si>
    <t>2/11/2026</t>
  </si>
  <si>
    <t>244</t>
  </si>
  <si>
    <t>2/16/2026</t>
  </si>
  <si>
    <t>252</t>
  </si>
  <si>
    <t>2/17/2026</t>
  </si>
  <si>
    <t>253</t>
  </si>
  <si>
    <t>2/18/2026</t>
  </si>
  <si>
    <t>254</t>
  </si>
  <si>
    <t>2/20/2026</t>
  </si>
  <si>
    <t>255</t>
  </si>
  <si>
    <t>257</t>
  </si>
  <si>
    <t>256</t>
  </si>
  <si>
    <t>2/21/2026</t>
  </si>
  <si>
    <t>258</t>
  </si>
  <si>
    <t>259</t>
  </si>
  <si>
    <t>2/24/2026</t>
  </si>
  <si>
    <t>260</t>
  </si>
  <si>
    <t>2/25/2026</t>
  </si>
  <si>
    <t>261</t>
  </si>
  <si>
    <t>2/26/2026</t>
  </si>
  <si>
    <t>262</t>
  </si>
  <si>
    <t>263</t>
  </si>
  <si>
    <t>2/27/2026</t>
  </si>
  <si>
    <t>264</t>
  </si>
  <si>
    <t>2/28/2026</t>
  </si>
  <si>
    <t>265</t>
  </si>
  <si>
    <t>266</t>
  </si>
  <si>
    <t>3/1/2026</t>
  </si>
  <si>
    <t>267</t>
  </si>
  <si>
    <t>3/2/2026</t>
  </si>
  <si>
    <t>268</t>
  </si>
  <si>
    <t>3/4/2026</t>
  </si>
  <si>
    <t>269</t>
  </si>
  <si>
    <t>3/6/2026</t>
  </si>
  <si>
    <t>272</t>
  </si>
  <si>
    <t>3/7/2026</t>
  </si>
  <si>
    <t>273</t>
  </si>
  <si>
    <t>3/8/2026</t>
  </si>
  <si>
    <t>274</t>
  </si>
  <si>
    <t>275</t>
  </si>
  <si>
    <t>3/9/2026</t>
  </si>
  <si>
    <t>276</t>
  </si>
  <si>
    <t>3/15/2026</t>
  </si>
  <si>
    <t>277</t>
  </si>
  <si>
    <t>3/17/2026</t>
  </si>
  <si>
    <t>1sIBwaa9qFkxn6mfnO-P-cgoLGHK6XvtP</t>
  </si>
  <si>
    <t>278</t>
  </si>
  <si>
    <t>279</t>
  </si>
  <si>
    <t>280</t>
  </si>
  <si>
    <t>3/18/2026</t>
  </si>
  <si>
    <t>281</t>
  </si>
  <si>
    <t>282</t>
  </si>
  <si>
    <t>3/19/2026</t>
  </si>
  <si>
    <t>283</t>
  </si>
  <si>
    <t>284</t>
  </si>
  <si>
    <t>3/20/2026</t>
  </si>
  <si>
    <t>285</t>
  </si>
  <si>
    <t>286</t>
  </si>
  <si>
    <t>287</t>
  </si>
  <si>
    <t>3/22/2026</t>
  </si>
  <si>
    <t>290</t>
  </si>
  <si>
    <t>291</t>
  </si>
  <si>
    <t>288</t>
  </si>
  <si>
    <t>3/23/2026</t>
  </si>
  <si>
    <t>292</t>
  </si>
  <si>
    <t>271</t>
  </si>
  <si>
    <t>3/25/2026</t>
  </si>
  <si>
    <t>289</t>
  </si>
  <si>
    <t>293</t>
  </si>
  <si>
    <t>295</t>
  </si>
  <si>
    <t>4/11/2026</t>
  </si>
  <si>
    <t>298</t>
  </si>
  <si>
    <t>4/12/2026</t>
  </si>
  <si>
    <t>299</t>
  </si>
  <si>
    <t>4/16/2026</t>
  </si>
  <si>
    <t>300</t>
  </si>
  <si>
    <t>5/20/2026</t>
  </si>
  <si>
    <t>307</t>
  </si>
  <si>
    <t>5/22/2026</t>
  </si>
  <si>
    <t>308</t>
  </si>
  <si>
    <t>309</t>
  </si>
  <si>
    <t>310</t>
  </si>
  <si>
    <t>311</t>
  </si>
  <si>
    <t>312</t>
  </si>
  <si>
    <t>313</t>
  </si>
  <si>
    <t>314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</si>
</sst>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%"/>
    <numFmt numFmtId="165" formatCode="0.0000"/>
    <numFmt numFmtId="166" formatCode="0.0000%"/>
    <numFmt numFmtId="167" formatCode="#,##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i/>
      <color rgb="FF666666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E2F2"/>
        <bgColor rgb="FFD8E2F2"/>
      </patternFill>
    </fill>
    <fill>
      <patternFill patternType="solid">
        <fgColor rgb="FFD8EDD3"/>
        <bgColor rgb="FFD8EDD3"/>
      </patternFill>
    </fill>
  </fills>
  <borders count="10">
    <border/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4" xfId="0" applyAlignment="1" applyFont="1" applyNumberFormat="1">
      <alignment readingOrder="0"/>
    </xf>
    <xf borderId="0" fillId="0" fontId="4" numFmtId="165" xfId="0" applyFont="1" applyNumberFormat="1"/>
    <xf borderId="0" fillId="0" fontId="4" numFmtId="1" xfId="0" applyAlignment="1" applyFont="1" applyNumberFormat="1">
      <alignment readingOrder="0"/>
    </xf>
    <xf borderId="0" fillId="0" fontId="4" numFmtId="1" xfId="0" applyFont="1" applyNumberFormat="1"/>
    <xf borderId="0" fillId="0" fontId="4" numFmtId="4" xfId="0" applyFont="1" applyNumberFormat="1"/>
    <xf borderId="0" fillId="0" fontId="4" numFmtId="3" xfId="0" applyFont="1" applyNumberFormat="1"/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readingOrder="0"/>
    </xf>
    <xf borderId="3" fillId="2" fontId="1" numFmtId="0" xfId="0" applyAlignment="1" applyBorder="1" applyFill="1" applyFont="1">
      <alignment readingOrder="0"/>
    </xf>
    <xf borderId="4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0" fontId="4" numFmtId="164" xfId="0" applyAlignment="1" applyFont="1" applyNumberFormat="1">
      <alignment readingOrder="0"/>
    </xf>
    <xf borderId="6" fillId="0" fontId="4" numFmtId="10" xfId="0" applyBorder="1" applyFont="1" applyNumberFormat="1"/>
    <xf borderId="6" fillId="0" fontId="4" numFmtId="166" xfId="0" applyBorder="1" applyFont="1" applyNumberFormat="1"/>
    <xf borderId="7" fillId="0" fontId="4" numFmtId="0" xfId="0" applyAlignment="1" applyBorder="1" applyFont="1">
      <alignment readingOrder="0"/>
    </xf>
    <xf borderId="8" fillId="0" fontId="4" numFmtId="167" xfId="0" applyBorder="1" applyFont="1" applyNumberFormat="1"/>
    <xf borderId="9" fillId="0" fontId="4" numFmtId="166" xfId="0" applyBorder="1" applyFont="1" applyNumberFormat="1"/>
    <xf borderId="0" fillId="0" fontId="4" numFmtId="166" xfId="0" applyFont="1" applyNumberFormat="1"/>
    <xf borderId="0" fillId="3" fontId="1" numFmtId="0" xfId="0" applyFill="1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.lutz@charmindustrial.com" id="{dcf73667-12d6-4b88-bfca-a78081c049ce}" userId="garrett.lutz@charmindustrial.com" providerId="google-sheets"/>
  <x18tc:person displayName="Max Lavine" id="{b288db05-3227-4bc9-b3d3-b1191e2673a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" dT="2026-06-05T23:46:04.00" personId="{b288db05-3227-4bc9-b3d3-b1191e2673a5}" id="{eb2b79c7-4e31-436b-9c9b-8a2acaf9342a}" done="1">
    <x18tc:text xml:space="preserve">@garrett.lutz@charmindustrial.com From this value down through row 10: These should all be functions. If they're just hard-coded the math isn't auditable.</x18tc:text>
    <x18tc:mentions>
      <x18tc:mention mentionpersonId="{dcf73667-12d6-4b88-bfca-a78081c049ce}" mentionId="{7e50f00c-5990-49a6-b361-eec37531021a}" startIndex="0" length="3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40.63"/>
    <col customWidth="1" min="3" max="3" width="43.13"/>
  </cols>
  <sheetData>
    <row r="1">
      <c r="A1" s="1" t="s">
        <v>0</v>
      </c>
      <c r="B1" s="1" t="s">
        <v>4</v>
      </c>
      <c r="C1" s="1" t="s">
        <v>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12</v>
      </c>
      <c r="B2" s="5" t="s">
        <v>16</v>
      </c>
      <c r="C2" s="5" t="s">
        <v>18</v>
      </c>
    </row>
    <row r="3">
      <c r="A3" s="5" t="s">
        <v>22</v>
      </c>
      <c r="B3" s="5" t="s">
        <v>24</v>
      </c>
    </row>
    <row r="4">
      <c r="A4" s="5" t="s">
        <v>25</v>
      </c>
      <c r="B4" s="12">
        <f>COUNTA('Per Load'!A2:A137)</f>
        <v>136</v>
      </c>
    </row>
    <row r="5">
      <c r="A5" s="5" t="s">
        <v>28</v>
      </c>
      <c r="B5" s="12">
        <f>COUNTA('Unique COAs'!A2:A72)</f>
        <v>71</v>
      </c>
    </row>
    <row r="6">
      <c r="A6" s="5" t="s">
        <v>33</v>
      </c>
      <c r="B6" s="21">
        <f t="array" ref="B6">AVERAGE(IFERROR(VALUE(SUBSTITUTE('Unique COAs'!B2:B72,"%",""))/100,""))</f>
        <v>0.001945774648</v>
      </c>
      <c r="C6" s="5" t="s">
        <v>67</v>
      </c>
    </row>
    <row r="7">
      <c r="A7" s="5" t="s">
        <v>68</v>
      </c>
      <c r="B7" s="21">
        <f t="array" ref="B7">AVERAGE(IFERROR(VALUE(SUBSTITUTE('Per Load'!D2:D137,"%",""))/100,""))</f>
        <v>0.001959191176</v>
      </c>
      <c r="C7" s="5" t="s">
        <v>81</v>
      </c>
    </row>
    <row r="8">
      <c r="A8" s="5" t="s">
        <v>83</v>
      </c>
      <c r="B8" s="21">
        <f t="array" ref="B8">MIN(IFERROR(VALUE(SUBSTITUTE('Per Load'!D2:D137,"%",""))/100,""))</f>
        <v>0.0012</v>
      </c>
    </row>
    <row r="9">
      <c r="A9" s="5" t="s">
        <v>93</v>
      </c>
      <c r="B9" s="21">
        <f t="array" ref="B9">MAX(IFERROR(VALUE(SUBSTITUTE('Per Load'!D2:D137,"%",""))/100,""))</f>
        <v>0.003</v>
      </c>
    </row>
    <row r="10">
      <c r="A10" s="5" t="s">
        <v>106</v>
      </c>
      <c r="B10" s="21">
        <f t="array" ref="B10">STDEVP(IFERROR(VALUE(SUBSTITUTE('Per Load'!D2:D137,"%",""))/100,""))</f>
        <v>0.0003912274334</v>
      </c>
    </row>
    <row r="12">
      <c r="A12" s="5" t="s">
        <v>120</v>
      </c>
      <c r="B12" s="21">
        <f>B7</f>
        <v>0.001959191176</v>
      </c>
      <c r="C12" s="5" t="s">
        <v>126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0.63"/>
    <col customWidth="1" min="3" max="3" width="23.63"/>
    <col customWidth="1" min="4" max="4" width="11.88"/>
    <col customWidth="1" min="5" max="5" width="33.38"/>
  </cols>
  <sheetData>
    <row r="1">
      <c r="A1" s="1" t="s">
        <v>2</v>
      </c>
      <c r="B1" s="1" t="s">
        <v>10</v>
      </c>
      <c r="C1" s="1" t="s">
        <v>1</v>
      </c>
      <c r="D1" s="1" t="s">
        <v>6</v>
      </c>
      <c r="E1" s="1" t="s">
        <v>7</v>
      </c>
      <c r="F1" s="1" t="s">
        <v>17</v>
      </c>
      <c r="G1" s="1" t="s">
        <v>19</v>
      </c>
      <c r="H1" s="1" t="s">
        <v>21</v>
      </c>
      <c r="I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9">
        <v>168.0</v>
      </c>
      <c r="B2" s="6" t="s">
        <v>27</v>
      </c>
      <c r="C2" s="5" t="s">
        <v>14</v>
      </c>
      <c r="D2" s="6" t="s">
        <v>15</v>
      </c>
      <c r="E2" s="5" t="s">
        <v>20</v>
      </c>
      <c r="F2" s="10">
        <v>20570.0</v>
      </c>
      <c r="G2" s="14">
        <f t="shared" ref="G2:G137" si="1">F2*IFERROR(VALUE(SUBSTITUTE($D2,"%","")),0)/100</f>
        <v>49.368</v>
      </c>
      <c r="H2" s="14">
        <f>F2*'Materiality (Sec 2)'!$B$5</f>
        <v>40.3172</v>
      </c>
    </row>
    <row r="3">
      <c r="A3" s="9">
        <v>169.0</v>
      </c>
      <c r="B3" s="6" t="s">
        <v>40</v>
      </c>
      <c r="C3" s="5" t="s">
        <v>41</v>
      </c>
      <c r="D3" s="6" t="s">
        <v>42</v>
      </c>
      <c r="E3" s="5" t="s">
        <v>43</v>
      </c>
      <c r="F3" s="10">
        <v>19970.0</v>
      </c>
      <c r="G3" s="14">
        <f t="shared" si="1"/>
        <v>41.937</v>
      </c>
      <c r="H3" s="14">
        <f>F3*'Materiality (Sec 2)'!$B$5</f>
        <v>39.1412</v>
      </c>
    </row>
    <row r="4">
      <c r="A4" s="9">
        <v>170.0</v>
      </c>
      <c r="B4" s="6" t="s">
        <v>50</v>
      </c>
      <c r="C4" s="5" t="s">
        <v>29</v>
      </c>
      <c r="D4" s="6" t="s">
        <v>30</v>
      </c>
      <c r="E4" s="5" t="s">
        <v>31</v>
      </c>
      <c r="F4" s="10">
        <v>20840.0</v>
      </c>
      <c r="G4" s="14">
        <f t="shared" si="1"/>
        <v>37.512</v>
      </c>
      <c r="H4" s="14">
        <f>F4*'Materiality (Sec 2)'!$B$5</f>
        <v>40.8464</v>
      </c>
    </row>
    <row r="5">
      <c r="A5" s="9">
        <v>172.0</v>
      </c>
      <c r="B5" s="6" t="s">
        <v>55</v>
      </c>
      <c r="C5" s="5" t="s">
        <v>56</v>
      </c>
      <c r="D5" s="6" t="s">
        <v>42</v>
      </c>
      <c r="E5" s="5" t="s">
        <v>58</v>
      </c>
      <c r="F5" s="10">
        <v>20110.0</v>
      </c>
      <c r="G5" s="14">
        <f t="shared" si="1"/>
        <v>42.231</v>
      </c>
      <c r="H5" s="14">
        <f>F5*'Materiality (Sec 2)'!$B$5</f>
        <v>39.4156</v>
      </c>
    </row>
    <row r="6">
      <c r="A6" s="9">
        <v>171.0</v>
      </c>
      <c r="B6" s="6" t="s">
        <v>62</v>
      </c>
      <c r="C6" s="5" t="s">
        <v>56</v>
      </c>
      <c r="D6" s="6" t="s">
        <v>42</v>
      </c>
      <c r="E6" s="5" t="s">
        <v>58</v>
      </c>
      <c r="F6" s="10">
        <v>20370.0</v>
      </c>
      <c r="G6" s="14">
        <f t="shared" si="1"/>
        <v>42.777</v>
      </c>
      <c r="H6" s="14">
        <f>F6*'Materiality (Sec 2)'!$B$5</f>
        <v>39.9252</v>
      </c>
    </row>
    <row r="7">
      <c r="A7" s="9">
        <v>173.0</v>
      </c>
      <c r="B7" s="6" t="s">
        <v>65</v>
      </c>
      <c r="C7" s="5" t="s">
        <v>34</v>
      </c>
      <c r="D7" s="6" t="s">
        <v>35</v>
      </c>
      <c r="E7" s="5" t="s">
        <v>36</v>
      </c>
      <c r="F7" s="10">
        <v>20580.0</v>
      </c>
      <c r="G7" s="14">
        <f t="shared" si="1"/>
        <v>34.986</v>
      </c>
      <c r="H7" s="14">
        <f>F7*'Materiality (Sec 2)'!$B$5</f>
        <v>40.3368</v>
      </c>
    </row>
    <row r="8">
      <c r="A8" s="9">
        <v>174.0</v>
      </c>
      <c r="B8" s="6" t="s">
        <v>69</v>
      </c>
      <c r="C8" s="5" t="s">
        <v>38</v>
      </c>
      <c r="D8" s="6" t="s">
        <v>30</v>
      </c>
      <c r="E8" s="5" t="s">
        <v>39</v>
      </c>
      <c r="F8" s="10">
        <v>20270.0</v>
      </c>
      <c r="G8" s="14">
        <f t="shared" si="1"/>
        <v>36.486</v>
      </c>
      <c r="H8" s="14">
        <f>F8*'Materiality (Sec 2)'!$B$5</f>
        <v>39.7292</v>
      </c>
    </row>
    <row r="9">
      <c r="A9" s="9">
        <v>175.0</v>
      </c>
      <c r="B9" s="6" t="s">
        <v>74</v>
      </c>
      <c r="C9" s="5" t="s">
        <v>75</v>
      </c>
      <c r="D9" s="6" t="s">
        <v>76</v>
      </c>
      <c r="E9" s="5" t="s">
        <v>77</v>
      </c>
      <c r="F9" s="10">
        <v>20560.0</v>
      </c>
      <c r="G9" s="14">
        <f t="shared" si="1"/>
        <v>47.288</v>
      </c>
      <c r="H9" s="14">
        <f>F9*'Materiality (Sec 2)'!$B$5</f>
        <v>40.2976</v>
      </c>
    </row>
    <row r="10">
      <c r="A10" s="9">
        <v>176.0</v>
      </c>
      <c r="B10" s="6" t="s">
        <v>79</v>
      </c>
      <c r="C10" s="5" t="s">
        <v>75</v>
      </c>
      <c r="D10" s="6" t="s">
        <v>76</v>
      </c>
      <c r="E10" s="5" t="s">
        <v>77</v>
      </c>
      <c r="F10" s="10">
        <v>20610.0</v>
      </c>
      <c r="G10" s="14">
        <f t="shared" si="1"/>
        <v>47.403</v>
      </c>
      <c r="H10" s="14">
        <f>F10*'Materiality (Sec 2)'!$B$5</f>
        <v>40.3956</v>
      </c>
    </row>
    <row r="11">
      <c r="A11" s="9">
        <v>177.0</v>
      </c>
      <c r="B11" s="6" t="s">
        <v>79</v>
      </c>
      <c r="C11" s="5" t="s">
        <v>45</v>
      </c>
      <c r="D11" s="6" t="s">
        <v>30</v>
      </c>
      <c r="E11" s="5" t="s">
        <v>46</v>
      </c>
      <c r="F11" s="10">
        <v>20580.0</v>
      </c>
      <c r="G11" s="14">
        <f t="shared" si="1"/>
        <v>37.044</v>
      </c>
      <c r="H11" s="14">
        <f>F11*'Materiality (Sec 2)'!$B$5</f>
        <v>40.3368</v>
      </c>
    </row>
    <row r="12">
      <c r="A12" s="9">
        <v>178.0</v>
      </c>
      <c r="B12" s="6" t="s">
        <v>79</v>
      </c>
      <c r="C12" s="5" t="s">
        <v>45</v>
      </c>
      <c r="D12" s="6" t="s">
        <v>30</v>
      </c>
      <c r="E12" s="5" t="s">
        <v>46</v>
      </c>
      <c r="F12" s="10">
        <v>20250.0</v>
      </c>
      <c r="G12" s="14">
        <f t="shared" si="1"/>
        <v>36.45</v>
      </c>
      <c r="H12" s="14">
        <f>F12*'Materiality (Sec 2)'!$B$5</f>
        <v>39.69</v>
      </c>
    </row>
    <row r="13">
      <c r="A13" s="9">
        <v>180.0</v>
      </c>
      <c r="B13" s="6" t="s">
        <v>79</v>
      </c>
      <c r="C13" s="5" t="s">
        <v>45</v>
      </c>
      <c r="D13" s="6" t="s">
        <v>30</v>
      </c>
      <c r="E13" s="5" t="s">
        <v>46</v>
      </c>
      <c r="F13" s="10">
        <v>20220.0</v>
      </c>
      <c r="G13" s="14">
        <f t="shared" si="1"/>
        <v>36.396</v>
      </c>
      <c r="H13" s="14">
        <f>F13*'Materiality (Sec 2)'!$B$5</f>
        <v>39.6312</v>
      </c>
    </row>
    <row r="14">
      <c r="A14" s="9">
        <v>179.0</v>
      </c>
      <c r="B14" s="6" t="s">
        <v>97</v>
      </c>
      <c r="C14" s="5" t="s">
        <v>45</v>
      </c>
      <c r="D14" s="6" t="s">
        <v>30</v>
      </c>
      <c r="E14" s="5" t="s">
        <v>46</v>
      </c>
      <c r="F14" s="10">
        <v>19930.0</v>
      </c>
      <c r="G14" s="14">
        <f t="shared" si="1"/>
        <v>35.874</v>
      </c>
      <c r="H14" s="14">
        <f>F14*'Materiality (Sec 2)'!$B$5</f>
        <v>39.0628</v>
      </c>
    </row>
    <row r="15">
      <c r="A15" s="9">
        <v>181.0</v>
      </c>
      <c r="B15" s="6" t="s">
        <v>101</v>
      </c>
      <c r="C15" s="5" t="s">
        <v>102</v>
      </c>
      <c r="D15" s="6" t="s">
        <v>53</v>
      </c>
      <c r="E15" s="5" t="s">
        <v>104</v>
      </c>
      <c r="F15" s="10">
        <v>21190.0</v>
      </c>
      <c r="G15" s="14">
        <f t="shared" si="1"/>
        <v>52.975</v>
      </c>
      <c r="H15" s="14">
        <f>F15*'Materiality (Sec 2)'!$B$5</f>
        <v>41.5324</v>
      </c>
    </row>
    <row r="16">
      <c r="A16" s="9">
        <v>182.0</v>
      </c>
      <c r="B16" s="6" t="s">
        <v>110</v>
      </c>
      <c r="C16" s="5" t="s">
        <v>51</v>
      </c>
      <c r="D16" s="6" t="s">
        <v>53</v>
      </c>
      <c r="E16" s="5" t="s">
        <v>54</v>
      </c>
      <c r="F16" s="10">
        <v>20320.0</v>
      </c>
      <c r="G16" s="14">
        <f t="shared" si="1"/>
        <v>50.8</v>
      </c>
      <c r="H16" s="14">
        <f>F16*'Materiality (Sec 2)'!$B$5</f>
        <v>39.8272</v>
      </c>
    </row>
    <row r="17">
      <c r="A17" s="9">
        <v>183.0</v>
      </c>
      <c r="B17" s="6" t="s">
        <v>114</v>
      </c>
      <c r="C17" s="5" t="s">
        <v>51</v>
      </c>
      <c r="D17" s="6" t="s">
        <v>53</v>
      </c>
      <c r="E17" s="5" t="s">
        <v>54</v>
      </c>
      <c r="F17" s="10">
        <v>20690.0</v>
      </c>
      <c r="G17" s="14">
        <f t="shared" si="1"/>
        <v>51.725</v>
      </c>
      <c r="H17" s="14">
        <f>F17*'Materiality (Sec 2)'!$B$5</f>
        <v>40.5524</v>
      </c>
    </row>
    <row r="18">
      <c r="A18" s="9">
        <v>184.0</v>
      </c>
      <c r="B18" s="6" t="s">
        <v>118</v>
      </c>
      <c r="C18" s="5" t="s">
        <v>51</v>
      </c>
      <c r="D18" s="6" t="s">
        <v>53</v>
      </c>
      <c r="E18" s="5" t="s">
        <v>54</v>
      </c>
      <c r="F18" s="10">
        <v>20030.0</v>
      </c>
      <c r="G18" s="14">
        <f t="shared" si="1"/>
        <v>50.075</v>
      </c>
      <c r="H18" s="14">
        <f>F18*'Materiality (Sec 2)'!$B$5</f>
        <v>39.2588</v>
      </c>
    </row>
    <row r="19">
      <c r="A19" s="9">
        <v>185.0</v>
      </c>
      <c r="B19" s="6" t="s">
        <v>122</v>
      </c>
      <c r="C19" s="5" t="s">
        <v>57</v>
      </c>
      <c r="D19" s="6" t="s">
        <v>59</v>
      </c>
      <c r="E19" s="5" t="s">
        <v>60</v>
      </c>
      <c r="F19" s="10">
        <v>20590.0</v>
      </c>
      <c r="G19" s="14">
        <f t="shared" si="1"/>
        <v>45.298</v>
      </c>
      <c r="H19" s="14">
        <f>F19*'Materiality (Sec 2)'!$B$5</f>
        <v>40.3564</v>
      </c>
    </row>
    <row r="20">
      <c r="A20" s="9">
        <v>186.0</v>
      </c>
      <c r="B20" s="6" t="s">
        <v>129</v>
      </c>
      <c r="C20" s="5" t="s">
        <v>57</v>
      </c>
      <c r="D20" s="6" t="s">
        <v>59</v>
      </c>
      <c r="E20" s="5" t="s">
        <v>60</v>
      </c>
      <c r="F20" s="10">
        <v>20600.0</v>
      </c>
      <c r="G20" s="14">
        <f t="shared" si="1"/>
        <v>45.32</v>
      </c>
      <c r="H20" s="14">
        <f>F20*'Materiality (Sec 2)'!$B$5</f>
        <v>40.376</v>
      </c>
    </row>
    <row r="21">
      <c r="A21" s="9">
        <v>187.0</v>
      </c>
      <c r="B21" s="6" t="s">
        <v>132</v>
      </c>
      <c r="C21" s="5" t="s">
        <v>133</v>
      </c>
      <c r="D21" s="6" t="s">
        <v>53</v>
      </c>
      <c r="E21" s="5" t="s">
        <v>134</v>
      </c>
      <c r="F21" s="10">
        <v>21230.0</v>
      </c>
      <c r="G21" s="14">
        <f t="shared" si="1"/>
        <v>53.075</v>
      </c>
      <c r="H21" s="14">
        <f>F21*'Materiality (Sec 2)'!$B$5</f>
        <v>41.6108</v>
      </c>
    </row>
    <row r="22">
      <c r="A22" s="9">
        <v>188.0</v>
      </c>
      <c r="B22" s="6" t="s">
        <v>132</v>
      </c>
      <c r="C22" s="5" t="s">
        <v>133</v>
      </c>
      <c r="D22" s="6" t="s">
        <v>53</v>
      </c>
      <c r="E22" s="5" t="s">
        <v>134</v>
      </c>
      <c r="F22" s="10">
        <v>20750.0</v>
      </c>
      <c r="G22" s="14">
        <f t="shared" si="1"/>
        <v>51.875</v>
      </c>
      <c r="H22" s="14">
        <f>F22*'Materiality (Sec 2)'!$B$5</f>
        <v>40.67</v>
      </c>
    </row>
    <row r="23">
      <c r="A23" s="9">
        <v>190.0</v>
      </c>
      <c r="B23" s="6" t="s">
        <v>141</v>
      </c>
      <c r="C23" s="5" t="s">
        <v>142</v>
      </c>
      <c r="D23" s="6" t="s">
        <v>53</v>
      </c>
      <c r="E23" s="5" t="s">
        <v>143</v>
      </c>
      <c r="F23" s="10">
        <v>20560.0</v>
      </c>
      <c r="G23" s="14">
        <f t="shared" si="1"/>
        <v>51.4</v>
      </c>
      <c r="H23" s="14">
        <f>F23*'Materiality (Sec 2)'!$B$5</f>
        <v>40.2976</v>
      </c>
    </row>
    <row r="24">
      <c r="A24" s="9">
        <v>189.0</v>
      </c>
      <c r="B24" s="6" t="s">
        <v>146</v>
      </c>
      <c r="C24" s="5" t="s">
        <v>133</v>
      </c>
      <c r="D24" s="6" t="s">
        <v>53</v>
      </c>
      <c r="E24" s="5" t="s">
        <v>134</v>
      </c>
      <c r="F24" s="10">
        <v>20200.0</v>
      </c>
      <c r="G24" s="14">
        <f t="shared" si="1"/>
        <v>50.5</v>
      </c>
      <c r="H24" s="14">
        <f>F24*'Materiality (Sec 2)'!$B$5</f>
        <v>39.592</v>
      </c>
    </row>
    <row r="25">
      <c r="A25" s="9">
        <v>191.0</v>
      </c>
      <c r="B25" s="6" t="s">
        <v>150</v>
      </c>
      <c r="C25" s="5" t="s">
        <v>61</v>
      </c>
      <c r="D25" s="6" t="s">
        <v>59</v>
      </c>
      <c r="E25" s="5" t="s">
        <v>63</v>
      </c>
      <c r="F25" s="10">
        <v>19950.0</v>
      </c>
      <c r="G25" s="14">
        <f t="shared" si="1"/>
        <v>43.89</v>
      </c>
      <c r="H25" s="14">
        <f>F25*'Materiality (Sec 2)'!$B$5</f>
        <v>39.102</v>
      </c>
    </row>
    <row r="26">
      <c r="A26" s="9">
        <v>192.0</v>
      </c>
      <c r="B26" s="6" t="s">
        <v>150</v>
      </c>
      <c r="C26" s="5" t="s">
        <v>61</v>
      </c>
      <c r="D26" s="6" t="s">
        <v>59</v>
      </c>
      <c r="E26" s="5" t="s">
        <v>63</v>
      </c>
      <c r="F26" s="10">
        <v>20920.0</v>
      </c>
      <c r="G26" s="14">
        <f t="shared" si="1"/>
        <v>46.024</v>
      </c>
      <c r="H26" s="14">
        <f>F26*'Materiality (Sec 2)'!$B$5</f>
        <v>41.0032</v>
      </c>
    </row>
    <row r="27">
      <c r="A27" s="9">
        <v>193.0</v>
      </c>
      <c r="B27" s="6" t="s">
        <v>155</v>
      </c>
      <c r="C27" s="5" t="s">
        <v>156</v>
      </c>
      <c r="D27" s="6" t="s">
        <v>59</v>
      </c>
      <c r="E27" s="5" t="s">
        <v>157</v>
      </c>
      <c r="F27" s="10">
        <v>20000.0</v>
      </c>
      <c r="G27" s="14">
        <f t="shared" si="1"/>
        <v>44</v>
      </c>
      <c r="H27" s="14">
        <f>F27*'Materiality (Sec 2)'!$B$5</f>
        <v>39.2</v>
      </c>
    </row>
    <row r="28">
      <c r="A28" s="9">
        <v>194.0</v>
      </c>
      <c r="B28" s="6" t="s">
        <v>160</v>
      </c>
      <c r="C28" s="5" t="s">
        <v>161</v>
      </c>
      <c r="D28" s="6" t="s">
        <v>96</v>
      </c>
      <c r="E28" s="5" t="s">
        <v>163</v>
      </c>
      <c r="F28" s="10">
        <v>21360.0</v>
      </c>
      <c r="G28" s="14">
        <f t="shared" si="1"/>
        <v>40.584</v>
      </c>
      <c r="H28" s="14">
        <f>F28*'Materiality (Sec 2)'!$B$5</f>
        <v>41.8656</v>
      </c>
    </row>
    <row r="29">
      <c r="A29" s="9">
        <v>195.0</v>
      </c>
      <c r="B29" s="6" t="s">
        <v>167</v>
      </c>
      <c r="C29" s="5" t="s">
        <v>64</v>
      </c>
      <c r="D29" s="6" t="s">
        <v>42</v>
      </c>
      <c r="E29" s="5" t="s">
        <v>66</v>
      </c>
      <c r="F29" s="10">
        <v>20810.0</v>
      </c>
      <c r="G29" s="14">
        <f t="shared" si="1"/>
        <v>43.701</v>
      </c>
      <c r="H29" s="14">
        <f>F29*'Materiality (Sec 2)'!$B$5</f>
        <v>40.7876</v>
      </c>
    </row>
    <row r="30">
      <c r="A30" s="9">
        <v>196.0</v>
      </c>
      <c r="B30" s="6" t="s">
        <v>172</v>
      </c>
      <c r="C30" s="5" t="s">
        <v>64</v>
      </c>
      <c r="D30" s="6" t="s">
        <v>42</v>
      </c>
      <c r="E30" s="5" t="s">
        <v>66</v>
      </c>
      <c r="F30" s="10">
        <v>20330.0</v>
      </c>
      <c r="G30" s="14">
        <f t="shared" si="1"/>
        <v>42.693</v>
      </c>
      <c r="H30" s="14">
        <f>F30*'Materiality (Sec 2)'!$B$5</f>
        <v>39.8468</v>
      </c>
    </row>
    <row r="31">
      <c r="A31" s="9">
        <v>197.0</v>
      </c>
      <c r="B31" s="6" t="s">
        <v>172</v>
      </c>
      <c r="C31" s="5" t="s">
        <v>175</v>
      </c>
      <c r="D31" s="6" t="s">
        <v>72</v>
      </c>
      <c r="E31" s="5" t="s">
        <v>177</v>
      </c>
      <c r="F31" s="10">
        <v>20840.0</v>
      </c>
      <c r="G31" s="14">
        <f t="shared" si="1"/>
        <v>60.436</v>
      </c>
      <c r="H31" s="14">
        <f>F31*'Materiality (Sec 2)'!$B$5</f>
        <v>40.8464</v>
      </c>
    </row>
    <row r="32">
      <c r="A32" s="9">
        <v>198.0</v>
      </c>
      <c r="B32" s="6" t="s">
        <v>172</v>
      </c>
      <c r="C32" s="5" t="s">
        <v>175</v>
      </c>
      <c r="D32" s="6" t="s">
        <v>72</v>
      </c>
      <c r="E32" s="5" t="s">
        <v>177</v>
      </c>
      <c r="F32" s="10">
        <v>20910.0</v>
      </c>
      <c r="G32" s="14">
        <f t="shared" si="1"/>
        <v>60.639</v>
      </c>
      <c r="H32" s="14">
        <f>F32*'Materiality (Sec 2)'!$B$5</f>
        <v>40.9836</v>
      </c>
    </row>
    <row r="33">
      <c r="A33" s="9">
        <v>200.0</v>
      </c>
      <c r="B33" s="6" t="s">
        <v>182</v>
      </c>
      <c r="C33" s="5" t="s">
        <v>71</v>
      </c>
      <c r="D33" s="6" t="s">
        <v>72</v>
      </c>
      <c r="E33" s="5" t="s">
        <v>73</v>
      </c>
      <c r="F33" s="10">
        <v>19410.0</v>
      </c>
      <c r="G33" s="14">
        <f t="shared" si="1"/>
        <v>56.289</v>
      </c>
      <c r="H33" s="14">
        <f>F33*'Materiality (Sec 2)'!$B$5</f>
        <v>38.0436</v>
      </c>
    </row>
    <row r="34">
      <c r="A34" s="9">
        <v>201.0</v>
      </c>
      <c r="B34" s="6" t="s">
        <v>182</v>
      </c>
      <c r="C34" s="5" t="s">
        <v>71</v>
      </c>
      <c r="D34" s="6" t="s">
        <v>72</v>
      </c>
      <c r="E34" s="5" t="s">
        <v>73</v>
      </c>
      <c r="F34" s="10">
        <v>19330.0</v>
      </c>
      <c r="G34" s="14">
        <f t="shared" si="1"/>
        <v>56.057</v>
      </c>
      <c r="H34" s="14">
        <f>F34*'Materiality (Sec 2)'!$B$5</f>
        <v>37.8868</v>
      </c>
    </row>
    <row r="35">
      <c r="A35" s="9">
        <v>199.0</v>
      </c>
      <c r="B35" s="6" t="s">
        <v>187</v>
      </c>
      <c r="C35" s="5" t="s">
        <v>71</v>
      </c>
      <c r="D35" s="6" t="s">
        <v>72</v>
      </c>
      <c r="E35" s="5" t="s">
        <v>73</v>
      </c>
      <c r="F35" s="10">
        <v>19500.0</v>
      </c>
      <c r="G35" s="14">
        <f t="shared" si="1"/>
        <v>56.55</v>
      </c>
      <c r="H35" s="14">
        <f>F35*'Materiality (Sec 2)'!$B$5</f>
        <v>38.22</v>
      </c>
    </row>
    <row r="36">
      <c r="A36" s="9">
        <v>202.0</v>
      </c>
      <c r="B36" s="6" t="s">
        <v>189</v>
      </c>
      <c r="C36" s="5" t="s">
        <v>78</v>
      </c>
      <c r="D36" s="6" t="s">
        <v>42</v>
      </c>
      <c r="E36" s="5" t="s">
        <v>80</v>
      </c>
      <c r="F36" s="10">
        <v>19830.0</v>
      </c>
      <c r="G36" s="14">
        <f t="shared" si="1"/>
        <v>41.643</v>
      </c>
      <c r="H36" s="14">
        <f>F36*'Materiality (Sec 2)'!$B$5</f>
        <v>38.8668</v>
      </c>
    </row>
    <row r="37">
      <c r="A37" s="9">
        <v>203.0</v>
      </c>
      <c r="B37" s="6" t="s">
        <v>189</v>
      </c>
      <c r="C37" s="5" t="s">
        <v>84</v>
      </c>
      <c r="D37" s="6" t="s">
        <v>42</v>
      </c>
      <c r="E37" s="5" t="s">
        <v>85</v>
      </c>
      <c r="F37" s="10">
        <v>21310.0</v>
      </c>
      <c r="G37" s="14">
        <f t="shared" si="1"/>
        <v>44.751</v>
      </c>
      <c r="H37" s="14">
        <f>F37*'Materiality (Sec 2)'!$B$5</f>
        <v>41.7676</v>
      </c>
    </row>
    <row r="38">
      <c r="A38" s="9">
        <v>204.0</v>
      </c>
      <c r="B38" s="6" t="s">
        <v>191</v>
      </c>
      <c r="C38" s="5" t="s">
        <v>84</v>
      </c>
      <c r="D38" s="6" t="s">
        <v>42</v>
      </c>
      <c r="E38" s="5" t="s">
        <v>85</v>
      </c>
      <c r="F38" s="10">
        <v>20750.0</v>
      </c>
      <c r="G38" s="14">
        <f t="shared" si="1"/>
        <v>43.575</v>
      </c>
      <c r="H38" s="14">
        <f>F38*'Materiality (Sec 2)'!$B$5</f>
        <v>40.67</v>
      </c>
    </row>
    <row r="39">
      <c r="A39" s="9">
        <v>205.0</v>
      </c>
      <c r="B39" s="6" t="s">
        <v>192</v>
      </c>
      <c r="C39" s="5" t="s">
        <v>84</v>
      </c>
      <c r="D39" s="6" t="s">
        <v>42</v>
      </c>
      <c r="E39" s="5" t="s">
        <v>85</v>
      </c>
      <c r="F39" s="10">
        <v>19500.0</v>
      </c>
      <c r="G39" s="14">
        <f t="shared" si="1"/>
        <v>40.95</v>
      </c>
      <c r="H39" s="14">
        <f>F39*'Materiality (Sec 2)'!$B$5</f>
        <v>38.22</v>
      </c>
    </row>
    <row r="40">
      <c r="A40" s="9">
        <v>206.0</v>
      </c>
      <c r="B40" s="6" t="s">
        <v>193</v>
      </c>
      <c r="C40" s="5" t="s">
        <v>194</v>
      </c>
      <c r="D40" s="6" t="s">
        <v>195</v>
      </c>
      <c r="E40" s="5" t="s">
        <v>196</v>
      </c>
      <c r="F40" s="10">
        <v>20440.0</v>
      </c>
      <c r="G40" s="14">
        <f t="shared" si="1"/>
        <v>53.144</v>
      </c>
      <c r="H40" s="14">
        <f>F40*'Materiality (Sec 2)'!$B$5</f>
        <v>40.0624</v>
      </c>
    </row>
    <row r="41">
      <c r="A41" s="6" t="s">
        <v>197</v>
      </c>
      <c r="B41" s="6" t="s">
        <v>193</v>
      </c>
      <c r="C41" s="5" t="s">
        <v>194</v>
      </c>
      <c r="D41" s="6" t="s">
        <v>195</v>
      </c>
      <c r="E41" s="5" t="s">
        <v>196</v>
      </c>
      <c r="F41" s="10">
        <v>19870.0</v>
      </c>
      <c r="G41" s="14">
        <f t="shared" si="1"/>
        <v>51.662</v>
      </c>
      <c r="H41" s="14">
        <f>F41*'Materiality (Sec 2)'!$B$5</f>
        <v>38.9452</v>
      </c>
    </row>
    <row r="42">
      <c r="A42" s="6" t="s">
        <v>198</v>
      </c>
      <c r="B42" s="6" t="s">
        <v>199</v>
      </c>
      <c r="C42" s="5" t="s">
        <v>194</v>
      </c>
      <c r="D42" s="6" t="s">
        <v>195</v>
      </c>
      <c r="E42" s="5" t="s">
        <v>196</v>
      </c>
      <c r="F42" s="10">
        <v>20010.0</v>
      </c>
      <c r="G42" s="14">
        <f t="shared" si="1"/>
        <v>52.026</v>
      </c>
      <c r="H42" s="14">
        <f>F42*'Materiality (Sec 2)'!$B$5</f>
        <v>39.2196</v>
      </c>
    </row>
    <row r="43">
      <c r="A43" s="6" t="s">
        <v>200</v>
      </c>
      <c r="B43" s="6" t="s">
        <v>201</v>
      </c>
      <c r="C43" s="5" t="s">
        <v>86</v>
      </c>
      <c r="D43" s="6" t="s">
        <v>87</v>
      </c>
      <c r="E43" s="5" t="s">
        <v>88</v>
      </c>
      <c r="F43" s="10">
        <v>20020.0</v>
      </c>
      <c r="G43" s="14">
        <f t="shared" si="1"/>
        <v>60.06</v>
      </c>
      <c r="H43" s="14">
        <f>F43*'Materiality (Sec 2)'!$B$5</f>
        <v>39.2392</v>
      </c>
    </row>
    <row r="44">
      <c r="A44" s="6" t="s">
        <v>204</v>
      </c>
      <c r="B44" s="6" t="s">
        <v>206</v>
      </c>
      <c r="C44" s="5" t="s">
        <v>89</v>
      </c>
      <c r="D44" s="6" t="s">
        <v>91</v>
      </c>
      <c r="E44" s="5" t="s">
        <v>92</v>
      </c>
      <c r="F44" s="10">
        <v>21300.0</v>
      </c>
      <c r="G44" s="14">
        <f t="shared" si="1"/>
        <v>42.6</v>
      </c>
      <c r="H44" s="14">
        <f>F44*'Materiality (Sec 2)'!$B$5</f>
        <v>41.748</v>
      </c>
    </row>
    <row r="45">
      <c r="A45" s="6" t="s">
        <v>208</v>
      </c>
      <c r="B45" s="6" t="s">
        <v>209</v>
      </c>
      <c r="C45" s="5" t="s">
        <v>89</v>
      </c>
      <c r="D45" s="6" t="s">
        <v>91</v>
      </c>
      <c r="E45" s="5" t="s">
        <v>92</v>
      </c>
      <c r="F45" s="10">
        <v>20020.0</v>
      </c>
      <c r="G45" s="14">
        <f t="shared" si="1"/>
        <v>40.04</v>
      </c>
      <c r="H45" s="14">
        <f>F45*'Materiality (Sec 2)'!$B$5</f>
        <v>39.2392</v>
      </c>
    </row>
    <row r="46">
      <c r="A46" s="6" t="s">
        <v>212</v>
      </c>
      <c r="B46" s="6" t="s">
        <v>213</v>
      </c>
      <c r="C46" s="5" t="s">
        <v>202</v>
      </c>
      <c r="D46" s="6" t="s">
        <v>91</v>
      </c>
      <c r="E46" s="5" t="s">
        <v>203</v>
      </c>
      <c r="F46" s="10">
        <v>19910.0</v>
      </c>
      <c r="G46" s="14">
        <f t="shared" si="1"/>
        <v>39.82</v>
      </c>
      <c r="H46" s="14">
        <f>F46*'Materiality (Sec 2)'!$B$5</f>
        <v>39.0236</v>
      </c>
    </row>
    <row r="47">
      <c r="A47" s="6" t="s">
        <v>216</v>
      </c>
      <c r="B47" s="6" t="s">
        <v>213</v>
      </c>
      <c r="C47" s="5" t="s">
        <v>170</v>
      </c>
      <c r="D47" s="6" t="s">
        <v>76</v>
      </c>
      <c r="E47" s="5" t="s">
        <v>171</v>
      </c>
      <c r="F47" s="10">
        <v>20190.0</v>
      </c>
      <c r="G47" s="14">
        <f t="shared" si="1"/>
        <v>46.437</v>
      </c>
      <c r="H47" s="14">
        <f>F47*'Materiality (Sec 2)'!$B$5</f>
        <v>39.5724</v>
      </c>
    </row>
    <row r="48">
      <c r="A48" s="6" t="s">
        <v>222</v>
      </c>
      <c r="B48" s="6" t="s">
        <v>223</v>
      </c>
      <c r="C48" s="5" t="s">
        <v>170</v>
      </c>
      <c r="D48" s="6" t="s">
        <v>76</v>
      </c>
      <c r="E48" s="5" t="s">
        <v>171</v>
      </c>
      <c r="F48" s="10">
        <v>21130.0</v>
      </c>
      <c r="G48" s="14">
        <f t="shared" si="1"/>
        <v>48.599</v>
      </c>
      <c r="H48" s="14">
        <f>F48*'Materiality (Sec 2)'!$B$5</f>
        <v>41.4148</v>
      </c>
    </row>
    <row r="49">
      <c r="A49" s="6" t="s">
        <v>225</v>
      </c>
      <c r="B49" s="6" t="s">
        <v>227</v>
      </c>
      <c r="C49" s="5" t="s">
        <v>170</v>
      </c>
      <c r="D49" s="6" t="s">
        <v>76</v>
      </c>
      <c r="E49" s="5" t="s">
        <v>171</v>
      </c>
      <c r="F49" s="10">
        <v>20110.0</v>
      </c>
      <c r="G49" s="14">
        <f t="shared" si="1"/>
        <v>46.253</v>
      </c>
      <c r="H49" s="14">
        <f>F49*'Materiality (Sec 2)'!$B$5</f>
        <v>39.4156</v>
      </c>
    </row>
    <row r="50">
      <c r="A50" s="6" t="s">
        <v>229</v>
      </c>
      <c r="B50" s="6" t="s">
        <v>231</v>
      </c>
      <c r="C50" s="5" t="s">
        <v>95</v>
      </c>
      <c r="D50" s="6" t="s">
        <v>96</v>
      </c>
      <c r="E50" s="5" t="s">
        <v>98</v>
      </c>
      <c r="F50" s="10">
        <v>19880.0</v>
      </c>
      <c r="G50" s="14">
        <f t="shared" si="1"/>
        <v>37.772</v>
      </c>
      <c r="H50" s="14">
        <f>F50*'Materiality (Sec 2)'!$B$5</f>
        <v>38.9648</v>
      </c>
    </row>
    <row r="51">
      <c r="A51" s="6" t="s">
        <v>234</v>
      </c>
      <c r="B51" s="6" t="s">
        <v>235</v>
      </c>
      <c r="C51" s="5" t="s">
        <v>95</v>
      </c>
      <c r="D51" s="6" t="s">
        <v>96</v>
      </c>
      <c r="E51" s="5" t="s">
        <v>98</v>
      </c>
      <c r="F51" s="10">
        <v>19740.0</v>
      </c>
      <c r="G51" s="14">
        <f t="shared" si="1"/>
        <v>37.506</v>
      </c>
      <c r="H51" s="14">
        <f>F51*'Materiality (Sec 2)'!$B$5</f>
        <v>38.6904</v>
      </c>
    </row>
    <row r="52">
      <c r="A52" s="6" t="s">
        <v>238</v>
      </c>
      <c r="B52" s="6" t="s">
        <v>239</v>
      </c>
      <c r="C52" s="5" t="s">
        <v>173</v>
      </c>
      <c r="D52" s="6" t="s">
        <v>30</v>
      </c>
      <c r="E52" s="5" t="s">
        <v>174</v>
      </c>
      <c r="F52" s="10">
        <v>20250.0</v>
      </c>
      <c r="G52" s="14">
        <f t="shared" si="1"/>
        <v>36.45</v>
      </c>
      <c r="H52" s="14">
        <f>F52*'Materiality (Sec 2)'!$B$5</f>
        <v>39.69</v>
      </c>
    </row>
    <row r="53">
      <c r="A53" s="6" t="s">
        <v>242</v>
      </c>
      <c r="B53" s="6" t="s">
        <v>243</v>
      </c>
      <c r="C53" s="5" t="s">
        <v>173</v>
      </c>
      <c r="D53" s="6" t="s">
        <v>30</v>
      </c>
      <c r="E53" s="5" t="s">
        <v>174</v>
      </c>
      <c r="F53" s="10">
        <v>20100.0</v>
      </c>
      <c r="G53" s="14">
        <f t="shared" si="1"/>
        <v>36.18</v>
      </c>
      <c r="H53" s="14">
        <f>F53*'Materiality (Sec 2)'!$B$5</f>
        <v>39.396</v>
      </c>
    </row>
    <row r="54">
      <c r="A54" s="6" t="s">
        <v>246</v>
      </c>
      <c r="B54" s="6" t="s">
        <v>247</v>
      </c>
      <c r="C54" s="5" t="s">
        <v>176</v>
      </c>
      <c r="D54" s="6" t="s">
        <v>30</v>
      </c>
      <c r="E54" s="5" t="s">
        <v>178</v>
      </c>
      <c r="F54" s="10">
        <v>20140.0</v>
      </c>
      <c r="G54" s="14">
        <f t="shared" si="1"/>
        <v>36.252</v>
      </c>
      <c r="H54" s="14">
        <f>F54*'Materiality (Sec 2)'!$B$5</f>
        <v>39.4744</v>
      </c>
    </row>
    <row r="55">
      <c r="A55" s="6" t="s">
        <v>250</v>
      </c>
      <c r="B55" s="6" t="s">
        <v>251</v>
      </c>
      <c r="C55" s="5" t="s">
        <v>176</v>
      </c>
      <c r="D55" s="6" t="s">
        <v>30</v>
      </c>
      <c r="E55" s="5" t="s">
        <v>178</v>
      </c>
      <c r="F55" s="10">
        <v>20180.0</v>
      </c>
      <c r="G55" s="14">
        <f t="shared" si="1"/>
        <v>36.324</v>
      </c>
      <c r="H55" s="14">
        <f>F55*'Materiality (Sec 2)'!$B$5</f>
        <v>39.5528</v>
      </c>
    </row>
    <row r="56">
      <c r="A56" s="6" t="s">
        <v>254</v>
      </c>
      <c r="B56" s="6" t="s">
        <v>256</v>
      </c>
      <c r="C56" s="5" t="s">
        <v>99</v>
      </c>
      <c r="D56" s="6" t="s">
        <v>15</v>
      </c>
      <c r="E56" s="5" t="s">
        <v>100</v>
      </c>
      <c r="F56" s="10">
        <v>20140.0</v>
      </c>
      <c r="G56" s="14">
        <f t="shared" si="1"/>
        <v>48.336</v>
      </c>
      <c r="H56" s="14">
        <f>F56*'Materiality (Sec 2)'!$B$5</f>
        <v>39.4744</v>
      </c>
    </row>
    <row r="57">
      <c r="A57" s="6" t="s">
        <v>260</v>
      </c>
      <c r="B57" s="6" t="s">
        <v>256</v>
      </c>
      <c r="C57" s="5" t="s">
        <v>99</v>
      </c>
      <c r="D57" s="6" t="s">
        <v>15</v>
      </c>
      <c r="E57" s="5" t="s">
        <v>100</v>
      </c>
      <c r="F57" s="10">
        <v>18780.0</v>
      </c>
      <c r="G57" s="14">
        <f t="shared" si="1"/>
        <v>45.072</v>
      </c>
      <c r="H57" s="14">
        <f>F57*'Materiality (Sec 2)'!$B$5</f>
        <v>36.8088</v>
      </c>
    </row>
    <row r="58">
      <c r="A58" s="6" t="s">
        <v>263</v>
      </c>
      <c r="B58" s="6" t="s">
        <v>264</v>
      </c>
      <c r="C58" s="5" t="s">
        <v>205</v>
      </c>
      <c r="D58" s="6" t="s">
        <v>15</v>
      </c>
      <c r="E58" s="5" t="s">
        <v>207</v>
      </c>
      <c r="F58" s="10">
        <v>19990.0</v>
      </c>
      <c r="G58" s="14">
        <f t="shared" si="1"/>
        <v>47.976</v>
      </c>
      <c r="H58" s="14">
        <f>F58*'Materiality (Sec 2)'!$B$5</f>
        <v>39.1804</v>
      </c>
    </row>
    <row r="59">
      <c r="A59" s="6" t="s">
        <v>267</v>
      </c>
      <c r="B59" s="6" t="s">
        <v>268</v>
      </c>
      <c r="C59" s="5" t="s">
        <v>205</v>
      </c>
      <c r="D59" s="6" t="s">
        <v>15</v>
      </c>
      <c r="E59" s="5" t="s">
        <v>207</v>
      </c>
      <c r="F59" s="10">
        <v>20000.0</v>
      </c>
      <c r="G59" s="14">
        <f t="shared" si="1"/>
        <v>48</v>
      </c>
      <c r="H59" s="14">
        <f>F59*'Materiality (Sec 2)'!$B$5</f>
        <v>39.2</v>
      </c>
    </row>
    <row r="60">
      <c r="A60" s="6" t="s">
        <v>269</v>
      </c>
      <c r="B60" s="6" t="s">
        <v>270</v>
      </c>
      <c r="C60" s="5" t="s">
        <v>179</v>
      </c>
      <c r="D60" s="6" t="s">
        <v>35</v>
      </c>
      <c r="E60" s="5" t="s">
        <v>180</v>
      </c>
      <c r="F60" s="10">
        <v>20960.0</v>
      </c>
      <c r="G60" s="14">
        <f t="shared" si="1"/>
        <v>35.632</v>
      </c>
      <c r="H60" s="14">
        <f>F60*'Materiality (Sec 2)'!$B$5</f>
        <v>41.0816</v>
      </c>
    </row>
    <row r="61">
      <c r="A61" s="6" t="s">
        <v>271</v>
      </c>
      <c r="B61" s="6" t="s">
        <v>272</v>
      </c>
      <c r="C61" s="5" t="s">
        <v>210</v>
      </c>
      <c r="D61" s="6" t="s">
        <v>42</v>
      </c>
      <c r="E61" s="5" t="s">
        <v>211</v>
      </c>
      <c r="F61" s="10">
        <v>20640.0</v>
      </c>
      <c r="G61" s="14">
        <f t="shared" si="1"/>
        <v>43.344</v>
      </c>
      <c r="H61" s="14">
        <f>F61*'Materiality (Sec 2)'!$B$5</f>
        <v>40.4544</v>
      </c>
    </row>
    <row r="62">
      <c r="A62" s="6" t="s">
        <v>273</v>
      </c>
      <c r="B62" s="6" t="s">
        <v>272</v>
      </c>
      <c r="C62" s="5" t="s">
        <v>210</v>
      </c>
      <c r="D62" s="6" t="s">
        <v>42</v>
      </c>
      <c r="E62" s="5" t="s">
        <v>211</v>
      </c>
      <c r="F62" s="10">
        <v>19910.0</v>
      </c>
      <c r="G62" s="14">
        <f t="shared" si="1"/>
        <v>41.811</v>
      </c>
      <c r="H62" s="14">
        <f>F62*'Materiality (Sec 2)'!$B$5</f>
        <v>39.0236</v>
      </c>
    </row>
    <row r="63">
      <c r="A63" s="6" t="s">
        <v>274</v>
      </c>
      <c r="B63" s="6" t="s">
        <v>275</v>
      </c>
      <c r="C63" s="5" t="s">
        <v>210</v>
      </c>
      <c r="D63" s="6" t="s">
        <v>42</v>
      </c>
      <c r="E63" s="5" t="s">
        <v>211</v>
      </c>
      <c r="F63" s="10">
        <v>19950.0</v>
      </c>
      <c r="G63" s="14">
        <f t="shared" si="1"/>
        <v>41.895</v>
      </c>
      <c r="H63" s="14">
        <f>F63*'Materiality (Sec 2)'!$B$5</f>
        <v>39.102</v>
      </c>
    </row>
    <row r="64">
      <c r="A64" s="6" t="s">
        <v>276</v>
      </c>
      <c r="B64" s="6" t="s">
        <v>277</v>
      </c>
      <c r="C64" s="5" t="s">
        <v>185</v>
      </c>
      <c r="D64" s="6" t="s">
        <v>42</v>
      </c>
      <c r="E64" s="5" t="s">
        <v>186</v>
      </c>
      <c r="F64" s="10">
        <v>20070.0</v>
      </c>
      <c r="G64" s="14">
        <f t="shared" si="1"/>
        <v>42.147</v>
      </c>
      <c r="H64" s="14">
        <f>F64*'Materiality (Sec 2)'!$B$5</f>
        <v>39.3372</v>
      </c>
    </row>
    <row r="65">
      <c r="A65" s="6" t="s">
        <v>278</v>
      </c>
      <c r="B65" s="6" t="s">
        <v>279</v>
      </c>
      <c r="C65" s="5" t="s">
        <v>185</v>
      </c>
      <c r="D65" s="6" t="s">
        <v>42</v>
      </c>
      <c r="E65" s="5" t="s">
        <v>186</v>
      </c>
      <c r="F65" s="10">
        <v>19780.0</v>
      </c>
      <c r="G65" s="14">
        <f t="shared" si="1"/>
        <v>41.538</v>
      </c>
      <c r="H65" s="14">
        <f>F65*'Materiality (Sec 2)'!$B$5</f>
        <v>38.7688</v>
      </c>
    </row>
    <row r="66">
      <c r="A66" s="6" t="s">
        <v>280</v>
      </c>
      <c r="B66" s="6" t="s">
        <v>281</v>
      </c>
      <c r="C66" s="5" t="s">
        <v>181</v>
      </c>
      <c r="D66" s="6" t="s">
        <v>183</v>
      </c>
      <c r="E66" s="5" t="s">
        <v>180</v>
      </c>
      <c r="F66" s="10">
        <v>82730.0</v>
      </c>
      <c r="G66" s="14">
        <f t="shared" si="1"/>
        <v>169.5965</v>
      </c>
      <c r="H66" s="14">
        <f>F66*'Materiality (Sec 2)'!$B$5</f>
        <v>162.1508</v>
      </c>
    </row>
    <row r="67">
      <c r="A67" s="6" t="s">
        <v>282</v>
      </c>
      <c r="B67" s="6" t="s">
        <v>281</v>
      </c>
      <c r="C67" s="5" t="s">
        <v>184</v>
      </c>
      <c r="D67" s="6" t="s">
        <v>96</v>
      </c>
      <c r="E67" s="5" t="s">
        <v>180</v>
      </c>
      <c r="F67" s="10">
        <v>78140.0</v>
      </c>
      <c r="G67" s="14">
        <f t="shared" si="1"/>
        <v>148.466</v>
      </c>
      <c r="H67" s="14">
        <f>F67*'Materiality (Sec 2)'!$B$5</f>
        <v>153.1544</v>
      </c>
    </row>
    <row r="68">
      <c r="A68" s="6" t="s">
        <v>283</v>
      </c>
      <c r="B68" s="6" t="s">
        <v>284</v>
      </c>
      <c r="C68" s="5" t="s">
        <v>214</v>
      </c>
      <c r="D68" s="6" t="s">
        <v>35</v>
      </c>
      <c r="E68" s="5" t="s">
        <v>215</v>
      </c>
      <c r="F68" s="10">
        <v>20190.0</v>
      </c>
      <c r="G68" s="14">
        <f t="shared" si="1"/>
        <v>34.323</v>
      </c>
      <c r="H68" s="14">
        <f>F68*'Materiality (Sec 2)'!$B$5</f>
        <v>39.5724</v>
      </c>
    </row>
    <row r="69">
      <c r="A69" s="6" t="s">
        <v>285</v>
      </c>
      <c r="B69" s="6" t="s">
        <v>286</v>
      </c>
      <c r="C69" s="5" t="s">
        <v>214</v>
      </c>
      <c r="D69" s="6" t="s">
        <v>35</v>
      </c>
      <c r="E69" s="5" t="s">
        <v>215</v>
      </c>
      <c r="F69" s="10">
        <v>20090.0</v>
      </c>
      <c r="G69" s="14">
        <f t="shared" si="1"/>
        <v>34.153</v>
      </c>
      <c r="H69" s="14">
        <f>F69*'Materiality (Sec 2)'!$B$5</f>
        <v>39.3764</v>
      </c>
    </row>
    <row r="70">
      <c r="A70" s="6" t="s">
        <v>287</v>
      </c>
      <c r="B70" s="6" t="s">
        <v>288</v>
      </c>
      <c r="C70" s="5" t="s">
        <v>103</v>
      </c>
      <c r="D70" s="6" t="s">
        <v>35</v>
      </c>
      <c r="E70" s="5" t="s">
        <v>105</v>
      </c>
      <c r="F70" s="10">
        <v>20110.0</v>
      </c>
      <c r="G70" s="14">
        <f t="shared" si="1"/>
        <v>34.187</v>
      </c>
      <c r="H70" s="14">
        <f>F70*'Materiality (Sec 2)'!$B$5</f>
        <v>39.4156</v>
      </c>
    </row>
    <row r="71">
      <c r="A71" s="6" t="s">
        <v>289</v>
      </c>
      <c r="B71" s="6" t="s">
        <v>288</v>
      </c>
      <c r="C71" s="5" t="s">
        <v>103</v>
      </c>
      <c r="D71" s="6" t="s">
        <v>35</v>
      </c>
      <c r="E71" s="5" t="s">
        <v>105</v>
      </c>
      <c r="F71" s="10">
        <v>18930.0</v>
      </c>
      <c r="G71" s="14">
        <f t="shared" si="1"/>
        <v>32.181</v>
      </c>
      <c r="H71" s="14">
        <f>F71*'Materiality (Sec 2)'!$B$5</f>
        <v>37.1028</v>
      </c>
    </row>
    <row r="72">
      <c r="A72" s="6" t="s">
        <v>290</v>
      </c>
      <c r="B72" s="6" t="s">
        <v>291</v>
      </c>
      <c r="C72" s="5" t="s">
        <v>188</v>
      </c>
      <c r="D72" s="6" t="s">
        <v>59</v>
      </c>
      <c r="E72" s="5" t="s">
        <v>190</v>
      </c>
      <c r="F72" s="10">
        <v>20880.0</v>
      </c>
      <c r="G72" s="14">
        <f t="shared" si="1"/>
        <v>45.936</v>
      </c>
      <c r="H72" s="14">
        <f>F72*'Materiality (Sec 2)'!$B$5</f>
        <v>40.9248</v>
      </c>
    </row>
    <row r="73">
      <c r="A73" s="6" t="s">
        <v>292</v>
      </c>
      <c r="B73" s="6" t="s">
        <v>291</v>
      </c>
      <c r="C73" s="5" t="s">
        <v>188</v>
      </c>
      <c r="D73" s="6" t="s">
        <v>59</v>
      </c>
      <c r="E73" s="5" t="s">
        <v>190</v>
      </c>
      <c r="F73" s="10">
        <v>21220.0</v>
      </c>
      <c r="G73" s="14">
        <f t="shared" si="1"/>
        <v>46.684</v>
      </c>
      <c r="H73" s="14">
        <f>F73*'Materiality (Sec 2)'!$B$5</f>
        <v>41.5912</v>
      </c>
    </row>
    <row r="74">
      <c r="A74" s="6" t="s">
        <v>293</v>
      </c>
      <c r="B74" s="6" t="s">
        <v>294</v>
      </c>
      <c r="C74" s="5" t="s">
        <v>217</v>
      </c>
      <c r="D74" s="6" t="s">
        <v>96</v>
      </c>
      <c r="E74" s="5" t="s">
        <v>218</v>
      </c>
      <c r="F74" s="10">
        <v>20370.0</v>
      </c>
      <c r="G74" s="14">
        <f t="shared" si="1"/>
        <v>38.703</v>
      </c>
      <c r="H74" s="14">
        <f>F74*'Materiality (Sec 2)'!$B$5</f>
        <v>39.9252</v>
      </c>
    </row>
    <row r="75">
      <c r="A75" s="6" t="s">
        <v>295</v>
      </c>
      <c r="B75" s="6" t="s">
        <v>294</v>
      </c>
      <c r="C75" s="5" t="s">
        <v>217</v>
      </c>
      <c r="D75" s="6" t="s">
        <v>96</v>
      </c>
      <c r="E75" s="5" t="s">
        <v>218</v>
      </c>
      <c r="F75" s="10">
        <v>19780.0</v>
      </c>
      <c r="G75" s="14">
        <f t="shared" si="1"/>
        <v>37.582</v>
      </c>
      <c r="H75" s="14">
        <f>F75*'Materiality (Sec 2)'!$B$5</f>
        <v>38.7688</v>
      </c>
    </row>
    <row r="76">
      <c r="A76" s="6" t="s">
        <v>296</v>
      </c>
      <c r="B76" s="6" t="s">
        <v>297</v>
      </c>
      <c r="C76" s="5" t="s">
        <v>188</v>
      </c>
      <c r="D76" s="6" t="s">
        <v>59</v>
      </c>
      <c r="E76" s="5" t="s">
        <v>190</v>
      </c>
      <c r="F76" s="10">
        <v>19610.0</v>
      </c>
      <c r="G76" s="14">
        <f t="shared" si="1"/>
        <v>43.142</v>
      </c>
      <c r="H76" s="14">
        <f>F76*'Materiality (Sec 2)'!$B$5</f>
        <v>38.4356</v>
      </c>
    </row>
    <row r="77">
      <c r="A77" s="6" t="s">
        <v>298</v>
      </c>
      <c r="B77" s="6" t="s">
        <v>297</v>
      </c>
      <c r="C77" s="5" t="s">
        <v>188</v>
      </c>
      <c r="D77" s="6" t="s">
        <v>59</v>
      </c>
      <c r="E77" s="5" t="s">
        <v>190</v>
      </c>
      <c r="F77" s="10">
        <v>19460.0</v>
      </c>
      <c r="G77" s="14">
        <f t="shared" si="1"/>
        <v>42.812</v>
      </c>
      <c r="H77" s="14">
        <f>F77*'Materiality (Sec 2)'!$B$5</f>
        <v>38.1416</v>
      </c>
    </row>
    <row r="78">
      <c r="A78" s="6" t="s">
        <v>299</v>
      </c>
      <c r="B78" s="6" t="s">
        <v>300</v>
      </c>
      <c r="C78" s="5" t="s">
        <v>219</v>
      </c>
      <c r="D78" s="6" t="s">
        <v>220</v>
      </c>
      <c r="E78" s="5" t="s">
        <v>221</v>
      </c>
      <c r="F78" s="10">
        <v>19710.0</v>
      </c>
      <c r="G78" s="14">
        <f t="shared" si="1"/>
        <v>23.652</v>
      </c>
      <c r="H78" s="14">
        <f>F78*'Materiality (Sec 2)'!$B$5</f>
        <v>38.6316</v>
      </c>
    </row>
    <row r="79">
      <c r="A79" s="6" t="s">
        <v>301</v>
      </c>
      <c r="B79" s="6" t="s">
        <v>302</v>
      </c>
      <c r="C79" s="5" t="s">
        <v>219</v>
      </c>
      <c r="D79" s="6" t="s">
        <v>220</v>
      </c>
      <c r="E79" s="5" t="s">
        <v>221</v>
      </c>
      <c r="F79" s="10">
        <v>19940.0</v>
      </c>
      <c r="G79" s="14">
        <f t="shared" si="1"/>
        <v>23.928</v>
      </c>
      <c r="H79" s="14">
        <f>F79*'Materiality (Sec 2)'!$B$5</f>
        <v>39.0824</v>
      </c>
    </row>
    <row r="80">
      <c r="A80" s="6" t="s">
        <v>303</v>
      </c>
      <c r="B80" s="6" t="s">
        <v>304</v>
      </c>
      <c r="C80" s="5" t="s">
        <v>112</v>
      </c>
      <c r="D80" s="6" t="s">
        <v>109</v>
      </c>
      <c r="E80" s="5" t="s">
        <v>113</v>
      </c>
      <c r="F80" s="10">
        <v>19750.0</v>
      </c>
      <c r="G80" s="14">
        <f t="shared" si="1"/>
        <v>25.675</v>
      </c>
      <c r="H80" s="14">
        <f>F80*'Materiality (Sec 2)'!$B$5</f>
        <v>38.71</v>
      </c>
    </row>
    <row r="81">
      <c r="A81" s="6" t="s">
        <v>305</v>
      </c>
      <c r="B81" s="6" t="s">
        <v>306</v>
      </c>
      <c r="C81" s="5" t="s">
        <v>224</v>
      </c>
      <c r="D81" s="6" t="s">
        <v>35</v>
      </c>
      <c r="E81" s="5" t="s">
        <v>226</v>
      </c>
      <c r="F81" s="10">
        <v>19900.0</v>
      </c>
      <c r="G81" s="14">
        <f t="shared" si="1"/>
        <v>33.83</v>
      </c>
      <c r="H81" s="14">
        <f>F81*'Materiality (Sec 2)'!$B$5</f>
        <v>39.004</v>
      </c>
    </row>
    <row r="82">
      <c r="A82" s="6" t="s">
        <v>307</v>
      </c>
      <c r="B82" s="6" t="s">
        <v>308</v>
      </c>
      <c r="C82" s="5" t="s">
        <v>115</v>
      </c>
      <c r="D82" s="6" t="s">
        <v>116</v>
      </c>
      <c r="E82" s="5" t="s">
        <v>117</v>
      </c>
      <c r="F82" s="10">
        <v>19650.0</v>
      </c>
      <c r="G82" s="14">
        <f t="shared" si="1"/>
        <v>29.475</v>
      </c>
      <c r="H82" s="14">
        <f>F82*'Materiality (Sec 2)'!$B$5</f>
        <v>38.514</v>
      </c>
    </row>
    <row r="83">
      <c r="A83" s="6" t="s">
        <v>309</v>
      </c>
      <c r="B83" s="6" t="s">
        <v>310</v>
      </c>
      <c r="C83" s="5" t="s">
        <v>228</v>
      </c>
      <c r="D83" s="6" t="s">
        <v>124</v>
      </c>
      <c r="E83" s="5" t="s">
        <v>230</v>
      </c>
      <c r="F83" s="10">
        <v>19820.0</v>
      </c>
      <c r="G83" s="14">
        <f t="shared" si="1"/>
        <v>27.748</v>
      </c>
      <c r="H83" s="14">
        <f>F83*'Materiality (Sec 2)'!$B$5</f>
        <v>38.8472</v>
      </c>
    </row>
    <row r="84">
      <c r="A84" s="6" t="s">
        <v>311</v>
      </c>
      <c r="B84" s="6" t="s">
        <v>312</v>
      </c>
      <c r="C84" s="5" t="s">
        <v>107</v>
      </c>
      <c r="D84" s="6" t="s">
        <v>109</v>
      </c>
      <c r="E84" s="5" t="s">
        <v>111</v>
      </c>
      <c r="F84" s="10">
        <v>75560.0</v>
      </c>
      <c r="G84" s="14">
        <f t="shared" si="1"/>
        <v>98.228</v>
      </c>
      <c r="H84" s="14">
        <f>F84*'Materiality (Sec 2)'!$B$5</f>
        <v>148.0976</v>
      </c>
    </row>
    <row r="85">
      <c r="A85" s="6" t="s">
        <v>313</v>
      </c>
      <c r="B85" s="6" t="s">
        <v>314</v>
      </c>
      <c r="C85" s="5" t="s">
        <v>119</v>
      </c>
      <c r="D85" s="6" t="s">
        <v>35</v>
      </c>
      <c r="E85" s="5" t="s">
        <v>121</v>
      </c>
      <c r="F85" s="10">
        <v>20640.0</v>
      </c>
      <c r="G85" s="14">
        <f t="shared" si="1"/>
        <v>35.088</v>
      </c>
      <c r="H85" s="14">
        <f>F85*'Materiality (Sec 2)'!$B$5</f>
        <v>40.4544</v>
      </c>
    </row>
    <row r="86">
      <c r="A86" s="6" t="s">
        <v>315</v>
      </c>
      <c r="B86" s="6" t="s">
        <v>316</v>
      </c>
      <c r="C86" s="5" t="s">
        <v>119</v>
      </c>
      <c r="D86" s="6" t="s">
        <v>35</v>
      </c>
      <c r="E86" s="5" t="s">
        <v>121</v>
      </c>
      <c r="F86" s="10">
        <v>20450.0</v>
      </c>
      <c r="G86" s="14">
        <f t="shared" si="1"/>
        <v>34.765</v>
      </c>
      <c r="H86" s="14">
        <f>F86*'Materiality (Sec 2)'!$B$5</f>
        <v>40.082</v>
      </c>
    </row>
    <row r="87">
      <c r="A87" s="6" t="s">
        <v>317</v>
      </c>
      <c r="B87" s="6" t="s">
        <v>318</v>
      </c>
      <c r="C87" s="5" t="s">
        <v>232</v>
      </c>
      <c r="D87" s="6" t="s">
        <v>116</v>
      </c>
      <c r="E87" s="5" t="s">
        <v>233</v>
      </c>
      <c r="F87" s="10">
        <v>20040.0</v>
      </c>
      <c r="G87" s="14">
        <f t="shared" si="1"/>
        <v>30.06</v>
      </c>
      <c r="H87" s="14">
        <f>F87*'Materiality (Sec 2)'!$B$5</f>
        <v>39.2784</v>
      </c>
    </row>
    <row r="88">
      <c r="A88" s="6" t="s">
        <v>319</v>
      </c>
      <c r="B88" s="6" t="s">
        <v>318</v>
      </c>
      <c r="C88" s="5" t="s">
        <v>232</v>
      </c>
      <c r="D88" s="6" t="s">
        <v>116</v>
      </c>
      <c r="E88" s="5" t="s">
        <v>233</v>
      </c>
      <c r="F88" s="10">
        <v>20110.0</v>
      </c>
      <c r="G88" s="14">
        <f t="shared" si="1"/>
        <v>30.165</v>
      </c>
      <c r="H88" s="14">
        <f>F88*'Materiality (Sec 2)'!$B$5</f>
        <v>39.4156</v>
      </c>
    </row>
    <row r="89">
      <c r="A89" s="6" t="s">
        <v>320</v>
      </c>
      <c r="B89" s="6" t="s">
        <v>318</v>
      </c>
      <c r="C89" s="5" t="s">
        <v>232</v>
      </c>
      <c r="D89" s="6" t="s">
        <v>116</v>
      </c>
      <c r="E89" s="5" t="s">
        <v>233</v>
      </c>
      <c r="F89" s="10">
        <v>18590.0</v>
      </c>
      <c r="G89" s="14">
        <f t="shared" si="1"/>
        <v>27.885</v>
      </c>
      <c r="H89" s="14">
        <f>F89*'Materiality (Sec 2)'!$B$5</f>
        <v>36.4364</v>
      </c>
    </row>
    <row r="90">
      <c r="A90" s="6" t="s">
        <v>321</v>
      </c>
      <c r="B90" s="6" t="s">
        <v>322</v>
      </c>
      <c r="C90" s="5" t="s">
        <v>232</v>
      </c>
      <c r="D90" s="6" t="s">
        <v>116</v>
      </c>
      <c r="E90" s="5" t="s">
        <v>233</v>
      </c>
      <c r="F90" s="10">
        <v>19530.0</v>
      </c>
      <c r="G90" s="14">
        <f t="shared" si="1"/>
        <v>29.295</v>
      </c>
      <c r="H90" s="14">
        <f>F90*'Materiality (Sec 2)'!$B$5</f>
        <v>38.2788</v>
      </c>
    </row>
    <row r="91">
      <c r="A91" s="6" t="s">
        <v>323</v>
      </c>
      <c r="B91" s="6" t="s">
        <v>322</v>
      </c>
      <c r="C91" s="5" t="s">
        <v>232</v>
      </c>
      <c r="D91" s="6" t="s">
        <v>116</v>
      </c>
      <c r="E91" s="5" t="s">
        <v>233</v>
      </c>
      <c r="F91" s="10">
        <v>19840.0</v>
      </c>
      <c r="G91" s="14">
        <f t="shared" si="1"/>
        <v>29.76</v>
      </c>
      <c r="H91" s="14">
        <f>F91*'Materiality (Sec 2)'!$B$5</f>
        <v>38.8864</v>
      </c>
    </row>
    <row r="92">
      <c r="A92" s="6" t="s">
        <v>324</v>
      </c>
      <c r="B92" s="6" t="s">
        <v>325</v>
      </c>
      <c r="C92" s="5" t="s">
        <v>123</v>
      </c>
      <c r="D92" s="6" t="s">
        <v>124</v>
      </c>
      <c r="E92" s="5" t="s">
        <v>125</v>
      </c>
      <c r="F92" s="10">
        <v>19120.0</v>
      </c>
      <c r="G92" s="14">
        <f t="shared" si="1"/>
        <v>26.768</v>
      </c>
      <c r="H92" s="14">
        <f>F92*'Materiality (Sec 2)'!$B$5</f>
        <v>37.4752</v>
      </c>
    </row>
    <row r="93">
      <c r="A93" s="6" t="s">
        <v>326</v>
      </c>
      <c r="B93" s="6" t="s">
        <v>327</v>
      </c>
      <c r="C93" s="5" t="s">
        <v>123</v>
      </c>
      <c r="D93" s="6" t="s">
        <v>124</v>
      </c>
      <c r="E93" s="5" t="s">
        <v>125</v>
      </c>
      <c r="F93" s="10">
        <v>18890.0</v>
      </c>
      <c r="G93" s="14">
        <f t="shared" si="1"/>
        <v>26.446</v>
      </c>
      <c r="H93" s="14">
        <f>F93*'Materiality (Sec 2)'!$B$5</f>
        <v>37.0244</v>
      </c>
    </row>
    <row r="94">
      <c r="A94" s="6" t="s">
        <v>328</v>
      </c>
      <c r="B94" s="6" t="s">
        <v>329</v>
      </c>
      <c r="C94" s="5" t="s">
        <v>236</v>
      </c>
      <c r="D94" s="6" t="s">
        <v>148</v>
      </c>
      <c r="E94" s="5" t="s">
        <v>237</v>
      </c>
      <c r="F94" s="10">
        <v>19940.0</v>
      </c>
      <c r="G94" s="14">
        <f t="shared" si="1"/>
        <v>31.904</v>
      </c>
      <c r="H94" s="14">
        <f>F94*'Materiality (Sec 2)'!$B$5</f>
        <v>39.0824</v>
      </c>
    </row>
    <row r="95">
      <c r="A95" s="6" t="s">
        <v>330</v>
      </c>
      <c r="B95" s="6" t="s">
        <v>329</v>
      </c>
      <c r="C95" s="5" t="s">
        <v>236</v>
      </c>
      <c r="D95" s="6" t="s">
        <v>148</v>
      </c>
      <c r="E95" s="5" t="s">
        <v>237</v>
      </c>
      <c r="F95" s="10">
        <v>19970.0</v>
      </c>
      <c r="G95" s="14">
        <f t="shared" si="1"/>
        <v>31.952</v>
      </c>
      <c r="H95" s="14">
        <f>F95*'Materiality (Sec 2)'!$B$5</f>
        <v>39.1412</v>
      </c>
    </row>
    <row r="96">
      <c r="A96" s="6" t="s">
        <v>331</v>
      </c>
      <c r="B96" s="6" t="s">
        <v>332</v>
      </c>
      <c r="C96" s="5" t="s">
        <v>236</v>
      </c>
      <c r="D96" s="6" t="s">
        <v>148</v>
      </c>
      <c r="E96" s="5" t="s">
        <v>237</v>
      </c>
      <c r="F96" s="10">
        <v>19900.0</v>
      </c>
      <c r="G96" s="14">
        <f t="shared" si="1"/>
        <v>31.84</v>
      </c>
      <c r="H96" s="14">
        <f>F96*'Materiality (Sec 2)'!$B$5</f>
        <v>39.004</v>
      </c>
    </row>
    <row r="97">
      <c r="A97" s="6" t="s">
        <v>333</v>
      </c>
      <c r="B97" s="6" t="s">
        <v>334</v>
      </c>
      <c r="C97" s="5" t="s">
        <v>127</v>
      </c>
      <c r="D97" s="6" t="s">
        <v>124</v>
      </c>
      <c r="E97" s="5" t="s">
        <v>128</v>
      </c>
      <c r="F97" s="10">
        <v>19690.0</v>
      </c>
      <c r="G97" s="14">
        <f t="shared" si="1"/>
        <v>27.566</v>
      </c>
      <c r="H97" s="14">
        <f>F97*'Materiality (Sec 2)'!$B$5</f>
        <v>38.5924</v>
      </c>
    </row>
    <row r="98">
      <c r="A98" s="6" t="s">
        <v>335</v>
      </c>
      <c r="B98" s="6" t="s">
        <v>334</v>
      </c>
      <c r="C98" s="5" t="s">
        <v>240</v>
      </c>
      <c r="D98" s="6" t="s">
        <v>148</v>
      </c>
      <c r="E98" s="5" t="s">
        <v>241</v>
      </c>
      <c r="F98" s="10">
        <v>18770.0</v>
      </c>
      <c r="G98" s="14">
        <f t="shared" si="1"/>
        <v>30.032</v>
      </c>
      <c r="H98" s="14">
        <f>F98*'Materiality (Sec 2)'!$B$5</f>
        <v>36.7892</v>
      </c>
    </row>
    <row r="99">
      <c r="A99" s="6" t="s">
        <v>336</v>
      </c>
      <c r="B99" s="6" t="s">
        <v>337</v>
      </c>
      <c r="C99" s="5" t="s">
        <v>240</v>
      </c>
      <c r="D99" s="6" t="s">
        <v>148</v>
      </c>
      <c r="E99" s="5" t="s">
        <v>241</v>
      </c>
      <c r="F99" s="10">
        <v>20050.0</v>
      </c>
      <c r="G99" s="14">
        <f t="shared" si="1"/>
        <v>32.08</v>
      </c>
      <c r="H99" s="14">
        <f>F99*'Materiality (Sec 2)'!$B$5</f>
        <v>39.298</v>
      </c>
    </row>
    <row r="100">
      <c r="A100" s="6" t="s">
        <v>338</v>
      </c>
      <c r="B100" s="6" t="s">
        <v>339</v>
      </c>
      <c r="C100" s="5" t="s">
        <v>240</v>
      </c>
      <c r="D100" s="6" t="s">
        <v>148</v>
      </c>
      <c r="E100" s="5" t="s">
        <v>241</v>
      </c>
      <c r="F100" s="10">
        <v>19340.0</v>
      </c>
      <c r="G100" s="14">
        <f t="shared" si="1"/>
        <v>30.944</v>
      </c>
      <c r="H100" s="14">
        <f>F100*'Materiality (Sec 2)'!$B$5</f>
        <v>37.9064</v>
      </c>
    </row>
    <row r="101">
      <c r="A101" s="6" t="s">
        <v>340</v>
      </c>
      <c r="B101" s="6" t="s">
        <v>341</v>
      </c>
      <c r="C101" s="5" t="s">
        <v>130</v>
      </c>
      <c r="D101" s="6" t="s">
        <v>42</v>
      </c>
      <c r="E101" s="5" t="s">
        <v>131</v>
      </c>
      <c r="F101" s="10">
        <v>19590.0</v>
      </c>
      <c r="G101" s="14">
        <f t="shared" si="1"/>
        <v>41.139</v>
      </c>
      <c r="H101" s="14">
        <f>F101*'Materiality (Sec 2)'!$B$5</f>
        <v>38.3964</v>
      </c>
    </row>
    <row r="102">
      <c r="A102" s="6" t="s">
        <v>342</v>
      </c>
      <c r="B102" s="6" t="s">
        <v>343</v>
      </c>
      <c r="C102" s="5" t="s">
        <v>135</v>
      </c>
      <c r="D102" s="6" t="s">
        <v>116</v>
      </c>
      <c r="E102" s="5" t="s">
        <v>136</v>
      </c>
      <c r="F102" s="10">
        <v>19580.0</v>
      </c>
      <c r="G102" s="14">
        <f t="shared" si="1"/>
        <v>29.37</v>
      </c>
      <c r="H102" s="14">
        <f>F102*'Materiality (Sec 2)'!$B$5</f>
        <v>38.3768</v>
      </c>
    </row>
    <row r="103">
      <c r="A103" s="6" t="s">
        <v>344</v>
      </c>
      <c r="B103" s="6" t="s">
        <v>345</v>
      </c>
      <c r="C103" s="5" t="s">
        <v>135</v>
      </c>
      <c r="D103" s="6" t="s">
        <v>116</v>
      </c>
      <c r="E103" s="5" t="s">
        <v>136</v>
      </c>
      <c r="F103" s="10">
        <v>20630.0</v>
      </c>
      <c r="G103" s="14">
        <f t="shared" si="1"/>
        <v>30.945</v>
      </c>
      <c r="H103" s="14">
        <f>F103*'Materiality (Sec 2)'!$B$5</f>
        <v>40.4348</v>
      </c>
    </row>
    <row r="104">
      <c r="A104" s="6" t="s">
        <v>346</v>
      </c>
      <c r="B104" s="6" t="s">
        <v>347</v>
      </c>
      <c r="C104" s="5" t="s">
        <v>244</v>
      </c>
      <c r="D104" s="6" t="s">
        <v>116</v>
      </c>
      <c r="E104" s="5" t="s">
        <v>245</v>
      </c>
      <c r="F104" s="10">
        <v>19970.0</v>
      </c>
      <c r="G104" s="14">
        <f t="shared" si="1"/>
        <v>29.955</v>
      </c>
      <c r="H104" s="14">
        <f>F104*'Materiality (Sec 2)'!$B$5</f>
        <v>39.1412</v>
      </c>
    </row>
    <row r="105">
      <c r="A105" s="6" t="s">
        <v>348</v>
      </c>
      <c r="B105" s="6" t="s">
        <v>347</v>
      </c>
      <c r="C105" s="5" t="s">
        <v>244</v>
      </c>
      <c r="D105" s="6" t="s">
        <v>116</v>
      </c>
      <c r="E105" s="5" t="s">
        <v>245</v>
      </c>
      <c r="F105" s="10">
        <v>20480.0</v>
      </c>
      <c r="G105" s="14">
        <f t="shared" si="1"/>
        <v>30.72</v>
      </c>
      <c r="H105" s="14">
        <f>F105*'Materiality (Sec 2)'!$B$5</f>
        <v>40.1408</v>
      </c>
    </row>
    <row r="106">
      <c r="A106" s="6" t="s">
        <v>349</v>
      </c>
      <c r="B106" s="6" t="s">
        <v>350</v>
      </c>
      <c r="C106" s="5" t="s">
        <v>137</v>
      </c>
      <c r="D106" s="6" t="s">
        <v>35</v>
      </c>
      <c r="E106" s="5" t="s">
        <v>138</v>
      </c>
      <c r="F106" s="10">
        <v>19520.0</v>
      </c>
      <c r="G106" s="14">
        <f t="shared" si="1"/>
        <v>33.184</v>
      </c>
      <c r="H106" s="14">
        <f>F106*'Materiality (Sec 2)'!$B$5</f>
        <v>38.2592</v>
      </c>
    </row>
    <row r="107">
      <c r="A107" s="6" t="s">
        <v>351</v>
      </c>
      <c r="B107" s="6" t="s">
        <v>352</v>
      </c>
      <c r="C107" s="5" t="s">
        <v>248</v>
      </c>
      <c r="D107" s="6" t="s">
        <v>42</v>
      </c>
      <c r="E107" s="5" t="s">
        <v>249</v>
      </c>
      <c r="F107" s="10">
        <v>19990.0</v>
      </c>
      <c r="G107" s="14">
        <f t="shared" si="1"/>
        <v>41.979</v>
      </c>
      <c r="H107" s="14">
        <f>F107*'Materiality (Sec 2)'!$B$5</f>
        <v>39.1804</v>
      </c>
    </row>
    <row r="108">
      <c r="A108" s="6" t="s">
        <v>353</v>
      </c>
      <c r="B108" s="6" t="s">
        <v>354</v>
      </c>
      <c r="C108" s="5" t="s">
        <v>252</v>
      </c>
      <c r="D108" s="6" t="s">
        <v>124</v>
      </c>
      <c r="E108" s="5" t="s">
        <v>355</v>
      </c>
      <c r="F108" s="10">
        <v>19880.0</v>
      </c>
      <c r="G108" s="14">
        <f t="shared" si="1"/>
        <v>27.832</v>
      </c>
      <c r="H108" s="14">
        <f>F108*'Materiality (Sec 2)'!$B$5</f>
        <v>38.9648</v>
      </c>
    </row>
    <row r="109">
      <c r="A109" s="6" t="s">
        <v>356</v>
      </c>
      <c r="B109" s="6" t="s">
        <v>354</v>
      </c>
      <c r="C109" s="5" t="s">
        <v>144</v>
      </c>
      <c r="D109" s="6" t="s">
        <v>35</v>
      </c>
      <c r="E109" s="5" t="s">
        <v>145</v>
      </c>
      <c r="F109" s="10">
        <v>19800.0</v>
      </c>
      <c r="G109" s="14">
        <f t="shared" si="1"/>
        <v>33.66</v>
      </c>
      <c r="H109" s="14">
        <f>F109*'Materiality (Sec 2)'!$B$5</f>
        <v>38.808</v>
      </c>
    </row>
    <row r="110">
      <c r="A110" s="6" t="s">
        <v>357</v>
      </c>
      <c r="B110" s="6" t="s">
        <v>354</v>
      </c>
      <c r="C110" s="5" t="s">
        <v>144</v>
      </c>
      <c r="D110" s="6" t="s">
        <v>35</v>
      </c>
      <c r="E110" s="5" t="s">
        <v>145</v>
      </c>
      <c r="F110" s="10">
        <v>18410.0</v>
      </c>
      <c r="G110" s="14">
        <f t="shared" si="1"/>
        <v>31.297</v>
      </c>
      <c r="H110" s="14">
        <f>F110*'Materiality (Sec 2)'!$B$5</f>
        <v>36.0836</v>
      </c>
    </row>
    <row r="111">
      <c r="A111" s="6" t="s">
        <v>358</v>
      </c>
      <c r="B111" s="6" t="s">
        <v>359</v>
      </c>
      <c r="C111" s="5" t="s">
        <v>144</v>
      </c>
      <c r="D111" s="6" t="s">
        <v>35</v>
      </c>
      <c r="E111" s="5" t="s">
        <v>145</v>
      </c>
      <c r="F111" s="10">
        <v>19370.0</v>
      </c>
      <c r="G111" s="14">
        <f t="shared" si="1"/>
        <v>32.929</v>
      </c>
      <c r="H111" s="14">
        <f>F111*'Materiality (Sec 2)'!$B$5</f>
        <v>37.9652</v>
      </c>
    </row>
    <row r="112">
      <c r="A112" s="6" t="s">
        <v>360</v>
      </c>
      <c r="B112" s="6" t="s">
        <v>359</v>
      </c>
      <c r="C112" s="5" t="s">
        <v>139</v>
      </c>
      <c r="D112" s="6" t="s">
        <v>30</v>
      </c>
      <c r="E112" s="5" t="s">
        <v>140</v>
      </c>
      <c r="F112" s="10">
        <v>19760.0</v>
      </c>
      <c r="G112" s="14">
        <f t="shared" si="1"/>
        <v>35.568</v>
      </c>
      <c r="H112" s="14">
        <f>F112*'Materiality (Sec 2)'!$B$5</f>
        <v>38.7296</v>
      </c>
    </row>
    <row r="113">
      <c r="A113" s="6" t="s">
        <v>361</v>
      </c>
      <c r="B113" s="6" t="s">
        <v>362</v>
      </c>
      <c r="C113" s="5" t="s">
        <v>139</v>
      </c>
      <c r="D113" s="6" t="s">
        <v>30</v>
      </c>
      <c r="E113" s="5" t="s">
        <v>140</v>
      </c>
      <c r="F113" s="10">
        <v>20110.0</v>
      </c>
      <c r="G113" s="14">
        <f t="shared" si="1"/>
        <v>36.198</v>
      </c>
      <c r="H113" s="14">
        <f>F113*'Materiality (Sec 2)'!$B$5</f>
        <v>39.4156</v>
      </c>
    </row>
    <row r="114">
      <c r="A114" s="6" t="s">
        <v>363</v>
      </c>
      <c r="B114" s="6" t="s">
        <v>362</v>
      </c>
      <c r="C114" s="5" t="s">
        <v>252</v>
      </c>
      <c r="D114" s="6" t="s">
        <v>124</v>
      </c>
      <c r="E114" s="5" t="s">
        <v>253</v>
      </c>
      <c r="F114" s="10">
        <v>19800.0</v>
      </c>
      <c r="G114" s="14">
        <f t="shared" si="1"/>
        <v>27.72</v>
      </c>
      <c r="H114" s="14">
        <f>F114*'Materiality (Sec 2)'!$B$5</f>
        <v>38.808</v>
      </c>
    </row>
    <row r="115">
      <c r="A115" s="6" t="s">
        <v>364</v>
      </c>
      <c r="B115" s="6" t="s">
        <v>365</v>
      </c>
      <c r="C115" s="5" t="s">
        <v>255</v>
      </c>
      <c r="D115" s="6" t="s">
        <v>30</v>
      </c>
      <c r="E115" s="5" t="s">
        <v>257</v>
      </c>
      <c r="F115" s="10">
        <v>19190.0</v>
      </c>
      <c r="G115" s="14">
        <f t="shared" si="1"/>
        <v>34.542</v>
      </c>
      <c r="H115" s="14">
        <f>F115*'Materiality (Sec 2)'!$B$5</f>
        <v>37.6124</v>
      </c>
    </row>
    <row r="116">
      <c r="A116" s="6" t="s">
        <v>366</v>
      </c>
      <c r="B116" s="6" t="s">
        <v>365</v>
      </c>
      <c r="C116" s="5" t="s">
        <v>255</v>
      </c>
      <c r="D116" s="6" t="s">
        <v>30</v>
      </c>
      <c r="E116" s="5" t="s">
        <v>257</v>
      </c>
      <c r="F116" s="10">
        <v>19760.0</v>
      </c>
      <c r="G116" s="14">
        <f t="shared" si="1"/>
        <v>35.568</v>
      </c>
      <c r="H116" s="14">
        <f>F116*'Materiality (Sec 2)'!$B$5</f>
        <v>38.7296</v>
      </c>
    </row>
    <row r="117">
      <c r="A117" s="6" t="s">
        <v>367</v>
      </c>
      <c r="B117" s="6" t="s">
        <v>365</v>
      </c>
      <c r="C117" s="5" t="s">
        <v>255</v>
      </c>
      <c r="D117" s="6" t="s">
        <v>30</v>
      </c>
      <c r="E117" s="5" t="s">
        <v>257</v>
      </c>
      <c r="F117" s="10">
        <v>19660.0</v>
      </c>
      <c r="G117" s="14">
        <f t="shared" si="1"/>
        <v>35.388</v>
      </c>
      <c r="H117" s="14">
        <f>F117*'Materiality (Sec 2)'!$B$5</f>
        <v>38.5336</v>
      </c>
    </row>
    <row r="118">
      <c r="A118" s="6" t="s">
        <v>368</v>
      </c>
      <c r="B118" s="6" t="s">
        <v>369</v>
      </c>
      <c r="C118" s="5" t="s">
        <v>147</v>
      </c>
      <c r="D118" s="6" t="s">
        <v>148</v>
      </c>
      <c r="E118" s="5" t="s">
        <v>149</v>
      </c>
      <c r="F118" s="10">
        <v>19690.0</v>
      </c>
      <c r="G118" s="14">
        <f t="shared" si="1"/>
        <v>31.504</v>
      </c>
      <c r="H118" s="14">
        <f>F118*'Materiality (Sec 2)'!$B$5</f>
        <v>38.5924</v>
      </c>
    </row>
    <row r="119">
      <c r="A119" s="6" t="s">
        <v>370</v>
      </c>
      <c r="B119" s="6" t="s">
        <v>369</v>
      </c>
      <c r="C119" s="5" t="s">
        <v>255</v>
      </c>
      <c r="D119" s="6" t="s">
        <v>30</v>
      </c>
      <c r="E119" s="5" t="s">
        <v>257</v>
      </c>
      <c r="F119" s="10">
        <v>20180.0</v>
      </c>
      <c r="G119" s="14">
        <f t="shared" si="1"/>
        <v>36.324</v>
      </c>
      <c r="H119" s="14">
        <f>F119*'Materiality (Sec 2)'!$B$5</f>
        <v>39.5528</v>
      </c>
    </row>
    <row r="120">
      <c r="A120" s="6" t="s">
        <v>371</v>
      </c>
      <c r="B120" s="6" t="s">
        <v>369</v>
      </c>
      <c r="C120" s="5" t="s">
        <v>147</v>
      </c>
      <c r="D120" s="6" t="s">
        <v>148</v>
      </c>
      <c r="E120" s="5" t="s">
        <v>149</v>
      </c>
      <c r="F120" s="10">
        <v>19980.0</v>
      </c>
      <c r="G120" s="14">
        <f t="shared" si="1"/>
        <v>31.968</v>
      </c>
      <c r="H120" s="14">
        <f>F120*'Materiality (Sec 2)'!$B$5</f>
        <v>39.1608</v>
      </c>
    </row>
    <row r="121">
      <c r="A121" s="6" t="s">
        <v>372</v>
      </c>
      <c r="B121" s="6" t="s">
        <v>373</v>
      </c>
      <c r="C121" s="5" t="s">
        <v>147</v>
      </c>
      <c r="D121" s="6" t="s">
        <v>148</v>
      </c>
      <c r="E121" s="5" t="s">
        <v>149</v>
      </c>
      <c r="F121" s="10">
        <v>19750.0</v>
      </c>
      <c r="G121" s="14">
        <f t="shared" si="1"/>
        <v>31.6</v>
      </c>
      <c r="H121" s="14">
        <f>F121*'Materiality (Sec 2)'!$B$5</f>
        <v>38.71</v>
      </c>
    </row>
    <row r="122">
      <c r="A122" s="6" t="s">
        <v>374</v>
      </c>
      <c r="B122" s="6" t="s">
        <v>373</v>
      </c>
      <c r="C122" s="5" t="s">
        <v>147</v>
      </c>
      <c r="D122" s="6" t="s">
        <v>148</v>
      </c>
      <c r="E122" s="5" t="s">
        <v>149</v>
      </c>
      <c r="F122" s="10">
        <v>19950.0</v>
      </c>
      <c r="G122" s="14">
        <f t="shared" si="1"/>
        <v>31.92</v>
      </c>
      <c r="H122" s="14">
        <f>F122*'Materiality (Sec 2)'!$B$5</f>
        <v>39.102</v>
      </c>
    </row>
    <row r="123">
      <c r="A123" s="6" t="s">
        <v>375</v>
      </c>
      <c r="B123" s="6" t="s">
        <v>376</v>
      </c>
      <c r="C123" s="5" t="s">
        <v>130</v>
      </c>
      <c r="D123" s="6" t="s">
        <v>42</v>
      </c>
      <c r="E123" s="5" t="s">
        <v>131</v>
      </c>
      <c r="F123" s="10">
        <v>80610.0</v>
      </c>
      <c r="G123" s="14">
        <f t="shared" si="1"/>
        <v>169.281</v>
      </c>
      <c r="H123" s="14">
        <f>F123*'Materiality (Sec 2)'!$B$5</f>
        <v>157.9956</v>
      </c>
    </row>
    <row r="124">
      <c r="A124" s="6" t="s">
        <v>377</v>
      </c>
      <c r="B124" s="6" t="s">
        <v>376</v>
      </c>
      <c r="C124" s="5" t="s">
        <v>258</v>
      </c>
      <c r="D124" s="6" t="s">
        <v>35</v>
      </c>
      <c r="E124" s="5" t="s">
        <v>259</v>
      </c>
      <c r="F124" s="10">
        <v>20510.0</v>
      </c>
      <c r="G124" s="14">
        <f t="shared" si="1"/>
        <v>34.867</v>
      </c>
      <c r="H124" s="14">
        <f>F124*'Materiality (Sec 2)'!$B$5</f>
        <v>40.1996</v>
      </c>
    </row>
    <row r="125">
      <c r="A125" s="6" t="s">
        <v>378</v>
      </c>
      <c r="B125" s="6" t="s">
        <v>376</v>
      </c>
      <c r="C125" s="5" t="s">
        <v>258</v>
      </c>
      <c r="D125" s="6" t="s">
        <v>35</v>
      </c>
      <c r="E125" s="5" t="s">
        <v>259</v>
      </c>
      <c r="F125" s="10">
        <v>19910.0</v>
      </c>
      <c r="G125" s="14">
        <f t="shared" si="1"/>
        <v>33.847</v>
      </c>
      <c r="H125" s="14">
        <f>F125*'Materiality (Sec 2)'!$B$5</f>
        <v>39.0236</v>
      </c>
    </row>
    <row r="126">
      <c r="A126" s="6" t="s">
        <v>379</v>
      </c>
      <c r="B126" s="6" t="s">
        <v>380</v>
      </c>
      <c r="C126" s="5" t="s">
        <v>151</v>
      </c>
      <c r="D126" s="6" t="s">
        <v>96</v>
      </c>
      <c r="E126" s="5" t="s">
        <v>152</v>
      </c>
      <c r="F126" s="10">
        <v>19880.0</v>
      </c>
      <c r="G126" s="14">
        <f t="shared" si="1"/>
        <v>37.772</v>
      </c>
      <c r="H126" s="14">
        <f>F126*'Materiality (Sec 2)'!$B$5</f>
        <v>38.9648</v>
      </c>
    </row>
    <row r="127">
      <c r="A127" s="6" t="s">
        <v>381</v>
      </c>
      <c r="B127" s="6" t="s">
        <v>382</v>
      </c>
      <c r="C127" s="5" t="s">
        <v>153</v>
      </c>
      <c r="D127" s="6" t="s">
        <v>96</v>
      </c>
      <c r="E127" s="5" t="s">
        <v>154</v>
      </c>
      <c r="F127" s="10">
        <v>19240.0</v>
      </c>
      <c r="G127" s="14">
        <f t="shared" si="1"/>
        <v>36.556</v>
      </c>
      <c r="H127" s="14">
        <f>F127*'Materiality (Sec 2)'!$B$5</f>
        <v>37.7104</v>
      </c>
    </row>
    <row r="128">
      <c r="A128" s="6" t="s">
        <v>383</v>
      </c>
      <c r="B128" s="6" t="s">
        <v>384</v>
      </c>
      <c r="C128" s="5" t="s">
        <v>261</v>
      </c>
      <c r="D128" s="6" t="s">
        <v>124</v>
      </c>
      <c r="E128" s="5" t="s">
        <v>262</v>
      </c>
      <c r="F128" s="10">
        <v>18080.0</v>
      </c>
      <c r="G128" s="14">
        <f t="shared" si="1"/>
        <v>25.312</v>
      </c>
      <c r="H128" s="14">
        <f>F128*'Materiality (Sec 2)'!$B$5</f>
        <v>35.4368</v>
      </c>
    </row>
    <row r="129">
      <c r="A129" s="6" t="s">
        <v>385</v>
      </c>
      <c r="B129" s="6" t="s">
        <v>386</v>
      </c>
      <c r="C129" s="5" t="s">
        <v>158</v>
      </c>
      <c r="D129" s="6" t="s">
        <v>30</v>
      </c>
      <c r="E129" s="5" t="s">
        <v>159</v>
      </c>
      <c r="F129" s="10">
        <v>25740.0</v>
      </c>
      <c r="G129" s="14">
        <f t="shared" si="1"/>
        <v>46.332</v>
      </c>
      <c r="H129" s="14">
        <f>F129*'Materiality (Sec 2)'!$B$5</f>
        <v>50.4504</v>
      </c>
    </row>
    <row r="130">
      <c r="A130" s="6" t="s">
        <v>387</v>
      </c>
      <c r="B130" s="6" t="s">
        <v>388</v>
      </c>
      <c r="C130" s="5" t="s">
        <v>162</v>
      </c>
      <c r="D130" s="6" t="s">
        <v>42</v>
      </c>
      <c r="E130" s="5" t="s">
        <v>164</v>
      </c>
      <c r="F130" s="10">
        <v>26090.0</v>
      </c>
      <c r="G130" s="14">
        <f t="shared" si="1"/>
        <v>54.789</v>
      </c>
      <c r="H130" s="14">
        <f>F130*'Materiality (Sec 2)'!$B$5</f>
        <v>51.1364</v>
      </c>
    </row>
    <row r="131">
      <c r="A131" s="6" t="s">
        <v>389</v>
      </c>
      <c r="B131" s="6" t="s">
        <v>388</v>
      </c>
      <c r="C131" s="5" t="s">
        <v>165</v>
      </c>
      <c r="D131" s="6" t="s">
        <v>42</v>
      </c>
      <c r="E131" s="5" t="s">
        <v>166</v>
      </c>
      <c r="F131" s="10">
        <v>26110.0</v>
      </c>
      <c r="G131" s="14">
        <f t="shared" si="1"/>
        <v>54.831</v>
      </c>
      <c r="H131" s="14">
        <f>F131*'Materiality (Sec 2)'!$B$5</f>
        <v>51.1756</v>
      </c>
    </row>
    <row r="132">
      <c r="A132" s="6" t="s">
        <v>390</v>
      </c>
      <c r="B132" s="6" t="s">
        <v>388</v>
      </c>
      <c r="C132" s="5" t="s">
        <v>165</v>
      </c>
      <c r="D132" s="6" t="s">
        <v>42</v>
      </c>
      <c r="E132" s="5" t="s">
        <v>166</v>
      </c>
      <c r="F132" s="10">
        <v>26100.0</v>
      </c>
      <c r="G132" s="14">
        <f t="shared" si="1"/>
        <v>54.81</v>
      </c>
      <c r="H132" s="14">
        <f>F132*'Materiality (Sec 2)'!$B$5</f>
        <v>51.156</v>
      </c>
    </row>
    <row r="133">
      <c r="A133" s="6" t="s">
        <v>391</v>
      </c>
      <c r="B133" s="6" t="s">
        <v>388</v>
      </c>
      <c r="C133" s="5" t="s">
        <v>165</v>
      </c>
      <c r="D133" s="6" t="s">
        <v>42</v>
      </c>
      <c r="E133" s="5" t="s">
        <v>166</v>
      </c>
      <c r="F133" s="10">
        <v>25860.0</v>
      </c>
      <c r="G133" s="14">
        <f t="shared" si="1"/>
        <v>54.306</v>
      </c>
      <c r="H133" s="14">
        <f>F133*'Materiality (Sec 2)'!$B$5</f>
        <v>50.6856</v>
      </c>
    </row>
    <row r="134">
      <c r="A134" s="6" t="s">
        <v>392</v>
      </c>
      <c r="B134" s="6" t="s">
        <v>388</v>
      </c>
      <c r="C134" s="5" t="s">
        <v>168</v>
      </c>
      <c r="D134" s="6" t="s">
        <v>42</v>
      </c>
      <c r="E134" s="5" t="s">
        <v>169</v>
      </c>
      <c r="F134" s="10">
        <v>26100.0</v>
      </c>
      <c r="G134" s="14">
        <f t="shared" si="1"/>
        <v>54.81</v>
      </c>
      <c r="H134" s="14">
        <f>F134*'Materiality (Sec 2)'!$B$5</f>
        <v>51.156</v>
      </c>
    </row>
    <row r="135">
      <c r="A135" s="6" t="s">
        <v>393</v>
      </c>
      <c r="B135" s="6" t="s">
        <v>388</v>
      </c>
      <c r="C135" s="5" t="s">
        <v>168</v>
      </c>
      <c r="D135" s="6" t="s">
        <v>42</v>
      </c>
      <c r="E135" s="5" t="s">
        <v>169</v>
      </c>
      <c r="F135" s="10">
        <v>25900.0</v>
      </c>
      <c r="G135" s="14">
        <f t="shared" si="1"/>
        <v>54.39</v>
      </c>
      <c r="H135" s="14">
        <f>F135*'Materiality (Sec 2)'!$B$5</f>
        <v>50.764</v>
      </c>
    </row>
    <row r="136">
      <c r="A136" s="6" t="s">
        <v>394</v>
      </c>
      <c r="B136" s="6" t="s">
        <v>388</v>
      </c>
      <c r="C136" s="5" t="s">
        <v>265</v>
      </c>
      <c r="D136" s="6" t="s">
        <v>59</v>
      </c>
      <c r="E136" s="5" t="s">
        <v>266</v>
      </c>
      <c r="F136" s="10">
        <v>26100.0</v>
      </c>
      <c r="G136" s="14">
        <f t="shared" si="1"/>
        <v>57.42</v>
      </c>
      <c r="H136" s="14">
        <f>F136*'Materiality (Sec 2)'!$B$5</f>
        <v>51.156</v>
      </c>
    </row>
    <row r="137">
      <c r="A137" s="6" t="s">
        <v>395</v>
      </c>
      <c r="B137" s="6" t="s">
        <v>388</v>
      </c>
      <c r="C137" s="5" t="s">
        <v>265</v>
      </c>
      <c r="D137" s="6" t="s">
        <v>59</v>
      </c>
      <c r="E137" s="5" t="s">
        <v>266</v>
      </c>
      <c r="F137" s="10">
        <v>26140.0</v>
      </c>
      <c r="G137" s="14">
        <f t="shared" si="1"/>
        <v>57.508</v>
      </c>
      <c r="H137" s="14">
        <f>F137*'Materiality (Sec 2)'!$B$5</f>
        <v>51.2344</v>
      </c>
    </row>
    <row r="138">
      <c r="D138" s="29"/>
    </row>
    <row r="139">
      <c r="D139" s="29"/>
    </row>
    <row r="140">
      <c r="D140" s="29"/>
    </row>
    <row r="141">
      <c r="D141" s="29"/>
    </row>
    <row r="142">
      <c r="D142" s="29"/>
    </row>
    <row r="143">
      <c r="D143" s="29"/>
    </row>
    <row r="144">
      <c r="D144" s="29"/>
    </row>
    <row r="145">
      <c r="D145" s="29"/>
    </row>
    <row r="146">
      <c r="D146" s="29"/>
    </row>
    <row r="147">
      <c r="D147" s="29"/>
    </row>
    <row r="148">
      <c r="D148" s="29"/>
    </row>
    <row r="149">
      <c r="D149" s="29"/>
    </row>
    <row r="150">
      <c r="D150" s="29"/>
    </row>
    <row r="151">
      <c r="D151" s="29"/>
    </row>
    <row r="152">
      <c r="D152" s="29"/>
    </row>
    <row r="153">
      <c r="D153" s="29"/>
    </row>
    <row r="154">
      <c r="D154" s="29"/>
    </row>
    <row r="155">
      <c r="D155" s="29"/>
    </row>
    <row r="156">
      <c r="D156" s="29"/>
    </row>
    <row r="157">
      <c r="D157" s="29"/>
    </row>
    <row r="158">
      <c r="D158" s="29"/>
    </row>
    <row r="159">
      <c r="D159" s="29"/>
    </row>
    <row r="160">
      <c r="D160" s="29"/>
    </row>
    <row r="161">
      <c r="D161" s="29"/>
    </row>
    <row r="162">
      <c r="D162" s="29"/>
    </row>
    <row r="163">
      <c r="D163" s="29"/>
    </row>
    <row r="164">
      <c r="D164" s="29"/>
    </row>
    <row r="165">
      <c r="D165" s="29"/>
    </row>
    <row r="166">
      <c r="D166" s="29"/>
    </row>
    <row r="167">
      <c r="D167" s="29"/>
    </row>
    <row r="168">
      <c r="D168" s="29"/>
    </row>
    <row r="169">
      <c r="D169" s="29"/>
    </row>
    <row r="170">
      <c r="D170" s="29"/>
    </row>
    <row r="171">
      <c r="D171" s="29"/>
    </row>
    <row r="172">
      <c r="D172" s="29"/>
    </row>
    <row r="173">
      <c r="D173" s="29"/>
    </row>
    <row r="174">
      <c r="D174" s="29"/>
    </row>
    <row r="175">
      <c r="D175" s="29"/>
    </row>
    <row r="176">
      <c r="D176" s="29"/>
    </row>
    <row r="177">
      <c r="D177" s="29"/>
    </row>
    <row r="178">
      <c r="D178" s="29"/>
    </row>
    <row r="179">
      <c r="D179" s="29"/>
    </row>
    <row r="180">
      <c r="D180" s="29"/>
    </row>
    <row r="181">
      <c r="D181" s="29"/>
    </row>
    <row r="182">
      <c r="D182" s="29"/>
    </row>
    <row r="183">
      <c r="D183" s="29"/>
    </row>
    <row r="184">
      <c r="D184" s="29"/>
    </row>
    <row r="185">
      <c r="D185" s="29"/>
    </row>
    <row r="186">
      <c r="D186" s="29"/>
    </row>
    <row r="187">
      <c r="D187" s="29"/>
    </row>
    <row r="188">
      <c r="D188" s="29"/>
    </row>
    <row r="189">
      <c r="D189" s="29"/>
    </row>
    <row r="190">
      <c r="D190" s="29"/>
    </row>
    <row r="191">
      <c r="D191" s="29"/>
    </row>
    <row r="192">
      <c r="D192" s="29"/>
    </row>
    <row r="193">
      <c r="D193" s="29"/>
    </row>
    <row r="194">
      <c r="D194" s="29"/>
    </row>
    <row r="195">
      <c r="D195" s="29"/>
    </row>
    <row r="196">
      <c r="D196" s="29"/>
    </row>
    <row r="197">
      <c r="D197" s="29"/>
    </row>
    <row r="198">
      <c r="D198" s="29"/>
    </row>
    <row r="199">
      <c r="D199" s="29"/>
    </row>
    <row r="200">
      <c r="D200" s="29"/>
    </row>
    <row r="201">
      <c r="D201" s="29"/>
    </row>
    <row r="202">
      <c r="D202" s="29"/>
    </row>
    <row r="203">
      <c r="D203" s="29"/>
    </row>
    <row r="204">
      <c r="D204" s="29"/>
    </row>
    <row r="205">
      <c r="D205" s="29"/>
    </row>
    <row r="206">
      <c r="D206" s="29"/>
    </row>
    <row r="207">
      <c r="D207" s="29"/>
    </row>
    <row r="208">
      <c r="D208" s="29"/>
    </row>
    <row r="209">
      <c r="D209" s="29"/>
    </row>
    <row r="210">
      <c r="D210" s="29"/>
    </row>
    <row r="211">
      <c r="D211" s="29"/>
    </row>
    <row r="212">
      <c r="D212" s="29"/>
    </row>
    <row r="213">
      <c r="D213" s="29"/>
    </row>
    <row r="214">
      <c r="D214" s="29"/>
    </row>
    <row r="215">
      <c r="D215" s="29"/>
    </row>
    <row r="216">
      <c r="D216" s="29"/>
    </row>
    <row r="217">
      <c r="D217" s="29"/>
    </row>
    <row r="218">
      <c r="D218" s="29"/>
    </row>
    <row r="219">
      <c r="D219" s="29"/>
    </row>
    <row r="220">
      <c r="D220" s="29"/>
    </row>
    <row r="221">
      <c r="D221" s="29"/>
    </row>
    <row r="222">
      <c r="D222" s="29"/>
    </row>
    <row r="223">
      <c r="D223" s="29"/>
    </row>
    <row r="224">
      <c r="D224" s="29"/>
    </row>
    <row r="225">
      <c r="D225" s="29"/>
    </row>
    <row r="226">
      <c r="D226" s="29"/>
    </row>
    <row r="227">
      <c r="D227" s="29"/>
    </row>
    <row r="228">
      <c r="D228" s="29"/>
    </row>
    <row r="229">
      <c r="D229" s="29"/>
    </row>
    <row r="230">
      <c r="D230" s="29"/>
    </row>
    <row r="231">
      <c r="D231" s="29"/>
    </row>
    <row r="232">
      <c r="D232" s="29"/>
    </row>
    <row r="233">
      <c r="D233" s="29"/>
    </row>
    <row r="234">
      <c r="D234" s="29"/>
    </row>
    <row r="235">
      <c r="D235" s="29"/>
    </row>
    <row r="236">
      <c r="D236" s="29"/>
    </row>
    <row r="237">
      <c r="D237" s="29"/>
    </row>
    <row r="238">
      <c r="D238" s="29"/>
    </row>
    <row r="239">
      <c r="D239" s="29"/>
    </row>
    <row r="240">
      <c r="D240" s="29"/>
    </row>
    <row r="241">
      <c r="D241" s="29"/>
    </row>
    <row r="242">
      <c r="D242" s="29"/>
    </row>
    <row r="243">
      <c r="D243" s="29"/>
    </row>
    <row r="244">
      <c r="D244" s="29"/>
    </row>
    <row r="245">
      <c r="D245" s="29"/>
    </row>
    <row r="246">
      <c r="D246" s="29"/>
    </row>
    <row r="247">
      <c r="D247" s="29"/>
    </row>
    <row r="248">
      <c r="D248" s="29"/>
    </row>
    <row r="249">
      <c r="D249" s="29"/>
    </row>
    <row r="250">
      <c r="D250" s="29"/>
    </row>
    <row r="251">
      <c r="D251" s="29"/>
    </row>
    <row r="252">
      <c r="D252" s="29"/>
    </row>
    <row r="253">
      <c r="D253" s="29"/>
    </row>
    <row r="254">
      <c r="D254" s="29"/>
    </row>
    <row r="255">
      <c r="D255" s="29"/>
    </row>
    <row r="256">
      <c r="D256" s="29"/>
    </row>
    <row r="257">
      <c r="D257" s="29"/>
    </row>
    <row r="258">
      <c r="D258" s="29"/>
    </row>
    <row r="259">
      <c r="D259" s="29"/>
    </row>
    <row r="260">
      <c r="D260" s="29"/>
    </row>
    <row r="261">
      <c r="D261" s="29"/>
    </row>
    <row r="262">
      <c r="D262" s="29"/>
    </row>
    <row r="263">
      <c r="D263" s="29"/>
    </row>
    <row r="264">
      <c r="D264" s="29"/>
    </row>
    <row r="265">
      <c r="D265" s="29"/>
    </row>
    <row r="266">
      <c r="D266" s="29"/>
    </row>
    <row r="267">
      <c r="D267" s="29"/>
    </row>
    <row r="268">
      <c r="D268" s="29"/>
    </row>
    <row r="269">
      <c r="D269" s="29"/>
    </row>
    <row r="270">
      <c r="D270" s="29"/>
    </row>
    <row r="271">
      <c r="D271" s="29"/>
    </row>
    <row r="272">
      <c r="D272" s="29"/>
    </row>
    <row r="273">
      <c r="D273" s="29"/>
    </row>
    <row r="274">
      <c r="D274" s="29"/>
    </row>
    <row r="275">
      <c r="D275" s="29"/>
    </row>
    <row r="276">
      <c r="D276" s="29"/>
    </row>
    <row r="277">
      <c r="D277" s="29"/>
    </row>
    <row r="278">
      <c r="D278" s="29"/>
    </row>
    <row r="279">
      <c r="D279" s="29"/>
    </row>
    <row r="280">
      <c r="D280" s="29"/>
    </row>
    <row r="281">
      <c r="D281" s="29"/>
    </row>
    <row r="282">
      <c r="D282" s="29"/>
    </row>
    <row r="283">
      <c r="D283" s="29"/>
    </row>
    <row r="284">
      <c r="D284" s="29"/>
    </row>
    <row r="285">
      <c r="D285" s="29"/>
    </row>
    <row r="286">
      <c r="D286" s="29"/>
    </row>
    <row r="287">
      <c r="D287" s="29"/>
    </row>
    <row r="288">
      <c r="D288" s="29"/>
    </row>
    <row r="289">
      <c r="D289" s="29"/>
    </row>
    <row r="290">
      <c r="D290" s="29"/>
    </row>
    <row r="291">
      <c r="D291" s="29"/>
    </row>
    <row r="292">
      <c r="D292" s="29"/>
    </row>
    <row r="293">
      <c r="D293" s="29"/>
    </row>
    <row r="294">
      <c r="D294" s="29"/>
    </row>
    <row r="295">
      <c r="D295" s="29"/>
    </row>
    <row r="296">
      <c r="D296" s="29"/>
    </row>
    <row r="297">
      <c r="D297" s="29"/>
    </row>
    <row r="298">
      <c r="D298" s="29"/>
    </row>
    <row r="299">
      <c r="D299" s="29"/>
    </row>
    <row r="300">
      <c r="D300" s="29"/>
    </row>
    <row r="301">
      <c r="D301" s="29"/>
    </row>
    <row r="302">
      <c r="D302" s="29"/>
    </row>
    <row r="303">
      <c r="D303" s="29"/>
    </row>
    <row r="304">
      <c r="D304" s="29"/>
    </row>
    <row r="305">
      <c r="D305" s="29"/>
    </row>
    <row r="306">
      <c r="D306" s="29"/>
    </row>
    <row r="307">
      <c r="D307" s="29"/>
    </row>
    <row r="308">
      <c r="D308" s="29"/>
    </row>
    <row r="309">
      <c r="D309" s="29"/>
    </row>
    <row r="310">
      <c r="D310" s="29"/>
    </row>
    <row r="311">
      <c r="D311" s="29"/>
    </row>
    <row r="312">
      <c r="D312" s="29"/>
    </row>
    <row r="313">
      <c r="D313" s="29"/>
    </row>
    <row r="314">
      <c r="D314" s="29"/>
    </row>
    <row r="315">
      <c r="D315" s="29"/>
    </row>
    <row r="316">
      <c r="D316" s="29"/>
    </row>
    <row r="317">
      <c r="D317" s="29"/>
    </row>
    <row r="318">
      <c r="D318" s="29"/>
    </row>
    <row r="319">
      <c r="D319" s="29"/>
    </row>
    <row r="320">
      <c r="D320" s="29"/>
    </row>
    <row r="321">
      <c r="D321" s="29"/>
    </row>
    <row r="322">
      <c r="D322" s="29"/>
    </row>
    <row r="323">
      <c r="D323" s="29"/>
    </row>
    <row r="324">
      <c r="D324" s="29"/>
    </row>
    <row r="325">
      <c r="D325" s="29"/>
    </row>
    <row r="326">
      <c r="D326" s="29"/>
    </row>
    <row r="327">
      <c r="D327" s="29"/>
    </row>
    <row r="328">
      <c r="D328" s="29"/>
    </row>
    <row r="329">
      <c r="D329" s="29"/>
    </row>
    <row r="330">
      <c r="D330" s="29"/>
    </row>
    <row r="331">
      <c r="D331" s="29"/>
    </row>
    <row r="332">
      <c r="D332" s="29"/>
    </row>
    <row r="333">
      <c r="D333" s="29"/>
    </row>
    <row r="334">
      <c r="D334" s="29"/>
    </row>
    <row r="335">
      <c r="D335" s="29"/>
    </row>
    <row r="336">
      <c r="D336" s="29"/>
    </row>
    <row r="337">
      <c r="D337" s="29"/>
    </row>
    <row r="338">
      <c r="D338" s="29"/>
    </row>
    <row r="339">
      <c r="D339" s="29"/>
    </row>
    <row r="340">
      <c r="D340" s="29"/>
    </row>
    <row r="341">
      <c r="D341" s="29"/>
    </row>
    <row r="342">
      <c r="D342" s="29"/>
    </row>
    <row r="343">
      <c r="D343" s="29"/>
    </row>
    <row r="344">
      <c r="D344" s="29"/>
    </row>
    <row r="345">
      <c r="D345" s="29"/>
    </row>
    <row r="346">
      <c r="D346" s="29"/>
    </row>
    <row r="347">
      <c r="D347" s="29"/>
    </row>
    <row r="348">
      <c r="D348" s="29"/>
    </row>
    <row r="349">
      <c r="D349" s="29"/>
    </row>
    <row r="350">
      <c r="D350" s="29"/>
    </row>
    <row r="351">
      <c r="D351" s="29"/>
    </row>
    <row r="352">
      <c r="D352" s="29"/>
    </row>
    <row r="353">
      <c r="D353" s="29"/>
    </row>
    <row r="354">
      <c r="D354" s="29"/>
    </row>
    <row r="355">
      <c r="D355" s="29"/>
    </row>
    <row r="356">
      <c r="D356" s="29"/>
    </row>
    <row r="357">
      <c r="D357" s="29"/>
    </row>
    <row r="358">
      <c r="D358" s="29"/>
    </row>
    <row r="359">
      <c r="D359" s="29"/>
    </row>
    <row r="360">
      <c r="D360" s="29"/>
    </row>
    <row r="361">
      <c r="D361" s="29"/>
    </row>
    <row r="362">
      <c r="D362" s="29"/>
    </row>
    <row r="363">
      <c r="D363" s="29"/>
    </row>
    <row r="364">
      <c r="D364" s="29"/>
    </row>
    <row r="365">
      <c r="D365" s="29"/>
    </row>
    <row r="366">
      <c r="D366" s="29"/>
    </row>
    <row r="367">
      <c r="D367" s="29"/>
    </row>
    <row r="368">
      <c r="D368" s="29"/>
    </row>
    <row r="369">
      <c r="D369" s="29"/>
    </row>
    <row r="370">
      <c r="D370" s="29"/>
    </row>
    <row r="371">
      <c r="D371" s="29"/>
    </row>
    <row r="372">
      <c r="D372" s="29"/>
    </row>
    <row r="373">
      <c r="D373" s="29"/>
    </row>
    <row r="374">
      <c r="D374" s="29"/>
    </row>
    <row r="375">
      <c r="D375" s="29"/>
    </row>
    <row r="376">
      <c r="D376" s="29"/>
    </row>
    <row r="377">
      <c r="D377" s="29"/>
    </row>
    <row r="378">
      <c r="D378" s="29"/>
    </row>
    <row r="379">
      <c r="D379" s="29"/>
    </row>
    <row r="380">
      <c r="D380" s="29"/>
    </row>
    <row r="381">
      <c r="D381" s="29"/>
    </row>
    <row r="382">
      <c r="D382" s="29"/>
    </row>
    <row r="383">
      <c r="D383" s="29"/>
    </row>
    <row r="384">
      <c r="D384" s="29"/>
    </row>
    <row r="385">
      <c r="D385" s="29"/>
    </row>
    <row r="386">
      <c r="D386" s="29"/>
    </row>
    <row r="387">
      <c r="D387" s="29"/>
    </row>
    <row r="388">
      <c r="D388" s="29"/>
    </row>
    <row r="389">
      <c r="D389" s="29"/>
    </row>
    <row r="390">
      <c r="D390" s="29"/>
    </row>
    <row r="391">
      <c r="D391" s="29"/>
    </row>
    <row r="392">
      <c r="D392" s="29"/>
    </row>
    <row r="393">
      <c r="D393" s="29"/>
    </row>
    <row r="394">
      <c r="D394" s="29"/>
    </row>
    <row r="395">
      <c r="D395" s="29"/>
    </row>
    <row r="396">
      <c r="D396" s="29"/>
    </row>
    <row r="397">
      <c r="D397" s="29"/>
    </row>
    <row r="398">
      <c r="D398" s="29"/>
    </row>
    <row r="399">
      <c r="D399" s="29"/>
    </row>
    <row r="400">
      <c r="D400" s="29"/>
    </row>
    <row r="401">
      <c r="D401" s="29"/>
    </row>
    <row r="402">
      <c r="D402" s="29"/>
    </row>
    <row r="403">
      <c r="D403" s="29"/>
    </row>
    <row r="404">
      <c r="D404" s="29"/>
    </row>
    <row r="405">
      <c r="D405" s="29"/>
    </row>
    <row r="406">
      <c r="D406" s="29"/>
    </row>
    <row r="407">
      <c r="D407" s="29"/>
    </row>
    <row r="408">
      <c r="D408" s="29"/>
    </row>
    <row r="409">
      <c r="D409" s="29"/>
    </row>
    <row r="410">
      <c r="D410" s="29"/>
    </row>
    <row r="411">
      <c r="D411" s="29"/>
    </row>
    <row r="412">
      <c r="D412" s="29"/>
    </row>
    <row r="413">
      <c r="D413" s="29"/>
    </row>
    <row r="414">
      <c r="D414" s="29"/>
    </row>
    <row r="415">
      <c r="D415" s="29"/>
    </row>
    <row r="416">
      <c r="D416" s="29"/>
    </row>
    <row r="417">
      <c r="D417" s="29"/>
    </row>
    <row r="418">
      <c r="D418" s="29"/>
    </row>
    <row r="419">
      <c r="D419" s="29"/>
    </row>
    <row r="420">
      <c r="D420" s="29"/>
    </row>
    <row r="421">
      <c r="D421" s="29"/>
    </row>
    <row r="422">
      <c r="D422" s="29"/>
    </row>
    <row r="423">
      <c r="D423" s="29"/>
    </row>
    <row r="424">
      <c r="D424" s="29"/>
    </row>
    <row r="425">
      <c r="D425" s="29"/>
    </row>
    <row r="426">
      <c r="D426" s="29"/>
    </row>
    <row r="427">
      <c r="D427" s="29"/>
    </row>
    <row r="428">
      <c r="D428" s="29"/>
    </row>
    <row r="429">
      <c r="D429" s="29"/>
    </row>
    <row r="430">
      <c r="D430" s="29"/>
    </row>
    <row r="431">
      <c r="D431" s="29"/>
    </row>
    <row r="432">
      <c r="D432" s="29"/>
    </row>
    <row r="433">
      <c r="D433" s="29"/>
    </row>
    <row r="434">
      <c r="D434" s="29"/>
    </row>
    <row r="435">
      <c r="D435" s="29"/>
    </row>
    <row r="436">
      <c r="D436" s="29"/>
    </row>
    <row r="437">
      <c r="D437" s="29"/>
    </row>
    <row r="438">
      <c r="D438" s="29"/>
    </row>
    <row r="439">
      <c r="D439" s="29"/>
    </row>
    <row r="440">
      <c r="D440" s="29"/>
    </row>
    <row r="441">
      <c r="D441" s="29"/>
    </row>
    <row r="442">
      <c r="D442" s="29"/>
    </row>
    <row r="443">
      <c r="D443" s="29"/>
    </row>
    <row r="444">
      <c r="D444" s="29"/>
    </row>
    <row r="445">
      <c r="D445" s="29"/>
    </row>
    <row r="446">
      <c r="D446" s="29"/>
    </row>
    <row r="447">
      <c r="D447" s="29"/>
    </row>
    <row r="448">
      <c r="D448" s="29"/>
    </row>
    <row r="449">
      <c r="D449" s="29"/>
    </row>
    <row r="450">
      <c r="D450" s="29"/>
    </row>
    <row r="451">
      <c r="D451" s="29"/>
    </row>
    <row r="452">
      <c r="D452" s="29"/>
    </row>
    <row r="453">
      <c r="D453" s="29"/>
    </row>
    <row r="454">
      <c r="D454" s="29"/>
    </row>
    <row r="455">
      <c r="D455" s="29"/>
    </row>
    <row r="456">
      <c r="D456" s="29"/>
    </row>
    <row r="457">
      <c r="D457" s="29"/>
    </row>
    <row r="458">
      <c r="D458" s="29"/>
    </row>
    <row r="459">
      <c r="D459" s="29"/>
    </row>
    <row r="460">
      <c r="D460" s="29"/>
    </row>
    <row r="461">
      <c r="D461" s="29"/>
    </row>
    <row r="462">
      <c r="D462" s="29"/>
    </row>
    <row r="463">
      <c r="D463" s="29"/>
    </row>
    <row r="464">
      <c r="D464" s="29"/>
    </row>
    <row r="465">
      <c r="D465" s="29"/>
    </row>
    <row r="466">
      <c r="D466" s="29"/>
    </row>
    <row r="467">
      <c r="D467" s="29"/>
    </row>
    <row r="468">
      <c r="D468" s="29"/>
    </row>
    <row r="469">
      <c r="D469" s="29"/>
    </row>
    <row r="470">
      <c r="D470" s="29"/>
    </row>
    <row r="471">
      <c r="D471" s="29"/>
    </row>
    <row r="472">
      <c r="D472" s="29"/>
    </row>
    <row r="473">
      <c r="D473" s="29"/>
    </row>
    <row r="474">
      <c r="D474" s="29"/>
    </row>
    <row r="475">
      <c r="D475" s="29"/>
    </row>
    <row r="476">
      <c r="D476" s="29"/>
    </row>
    <row r="477">
      <c r="D477" s="29"/>
    </row>
    <row r="478">
      <c r="D478" s="29"/>
    </row>
    <row r="479">
      <c r="D479" s="29"/>
    </row>
    <row r="480">
      <c r="D480" s="29"/>
    </row>
    <row r="481">
      <c r="D481" s="29"/>
    </row>
    <row r="482">
      <c r="D482" s="29"/>
    </row>
    <row r="483">
      <c r="D483" s="29"/>
    </row>
    <row r="484">
      <c r="D484" s="29"/>
    </row>
    <row r="485">
      <c r="D485" s="29"/>
    </row>
    <row r="486">
      <c r="D486" s="29"/>
    </row>
    <row r="487">
      <c r="D487" s="29"/>
    </row>
    <row r="488">
      <c r="D488" s="29"/>
    </row>
    <row r="489">
      <c r="D489" s="29"/>
    </row>
    <row r="490">
      <c r="D490" s="29"/>
    </row>
    <row r="491">
      <c r="D491" s="29"/>
    </row>
    <row r="492">
      <c r="D492" s="29"/>
    </row>
    <row r="493">
      <c r="D493" s="29"/>
    </row>
    <row r="494">
      <c r="D494" s="29"/>
    </row>
    <row r="495">
      <c r="D495" s="29"/>
    </row>
    <row r="496">
      <c r="D496" s="29"/>
    </row>
    <row r="497">
      <c r="D497" s="29"/>
    </row>
    <row r="498">
      <c r="D498" s="29"/>
    </row>
    <row r="499">
      <c r="D499" s="29"/>
    </row>
    <row r="500">
      <c r="D500" s="29"/>
    </row>
    <row r="501">
      <c r="D501" s="29"/>
    </row>
    <row r="502">
      <c r="D502" s="29"/>
    </row>
    <row r="503">
      <c r="D503" s="29"/>
    </row>
    <row r="504">
      <c r="D504" s="29"/>
    </row>
    <row r="505">
      <c r="D505" s="29"/>
    </row>
    <row r="506">
      <c r="D506" s="29"/>
    </row>
    <row r="507">
      <c r="D507" s="29"/>
    </row>
    <row r="508">
      <c r="D508" s="29"/>
    </row>
    <row r="509">
      <c r="D509" s="29"/>
    </row>
    <row r="510">
      <c r="D510" s="29"/>
    </row>
    <row r="511">
      <c r="D511" s="29"/>
    </row>
    <row r="512">
      <c r="D512" s="29"/>
    </row>
    <row r="513">
      <c r="D513" s="29"/>
    </row>
    <row r="514">
      <c r="D514" s="29"/>
    </row>
    <row r="515">
      <c r="D515" s="29"/>
    </row>
    <row r="516">
      <c r="D516" s="29"/>
    </row>
    <row r="517">
      <c r="D517" s="29"/>
    </row>
    <row r="518">
      <c r="D518" s="29"/>
    </row>
    <row r="519">
      <c r="D519" s="29"/>
    </row>
    <row r="520">
      <c r="D520" s="29"/>
    </row>
    <row r="521">
      <c r="D521" s="29"/>
    </row>
    <row r="522">
      <c r="D522" s="29"/>
    </row>
    <row r="523">
      <c r="D523" s="29"/>
    </row>
    <row r="524">
      <c r="D524" s="29"/>
    </row>
    <row r="525">
      <c r="D525" s="29"/>
    </row>
    <row r="526">
      <c r="D526" s="29"/>
    </row>
    <row r="527">
      <c r="D527" s="29"/>
    </row>
    <row r="528">
      <c r="D528" s="29"/>
    </row>
    <row r="529">
      <c r="D529" s="29"/>
    </row>
    <row r="530">
      <c r="D530" s="29"/>
    </row>
    <row r="531">
      <c r="D531" s="29"/>
    </row>
    <row r="532">
      <c r="D532" s="29"/>
    </row>
    <row r="533">
      <c r="D533" s="29"/>
    </row>
    <row r="534">
      <c r="D534" s="29"/>
    </row>
    <row r="535">
      <c r="D535" s="29"/>
    </row>
    <row r="536">
      <c r="D536" s="29"/>
    </row>
    <row r="537">
      <c r="D537" s="29"/>
    </row>
    <row r="538">
      <c r="D538" s="29"/>
    </row>
    <row r="539">
      <c r="D539" s="29"/>
    </row>
    <row r="540">
      <c r="D540" s="29"/>
    </row>
    <row r="541">
      <c r="D541" s="29"/>
    </row>
    <row r="542">
      <c r="D542" s="29"/>
    </row>
    <row r="543">
      <c r="D543" s="29"/>
    </row>
    <row r="544">
      <c r="D544" s="29"/>
    </row>
    <row r="545">
      <c r="D545" s="29"/>
    </row>
    <row r="546">
      <c r="D546" s="29"/>
    </row>
    <row r="547">
      <c r="D547" s="29"/>
    </row>
    <row r="548">
      <c r="D548" s="29"/>
    </row>
    <row r="549">
      <c r="D549" s="29"/>
    </row>
    <row r="550">
      <c r="D550" s="29"/>
    </row>
    <row r="551">
      <c r="D551" s="29"/>
    </row>
    <row r="552">
      <c r="D552" s="29"/>
    </row>
    <row r="553">
      <c r="D553" s="29"/>
    </row>
    <row r="554">
      <c r="D554" s="29"/>
    </row>
    <row r="555">
      <c r="D555" s="29"/>
    </row>
    <row r="556">
      <c r="D556" s="29"/>
    </row>
    <row r="557">
      <c r="D557" s="29"/>
    </row>
    <row r="558">
      <c r="D558" s="29"/>
    </row>
    <row r="559">
      <c r="D559" s="29"/>
    </row>
    <row r="560">
      <c r="D560" s="29"/>
    </row>
    <row r="561">
      <c r="D561" s="29"/>
    </row>
    <row r="562">
      <c r="D562" s="29"/>
    </row>
    <row r="563">
      <c r="D563" s="29"/>
    </row>
    <row r="564">
      <c r="D564" s="29"/>
    </row>
    <row r="565">
      <c r="D565" s="29"/>
    </row>
    <row r="566">
      <c r="D566" s="29"/>
    </row>
    <row r="567">
      <c r="D567" s="29"/>
    </row>
    <row r="568">
      <c r="D568" s="29"/>
    </row>
    <row r="569">
      <c r="D569" s="29"/>
    </row>
    <row r="570">
      <c r="D570" s="29"/>
    </row>
    <row r="571">
      <c r="D571" s="29"/>
    </row>
    <row r="572">
      <c r="D572" s="29"/>
    </row>
    <row r="573">
      <c r="D573" s="29"/>
    </row>
    <row r="574">
      <c r="D574" s="29"/>
    </row>
    <row r="575">
      <c r="D575" s="29"/>
    </row>
    <row r="576">
      <c r="D576" s="29"/>
    </row>
    <row r="577">
      <c r="D577" s="29"/>
    </row>
    <row r="578">
      <c r="D578" s="29"/>
    </row>
    <row r="579">
      <c r="D579" s="29"/>
    </row>
    <row r="580">
      <c r="D580" s="29"/>
    </row>
    <row r="581">
      <c r="D581" s="29"/>
    </row>
    <row r="582">
      <c r="D582" s="29"/>
    </row>
    <row r="583">
      <c r="D583" s="29"/>
    </row>
    <row r="584">
      <c r="D584" s="29"/>
    </row>
    <row r="585">
      <c r="D585" s="29"/>
    </row>
    <row r="586">
      <c r="D586" s="29"/>
    </row>
    <row r="587">
      <c r="D587" s="29"/>
    </row>
    <row r="588">
      <c r="D588" s="29"/>
    </row>
    <row r="589">
      <c r="D589" s="29"/>
    </row>
    <row r="590">
      <c r="D590" s="29"/>
    </row>
    <row r="591">
      <c r="D591" s="29"/>
    </row>
    <row r="592">
      <c r="D592" s="29"/>
    </row>
    <row r="593">
      <c r="D593" s="29"/>
    </row>
    <row r="594">
      <c r="D594" s="29"/>
    </row>
    <row r="595">
      <c r="D595" s="29"/>
    </row>
    <row r="596">
      <c r="D596" s="29"/>
    </row>
    <row r="597">
      <c r="D597" s="29"/>
    </row>
    <row r="598">
      <c r="D598" s="29"/>
    </row>
    <row r="599">
      <c r="D599" s="29"/>
    </row>
    <row r="600">
      <c r="D600" s="29"/>
    </row>
    <row r="601">
      <c r="D601" s="29"/>
    </row>
    <row r="602">
      <c r="D602" s="29"/>
    </row>
    <row r="603">
      <c r="D603" s="29"/>
    </row>
    <row r="604">
      <c r="D604" s="29"/>
    </row>
    <row r="605">
      <c r="D605" s="29"/>
    </row>
    <row r="606">
      <c r="D606" s="29"/>
    </row>
    <row r="607">
      <c r="D607" s="29"/>
    </row>
    <row r="608">
      <c r="D608" s="29"/>
    </row>
    <row r="609">
      <c r="D609" s="29"/>
    </row>
    <row r="610">
      <c r="D610" s="29"/>
    </row>
    <row r="611">
      <c r="D611" s="29"/>
    </row>
    <row r="612">
      <c r="D612" s="29"/>
    </row>
    <row r="613">
      <c r="D613" s="29"/>
    </row>
    <row r="614">
      <c r="D614" s="29"/>
    </row>
    <row r="615">
      <c r="D615" s="29"/>
    </row>
    <row r="616">
      <c r="D616" s="29"/>
    </row>
    <row r="617">
      <c r="D617" s="29"/>
    </row>
    <row r="618">
      <c r="D618" s="29"/>
    </row>
    <row r="619">
      <c r="D619" s="29"/>
    </row>
    <row r="620">
      <c r="D620" s="29"/>
    </row>
    <row r="621">
      <c r="D621" s="29"/>
    </row>
    <row r="622">
      <c r="D622" s="29"/>
    </row>
    <row r="623">
      <c r="D623" s="29"/>
    </row>
    <row r="624">
      <c r="D624" s="29"/>
    </row>
    <row r="625">
      <c r="D625" s="29"/>
    </row>
    <row r="626">
      <c r="D626" s="29"/>
    </row>
    <row r="627">
      <c r="D627" s="29"/>
    </row>
    <row r="628">
      <c r="D628" s="29"/>
    </row>
    <row r="629">
      <c r="D629" s="29"/>
    </row>
    <row r="630">
      <c r="D630" s="29"/>
    </row>
    <row r="631">
      <c r="D631" s="29"/>
    </row>
    <row r="632">
      <c r="D632" s="29"/>
    </row>
    <row r="633">
      <c r="D633" s="29"/>
    </row>
    <row r="634">
      <c r="D634" s="29"/>
    </row>
    <row r="635">
      <c r="D635" s="29"/>
    </row>
    <row r="636">
      <c r="D636" s="29"/>
    </row>
    <row r="637">
      <c r="D637" s="29"/>
    </row>
    <row r="638">
      <c r="D638" s="29"/>
    </row>
    <row r="639">
      <c r="D639" s="29"/>
    </row>
    <row r="640">
      <c r="D640" s="29"/>
    </row>
    <row r="641">
      <c r="D641" s="29"/>
    </row>
    <row r="642">
      <c r="D642" s="29"/>
    </row>
    <row r="643">
      <c r="D643" s="29"/>
    </row>
    <row r="644">
      <c r="D644" s="29"/>
    </row>
    <row r="645">
      <c r="D645" s="29"/>
    </row>
    <row r="646">
      <c r="D646" s="29"/>
    </row>
    <row r="647">
      <c r="D647" s="29"/>
    </row>
    <row r="648">
      <c r="D648" s="29"/>
    </row>
    <row r="649">
      <c r="D649" s="29"/>
    </row>
    <row r="650">
      <c r="D650" s="29"/>
    </row>
    <row r="651">
      <c r="D651" s="29"/>
    </row>
    <row r="652">
      <c r="D652" s="29"/>
    </row>
    <row r="653">
      <c r="D653" s="29"/>
    </row>
    <row r="654">
      <c r="D654" s="29"/>
    </row>
    <row r="655">
      <c r="D655" s="29"/>
    </row>
    <row r="656">
      <c r="D656" s="29"/>
    </row>
    <row r="657">
      <c r="D657" s="29"/>
    </row>
    <row r="658">
      <c r="D658" s="29"/>
    </row>
    <row r="659">
      <c r="D659" s="29"/>
    </row>
    <row r="660">
      <c r="D660" s="29"/>
    </row>
    <row r="661">
      <c r="D661" s="29"/>
    </row>
    <row r="662">
      <c r="D662" s="29"/>
    </row>
    <row r="663">
      <c r="D663" s="29"/>
    </row>
    <row r="664">
      <c r="D664" s="29"/>
    </row>
    <row r="665">
      <c r="D665" s="29"/>
    </row>
    <row r="666">
      <c r="D666" s="29"/>
    </row>
    <row r="667">
      <c r="D667" s="29"/>
    </row>
    <row r="668">
      <c r="D668" s="29"/>
    </row>
    <row r="669">
      <c r="D669" s="29"/>
    </row>
    <row r="670">
      <c r="D670" s="29"/>
    </row>
    <row r="671">
      <c r="D671" s="29"/>
    </row>
    <row r="672">
      <c r="D672" s="29"/>
    </row>
    <row r="673">
      <c r="D673" s="29"/>
    </row>
    <row r="674">
      <c r="D674" s="29"/>
    </row>
    <row r="675">
      <c r="D675" s="29"/>
    </row>
    <row r="676">
      <c r="D676" s="29"/>
    </row>
    <row r="677">
      <c r="D677" s="29"/>
    </row>
    <row r="678">
      <c r="D678" s="29"/>
    </row>
    <row r="679">
      <c r="D679" s="29"/>
    </row>
    <row r="680">
      <c r="D680" s="29"/>
    </row>
    <row r="681">
      <c r="D681" s="29"/>
    </row>
    <row r="682">
      <c r="D682" s="29"/>
    </row>
    <row r="683">
      <c r="D683" s="29"/>
    </row>
    <row r="684">
      <c r="D684" s="29"/>
    </row>
    <row r="685">
      <c r="D685" s="29"/>
    </row>
    <row r="686">
      <c r="D686" s="29"/>
    </row>
    <row r="687">
      <c r="D687" s="29"/>
    </row>
    <row r="688">
      <c r="D688" s="29"/>
    </row>
    <row r="689">
      <c r="D689" s="29"/>
    </row>
    <row r="690">
      <c r="D690" s="29"/>
    </row>
    <row r="691">
      <c r="D691" s="29"/>
    </row>
    <row r="692">
      <c r="D692" s="29"/>
    </row>
    <row r="693">
      <c r="D693" s="29"/>
    </row>
    <row r="694">
      <c r="D694" s="29"/>
    </row>
    <row r="695">
      <c r="D695" s="29"/>
    </row>
    <row r="696">
      <c r="D696" s="29"/>
    </row>
    <row r="697">
      <c r="D697" s="29"/>
    </row>
    <row r="698">
      <c r="D698" s="29"/>
    </row>
    <row r="699">
      <c r="D699" s="29"/>
    </row>
    <row r="700">
      <c r="D700" s="29"/>
    </row>
    <row r="701">
      <c r="D701" s="29"/>
    </row>
    <row r="702">
      <c r="D702" s="29"/>
    </row>
    <row r="703">
      <c r="D703" s="29"/>
    </row>
    <row r="704">
      <c r="D704" s="29"/>
    </row>
    <row r="705">
      <c r="D705" s="29"/>
    </row>
    <row r="706">
      <c r="D706" s="29"/>
    </row>
    <row r="707">
      <c r="D707" s="29"/>
    </row>
    <row r="708">
      <c r="D708" s="29"/>
    </row>
    <row r="709">
      <c r="D709" s="29"/>
    </row>
    <row r="710">
      <c r="D710" s="29"/>
    </row>
    <row r="711">
      <c r="D711" s="29"/>
    </row>
    <row r="712">
      <c r="D712" s="29"/>
    </row>
    <row r="713">
      <c r="D713" s="29"/>
    </row>
    <row r="714">
      <c r="D714" s="29"/>
    </row>
    <row r="715">
      <c r="D715" s="29"/>
    </row>
    <row r="716">
      <c r="D716" s="29"/>
    </row>
    <row r="717">
      <c r="D717" s="29"/>
    </row>
    <row r="718">
      <c r="D718" s="29"/>
    </row>
    <row r="719">
      <c r="D719" s="29"/>
    </row>
    <row r="720">
      <c r="D720" s="29"/>
    </row>
    <row r="721">
      <c r="D721" s="29"/>
    </row>
    <row r="722">
      <c r="D722" s="29"/>
    </row>
    <row r="723">
      <c r="D723" s="29"/>
    </row>
    <row r="724">
      <c r="D724" s="29"/>
    </row>
    <row r="725">
      <c r="D725" s="29"/>
    </row>
    <row r="726">
      <c r="D726" s="29"/>
    </row>
    <row r="727">
      <c r="D727" s="29"/>
    </row>
    <row r="728">
      <c r="D728" s="29"/>
    </row>
    <row r="729">
      <c r="D729" s="29"/>
    </row>
    <row r="730">
      <c r="D730" s="29"/>
    </row>
    <row r="731">
      <c r="D731" s="29"/>
    </row>
    <row r="732">
      <c r="D732" s="29"/>
    </row>
    <row r="733">
      <c r="D733" s="29"/>
    </row>
    <row r="734">
      <c r="D734" s="29"/>
    </row>
    <row r="735">
      <c r="D735" s="29"/>
    </row>
    <row r="736">
      <c r="D736" s="29"/>
    </row>
    <row r="737">
      <c r="D737" s="29"/>
    </row>
    <row r="738">
      <c r="D738" s="29"/>
    </row>
    <row r="739">
      <c r="D739" s="29"/>
    </row>
    <row r="740">
      <c r="D740" s="29"/>
    </row>
    <row r="741">
      <c r="D741" s="29"/>
    </row>
    <row r="742">
      <c r="D742" s="29"/>
    </row>
    <row r="743">
      <c r="D743" s="29"/>
    </row>
    <row r="744">
      <c r="D744" s="29"/>
    </row>
    <row r="745">
      <c r="D745" s="29"/>
    </row>
    <row r="746">
      <c r="D746" s="29"/>
    </row>
    <row r="747">
      <c r="D747" s="29"/>
    </row>
    <row r="748">
      <c r="D748" s="29"/>
    </row>
    <row r="749">
      <c r="D749" s="29"/>
    </row>
    <row r="750">
      <c r="D750" s="29"/>
    </row>
    <row r="751">
      <c r="D751" s="29"/>
    </row>
    <row r="752">
      <c r="D752" s="29"/>
    </row>
    <row r="753">
      <c r="D753" s="29"/>
    </row>
    <row r="754">
      <c r="D754" s="29"/>
    </row>
    <row r="755">
      <c r="D755" s="29"/>
    </row>
    <row r="756">
      <c r="D756" s="29"/>
    </row>
    <row r="757">
      <c r="D757" s="29"/>
    </row>
    <row r="758">
      <c r="D758" s="29"/>
    </row>
    <row r="759">
      <c r="D759" s="29"/>
    </row>
    <row r="760">
      <c r="D760" s="29"/>
    </row>
    <row r="761">
      <c r="D761" s="29"/>
    </row>
    <row r="762">
      <c r="D762" s="29"/>
    </row>
    <row r="763">
      <c r="D763" s="29"/>
    </row>
    <row r="764">
      <c r="D764" s="29"/>
    </row>
    <row r="765">
      <c r="D765" s="29"/>
    </row>
    <row r="766">
      <c r="D766" s="29"/>
    </row>
    <row r="767">
      <c r="D767" s="29"/>
    </row>
    <row r="768">
      <c r="D768" s="29"/>
    </row>
    <row r="769">
      <c r="D769" s="29"/>
    </row>
    <row r="770">
      <c r="D770" s="29"/>
    </row>
    <row r="771">
      <c r="D771" s="29"/>
    </row>
    <row r="772">
      <c r="D772" s="29"/>
    </row>
    <row r="773">
      <c r="D773" s="29"/>
    </row>
    <row r="774">
      <c r="D774" s="29"/>
    </row>
    <row r="775">
      <c r="D775" s="29"/>
    </row>
    <row r="776">
      <c r="D776" s="29"/>
    </row>
    <row r="777">
      <c r="D777" s="29"/>
    </row>
    <row r="778">
      <c r="D778" s="29"/>
    </row>
    <row r="779">
      <c r="D779" s="29"/>
    </row>
    <row r="780">
      <c r="D780" s="29"/>
    </row>
    <row r="781">
      <c r="D781" s="29"/>
    </row>
    <row r="782">
      <c r="D782" s="29"/>
    </row>
    <row r="783">
      <c r="D783" s="29"/>
    </row>
    <row r="784">
      <c r="D784" s="29"/>
    </row>
    <row r="785">
      <c r="D785" s="29"/>
    </row>
    <row r="786">
      <c r="D786" s="29"/>
    </row>
    <row r="787">
      <c r="D787" s="29"/>
    </row>
    <row r="788">
      <c r="D788" s="29"/>
    </row>
    <row r="789">
      <c r="D789" s="29"/>
    </row>
    <row r="790">
      <c r="D790" s="29"/>
    </row>
    <row r="791">
      <c r="D791" s="29"/>
    </row>
    <row r="792">
      <c r="D792" s="29"/>
    </row>
    <row r="793">
      <c r="D793" s="29"/>
    </row>
    <row r="794">
      <c r="D794" s="29"/>
    </row>
    <row r="795">
      <c r="D795" s="29"/>
    </row>
    <row r="796">
      <c r="D796" s="29"/>
    </row>
    <row r="797">
      <c r="D797" s="29"/>
    </row>
    <row r="798">
      <c r="D798" s="29"/>
    </row>
    <row r="799">
      <c r="D799" s="29"/>
    </row>
    <row r="800">
      <c r="D800" s="29"/>
    </row>
    <row r="801">
      <c r="D801" s="29"/>
    </row>
    <row r="802">
      <c r="D802" s="29"/>
    </row>
    <row r="803">
      <c r="D803" s="29"/>
    </row>
    <row r="804">
      <c r="D804" s="29"/>
    </row>
    <row r="805">
      <c r="D805" s="29"/>
    </row>
    <row r="806">
      <c r="D806" s="29"/>
    </row>
    <row r="807">
      <c r="D807" s="29"/>
    </row>
    <row r="808">
      <c r="D808" s="29"/>
    </row>
    <row r="809">
      <c r="D809" s="29"/>
    </row>
    <row r="810">
      <c r="D810" s="29"/>
    </row>
    <row r="811">
      <c r="D811" s="29"/>
    </row>
    <row r="812">
      <c r="D812" s="29"/>
    </row>
    <row r="813">
      <c r="D813" s="29"/>
    </row>
    <row r="814">
      <c r="D814" s="29"/>
    </row>
    <row r="815">
      <c r="D815" s="29"/>
    </row>
    <row r="816">
      <c r="D816" s="29"/>
    </row>
    <row r="817">
      <c r="D817" s="29"/>
    </row>
    <row r="818">
      <c r="D818" s="29"/>
    </row>
    <row r="819">
      <c r="D819" s="29"/>
    </row>
    <row r="820">
      <c r="D820" s="29"/>
    </row>
    <row r="821">
      <c r="D821" s="29"/>
    </row>
    <row r="822">
      <c r="D822" s="29"/>
    </row>
    <row r="823">
      <c r="D823" s="29"/>
    </row>
    <row r="824">
      <c r="D824" s="29"/>
    </row>
    <row r="825">
      <c r="D825" s="29"/>
    </row>
    <row r="826">
      <c r="D826" s="29"/>
    </row>
    <row r="827">
      <c r="D827" s="29"/>
    </row>
    <row r="828">
      <c r="D828" s="29"/>
    </row>
    <row r="829">
      <c r="D829" s="29"/>
    </row>
    <row r="830">
      <c r="D830" s="29"/>
    </row>
    <row r="831">
      <c r="D831" s="29"/>
    </row>
    <row r="832">
      <c r="D832" s="29"/>
    </row>
    <row r="833">
      <c r="D833" s="29"/>
    </row>
    <row r="834">
      <c r="D834" s="29"/>
    </row>
    <row r="835">
      <c r="D835" s="29"/>
    </row>
    <row r="836">
      <c r="D836" s="29"/>
    </row>
    <row r="837">
      <c r="D837" s="29"/>
    </row>
    <row r="838">
      <c r="D838" s="29"/>
    </row>
    <row r="839">
      <c r="D839" s="29"/>
    </row>
    <row r="840">
      <c r="D840" s="29"/>
    </row>
    <row r="841">
      <c r="D841" s="29"/>
    </row>
    <row r="842">
      <c r="D842" s="29"/>
    </row>
    <row r="843">
      <c r="D843" s="29"/>
    </row>
    <row r="844">
      <c r="D844" s="29"/>
    </row>
    <row r="845">
      <c r="D845" s="29"/>
    </row>
    <row r="846">
      <c r="D846" s="29"/>
    </row>
    <row r="847">
      <c r="D847" s="29"/>
    </row>
    <row r="848">
      <c r="D848" s="29"/>
    </row>
    <row r="849">
      <c r="D849" s="29"/>
    </row>
    <row r="850">
      <c r="D850" s="29"/>
    </row>
    <row r="851">
      <c r="D851" s="29"/>
    </row>
    <row r="852">
      <c r="D852" s="29"/>
    </row>
    <row r="853">
      <c r="D853" s="29"/>
    </row>
    <row r="854">
      <c r="D854" s="29"/>
    </row>
    <row r="855">
      <c r="D855" s="29"/>
    </row>
    <row r="856">
      <c r="D856" s="29"/>
    </row>
    <row r="857">
      <c r="D857" s="29"/>
    </row>
    <row r="858">
      <c r="D858" s="29"/>
    </row>
    <row r="859">
      <c r="D859" s="29"/>
    </row>
    <row r="860">
      <c r="D860" s="29"/>
    </row>
    <row r="861">
      <c r="D861" s="29"/>
    </row>
    <row r="862">
      <c r="D862" s="29"/>
    </row>
    <row r="863">
      <c r="D863" s="29"/>
    </row>
    <row r="864">
      <c r="D864" s="29"/>
    </row>
    <row r="865">
      <c r="D865" s="29"/>
    </row>
    <row r="866">
      <c r="D866" s="29"/>
    </row>
    <row r="867">
      <c r="D867" s="29"/>
    </row>
    <row r="868">
      <c r="D868" s="29"/>
    </row>
    <row r="869">
      <c r="D869" s="29"/>
    </row>
    <row r="870">
      <c r="D870" s="29"/>
    </row>
    <row r="871">
      <c r="D871" s="29"/>
    </row>
    <row r="872">
      <c r="D872" s="29"/>
    </row>
    <row r="873">
      <c r="D873" s="29"/>
    </row>
    <row r="874">
      <c r="D874" s="29"/>
    </row>
    <row r="875">
      <c r="D875" s="29"/>
    </row>
    <row r="876">
      <c r="D876" s="29"/>
    </row>
    <row r="877">
      <c r="D877" s="29"/>
    </row>
    <row r="878">
      <c r="D878" s="29"/>
    </row>
    <row r="879">
      <c r="D879" s="29"/>
    </row>
    <row r="880">
      <c r="D880" s="29"/>
    </row>
    <row r="881">
      <c r="D881" s="29"/>
    </row>
    <row r="882">
      <c r="D882" s="29"/>
    </row>
    <row r="883">
      <c r="D883" s="29"/>
    </row>
    <row r="884">
      <c r="D884" s="29"/>
    </row>
    <row r="885">
      <c r="D885" s="29"/>
    </row>
    <row r="886">
      <c r="D886" s="29"/>
    </row>
    <row r="887">
      <c r="D887" s="29"/>
    </row>
    <row r="888">
      <c r="D888" s="29"/>
    </row>
    <row r="889">
      <c r="D889" s="29"/>
    </row>
    <row r="890">
      <c r="D890" s="29"/>
    </row>
    <row r="891">
      <c r="D891" s="29"/>
    </row>
    <row r="892">
      <c r="D892" s="29"/>
    </row>
    <row r="893">
      <c r="D893" s="29"/>
    </row>
    <row r="894">
      <c r="D894" s="29"/>
    </row>
    <row r="895">
      <c r="D895" s="29"/>
    </row>
    <row r="896">
      <c r="D896" s="29"/>
    </row>
    <row r="897">
      <c r="D897" s="29"/>
    </row>
    <row r="898">
      <c r="D898" s="29"/>
    </row>
    <row r="899">
      <c r="D899" s="29"/>
    </row>
    <row r="900">
      <c r="D900" s="29"/>
    </row>
    <row r="901">
      <c r="D901" s="29"/>
    </row>
    <row r="902">
      <c r="D902" s="29"/>
    </row>
    <row r="903">
      <c r="D903" s="29"/>
    </row>
    <row r="904">
      <c r="D904" s="29"/>
    </row>
    <row r="905">
      <c r="D905" s="29"/>
    </row>
    <row r="906">
      <c r="D906" s="29"/>
    </row>
    <row r="907">
      <c r="D907" s="29"/>
    </row>
    <row r="908">
      <c r="D908" s="29"/>
    </row>
    <row r="909">
      <c r="D909" s="29"/>
    </row>
    <row r="910">
      <c r="D910" s="29"/>
    </row>
    <row r="911">
      <c r="D911" s="29"/>
    </row>
    <row r="912">
      <c r="D912" s="29"/>
    </row>
    <row r="913">
      <c r="D913" s="29"/>
    </row>
    <row r="914">
      <c r="D914" s="29"/>
    </row>
    <row r="915">
      <c r="D915" s="29"/>
    </row>
    <row r="916">
      <c r="D916" s="29"/>
    </row>
    <row r="917">
      <c r="D917" s="29"/>
    </row>
    <row r="918">
      <c r="D918" s="29"/>
    </row>
    <row r="919">
      <c r="D919" s="29"/>
    </row>
    <row r="920">
      <c r="D920" s="29"/>
    </row>
    <row r="921">
      <c r="D921" s="29"/>
    </row>
    <row r="922">
      <c r="D922" s="29"/>
    </row>
    <row r="923">
      <c r="D923" s="29"/>
    </row>
    <row r="924">
      <c r="D924" s="29"/>
    </row>
    <row r="925">
      <c r="D925" s="29"/>
    </row>
    <row r="926">
      <c r="D926" s="29"/>
    </row>
    <row r="927">
      <c r="D927" s="29"/>
    </row>
    <row r="928">
      <c r="D928" s="29"/>
    </row>
    <row r="929">
      <c r="D929" s="29"/>
    </row>
    <row r="930">
      <c r="D930" s="29"/>
    </row>
    <row r="931">
      <c r="D931" s="29"/>
    </row>
    <row r="932">
      <c r="D932" s="29"/>
    </row>
    <row r="933">
      <c r="D933" s="29"/>
    </row>
    <row r="934">
      <c r="D934" s="29"/>
    </row>
    <row r="935">
      <c r="D935" s="29"/>
    </row>
    <row r="936">
      <c r="D936" s="29"/>
    </row>
    <row r="937">
      <c r="D937" s="29"/>
    </row>
    <row r="938">
      <c r="D938" s="29"/>
    </row>
    <row r="939">
      <c r="D939" s="29"/>
    </row>
    <row r="940">
      <c r="D940" s="29"/>
    </row>
    <row r="941">
      <c r="D941" s="29"/>
    </row>
    <row r="942">
      <c r="D942" s="29"/>
    </row>
    <row r="943">
      <c r="D943" s="29"/>
    </row>
    <row r="944">
      <c r="D944" s="29"/>
    </row>
    <row r="945">
      <c r="D945" s="29"/>
    </row>
    <row r="946">
      <c r="D946" s="29"/>
    </row>
    <row r="947">
      <c r="D947" s="29"/>
    </row>
    <row r="948">
      <c r="D948" s="29"/>
    </row>
    <row r="949">
      <c r="D949" s="29"/>
    </row>
    <row r="950">
      <c r="D950" s="29"/>
    </row>
    <row r="951">
      <c r="D951" s="29"/>
    </row>
    <row r="952">
      <c r="D952" s="29"/>
    </row>
    <row r="953">
      <c r="D953" s="29"/>
    </row>
    <row r="954">
      <c r="D954" s="29"/>
    </row>
    <row r="955">
      <c r="D955" s="29"/>
    </row>
    <row r="956">
      <c r="D956" s="29"/>
    </row>
    <row r="957">
      <c r="D957" s="29"/>
    </row>
    <row r="958">
      <c r="D958" s="29"/>
    </row>
    <row r="959">
      <c r="D959" s="29"/>
    </row>
    <row r="960">
      <c r="D960" s="29"/>
    </row>
    <row r="961">
      <c r="D961" s="29"/>
    </row>
    <row r="962">
      <c r="D962" s="29"/>
    </row>
    <row r="963">
      <c r="D963" s="29"/>
    </row>
    <row r="964">
      <c r="D964" s="29"/>
    </row>
    <row r="965">
      <c r="D965" s="29"/>
    </row>
    <row r="966">
      <c r="D966" s="29"/>
    </row>
    <row r="967">
      <c r="D967" s="29"/>
    </row>
    <row r="968">
      <c r="D968" s="29"/>
    </row>
    <row r="969">
      <c r="D969" s="29"/>
    </row>
    <row r="970">
      <c r="D970" s="29"/>
    </row>
    <row r="971">
      <c r="D971" s="29"/>
    </row>
    <row r="972">
      <c r="D972" s="29"/>
    </row>
    <row r="973">
      <c r="D973" s="29"/>
    </row>
    <row r="974">
      <c r="D974" s="29"/>
    </row>
    <row r="975">
      <c r="D975" s="29"/>
    </row>
    <row r="976">
      <c r="D976" s="29"/>
    </row>
    <row r="977">
      <c r="D977" s="29"/>
    </row>
    <row r="978">
      <c r="D978" s="29"/>
    </row>
    <row r="979">
      <c r="D979" s="29"/>
    </row>
    <row r="980">
      <c r="D980" s="29"/>
    </row>
    <row r="981">
      <c r="D981" s="29"/>
    </row>
    <row r="982">
      <c r="D982" s="29"/>
    </row>
    <row r="983">
      <c r="D983" s="29"/>
    </row>
    <row r="984">
      <c r="D984" s="29"/>
    </row>
    <row r="985">
      <c r="D985" s="29"/>
    </row>
    <row r="986">
      <c r="D986" s="29"/>
    </row>
    <row r="987">
      <c r="D987" s="29"/>
    </row>
    <row r="988">
      <c r="D988" s="29"/>
    </row>
    <row r="989">
      <c r="D989" s="29"/>
    </row>
    <row r="990">
      <c r="D990" s="29"/>
    </row>
    <row r="991">
      <c r="D991" s="29"/>
    </row>
    <row r="992">
      <c r="D992" s="29"/>
    </row>
    <row r="993">
      <c r="D993" s="29"/>
    </row>
    <row r="994">
      <c r="D994" s="29"/>
    </row>
    <row r="995">
      <c r="D995" s="29"/>
    </row>
    <row r="996">
      <c r="D996" s="29"/>
    </row>
    <row r="997">
      <c r="D997" s="29"/>
    </row>
    <row r="998">
      <c r="D998" s="29"/>
    </row>
    <row r="999">
      <c r="D999" s="29"/>
    </row>
    <row r="1000">
      <c r="D1000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0.75"/>
    <col customWidth="1" min="3" max="3" width="33.38"/>
    <col customWidth="1" min="4" max="4" width="8.88"/>
  </cols>
  <sheetData>
    <row r="1">
      <c r="A1" s="1" t="s">
        <v>1</v>
      </c>
      <c r="B1" s="1" t="s">
        <v>6</v>
      </c>
      <c r="C1" s="1" t="s">
        <v>7</v>
      </c>
      <c r="D1" s="1" t="s">
        <v>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14</v>
      </c>
      <c r="B2" s="6" t="s">
        <v>15</v>
      </c>
      <c r="C2" s="5" t="s">
        <v>20</v>
      </c>
      <c r="D2" s="12">
        <f>COUNTIF('Per Load'!$C$2:$C$137,$A2)</f>
        <v>1</v>
      </c>
    </row>
    <row r="3">
      <c r="A3" s="5" t="s">
        <v>29</v>
      </c>
      <c r="B3" s="6" t="s">
        <v>30</v>
      </c>
      <c r="C3" s="5" t="s">
        <v>31</v>
      </c>
      <c r="D3" s="12">
        <f>COUNTIF('Per Load'!$C$2:$C$137,$A3)</f>
        <v>1</v>
      </c>
    </row>
    <row r="4">
      <c r="A4" s="5" t="s">
        <v>34</v>
      </c>
      <c r="B4" s="6" t="s">
        <v>35</v>
      </c>
      <c r="C4" s="5" t="s">
        <v>36</v>
      </c>
      <c r="D4" s="12">
        <f>COUNTIF('Per Load'!$C$2:$C$137,$A4)</f>
        <v>1</v>
      </c>
    </row>
    <row r="5">
      <c r="A5" s="5" t="s">
        <v>38</v>
      </c>
      <c r="B5" s="6" t="s">
        <v>30</v>
      </c>
      <c r="C5" s="5" t="s">
        <v>39</v>
      </c>
      <c r="D5" s="12">
        <f>COUNTIF('Per Load'!$C$2:$C$137,$A5)</f>
        <v>1</v>
      </c>
    </row>
    <row r="6">
      <c r="A6" s="5" t="s">
        <v>45</v>
      </c>
      <c r="B6" s="6" t="s">
        <v>30</v>
      </c>
      <c r="C6" s="5" t="s">
        <v>46</v>
      </c>
      <c r="D6" s="12">
        <f>COUNTIF('Per Load'!$C$2:$C$137,$A6)</f>
        <v>4</v>
      </c>
    </row>
    <row r="7">
      <c r="A7" s="5" t="s">
        <v>51</v>
      </c>
      <c r="B7" s="6" t="s">
        <v>53</v>
      </c>
      <c r="C7" s="5" t="s">
        <v>54</v>
      </c>
      <c r="D7" s="12">
        <f>COUNTIF('Per Load'!$C$2:$C$137,$A7)</f>
        <v>3</v>
      </c>
    </row>
    <row r="8">
      <c r="A8" s="5" t="s">
        <v>57</v>
      </c>
      <c r="B8" s="6" t="s">
        <v>59</v>
      </c>
      <c r="C8" s="5" t="s">
        <v>60</v>
      </c>
      <c r="D8" s="12">
        <f>COUNTIF('Per Load'!$C$2:$C$137,$A8)</f>
        <v>2</v>
      </c>
    </row>
    <row r="9">
      <c r="A9" s="5" t="s">
        <v>61</v>
      </c>
      <c r="B9" s="6" t="s">
        <v>59</v>
      </c>
      <c r="C9" s="5" t="s">
        <v>63</v>
      </c>
      <c r="D9" s="12">
        <f>COUNTIF('Per Load'!$C$2:$C$137,$A9)</f>
        <v>2</v>
      </c>
    </row>
    <row r="10">
      <c r="A10" s="5" t="s">
        <v>64</v>
      </c>
      <c r="B10" s="6" t="s">
        <v>42</v>
      </c>
      <c r="C10" s="5" t="s">
        <v>66</v>
      </c>
      <c r="D10" s="12">
        <f>COUNTIF('Per Load'!$C$2:$C$137,$A10)</f>
        <v>2</v>
      </c>
    </row>
    <row r="11">
      <c r="A11" s="5" t="s">
        <v>71</v>
      </c>
      <c r="B11" s="6" t="s">
        <v>72</v>
      </c>
      <c r="C11" s="5" t="s">
        <v>73</v>
      </c>
      <c r="D11" s="12">
        <f>COUNTIF('Per Load'!$C$2:$C$137,$A11)</f>
        <v>3</v>
      </c>
    </row>
    <row r="12">
      <c r="A12" s="5" t="s">
        <v>78</v>
      </c>
      <c r="B12" s="6" t="s">
        <v>42</v>
      </c>
      <c r="C12" s="5" t="s">
        <v>80</v>
      </c>
      <c r="D12" s="12">
        <f>COUNTIF('Per Load'!$C$2:$C$137,$A12)</f>
        <v>1</v>
      </c>
    </row>
    <row r="13">
      <c r="A13" s="5" t="s">
        <v>84</v>
      </c>
      <c r="B13" s="6" t="s">
        <v>42</v>
      </c>
      <c r="C13" s="5" t="s">
        <v>85</v>
      </c>
      <c r="D13" s="12">
        <f>COUNTIF('Per Load'!$C$2:$C$137,$A13)</f>
        <v>3</v>
      </c>
    </row>
    <row r="14">
      <c r="A14" s="5" t="s">
        <v>86</v>
      </c>
      <c r="B14" s="6" t="s">
        <v>87</v>
      </c>
      <c r="C14" s="5" t="s">
        <v>88</v>
      </c>
      <c r="D14" s="12">
        <f>COUNTIF('Per Load'!$C$2:$C$137,$A14)</f>
        <v>1</v>
      </c>
    </row>
    <row r="15">
      <c r="A15" s="5" t="s">
        <v>89</v>
      </c>
      <c r="B15" s="6" t="s">
        <v>91</v>
      </c>
      <c r="C15" s="5" t="s">
        <v>92</v>
      </c>
      <c r="D15" s="12">
        <f>COUNTIF('Per Load'!$C$2:$C$137,$A15)</f>
        <v>2</v>
      </c>
    </row>
    <row r="16">
      <c r="A16" s="5" t="s">
        <v>95</v>
      </c>
      <c r="B16" s="6" t="s">
        <v>96</v>
      </c>
      <c r="C16" s="5" t="s">
        <v>98</v>
      </c>
      <c r="D16" s="12">
        <f>COUNTIF('Per Load'!$C$2:$C$137,$A16)</f>
        <v>2</v>
      </c>
    </row>
    <row r="17">
      <c r="A17" s="5" t="s">
        <v>99</v>
      </c>
      <c r="B17" s="6" t="s">
        <v>15</v>
      </c>
      <c r="C17" s="5" t="s">
        <v>100</v>
      </c>
      <c r="D17" s="12">
        <f>COUNTIF('Per Load'!$C$2:$C$137,$A17)</f>
        <v>2</v>
      </c>
    </row>
    <row r="18">
      <c r="A18" s="5" t="s">
        <v>103</v>
      </c>
      <c r="B18" s="6" t="s">
        <v>35</v>
      </c>
      <c r="C18" s="5" t="s">
        <v>105</v>
      </c>
      <c r="D18" s="12">
        <f>COUNTIF('Per Load'!$C$2:$C$137,$A18)</f>
        <v>2</v>
      </c>
    </row>
    <row r="19">
      <c r="A19" s="5" t="s">
        <v>107</v>
      </c>
      <c r="B19" s="6" t="s">
        <v>109</v>
      </c>
      <c r="C19" s="5" t="s">
        <v>111</v>
      </c>
      <c r="D19" s="12">
        <f>COUNTIF('Per Load'!$C$2:$C$137,$A19)</f>
        <v>1</v>
      </c>
    </row>
    <row r="20">
      <c r="A20" s="5" t="s">
        <v>112</v>
      </c>
      <c r="B20" s="6" t="s">
        <v>109</v>
      </c>
      <c r="C20" s="5" t="s">
        <v>113</v>
      </c>
      <c r="D20" s="12">
        <f>COUNTIF('Per Load'!$C$2:$C$137,$A20)</f>
        <v>1</v>
      </c>
    </row>
    <row r="21">
      <c r="A21" s="5" t="s">
        <v>115</v>
      </c>
      <c r="B21" s="6" t="s">
        <v>116</v>
      </c>
      <c r="C21" s="5" t="s">
        <v>117</v>
      </c>
      <c r="D21" s="12">
        <f>COUNTIF('Per Load'!$C$2:$C$137,$A21)</f>
        <v>1</v>
      </c>
    </row>
    <row r="22">
      <c r="A22" s="5" t="s">
        <v>119</v>
      </c>
      <c r="B22" s="6" t="s">
        <v>35</v>
      </c>
      <c r="C22" s="5" t="s">
        <v>121</v>
      </c>
      <c r="D22" s="12">
        <f>COUNTIF('Per Load'!$C$2:$C$137,$A22)</f>
        <v>2</v>
      </c>
    </row>
    <row r="23">
      <c r="A23" s="5" t="s">
        <v>123</v>
      </c>
      <c r="B23" s="6" t="s">
        <v>124</v>
      </c>
      <c r="C23" s="5" t="s">
        <v>125</v>
      </c>
      <c r="D23" s="12">
        <f>COUNTIF('Per Load'!$C$2:$C$137,$A23)</f>
        <v>2</v>
      </c>
    </row>
    <row r="24">
      <c r="A24" s="5" t="s">
        <v>127</v>
      </c>
      <c r="B24" s="6" t="s">
        <v>124</v>
      </c>
      <c r="C24" s="5" t="s">
        <v>128</v>
      </c>
      <c r="D24" s="12">
        <f>COUNTIF('Per Load'!$C$2:$C$137,$A24)</f>
        <v>1</v>
      </c>
    </row>
    <row r="25">
      <c r="A25" s="5" t="s">
        <v>130</v>
      </c>
      <c r="B25" s="6" t="s">
        <v>42</v>
      </c>
      <c r="C25" s="5" t="s">
        <v>131</v>
      </c>
      <c r="D25" s="12">
        <f>COUNTIF('Per Load'!$C$2:$C$137,$A25)</f>
        <v>2</v>
      </c>
    </row>
    <row r="26">
      <c r="A26" s="5" t="s">
        <v>135</v>
      </c>
      <c r="B26" s="6" t="s">
        <v>116</v>
      </c>
      <c r="C26" s="5" t="s">
        <v>136</v>
      </c>
      <c r="D26" s="12">
        <f>COUNTIF('Per Load'!$C$2:$C$137,$A26)</f>
        <v>2</v>
      </c>
    </row>
    <row r="27">
      <c r="A27" s="5" t="s">
        <v>137</v>
      </c>
      <c r="B27" s="6" t="s">
        <v>35</v>
      </c>
      <c r="C27" s="5" t="s">
        <v>138</v>
      </c>
      <c r="D27" s="12">
        <f>COUNTIF('Per Load'!$C$2:$C$137,$A27)</f>
        <v>1</v>
      </c>
    </row>
    <row r="28">
      <c r="A28" s="5" t="s">
        <v>139</v>
      </c>
      <c r="B28" s="6" t="s">
        <v>30</v>
      </c>
      <c r="C28" s="5" t="s">
        <v>140</v>
      </c>
      <c r="D28" s="12">
        <f>COUNTIF('Per Load'!$C$2:$C$137,$A28)</f>
        <v>2</v>
      </c>
    </row>
    <row r="29">
      <c r="A29" s="5" t="s">
        <v>144</v>
      </c>
      <c r="B29" s="6" t="s">
        <v>35</v>
      </c>
      <c r="C29" s="5" t="s">
        <v>145</v>
      </c>
      <c r="D29" s="12">
        <f>COUNTIF('Per Load'!$C$2:$C$137,$A29)</f>
        <v>3</v>
      </c>
    </row>
    <row r="30">
      <c r="A30" s="5" t="s">
        <v>147</v>
      </c>
      <c r="B30" s="6" t="s">
        <v>148</v>
      </c>
      <c r="C30" s="5" t="s">
        <v>149</v>
      </c>
      <c r="D30" s="12">
        <f>COUNTIF('Per Load'!$C$2:$C$137,$A30)</f>
        <v>4</v>
      </c>
    </row>
    <row r="31">
      <c r="A31" s="5" t="s">
        <v>151</v>
      </c>
      <c r="B31" s="6" t="s">
        <v>96</v>
      </c>
      <c r="C31" s="5" t="s">
        <v>152</v>
      </c>
      <c r="D31" s="12">
        <f>COUNTIF('Per Load'!$C$2:$C$137,$A31)</f>
        <v>1</v>
      </c>
    </row>
    <row r="32">
      <c r="A32" s="5" t="s">
        <v>153</v>
      </c>
      <c r="B32" s="6" t="s">
        <v>96</v>
      </c>
      <c r="C32" s="5" t="s">
        <v>154</v>
      </c>
      <c r="D32" s="12">
        <f>COUNTIF('Per Load'!$C$2:$C$137,$A32)</f>
        <v>1</v>
      </c>
    </row>
    <row r="33">
      <c r="A33" s="5" t="s">
        <v>158</v>
      </c>
      <c r="B33" s="6" t="s">
        <v>30</v>
      </c>
      <c r="C33" s="5" t="s">
        <v>159</v>
      </c>
      <c r="D33" s="12">
        <f>COUNTIF('Per Load'!$C$2:$C$137,$A33)</f>
        <v>1</v>
      </c>
    </row>
    <row r="34">
      <c r="A34" s="5" t="s">
        <v>162</v>
      </c>
      <c r="B34" s="6" t="s">
        <v>42</v>
      </c>
      <c r="C34" s="5" t="s">
        <v>164</v>
      </c>
      <c r="D34" s="12">
        <f>COUNTIF('Per Load'!$C$2:$C$137,$A34)</f>
        <v>1</v>
      </c>
    </row>
    <row r="35">
      <c r="A35" s="5" t="s">
        <v>165</v>
      </c>
      <c r="B35" s="6" t="s">
        <v>42</v>
      </c>
      <c r="C35" s="5" t="s">
        <v>166</v>
      </c>
      <c r="D35" s="12">
        <f>COUNTIF('Per Load'!$C$2:$C$137,$A35)</f>
        <v>3</v>
      </c>
    </row>
    <row r="36">
      <c r="A36" s="5" t="s">
        <v>168</v>
      </c>
      <c r="B36" s="6" t="s">
        <v>42</v>
      </c>
      <c r="C36" s="5" t="s">
        <v>169</v>
      </c>
      <c r="D36" s="12">
        <f>COUNTIF('Per Load'!$C$2:$C$137,$A36)</f>
        <v>2</v>
      </c>
    </row>
    <row r="37">
      <c r="A37" s="5" t="s">
        <v>133</v>
      </c>
      <c r="B37" s="6" t="s">
        <v>53</v>
      </c>
      <c r="C37" s="5" t="s">
        <v>134</v>
      </c>
      <c r="D37" s="12">
        <f>COUNTIF('Per Load'!$C$2:$C$137,$A37)</f>
        <v>3</v>
      </c>
    </row>
    <row r="38">
      <c r="A38" s="5" t="s">
        <v>170</v>
      </c>
      <c r="B38" s="6" t="s">
        <v>76</v>
      </c>
      <c r="C38" s="5" t="s">
        <v>171</v>
      </c>
      <c r="D38" s="12">
        <f>COUNTIF('Per Load'!$C$2:$C$137,$A38)</f>
        <v>3</v>
      </c>
    </row>
    <row r="39">
      <c r="A39" s="5" t="s">
        <v>173</v>
      </c>
      <c r="B39" s="6" t="s">
        <v>30</v>
      </c>
      <c r="C39" s="5" t="s">
        <v>174</v>
      </c>
      <c r="D39" s="12">
        <f>COUNTIF('Per Load'!$C$2:$C$137,$A39)</f>
        <v>2</v>
      </c>
    </row>
    <row r="40">
      <c r="A40" s="5" t="s">
        <v>176</v>
      </c>
      <c r="B40" s="6" t="s">
        <v>30</v>
      </c>
      <c r="C40" s="5" t="s">
        <v>178</v>
      </c>
      <c r="D40" s="12">
        <f>COUNTIF('Per Load'!$C$2:$C$137,$A40)</f>
        <v>2</v>
      </c>
    </row>
    <row r="41">
      <c r="A41" s="5" t="s">
        <v>179</v>
      </c>
      <c r="B41" s="6" t="s">
        <v>35</v>
      </c>
      <c r="C41" s="5" t="s">
        <v>180</v>
      </c>
      <c r="D41" s="12">
        <f>COUNTIF('Per Load'!$C$2:$C$137,$A41)</f>
        <v>1</v>
      </c>
    </row>
    <row r="42">
      <c r="A42" s="5" t="s">
        <v>181</v>
      </c>
      <c r="B42" s="6" t="s">
        <v>183</v>
      </c>
      <c r="C42" s="5" t="s">
        <v>180</v>
      </c>
      <c r="D42" s="12">
        <f>COUNTIF('Per Load'!$C$2:$C$137,$A42)</f>
        <v>1</v>
      </c>
    </row>
    <row r="43">
      <c r="A43" s="5" t="s">
        <v>184</v>
      </c>
      <c r="B43" s="6" t="s">
        <v>96</v>
      </c>
      <c r="C43" s="5" t="s">
        <v>180</v>
      </c>
      <c r="D43" s="12">
        <f>COUNTIF('Per Load'!$C$2:$C$137,$A43)</f>
        <v>1</v>
      </c>
    </row>
    <row r="44">
      <c r="A44" s="5" t="s">
        <v>185</v>
      </c>
      <c r="B44" s="6" t="s">
        <v>42</v>
      </c>
      <c r="C44" s="5" t="s">
        <v>186</v>
      </c>
      <c r="D44" s="12">
        <f>COUNTIF('Per Load'!$C$2:$C$137,$A44)</f>
        <v>2</v>
      </c>
    </row>
    <row r="45">
      <c r="A45" s="5" t="s">
        <v>188</v>
      </c>
      <c r="B45" s="6" t="s">
        <v>59</v>
      </c>
      <c r="C45" s="5" t="s">
        <v>190</v>
      </c>
      <c r="D45" s="12">
        <f>COUNTIF('Per Load'!$C$2:$C$137,$A45)</f>
        <v>4</v>
      </c>
    </row>
    <row r="46">
      <c r="A46" s="5" t="s">
        <v>41</v>
      </c>
      <c r="B46" s="6" t="s">
        <v>42</v>
      </c>
      <c r="C46" s="5" t="s">
        <v>43</v>
      </c>
      <c r="D46" s="12">
        <f>COUNTIF('Per Load'!$C$2:$C$137,$A46)</f>
        <v>1</v>
      </c>
    </row>
    <row r="47">
      <c r="A47" s="5" t="s">
        <v>56</v>
      </c>
      <c r="B47" s="6" t="s">
        <v>42</v>
      </c>
      <c r="C47" s="5" t="s">
        <v>58</v>
      </c>
      <c r="D47" s="12">
        <f>COUNTIF('Per Load'!$C$2:$C$137,$A47)</f>
        <v>2</v>
      </c>
    </row>
    <row r="48">
      <c r="A48" s="5" t="s">
        <v>75</v>
      </c>
      <c r="B48" s="6" t="s">
        <v>76</v>
      </c>
      <c r="C48" s="5" t="s">
        <v>77</v>
      </c>
      <c r="D48" s="12">
        <f>COUNTIF('Per Load'!$C$2:$C$137,$A48)</f>
        <v>2</v>
      </c>
    </row>
    <row r="49">
      <c r="A49" s="5" t="s">
        <v>102</v>
      </c>
      <c r="B49" s="6" t="s">
        <v>53</v>
      </c>
      <c r="C49" s="5" t="s">
        <v>104</v>
      </c>
      <c r="D49" s="12">
        <f>COUNTIF('Per Load'!$C$2:$C$137,$A49)</f>
        <v>1</v>
      </c>
    </row>
    <row r="50">
      <c r="A50" s="5" t="s">
        <v>156</v>
      </c>
      <c r="B50" s="6" t="s">
        <v>59</v>
      </c>
      <c r="C50" s="5" t="s">
        <v>157</v>
      </c>
      <c r="D50" s="12">
        <f>COUNTIF('Per Load'!$C$2:$C$137,$A50)</f>
        <v>1</v>
      </c>
    </row>
    <row r="51">
      <c r="A51" s="5" t="s">
        <v>142</v>
      </c>
      <c r="B51" s="6" t="s">
        <v>53</v>
      </c>
      <c r="C51" s="5" t="s">
        <v>143</v>
      </c>
      <c r="D51" s="12">
        <f>COUNTIF('Per Load'!$C$2:$C$137,$A51)</f>
        <v>1</v>
      </c>
    </row>
    <row r="52">
      <c r="A52" s="5" t="s">
        <v>161</v>
      </c>
      <c r="B52" s="6" t="s">
        <v>96</v>
      </c>
      <c r="C52" s="5" t="s">
        <v>163</v>
      </c>
      <c r="D52" s="12">
        <f>COUNTIF('Per Load'!$C$2:$C$137,$A52)</f>
        <v>1</v>
      </c>
    </row>
    <row r="53">
      <c r="A53" s="5" t="s">
        <v>175</v>
      </c>
      <c r="B53" s="6" t="s">
        <v>72</v>
      </c>
      <c r="C53" s="5" t="s">
        <v>177</v>
      </c>
      <c r="D53" s="12">
        <f>COUNTIF('Per Load'!$C$2:$C$137,$A53)</f>
        <v>2</v>
      </c>
    </row>
    <row r="54">
      <c r="A54" s="5" t="s">
        <v>194</v>
      </c>
      <c r="B54" s="6" t="s">
        <v>195</v>
      </c>
      <c r="C54" s="5" t="s">
        <v>196</v>
      </c>
      <c r="D54" s="12">
        <f>COUNTIF('Per Load'!$C$2:$C$137,$A54)</f>
        <v>3</v>
      </c>
    </row>
    <row r="55">
      <c r="A55" s="5" t="s">
        <v>202</v>
      </c>
      <c r="B55" s="6" t="s">
        <v>91</v>
      </c>
      <c r="C55" s="5" t="s">
        <v>203</v>
      </c>
      <c r="D55" s="12">
        <f>COUNTIF('Per Load'!$C$2:$C$137,$A55)</f>
        <v>1</v>
      </c>
    </row>
    <row r="56">
      <c r="A56" s="5" t="s">
        <v>205</v>
      </c>
      <c r="B56" s="6" t="s">
        <v>15</v>
      </c>
      <c r="C56" s="5" t="s">
        <v>207</v>
      </c>
      <c r="D56" s="12">
        <f>COUNTIF('Per Load'!$C$2:$C$137,$A56)</f>
        <v>2</v>
      </c>
    </row>
    <row r="57">
      <c r="A57" s="5" t="s">
        <v>210</v>
      </c>
      <c r="B57" s="6" t="s">
        <v>42</v>
      </c>
      <c r="C57" s="5" t="s">
        <v>211</v>
      </c>
      <c r="D57" s="12">
        <f>COUNTIF('Per Load'!$C$2:$C$137,$A57)</f>
        <v>3</v>
      </c>
    </row>
    <row r="58">
      <c r="A58" s="5" t="s">
        <v>214</v>
      </c>
      <c r="B58" s="6" t="s">
        <v>35</v>
      </c>
      <c r="C58" s="5" t="s">
        <v>215</v>
      </c>
      <c r="D58" s="12">
        <f>COUNTIF('Per Load'!$C$2:$C$137,$A58)</f>
        <v>2</v>
      </c>
    </row>
    <row r="59">
      <c r="A59" s="5" t="s">
        <v>217</v>
      </c>
      <c r="B59" s="6" t="s">
        <v>96</v>
      </c>
      <c r="C59" s="5" t="s">
        <v>218</v>
      </c>
      <c r="D59" s="12">
        <f>COUNTIF('Per Load'!$C$2:$C$137,$A59)</f>
        <v>2</v>
      </c>
    </row>
    <row r="60">
      <c r="A60" s="5" t="s">
        <v>219</v>
      </c>
      <c r="B60" s="6" t="s">
        <v>220</v>
      </c>
      <c r="C60" s="5" t="s">
        <v>221</v>
      </c>
      <c r="D60" s="12">
        <f>COUNTIF('Per Load'!$C$2:$C$137,$A60)</f>
        <v>2</v>
      </c>
    </row>
    <row r="61">
      <c r="A61" s="5" t="s">
        <v>224</v>
      </c>
      <c r="B61" s="6" t="s">
        <v>35</v>
      </c>
      <c r="C61" s="5" t="s">
        <v>226</v>
      </c>
      <c r="D61" s="12">
        <f>COUNTIF('Per Load'!$C$2:$C$137,$A61)</f>
        <v>1</v>
      </c>
    </row>
    <row r="62">
      <c r="A62" s="5" t="s">
        <v>228</v>
      </c>
      <c r="B62" s="6" t="s">
        <v>124</v>
      </c>
      <c r="C62" s="5" t="s">
        <v>230</v>
      </c>
      <c r="D62" s="12">
        <f>COUNTIF('Per Load'!$C$2:$C$137,$A62)</f>
        <v>1</v>
      </c>
    </row>
    <row r="63">
      <c r="A63" s="5" t="s">
        <v>232</v>
      </c>
      <c r="B63" s="6" t="s">
        <v>116</v>
      </c>
      <c r="C63" s="5" t="s">
        <v>233</v>
      </c>
      <c r="D63" s="12">
        <f>COUNTIF('Per Load'!$C$2:$C$137,$A63)</f>
        <v>5</v>
      </c>
    </row>
    <row r="64">
      <c r="A64" s="5" t="s">
        <v>236</v>
      </c>
      <c r="B64" s="6" t="s">
        <v>148</v>
      </c>
      <c r="C64" s="5" t="s">
        <v>237</v>
      </c>
      <c r="D64" s="12">
        <f>COUNTIF('Per Load'!$C$2:$C$137,$A64)</f>
        <v>3</v>
      </c>
    </row>
    <row r="65">
      <c r="A65" s="5" t="s">
        <v>240</v>
      </c>
      <c r="B65" s="6" t="s">
        <v>148</v>
      </c>
      <c r="C65" s="5" t="s">
        <v>241</v>
      </c>
      <c r="D65" s="12">
        <f>COUNTIF('Per Load'!$C$2:$C$137,$A65)</f>
        <v>3</v>
      </c>
    </row>
    <row r="66">
      <c r="A66" s="5" t="s">
        <v>244</v>
      </c>
      <c r="B66" s="6" t="s">
        <v>116</v>
      </c>
      <c r="C66" s="5" t="s">
        <v>245</v>
      </c>
      <c r="D66" s="12">
        <f>COUNTIF('Per Load'!$C$2:$C$137,$A66)</f>
        <v>2</v>
      </c>
    </row>
    <row r="67">
      <c r="A67" s="5" t="s">
        <v>248</v>
      </c>
      <c r="B67" s="6" t="s">
        <v>42</v>
      </c>
      <c r="C67" s="5" t="s">
        <v>249</v>
      </c>
      <c r="D67" s="12">
        <f>COUNTIF('Per Load'!$C$2:$C$137,$A67)</f>
        <v>1</v>
      </c>
    </row>
    <row r="68">
      <c r="A68" s="5" t="s">
        <v>252</v>
      </c>
      <c r="B68" s="6" t="s">
        <v>124</v>
      </c>
      <c r="C68" s="5" t="s">
        <v>253</v>
      </c>
      <c r="D68" s="12">
        <f>COUNTIF('Per Load'!$C$2:$C$137,$A68)</f>
        <v>2</v>
      </c>
    </row>
    <row r="69">
      <c r="A69" s="5" t="s">
        <v>255</v>
      </c>
      <c r="B69" s="6" t="s">
        <v>30</v>
      </c>
      <c r="C69" s="5" t="s">
        <v>257</v>
      </c>
      <c r="D69" s="12">
        <f>COUNTIF('Per Load'!$C$2:$C$137,$A69)</f>
        <v>4</v>
      </c>
    </row>
    <row r="70">
      <c r="A70" s="5" t="s">
        <v>258</v>
      </c>
      <c r="B70" s="6" t="s">
        <v>35</v>
      </c>
      <c r="C70" s="5" t="s">
        <v>259</v>
      </c>
      <c r="D70" s="12">
        <f>COUNTIF('Per Load'!$C$2:$C$137,$A70)</f>
        <v>2</v>
      </c>
    </row>
    <row r="71">
      <c r="A71" s="5" t="s">
        <v>261</v>
      </c>
      <c r="B71" s="6" t="s">
        <v>124</v>
      </c>
      <c r="C71" s="5" t="s">
        <v>262</v>
      </c>
      <c r="D71" s="12">
        <f>COUNTIF('Per Load'!$C$2:$C$137,$A71)</f>
        <v>1</v>
      </c>
    </row>
    <row r="72">
      <c r="A72" s="5" t="s">
        <v>265</v>
      </c>
      <c r="B72" s="6" t="s">
        <v>59</v>
      </c>
      <c r="C72" s="5" t="s">
        <v>266</v>
      </c>
      <c r="D72" s="12">
        <f>COUNTIF('Per Load'!$C$2:$C$137,$A72)</f>
        <v>2</v>
      </c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  <row r="80">
      <c r="B80" s="29"/>
    </row>
    <row r="81">
      <c r="B81" s="29"/>
    </row>
    <row r="82">
      <c r="B82" s="29"/>
    </row>
    <row r="83">
      <c r="B83" s="29"/>
    </row>
    <row r="84">
      <c r="B84" s="29"/>
    </row>
    <row r="85">
      <c r="B85" s="29"/>
    </row>
    <row r="86">
      <c r="B86" s="29"/>
    </row>
    <row r="87">
      <c r="B87" s="29"/>
    </row>
    <row r="88">
      <c r="B88" s="29"/>
    </row>
    <row r="89">
      <c r="B89" s="29"/>
    </row>
    <row r="90">
      <c r="B90" s="29"/>
    </row>
    <row r="91">
      <c r="B91" s="29"/>
    </row>
    <row r="92">
      <c r="B92" s="29"/>
    </row>
    <row r="93">
      <c r="B93" s="29"/>
    </row>
    <row r="94">
      <c r="B94" s="29"/>
    </row>
    <row r="95">
      <c r="B95" s="29"/>
    </row>
    <row r="96">
      <c r="B96" s="29"/>
    </row>
    <row r="97">
      <c r="B97" s="29"/>
    </row>
    <row r="98">
      <c r="B98" s="29"/>
    </row>
    <row r="99">
      <c r="B99" s="29"/>
    </row>
    <row r="100">
      <c r="B100" s="29"/>
    </row>
    <row r="101">
      <c r="B101" s="29"/>
    </row>
    <row r="102">
      <c r="B102" s="29"/>
    </row>
    <row r="103">
      <c r="B103" s="29"/>
    </row>
    <row r="104">
      <c r="B104" s="29"/>
    </row>
    <row r="105">
      <c r="B105" s="29"/>
    </row>
    <row r="106">
      <c r="B106" s="29"/>
    </row>
    <row r="107">
      <c r="B107" s="29"/>
    </row>
    <row r="108">
      <c r="B108" s="29"/>
    </row>
    <row r="109">
      <c r="B109" s="29"/>
    </row>
    <row r="110">
      <c r="B110" s="29"/>
    </row>
    <row r="111">
      <c r="B111" s="29"/>
    </row>
    <row r="112">
      <c r="B112" s="29"/>
    </row>
    <row r="113">
      <c r="B113" s="29"/>
    </row>
    <row r="114">
      <c r="B114" s="29"/>
    </row>
    <row r="115">
      <c r="B115" s="29"/>
    </row>
    <row r="116">
      <c r="B116" s="29"/>
    </row>
    <row r="117">
      <c r="B117" s="29"/>
    </row>
    <row r="118">
      <c r="B118" s="29"/>
    </row>
    <row r="119">
      <c r="B119" s="29"/>
    </row>
    <row r="120">
      <c r="B120" s="29"/>
    </row>
    <row r="121">
      <c r="B121" s="29"/>
    </row>
    <row r="122">
      <c r="B122" s="29"/>
    </row>
    <row r="123">
      <c r="B123" s="29"/>
    </row>
    <row r="124">
      <c r="B124" s="29"/>
    </row>
    <row r="125">
      <c r="B125" s="29"/>
    </row>
    <row r="126">
      <c r="B126" s="29"/>
    </row>
    <row r="127">
      <c r="B127" s="29"/>
    </row>
    <row r="128">
      <c r="B128" s="29"/>
    </row>
    <row r="129">
      <c r="B129" s="29"/>
    </row>
    <row r="130">
      <c r="B130" s="29"/>
    </row>
    <row r="131">
      <c r="B131" s="29"/>
    </row>
    <row r="132">
      <c r="B132" s="29"/>
    </row>
    <row r="133">
      <c r="B133" s="29"/>
    </row>
    <row r="134">
      <c r="B134" s="29"/>
    </row>
    <row r="135">
      <c r="B135" s="29"/>
    </row>
    <row r="136">
      <c r="B136" s="29"/>
    </row>
    <row r="137">
      <c r="B137" s="29"/>
    </row>
    <row r="138">
      <c r="B138" s="29"/>
    </row>
    <row r="139">
      <c r="B139" s="29"/>
    </row>
    <row r="140">
      <c r="B140" s="29"/>
    </row>
    <row r="141">
      <c r="B141" s="29"/>
    </row>
    <row r="142">
      <c r="B142" s="29"/>
    </row>
    <row r="143">
      <c r="B143" s="29"/>
    </row>
    <row r="144">
      <c r="B144" s="29"/>
    </row>
    <row r="145">
      <c r="B145" s="29"/>
    </row>
    <row r="146">
      <c r="B146" s="29"/>
    </row>
    <row r="147">
      <c r="B147" s="29"/>
    </row>
    <row r="148">
      <c r="B148" s="29"/>
    </row>
    <row r="149">
      <c r="B149" s="29"/>
    </row>
    <row r="150">
      <c r="B150" s="29"/>
    </row>
    <row r="151">
      <c r="B151" s="29"/>
    </row>
    <row r="152">
      <c r="B152" s="29"/>
    </row>
    <row r="153">
      <c r="B153" s="29"/>
    </row>
    <row r="154">
      <c r="B154" s="29"/>
    </row>
    <row r="155">
      <c r="B155" s="29"/>
    </row>
    <row r="156">
      <c r="B156" s="29"/>
    </row>
    <row r="157">
      <c r="B157" s="29"/>
    </row>
    <row r="158">
      <c r="B158" s="29"/>
    </row>
    <row r="159">
      <c r="B159" s="29"/>
    </row>
    <row r="160">
      <c r="B160" s="29"/>
    </row>
    <row r="161">
      <c r="B161" s="29"/>
    </row>
    <row r="162">
      <c r="B162" s="29"/>
    </row>
    <row r="163">
      <c r="B163" s="29"/>
    </row>
    <row r="164">
      <c r="B164" s="29"/>
    </row>
    <row r="165">
      <c r="B165" s="29"/>
    </row>
    <row r="166">
      <c r="B166" s="29"/>
    </row>
    <row r="167">
      <c r="B167" s="29"/>
    </row>
    <row r="168">
      <c r="B168" s="29"/>
    </row>
    <row r="169">
      <c r="B169" s="29"/>
    </row>
    <row r="170">
      <c r="B170" s="29"/>
    </row>
    <row r="171">
      <c r="B171" s="29"/>
    </row>
    <row r="172">
      <c r="B172" s="29"/>
    </row>
    <row r="173">
      <c r="B173" s="29"/>
    </row>
    <row r="174">
      <c r="B174" s="29"/>
    </row>
    <row r="175">
      <c r="B175" s="29"/>
    </row>
    <row r="176">
      <c r="B176" s="29"/>
    </row>
    <row r="177">
      <c r="B177" s="29"/>
    </row>
    <row r="178">
      <c r="B178" s="29"/>
    </row>
    <row r="179">
      <c r="B179" s="29"/>
    </row>
    <row r="180">
      <c r="B180" s="29"/>
    </row>
    <row r="181">
      <c r="B181" s="29"/>
    </row>
    <row r="182">
      <c r="B182" s="29"/>
    </row>
    <row r="183">
      <c r="B183" s="29"/>
    </row>
    <row r="184">
      <c r="B184" s="29"/>
    </row>
    <row r="185">
      <c r="B185" s="29"/>
    </row>
    <row r="186">
      <c r="B186" s="29"/>
    </row>
    <row r="187">
      <c r="B187" s="29"/>
    </row>
    <row r="188">
      <c r="B188" s="29"/>
    </row>
    <row r="189">
      <c r="B189" s="29"/>
    </row>
    <row r="190">
      <c r="B190" s="29"/>
    </row>
    <row r="191">
      <c r="B191" s="29"/>
    </row>
    <row r="192">
      <c r="B192" s="29"/>
    </row>
    <row r="193">
      <c r="B193" s="29"/>
    </row>
    <row r="194">
      <c r="B194" s="29"/>
    </row>
    <row r="195">
      <c r="B195" s="29"/>
    </row>
    <row r="196">
      <c r="B196" s="29"/>
    </row>
    <row r="197">
      <c r="B197" s="29"/>
    </row>
    <row r="198">
      <c r="B198" s="29"/>
    </row>
    <row r="199">
      <c r="B199" s="29"/>
    </row>
    <row r="200">
      <c r="B200" s="29"/>
    </row>
    <row r="201">
      <c r="B201" s="29"/>
    </row>
    <row r="202">
      <c r="B202" s="29"/>
    </row>
    <row r="203">
      <c r="B203" s="29"/>
    </row>
    <row r="204">
      <c r="B204" s="29"/>
    </row>
    <row r="205">
      <c r="B205" s="29"/>
    </row>
    <row r="206">
      <c r="B206" s="29"/>
    </row>
    <row r="207">
      <c r="B207" s="29"/>
    </row>
    <row r="208">
      <c r="B208" s="29"/>
    </row>
    <row r="209">
      <c r="B209" s="29"/>
    </row>
    <row r="210">
      <c r="B210" s="29"/>
    </row>
    <row r="211">
      <c r="B211" s="29"/>
    </row>
    <row r="212">
      <c r="B212" s="29"/>
    </row>
    <row r="213">
      <c r="B213" s="29"/>
    </row>
    <row r="214">
      <c r="B214" s="29"/>
    </row>
    <row r="215">
      <c r="B215" s="29"/>
    </row>
    <row r="216">
      <c r="B216" s="29"/>
    </row>
    <row r="217">
      <c r="B217" s="29"/>
    </row>
    <row r="218">
      <c r="B218" s="29"/>
    </row>
    <row r="219">
      <c r="B219" s="29"/>
    </row>
    <row r="220">
      <c r="B220" s="29"/>
    </row>
    <row r="221">
      <c r="B221" s="29"/>
    </row>
    <row r="222">
      <c r="B222" s="29"/>
    </row>
    <row r="223">
      <c r="B223" s="29"/>
    </row>
    <row r="224">
      <c r="B224" s="29"/>
    </row>
    <row r="225">
      <c r="B225" s="29"/>
    </row>
    <row r="226">
      <c r="B226" s="29"/>
    </row>
    <row r="227">
      <c r="B227" s="29"/>
    </row>
    <row r="228">
      <c r="B228" s="29"/>
    </row>
    <row r="229">
      <c r="B229" s="29"/>
    </row>
    <row r="230">
      <c r="B230" s="29"/>
    </row>
    <row r="231">
      <c r="B231" s="29"/>
    </row>
    <row r="232">
      <c r="B232" s="29"/>
    </row>
    <row r="233">
      <c r="B233" s="29"/>
    </row>
    <row r="234">
      <c r="B234" s="29"/>
    </row>
    <row r="235">
      <c r="B235" s="29"/>
    </row>
    <row r="236">
      <c r="B236" s="29"/>
    </row>
    <row r="237">
      <c r="B237" s="29"/>
    </row>
    <row r="238">
      <c r="B238" s="29"/>
    </row>
    <row r="239">
      <c r="B239" s="29"/>
    </row>
    <row r="240">
      <c r="B240" s="29"/>
    </row>
    <row r="241">
      <c r="B241" s="29"/>
    </row>
    <row r="242">
      <c r="B242" s="29"/>
    </row>
    <row r="243">
      <c r="B243" s="29"/>
    </row>
    <row r="244">
      <c r="B244" s="29"/>
    </row>
    <row r="245">
      <c r="B245" s="29"/>
    </row>
    <row r="246">
      <c r="B246" s="29"/>
    </row>
    <row r="247">
      <c r="B247" s="29"/>
    </row>
    <row r="248">
      <c r="B248" s="29"/>
    </row>
    <row r="249">
      <c r="B249" s="29"/>
    </row>
    <row r="250">
      <c r="B250" s="29"/>
    </row>
    <row r="251">
      <c r="B251" s="29"/>
    </row>
    <row r="252">
      <c r="B252" s="29"/>
    </row>
    <row r="253">
      <c r="B253" s="29"/>
    </row>
    <row r="254">
      <c r="B254" s="29"/>
    </row>
    <row r="255">
      <c r="B255" s="29"/>
    </row>
    <row r="256">
      <c r="B256" s="29"/>
    </row>
    <row r="257">
      <c r="B257" s="29"/>
    </row>
    <row r="258">
      <c r="B258" s="29"/>
    </row>
    <row r="259">
      <c r="B259" s="29"/>
    </row>
    <row r="260">
      <c r="B260" s="29"/>
    </row>
    <row r="261">
      <c r="B261" s="29"/>
    </row>
    <row r="262">
      <c r="B262" s="29"/>
    </row>
    <row r="263">
      <c r="B263" s="29"/>
    </row>
    <row r="264">
      <c r="B264" s="29"/>
    </row>
    <row r="265">
      <c r="B265" s="29"/>
    </row>
    <row r="266">
      <c r="B266" s="29"/>
    </row>
    <row r="267">
      <c r="B267" s="29"/>
    </row>
    <row r="268">
      <c r="B268" s="29"/>
    </row>
    <row r="269">
      <c r="B269" s="29"/>
    </row>
    <row r="270">
      <c r="B270" s="29"/>
    </row>
    <row r="271">
      <c r="B271" s="29"/>
    </row>
    <row r="272">
      <c r="B272" s="29"/>
    </row>
    <row r="273">
      <c r="B273" s="29"/>
    </row>
    <row r="274">
      <c r="B274" s="29"/>
    </row>
    <row r="275">
      <c r="B275" s="29"/>
    </row>
    <row r="276">
      <c r="B276" s="29"/>
    </row>
    <row r="277">
      <c r="B277" s="29"/>
    </row>
    <row r="278">
      <c r="B278" s="29"/>
    </row>
    <row r="279">
      <c r="B279" s="29"/>
    </row>
    <row r="280">
      <c r="B280" s="29"/>
    </row>
    <row r="281">
      <c r="B281" s="29"/>
    </row>
    <row r="282">
      <c r="B282" s="29"/>
    </row>
    <row r="283">
      <c r="B283" s="29"/>
    </row>
    <row r="284">
      <c r="B284" s="29"/>
    </row>
    <row r="285">
      <c r="B285" s="29"/>
    </row>
    <row r="286">
      <c r="B286" s="29"/>
    </row>
    <row r="287">
      <c r="B287" s="29"/>
    </row>
    <row r="288">
      <c r="B288" s="29"/>
    </row>
    <row r="289">
      <c r="B289" s="29"/>
    </row>
    <row r="290">
      <c r="B290" s="29"/>
    </row>
    <row r="291">
      <c r="B291" s="29"/>
    </row>
    <row r="292">
      <c r="B292" s="29"/>
    </row>
    <row r="293">
      <c r="B293" s="29"/>
    </row>
    <row r="294">
      <c r="B294" s="29"/>
    </row>
    <row r="295">
      <c r="B295" s="29"/>
    </row>
    <row r="296">
      <c r="B296" s="29"/>
    </row>
    <row r="297">
      <c r="B297" s="29"/>
    </row>
    <row r="298">
      <c r="B298" s="29"/>
    </row>
    <row r="299">
      <c r="B299" s="29"/>
    </row>
    <row r="300">
      <c r="B300" s="29"/>
    </row>
    <row r="301">
      <c r="B301" s="29"/>
    </row>
    <row r="302">
      <c r="B302" s="29"/>
    </row>
    <row r="303">
      <c r="B303" s="29"/>
    </row>
    <row r="304">
      <c r="B304" s="29"/>
    </row>
    <row r="305">
      <c r="B305" s="29"/>
    </row>
    <row r="306">
      <c r="B306" s="29"/>
    </row>
    <row r="307">
      <c r="B307" s="29"/>
    </row>
    <row r="308">
      <c r="B308" s="29"/>
    </row>
    <row r="309">
      <c r="B309" s="29"/>
    </row>
    <row r="310">
      <c r="B310" s="29"/>
    </row>
    <row r="311">
      <c r="B311" s="29"/>
    </row>
    <row r="312">
      <c r="B312" s="29"/>
    </row>
    <row r="313">
      <c r="B313" s="29"/>
    </row>
    <row r="314">
      <c r="B314" s="29"/>
    </row>
    <row r="315">
      <c r="B315" s="29"/>
    </row>
    <row r="316">
      <c r="B316" s="29"/>
    </row>
    <row r="317">
      <c r="B317" s="29"/>
    </row>
    <row r="318">
      <c r="B318" s="29"/>
    </row>
    <row r="319">
      <c r="B319" s="29"/>
    </row>
    <row r="320">
      <c r="B320" s="29"/>
    </row>
    <row r="321">
      <c r="B321" s="29"/>
    </row>
    <row r="322">
      <c r="B322" s="29"/>
    </row>
    <row r="323">
      <c r="B323" s="29"/>
    </row>
    <row r="324">
      <c r="B324" s="29"/>
    </row>
    <row r="325">
      <c r="B325" s="29"/>
    </row>
    <row r="326">
      <c r="B326" s="29"/>
    </row>
    <row r="327">
      <c r="B327" s="29"/>
    </row>
    <row r="328">
      <c r="B328" s="29"/>
    </row>
    <row r="329">
      <c r="B329" s="29"/>
    </row>
    <row r="330">
      <c r="B330" s="29"/>
    </row>
    <row r="331">
      <c r="B331" s="29"/>
    </row>
    <row r="332">
      <c r="B332" s="29"/>
    </row>
    <row r="333">
      <c r="B333" s="29"/>
    </row>
    <row r="334">
      <c r="B334" s="29"/>
    </row>
    <row r="335">
      <c r="B335" s="29"/>
    </row>
    <row r="336">
      <c r="B336" s="29"/>
    </row>
    <row r="337">
      <c r="B337" s="29"/>
    </row>
    <row r="338">
      <c r="B338" s="29"/>
    </row>
    <row r="339">
      <c r="B339" s="29"/>
    </row>
    <row r="340">
      <c r="B340" s="29"/>
    </row>
    <row r="341">
      <c r="B341" s="29"/>
    </row>
    <row r="342">
      <c r="B342" s="29"/>
    </row>
    <row r="343">
      <c r="B343" s="29"/>
    </row>
    <row r="344">
      <c r="B344" s="29"/>
    </row>
    <row r="345">
      <c r="B345" s="29"/>
    </row>
    <row r="346">
      <c r="B346" s="29"/>
    </row>
    <row r="347">
      <c r="B347" s="29"/>
    </row>
    <row r="348">
      <c r="B348" s="29"/>
    </row>
    <row r="349">
      <c r="B349" s="29"/>
    </row>
    <row r="350">
      <c r="B350" s="29"/>
    </row>
    <row r="351">
      <c r="B351" s="29"/>
    </row>
    <row r="352">
      <c r="B352" s="29"/>
    </row>
    <row r="353">
      <c r="B353" s="29"/>
    </row>
    <row r="354">
      <c r="B354" s="29"/>
    </row>
    <row r="355">
      <c r="B355" s="29"/>
    </row>
    <row r="356">
      <c r="B356" s="29"/>
    </row>
    <row r="357">
      <c r="B357" s="29"/>
    </row>
    <row r="358">
      <c r="B358" s="29"/>
    </row>
    <row r="359">
      <c r="B359" s="29"/>
    </row>
    <row r="360">
      <c r="B360" s="29"/>
    </row>
    <row r="361">
      <c r="B361" s="29"/>
    </row>
    <row r="362">
      <c r="B362" s="29"/>
    </row>
    <row r="363">
      <c r="B363" s="29"/>
    </row>
    <row r="364">
      <c r="B364" s="29"/>
    </row>
    <row r="365">
      <c r="B365" s="29"/>
    </row>
    <row r="366">
      <c r="B366" s="29"/>
    </row>
    <row r="367">
      <c r="B367" s="29"/>
    </row>
    <row r="368">
      <c r="B368" s="29"/>
    </row>
    <row r="369">
      <c r="B369" s="29"/>
    </row>
    <row r="370">
      <c r="B370" s="29"/>
    </row>
    <row r="371">
      <c r="B371" s="29"/>
    </row>
    <row r="372">
      <c r="B372" s="29"/>
    </row>
    <row r="373">
      <c r="B373" s="29"/>
    </row>
    <row r="374">
      <c r="B374" s="29"/>
    </row>
    <row r="375">
      <c r="B375" s="29"/>
    </row>
    <row r="376">
      <c r="B376" s="29"/>
    </row>
    <row r="377">
      <c r="B377" s="29"/>
    </row>
    <row r="378">
      <c r="B378" s="29"/>
    </row>
    <row r="379">
      <c r="B379" s="29"/>
    </row>
    <row r="380">
      <c r="B380" s="29"/>
    </row>
    <row r="381">
      <c r="B381" s="29"/>
    </row>
    <row r="382">
      <c r="B382" s="29"/>
    </row>
    <row r="383">
      <c r="B383" s="29"/>
    </row>
    <row r="384">
      <c r="B384" s="29"/>
    </row>
    <row r="385">
      <c r="B385" s="29"/>
    </row>
    <row r="386">
      <c r="B386" s="29"/>
    </row>
    <row r="387">
      <c r="B387" s="29"/>
    </row>
    <row r="388">
      <c r="B388" s="29"/>
    </row>
    <row r="389">
      <c r="B389" s="29"/>
    </row>
    <row r="390">
      <c r="B390" s="29"/>
    </row>
    <row r="391">
      <c r="B391" s="29"/>
    </row>
    <row r="392">
      <c r="B392" s="29"/>
    </row>
    <row r="393">
      <c r="B393" s="29"/>
    </row>
    <row r="394">
      <c r="B394" s="29"/>
    </row>
    <row r="395">
      <c r="B395" s="29"/>
    </row>
    <row r="396">
      <c r="B396" s="29"/>
    </row>
    <row r="397">
      <c r="B397" s="29"/>
    </row>
    <row r="398">
      <c r="B398" s="29"/>
    </row>
    <row r="399">
      <c r="B399" s="29"/>
    </row>
    <row r="400">
      <c r="B400" s="29"/>
    </row>
    <row r="401">
      <c r="B401" s="29"/>
    </row>
    <row r="402">
      <c r="B402" s="29"/>
    </row>
    <row r="403">
      <c r="B403" s="29"/>
    </row>
    <row r="404">
      <c r="B404" s="29"/>
    </row>
    <row r="405">
      <c r="B405" s="29"/>
    </row>
    <row r="406">
      <c r="B406" s="29"/>
    </row>
    <row r="407">
      <c r="B407" s="29"/>
    </row>
    <row r="408">
      <c r="B408" s="29"/>
    </row>
    <row r="409">
      <c r="B409" s="29"/>
    </row>
    <row r="410">
      <c r="B410" s="29"/>
    </row>
    <row r="411">
      <c r="B411" s="29"/>
    </row>
    <row r="412">
      <c r="B412" s="29"/>
    </row>
    <row r="413">
      <c r="B413" s="29"/>
    </row>
    <row r="414">
      <c r="B414" s="29"/>
    </row>
    <row r="415">
      <c r="B415" s="29"/>
    </row>
    <row r="416">
      <c r="B416" s="29"/>
    </row>
    <row r="417">
      <c r="B417" s="29"/>
    </row>
    <row r="418">
      <c r="B418" s="29"/>
    </row>
    <row r="419">
      <c r="B419" s="29"/>
    </row>
    <row r="420">
      <c r="B420" s="29"/>
    </row>
    <row r="421">
      <c r="B421" s="29"/>
    </row>
    <row r="422">
      <c r="B422" s="29"/>
    </row>
    <row r="423">
      <c r="B423" s="29"/>
    </row>
    <row r="424">
      <c r="B424" s="29"/>
    </row>
    <row r="425">
      <c r="B425" s="29"/>
    </row>
    <row r="426">
      <c r="B426" s="29"/>
    </row>
    <row r="427">
      <c r="B427" s="29"/>
    </row>
    <row r="428">
      <c r="B428" s="29"/>
    </row>
    <row r="429">
      <c r="B429" s="29"/>
    </row>
    <row r="430">
      <c r="B430" s="29"/>
    </row>
    <row r="431">
      <c r="B431" s="29"/>
    </row>
    <row r="432">
      <c r="B432" s="29"/>
    </row>
    <row r="433">
      <c r="B433" s="29"/>
    </row>
    <row r="434">
      <c r="B434" s="29"/>
    </row>
    <row r="435">
      <c r="B435" s="29"/>
    </row>
    <row r="436">
      <c r="B436" s="29"/>
    </row>
    <row r="437">
      <c r="B437" s="29"/>
    </row>
    <row r="438">
      <c r="B438" s="29"/>
    </row>
    <row r="439">
      <c r="B439" s="29"/>
    </row>
    <row r="440">
      <c r="B440" s="29"/>
    </row>
    <row r="441">
      <c r="B441" s="29"/>
    </row>
    <row r="442">
      <c r="B442" s="29"/>
    </row>
    <row r="443">
      <c r="B443" s="29"/>
    </row>
    <row r="444">
      <c r="B444" s="29"/>
    </row>
    <row r="445">
      <c r="B445" s="29"/>
    </row>
    <row r="446">
      <c r="B446" s="29"/>
    </row>
    <row r="447">
      <c r="B447" s="29"/>
    </row>
    <row r="448">
      <c r="B448" s="29"/>
    </row>
    <row r="449">
      <c r="B449" s="29"/>
    </row>
    <row r="450">
      <c r="B450" s="29"/>
    </row>
    <row r="451">
      <c r="B451" s="29"/>
    </row>
    <row r="452">
      <c r="B452" s="29"/>
    </row>
    <row r="453">
      <c r="B453" s="29"/>
    </row>
    <row r="454">
      <c r="B454" s="29"/>
    </row>
    <row r="455">
      <c r="B455" s="29"/>
    </row>
    <row r="456">
      <c r="B456" s="29"/>
    </row>
    <row r="457">
      <c r="B457" s="29"/>
    </row>
    <row r="458">
      <c r="B458" s="29"/>
    </row>
    <row r="459">
      <c r="B459" s="29"/>
    </row>
    <row r="460">
      <c r="B460" s="29"/>
    </row>
    <row r="461">
      <c r="B461" s="29"/>
    </row>
    <row r="462">
      <c r="B462" s="29"/>
    </row>
    <row r="463">
      <c r="B463" s="29"/>
    </row>
    <row r="464">
      <c r="B464" s="29"/>
    </row>
    <row r="465">
      <c r="B465" s="29"/>
    </row>
    <row r="466">
      <c r="B466" s="29"/>
    </row>
    <row r="467">
      <c r="B467" s="29"/>
    </row>
    <row r="468">
      <c r="B468" s="29"/>
    </row>
    <row r="469">
      <c r="B469" s="29"/>
    </row>
    <row r="470">
      <c r="B470" s="29"/>
    </row>
    <row r="471">
      <c r="B471" s="29"/>
    </row>
    <row r="472">
      <c r="B472" s="29"/>
    </row>
    <row r="473">
      <c r="B473" s="29"/>
    </row>
    <row r="474">
      <c r="B474" s="29"/>
    </row>
    <row r="475">
      <c r="B475" s="29"/>
    </row>
    <row r="476">
      <c r="B476" s="29"/>
    </row>
    <row r="477">
      <c r="B477" s="29"/>
    </row>
    <row r="478">
      <c r="B478" s="29"/>
    </row>
    <row r="479">
      <c r="B479" s="29"/>
    </row>
    <row r="480">
      <c r="B480" s="29"/>
    </row>
    <row r="481">
      <c r="B481" s="29"/>
    </row>
    <row r="482">
      <c r="B482" s="29"/>
    </row>
    <row r="483">
      <c r="B483" s="29"/>
    </row>
    <row r="484">
      <c r="B484" s="29"/>
    </row>
    <row r="485">
      <c r="B485" s="29"/>
    </row>
    <row r="486">
      <c r="B486" s="29"/>
    </row>
    <row r="487">
      <c r="B487" s="29"/>
    </row>
    <row r="488">
      <c r="B488" s="29"/>
    </row>
    <row r="489">
      <c r="B489" s="29"/>
    </row>
    <row r="490">
      <c r="B490" s="29"/>
    </row>
    <row r="491">
      <c r="B491" s="29"/>
    </row>
    <row r="492">
      <c r="B492" s="29"/>
    </row>
    <row r="493">
      <c r="B493" s="29"/>
    </row>
    <row r="494">
      <c r="B494" s="29"/>
    </row>
    <row r="495">
      <c r="B495" s="29"/>
    </row>
    <row r="496">
      <c r="B496" s="29"/>
    </row>
    <row r="497">
      <c r="B497" s="29"/>
    </row>
    <row r="498">
      <c r="B498" s="29"/>
    </row>
    <row r="499">
      <c r="B499" s="29"/>
    </row>
    <row r="500">
      <c r="B500" s="29"/>
    </row>
    <row r="501">
      <c r="B501" s="29"/>
    </row>
    <row r="502">
      <c r="B502" s="29"/>
    </row>
    <row r="503">
      <c r="B503" s="29"/>
    </row>
    <row r="504">
      <c r="B504" s="29"/>
    </row>
    <row r="505">
      <c r="B505" s="29"/>
    </row>
    <row r="506">
      <c r="B506" s="29"/>
    </row>
    <row r="507">
      <c r="B507" s="29"/>
    </row>
    <row r="508">
      <c r="B508" s="29"/>
    </row>
    <row r="509">
      <c r="B509" s="29"/>
    </row>
    <row r="510">
      <c r="B510" s="29"/>
    </row>
    <row r="511">
      <c r="B511" s="29"/>
    </row>
    <row r="512">
      <c r="B512" s="29"/>
    </row>
    <row r="513">
      <c r="B513" s="29"/>
    </row>
    <row r="514">
      <c r="B514" s="29"/>
    </row>
    <row r="515">
      <c r="B515" s="29"/>
    </row>
    <row r="516">
      <c r="B516" s="29"/>
    </row>
    <row r="517">
      <c r="B517" s="29"/>
    </row>
    <row r="518">
      <c r="B518" s="29"/>
    </row>
    <row r="519">
      <c r="B519" s="29"/>
    </row>
    <row r="520">
      <c r="B520" s="29"/>
    </row>
    <row r="521">
      <c r="B521" s="29"/>
    </row>
    <row r="522">
      <c r="B522" s="29"/>
    </row>
    <row r="523">
      <c r="B523" s="29"/>
    </row>
    <row r="524">
      <c r="B524" s="29"/>
    </row>
    <row r="525">
      <c r="B525" s="29"/>
    </row>
    <row r="526">
      <c r="B526" s="29"/>
    </row>
    <row r="527">
      <c r="B527" s="29"/>
    </row>
    <row r="528">
      <c r="B528" s="29"/>
    </row>
    <row r="529">
      <c r="B529" s="29"/>
    </row>
    <row r="530">
      <c r="B530" s="29"/>
    </row>
    <row r="531">
      <c r="B531" s="29"/>
    </row>
    <row r="532">
      <c r="B532" s="29"/>
    </row>
    <row r="533">
      <c r="B533" s="29"/>
    </row>
    <row r="534">
      <c r="B534" s="29"/>
    </row>
    <row r="535">
      <c r="B535" s="29"/>
    </row>
    <row r="536">
      <c r="B536" s="29"/>
    </row>
    <row r="537">
      <c r="B537" s="29"/>
    </row>
    <row r="538">
      <c r="B538" s="29"/>
    </row>
    <row r="539">
      <c r="B539" s="29"/>
    </row>
    <row r="540">
      <c r="B540" s="29"/>
    </row>
    <row r="541">
      <c r="B541" s="29"/>
    </row>
    <row r="542">
      <c r="B542" s="29"/>
    </row>
    <row r="543">
      <c r="B543" s="29"/>
    </row>
    <row r="544">
      <c r="B544" s="29"/>
    </row>
    <row r="545">
      <c r="B545" s="29"/>
    </row>
    <row r="546">
      <c r="B546" s="29"/>
    </row>
    <row r="547">
      <c r="B547" s="29"/>
    </row>
    <row r="548">
      <c r="B548" s="29"/>
    </row>
    <row r="549">
      <c r="B549" s="29"/>
    </row>
    <row r="550">
      <c r="B550" s="29"/>
    </row>
    <row r="551">
      <c r="B551" s="29"/>
    </row>
    <row r="552">
      <c r="B552" s="29"/>
    </row>
    <row r="553">
      <c r="B553" s="29"/>
    </row>
    <row r="554">
      <c r="B554" s="29"/>
    </row>
    <row r="555">
      <c r="B555" s="29"/>
    </row>
    <row r="556">
      <c r="B556" s="29"/>
    </row>
    <row r="557">
      <c r="B557" s="29"/>
    </row>
    <row r="558">
      <c r="B558" s="29"/>
    </row>
    <row r="559">
      <c r="B559" s="29"/>
    </row>
    <row r="560">
      <c r="B560" s="29"/>
    </row>
    <row r="561">
      <c r="B561" s="29"/>
    </row>
    <row r="562">
      <c r="B562" s="29"/>
    </row>
    <row r="563">
      <c r="B563" s="29"/>
    </row>
    <row r="564">
      <c r="B564" s="29"/>
    </row>
    <row r="565">
      <c r="B565" s="29"/>
    </row>
    <row r="566">
      <c r="B566" s="29"/>
    </row>
    <row r="567">
      <c r="B567" s="29"/>
    </row>
    <row r="568">
      <c r="B568" s="29"/>
    </row>
    <row r="569">
      <c r="B569" s="29"/>
    </row>
    <row r="570">
      <c r="B570" s="29"/>
    </row>
    <row r="571">
      <c r="B571" s="29"/>
    </row>
    <row r="572">
      <c r="B572" s="29"/>
    </row>
    <row r="573">
      <c r="B573" s="29"/>
    </row>
    <row r="574">
      <c r="B574" s="29"/>
    </row>
    <row r="575">
      <c r="B575" s="29"/>
    </row>
    <row r="576">
      <c r="B576" s="29"/>
    </row>
    <row r="577">
      <c r="B577" s="29"/>
    </row>
    <row r="578">
      <c r="B578" s="29"/>
    </row>
    <row r="579">
      <c r="B579" s="29"/>
    </row>
    <row r="580">
      <c r="B580" s="29"/>
    </row>
    <row r="581">
      <c r="B581" s="29"/>
    </row>
    <row r="582">
      <c r="B582" s="29"/>
    </row>
    <row r="583">
      <c r="B583" s="29"/>
    </row>
    <row r="584">
      <c r="B584" s="29"/>
    </row>
    <row r="585">
      <c r="B585" s="29"/>
    </row>
    <row r="586">
      <c r="B586" s="29"/>
    </row>
    <row r="587">
      <c r="B587" s="29"/>
    </row>
    <row r="588">
      <c r="B588" s="29"/>
    </row>
    <row r="589">
      <c r="B589" s="29"/>
    </row>
    <row r="590">
      <c r="B590" s="29"/>
    </row>
    <row r="591">
      <c r="B591" s="29"/>
    </row>
    <row r="592">
      <c r="B592" s="29"/>
    </row>
    <row r="593">
      <c r="B593" s="29"/>
    </row>
    <row r="594">
      <c r="B594" s="29"/>
    </row>
    <row r="595">
      <c r="B595" s="29"/>
    </row>
    <row r="596">
      <c r="B596" s="29"/>
    </row>
    <row r="597">
      <c r="B597" s="29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  <row r="855">
      <c r="B855" s="29"/>
    </row>
    <row r="856">
      <c r="B856" s="29"/>
    </row>
    <row r="857">
      <c r="B857" s="29"/>
    </row>
    <row r="858">
      <c r="B858" s="29"/>
    </row>
    <row r="859">
      <c r="B859" s="29"/>
    </row>
    <row r="860">
      <c r="B860" s="29"/>
    </row>
    <row r="861">
      <c r="B861" s="29"/>
    </row>
    <row r="862">
      <c r="B862" s="29"/>
    </row>
    <row r="863">
      <c r="B863" s="29"/>
    </row>
    <row r="864">
      <c r="B864" s="29"/>
    </row>
    <row r="865">
      <c r="B865" s="29"/>
    </row>
    <row r="866">
      <c r="B866" s="29"/>
    </row>
    <row r="867">
      <c r="B867" s="29"/>
    </row>
    <row r="868">
      <c r="B868" s="29"/>
    </row>
    <row r="869">
      <c r="B869" s="29"/>
    </row>
    <row r="870">
      <c r="B870" s="29"/>
    </row>
    <row r="871">
      <c r="B871" s="29"/>
    </row>
    <row r="872">
      <c r="B872" s="29"/>
    </row>
    <row r="873">
      <c r="B873" s="29"/>
    </row>
    <row r="874">
      <c r="B874" s="29"/>
    </row>
    <row r="875">
      <c r="B875" s="29"/>
    </row>
    <row r="876">
      <c r="B876" s="29"/>
    </row>
    <row r="877">
      <c r="B877" s="29"/>
    </row>
    <row r="878">
      <c r="B878" s="29"/>
    </row>
    <row r="879">
      <c r="B879" s="29"/>
    </row>
    <row r="880">
      <c r="B880" s="29"/>
    </row>
    <row r="881">
      <c r="B881" s="29"/>
    </row>
    <row r="882">
      <c r="B882" s="29"/>
    </row>
    <row r="883">
      <c r="B883" s="29"/>
    </row>
    <row r="884">
      <c r="B884" s="29"/>
    </row>
    <row r="885">
      <c r="B885" s="29"/>
    </row>
    <row r="886">
      <c r="B886" s="29"/>
    </row>
    <row r="887">
      <c r="B887" s="29"/>
    </row>
    <row r="888">
      <c r="B888" s="29"/>
    </row>
    <row r="889">
      <c r="B889" s="29"/>
    </row>
    <row r="890">
      <c r="B890" s="29"/>
    </row>
    <row r="891">
      <c r="B891" s="29"/>
    </row>
    <row r="892">
      <c r="B892" s="29"/>
    </row>
    <row r="893">
      <c r="B893" s="29"/>
    </row>
    <row r="894">
      <c r="B894" s="29"/>
    </row>
    <row r="895">
      <c r="B895" s="29"/>
    </row>
    <row r="896">
      <c r="B896" s="29"/>
    </row>
    <row r="897">
      <c r="B897" s="29"/>
    </row>
    <row r="898">
      <c r="B898" s="29"/>
    </row>
    <row r="899">
      <c r="B899" s="29"/>
    </row>
    <row r="900">
      <c r="B900" s="29"/>
    </row>
    <row r="901">
      <c r="B901" s="29"/>
    </row>
    <row r="902">
      <c r="B902" s="29"/>
    </row>
    <row r="903">
      <c r="B903" s="29"/>
    </row>
    <row r="904">
      <c r="B904" s="29"/>
    </row>
    <row r="905">
      <c r="B905" s="29"/>
    </row>
    <row r="906">
      <c r="B906" s="29"/>
    </row>
    <row r="907">
      <c r="B907" s="29"/>
    </row>
    <row r="908">
      <c r="B908" s="29"/>
    </row>
    <row r="909">
      <c r="B909" s="29"/>
    </row>
    <row r="910">
      <c r="B910" s="29"/>
    </row>
    <row r="911">
      <c r="B911" s="29"/>
    </row>
    <row r="912">
      <c r="B912" s="29"/>
    </row>
    <row r="913">
      <c r="B913" s="29"/>
    </row>
    <row r="914">
      <c r="B914" s="29"/>
    </row>
    <row r="915">
      <c r="B915" s="29"/>
    </row>
    <row r="916">
      <c r="B916" s="29"/>
    </row>
    <row r="917">
      <c r="B917" s="29"/>
    </row>
    <row r="918">
      <c r="B918" s="29"/>
    </row>
    <row r="919">
      <c r="B919" s="29"/>
    </row>
    <row r="920">
      <c r="B920" s="29"/>
    </row>
    <row r="921">
      <c r="B921" s="29"/>
    </row>
    <row r="922">
      <c r="B922" s="29"/>
    </row>
    <row r="923">
      <c r="B923" s="29"/>
    </row>
    <row r="924">
      <c r="B924" s="29"/>
    </row>
    <row r="925">
      <c r="B925" s="29"/>
    </row>
    <row r="926">
      <c r="B926" s="29"/>
    </row>
    <row r="927">
      <c r="B927" s="29"/>
    </row>
    <row r="928">
      <c r="B928" s="29"/>
    </row>
    <row r="929">
      <c r="B929" s="29"/>
    </row>
    <row r="930">
      <c r="B930" s="29"/>
    </row>
    <row r="931">
      <c r="B931" s="29"/>
    </row>
    <row r="932">
      <c r="B932" s="29"/>
    </row>
    <row r="933">
      <c r="B933" s="29"/>
    </row>
    <row r="934">
      <c r="B934" s="29"/>
    </row>
    <row r="935">
      <c r="B935" s="29"/>
    </row>
    <row r="936">
      <c r="B936" s="29"/>
    </row>
    <row r="937">
      <c r="B937" s="29"/>
    </row>
    <row r="938">
      <c r="B938" s="29"/>
    </row>
    <row r="939">
      <c r="B939" s="29"/>
    </row>
    <row r="940">
      <c r="B940" s="29"/>
    </row>
    <row r="941">
      <c r="B941" s="29"/>
    </row>
    <row r="942">
      <c r="B942" s="29"/>
    </row>
    <row r="943">
      <c r="B943" s="29"/>
    </row>
    <row r="944">
      <c r="B944" s="29"/>
    </row>
    <row r="945">
      <c r="B945" s="29"/>
    </row>
    <row r="946">
      <c r="B946" s="29"/>
    </row>
    <row r="947">
      <c r="B947" s="29"/>
    </row>
    <row r="948">
      <c r="B948" s="29"/>
    </row>
    <row r="949">
      <c r="B949" s="29"/>
    </row>
    <row r="950">
      <c r="B950" s="29"/>
    </row>
    <row r="951">
      <c r="B951" s="29"/>
    </row>
    <row r="952">
      <c r="B952" s="29"/>
    </row>
    <row r="953">
      <c r="B953" s="29"/>
    </row>
    <row r="954">
      <c r="B954" s="29"/>
    </row>
    <row r="955">
      <c r="B955" s="29"/>
    </row>
    <row r="956">
      <c r="B956" s="29"/>
    </row>
    <row r="957">
      <c r="B957" s="29"/>
    </row>
    <row r="958">
      <c r="B958" s="29"/>
    </row>
    <row r="959">
      <c r="B959" s="29"/>
    </row>
    <row r="960">
      <c r="B960" s="29"/>
    </row>
    <row r="961">
      <c r="B961" s="29"/>
    </row>
    <row r="962">
      <c r="B962" s="29"/>
    </row>
    <row r="963">
      <c r="B963" s="29"/>
    </row>
    <row r="964">
      <c r="B964" s="29"/>
    </row>
    <row r="965">
      <c r="B965" s="29"/>
    </row>
    <row r="966">
      <c r="B966" s="29"/>
    </row>
    <row r="967">
      <c r="B967" s="29"/>
    </row>
    <row r="968">
      <c r="B968" s="29"/>
    </row>
    <row r="969">
      <c r="B969" s="29"/>
    </row>
    <row r="970">
      <c r="B970" s="29"/>
    </row>
    <row r="971">
      <c r="B971" s="29"/>
    </row>
    <row r="972">
      <c r="B972" s="29"/>
    </row>
    <row r="973">
      <c r="B973" s="29"/>
    </row>
    <row r="974">
      <c r="B974" s="29"/>
    </row>
    <row r="975">
      <c r="B975" s="29"/>
    </row>
    <row r="976">
      <c r="B976" s="29"/>
    </row>
    <row r="977">
      <c r="B977" s="29"/>
    </row>
    <row r="978">
      <c r="B978" s="29"/>
    </row>
    <row r="979">
      <c r="B979" s="29"/>
    </row>
    <row r="980">
      <c r="B980" s="29"/>
    </row>
    <row r="981">
      <c r="B981" s="29"/>
    </row>
    <row r="982">
      <c r="B982" s="29"/>
    </row>
    <row r="983">
      <c r="B983" s="29"/>
    </row>
    <row r="984">
      <c r="B984" s="29"/>
    </row>
    <row r="985">
      <c r="B985" s="29"/>
    </row>
    <row r="986">
      <c r="B986" s="29"/>
    </row>
    <row r="987">
      <c r="B987" s="29"/>
    </row>
    <row r="988">
      <c r="B988" s="29"/>
    </row>
    <row r="989">
      <c r="B989" s="29"/>
    </row>
    <row r="990">
      <c r="B990" s="29"/>
    </row>
    <row r="991">
      <c r="B991" s="29"/>
    </row>
    <row r="992">
      <c r="B992" s="29"/>
    </row>
    <row r="993">
      <c r="B993" s="29"/>
    </row>
    <row r="994">
      <c r="B994" s="29"/>
    </row>
    <row r="995">
      <c r="B995" s="29"/>
    </row>
    <row r="996">
      <c r="B996" s="29"/>
    </row>
    <row r="997">
      <c r="B997" s="29"/>
    </row>
    <row r="998">
      <c r="B998" s="29"/>
    </row>
    <row r="999">
      <c r="B999" s="29"/>
    </row>
    <row r="1000">
      <c r="B1000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5" width="20.75"/>
  </cols>
  <sheetData>
    <row r="1">
      <c r="A1" s="2" t="s">
        <v>3</v>
      </c>
    </row>
    <row r="2">
      <c r="A2" s="4" t="s">
        <v>9</v>
      </c>
    </row>
    <row r="4">
      <c r="A4" s="1" t="s">
        <v>11</v>
      </c>
    </row>
    <row r="5">
      <c r="A5" s="5" t="s">
        <v>13</v>
      </c>
      <c r="B5" s="7">
        <v>0.00196</v>
      </c>
    </row>
    <row r="6">
      <c r="A6" s="5" t="s">
        <v>23</v>
      </c>
      <c r="B6" s="8">
        <v>0.4</v>
      </c>
    </row>
    <row r="7">
      <c r="A7" s="5" t="s">
        <v>26</v>
      </c>
      <c r="B7" s="11">
        <f>44/12</f>
        <v>3.666666667</v>
      </c>
    </row>
    <row r="8">
      <c r="A8" s="5" t="s">
        <v>25</v>
      </c>
      <c r="B8" s="13">
        <f>COUNT('Per Load'!F2:F137)</f>
        <v>136</v>
      </c>
    </row>
    <row r="9">
      <c r="A9" s="5" t="s">
        <v>32</v>
      </c>
      <c r="B9" s="15">
        <f>SUM('Per Load'!F2:F137)</f>
        <v>3017410</v>
      </c>
    </row>
    <row r="11">
      <c r="A11" s="1" t="s">
        <v>37</v>
      </c>
    </row>
    <row r="12">
      <c r="A12" s="16" t="s">
        <v>0</v>
      </c>
      <c r="B12" s="17" t="s">
        <v>44</v>
      </c>
      <c r="C12" s="17" t="s">
        <v>47</v>
      </c>
      <c r="D12" s="17" t="s">
        <v>48</v>
      </c>
      <c r="E12" s="18" t="s">
        <v>49</v>
      </c>
    </row>
    <row r="13">
      <c r="A13" s="19" t="s">
        <v>52</v>
      </c>
      <c r="B13" s="20">
        <f>SUM('Per Load'!G2:G137)</f>
        <v>5902.4455</v>
      </c>
      <c r="C13" s="20">
        <f>SUM('Per Load'!H2:H137)</f>
        <v>5914.1236</v>
      </c>
      <c r="D13" s="20">
        <f t="shared" ref="D13:D15" si="2">C13-B13</f>
        <v>11.6781</v>
      </c>
      <c r="E13" s="22">
        <f t="shared" ref="E13:E15" si="3">D13/B13</f>
        <v>0.001978518904</v>
      </c>
    </row>
    <row r="14">
      <c r="A14" s="19" t="s">
        <v>70</v>
      </c>
      <c r="B14" s="20">
        <f t="shared" ref="B14:C14" si="1">$B$9-B13</f>
        <v>3011507.555</v>
      </c>
      <c r="C14" s="20">
        <f t="shared" si="1"/>
        <v>3011495.876</v>
      </c>
      <c r="D14" s="20">
        <f t="shared" si="2"/>
        <v>-11.6781</v>
      </c>
      <c r="E14" s="23">
        <f t="shared" si="3"/>
        <v>-0.000003877825238</v>
      </c>
    </row>
    <row r="15">
      <c r="A15" s="24" t="s">
        <v>82</v>
      </c>
      <c r="B15" s="25">
        <f t="shared" ref="B15:C15" si="4">B14*$B$6*$B$7/1000</f>
        <v>4416.877747</v>
      </c>
      <c r="C15" s="25">
        <f t="shared" si="4"/>
        <v>4416.860619</v>
      </c>
      <c r="D15" s="25">
        <f t="shared" si="2"/>
        <v>-0.01712788</v>
      </c>
      <c r="E15" s="26">
        <f t="shared" si="3"/>
        <v>-0.000003877825238</v>
      </c>
    </row>
    <row r="17">
      <c r="A17" s="5" t="s">
        <v>90</v>
      </c>
      <c r="B17" s="27">
        <f>D13/$B$9</f>
        <v>0.000003870239709</v>
      </c>
    </row>
    <row r="18">
      <c r="A18" s="5" t="s">
        <v>94</v>
      </c>
      <c r="B18" s="27">
        <f>D15/B15</f>
        <v>-0.000003877825238</v>
      </c>
    </row>
    <row r="20">
      <c r="A20" s="28" t="str">
        <f>CONCATENATE("Conclusion:  Δ gross CDR = ", TEXT(D15,"+0.000;-0.000"), " tCO₂e (", TEXT(E15,"+0.0000%;-0.0000%"), ") - far below the GHG Accounting v1.0 5% materiality threshold.")</f>
        <v>Conclusion:  Δ gross CDR = -0.017 tCO₂e (-0.0004%) - far below the GHG Accounting v1.0 5% materiality threshold.</v>
      </c>
    </row>
    <row r="21">
      <c r="A21" s="4" t="s">
        <v>108</v>
      </c>
    </row>
  </sheetData>
  <mergeCells count="4">
    <mergeCell ref="A1:E1"/>
    <mergeCell ref="A2:E2"/>
    <mergeCell ref="A20:E20"/>
    <mergeCell ref="A21:E21"/>
  </mergeCells>
  <drawing r:id="rId1"/>
</worksheet>
</file>