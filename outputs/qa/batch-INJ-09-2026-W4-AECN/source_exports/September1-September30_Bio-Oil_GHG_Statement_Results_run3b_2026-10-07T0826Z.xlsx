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0.0000"/>
    <numFmt numFmtId="166" formatCode="0.000"/>
  </numFmts>
  <fonts count="4">
    <font>
      <name val="Calibri"/>
      <color theme="1"/>
      <sz val="11"/>
      <scheme val="minor"/>
    </font>
    <font>
      <name val="Calibri"/>
      <color theme="1"/>
      <scheme val="minor"/>
    </font>
    <font>
      <name val="Calibri"/>
      <b val="1"/>
      <color theme="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0" fontId="3" fillId="0" borderId="0" applyAlignment="1" pivotButton="0" quotePrefix="0" xfId="0">
      <alignment horizontal="left"/>
    </xf>
    <xf numFmtId="4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0" fontId="3" fillId="0" borderId="0" pivotButton="0" quotePrefix="0" xfId="0"/>
    <xf numFmtId="166" fontId="3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ColWidth="14.43" defaultRowHeight="15" customHeight="1"/>
  <cols>
    <col width="44" customWidth="1" style="11" min="1" max="1"/>
    <col width="18" customWidth="1" style="11" min="2" max="2"/>
    <col width="8.710000000000001" customWidth="1" style="11" min="3" max="4"/>
    <col width="24" customWidth="1" style="11" min="5" max="6"/>
    <col width="13" customWidth="1" style="11" min="7" max="7"/>
    <col width="14.43" customWidth="1" style="11" min="8" max="8"/>
    <col width="8.710000000000001" customWidth="1" style="11" min="9" max="25"/>
  </cols>
  <sheetData>
    <row r="1">
      <c r="B1" s="10" t="inlineStr">
        <is>
          <t>Kg</t>
        </is>
      </c>
      <c r="C1" s="10" t="inlineStr">
        <is>
          <t>MT</t>
        </is>
      </c>
      <c r="G1" s="2" t="inlineStr">
        <is>
          <t>Removal Date</t>
        </is>
      </c>
      <c r="H1" s="2" t="inlineStr">
        <is>
          <t>Bio Oil Injected</t>
        </is>
      </c>
      <c r="I1" s="2" t="inlineStr">
        <is>
          <t>Gross CO2e Sequestered</t>
        </is>
      </c>
      <c r="J1" s="2" t="inlineStr">
        <is>
          <t>Process Emissions</t>
        </is>
      </c>
      <c r="K1" s="2" t="inlineStr">
        <is>
          <t>Site + Amortized Embodied Emissions</t>
        </is>
      </c>
      <c r="L1" s="2" t="inlineStr">
        <is>
          <t>Emissions Reductions</t>
        </is>
      </c>
      <c r="M1" s="2" t="inlineStr">
        <is>
          <t>Uncertainty Discount</t>
        </is>
      </c>
      <c r="N1" s="2" t="inlineStr">
        <is>
          <t>Net Removal</t>
        </is>
      </c>
      <c r="R1" s="2" t="inlineStr">
        <is>
          <t>C % (Certify)</t>
        </is>
      </c>
    </row>
    <row r="2">
      <c r="A2" s="2" t="inlineStr">
        <is>
          <t>Gross Bio Oil Sequestered</t>
        </is>
      </c>
      <c r="B2" s="3">
        <f>SUM(H2:H998)</f>
        <v/>
      </c>
      <c r="C2" s="3">
        <f>B2/1000</f>
        <v/>
      </c>
      <c r="E2" s="10" t="inlineStr">
        <is>
          <t>INJ-09-2026-W1 AECN</t>
        </is>
      </c>
      <c r="F2" s="10" t="inlineStr">
        <is>
          <t>rmv_1M2GBNMY91S0H2MB</t>
        </is>
      </c>
      <c r="G2" s="4" t="inlineStr">
        <is>
          <t>9/4</t>
        </is>
      </c>
      <c r="H2" s="5" t="n">
        <v>427024.77</v>
      </c>
      <c r="I2" s="6">
        <f>H2*R2*$P$5/$P$6</f>
        <v/>
      </c>
      <c r="J2" s="7" t="n">
        <v>157.902</v>
      </c>
      <c r="K2" s="7" t="n">
        <v>0</v>
      </c>
      <c r="L2" s="7" t="n">
        <v>81.318</v>
      </c>
      <c r="M2" s="7" t="n">
        <v>4.3437</v>
      </c>
      <c r="N2" s="5">
        <f>I2-J2-K2+L2-M2</f>
        <v/>
      </c>
      <c r="O2" s="10" t="inlineStr">
        <is>
          <t>Conversions</t>
        </is>
      </c>
      <c r="R2" s="8" t="n">
        <v>0.504</v>
      </c>
    </row>
    <row r="3">
      <c r="E3" s="10" t="inlineStr">
        <is>
          <t>INJ-09-2026-W1 WODO</t>
        </is>
      </c>
      <c r="F3" s="10" t="inlineStr">
        <is>
          <t>rmv_1M2PJXHXC1S04Y5N</t>
        </is>
      </c>
      <c r="G3" s="4" t="inlineStr">
        <is>
          <t>9/4</t>
        </is>
      </c>
      <c r="H3" s="5" t="n">
        <v>14075.28</v>
      </c>
      <c r="I3" s="6">
        <f>H3*R3*$P$5/$P$6</f>
        <v/>
      </c>
      <c r="J3" s="7" t="n">
        <v>12.8518</v>
      </c>
      <c r="K3" s="7" t="n">
        <v>0</v>
      </c>
      <c r="L3" s="7" t="n">
        <v>2.481</v>
      </c>
      <c r="M3" s="7" t="n">
        <v>0.1228</v>
      </c>
      <c r="N3" s="5">
        <f>I3-J3-K3+L3-M3</f>
        <v/>
      </c>
      <c r="R3" s="8" t="n">
        <v>0.573</v>
      </c>
    </row>
    <row r="4">
      <c r="B4" s="10" t="inlineStr">
        <is>
          <t>Kg CO2e</t>
        </is>
      </c>
      <c r="C4" s="10" t="inlineStr">
        <is>
          <t>MT CO2e</t>
        </is>
      </c>
      <c r="E4" s="10" t="inlineStr">
        <is>
          <t>INJ-09-2026-W2 AECN</t>
        </is>
      </c>
      <c r="F4" s="10" t="inlineStr">
        <is>
          <t>rmv_1M2RKR58N1S0F02M</t>
        </is>
      </c>
      <c r="G4" s="4" t="inlineStr">
        <is>
          <t>9/11</t>
        </is>
      </c>
      <c r="H4" s="5" t="n">
        <v>211232.2179</v>
      </c>
      <c r="I4" s="6">
        <f>H4*R4*$P$5/$P$6</f>
        <v/>
      </c>
      <c r="J4" s="7" t="n">
        <v>62.4422</v>
      </c>
      <c r="K4" s="7" t="n">
        <v>0</v>
      </c>
      <c r="L4" s="7" t="n">
        <v>26.2678</v>
      </c>
      <c r="M4" s="7" t="n">
        <v>1.7299</v>
      </c>
      <c r="N4" s="5">
        <f>I4-J4-K4+L4-M4</f>
        <v/>
      </c>
      <c r="R4" s="8" t="n">
        <v>0.404</v>
      </c>
    </row>
    <row r="5">
      <c r="A5" s="2" t="inlineStr">
        <is>
          <t>Gross CO2e Sequestered</t>
        </is>
      </c>
      <c r="B5" s="3">
        <f>C5*1000</f>
        <v/>
      </c>
      <c r="C5" s="3">
        <f>SUM(I2:I998)</f>
        <v/>
      </c>
      <c r="E5" s="10" t="inlineStr">
        <is>
          <t>INJ-09-2026-W2 QOWV</t>
        </is>
      </c>
      <c r="F5" s="10" t="inlineStr">
        <is>
          <t>rmv_1M2TTAZYD1S0BCCS</t>
        </is>
      </c>
      <c r="G5" s="4" t="inlineStr">
        <is>
          <t>9/11</t>
        </is>
      </c>
      <c r="H5" s="5" t="n">
        <v>31250.9</v>
      </c>
      <c r="I5" s="6">
        <f>H5*R5*$P$5/$P$6</f>
        <v/>
      </c>
      <c r="J5" s="7" t="n">
        <v>11.3859</v>
      </c>
      <c r="K5" s="7" t="n">
        <v>0</v>
      </c>
      <c r="L5" s="7" t="n">
        <v>6.4545</v>
      </c>
      <c r="M5" s="7" t="n">
        <v>0.0412</v>
      </c>
      <c r="N5" s="5">
        <f>I5-J5-K5+L5-M5</f>
        <v/>
      </c>
      <c r="O5" s="10" t="inlineStr">
        <is>
          <t>C --&gt; CO2e</t>
        </is>
      </c>
      <c r="P5" s="9" t="n">
        <v>3.667</v>
      </c>
      <c r="R5" s="8" t="n">
        <v>0.083</v>
      </c>
    </row>
    <row r="6">
      <c r="E6" s="10" t="inlineStr">
        <is>
          <t>INJ-09-2026-W2 Kerry</t>
        </is>
      </c>
      <c r="F6" s="10" t="inlineStr">
        <is>
          <t>rmv_1M3SW77M41S0RNME</t>
        </is>
      </c>
      <c r="G6" s="4" t="inlineStr">
        <is>
          <t>9/11</t>
        </is>
      </c>
      <c r="H6" s="5" t="n">
        <v>18221.45</v>
      </c>
      <c r="I6" s="6">
        <f>H6*R6*$P$5/$P$6</f>
        <v/>
      </c>
      <c r="J6" s="7" t="n">
        <v>2.5307</v>
      </c>
      <c r="K6" s="7" t="n">
        <v>0</v>
      </c>
      <c r="L6" s="7" t="n">
        <v>2.272</v>
      </c>
      <c r="M6" s="7" t="n">
        <v>0.2359</v>
      </c>
      <c r="N6" s="5">
        <f>I6-J6-K6+L6-M6</f>
        <v/>
      </c>
      <c r="O6" s="10" t="inlineStr">
        <is>
          <t>Kg per MT</t>
        </is>
      </c>
      <c r="P6" s="10" t="n">
        <v>1000</v>
      </c>
      <c r="R6" s="8" t="n">
        <v>0.625</v>
      </c>
    </row>
    <row r="7">
      <c r="A7" s="2" t="inlineStr">
        <is>
          <t>Project Emissions</t>
        </is>
      </c>
      <c r="B7" s="10" t="inlineStr">
        <is>
          <t>Kg CO2e</t>
        </is>
      </c>
      <c r="C7" s="10" t="inlineStr">
        <is>
          <t>MT CO2e</t>
        </is>
      </c>
      <c r="E7" s="10" t="inlineStr">
        <is>
          <t>INJ-09-2026-W3 AECN</t>
        </is>
      </c>
      <c r="F7" s="10" t="inlineStr">
        <is>
          <t>rmv_1M3MMSA7X1S0R377</t>
        </is>
      </c>
      <c r="G7" s="4" t="inlineStr">
        <is>
          <t>9/18</t>
        </is>
      </c>
      <c r="H7" s="5" t="n">
        <v>193491.94</v>
      </c>
      <c r="I7" s="6">
        <f>H7*R7*$P$5/$P$6</f>
        <v/>
      </c>
      <c r="J7" s="7" t="n">
        <v>46.6554</v>
      </c>
      <c r="K7" s="7" t="n">
        <v>0</v>
      </c>
      <c r="L7" s="7" t="n">
        <v>14.6347</v>
      </c>
      <c r="M7" s="7" t="n">
        <v>1.5539</v>
      </c>
      <c r="N7" s="5">
        <f>I7-J7-K7+L7-M7</f>
        <v/>
      </c>
      <c r="R7" s="8" t="n">
        <v>0.397</v>
      </c>
    </row>
    <row r="8">
      <c r="A8" s="2" t="inlineStr">
        <is>
          <t>Process Emissions</t>
        </is>
      </c>
      <c r="B8" s="3">
        <f>C8*1000</f>
        <v/>
      </c>
      <c r="C8" s="3">
        <f>SUM(J2:J998)</f>
        <v/>
      </c>
      <c r="E8" s="10" t="inlineStr">
        <is>
          <t>INJ-09-2026-W3 QOWV</t>
        </is>
      </c>
      <c r="F8" s="10" t="inlineStr">
        <is>
          <t>rmv_1M38CNSFV1S0B7V7</t>
        </is>
      </c>
      <c r="G8" s="4" t="inlineStr">
        <is>
          <t>9/18</t>
        </is>
      </c>
      <c r="H8" s="5" t="n">
        <v>30808.5</v>
      </c>
      <c r="I8" s="6">
        <f>H8*R8*$P$5/$P$6</f>
        <v/>
      </c>
      <c r="J8" s="7" t="n">
        <v>11.6736</v>
      </c>
      <c r="K8" s="7" t="n">
        <v>0</v>
      </c>
      <c r="L8" s="7" t="n">
        <v>6.2636</v>
      </c>
      <c r="M8" s="7" t="n">
        <v>0.0393</v>
      </c>
      <c r="N8" s="5">
        <f>I8-J8-K8+L8-M8</f>
        <v/>
      </c>
      <c r="R8" s="8" t="n">
        <v>0.08</v>
      </c>
    </row>
    <row r="9">
      <c r="A9" s="2" t="inlineStr">
        <is>
          <t>Site+Amortized Embodied Emissions</t>
        </is>
      </c>
      <c r="B9" s="3">
        <f>C9*1000</f>
        <v/>
      </c>
      <c r="C9" s="3">
        <f>SUM(K2:K998)</f>
        <v/>
      </c>
      <c r="E9" s="10" t="inlineStr">
        <is>
          <t>INJ-09-2026-W3 Kerry</t>
        </is>
      </c>
      <c r="F9" s="10" t="inlineStr">
        <is>
          <t>rmv_1M3SWNGK51S0GH00</t>
        </is>
      </c>
      <c r="G9" s="4" t="inlineStr">
        <is>
          <t>9/18</t>
        </is>
      </c>
      <c r="H9" s="5" t="n">
        <v>17994.817</v>
      </c>
      <c r="I9" s="6">
        <f>H9*R9*$P$5/$P$6</f>
        <v/>
      </c>
      <c r="J9" s="7" t="n">
        <v>2.5025</v>
      </c>
      <c r="K9" s="7" t="n">
        <v>0</v>
      </c>
      <c r="L9" s="7" t="n">
        <v>2.2435</v>
      </c>
      <c r="M9" s="7" t="n">
        <v>0.2172</v>
      </c>
      <c r="N9" s="5">
        <f>I9-J9-K9+L9-M9</f>
        <v/>
      </c>
      <c r="R9" s="8" t="n">
        <v>0.579</v>
      </c>
    </row>
    <row r="10">
      <c r="A10" s="2" t="inlineStr">
        <is>
          <t>Uncertainty Discounts</t>
        </is>
      </c>
      <c r="B10" s="3">
        <f>C10*1000</f>
        <v/>
      </c>
      <c r="C10" s="3">
        <f>SUM(M2:M998)</f>
        <v/>
      </c>
      <c r="E10" s="10" t="inlineStr">
        <is>
          <t>INJ-09-2026-W4 AECN</t>
        </is>
      </c>
      <c r="F10" s="10" t="inlineStr">
        <is>
          <t>rmv_1M3Z5YJN51S0SN1Q</t>
        </is>
      </c>
      <c r="G10" s="4" t="inlineStr">
        <is>
          <t>9/25</t>
        </is>
      </c>
      <c r="H10" s="5" t="n">
        <v>263834.2716</v>
      </c>
      <c r="I10" s="6">
        <f>H10*R10*$P$5/$P$6</f>
        <v/>
      </c>
      <c r="J10" s="7" t="n">
        <v>63.069</v>
      </c>
      <c r="K10" s="7" t="n">
        <v>20.55</v>
      </c>
      <c r="L10" s="7" t="n">
        <v>22.439</v>
      </c>
      <c r="M10" s="7" t="n">
        <v>2.4429</v>
      </c>
      <c r="N10" s="5">
        <f>I10-J10-K10+L10-M10</f>
        <v/>
      </c>
      <c r="R10" s="8" t="n">
        <v>0.44</v>
      </c>
    </row>
    <row r="11">
      <c r="A11" s="2" t="inlineStr">
        <is>
          <t>Emissions Reductions</t>
        </is>
      </c>
      <c r="B11" s="3">
        <f>C11*1000</f>
        <v/>
      </c>
      <c r="C11" s="3">
        <f>SUM(L2:L998)</f>
        <v/>
      </c>
      <c r="E11" s="10" t="inlineStr">
        <is>
          <t>INJ-09-2026-W4 QOWV</t>
        </is>
      </c>
      <c r="F11" s="10" t="inlineStr">
        <is>
          <t>rmv_1M3SG7D701S0HZ1Z</t>
        </is>
      </c>
      <c r="G11" s="4" t="inlineStr">
        <is>
          <t>9/25</t>
        </is>
      </c>
      <c r="H11" s="5" t="n">
        <v>34179.5</v>
      </c>
      <c r="I11" s="6">
        <f>H11*R11*$P$5/$P$6</f>
        <v/>
      </c>
      <c r="J11" s="7" t="n">
        <v>11.6739</v>
      </c>
      <c r="K11" s="7" t="n">
        <v>0</v>
      </c>
      <c r="L11" s="7" t="n">
        <v>5.895</v>
      </c>
      <c r="M11" s="7" t="n">
        <v>0.0471</v>
      </c>
      <c r="N11" s="5">
        <f>I11-J11-K11+L11-M11</f>
        <v/>
      </c>
      <c r="R11" s="8" t="n">
        <v>0.079</v>
      </c>
    </row>
    <row r="12">
      <c r="E12" s="10" t="inlineStr">
        <is>
          <t>INJ-09-2026-W4 Kerry</t>
        </is>
      </c>
      <c r="F12" s="10" t="inlineStr">
        <is>
          <t>rmv_1M3T2J3V51S0NCHH</t>
        </is>
      </c>
      <c r="G12" s="4" t="inlineStr">
        <is>
          <t>9/25</t>
        </is>
      </c>
      <c r="H12" s="5" t="n">
        <v>19155.18807</v>
      </c>
      <c r="I12" s="6">
        <f>H12*R12*$P$5/$P$6</f>
        <v/>
      </c>
      <c r="J12" s="7" t="n">
        <v>2.6471</v>
      </c>
      <c r="K12" s="7" t="n">
        <v>0</v>
      </c>
      <c r="L12" s="7" t="n">
        <v>2.3882</v>
      </c>
      <c r="M12" s="7" t="n">
        <v>0.2242</v>
      </c>
      <c r="N12" s="5">
        <f>I12-J12-K12+L12-M12</f>
        <v/>
      </c>
      <c r="R12" s="8" t="n">
        <v>0.579</v>
      </c>
    </row>
    <row r="13">
      <c r="A13" s="2" t="inlineStr">
        <is>
          <t>Total Emissions for Reporting Period (kg)</t>
        </is>
      </c>
      <c r="B13" s="3">
        <f>B14*1000</f>
        <v/>
      </c>
    </row>
    <row r="14">
      <c r="A14" s="2" t="inlineStr">
        <is>
          <t>Total Emissions for Reporting Period (MT)</t>
        </is>
      </c>
      <c r="B14" s="3">
        <f>SUM(C8:C10)</f>
        <v/>
      </c>
    </row>
    <row r="15">
      <c r="M15" s="10" t="inlineStr">
        <is>
          <t>Charm</t>
        </is>
      </c>
      <c r="N15" s="5">
        <f>SUM(N3,N5,N8,N11)</f>
        <v/>
      </c>
    </row>
    <row r="16">
      <c r="A16" s="2" t="inlineStr">
        <is>
          <t>Net Removals for Reporting Period (kg)</t>
        </is>
      </c>
      <c r="B16" s="3">
        <f>B17*1000</f>
        <v/>
      </c>
      <c r="M16" s="10" t="inlineStr">
        <is>
          <t>AECN</t>
        </is>
      </c>
      <c r="N16" s="5">
        <f>SUM(N2,N4,N7,N10)</f>
        <v/>
      </c>
    </row>
    <row r="17">
      <c r="A17" s="2" t="inlineStr">
        <is>
          <t>Net Removals for Reporting Period (MT)</t>
        </is>
      </c>
      <c r="B17" s="3">
        <f>C5-B14+C11</f>
        <v/>
      </c>
      <c r="M17" s="10" t="inlineStr">
        <is>
          <t>Kerry</t>
        </is>
      </c>
      <c r="N17" s="5">
        <f>SUM(N6,N9,N12)</f>
        <v/>
      </c>
    </row>
    <row r="18">
      <c r="A18" s="2" t="n"/>
      <c r="B18" s="3" t="n"/>
      <c r="N18" s="5">
        <f>SUM(N15:N17)</f>
        <v/>
      </c>
    </row>
    <row r="19">
      <c r="A19" s="10" t="n"/>
      <c r="B19" s="10" t="n"/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2026-10-03T16:53:14Z</dcterms:created>
  <dcterms:modified xmlns:dcterms="http://purl.org/dc/terms/" xmlns:xsi="http://www.w3.org/2001/XMLSchema-instance" xsi:type="dcterms:W3CDTF">2026-10-07T07:43:22Z</dcterms:modified>
</cp:coreProperties>
</file>