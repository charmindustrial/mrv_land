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AECN Rail" sheetId="2" r:id="rId6"/>
    <sheet state="visible" name="AECN Truck" sheetId="3" r:id="rId7"/>
    <sheet state="visible" name="WODO" sheetId="4" r:id="rId8"/>
    <sheet state="visible" name="QOWV" sheetId="5" r:id="rId9"/>
    <sheet state="hidden" name="Kerry" sheetId="6" r:id="rId10"/>
    <sheet state="visible" name="QOWV Shipments &amp; EE Allocation" sheetId="7" r:id="rId11"/>
    <sheet state="visible" name="WODO Shipments &amp; EE Allocation"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9">
      <text>
        <t xml:space="preserve">Weekly wellhead pH = 2.93. Source: Ignition tag Edge Nodes/BascoSite/1000-Injection/1000-Common/PH-1041/Value, 5-minute samples, export "Export 2026-09-01 13_00_09.csv".
Method: median of PH-1041 over the Sat-Sat window, filtered to samples where SM_Injection_Common/Status/StateRun = 1 (injection actively running); readings outside injection sit at the 14.0 sensor rail and are excluded. W5 window 2026-08-22 to 2026-08-29: n = 780 gated samples, raw median 2.9258 -&gt; 2.93.
Method validated against prior weeks: W1 2.8972 (sheet 2.90), W2 2.8630 (2.86), W4 2.8959 (2.90). W3 computes 2.8630 vs 2.87 in that sheet -- 0.01 discrepancy, unreconciled.</t>
      </text>
    </comment>
    <comment authorId="0" ref="B10">
      <text>
        <t xml:space="preserve">Arrival date at Opelousas not available: SHPX215076 is no longer on the COBB "Railcars" tab and the Loads tab delivery-date column is blank for BOLs 2402-R/2403-R/2404-R. Shown as the week-end date per the W3 convention -- CONFIRM before the VVB package.</t>
      </text>
    </comment>
    <comment authorId="0" ref="A8">
      <text>
        <t xml:space="preserve">W4 (2026-08-15..2026-08-22): 4 offloads / 1 railcar per COBB (bio_oil, injection_completion_date in window; injection_batch = INJ-08-2026-W4_bio_oil).
All 4 offload masses are scale-ticket derived (full - empty) x $O$4 and tie to COBB offloaded_quantity_kg to 0.00 kg. Every implied lb is a multiple of 20 (CAT scale increment), so no COBB value was substituted.
Loaded/tare pairs resolved by tractor identity (CH1/CH2) as well as net mass.</t>
      </text>
    </comment>
    <comment authorId="0" ref="D42">
      <text>
        <t xml:space="preserve">CAT ticket 1124426228415 (LOADED), weighed 2026-08-16 14:40, CAT scale 1244, tractor CH1. Gross 64,800 lb.
Source: Gmail from:weighmytruck@catscale.com, harvested 2026-08-25; PDF filed in Injection Batch Data/W4/Scale Tickets.</t>
      </text>
    </comment>
    <comment authorId="0" ref="D41">
      <text>
        <t xml:space="preserve">CAT ticket 1124426228414 (LOADED), weighed 2026-08-16 09:17, CAT scale 1244, tractor CH1. Gross 77,960 lb.
Source: Gmail from:weighmytruck@catscale.com, harvested 2026-08-25; PDF filed in Injection Batch Data/W4/Scale Tickets.</t>
      </text>
    </comment>
    <comment authorId="0" ref="E42">
      <text>
        <t xml:space="preserve">CAT ticket 1312226229047 (TARE), weighed 2026-08-17 10:43, CAT scale 3122, tractor CH1. Gross 29,120 lb.
Source: Gmail from:weighmytruck@catscale.com, harvested 2026-08-25; PDF filed in Injection Batch Data/W4/Scale Tickets.</t>
      </text>
    </comment>
    <comment authorId="0" ref="D40">
      <text>
        <t xml:space="preserve">CAT ticket 1124426227413 (LOADED), weighed 2026-08-15 11:44, CAT scale 1244, tractor CH1. Gross 73,860 lb.
Source: Gmail from:weighmytruck@catscale.com, harvested 2026-08-25; PDF filed in Injection Batch Data/W4/Scale Tickets.</t>
      </text>
    </comment>
    <comment authorId="0" ref="E41">
      <text>
        <t xml:space="preserve">CAT ticket 1312226228034 (TARE), weighed 2026-08-16 12:26, CAT scale 3122, tractor CH1. Gross 29,400 lb.
Source: Gmail from:weighmytruck@catscale.com, harvested 2026-08-25; PDF filed in Injection Batch Data/W4/Scale Tickets.</t>
      </text>
    </comment>
    <comment authorId="0" ref="G10">
      <text>
        <t xml:space="preserve">Loss 341.55 kg = 0.44% of the 78,060 kg loaded. Railcar is functionally closed (offloaded &gt;= 95% of loaded), so Loss displays.</t>
      </text>
    </comment>
    <comment authorId="0" ref="D39">
      <text>
        <t xml:space="preserve">Rail offload mass is scale-ticket derived: Net Scaled Mass = (Full Scale Ticket lb - Empty Scale Ticket lb) x kg/lb. Both tickets for this offload are CAT certified public-scale weighings, linked from cols D and E.
This offload: full 74,140 lb (ticket 1124426238451, 2026-08-26 10:39) and empty 28,900 lb (ticket 1124426240461, 2026-08-28 09:05), net 45,240 lb = 20,520.50 kg. Across GPRX5188 the four ticket-derived offloads sum to 77,791.03 kg against a loading BOL total of 77,710 kg, a variance of +0.10%, which the uncertainty adjustment on offload 4 caps back to the BOL origin mass.</t>
      </text>
    </comment>
    <comment authorId="0" ref="E40">
      <text>
        <t xml:space="preserve">CAT ticket 1312226228029 (TARE), weighed 2026-08-16 07:26, CAT scale 3122, tractor CH1. Gross 29,580 lb.
Source: Gmail from:weighmytruck@catscale.com, harvested 2026-08-25; PDF filed in Injection Batch Data/W4/Scale Tickets.</t>
      </text>
    </comment>
    <comment authorId="0" ref="H10">
      <text>
        <t xml:space="preserve">Previously Claimed = 0. GPRX5188 was last offloaded 2026-05-31 under a DIFFERENT fill (loaded 5.1.2026, BOLs 2353-R/2354-R/2355-R). This is the 7.30.2026 fill (2447-R/2448-R/2449-R), first and fully offloaded in W5. Same for GPRX5236: prior 2026-07-04 offloads belong to the 5.22.2026 fill; this is the 7.28.2026 fill.</t>
      </text>
    </comment>
    <comment authorId="0" ref="E39">
      <text>
        <t xml:space="preserve">CAT ticket 1312226229048 (TARE), weighed 2026-08-17 10:49, CAT scale 3122, tractor CH2. Gross 28,580 lb.
Source: Gmail from:weighmytruck@catscale.com, harvested 2026-08-25; PDF filed in Injection Batch Data/W4/Scale Tickets.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Date column carries the COBB injection_completion_date (2026-08-22) for all four deliveries, matching the AECN Rail convention. Actual AECN delivery dates are in the Notes column (8/19, 8/19, 8/22, 8/21 per Loads tab col O).
Trucks 2473-T / 2475-T / 2476-T also delivered in this window but are NOT in the INJ-08-2026-W4 COBB batch -- per Brad (Slack, 2026-08-24) two were still in the frac tank and roll to W5. COBB defines the offload set.</t>
      </text>
    </comment>
    <comment authorId="0" ref="B10">
      <text>
        <t xml:space="preserve">BOL mass read from page 2 of each carrier Billing Documents PDF, field "Quantity send in M.Tons at 60 F" (the highlighted Qty shipped), and cross-checked against the shipment log; all 8 agree exactly. Per the 2026-05-26 methodology the BOL mass is the basis for direct truck deliveries, so the legacy wellhead scale-ticket columns are intentionally blank.</t>
      </text>
    </comment>
    <comment authorId="0" ref="C10">
      <text>
        <t xml:space="preserve">BOL masses read from page 2 "Quantity send in M.Tons at 60F" on each Billing Documents PDF and cross-checked against Bio-Oil Injection Tracker "Loads" col Q (Actual Loaded, metric tons) -- all 8 agree exactly. Mass Used = Sum BOL kg per the 2026-05-26 BOL-as-MOBI methodology; wellhead scale tickets are not required for direct trucks, so cols E/F/G of the legacy scale block stay blank.
Date column carries the COBB injection_completion_date (2026-08-29) for all 8; actual AECN delivery dates are in the Notes column (Loads col 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All 18 totes sourced from the BGN &amp; DC Production Bio-Oil Inventory master, tab "Q4 2025 -2026 Production Inventory Master"; Gross Mass is the tote-tag scale weight (col I), keyed on the metal security tag (col F). Tags 300048 / 300021 / 300080 correspond to MFO lots 4678 / 4731 / 4745.</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COBB security_tag for this tote reads "30008" -- a dropped leading zero. The tote is 300008 (MFO Lot 4484, December 2025 PP) per the BGN Inventory Master. Corrected here; flag upstream so COBB stops emitting the truncated tag.</t>
      </text>
    </comment>
    <comment authorId="0" ref="L7">
      <text>
        <t xml:space="preserve">H2 2026 rolling 6-month Carbon Intensity (Garrett, 2026-08-18). Computed from Jan-Jun 2026 Production Period Summaries (V2_Charm_BioOil_Mass_Weighted_CI_Jan-Jun_2026.xlsx), held fixed for Jul-Dec 2026 reporting, then re-derived for the next 6-month window. Supersedes the per-PP Carbon Intensity lookup for this column -- every tote in this ledger uses this ONE value regardless of which PP it originated from. Does not affect the lab composite C%% used for gross removal.</t>
      </text>
    </comment>
    <comment authorId="0" ref="B11">
      <text>
        <t xml:space="preserve">Gross Mass = the tote-tag scale weight recorded at production, from the BGN &amp; DC Production Bio-Oil Inventory master, tab "Q4 2025 -2026 Production Inventory Master", col I "Gross Weight (kg)", keyed on col F "Metal security tag". All 79 tags resolved uniquely and are Fraction Type QOWV.</t>
      </text>
    </comment>
    <comment authorId="0" ref="C11">
      <text>
        <t xml:space="preserve">Tote Mass = each tote's own tare from the inventory master col J "Tare Weight (kg)": 57.6 kg for 60 totes, 62.9 kg for 19. Feeds col D (Net Oil Produced), which carries the production emissions. It does NOT feed col F (Net Oil Injected).</t>
      </text>
    </comment>
    <comment authorId="0" ref="C10">
      <text>
        <t xml:space="preserve">Tote Mass = tare by TOTE SIZE, not by oil fraction: 275 gal -&gt; 57.6 kg. Every W4 tote is 275 gal per BGN Inventory Master col Q. Where the master still shows the legacy 62.93 tare (tote 120534), 57.6 is used -- 62.93 is the known PP#7/PP#8 defect (57.6 + a WODO-only 5.33 loss misapplied to QOWV).</t>
      </text>
    </comment>
    <comment authorId="0" ref="E11">
      <text>
        <t xml:space="preserve">Empty Tote Weight = the weight of the tote plus any residual oil, measured after injection. Source: tote-manager export "empty_tote_weights (6).csv", 2026-09-04, joined on lot number with the security tag as fallback. All 79 matched.
WATCH: 34 of the 79 carry the identical value 204.87 kg, which reads as an export default rather than 34 independent weighings. Used as recorded, but worth confirming with injection ops before the VVB package -- it feeds injected mass directly.</t>
      </text>
    </comment>
    <comment authorId="0" ref="E10">
      <text>
        <t xml:space="preserve">Empty Tote Weight is a MEASURED post-injection value (totes retain residual oil, typically 1-10 kg above the 57.6 kg tare) and is the one open input on this tab. Brad recorded W4 QOWV empty weights on 2026-08-24 (Slack #louisiana-crew) -- pull them from the tote manager / the crew list.
COBB quantity_consumed cannot substitute: it implies a plausible empty weight for only 23 of the 42 totes and a physically impossible negative for the other 17 (consumed &gt; gross). See beads Claude-qbh.
Until E is filled, Net Oil Injected (F) and the Summary QOWV MOBI stay blank/0.</t>
      </text>
    </comment>
    <comment authorId="0" ref="F11">
      <text>
        <t xml:space="preserve">Net Oil Injected (MOBI) = Gross Mass - Empty Tote Weight. The empty weight is measured after injection and already includes the tote tare and any residue, so no further tare or sparging deduction is applied.</t>
      </text>
    </comment>
    <comment authorId="0" ref="H11">
      <text>
        <t xml:space="preserve">Carbon Intensity per tote = its production period's value from that period's Production Period Summary, "Output Type" table, Aqueous row, col T "Kg Emissions/Kg Material". Lookup table in K10:M22. PP#9 (August 2025) = 0.11056982394624702 and PP#10 (September 2025) = 0.12868956697570233 were added 2026-09-04 from the August and September 2025 Production Period Summaries; the table previously stopped at PP#8 plus monthly November 2025 onward. All 79 totes now carry a CI.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O5">
      <text>
        <t xml:space="preserve">Kerry Calciner filtration solids = 0.071% (0.00071). Cell is hyperlinked to the test.
SOURCE OF RECORD: CAR-474 'Solids Loading in Kerry-AECN-WODO oils.xlsx', sample 'MANITOWOC CALCINER PHASE' = 0.071 % Solids, lab SGS, measured 2026-05-28.
Filed this RP at: August 1 - August 31 RP / Injection Batch Data / Kerry Oil /
CAR-474 folder: https://drive.google.com/drive/folders/1TrKV8srSpVrofMKx1KM77qALoDlqQiK1
Full CAR-474 set (% solids): WODO 0.3 (Charm); GPRX 5254 Tanker Load 0.33 (SGS); GPRX 5254 Railcar Preload 0.076 (SGS); Manitowoc Calciner Phase 0.071 (SGS); Rhinelander RTP Tar 2.5 (SGS).
DISCREPANCY TO CONFIRM WITH THE LAB: the Slack announcement of CAR-474 (steven.rowland, #chemical-analysis-notifs 2026-05-29 10:42 MDT) quotes 'Kerry Manitowoc Calciner Phase Separated Tar - 0.71% solids' and 'WODO - 0.33%' - i.e. 10x this value for Kerry, and the tanker-load figure for WODO. All three copies of the CAR-474 data file read 0.071 and 0.3, so the data file is authoritative and the Slack text is treated as a transcription slip. Confirm with Steven Rowland before this constant is ever changed.
Solids is NOT on the SGS MRV COA panel (C/H/N, D445 viscosity, titration solvent volume, D664 acid number, D4052 density) - it only comes from CAR filtration work.
PRODUCT DRIFT: Calciner 0.071% vs Rhinelander 2.5% is ~35x. Confirm the product from the COA CLIENT ID / SOURCE ID before applying (W3 = '08-2026-W3 KERRY', SOURCE ID 'B CALCINER').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Total Totes on Truck counted from the BGN Inventory Master Ship Status column: COLA_27=20, COLA_30=20, COLA21=20, COLA_29=20, COLA_25=20; the 2025-12-02 "Truck 2" group = 36 by Date Shipped.
W3 used 40 for COLA21 and COLA_25 and 21 for COLA_29, which the master does not support (no COLA truck exceeds 20 totes). The master counts are used here -- they are also the more conservative choice (smaller denominator -&gt; more allocated miles). Reconcile W3 against the COLA BOL manifests.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COLA_33 holds exactly 18 totes per BGN master Ship Status, all WODO, all injected in this batch -- batch share 18/18 = 100%, so the full 1,201 mi one-way leg is allocated to this week.</t>
      </text>
    </comment>
  </commentList>
</comments>
</file>

<file path=xl/sharedStrings.xml><?xml version="1.0" encoding="utf-8"?>
<sst xmlns="http://schemas.openxmlformats.org/spreadsheetml/2006/main" count="424" uniqueCount="284">
  <si>
    <t>BATCH SUMMARY</t>
  </si>
  <si>
    <t>BATCH HEADER — AECN Rail</t>
  </si>
  <si>
    <t>BATCH HEADER — Charm WODO (IBC Totes)</t>
  </si>
  <si>
    <t>Batch ID</t>
  </si>
  <si>
    <t>INJ-08-2026-W5</t>
  </si>
  <si>
    <t>Week Start (Sat)</t>
  </si>
  <si>
    <t>Week End (Sat)</t>
  </si>
  <si>
    <t>SECTION 1 - PER-TAB SUMMARY  (each row pulls from its mode tab)</t>
  </si>
  <si>
    <t>BATCH HEADER — AECN Truck (Direct from Fort Lupton)</t>
  </si>
  <si>
    <t>Source Tab</t>
  </si>
  <si>
    <t>Σ Deliveries / Cargo (kg)</t>
  </si>
  <si>
    <t>Σ Uncertainty Adj (kg)</t>
  </si>
  <si>
    <t>Batch ID (INJ-YYYY-WXX)</t>
  </si>
  <si>
    <t>Mass Used (kg)</t>
  </si>
  <si>
    <t>Constants</t>
  </si>
  <si>
    <t>Sparging Loss (kg)</t>
  </si>
  <si>
    <t>Filtration Loss (kg)</t>
  </si>
  <si>
    <t>MOBI (kg)</t>
  </si>
  <si>
    <t>AECN→SOPOR EE (mi)</t>
  </si>
  <si>
    <t>Lbs/Kg</t>
  </si>
  <si>
    <t>Rail EE (mi)</t>
  </si>
  <si>
    <t>Opel→Basco EE (mi)</t>
  </si>
  <si>
    <t>Kg/Lbs</t>
  </si>
  <si>
    <t>AECN Rail</t>
  </si>
  <si>
    <t>Sparging Mass Loss</t>
  </si>
  <si>
    <t>pH range (target)</t>
  </si>
  <si>
    <t>2.0 - 4.0</t>
  </si>
  <si>
    <t>WODO 6-Mo CI (kg CO2e/kg), Jul-Dec 2026</t>
  </si>
  <si>
    <t>SECTION 1 - IBC LEDGER  (one row per IBC tote; tote tag mass is authoritative)</t>
  </si>
  <si>
    <t>WODO Standard Loss (kg/tote), 2026 = Mean + 1 SD</t>
  </si>
  <si>
    <t>Filtration Solids Content</t>
  </si>
  <si>
    <t>Transport Emissions</t>
  </si>
  <si>
    <t>Pyrolysis Emissions Mass &amp; Standard Loss</t>
  </si>
  <si>
    <t>MOBI</t>
  </si>
  <si>
    <t>SECTION 1 - RAILCARS RECEIVED THIS WEEK  (entity-level)</t>
  </si>
  <si>
    <t>Per-Production-Month CI (kg CO2e/kg) - PP Summary Output Type table, col T</t>
  </si>
  <si>
    <t>Tag</t>
  </si>
  <si>
    <t>Gross Mass (kg)</t>
  </si>
  <si>
    <t>Pyrolysis Emissions Mass</t>
  </si>
  <si>
    <t>Tote Mass (kg)</t>
  </si>
  <si>
    <t>BOL Trips (AECN→SOPOR)</t>
  </si>
  <si>
    <t>Net Oil Produced (kg)</t>
  </si>
  <si>
    <t>Railcar #</t>
  </si>
  <si>
    <t>Standard Loss (kg)</t>
  </si>
  <si>
    <t>Arrival Date at Opelousas</t>
  </si>
  <si>
    <t>Net Oil Injected (kg)</t>
  </si>
  <si>
    <t>Loading BOLs (comma-sep)</t>
  </si>
  <si>
    <t>Production Period</t>
  </si>
  <si>
    <t>Total Loaded (MT)</t>
  </si>
  <si>
    <t>SECTION 1 - DELIVERIES LEDGER  (one row per direct truck; BOL &amp; scale ticket on same row)</t>
  </si>
  <si>
    <t>Carbon Intensity</t>
  </si>
  <si>
    <t>Total Loaded (kg)</t>
  </si>
  <si>
    <t>Total Offloaded (kg, auto)</t>
  </si>
  <si>
    <t>Loss (kg)</t>
  </si>
  <si>
    <t>Production  Emissions</t>
  </si>
  <si>
    <t>Previously Claimed (kg)</t>
  </si>
  <si>
    <t>Claimed This Week (kg)</t>
  </si>
  <si>
    <t>Scale Uncertainty</t>
  </si>
  <si>
    <t>AECN→SOPOR (mi)</t>
  </si>
  <si>
    <t>PP#8</t>
  </si>
  <si>
    <t>Rail (mi)</t>
  </si>
  <si>
    <t>Opel→Basco (mi)</t>
  </si>
  <si>
    <t>Full Railcar This Week?</t>
  </si>
  <si>
    <t>Date</t>
  </si>
  <si>
    <t>Round Trip (Opel→Basco)</t>
  </si>
  <si>
    <t>BOL # / SO #</t>
  </si>
  <si>
    <t>BOL Mass (MT)</t>
  </si>
  <si>
    <t>BOL Mass (kg)</t>
  </si>
  <si>
    <t>pH</t>
  </si>
  <si>
    <t>GPRX5188</t>
  </si>
  <si>
    <t>Notes</t>
  </si>
  <si>
    <t>C Content</t>
  </si>
  <si>
    <t>Mileage EE</t>
  </si>
  <si>
    <t>2447-R, 2448-R, 2449-R</t>
  </si>
  <si>
    <t>AECN Truck</t>
  </si>
  <si>
    <t>MFO Lot 301047 (LOT00301047), March 2026</t>
  </si>
  <si>
    <t>Charm WODO</t>
  </si>
  <si>
    <t>AECN delivery 8/24/2026</t>
  </si>
  <si>
    <t>Kerry</t>
  </si>
  <si>
    <t>MFO Lot 301052 (LOT00301052), March 2026</t>
  </si>
  <si>
    <t>GPRX5236</t>
  </si>
  <si>
    <t>AECN delivery 8/22/2026</t>
  </si>
  <si>
    <t>2441-R, 2442-R, 2443-R</t>
  </si>
  <si>
    <t>QOWV</t>
  </si>
  <si>
    <t>MFO Lot 301068 (LOT00301068), March 2026</t>
  </si>
  <si>
    <t>MFO Lot 301081 (LOT00301081), March 2026</t>
  </si>
  <si>
    <t>TOTAL</t>
  </si>
  <si>
    <t>MFO Lot 301091 (LOT00301091), March 2026</t>
  </si>
  <si>
    <t>SECTION 2 - ORIGINS LEDGER  (loading BOLs at SOPOR)</t>
  </si>
  <si>
    <t>BOL #</t>
  </si>
  <si>
    <t>MFO Lot 301096 (LOT00301096), March 2026</t>
  </si>
  <si>
    <t>AECN delivery 8/26/2026</t>
  </si>
  <si>
    <t>MFO Lot 301241 (LOT00301241), July 2026</t>
  </si>
  <si>
    <t>SECTION 2 - PER-OIL-TYPE ROLLUP  (composite C% per oil type per week)</t>
  </si>
  <si>
    <t>AECN delivery 8/27/2026</t>
  </si>
  <si>
    <t>Oil Type</t>
  </si>
  <si>
    <t>Transport Mass - upstream (kg)</t>
  </si>
  <si>
    <t>Transport Mass - downstream Opel→Basco (kg)</t>
  </si>
  <si>
    <t>Pyrolysis Mass (kg)</t>
  </si>
  <si>
    <t>MOBI - sequestration (kg)</t>
  </si>
  <si>
    <t>Composite Sample ID</t>
  </si>
  <si>
    <t>C %</t>
  </si>
  <si>
    <t>Lab COA Link</t>
  </si>
  <si>
    <t>C Content Uncertainty</t>
  </si>
  <si>
    <t>Testing Uncertainty</t>
  </si>
  <si>
    <t>AECN</t>
  </si>
  <si>
    <t>MFO Lot 301250 (LOT00301250), July 2026</t>
  </si>
  <si>
    <t>MFO Lot 301251 (LOT00301251), June 2026</t>
  </si>
  <si>
    <t>July 2026 and later (Jan-Jun 2026 rolling)</t>
  </si>
  <si>
    <t>MFO Lot 301264 (LOT00301264), July 2026</t>
  </si>
  <si>
    <t>MFO Lot 301286 (LOT00301286), July 2026</t>
  </si>
  <si>
    <t>08-2026-W5 AECN</t>
  </si>
  <si>
    <t>MFO Lot 301304 (LOT00301304), July 2026</t>
  </si>
  <si>
    <t>MFO Lot 301314 (LOT00301314), July 2026</t>
  </si>
  <si>
    <t>MFO Lot 301333 (LOT00301333), July 2026</t>
  </si>
  <si>
    <t>SECTION 3 - SCALE TICKETS + OFFLOAD WEIGHTS</t>
  </si>
  <si>
    <t>WODO</t>
  </si>
  <si>
    <t>MFO Lot 301372 (LOT00301372), July 2026</t>
  </si>
  <si>
    <t>SECTION 2 - ROLLUP  (Mass Used = Σ BOL kg; scale tickets no longer required for direct trucks per 2026-05-26)</t>
  </si>
  <si>
    <t>Offload Key</t>
  </si>
  <si>
    <t>Full Scale Ticket (lb)</t>
  </si>
  <si>
    <t>Empty Scale Ticket (lb)</t>
  </si>
  <si>
    <t>Σ BOL (kg)</t>
  </si>
  <si>
    <t>MFO Lot 4678 (LOT00004678), February 2026</t>
  </si>
  <si>
    <t>Net Scaled Mass (kg)</t>
  </si>
  <si>
    <t>Uncertainty Adjustment (kg)</t>
  </si>
  <si>
    <t>8-2026-W5 WODO</t>
  </si>
  <si>
    <t>C Content (MOBI-wtd)</t>
  </si>
  <si>
    <t>AECN→SOPOR (mi, x3 — full BOL)</t>
  </si>
  <si>
    <t>Origins list (BOLs)</t>
  </si>
  <si>
    <t>Rail (mi) — FULL railcar: flat 2199 on first offload; PARTIAL: offload-mass-basis allocation</t>
  </si>
  <si>
    <t>Opel→Basco (mi, x2 — downstream, per offload)</t>
  </si>
  <si>
    <t>Rail_GPRX5188_7.30.2026_offload_1</t>
  </si>
  <si>
    <t>MFO Lot 4731 (LOT00004731), February 2026</t>
  </si>
  <si>
    <t>MFO Lot 4745 (LOT00004745), February 2026</t>
  </si>
  <si>
    <t>SECTION 2 - ROLLUP</t>
  </si>
  <si>
    <t>Transport Mass</t>
  </si>
  <si>
    <t>Σ Net Oil Produced (kg)</t>
  </si>
  <si>
    <t>MOBI — Σ Net Oil Injected (kg)</t>
  </si>
  <si>
    <t>08-2026-W5 QOWV</t>
  </si>
  <si>
    <t xml:space="preserve"> </t>
  </si>
  <si>
    <t>BATCH HEADER — QOWV (Aqueous Bio-Oil, IBC Totes)</t>
  </si>
  <si>
    <t>BATCH HEADER — Kerry (Calciner Waste Oil, IBC Totes)</t>
  </si>
  <si>
    <t>Filtration Solids Content (Kerry Calciner)</t>
  </si>
  <si>
    <t>QOWV 6-Mo CI (kg CO2e/kg), Jul-Dec 2026</t>
  </si>
  <si>
    <t>INJ-08-2026-W5 - QOWV Shipments &amp; EE Mileage Allocation</t>
  </si>
  <si>
    <t>Batch</t>
  </si>
  <si>
    <t>Fraction</t>
  </si>
  <si>
    <t>Inj. Week</t>
  </si>
  <si>
    <t># Totes</t>
  </si>
  <si>
    <t>Shipping Orders (relevant totes)</t>
  </si>
  <si>
    <t>2026-08-22 to 2026-08-29</t>
  </si>
  <si>
    <t>12 shipping group(s) direct CO-&gt;LA = 79 totes, all injected this week. Totals-on-truck counted from BGN master Ship Status; groups with Ship Status "Shipped" are resolved by Date Shipped. No Kansas-routed totes this week (Table B = 0).</t>
  </si>
  <si>
    <t>Charm CO -&gt; Basco LA distance (one-way mi)</t>
  </si>
  <si>
    <t>Empty Tote Weight (kg)</t>
  </si>
  <si>
    <t>EE ALLOCATION TABLE - A. Direct Charm CO -&gt; Basco LA</t>
  </si>
  <si>
    <t>Truck (shipping order)</t>
  </si>
  <si>
    <t>Ship Date</t>
  </si>
  <si>
    <t>Total Totes on Truck</t>
  </si>
  <si>
    <t>Batch-Relevant Totes</t>
  </si>
  <si>
    <t>Batch Share of Truck</t>
  </si>
  <si>
    <t>Mileage (one-way)</t>
  </si>
  <si>
    <t>Allocated Miles</t>
  </si>
  <si>
    <t>Shipped 12/2/2025 (by Date Shipped)</t>
  </si>
  <si>
    <t>SECTION 1 - IBC LEDGER  (one row per Kerry tote; tote tag mass is authoritative)</t>
  </si>
  <si>
    <t>Full Ticket (lb)</t>
  </si>
  <si>
    <t>Empty Ticket 2 (lb)</t>
  </si>
  <si>
    <t>Gross Mass (kg) — transport</t>
  </si>
  <si>
    <t xml:space="preserve">Net Oil (kg) </t>
  </si>
  <si>
    <t>Net Injected (kg) — MOBI</t>
  </si>
  <si>
    <t>Mass Uncertainty (kg)</t>
  </si>
  <si>
    <t>COLA23</t>
  </si>
  <si>
    <t>Shipped 12/3/2025 (by Date Shipped)</t>
  </si>
  <si>
    <t>MFO Lot 15158 (LOT00015158), PP#8</t>
  </si>
  <si>
    <t>Σ Net Oil — pre-filtration (kg)</t>
  </si>
  <si>
    <t>COLA_32</t>
  </si>
  <si>
    <t>Shipped 12/1/2025 (by Date Shipped)</t>
  </si>
  <si>
    <t>COLA21</t>
  </si>
  <si>
    <t>Shipped 12/5/2025 (by Date Shipped)</t>
  </si>
  <si>
    <t>COLA20</t>
  </si>
  <si>
    <t>COLA-31</t>
  </si>
  <si>
    <t>MFO Lot 7580 (LOT00245109), PP#10</t>
  </si>
  <si>
    <t>Shipped 12/9/2025 (by Date Shipped)</t>
  </si>
  <si>
    <t>Shipped 12/16/2025 (by Date Shipped)</t>
  </si>
  <si>
    <t>Rail_GPRX5188_7.30.2026_offload_2</t>
  </si>
  <si>
    <t>COLA_27</t>
  </si>
  <si>
    <t>SUBTOTAL A - Direct</t>
  </si>
  <si>
    <t>MFO Lot 245168 (LOT00245168), PP#10</t>
  </si>
  <si>
    <t>INJ-08-2026-W5 - WODO Shipments &amp; EE Mileage Allocation</t>
  </si>
  <si>
    <t>MFO Lot 301032 (LOT00301032), March 2026</t>
  </si>
  <si>
    <t>1 shipping order(s) direct CO-&gt;LA: COLA_33 = 18 totes. Total-on-truck counted from BGN master Ship Status; COLA_33 carries exactly these 18 WODO totes, so batch share = 100%.</t>
  </si>
  <si>
    <t>EE ALLOCATION TABLE</t>
  </si>
  <si>
    <t>MFO Lot 301053 (LOT00301053), April 2026</t>
  </si>
  <si>
    <t>COLA_33</t>
  </si>
  <si>
    <t>MFO Lot 301135 (LOT00301135), April 2026</t>
  </si>
  <si>
    <t>MFO Lot 301137 (LOT00301137), April 2026</t>
  </si>
  <si>
    <t>MFO Lot 301160 (LOT00301160), April 2026</t>
  </si>
  <si>
    <t>MFO Lot 301161 (LOT00301161), May 2026</t>
  </si>
  <si>
    <t>MFO Lot 301164 (LOT00301164), May 2026</t>
  </si>
  <si>
    <t>PP#7</t>
  </si>
  <si>
    <t>MFO Lot 301177 (LOT00301177), May 2026</t>
  </si>
  <si>
    <t>PP#9</t>
  </si>
  <si>
    <t>Rail_GPRX5188_7.30.2026_offload_3</t>
  </si>
  <si>
    <t>MFO Lot 2774 (LOT00002774), PP#7</t>
  </si>
  <si>
    <t>PP#10</t>
  </si>
  <si>
    <t>MFO Lot 2814 (LOT00002814), PP#8</t>
  </si>
  <si>
    <t>MFO Lot 2832 (LOT00002832), PP#8</t>
  </si>
  <si>
    <t>MFO Lot 2838 (LOT00002838), PP#8</t>
  </si>
  <si>
    <t>MFO Lot 2878 (LOT00002878), PP#8</t>
  </si>
  <si>
    <t>MFO Lot 2884 (LOT00002884), PP#8</t>
  </si>
  <si>
    <t>MFO Lot 2888 (LOT00002888), PP#8</t>
  </si>
  <si>
    <t>MFO Lot 2890 (LOT00002890), PP#8</t>
  </si>
  <si>
    <t>MFO Lot 2906 (LOT00002906), PP#8</t>
  </si>
  <si>
    <t>MFO Lot 2916 (LOT00002916), PP#8</t>
  </si>
  <si>
    <t>MFO Lot 2918 (LOT00002918), PP#8</t>
  </si>
  <si>
    <t>MFO Lot 2926 (LOT00002926), PP#8</t>
  </si>
  <si>
    <t>MFO Lot 2928 (LOT00002928), PP#8</t>
  </si>
  <si>
    <t>MFO Lot 2930 (LOT00002930), PP#8</t>
  </si>
  <si>
    <t>MFO Lot 2950 (LOT00002950), PP#8</t>
  </si>
  <si>
    <t>MFO Lot 2962 (LOT00002962), PP#8</t>
  </si>
  <si>
    <t>MFO Lot 2964 (LOT00002964), PP#8</t>
  </si>
  <si>
    <t>Rail_GPRX5188_7.30.2026_offload_4</t>
  </si>
  <si>
    <t>MFO Lot 2966 (LOT00002966), PP#8</t>
  </si>
  <si>
    <t>MFO Lot 2968 (LOT00002968), PP#8</t>
  </si>
  <si>
    <t>MFO Lot 3050 (LOT00003050), PP#8</t>
  </si>
  <si>
    <t>MFO Lot 3052 (LOT00003052), PP#8</t>
  </si>
  <si>
    <t>MFO Lot 3078 (LOT00003078), PP#8</t>
  </si>
  <si>
    <t>MFO Lot 3145 (LOT00003145), PP#8</t>
  </si>
  <si>
    <t>MFO Lot 3147 (LOT00003147), PP#8</t>
  </si>
  <si>
    <t>MFO Lot 3149 (LOT00003149), PP#8</t>
  </si>
  <si>
    <t>MFO Lot 3151 (LOT00003151), PP#8</t>
  </si>
  <si>
    <t>MFO Lot 3153 (LOT00003153), PP#8</t>
  </si>
  <si>
    <t>MFO Lot 3167 (LOT00003167), PP#8</t>
  </si>
  <si>
    <t>MFO Lot 3187 (LOT00003187), PP#8</t>
  </si>
  <si>
    <t>MFO Lot 3189 (LOT00003189), PP#8</t>
  </si>
  <si>
    <t>MFO Lot 3191 (LOT00003191), PP#8</t>
  </si>
  <si>
    <t>MFO Lot 3195 (LOT00003195), PP#8</t>
  </si>
  <si>
    <t>MFO Lot 3197 (LOT00003197), PP#8</t>
  </si>
  <si>
    <t>MFO Lot 3231 (LOT00003231), PP#8</t>
  </si>
  <si>
    <t>MFO Lot 3233 (LOT00003233), PP#8</t>
  </si>
  <si>
    <t>MFO Lot 3237 (LOT00003237), PP#8</t>
  </si>
  <si>
    <t>MFO Lot 3241 (LOT00003241), PP#8</t>
  </si>
  <si>
    <t>MFO Lot 3277 (LOT00003277), PP#8</t>
  </si>
  <si>
    <t>Rail_GPRX5236_7.28.2026_offload_1</t>
  </si>
  <si>
    <t>MFO Lot 3281 (LOT00003281), PP#8</t>
  </si>
  <si>
    <t>MFO Lot 3374 (LOT00003374), PP#9</t>
  </si>
  <si>
    <t>MFO Lot 3704 (LOT00003704), PP#9</t>
  </si>
  <si>
    <t>MFO Lot 3750 (LOT00003750), PP#10</t>
  </si>
  <si>
    <t>MFO Lot 4242 (LOT00004242), November 2025</t>
  </si>
  <si>
    <t>MFO Lot 4318 (LOT00004318), November 2025</t>
  </si>
  <si>
    <t>MFO Lot 4340 (LOT00004340), November 2025</t>
  </si>
  <si>
    <t>MFO Lot 4388 (LOT00004388), November 2025</t>
  </si>
  <si>
    <t>MFO Lot 4398 (LOT00004398), November 2025</t>
  </si>
  <si>
    <t>MFO Lot 4452 (LOT00004452), November 2025</t>
  </si>
  <si>
    <t>MFO Lot 4614 (LOT00004614), January 2026</t>
  </si>
  <si>
    <t>MFO Lot 4616 (LOT00004616), January 2026</t>
  </si>
  <si>
    <t>MFO Lot 4617 (LOT00004617), January 2026</t>
  </si>
  <si>
    <t>MFO Lot 4618 (LOT00004618), January 2026</t>
  </si>
  <si>
    <t>MFO Lot 4619 (LOT00004619), January 2026</t>
  </si>
  <si>
    <t>MFO Lot 4620 (LOT00004620), January 2026</t>
  </si>
  <si>
    <t>Rail_GPRX5236_7.28.2026_offload_2</t>
  </si>
  <si>
    <t>MFO Lot 4625 (LOT00004625), January 2026</t>
  </si>
  <si>
    <t>MFO Lot 4626 (LOT00004626), January 2026</t>
  </si>
  <si>
    <t>MFO Lot 4627 (LOT00004627), January 2026</t>
  </si>
  <si>
    <t>MFO Lot 4632 (LOT00004632), January 2026</t>
  </si>
  <si>
    <t>MFO Lot 4637 (LOT00004637), January 2026</t>
  </si>
  <si>
    <t>MFO Lot 4638 (LOT00004638), January 2026</t>
  </si>
  <si>
    <t>MFO Lot 4639 (LOT00004639), January 2026</t>
  </si>
  <si>
    <t>MFO Lot 4640 (LOT00004640), January 2026</t>
  </si>
  <si>
    <t>MFO Lot 4641 (LOT00004641), January 2026</t>
  </si>
  <si>
    <t>MFO Lot 4646 (LOT00004646), January 2026</t>
  </si>
  <si>
    <t>MFO Lot 4652 (LOT00004652), January 2026</t>
  </si>
  <si>
    <t>MFO Lot 4653 (LOT00004653), January 2026</t>
  </si>
  <si>
    <t>MFO Lot 4657 (LOT00004657), January 2026</t>
  </si>
  <si>
    <t>MFO Lot 4659 (LOT00004659), January 2026</t>
  </si>
  <si>
    <t>Rail_GPRX5236_7.28.2026_offload_3</t>
  </si>
  <si>
    <t>Sludge removed from tank</t>
  </si>
  <si>
    <t>kg</t>
  </si>
  <si>
    <t>Rail_GPRX5236_7.28.2026_offload_4</t>
  </si>
  <si>
    <t>SECTION 4 - ROLLUP  (Mass Used = Deliveries - Uncertainty Adj)</t>
  </si>
  <si>
    <t>Pyrolysis + Upstream Transport (BOL, kg)</t>
  </si>
  <si>
    <t>Deliveries raw / Downstream Transport (scale tickets, kg)</t>
  </si>
  <si>
    <t>Uncertainty Adj (kg)</t>
  </si>
  <si>
    <t>Mass Used (post-adj) (kg)</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</si>
</sst>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numFmt numFmtId="165" formatCode="0.000000"/>
    <numFmt numFmtId="166" formatCode="#,##0.00000"/>
    <numFmt numFmtId="167" formatCode="mmmm yyyy"/>
    <numFmt numFmtId="168" formatCode="0.0000%"/>
    <numFmt numFmtId="169" formatCode="yyyy-mm-dd"/>
    <numFmt numFmtId="170" formatCode="0.000%"/>
    <numFmt numFmtId="171" formatCode="0.0%"/>
    <numFmt numFmtId="172" formatCode="#,##0.0"/>
    <numFmt numFmtId="173" formatCode="0.0000000000"/>
    <numFmt numFmtId="174" formatCode="#,##0.000000"/>
  </numFmts>
  <fonts count="18">
    <font>
      <sz val="10.0"/>
      <color rgb="FF000000"/>
      <name val="Arial"/>
      <scheme val="minor"/>
    </font>
    <font>
      <b/>
      <sz val="11.0"/>
      <color theme="1"/>
      <name val="Arial"/>
      <scheme val="minor"/>
    </font>
    <font>
      <color theme="1"/>
      <name val="Arial"/>
      <scheme val="minor"/>
    </font>
    <font>
      <b/>
      <color theme="1"/>
      <name val="Arial"/>
      <scheme val="minor"/>
    </font>
    <font>
      <b/>
      <u/>
      <sz val="11.0"/>
      <color rgb="FF0000FF"/>
    </font>
    <font>
      <u/>
      <color rgb="FF0000FF"/>
    </font>
    <font>
      <u/>
      <color rgb="FF0000FF"/>
    </font>
    <font>
      <u/>
      <color rgb="FF0000FF"/>
    </font>
    <font>
      <u/>
      <color rgb="FF0000FF"/>
    </font>
    <font>
      <sz val="10.0"/>
      <color theme="1"/>
      <name val="Arial"/>
      <scheme val="minor"/>
    </font>
    <font>
      <u/>
      <color rgb="FF0000FF"/>
    </font>
    <font>
      <b/>
      <sz val="12.0"/>
      <color theme="1"/>
      <name val="Arial"/>
      <scheme val="minor"/>
    </font>
    <font>
      <b/>
      <color rgb="FF000000"/>
      <name val="-apple-system"/>
    </font>
    <font>
      <b/>
      <color rgb="FF000000"/>
      <name val="Arial"/>
    </font>
    <font>
      <color rgb="FF000000"/>
      <name val="-apple-system"/>
    </font>
    <font>
      <color rgb="FF1F1F1F"/>
    </font>
    <font>
      <color rgb="FF000000"/>
      <name val="Arial"/>
    </font>
    <font>
      <sz val="11.0"/>
      <color theme="1"/>
      <name val="Arial"/>
      <scheme val="minor"/>
    </font>
  </fonts>
  <fills count="6">
    <fill>
      <patternFill patternType="none"/>
    </fill>
    <fill>
      <patternFill patternType="lightGray"/>
    </fill>
    <fill>
      <patternFill patternType="solid">
        <fgColor rgb="FFD8EAD3"/>
        <bgColor rgb="FFD8EAD3"/>
      </patternFill>
    </fill>
    <fill>
      <patternFill patternType="solid">
        <fgColor rgb="FFFFFFFF"/>
        <bgColor rgb="FFFFFFFF"/>
      </patternFill>
    </fill>
    <fill>
      <patternFill patternType="solid">
        <fgColor rgb="FFD8EAF9"/>
        <bgColor rgb="FFD8EAF9"/>
      </patternFill>
    </fill>
    <fill>
      <patternFill patternType="solid">
        <fgColor rgb="FFD9EAD3"/>
        <bgColor rgb="FFD9EAD3"/>
      </patternFill>
    </fill>
  </fills>
  <borders count="2">
    <border/>
    <border>
      <left style="thin">
        <color rgb="FF2A2B2C"/>
      </left>
      <right style="thin">
        <color rgb="FF2A2B2C"/>
      </right>
      <top style="thin">
        <color rgb="FF2A2B2C"/>
      </top>
      <bottom style="thin">
        <color rgb="FF2A2B2C"/>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3" fontId="3" numFmtId="0" xfId="0" applyAlignment="1" applyFill="1" applyFont="1">
      <alignment readingOrder="0"/>
    </xf>
    <xf borderId="0" fillId="0" fontId="2" numFmtId="0" xfId="0" applyAlignment="1" applyFont="1">
      <alignment readingOrder="0"/>
    </xf>
    <xf borderId="0" fillId="0" fontId="3" numFmtId="0" xfId="0" applyFont="1"/>
    <xf borderId="0" fillId="2" fontId="1" numFmtId="0" xfId="0" applyAlignment="1" applyFill="1" applyFont="1">
      <alignment readingOrder="0"/>
    </xf>
    <xf borderId="0" fillId="0" fontId="2" numFmtId="4" xfId="0" applyFont="1" applyNumberFormat="1"/>
    <xf borderId="0" fillId="2" fontId="4" numFmtId="0" xfId="0" applyFill="1" applyFont="1"/>
    <xf borderId="0" fillId="0" fontId="5" numFmtId="0" xfId="0" applyAlignment="1" applyFont="1">
      <alignment readingOrder="0"/>
    </xf>
    <xf borderId="0" fillId="3" fontId="3" numFmtId="0" xfId="0" applyAlignment="1" applyFill="1" applyFont="1">
      <alignment horizontal="center" readingOrder="0"/>
    </xf>
    <xf borderId="0" fillId="3" fontId="2" numFmtId="4" xfId="0" applyFill="1" applyFont="1" applyNumberFormat="1"/>
    <xf borderId="0" fillId="3" fontId="3" numFmtId="0" xfId="0" applyFill="1" applyFont="1"/>
    <xf borderId="0" fillId="3" fontId="3" numFmtId="4" xfId="0" applyAlignment="1" applyFill="1" applyFont="1" applyNumberFormat="1">
      <alignment horizontal="center" readingOrder="0"/>
    </xf>
    <xf borderId="0" fillId="4" fontId="3" numFmtId="4" xfId="0" applyAlignment="1" applyFill="1" applyFont="1" applyNumberFormat="1">
      <alignment horizontal="center" readingOrder="0"/>
    </xf>
    <xf borderId="0" fillId="0" fontId="6" numFmtId="0" xfId="0" applyFont="1"/>
    <xf borderId="0" fillId="3" fontId="3" numFmtId="4" xfId="0" applyAlignment="1" applyFill="1" applyFont="1" applyNumberFormat="1">
      <alignment readingOrder="0"/>
    </xf>
    <xf borderId="0" fillId="4" fontId="3" numFmtId="0" xfId="0" applyAlignment="1" applyFill="1" applyFont="1">
      <alignment readingOrder="0"/>
    </xf>
    <xf borderId="0" fillId="3" fontId="3" numFmtId="2" xfId="0" applyAlignment="1" applyFill="1" applyFont="1" applyNumberFormat="1">
      <alignment readingOrder="0"/>
    </xf>
    <xf borderId="0" fillId="0" fontId="3" numFmtId="0" xfId="0" applyAlignment="1" applyFont="1">
      <alignment readingOrder="0"/>
    </xf>
    <xf borderId="0" fillId="3" fontId="2" numFmtId="0" xfId="0" applyAlignment="1" applyFill="1" applyFont="1">
      <alignment readingOrder="0"/>
    </xf>
    <xf borderId="0" fillId="3" fontId="2" numFmtId="164" xfId="0" applyAlignment="1" applyFill="1" applyFont="1" applyNumberFormat="1">
      <alignment readingOrder="0"/>
    </xf>
    <xf borderId="0" fillId="3" fontId="2" numFmtId="1" xfId="0" applyAlignment="1" applyFill="1" applyFont="1" applyNumberFormat="1">
      <alignment horizontal="right" readingOrder="0"/>
    </xf>
    <xf borderId="0" fillId="0" fontId="2" numFmtId="164" xfId="0" applyAlignment="1" applyFont="1" applyNumberFormat="1">
      <alignment readingOrder="0"/>
    </xf>
    <xf borderId="0" fillId="3" fontId="2" numFmtId="4" xfId="0" applyAlignment="1" applyFill="1" applyFont="1" applyNumberFormat="1">
      <alignment readingOrder="0"/>
    </xf>
    <xf borderId="0" fillId="0" fontId="7" numFmtId="164" xfId="0" applyFont="1" applyNumberFormat="1"/>
    <xf borderId="0" fillId="4" fontId="2" numFmtId="4" xfId="0" applyAlignment="1" applyFill="1" applyFont="1" applyNumberFormat="1">
      <alignment readingOrder="0"/>
    </xf>
    <xf borderId="0" fillId="4" fontId="2" numFmtId="4" xfId="0" applyFill="1" applyFont="1" applyNumberFormat="1"/>
    <xf borderId="0" fillId="3" fontId="2" numFmtId="49" xfId="0" applyAlignment="1" applyFill="1" applyFont="1" applyNumberFormat="1">
      <alignment readingOrder="0"/>
    </xf>
    <xf borderId="0" fillId="3" fontId="2" numFmtId="4" xfId="0" applyFill="1" applyFont="1" applyNumberFormat="1"/>
    <xf borderId="0" fillId="0" fontId="2" numFmtId="2" xfId="0" applyAlignment="1" applyFont="1" applyNumberFormat="1">
      <alignment readingOrder="0"/>
    </xf>
    <xf borderId="0" fillId="3" fontId="2" numFmtId="165" xfId="0" applyAlignment="1" applyFill="1" applyFont="1" applyNumberFormat="1">
      <alignment readingOrder="0"/>
    </xf>
    <xf borderId="0" fillId="0" fontId="2" numFmtId="4" xfId="0" applyAlignment="1" applyFont="1" applyNumberFormat="1">
      <alignment readingOrder="0"/>
    </xf>
    <xf borderId="0" fillId="3" fontId="2" numFmtId="4" xfId="0" applyAlignment="1" applyFill="1" applyFont="1" applyNumberFormat="1">
      <alignment readingOrder="0"/>
    </xf>
    <xf borderId="0" fillId="0" fontId="2" numFmtId="0" xfId="0" applyFont="1"/>
    <xf borderId="0" fillId="4" fontId="2" numFmtId="4" xfId="0" applyFill="1" applyFont="1" applyNumberFormat="1"/>
    <xf borderId="0" fillId="3" fontId="2" numFmtId="0" xfId="0" applyAlignment="1" applyFill="1" applyFont="1">
      <alignment readingOrder="0"/>
    </xf>
    <xf borderId="0" fillId="4" fontId="2" numFmtId="166" xfId="0" applyFill="1" applyFont="1" applyNumberFormat="1"/>
    <xf borderId="0" fillId="3" fontId="2" numFmtId="4" xfId="0" applyAlignment="1" applyFill="1" applyFont="1" applyNumberFormat="1">
      <alignment readingOrder="0" shrinkToFit="0" wrapText="1"/>
    </xf>
    <xf borderId="0" fillId="0" fontId="2" numFmtId="167" xfId="0" applyAlignment="1" applyFont="1" applyNumberFormat="1">
      <alignment readingOrder="0"/>
    </xf>
    <xf borderId="0" fillId="3" fontId="2" numFmtId="0" xfId="0" applyAlignment="1" applyFill="1" applyFont="1">
      <alignment readingOrder="0" shrinkToFit="0" wrapText="1"/>
    </xf>
    <xf borderId="0" fillId="3" fontId="2" numFmtId="0" xfId="0" applyFill="1" applyFont="1"/>
    <xf borderId="0" fillId="3" fontId="2" numFmtId="4" xfId="0" applyFill="1" applyFont="1" applyNumberFormat="1"/>
    <xf borderId="0" fillId="0" fontId="2" numFmtId="164" xfId="0" applyFont="1" applyNumberFormat="1"/>
    <xf borderId="0" fillId="3" fontId="8" numFmtId="0" xfId="0" applyAlignment="1" applyFill="1" applyFont="1">
      <alignment readingOrder="0"/>
    </xf>
    <xf borderId="0" fillId="4" fontId="2" numFmtId="4" xfId="0" applyAlignment="1" applyFill="1" applyFont="1" applyNumberFormat="1">
      <alignment readingOrder="0"/>
    </xf>
    <xf borderId="0" fillId="4" fontId="2" numFmtId="4" xfId="0" applyFill="1" applyFont="1" applyNumberFormat="1"/>
    <xf borderId="0" fillId="0" fontId="3" numFmtId="4" xfId="0" applyAlignment="1" applyFont="1" applyNumberFormat="1">
      <alignment readingOrder="0"/>
    </xf>
    <xf borderId="0" fillId="0" fontId="2" numFmtId="4" xfId="0" applyFont="1" applyNumberFormat="1"/>
    <xf borderId="0" fillId="0" fontId="2" numFmtId="2" xfId="0" applyFont="1" applyNumberFormat="1"/>
    <xf borderId="0" fillId="3" fontId="9" numFmtId="164" xfId="0" applyAlignment="1" applyFill="1" applyFont="1" applyNumberFormat="1">
      <alignment readingOrder="0"/>
    </xf>
    <xf borderId="0" fillId="3" fontId="9" numFmtId="0" xfId="0" applyAlignment="1" applyFill="1" applyFont="1">
      <alignment readingOrder="0"/>
    </xf>
    <xf borderId="0" fillId="4" fontId="9" numFmtId="4" xfId="0" applyAlignment="1" applyFill="1" applyFont="1" applyNumberFormat="1">
      <alignment readingOrder="0"/>
    </xf>
    <xf borderId="0" fillId="0" fontId="1" numFmtId="0" xfId="0" applyAlignment="1" applyFont="1">
      <alignment readingOrder="0"/>
    </xf>
    <xf borderId="0" fillId="0" fontId="1" numFmtId="0" xfId="0" applyFont="1"/>
    <xf borderId="0" fillId="3" fontId="2" numFmtId="2" xfId="0" applyAlignment="1" applyFill="1" applyFont="1" applyNumberFormat="1">
      <alignment readingOrder="0"/>
    </xf>
    <xf borderId="0" fillId="0" fontId="3" numFmtId="3" xfId="0" applyFont="1" applyNumberFormat="1"/>
    <xf borderId="0" fillId="0" fontId="2" numFmtId="10" xfId="0" applyAlignment="1" applyFont="1" applyNumberFormat="1">
      <alignment readingOrder="0"/>
    </xf>
    <xf borderId="0" fillId="0" fontId="2" numFmtId="10" xfId="0" applyAlignment="1" applyFont="1" applyNumberFormat="1">
      <alignment readingOrder="0"/>
    </xf>
    <xf borderId="0" fillId="0" fontId="2" numFmtId="168" xfId="0" applyAlignment="1" applyFont="1" applyNumberFormat="1">
      <alignment readingOrder="0"/>
    </xf>
    <xf borderId="0" fillId="5" fontId="2" numFmtId="0" xfId="0" applyAlignment="1" applyFill="1" applyFont="1">
      <alignment readingOrder="0"/>
    </xf>
    <xf borderId="0" fillId="5" fontId="2" numFmtId="4" xfId="0" applyAlignment="1" applyFill="1" applyFont="1" applyNumberFormat="1">
      <alignment readingOrder="0"/>
    </xf>
    <xf borderId="0" fillId="5" fontId="2" numFmtId="4" xfId="0" applyAlignment="1" applyFill="1" applyFont="1" applyNumberFormat="1">
      <alignment readingOrder="0"/>
    </xf>
    <xf borderId="0" fillId="5" fontId="2" numFmtId="2" xfId="0" applyAlignment="1" applyFill="1" applyFont="1" applyNumberFormat="1">
      <alignment readingOrder="0"/>
    </xf>
    <xf borderId="0" fillId="5" fontId="2" numFmtId="4" xfId="0" applyFill="1" applyFont="1" applyNumberFormat="1"/>
    <xf borderId="0" fillId="3" fontId="2" numFmtId="165" xfId="0" applyFill="1" applyFont="1" applyNumberFormat="1"/>
    <xf borderId="0" fillId="2" fontId="1" numFmtId="4" xfId="0" applyFill="1" applyFont="1" applyNumberFormat="1"/>
    <xf borderId="0" fillId="5" fontId="2" numFmtId="10" xfId="0" applyAlignment="1" applyFill="1" applyFont="1" applyNumberFormat="1">
      <alignment readingOrder="0"/>
    </xf>
    <xf borderId="0" fillId="4" fontId="2" numFmtId="0" xfId="0" applyFill="1" applyFont="1"/>
    <xf borderId="0" fillId="5" fontId="2" numFmtId="0" xfId="0" applyFill="1" applyFont="1"/>
    <xf borderId="0" fillId="2" fontId="1" numFmtId="2" xfId="0" applyFill="1" applyFont="1" applyNumberFormat="1"/>
    <xf borderId="0" fillId="0" fontId="3" numFmtId="2" xfId="0" applyAlignment="1" applyFont="1" applyNumberFormat="1">
      <alignment readingOrder="0"/>
    </xf>
    <xf borderId="0" fillId="0" fontId="10" numFmtId="168" xfId="0" applyAlignment="1" applyFont="1" applyNumberFormat="1">
      <alignment readingOrder="0"/>
    </xf>
    <xf borderId="0" fillId="0" fontId="2" numFmtId="49" xfId="0" applyFont="1" applyNumberFormat="1"/>
    <xf borderId="0" fillId="0" fontId="2" numFmtId="165" xfId="0" applyFont="1" applyNumberFormat="1"/>
    <xf borderId="0" fillId="0" fontId="2" numFmtId="10" xfId="0" applyFont="1" applyNumberFormat="1"/>
    <xf borderId="0" fillId="0" fontId="2" numFmtId="166" xfId="0" applyFont="1" applyNumberFormat="1"/>
    <xf borderId="0" fillId="0" fontId="3" numFmtId="168" xfId="0" applyFont="1" applyNumberFormat="1"/>
    <xf borderId="0" fillId="0" fontId="11" numFmtId="0" xfId="0" applyAlignment="1" applyFont="1">
      <alignment readingOrder="0"/>
    </xf>
    <xf borderId="0" fillId="0" fontId="11" numFmtId="0" xfId="0" applyFont="1"/>
    <xf borderId="0" fillId="3" fontId="12" numFmtId="0" xfId="0" applyAlignment="1" applyFill="1" applyFont="1">
      <alignment horizontal="center" vertical="bottom"/>
    </xf>
    <xf borderId="0" fillId="3" fontId="13" numFmtId="0" xfId="0" applyAlignment="1" applyFill="1" applyFont="1">
      <alignment horizontal="center" readingOrder="0" vertical="bottom"/>
    </xf>
    <xf borderId="0" fillId="2" fontId="3" numFmtId="0" xfId="0" applyAlignment="1" applyFill="1" applyFont="1">
      <alignment readingOrder="0"/>
    </xf>
    <xf borderId="0" fillId="2" fontId="3" numFmtId="0" xfId="0" applyFill="1" applyFont="1"/>
    <xf borderId="1" fillId="3" fontId="12" numFmtId="0" xfId="0" applyAlignment="1" applyBorder="1" applyFill="1" applyFont="1">
      <alignment horizontal="center" readingOrder="0" vertical="bottom"/>
    </xf>
    <xf borderId="1" fillId="3" fontId="13" numFmtId="0" xfId="0" applyAlignment="1" applyBorder="1" applyFill="1" applyFont="1">
      <alignment horizontal="center" readingOrder="0" vertical="bottom"/>
    </xf>
    <xf borderId="0" fillId="0" fontId="2" numFmtId="169" xfId="0" applyAlignment="1" applyFont="1" applyNumberFormat="1">
      <alignment readingOrder="0"/>
    </xf>
    <xf borderId="1" fillId="5" fontId="14" numFmtId="1" xfId="0" applyAlignment="1" applyBorder="1" applyFill="1" applyFont="1" applyNumberFormat="1">
      <alignment horizontal="right" readingOrder="0" vertical="bottom"/>
    </xf>
    <xf borderId="0" fillId="0" fontId="15" numFmtId="170" xfId="0" applyAlignment="1" applyFont="1" applyNumberFormat="1">
      <alignment readingOrder="0"/>
    </xf>
    <xf borderId="1" fillId="0" fontId="14" numFmtId="4" xfId="0" applyAlignment="1" applyBorder="1" applyFont="1" applyNumberFormat="1">
      <alignment horizontal="right" readingOrder="0" vertical="bottom"/>
    </xf>
    <xf borderId="1" fillId="0" fontId="16" numFmtId="4" xfId="0" applyAlignment="1" applyBorder="1" applyFont="1" applyNumberFormat="1">
      <alignment horizontal="right" readingOrder="0" vertical="bottom"/>
    </xf>
    <xf borderId="0" fillId="0" fontId="2" numFmtId="171" xfId="0" applyFont="1" applyNumberFormat="1"/>
    <xf borderId="1" fillId="0" fontId="14" numFmtId="4" xfId="0" applyAlignment="1" applyBorder="1" applyFont="1" applyNumberFormat="1">
      <alignment horizontal="right" vertical="bottom"/>
    </xf>
    <xf borderId="0" fillId="0" fontId="2" numFmtId="168" xfId="0" applyFont="1" applyNumberFormat="1"/>
    <xf borderId="0" fillId="0" fontId="2" numFmtId="172" xfId="0" applyFont="1" applyNumberFormat="1"/>
    <xf borderId="1" fillId="4" fontId="14" numFmtId="4" xfId="0" applyAlignment="1" applyBorder="1" applyFill="1" applyFont="1" applyNumberFormat="1">
      <alignment horizontal="right" readingOrder="0" vertical="bottom"/>
    </xf>
    <xf borderId="0" fillId="0" fontId="3" numFmtId="169" xfId="0" applyAlignment="1" applyFont="1" applyNumberFormat="1">
      <alignment readingOrder="0"/>
    </xf>
    <xf borderId="0" fillId="0" fontId="3" numFmtId="171" xfId="0" applyFont="1" applyNumberFormat="1"/>
    <xf borderId="0" fillId="0" fontId="2" numFmtId="173" xfId="0" applyAlignment="1" applyFont="1" applyNumberFormat="1">
      <alignment readingOrder="0"/>
    </xf>
    <xf borderId="0" fillId="0" fontId="3" numFmtId="172" xfId="0" applyFont="1" applyNumberFormat="1"/>
    <xf borderId="1" fillId="4" fontId="16" numFmtId="4" xfId="0" applyAlignment="1" applyBorder="1" applyFill="1" applyFont="1" applyNumberFormat="1">
      <alignment horizontal="right" readingOrder="0" vertical="bottom"/>
    </xf>
    <xf borderId="0" fillId="3" fontId="2" numFmtId="10" xfId="0" applyAlignment="1" applyFill="1" applyFont="1" applyNumberFormat="1">
      <alignment readingOrder="0"/>
    </xf>
    <xf borderId="0" fillId="0" fontId="3" numFmtId="169" xfId="0" applyAlignment="1" applyFont="1" applyNumberFormat="1">
      <alignment readingOrder="0"/>
    </xf>
    <xf borderId="0" fillId="0" fontId="3" numFmtId="167" xfId="0" applyAlignment="1" applyFont="1" applyNumberFormat="1">
      <alignment readingOrder="0"/>
    </xf>
    <xf borderId="0" fillId="0" fontId="2" numFmtId="169" xfId="0" applyAlignment="1" applyFont="1" applyNumberFormat="1">
      <alignment readingOrder="0"/>
    </xf>
    <xf borderId="0" fillId="0" fontId="2" numFmtId="10" xfId="0" applyFont="1" applyNumberFormat="1"/>
    <xf borderId="0" fillId="0" fontId="3" numFmtId="10" xfId="0" applyFont="1" applyNumberFormat="1"/>
    <xf borderId="0" fillId="0" fontId="3" numFmtId="4" xfId="0" applyFont="1" applyNumberFormat="1"/>
    <xf borderId="0" fillId="0" fontId="2" numFmtId="3" xfId="0" applyFont="1" applyNumberFormat="1"/>
    <xf borderId="0" fillId="0" fontId="9" numFmtId="0" xfId="0" applyAlignment="1" applyFont="1">
      <alignment readingOrder="0"/>
    </xf>
    <xf borderId="0" fillId="0" fontId="17" numFmtId="173" xfId="0" applyAlignment="1" applyFont="1" applyNumberFormat="1">
      <alignment readingOrder="0"/>
    </xf>
    <xf borderId="1" fillId="5" fontId="16" numFmtId="0" xfId="0" applyAlignment="1" applyBorder="1" applyFill="1" applyFont="1">
      <alignment horizontal="right" readingOrder="0" vertical="bottom"/>
    </xf>
    <xf borderId="1" fillId="0" fontId="14" numFmtId="1" xfId="0" applyAlignment="1" applyBorder="1" applyFont="1" applyNumberFormat="1">
      <alignment horizontal="right" readingOrder="0" vertical="bottom"/>
    </xf>
    <xf borderId="1" fillId="0" fontId="16" numFmtId="1" xfId="0" applyAlignment="1" applyBorder="1" applyFont="1" applyNumberFormat="1">
      <alignment horizontal="right" readingOrder="0" vertical="bottom"/>
    </xf>
    <xf borderId="1" fillId="0" fontId="14" numFmtId="0" xfId="0" applyAlignment="1" applyBorder="1" applyFont="1">
      <alignment horizontal="right" readingOrder="0" vertical="bottom"/>
    </xf>
    <xf borderId="0" fillId="0" fontId="3" numFmtId="4" xfId="0" applyAlignment="1" applyFont="1" applyNumberFormat="1">
      <alignment readingOrder="0"/>
    </xf>
    <xf borderId="0" fillId="0" fontId="3" numFmtId="4" xfId="0" applyFont="1" applyNumberFormat="1"/>
    <xf borderId="0" fillId="0" fontId="3" numFmtId="174" xfId="0" applyAlignment="1" applyFont="1" applyNumberFormat="1">
      <alignment readingOrder="0"/>
    </xf>
    <xf borderId="0" fillId="0" fontId="3" numFmtId="2" xfId="0" applyFont="1" applyNumberFormat="1"/>
    <xf borderId="0" fillId="0" fontId="2" numFmtId="1" xfId="0" applyAlignment="1" applyFont="1" applyNumberFormat="1">
      <alignment readingOrder="0"/>
    </xf>
    <xf borderId="0" fillId="3" fontId="2" numFmtId="4" xfId="0" applyAlignment="1" applyFill="1" applyFont="1" applyNumberFormat="1">
      <alignment readingOrder="0"/>
    </xf>
    <xf borderId="0" fillId="4" fontId="2" numFmtId="2" xfId="0" applyFill="1" applyFont="1" applyNumberFormat="1"/>
    <xf borderId="0" fillId="4" fontId="2" numFmtId="0" xfId="0" applyAlignment="1" applyFill="1" applyFont="1">
      <alignment readingOrder="0"/>
    </xf>
    <xf borderId="0" fillId="3" fontId="2" numFmtId="2" xfId="0" applyFill="1" applyFont="1" applyNumberFormat="1"/>
    <xf borderId="0" fillId="4" fontId="2" numFmtId="2" xfId="0" applyAlignment="1" applyFill="1" applyFont="1" applyNumberFormat="1">
      <alignment readingOrder="0"/>
    </xf>
    <xf borderId="0" fillId="4" fontId="2" numFmtId="2" xfId="0" applyAlignment="1" applyFill="1" applyFont="1" applyNumberFormat="1">
      <alignment readingOrder="0"/>
    </xf>
    <xf borderId="0" fillId="3" fontId="2" numFmtId="2" xfId="0" applyAlignment="1" applyFill="1" applyFont="1" applyNumberFormat="1">
      <alignment readingOrder="0"/>
    </xf>
    <xf borderId="0" fillId="4" fontId="2" numFmtId="2" xfId="0" applyFill="1" applyFont="1" applyNumberFormat="1"/>
    <xf borderId="0" fillId="4" fontId="2" numFmtId="0" xfId="0" applyAlignment="1" applyFill="1" applyFont="1">
      <alignment readingOrder="0"/>
    </xf>
    <xf borderId="0" fillId="5" fontId="3" numFmtId="0" xfId="0" applyAlignment="1" applyFill="1" applyFont="1">
      <alignment readingOrder="0"/>
    </xf>
    <xf borderId="0" fillId="5"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22.75"/>
    <col customWidth="1" min="3" max="3" width="23.38"/>
    <col customWidth="1" min="4" max="4" width="21.25"/>
    <col customWidth="1" min="5" max="5" width="18.13"/>
    <col customWidth="1" min="6" max="6" width="16.0"/>
    <col customWidth="1" min="7" max="7" width="11.38"/>
    <col customWidth="1" min="8" max="8" width="19.63"/>
    <col customWidth="1" min="9" max="9" width="15.13"/>
    <col customWidth="1" min="10" max="10" width="17.63"/>
    <col customWidth="1" min="11" max="11" width="12.0"/>
    <col customWidth="1" min="12" max="14" width="17.63"/>
  </cols>
  <sheetData>
    <row r="1">
      <c r="A1" s="1" t="s">
        <v>0</v>
      </c>
      <c r="B1" s="2"/>
      <c r="C1" s="2"/>
      <c r="D1" s="2"/>
      <c r="E1" s="2"/>
      <c r="F1" s="2"/>
      <c r="G1" s="2"/>
      <c r="H1" s="2"/>
      <c r="I1" s="2"/>
      <c r="J1" s="2"/>
      <c r="K1" s="2"/>
      <c r="L1" s="2"/>
      <c r="M1" s="2"/>
      <c r="N1" s="2"/>
    </row>
    <row r="2">
      <c r="A2" s="3" t="s">
        <v>3</v>
      </c>
      <c r="B2" s="3" t="s">
        <v>4</v>
      </c>
    </row>
    <row r="3">
      <c r="A3" s="3" t="s">
        <v>5</v>
      </c>
      <c r="B3" s="4">
        <v>46256.0</v>
      </c>
    </row>
    <row r="4">
      <c r="A4" s="3" t="s">
        <v>6</v>
      </c>
      <c r="B4" s="4">
        <v>46263.0</v>
      </c>
    </row>
    <row r="6">
      <c r="A6" s="1" t="s">
        <v>7</v>
      </c>
      <c r="B6" s="2"/>
      <c r="C6" s="2"/>
      <c r="D6" s="2"/>
      <c r="E6" s="2"/>
      <c r="F6" s="2"/>
      <c r="G6" s="2"/>
      <c r="H6" s="2"/>
      <c r="I6" s="2"/>
      <c r="J6" s="2"/>
      <c r="K6" s="2"/>
      <c r="L6" s="2"/>
      <c r="M6" s="2"/>
      <c r="N6" s="2"/>
    </row>
    <row r="7">
      <c r="A7" s="5" t="s">
        <v>9</v>
      </c>
      <c r="B7" s="5" t="s">
        <v>10</v>
      </c>
      <c r="C7" s="5" t="s">
        <v>11</v>
      </c>
      <c r="D7" s="6" t="s">
        <v>13</v>
      </c>
      <c r="E7" s="5" t="s">
        <v>15</v>
      </c>
      <c r="F7" s="6" t="s">
        <v>16</v>
      </c>
      <c r="G7" s="5" t="s">
        <v>17</v>
      </c>
      <c r="H7" s="5" t="s">
        <v>18</v>
      </c>
      <c r="I7" s="5" t="s">
        <v>20</v>
      </c>
      <c r="J7" s="5" t="s">
        <v>21</v>
      </c>
      <c r="K7" s="5"/>
      <c r="L7" s="8"/>
      <c r="M7" s="8"/>
      <c r="N7" s="8"/>
    </row>
    <row r="8">
      <c r="A8" s="3" t="s">
        <v>23</v>
      </c>
      <c r="B8" s="10">
        <f>'AECN Rail'!B65</f>
        <v>155545.7686</v>
      </c>
      <c r="C8" s="10">
        <f>'AECN Rail'!C65</f>
        <v>81.028</v>
      </c>
      <c r="D8" s="14">
        <f>'AECN Rail'!D65</f>
        <v>155464.7406</v>
      </c>
      <c r="E8" s="10">
        <f>'AECN Rail'!E65</f>
        <v>2005.495154</v>
      </c>
      <c r="F8" s="14">
        <f>'AECN Rail'!F65</f>
        <v>299.2455287</v>
      </c>
      <c r="G8" s="10">
        <f>'AECN Rail'!G65</f>
        <v>153160</v>
      </c>
      <c r="H8" s="10">
        <f>SUM('AECN Rail'!L39:L60)</f>
        <v>644.3986374</v>
      </c>
      <c r="I8" s="10">
        <f>SUM('AECN Rail'!M39:M60)</f>
        <v>4398</v>
      </c>
      <c r="J8" s="10">
        <f>SUM('AECN Rail'!N39:N60)</f>
        <v>686.4</v>
      </c>
    </row>
    <row r="9">
      <c r="A9" s="3" t="s">
        <v>74</v>
      </c>
      <c r="B9" s="10">
        <f>'AECN Truck'!A28</f>
        <v>158850</v>
      </c>
      <c r="C9" s="10">
        <f>'AECN Truck'!E28</f>
        <v>0</v>
      </c>
      <c r="D9" s="14">
        <f>'AECN Truck'!B28</f>
        <v>158850</v>
      </c>
      <c r="E9" s="10">
        <f>'AECN Truck'!C28</f>
        <v>2049.165</v>
      </c>
      <c r="F9" s="14">
        <f>'AECN Truck'!D28</f>
        <v>305.7616283</v>
      </c>
      <c r="G9" s="10">
        <f>'AECN Truck'!F28</f>
        <v>156495.0734</v>
      </c>
    </row>
    <row r="10">
      <c r="A10" s="3" t="s">
        <v>76</v>
      </c>
      <c r="B10" s="10">
        <f>WODO!A34</f>
        <v>20554</v>
      </c>
      <c r="C10" s="35">
        <v>0.0</v>
      </c>
      <c r="D10" s="36">
        <f>WODO!B34</f>
        <v>19517.2</v>
      </c>
      <c r="E10" s="10">
        <f>WODO!C34</f>
        <v>141.12</v>
      </c>
      <c r="F10" s="36">
        <v>0.0</v>
      </c>
      <c r="G10" s="10">
        <f>WODO!D34</f>
        <v>19376.08</v>
      </c>
    </row>
    <row r="11">
      <c r="A11" s="3" t="s">
        <v>78</v>
      </c>
      <c r="B11" s="10">
        <f>Kerry!A22</f>
        <v>0</v>
      </c>
      <c r="C11" s="35">
        <v>0.0</v>
      </c>
      <c r="D11" s="36">
        <f>Kerry!A22</f>
        <v>0</v>
      </c>
      <c r="E11" s="35">
        <v>0.0</v>
      </c>
      <c r="F11" s="36">
        <f>Kerry!B22</f>
        <v>0</v>
      </c>
      <c r="G11" s="37">
        <f>Kerry!C22</f>
        <v>0</v>
      </c>
    </row>
    <row r="12">
      <c r="A12" s="3" t="s">
        <v>83</v>
      </c>
      <c r="B12" s="35">
        <f>QOWV!B91</f>
        <v>81961</v>
      </c>
      <c r="C12" s="35">
        <v>0.0</v>
      </c>
      <c r="D12" s="36">
        <f>QOWV!D91</f>
        <v>77309.9</v>
      </c>
      <c r="E12" s="35">
        <v>0.0</v>
      </c>
      <c r="F12" s="36">
        <v>0.0</v>
      </c>
      <c r="G12" s="10">
        <f>QOWV!F91</f>
        <v>66060.68</v>
      </c>
      <c r="I12" s="5"/>
      <c r="J12" s="8"/>
      <c r="L12" s="8"/>
      <c r="M12" s="8"/>
      <c r="N12" s="8"/>
    </row>
    <row r="13">
      <c r="A13" s="3" t="s">
        <v>86</v>
      </c>
      <c r="B13" s="10">
        <f t="shared" ref="B13:J13" si="1">SUM(B8:B12)</f>
        <v>416910.7686</v>
      </c>
      <c r="C13" s="10">
        <f t="shared" si="1"/>
        <v>81.028</v>
      </c>
      <c r="D13" s="10">
        <f t="shared" si="1"/>
        <v>411141.8406</v>
      </c>
      <c r="E13" s="10">
        <f t="shared" si="1"/>
        <v>4195.780154</v>
      </c>
      <c r="F13" s="10">
        <f t="shared" si="1"/>
        <v>605.0071569</v>
      </c>
      <c r="G13" s="10">
        <f t="shared" si="1"/>
        <v>395091.8333</v>
      </c>
      <c r="H13" s="10">
        <f t="shared" si="1"/>
        <v>644.3986374</v>
      </c>
      <c r="I13" s="10">
        <f t="shared" si="1"/>
        <v>4398</v>
      </c>
      <c r="J13" s="10">
        <f t="shared" si="1"/>
        <v>686.4</v>
      </c>
    </row>
    <row r="14">
      <c r="A14" s="1"/>
      <c r="B14" s="2"/>
      <c r="C14" s="2"/>
      <c r="D14" s="2"/>
      <c r="E14" s="2"/>
      <c r="F14" s="2"/>
      <c r="G14" s="2"/>
      <c r="H14" s="2"/>
      <c r="I14" s="2"/>
      <c r="J14" s="2"/>
      <c r="K14" s="2"/>
      <c r="L14" s="2"/>
      <c r="M14" s="2"/>
      <c r="N14" s="2"/>
    </row>
    <row r="15">
      <c r="A15" s="5" t="s">
        <v>93</v>
      </c>
      <c r="B15" s="5"/>
      <c r="C15" s="5"/>
      <c r="D15" s="5"/>
      <c r="E15" s="5"/>
      <c r="F15" s="5"/>
      <c r="G15" s="5"/>
      <c r="H15" s="8"/>
      <c r="I15" s="8"/>
      <c r="J15" s="8"/>
      <c r="K15" s="8"/>
      <c r="L15" s="8"/>
      <c r="M15" s="8"/>
    </row>
    <row r="16">
      <c r="A16" s="5" t="s">
        <v>95</v>
      </c>
      <c r="B16" s="50" t="s">
        <v>96</v>
      </c>
      <c r="C16" s="5" t="s">
        <v>97</v>
      </c>
      <c r="D16" s="5" t="s">
        <v>98</v>
      </c>
      <c r="E16" s="5" t="s">
        <v>99</v>
      </c>
      <c r="F16" s="5" t="s">
        <v>100</v>
      </c>
      <c r="G16" s="3" t="s">
        <v>101</v>
      </c>
      <c r="H16" s="3" t="s">
        <v>102</v>
      </c>
      <c r="I16" s="3" t="s">
        <v>103</v>
      </c>
      <c r="J16" s="3" t="s">
        <v>104</v>
      </c>
    </row>
    <row r="17">
      <c r="A17" s="3" t="s">
        <v>105</v>
      </c>
      <c r="B17" s="10">
        <f>SUM('AECN Rail'!I10:I15)+'AECN Truck'!A28</f>
        <v>314395.7686</v>
      </c>
      <c r="C17" s="51">
        <f>'AECN Rail'!B65</f>
        <v>155545.7686</v>
      </c>
      <c r="D17" s="10">
        <f>SUM('AECN Rail'!I10:I15)+'AECN Truck'!A28</f>
        <v>314395.7686</v>
      </c>
      <c r="E17" s="10">
        <f>'AECN Rail'!G65+'AECN Truck'!F28</f>
        <v>309655.0733</v>
      </c>
      <c r="F17" s="3" t="s">
        <v>111</v>
      </c>
      <c r="G17" s="61">
        <v>0.385</v>
      </c>
      <c r="H17" s="18" t="str">
        <f>HYPERLINK("https://drive.google.com/file/d/1AcpLB0UiP-Hw0g2CEbIgGD-e0-Xur_vi/view","COA SR26-05208.001 (reissued 2026-09-04)")</f>
        <v>COA SR26-05208.001 (reissued 2026-09-04)</v>
      </c>
      <c r="I17" s="62">
        <f t="shared" ref="I17:I20" si="2">G17*J17</f>
        <v>0.00154</v>
      </c>
      <c r="J17" s="61">
        <v>0.004</v>
      </c>
    </row>
    <row r="18">
      <c r="A18" s="3" t="s">
        <v>116</v>
      </c>
      <c r="B18" s="10">
        <f>WODO!A34</f>
        <v>20554</v>
      </c>
      <c r="D18" s="10">
        <f>WODO!B34</f>
        <v>19517.2</v>
      </c>
      <c r="E18" s="10">
        <f>WODO!D34</f>
        <v>19376.08</v>
      </c>
      <c r="F18" s="3" t="s">
        <v>126</v>
      </c>
      <c r="G18" s="61">
        <v>0.554</v>
      </c>
      <c r="H18" s="75" t="str">
        <f>HYPERLINK("https://drive.google.com/file/d/1s1HRex54JkWAtwQy7Y6EUWRYwzHQ7_7h/view","COA SR26-05246.001")</f>
        <v>COA SR26-05246.001</v>
      </c>
      <c r="I18" s="62">
        <f t="shared" si="2"/>
        <v>0.002216</v>
      </c>
      <c r="J18" s="61">
        <v>0.004</v>
      </c>
    </row>
    <row r="19">
      <c r="A19" s="3" t="s">
        <v>78</v>
      </c>
      <c r="B19" s="10">
        <f>Kerry!A22</f>
        <v>0</v>
      </c>
      <c r="D19" s="78">
        <f>Kerry!A22</f>
        <v>0</v>
      </c>
      <c r="E19" s="37">
        <f>Kerry!C22</f>
        <v>0</v>
      </c>
      <c r="G19" s="61"/>
      <c r="H19" s="80"/>
      <c r="I19" s="80">
        <f t="shared" si="2"/>
        <v>0</v>
      </c>
      <c r="J19" s="61">
        <v>0.004</v>
      </c>
    </row>
    <row r="20">
      <c r="A20" s="3" t="s">
        <v>83</v>
      </c>
      <c r="B20" s="10">
        <f>QOWV!B91</f>
        <v>81961</v>
      </c>
      <c r="D20" s="10">
        <f>QOWV!D91</f>
        <v>77309.9</v>
      </c>
      <c r="E20" s="10">
        <f>QOWV!F91</f>
        <v>66060.68</v>
      </c>
      <c r="F20" s="3" t="s">
        <v>139</v>
      </c>
      <c r="G20" s="61">
        <v>0.124</v>
      </c>
      <c r="H20" s="75" t="str">
        <f>HYPERLINK("https://drive.google.com/file/d/1AcpLB0UiP-Hw0g2CEbIgGD-e0-Xur_vi/view","COA SR26-05208.002 (reissued 2026-09-04)")</f>
        <v>COA SR26-05208.002 (reissued 2026-09-04)</v>
      </c>
      <c r="I20" s="62">
        <f t="shared" si="2"/>
        <v>0.000496</v>
      </c>
      <c r="J20" s="61">
        <v>0.004</v>
      </c>
      <c r="K20" s="8"/>
      <c r="L20" s="8"/>
    </row>
    <row r="21">
      <c r="A21" s="3" t="s">
        <v>86</v>
      </c>
      <c r="B21" s="10">
        <f t="shared" ref="B21:E21" si="3">SUM(B17:B20)</f>
        <v>416910.7686</v>
      </c>
      <c r="C21" s="51">
        <f t="shared" si="3"/>
        <v>155545.7686</v>
      </c>
      <c r="D21" s="51">
        <f t="shared" si="3"/>
        <v>411222.8686</v>
      </c>
      <c r="E21" s="10">
        <f t="shared" si="3"/>
        <v>395091.8333</v>
      </c>
      <c r="F21" s="62"/>
    </row>
    <row r="22">
      <c r="A22" s="1"/>
      <c r="B22" s="2"/>
      <c r="C22" s="2"/>
      <c r="D22" s="2"/>
      <c r="E22" s="2"/>
      <c r="F22" s="2"/>
      <c r="G22" s="2"/>
      <c r="H22" s="2"/>
      <c r="I22" s="2"/>
      <c r="J22" s="2"/>
      <c r="K22" s="2"/>
      <c r="L22" s="2"/>
      <c r="M22" s="2"/>
      <c r="N22" s="2"/>
    </row>
    <row r="23">
      <c r="A23" s="5"/>
      <c r="B23" s="5"/>
      <c r="C23" s="5"/>
      <c r="D23" s="8"/>
      <c r="E23" s="8"/>
      <c r="F23" s="5"/>
      <c r="G23" s="5" t="s">
        <v>140</v>
      </c>
      <c r="H23" s="8"/>
      <c r="I23" s="8"/>
      <c r="J23" s="8"/>
      <c r="K23" s="8"/>
      <c r="L23" s="8"/>
      <c r="M23" s="8"/>
      <c r="N23"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46.13"/>
    <col customWidth="1" min="3" max="3" width="23.25"/>
    <col customWidth="1" min="4" max="4" width="21.25"/>
    <col customWidth="1" min="5" max="5" width="19.25"/>
    <col customWidth="1" min="6" max="6" width="21.0"/>
    <col customWidth="1" min="7" max="7" width="16.38"/>
    <col customWidth="1" min="8" max="8" width="18.25"/>
    <col customWidth="1" min="9" max="9" width="19.75"/>
    <col customWidth="1" min="10" max="10" width="23.25"/>
    <col customWidth="1" min="11" max="11" width="55.5"/>
    <col customWidth="1" min="12" max="12" width="35.13"/>
    <col customWidth="1" min="13" max="13" width="16.38"/>
    <col customWidth="1" min="14" max="14" width="26.63"/>
    <col customWidth="1" min="15" max="15" width="19.75"/>
    <col customWidth="1" min="16" max="18" width="16.38"/>
  </cols>
  <sheetData>
    <row r="1">
      <c r="A1" s="1" t="s">
        <v>1</v>
      </c>
      <c r="B1" s="2"/>
      <c r="C1" s="2"/>
      <c r="D1" s="2"/>
      <c r="E1" s="2"/>
      <c r="F1" s="2"/>
      <c r="G1" s="2"/>
      <c r="H1" s="2"/>
      <c r="I1" s="2"/>
      <c r="J1" s="2"/>
      <c r="K1" s="2"/>
      <c r="L1" s="2"/>
      <c r="M1" s="2"/>
      <c r="N1" s="2"/>
      <c r="O1" s="2"/>
      <c r="P1" s="2"/>
      <c r="Q1" s="2"/>
      <c r="R1" s="2"/>
    </row>
    <row r="2">
      <c r="A2" s="3" t="s">
        <v>12</v>
      </c>
      <c r="B2" s="3" t="s">
        <v>4</v>
      </c>
      <c r="N2" s="5" t="s">
        <v>14</v>
      </c>
    </row>
    <row r="3">
      <c r="A3" s="3" t="s">
        <v>5</v>
      </c>
      <c r="B3" s="4">
        <v>46256.0</v>
      </c>
      <c r="N3" s="5" t="s">
        <v>19</v>
      </c>
      <c r="O3" s="7">
        <v>2.20462</v>
      </c>
    </row>
    <row r="4">
      <c r="A4" s="3" t="s">
        <v>6</v>
      </c>
      <c r="B4" s="4">
        <v>46263.0</v>
      </c>
      <c r="N4" s="5" t="s">
        <v>22</v>
      </c>
      <c r="O4" s="7">
        <v>0.453592</v>
      </c>
    </row>
    <row r="5">
      <c r="N5" s="5" t="s">
        <v>24</v>
      </c>
      <c r="O5" s="7">
        <v>0.0129</v>
      </c>
    </row>
    <row r="6">
      <c r="N6" s="5" t="s">
        <v>25</v>
      </c>
      <c r="O6" s="3" t="s">
        <v>26</v>
      </c>
    </row>
    <row r="7">
      <c r="N7" s="3" t="s">
        <v>30</v>
      </c>
      <c r="O7" s="12">
        <f>HYPERLINK("https://docs.google.com/spreadsheets/d/16shKoa1KP34kQJyQvzclBejW9L5-ubNSqPsMOVB7zDY/edit?usp=sharing", 0.00195)</f>
        <v>0.00195</v>
      </c>
    </row>
    <row r="8">
      <c r="A8" s="1" t="s">
        <v>34</v>
      </c>
      <c r="B8" s="2"/>
      <c r="C8" s="2"/>
      <c r="D8" s="2"/>
      <c r="E8" s="2"/>
      <c r="F8" s="2"/>
      <c r="G8" s="2"/>
      <c r="H8" s="2"/>
      <c r="I8" s="1" t="s">
        <v>38</v>
      </c>
      <c r="J8" s="2"/>
      <c r="K8" s="1"/>
      <c r="L8" s="2"/>
      <c r="M8" s="2"/>
      <c r="N8" s="1" t="s">
        <v>40</v>
      </c>
      <c r="O8" s="9">
        <v>3.0</v>
      </c>
      <c r="P8" s="2"/>
      <c r="Q8" s="2"/>
      <c r="R8" s="2"/>
    </row>
    <row r="9">
      <c r="A9" s="5" t="s">
        <v>42</v>
      </c>
      <c r="B9" s="5" t="s">
        <v>44</v>
      </c>
      <c r="C9" s="5" t="s">
        <v>46</v>
      </c>
      <c r="D9" s="20" t="s">
        <v>48</v>
      </c>
      <c r="E9" s="20" t="s">
        <v>51</v>
      </c>
      <c r="F9" s="5" t="s">
        <v>52</v>
      </c>
      <c r="G9" s="5" t="s">
        <v>53</v>
      </c>
      <c r="H9" s="5" t="s">
        <v>55</v>
      </c>
      <c r="I9" s="5" t="s">
        <v>56</v>
      </c>
      <c r="J9" s="5" t="s">
        <v>58</v>
      </c>
      <c r="K9" s="5" t="s">
        <v>60</v>
      </c>
      <c r="L9" s="5" t="s">
        <v>61</v>
      </c>
      <c r="M9" s="5" t="s">
        <v>62</v>
      </c>
      <c r="N9" s="5" t="s">
        <v>64</v>
      </c>
      <c r="O9" s="22">
        <v>2.0</v>
      </c>
      <c r="P9" s="8"/>
      <c r="Q9" s="8"/>
      <c r="R9" s="8"/>
    </row>
    <row r="10">
      <c r="A10" s="23" t="s">
        <v>69</v>
      </c>
      <c r="B10" s="24">
        <v>46263.0</v>
      </c>
      <c r="C10" s="23" t="s">
        <v>73</v>
      </c>
      <c r="D10" s="27">
        <f t="shared" ref="D10:D11" si="1">SUMIF($C$19:$C$36,$A10,$D$19:$D$36)</f>
        <v>77.71</v>
      </c>
      <c r="E10" s="27">
        <f t="shared" ref="E10:E11" si="2">SUMIF($C$19:$C$36,$A10,$E$19:$E$36)</f>
        <v>77710</v>
      </c>
      <c r="F10" s="32">
        <f t="shared" ref="F10:F11" si="3">SUMIF($C$39:$C$60,A10,$F$39:$F$60)+H10</f>
        <v>77791.028</v>
      </c>
      <c r="G10" s="32">
        <f t="shared" ref="G10:G11" si="4">IF(AND(E10&lt;&gt;"",F10&lt;&gt;"",F10&gt;=0.95*E10),E10-F10,"")</f>
        <v>-81.028</v>
      </c>
      <c r="H10" s="39">
        <v>0.0</v>
      </c>
      <c r="I10" s="41">
        <f t="shared" ref="I10:I11" si="5">F10-H10</f>
        <v>77791.028</v>
      </c>
      <c r="J10" s="43">
        <v>107.5</v>
      </c>
      <c r="K10" s="43">
        <v>2199.0</v>
      </c>
      <c r="L10" s="39">
        <v>42.9</v>
      </c>
      <c r="M10" s="44" t="str">
        <f t="shared" ref="M10:M11" si="6">IF(OR($E10="",$F10=""),"",IF(AND($H10=0,$F10&gt;=0.95*$E10),"FULL","PARTIAL"))</f>
        <v>FULL</v>
      </c>
    </row>
    <row r="11">
      <c r="A11" s="23" t="s">
        <v>80</v>
      </c>
      <c r="B11" s="24">
        <v>46263.0</v>
      </c>
      <c r="C11" s="23" t="s">
        <v>82</v>
      </c>
      <c r="D11" s="27">
        <f t="shared" si="1"/>
        <v>77.9</v>
      </c>
      <c r="E11" s="27">
        <f t="shared" si="2"/>
        <v>77900</v>
      </c>
      <c r="F11" s="32">
        <f t="shared" si="3"/>
        <v>77754.74064</v>
      </c>
      <c r="G11" s="32">
        <f t="shared" si="4"/>
        <v>145.25936</v>
      </c>
      <c r="H11" s="43">
        <v>0.0</v>
      </c>
      <c r="I11" s="41">
        <f t="shared" si="5"/>
        <v>77754.74064</v>
      </c>
      <c r="J11" s="43">
        <v>107.5</v>
      </c>
      <c r="K11" s="43">
        <v>2199.0</v>
      </c>
      <c r="L11" s="39">
        <v>42.9</v>
      </c>
      <c r="M11" s="44" t="str">
        <f t="shared" si="6"/>
        <v>FULL</v>
      </c>
    </row>
    <row r="12">
      <c r="A12" s="23"/>
      <c r="B12" s="24"/>
      <c r="C12" s="23"/>
      <c r="D12" s="39"/>
      <c r="E12" s="39"/>
      <c r="F12" s="45"/>
      <c r="G12" s="45"/>
      <c r="H12" s="39"/>
      <c r="I12" s="44"/>
      <c r="J12" s="39"/>
      <c r="K12" s="39"/>
      <c r="L12" s="39"/>
      <c r="M12" s="44"/>
    </row>
    <row r="13">
      <c r="A13" s="23"/>
      <c r="B13" s="24"/>
      <c r="C13" s="23"/>
      <c r="D13" s="39"/>
      <c r="E13" s="39"/>
      <c r="F13" s="45"/>
      <c r="G13" s="45"/>
      <c r="H13" s="39"/>
      <c r="I13" s="44"/>
      <c r="J13" s="39"/>
      <c r="K13" s="39"/>
      <c r="L13" s="39"/>
      <c r="M13" s="44"/>
    </row>
    <row r="14">
      <c r="A14" s="23"/>
      <c r="B14" s="24"/>
      <c r="C14" s="23"/>
      <c r="D14" s="39"/>
      <c r="E14" s="39"/>
      <c r="F14" s="45"/>
      <c r="G14" s="45"/>
      <c r="H14" s="39"/>
      <c r="I14" s="44"/>
      <c r="J14" s="39"/>
      <c r="K14" s="39"/>
      <c r="L14" s="39"/>
      <c r="M14" s="44"/>
    </row>
    <row r="15">
      <c r="A15" s="23"/>
      <c r="B15" s="24"/>
      <c r="C15" s="23"/>
      <c r="D15" s="39"/>
      <c r="E15" s="39"/>
      <c r="F15" s="45"/>
      <c r="G15" s="45"/>
      <c r="H15" s="39"/>
      <c r="I15" s="44"/>
      <c r="J15" s="39"/>
      <c r="K15" s="39"/>
      <c r="L15" s="39"/>
      <c r="M15" s="44"/>
    </row>
    <row r="16">
      <c r="A16" s="46"/>
      <c r="B16" s="46"/>
    </row>
    <row r="17">
      <c r="A17" s="1" t="s">
        <v>88</v>
      </c>
      <c r="B17" s="2"/>
      <c r="C17" s="2"/>
      <c r="D17" s="2"/>
      <c r="E17" s="2"/>
      <c r="F17" s="2"/>
      <c r="G17" s="2"/>
      <c r="H17" s="2"/>
      <c r="I17" s="2"/>
      <c r="J17" s="2"/>
      <c r="K17" s="2"/>
      <c r="L17" s="2"/>
      <c r="M17" s="2"/>
      <c r="N17" s="2"/>
      <c r="O17" s="2"/>
      <c r="P17" s="2"/>
      <c r="Q17" s="2"/>
      <c r="R17" s="2"/>
    </row>
    <row r="18">
      <c r="A18" s="5" t="s">
        <v>63</v>
      </c>
      <c r="B18" s="5" t="s">
        <v>89</v>
      </c>
      <c r="C18" s="5" t="s">
        <v>42</v>
      </c>
      <c r="D18" s="20" t="s">
        <v>66</v>
      </c>
      <c r="E18" s="20" t="s">
        <v>67</v>
      </c>
      <c r="F18" s="5"/>
      <c r="G18" s="8"/>
      <c r="H18" s="8"/>
      <c r="I18" s="8"/>
      <c r="J18" s="8"/>
      <c r="K18" s="8"/>
      <c r="L18" s="8"/>
      <c r="M18" s="8"/>
      <c r="N18" s="8"/>
      <c r="O18" s="8"/>
      <c r="P18" s="8"/>
      <c r="Q18" s="8"/>
      <c r="R18" s="8"/>
    </row>
    <row r="19">
      <c r="A19" s="24">
        <v>46231.0</v>
      </c>
      <c r="B19" s="47" t="str">
        <f>HYPERLINK("https://drive.google.com/file/d/1URGuPezV94NFvBd_sum57DZUa8UvnOxV/view","2447-R")</f>
        <v>2447-R</v>
      </c>
      <c r="C19" s="23" t="s">
        <v>69</v>
      </c>
      <c r="D19" s="48">
        <v>25.82</v>
      </c>
      <c r="E19" s="48">
        <f t="shared" ref="E19:E24" si="7">D19*1000</f>
        <v>25820</v>
      </c>
    </row>
    <row r="20">
      <c r="A20" s="24">
        <v>46231.0</v>
      </c>
      <c r="B20" s="47" t="str">
        <f>HYPERLINK("https://drive.google.com/file/d/1bK9RrAiy8Z-g1PQz6ES6NsFtu9imyMQE/view","2448-R")</f>
        <v>2448-R</v>
      </c>
      <c r="C20" s="23" t="s">
        <v>69</v>
      </c>
      <c r="D20" s="48">
        <v>25.84</v>
      </c>
      <c r="E20" s="48">
        <f t="shared" si="7"/>
        <v>25840</v>
      </c>
    </row>
    <row r="21">
      <c r="A21" s="24">
        <v>46232.0</v>
      </c>
      <c r="B21" s="47" t="str">
        <f>HYPERLINK("https://drive.google.com/file/d/1TMqmC8VU5Bs58y1BlnnyggX-jbHUhBzS/view","2449-R")</f>
        <v>2449-R</v>
      </c>
      <c r="C21" s="23" t="s">
        <v>69</v>
      </c>
      <c r="D21" s="48">
        <v>26.05</v>
      </c>
      <c r="E21" s="48">
        <f t="shared" si="7"/>
        <v>26050</v>
      </c>
    </row>
    <row r="22">
      <c r="A22" s="24">
        <v>46230.0</v>
      </c>
      <c r="B22" s="47" t="str">
        <f>HYPERLINK("https://drive.google.com/file/d/1fAXkc5pctEiC1cPOioUGR2mLXCE3b5Cv/view","2441-R")</f>
        <v>2441-R</v>
      </c>
      <c r="C22" s="23" t="s">
        <v>80</v>
      </c>
      <c r="D22" s="48">
        <v>26.04</v>
      </c>
      <c r="E22" s="48">
        <f t="shared" si="7"/>
        <v>26040</v>
      </c>
    </row>
    <row r="23">
      <c r="A23" s="24">
        <v>46230.0</v>
      </c>
      <c r="B23" s="47" t="str">
        <f>HYPERLINK("https://drive.google.com/file/d/1Q8XS9_RDa34_ZZbby9j3MAqsZZads3Hr/view","2442-R")</f>
        <v>2442-R</v>
      </c>
      <c r="C23" s="23" t="s">
        <v>80</v>
      </c>
      <c r="D23" s="48">
        <v>26.03</v>
      </c>
      <c r="E23" s="48">
        <f t="shared" si="7"/>
        <v>26030</v>
      </c>
    </row>
    <row r="24">
      <c r="A24" s="24">
        <v>46230.0</v>
      </c>
      <c r="B24" s="47" t="str">
        <f>HYPERLINK("https://drive.google.com/file/d/1Yi7kD6ZcO3CamRJwZYGUquzg2PeRpHDL/view","2443-R")</f>
        <v>2443-R</v>
      </c>
      <c r="C24" s="23" t="s">
        <v>80</v>
      </c>
      <c r="D24" s="48">
        <v>25.83</v>
      </c>
      <c r="E24" s="48">
        <f t="shared" si="7"/>
        <v>25830</v>
      </c>
    </row>
    <row r="25">
      <c r="A25" s="24"/>
      <c r="B25" s="23"/>
      <c r="C25" s="23"/>
      <c r="D25" s="48"/>
      <c r="E25" s="48"/>
    </row>
    <row r="26">
      <c r="A26" s="24"/>
      <c r="B26" s="23"/>
      <c r="C26" s="23"/>
      <c r="D26" s="48"/>
      <c r="E26" s="48"/>
    </row>
    <row r="27">
      <c r="A27" s="24"/>
      <c r="B27" s="23"/>
      <c r="C27" s="23"/>
      <c r="D27" s="48"/>
      <c r="E27" s="48"/>
    </row>
    <row r="28">
      <c r="A28" s="53"/>
      <c r="B28" s="54"/>
      <c r="C28" s="54"/>
      <c r="D28" s="55"/>
      <c r="E28" s="55"/>
      <c r="F28" s="56"/>
      <c r="G28" s="57"/>
      <c r="H28" s="57"/>
      <c r="I28" s="57"/>
      <c r="J28" s="57"/>
      <c r="K28" s="57"/>
      <c r="L28" s="57"/>
      <c r="M28" s="57"/>
      <c r="N28" s="57"/>
      <c r="O28" s="57"/>
      <c r="P28" s="57"/>
      <c r="Q28" s="57"/>
      <c r="R28" s="57"/>
    </row>
    <row r="29">
      <c r="A29" s="24"/>
      <c r="B29" s="23"/>
      <c r="C29" s="23"/>
      <c r="D29" s="48"/>
      <c r="E29" s="48"/>
      <c r="F29" s="5"/>
      <c r="G29" s="5"/>
      <c r="H29" s="5"/>
      <c r="I29" s="5"/>
      <c r="J29" s="5"/>
      <c r="K29" s="5"/>
      <c r="L29" s="5"/>
      <c r="M29" s="5"/>
      <c r="N29" s="5"/>
      <c r="O29" s="5"/>
      <c r="P29" s="8"/>
      <c r="Q29" s="8"/>
      <c r="R29" s="8"/>
    </row>
    <row r="30">
      <c r="A30" s="24"/>
      <c r="B30" s="23"/>
      <c r="C30" s="23"/>
      <c r="D30" s="48"/>
      <c r="E30" s="48"/>
      <c r="F30" s="27"/>
      <c r="G30" s="58"/>
      <c r="H30" s="32"/>
      <c r="I30" s="32"/>
      <c r="J30" s="27"/>
      <c r="K30" s="27"/>
      <c r="L30" s="32"/>
      <c r="M30" s="32"/>
      <c r="N30" s="32"/>
      <c r="O30" s="60"/>
    </row>
    <row r="31">
      <c r="A31" s="24"/>
      <c r="B31" s="23"/>
      <c r="C31" s="23"/>
      <c r="D31" s="27"/>
      <c r="E31" s="27"/>
      <c r="F31" s="27"/>
      <c r="G31" s="58"/>
      <c r="H31" s="32"/>
      <c r="I31" s="32"/>
      <c r="J31" s="27"/>
      <c r="K31" s="32"/>
      <c r="L31" s="32"/>
      <c r="M31" s="32"/>
      <c r="N31" s="32"/>
      <c r="O31" s="60"/>
    </row>
    <row r="32">
      <c r="A32" s="24"/>
      <c r="B32" s="23"/>
      <c r="C32" s="23"/>
      <c r="D32" s="27"/>
      <c r="E32" s="27"/>
      <c r="F32" s="27"/>
      <c r="G32" s="58"/>
      <c r="H32" s="32"/>
      <c r="I32" s="32"/>
      <c r="J32" s="27"/>
      <c r="K32" s="32"/>
      <c r="L32" s="32"/>
      <c r="M32" s="32"/>
      <c r="N32" s="32"/>
      <c r="O32" s="60"/>
    </row>
    <row r="33">
      <c r="A33" s="24"/>
      <c r="B33" s="23"/>
      <c r="C33" s="23"/>
      <c r="D33" s="27"/>
      <c r="E33" s="27"/>
      <c r="F33" s="27"/>
      <c r="G33" s="58"/>
      <c r="H33" s="32"/>
      <c r="I33" s="32"/>
      <c r="J33" s="27"/>
      <c r="K33" s="32"/>
      <c r="L33" s="32"/>
      <c r="M33" s="32"/>
      <c r="N33" s="32"/>
      <c r="O33" s="60"/>
    </row>
    <row r="34">
      <c r="A34" s="24"/>
      <c r="B34" s="23"/>
      <c r="C34" s="23"/>
      <c r="D34" s="27"/>
      <c r="E34" s="27"/>
      <c r="F34" s="27"/>
      <c r="G34" s="58"/>
      <c r="H34" s="32"/>
      <c r="I34" s="32"/>
      <c r="J34" s="27"/>
      <c r="K34" s="32"/>
      <c r="L34" s="32"/>
      <c r="M34" s="32"/>
      <c r="N34" s="32"/>
      <c r="O34" s="60"/>
    </row>
    <row r="35">
      <c r="A35" s="24"/>
      <c r="B35" s="23"/>
      <c r="C35" s="23"/>
      <c r="D35" s="27"/>
      <c r="E35" s="27"/>
      <c r="F35" s="27"/>
      <c r="G35" s="58"/>
      <c r="H35" s="32"/>
      <c r="I35" s="32"/>
      <c r="J35" s="27"/>
      <c r="K35" s="32"/>
      <c r="L35" s="32"/>
      <c r="M35" s="32"/>
      <c r="N35" s="32"/>
      <c r="O35" s="60"/>
    </row>
    <row r="36">
      <c r="A36" s="24"/>
      <c r="B36" s="23"/>
      <c r="C36" s="23"/>
      <c r="D36" s="27"/>
      <c r="E36" s="27"/>
      <c r="F36" s="27"/>
      <c r="G36" s="58"/>
      <c r="H36" s="32"/>
      <c r="I36" s="32"/>
      <c r="J36" s="27"/>
      <c r="K36" s="32"/>
      <c r="L36" s="32"/>
      <c r="M36" s="32"/>
      <c r="N36" s="32"/>
      <c r="O36" s="60"/>
    </row>
    <row r="37">
      <c r="A37" s="63" t="s">
        <v>115</v>
      </c>
      <c r="B37" s="63"/>
      <c r="C37" s="63"/>
      <c r="D37" s="64"/>
      <c r="E37" s="65"/>
      <c r="F37" s="64"/>
      <c r="G37" s="66"/>
      <c r="H37" s="67"/>
      <c r="I37" s="67"/>
      <c r="J37" s="64"/>
      <c r="K37" s="67"/>
      <c r="L37" s="67"/>
      <c r="M37" s="67"/>
      <c r="N37" s="67"/>
      <c r="O37" s="70"/>
      <c r="P37" s="72"/>
      <c r="Q37" s="72"/>
      <c r="R37" s="72"/>
    </row>
    <row r="38">
      <c r="A38" s="23" t="s">
        <v>63</v>
      </c>
      <c r="B38" s="23" t="s">
        <v>119</v>
      </c>
      <c r="C38" s="23" t="s">
        <v>42</v>
      </c>
      <c r="D38" s="27" t="s">
        <v>120</v>
      </c>
      <c r="E38" s="27" t="s">
        <v>121</v>
      </c>
      <c r="F38" s="48" t="s">
        <v>124</v>
      </c>
      <c r="G38" s="58" t="s">
        <v>68</v>
      </c>
      <c r="H38" s="48" t="s">
        <v>15</v>
      </c>
      <c r="I38" s="48" t="s">
        <v>16</v>
      </c>
      <c r="J38" s="48" t="s">
        <v>125</v>
      </c>
      <c r="K38" s="48" t="s">
        <v>17</v>
      </c>
      <c r="L38" s="27" t="s">
        <v>128</v>
      </c>
      <c r="M38" s="27" t="s">
        <v>130</v>
      </c>
      <c r="N38" s="27" t="s">
        <v>131</v>
      </c>
    </row>
    <row r="39">
      <c r="A39" s="24">
        <v>46263.0</v>
      </c>
      <c r="B39" s="23" t="s">
        <v>132</v>
      </c>
      <c r="C39" s="23" t="s">
        <v>69</v>
      </c>
      <c r="D39" s="27">
        <v>74140.0</v>
      </c>
      <c r="E39" s="27">
        <v>28900.0</v>
      </c>
      <c r="F39" s="48">
        <f t="shared" ref="F39:F50" si="8">IF(OR(D39="",E39=""),"",(D39-E39)*$O$4)</f>
        <v>20520.50208</v>
      </c>
      <c r="G39" s="58">
        <v>2.93</v>
      </c>
      <c r="H39" s="48">
        <f t="shared" ref="H39:H50" si="9">IF(F39="","",(F39-J39)*$O$5)</f>
        <v>264.7144768</v>
      </c>
      <c r="I39" s="48">
        <f t="shared" ref="I39:I50" si="10">IF(F39="","",(F39-J39)*(1-$O$5)*$O$7)</f>
        <v>39.49878583</v>
      </c>
      <c r="J39" s="48">
        <f t="array" ref="J39">IF(F39="","",IF(ROW()=MAX(IF($C$39:$C$60=C39,ROW($C$39:$C$60),0)),MAX(0,IFERROR(VLOOKUP(C39,$A$10:$L$15,6,FALSE)-VLOOKUP(C39,$A$10:$L$15,5,FALSE),0)),0))</f>
        <v>0</v>
      </c>
      <c r="K39" s="48">
        <f t="shared" ref="K39:K50" si="11">IF(F39="","",F39-H39-I39-J39)</f>
        <v>20216.28882</v>
      </c>
      <c r="L39" s="32">
        <f t="shared" ref="L39:L50" si="12">IF(F39="","",(F39-J39)/VLOOKUP(C39,$A$10:$L$15,5,FALSE)*VLOOKUP(C39,$A$10:$L$15,10,FALSE)*$O$8)</f>
        <v>85.16100786</v>
      </c>
      <c r="M39" s="32">
        <f t="array" ref="M39">IF(F39="","",IF(IFERROR(VLOOKUP(C39,$A$10:$M$15,13,FALSE),"")="FULL",IF(ROW()=MIN(IF($C$39:$C$60=C39,ROW($C$39:$C$60),10^9)),VLOOKUP(C39,$A$10:$M$15,11,FALSE),0),(F39-J39)/VLOOKUP(C39,$A$10:$M$15,5,FALSE)*VLOOKUP(C39,$A$10:$M$15,11,FALSE)))</f>
        <v>2199</v>
      </c>
      <c r="N39" s="32">
        <f t="shared" ref="N39:N50" si="13">IF(F39="","",IFERROR(VLOOKUP(C39,$A$10:$L$15,12,FALSE),0)*$O$9)</f>
        <v>85.8</v>
      </c>
      <c r="O39" s="104">
        <v>0.385</v>
      </c>
    </row>
    <row r="40">
      <c r="A40" s="24">
        <v>46263.0</v>
      </c>
      <c r="B40" s="23" t="s">
        <v>184</v>
      </c>
      <c r="C40" s="23" t="s">
        <v>69</v>
      </c>
      <c r="D40" s="27">
        <v>71740.0</v>
      </c>
      <c r="E40" s="27">
        <v>29300.0</v>
      </c>
      <c r="F40" s="48">
        <f t="shared" si="8"/>
        <v>19250.44448</v>
      </c>
      <c r="G40" s="58">
        <v>2.93</v>
      </c>
      <c r="H40" s="48">
        <f t="shared" si="9"/>
        <v>248.3307338</v>
      </c>
      <c r="I40" s="48">
        <f t="shared" si="10"/>
        <v>37.05412181</v>
      </c>
      <c r="J40" s="48">
        <f t="array" ref="J40">IF(F40="","",IF(ROW()=MAX(IF($C$39:$C$60=C40,ROW($C$39:$C$60),0)),MAX(0,IFERROR(VLOOKUP(C40,$A$10:$L$15,6,FALSE)-VLOOKUP(C40,$A$10:$L$15,5,FALSE),0)),0))</f>
        <v>0</v>
      </c>
      <c r="K40" s="48">
        <f t="shared" si="11"/>
        <v>18965.05962</v>
      </c>
      <c r="L40" s="32">
        <f t="shared" si="12"/>
        <v>79.89021162</v>
      </c>
      <c r="M40" s="32">
        <f t="array" ref="M40">IF(F40="","",IF(IFERROR(VLOOKUP(C40,$A$10:$M$15,13,FALSE),"")="FULL",IF(ROW()=MIN(IF($C$39:$C$60=C40,ROW($C$39:$C$60),10^9)),VLOOKUP(C40,$A$10:$M$15,11,FALSE),0),(F40-J40)/VLOOKUP(C40,$A$10:$M$15,5,FALSE)*VLOOKUP(C40,$A$10:$M$15,11,FALSE)))</f>
        <v>0</v>
      </c>
      <c r="N40" s="32">
        <f t="shared" si="13"/>
        <v>85.8</v>
      </c>
      <c r="O40" s="104">
        <v>0.385</v>
      </c>
    </row>
    <row r="41">
      <c r="A41" s="24">
        <v>46263.0</v>
      </c>
      <c r="B41" s="23" t="s">
        <v>202</v>
      </c>
      <c r="C41" s="23" t="s">
        <v>69</v>
      </c>
      <c r="D41" s="27">
        <v>72200.0</v>
      </c>
      <c r="E41" s="27">
        <v>28580.0</v>
      </c>
      <c r="F41" s="48">
        <f t="shared" si="8"/>
        <v>19785.68304</v>
      </c>
      <c r="G41" s="58">
        <v>2.93</v>
      </c>
      <c r="H41" s="48">
        <f t="shared" si="9"/>
        <v>255.2353112</v>
      </c>
      <c r="I41" s="48">
        <f t="shared" si="10"/>
        <v>38.08437307</v>
      </c>
      <c r="J41" s="48">
        <f t="array" ref="J41">IF(F41="","",IF(ROW()=MAX(IF($C$39:$C$60=C41,ROW($C$39:$C$60),0)),MAX(0,IFERROR(VLOOKUP(C41,$A$10:$L$15,6,FALSE)-VLOOKUP(C41,$A$10:$L$15,5,FALSE),0)),0))</f>
        <v>0</v>
      </c>
      <c r="K41" s="48">
        <f t="shared" si="11"/>
        <v>19492.36336</v>
      </c>
      <c r="L41" s="32">
        <f t="shared" si="12"/>
        <v>82.11147575</v>
      </c>
      <c r="M41" s="32">
        <f t="array" ref="M41">IF(F41="","",IF(IFERROR(VLOOKUP(C41,$A$10:$M$15,13,FALSE),"")="FULL",IF(ROW()=MIN(IF($C$39:$C$60=C41,ROW($C$39:$C$60),10^9)),VLOOKUP(C41,$A$10:$M$15,11,FALSE),0),(F41-J41)/VLOOKUP(C41,$A$10:$M$15,5,FALSE)*VLOOKUP(C41,$A$10:$M$15,11,FALSE)))</f>
        <v>0</v>
      </c>
      <c r="N41" s="32">
        <f t="shared" si="13"/>
        <v>85.8</v>
      </c>
      <c r="O41" s="104">
        <v>0.385</v>
      </c>
    </row>
    <row r="42">
      <c r="A42" s="24">
        <v>46263.0</v>
      </c>
      <c r="B42" s="23" t="s">
        <v>221</v>
      </c>
      <c r="C42" s="23" t="s">
        <v>69</v>
      </c>
      <c r="D42" s="27">
        <v>69820.0</v>
      </c>
      <c r="E42" s="27">
        <v>29620.0</v>
      </c>
      <c r="F42" s="48">
        <f t="shared" si="8"/>
        <v>18234.3984</v>
      </c>
      <c r="G42" s="58">
        <v>2.93</v>
      </c>
      <c r="H42" s="30">
        <f t="shared" si="9"/>
        <v>234.1784782</v>
      </c>
      <c r="I42" s="30">
        <f t="shared" si="10"/>
        <v>34.94242425</v>
      </c>
      <c r="J42" s="30">
        <f t="array" ref="J42">IF(F42="","",IF(ROW()=MAX(IF($C$39:$C$60=C42,ROW($C$39:$C$60),0)),MAX(0,IFERROR(VLOOKUP(C42,$A$10:$L$15,6,FALSE)-VLOOKUP(C42,$A$10:$L$15,5,FALSE),0)),0))</f>
        <v>81.028</v>
      </c>
      <c r="K42" s="30">
        <f t="shared" si="11"/>
        <v>17884.2495</v>
      </c>
      <c r="L42" s="32">
        <f t="shared" si="12"/>
        <v>75.33730477</v>
      </c>
      <c r="M42" s="32">
        <f t="array" ref="M42">IF(F42="","",IF(IFERROR(VLOOKUP(C42,$A$10:$M$15,13,FALSE),"")="FULL",IF(ROW()=MIN(IF($C$39:$C$60=C42,ROW($C$39:$C$60),10^9)),VLOOKUP(C42,$A$10:$M$15,11,FALSE),0),(F42-J42)/VLOOKUP(C42,$A$10:$M$15,5,FALSE)*VLOOKUP(C42,$A$10:$M$15,11,FALSE)))</f>
        <v>0</v>
      </c>
      <c r="N42" s="32">
        <f t="shared" si="13"/>
        <v>85.8</v>
      </c>
      <c r="O42" s="39">
        <v>0.385</v>
      </c>
    </row>
    <row r="43">
      <c r="A43" s="24">
        <v>46263.0</v>
      </c>
      <c r="B43" s="23" t="s">
        <v>243</v>
      </c>
      <c r="C43" s="23" t="s">
        <v>80</v>
      </c>
      <c r="D43" s="27">
        <v>74260.0</v>
      </c>
      <c r="E43" s="27">
        <v>28520.0</v>
      </c>
      <c r="F43" s="48">
        <f t="shared" si="8"/>
        <v>20747.29808</v>
      </c>
      <c r="G43" s="58">
        <v>2.93</v>
      </c>
      <c r="H43" s="30">
        <f t="shared" si="9"/>
        <v>267.6401452</v>
      </c>
      <c r="I43" s="30">
        <f t="shared" si="10"/>
        <v>39.93533297</v>
      </c>
      <c r="J43" s="48">
        <f t="array" ref="J43">IF(F43="","",IF(ROW()=MAX(IF($C$39:$C$60=C43,ROW($C$39:$C$60),0)),MAX(0,IFERROR(VLOOKUP(C43,$A$10:$L$15,6,FALSE)-VLOOKUP(C43,$A$10:$L$15,5,FALSE),0)),0))</f>
        <v>0</v>
      </c>
      <c r="K43" s="30">
        <f t="shared" si="11"/>
        <v>20439.7226</v>
      </c>
      <c r="L43" s="32">
        <f t="shared" si="12"/>
        <v>85.89221606</v>
      </c>
      <c r="M43" s="32">
        <f t="array" ref="M43">IF(F43="","",IF(IFERROR(VLOOKUP(C43,$A$10:$M$15,13,FALSE),"")="FULL",IF(ROW()=MIN(IF($C$39:$C$60=C43,ROW($C$39:$C$60),10^9)),VLOOKUP(C43,$A$10:$M$15,11,FALSE),0),(F43-J43)/VLOOKUP(C43,$A$10:$M$15,5,FALSE)*VLOOKUP(C43,$A$10:$M$15,11,FALSE)))</f>
        <v>2199</v>
      </c>
      <c r="N43" s="32">
        <f t="shared" si="13"/>
        <v>85.8</v>
      </c>
      <c r="O43" s="39">
        <v>0.385</v>
      </c>
    </row>
    <row r="44">
      <c r="A44" s="24">
        <v>46263.0</v>
      </c>
      <c r="B44" s="23" t="s">
        <v>260</v>
      </c>
      <c r="C44" s="23" t="s">
        <v>80</v>
      </c>
      <c r="D44" s="27">
        <v>73240.0</v>
      </c>
      <c r="E44" s="27">
        <v>28780.0</v>
      </c>
      <c r="F44" s="48">
        <f t="shared" si="8"/>
        <v>20166.70032</v>
      </c>
      <c r="G44" s="58">
        <v>2.93</v>
      </c>
      <c r="H44" s="30">
        <f t="shared" si="9"/>
        <v>260.1504341</v>
      </c>
      <c r="I44" s="30">
        <f t="shared" si="10"/>
        <v>38.81777228</v>
      </c>
      <c r="J44" s="48">
        <f t="array" ref="J44">IF(F44="","",IF(ROW()=MAX(IF($C$39:$C$60=C44,ROW($C$39:$C$60),0)),MAX(0,IFERROR(VLOOKUP(C44,$A$10:$L$15,6,FALSE)-VLOOKUP(C44,$A$10:$L$15,5,FALSE),0)),0))</f>
        <v>0</v>
      </c>
      <c r="K44" s="30">
        <f t="shared" si="11"/>
        <v>19867.73211</v>
      </c>
      <c r="L44" s="32">
        <f t="shared" si="12"/>
        <v>83.48858605</v>
      </c>
      <c r="M44" s="32">
        <f t="array" ref="M44">IF(F44="","",IF(IFERROR(VLOOKUP(C44,$A$10:$M$15,13,FALSE),"")="FULL",IF(ROW()=MIN(IF($C$39:$C$60=C44,ROW($C$39:$C$60),10^9)),VLOOKUP(C44,$A$10:$M$15,11,FALSE),0),(F44-J44)/VLOOKUP(C44,$A$10:$M$15,5,FALSE)*VLOOKUP(C44,$A$10:$M$15,11,FALSE)))</f>
        <v>0</v>
      </c>
      <c r="N44" s="32">
        <f t="shared" si="13"/>
        <v>85.8</v>
      </c>
      <c r="O44" s="39">
        <v>0.385</v>
      </c>
    </row>
    <row r="45">
      <c r="A45" s="24">
        <v>46263.0</v>
      </c>
      <c r="B45" s="23" t="s">
        <v>275</v>
      </c>
      <c r="C45" s="23" t="s">
        <v>80</v>
      </c>
      <c r="D45" s="27">
        <v>71820.0</v>
      </c>
      <c r="E45" s="27">
        <v>28660.0</v>
      </c>
      <c r="F45" s="48">
        <f t="shared" si="8"/>
        <v>19577.03072</v>
      </c>
      <c r="G45" s="58">
        <v>2.93</v>
      </c>
      <c r="H45" s="30">
        <f t="shared" si="9"/>
        <v>252.5436963</v>
      </c>
      <c r="I45" s="30">
        <f t="shared" si="10"/>
        <v>37.6827497</v>
      </c>
      <c r="J45" s="48">
        <f t="array" ref="J45">IF(F45="","",IF(ROW()=MAX(IF($C$39:$C$60=C45,ROW($C$39:$C$60),0)),MAX(0,IFERROR(VLOOKUP(C45,$A$10:$L$15,6,FALSE)-VLOOKUP(C45,$A$10:$L$15,5,FALSE),0)),0))</f>
        <v>0</v>
      </c>
      <c r="K45" s="30">
        <f t="shared" si="11"/>
        <v>19286.80427</v>
      </c>
      <c r="L45" s="32">
        <f t="shared" si="12"/>
        <v>81.04739932</v>
      </c>
      <c r="M45" s="32">
        <f t="array" ref="M45">IF(F45="","",IF(IFERROR(VLOOKUP(C45,$A$10:$M$15,13,FALSE),"")="FULL",IF(ROW()=MIN(IF($C$39:$C$60=C45,ROW($C$39:$C$60),10^9)),VLOOKUP(C45,$A$10:$M$15,11,FALSE),0),(F45-J45)/VLOOKUP(C45,$A$10:$M$15,5,FALSE)*VLOOKUP(C45,$A$10:$M$15,11,FALSE)))</f>
        <v>0</v>
      </c>
      <c r="N45" s="32">
        <f t="shared" si="13"/>
        <v>85.8</v>
      </c>
      <c r="O45" s="39">
        <v>0.385</v>
      </c>
    </row>
    <row r="46">
      <c r="A46" s="24">
        <v>46263.0</v>
      </c>
      <c r="B46" s="23" t="s">
        <v>278</v>
      </c>
      <c r="C46" s="23" t="s">
        <v>80</v>
      </c>
      <c r="D46" s="27">
        <v>66840.0</v>
      </c>
      <c r="E46" s="123">
        <v>28780.0</v>
      </c>
      <c r="F46" s="30">
        <f t="shared" si="8"/>
        <v>17263.71152</v>
      </c>
      <c r="G46" s="58">
        <v>2.93</v>
      </c>
      <c r="H46" s="30">
        <f t="shared" si="9"/>
        <v>222.7018786</v>
      </c>
      <c r="I46" s="30">
        <f t="shared" si="10"/>
        <v>33.2299688</v>
      </c>
      <c r="J46" s="30">
        <f t="array" ref="J46">IF(F46="","",IF(ROW()=MAX(IF($C$39:$C$60=C46,ROW($C$39:$C$60),0)),MAX(0,IFERROR(VLOOKUP(C46,$A$10:$L$15,6,FALSE)-VLOOKUP(C46,$A$10:$L$15,5,FALSE),0)),0))</f>
        <v>0</v>
      </c>
      <c r="K46" s="30">
        <f t="shared" si="11"/>
        <v>17007.77967</v>
      </c>
      <c r="L46" s="32">
        <f t="shared" si="12"/>
        <v>71.47043601</v>
      </c>
      <c r="M46" s="32">
        <f t="array" ref="M46">IF(F46="","",IF(IFERROR(VLOOKUP(C46,$A$10:$M$15,13,FALSE),"")="FULL",IF(ROW()=MIN(IF($C$39:$C$60=C46,ROW($C$39:$C$60),10^9)),VLOOKUP(C46,$A$10:$M$15,11,FALSE),0),(F46-J46)/VLOOKUP(C46,$A$10:$M$15,5,FALSE)*VLOOKUP(C46,$A$10:$M$15,11,FALSE)))</f>
        <v>0</v>
      </c>
      <c r="N46" s="32">
        <f t="shared" si="13"/>
        <v>85.8</v>
      </c>
      <c r="O46" s="39">
        <v>0.385</v>
      </c>
    </row>
    <row r="47">
      <c r="A47" s="24"/>
      <c r="B47" s="23"/>
      <c r="C47" s="23"/>
      <c r="D47" s="27"/>
      <c r="E47" s="27"/>
      <c r="F47" s="30" t="str">
        <f t="shared" si="8"/>
        <v/>
      </c>
      <c r="G47" s="58"/>
      <c r="H47" s="30" t="str">
        <f t="shared" si="9"/>
        <v/>
      </c>
      <c r="I47" s="30" t="str">
        <f t="shared" si="10"/>
        <v/>
      </c>
      <c r="J47" s="48" t="str">
        <f t="array" ref="J47">IF(F47="","",IF(ROW()=MAX(IF($C$39:$C$60=C47,ROW($C$39:$C$60),0)),MAX(0,IFERROR(VLOOKUP(C47,$A$10:$L$15,6,FALSE)-VLOOKUP(C47,$A$10:$L$15,5,FALSE),0)),0))</f>
        <v/>
      </c>
      <c r="K47" s="30" t="str">
        <f t="shared" si="11"/>
        <v/>
      </c>
      <c r="L47" s="32" t="str">
        <f t="shared" si="12"/>
        <v/>
      </c>
      <c r="M47" s="32" t="str">
        <f t="array" ref="M47">IF(F47="","",IF(IFERROR(VLOOKUP(C47,$A$10:$M$15,13,FALSE),"")="FULL",IF(ROW()=MIN(IF($C$39:$C$60=C47,ROW($C$39:$C$60),10^9)),VLOOKUP(C47,$A$10:$M$15,11,FALSE),0),(F47-J47)/VLOOKUP(C47,$A$10:$M$15,5,FALSE)*VLOOKUP(C47,$A$10:$M$15,11,FALSE)))</f>
        <v/>
      </c>
      <c r="N47" s="32" t="str">
        <f t="shared" si="13"/>
        <v/>
      </c>
      <c r="O47" s="44"/>
    </row>
    <row r="48">
      <c r="A48" s="24"/>
      <c r="B48" s="23"/>
      <c r="C48" s="23"/>
      <c r="D48" s="27"/>
      <c r="E48" s="27"/>
      <c r="F48" s="30" t="str">
        <f t="shared" si="8"/>
        <v/>
      </c>
      <c r="G48" s="58"/>
      <c r="H48" s="124" t="str">
        <f t="shared" si="9"/>
        <v/>
      </c>
      <c r="I48" s="124" t="str">
        <f t="shared" si="10"/>
        <v/>
      </c>
      <c r="J48" s="125" t="str">
        <f t="array" ref="J48">IF(F48="","",IF(ROW()=MAX(IF($C$39:$C$60=C48,ROW($C$39:$C$60),0)),MAX(0,IFERROR(VLOOKUP(C48,$A$10:$L$15,6,FALSE)-VLOOKUP(C48,$A$10:$L$15,5,FALSE),0)),0))</f>
        <v/>
      </c>
      <c r="K48" s="71" t="str">
        <f t="shared" si="11"/>
        <v/>
      </c>
      <c r="L48" s="126" t="str">
        <f t="shared" si="12"/>
        <v/>
      </c>
      <c r="M48" s="126" t="str">
        <f t="array" ref="M48">IF(F48="","",IF(IFERROR(VLOOKUP(C48,$A$10:$M$15,13,FALSE),"")="FULL",IF(ROW()=MIN(IF($C$39:$C$60=C48,ROW($C$39:$C$60),10^9)),VLOOKUP(C48,$A$10:$M$15,11,FALSE),0),(F48-J48)/VLOOKUP(C48,$A$10:$M$15,5,FALSE)*VLOOKUP(C48,$A$10:$M$15,11,FALSE)))</f>
        <v/>
      </c>
      <c r="N48" s="44" t="str">
        <f t="shared" si="13"/>
        <v/>
      </c>
      <c r="O48" s="44"/>
    </row>
    <row r="49" ht="16.5" customHeight="1">
      <c r="A49" s="24"/>
      <c r="B49" s="23"/>
      <c r="C49" s="23"/>
      <c r="D49" s="27"/>
      <c r="E49" s="27"/>
      <c r="F49" s="30" t="str">
        <f t="shared" si="8"/>
        <v/>
      </c>
      <c r="G49" s="58"/>
      <c r="H49" s="124" t="str">
        <f t="shared" si="9"/>
        <v/>
      </c>
      <c r="I49" s="124" t="str">
        <f t="shared" si="10"/>
        <v/>
      </c>
      <c r="J49" s="125" t="str">
        <f t="array" ref="J49">IF(F49="","",IF(ROW()=MAX(IF($C$39:$C$60=C49,ROW($C$39:$C$60),0)),MAX(0,IFERROR(VLOOKUP(C49,$A$10:$L$15,6,FALSE)-VLOOKUP(C49,$A$10:$L$15,5,FALSE),0)),0))</f>
        <v/>
      </c>
      <c r="K49" s="71" t="str">
        <f t="shared" si="11"/>
        <v/>
      </c>
      <c r="L49" s="126" t="str">
        <f t="shared" si="12"/>
        <v/>
      </c>
      <c r="M49" s="126" t="str">
        <f t="array" ref="M49">IF(F49="","",IF(IFERROR(VLOOKUP(C49,$A$10:$M$15,13,FALSE),"")="FULL",IF(ROW()=MIN(IF($C$39:$C$60=C49,ROW($C$39:$C$60),10^9)),VLOOKUP(C49,$A$10:$M$15,11,FALSE),0),(F49-J49)/VLOOKUP(C49,$A$10:$M$15,5,FALSE)*VLOOKUP(C49,$A$10:$M$15,11,FALSE)))</f>
        <v/>
      </c>
      <c r="N49" s="44" t="str">
        <f t="shared" si="13"/>
        <v/>
      </c>
      <c r="O49" s="44"/>
      <c r="P49" s="2"/>
      <c r="Q49" s="2"/>
      <c r="R49" s="2"/>
    </row>
    <row r="50">
      <c r="A50" s="24"/>
      <c r="B50" s="23"/>
      <c r="C50" s="23"/>
      <c r="D50" s="27"/>
      <c r="E50" s="27"/>
      <c r="F50" s="48" t="str">
        <f t="shared" si="8"/>
        <v/>
      </c>
      <c r="G50" s="27"/>
      <c r="H50" s="127" t="str">
        <f t="shared" si="9"/>
        <v/>
      </c>
      <c r="I50" s="127" t="str">
        <f t="shared" si="10"/>
        <v/>
      </c>
      <c r="J50" s="128" t="str">
        <f t="array" ref="J50">IF(F50="","",IF(ROW()=MAX(IF($C$39:$C$60=C50,ROW($C$39:$C$60),0)),MAX(0,IFERROR(VLOOKUP(C50,$A$10:$L$15,6,FALSE)-VLOOKUP(C50,$A$10:$L$15,5,FALSE),0)),0))</f>
        <v/>
      </c>
      <c r="K50" s="128" t="str">
        <f t="shared" si="11"/>
        <v/>
      </c>
      <c r="L50" s="129" t="str">
        <f t="shared" si="12"/>
        <v/>
      </c>
      <c r="M50" s="129" t="str">
        <f t="array" ref="M50">IF(F50="","",IF(IFERROR(VLOOKUP(C50,$A$10:$M$15,13,FALSE),"")="FULL",IF(ROW()=MIN(IF($C$39:$C$60=C50,ROW($C$39:$C$60),10^9)),VLOOKUP(C50,$A$10:$M$15,11,FALSE),0),(F50-J50)/VLOOKUP(C50,$A$10:$M$15,5,FALSE)*VLOOKUP(C50,$A$10:$M$15,11,FALSE)))</f>
        <v/>
      </c>
      <c r="N50" s="44" t="str">
        <f t="shared" si="13"/>
        <v/>
      </c>
      <c r="O50" s="44"/>
      <c r="P50" s="8"/>
      <c r="Q50" s="8"/>
      <c r="R50" s="8"/>
    </row>
    <row r="51">
      <c r="A51" s="24"/>
      <c r="B51" s="27"/>
      <c r="C51" s="27"/>
      <c r="D51" s="27"/>
      <c r="E51" s="27"/>
      <c r="F51" s="30"/>
      <c r="G51" s="58"/>
      <c r="H51" s="124"/>
      <c r="I51" s="124"/>
      <c r="J51" s="128"/>
      <c r="K51" s="130"/>
      <c r="L51" s="126"/>
      <c r="M51" s="126"/>
      <c r="N51" s="44"/>
      <c r="O51" s="44"/>
    </row>
    <row r="52">
      <c r="A52" s="24"/>
      <c r="B52" s="23"/>
      <c r="C52" s="23"/>
      <c r="D52" s="27"/>
      <c r="E52" s="27"/>
      <c r="F52" s="30"/>
      <c r="G52" s="58"/>
      <c r="H52" s="124"/>
      <c r="I52" s="124"/>
      <c r="J52" s="125"/>
      <c r="K52" s="71"/>
      <c r="L52" s="126"/>
      <c r="M52" s="126"/>
      <c r="N52" s="44"/>
      <c r="O52" s="44"/>
    </row>
    <row r="53">
      <c r="A53" s="24"/>
      <c r="B53" s="23"/>
      <c r="C53" s="23"/>
      <c r="D53" s="27"/>
      <c r="E53" s="27"/>
      <c r="F53" s="30"/>
      <c r="G53" s="58"/>
      <c r="H53" s="124"/>
      <c r="I53" s="124"/>
      <c r="J53" s="125"/>
      <c r="K53" s="71"/>
      <c r="L53" s="126"/>
      <c r="M53" s="126"/>
      <c r="N53" s="44"/>
      <c r="O53" s="44"/>
    </row>
    <row r="54">
      <c r="A54" s="24"/>
      <c r="B54" s="23"/>
      <c r="C54" s="23"/>
      <c r="D54" s="27"/>
      <c r="E54" s="27"/>
      <c r="F54" s="48"/>
      <c r="G54" s="58"/>
      <c r="H54" s="124"/>
      <c r="I54" s="124"/>
      <c r="J54" s="131"/>
      <c r="K54" s="71"/>
      <c r="L54" s="126"/>
      <c r="M54" s="126"/>
      <c r="N54" s="44"/>
      <c r="O54" s="44"/>
    </row>
    <row r="55">
      <c r="A55" s="24"/>
      <c r="B55" s="23"/>
      <c r="C55" s="23"/>
      <c r="D55" s="27"/>
      <c r="E55" s="27"/>
      <c r="F55" s="48"/>
      <c r="G55" s="58"/>
      <c r="H55" s="124"/>
      <c r="I55" s="124"/>
      <c r="J55" s="131"/>
      <c r="K55" s="71"/>
      <c r="L55" s="126"/>
      <c r="M55" s="126"/>
      <c r="N55" s="44"/>
      <c r="O55" s="44"/>
    </row>
    <row r="56">
      <c r="A56" s="24"/>
      <c r="B56" s="23"/>
      <c r="C56" s="23"/>
      <c r="D56" s="27"/>
      <c r="E56" s="27"/>
      <c r="F56" s="48"/>
      <c r="G56" s="58"/>
      <c r="H56" s="124"/>
      <c r="I56" s="124"/>
      <c r="J56" s="131"/>
      <c r="K56" s="71"/>
      <c r="L56" s="126"/>
      <c r="M56" s="126"/>
      <c r="N56" s="44"/>
      <c r="O56" s="44"/>
    </row>
    <row r="57">
      <c r="A57" s="24"/>
      <c r="B57" s="23"/>
      <c r="C57" s="23"/>
      <c r="D57" s="27"/>
      <c r="E57" s="27"/>
      <c r="F57" s="48"/>
      <c r="G57" s="58"/>
      <c r="H57" s="124"/>
      <c r="I57" s="124"/>
      <c r="J57" s="131"/>
      <c r="K57" s="71"/>
      <c r="L57" s="126"/>
      <c r="M57" s="126"/>
      <c r="N57" s="44"/>
      <c r="O57" s="44"/>
    </row>
    <row r="58">
      <c r="A58" s="24"/>
      <c r="B58" s="23"/>
      <c r="C58" s="23"/>
      <c r="D58" s="27"/>
      <c r="E58" s="27"/>
      <c r="F58" s="48"/>
      <c r="G58" s="58"/>
      <c r="H58" s="124"/>
      <c r="I58" s="124"/>
      <c r="J58" s="131"/>
      <c r="K58" s="71"/>
      <c r="L58" s="126"/>
      <c r="M58" s="126"/>
      <c r="N58" s="44"/>
      <c r="O58" s="44"/>
    </row>
    <row r="59">
      <c r="A59" s="24"/>
      <c r="B59" s="23"/>
      <c r="C59" s="23"/>
      <c r="D59" s="27"/>
      <c r="E59" s="27"/>
      <c r="F59" s="48"/>
      <c r="G59" s="58"/>
      <c r="H59" s="124"/>
      <c r="I59" s="124"/>
      <c r="J59" s="131"/>
      <c r="K59" s="71"/>
      <c r="L59" s="126"/>
      <c r="M59" s="126"/>
      <c r="N59" s="44"/>
      <c r="O59" s="44"/>
    </row>
    <row r="60">
      <c r="A60" s="24"/>
      <c r="B60" s="23"/>
      <c r="C60" s="23"/>
      <c r="D60" s="27"/>
      <c r="E60" s="27"/>
      <c r="F60" s="48"/>
      <c r="G60" s="58"/>
      <c r="H60" s="124"/>
      <c r="I60" s="124"/>
      <c r="J60" s="131"/>
      <c r="K60" s="71"/>
      <c r="L60" s="126"/>
      <c r="M60" s="126"/>
      <c r="N60" s="44"/>
      <c r="O60" s="44"/>
    </row>
    <row r="61">
      <c r="D61" s="10"/>
      <c r="E61" s="10"/>
      <c r="F61" s="10"/>
      <c r="G61" s="52"/>
      <c r="L61" s="10">
        <f t="shared" ref="L61:N61" si="14">SUM(L39:L60)</f>
        <v>644.3986374</v>
      </c>
      <c r="M61" s="10">
        <f t="shared" si="14"/>
        <v>4398</v>
      </c>
      <c r="N61" s="10">
        <f t="shared" si="14"/>
        <v>686.4</v>
      </c>
    </row>
    <row r="62">
      <c r="A62" s="46"/>
    </row>
    <row r="63">
      <c r="A63" s="132" t="s">
        <v>279</v>
      </c>
      <c r="B63" s="133"/>
      <c r="C63" s="72"/>
      <c r="D63" s="72"/>
      <c r="E63" s="72"/>
      <c r="F63" s="72"/>
      <c r="G63" s="72"/>
      <c r="H63" s="72"/>
      <c r="I63" s="72"/>
      <c r="J63" s="72"/>
      <c r="K63" s="72"/>
      <c r="L63" s="72"/>
      <c r="M63" s="72"/>
      <c r="N63" s="72"/>
      <c r="O63" s="72"/>
      <c r="P63" s="72"/>
      <c r="Q63" s="72"/>
      <c r="R63" s="72"/>
    </row>
    <row r="64">
      <c r="A64" s="5" t="s">
        <v>280</v>
      </c>
      <c r="B64" s="5" t="s">
        <v>281</v>
      </c>
      <c r="C64" s="5" t="s">
        <v>282</v>
      </c>
      <c r="D64" s="5" t="s">
        <v>283</v>
      </c>
      <c r="E64" s="5" t="s">
        <v>15</v>
      </c>
      <c r="F64" s="5" t="s">
        <v>16</v>
      </c>
      <c r="G64" s="5" t="s">
        <v>17</v>
      </c>
      <c r="H64" s="5" t="s">
        <v>68</v>
      </c>
      <c r="I64" s="5"/>
      <c r="N64" s="3" t="s">
        <v>129</v>
      </c>
    </row>
    <row r="65">
      <c r="A65" s="10">
        <f>sum(E19:E24)</f>
        <v>155610</v>
      </c>
      <c r="B65" s="51">
        <f>SUM(F39:F60)</f>
        <v>155545.7686</v>
      </c>
      <c r="C65" s="10">
        <f>SUM(J39:J60)</f>
        <v>81.028</v>
      </c>
      <c r="D65" s="51">
        <f>B65-C65</f>
        <v>155464.7406</v>
      </c>
      <c r="E65" s="10">
        <f t="shared" ref="E65:F65" si="15">SUM(H39:H60)</f>
        <v>2005.495154</v>
      </c>
      <c r="F65" s="10">
        <f t="shared" si="15"/>
        <v>299.2455287</v>
      </c>
      <c r="G65" s="10">
        <f>SUM(K39:K60)</f>
        <v>153160</v>
      </c>
      <c r="H65" s="37">
        <f>IFERROR(AVERAGE(G39:G60),"")</f>
        <v>2.93</v>
      </c>
      <c r="N65" s="37" t="str">
        <f>IFERROR(__xludf.DUMMYFUNCTION("TRIM(TEXTJOIN("", "",TRUE,IFERROR(FILTER(B19:B36,B19:B36&lt;&gt;""""),"""")))"),"2447-R, 2448-R, 2449-R, 2441-R, 2442-R, 2443-R")</f>
        <v>2447-R, 2448-R, 2449-R, 2441-R, 2442-R, 2443-R</v>
      </c>
    </row>
    <row r="66">
      <c r="A66" s="46"/>
    </row>
    <row r="68">
      <c r="A68" s="46"/>
    </row>
    <row r="69">
      <c r="A69" s="46"/>
    </row>
    <row r="70">
      <c r="A70" s="46"/>
      <c r="E70" s="3" t="s">
        <v>140</v>
      </c>
    </row>
    <row r="71">
      <c r="A71" s="46"/>
    </row>
    <row r="72">
      <c r="A72" s="46"/>
    </row>
    <row r="73">
      <c r="A73" s="46"/>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16.38"/>
    <col customWidth="1" min="9" max="9" width="35.13"/>
    <col customWidth="1" min="10" max="14" width="16.38"/>
  </cols>
  <sheetData>
    <row r="1">
      <c r="A1" s="1" t="s">
        <v>8</v>
      </c>
      <c r="B1" s="2"/>
      <c r="C1" s="2"/>
      <c r="D1" s="2"/>
      <c r="E1" s="2"/>
      <c r="F1" s="2"/>
      <c r="G1" s="2"/>
      <c r="H1" s="2"/>
      <c r="I1" s="2"/>
      <c r="J1" s="2"/>
      <c r="K1" s="2"/>
      <c r="L1" s="2"/>
      <c r="M1" s="2"/>
      <c r="N1" s="2"/>
    </row>
    <row r="2">
      <c r="A2" s="3" t="s">
        <v>12</v>
      </c>
      <c r="B2" s="3" t="s">
        <v>4</v>
      </c>
      <c r="K2" s="5" t="s">
        <v>14</v>
      </c>
    </row>
    <row r="3">
      <c r="A3" s="3" t="s">
        <v>5</v>
      </c>
      <c r="B3" s="4">
        <v>46256.0</v>
      </c>
      <c r="K3" s="5" t="s">
        <v>19</v>
      </c>
      <c r="L3" s="7">
        <v>2.20462</v>
      </c>
    </row>
    <row r="4">
      <c r="A4" s="3" t="s">
        <v>6</v>
      </c>
      <c r="B4" s="4">
        <v>46263.0</v>
      </c>
      <c r="K4" s="5" t="s">
        <v>22</v>
      </c>
      <c r="L4" s="7">
        <v>0.453592</v>
      </c>
    </row>
    <row r="5">
      <c r="K5" s="5" t="s">
        <v>24</v>
      </c>
      <c r="L5" s="7">
        <v>0.0129</v>
      </c>
    </row>
    <row r="6">
      <c r="K6" s="5" t="s">
        <v>25</v>
      </c>
      <c r="L6" s="3" t="s">
        <v>26</v>
      </c>
    </row>
    <row r="7">
      <c r="K7" s="3" t="s">
        <v>30</v>
      </c>
      <c r="L7" s="18">
        <f>HYPERLINK("https://docs.google.com/spreadsheets/d/16shKoa1KP34kQJyQvzclBejW9L5-ubNSqPsMOVB7zDY/edit?usp=sharing", 0.00195)</f>
        <v>0.00195</v>
      </c>
    </row>
    <row r="8">
      <c r="A8" s="1" t="s">
        <v>49</v>
      </c>
      <c r="B8" s="2"/>
      <c r="C8" s="2"/>
      <c r="D8" s="2"/>
      <c r="E8" s="2"/>
      <c r="F8" s="2"/>
      <c r="G8" s="2"/>
      <c r="H8" s="2"/>
      <c r="I8" s="2"/>
      <c r="J8" s="2"/>
      <c r="K8" s="2"/>
      <c r="L8" s="2"/>
      <c r="M8" s="2"/>
      <c r="N8" s="2"/>
    </row>
    <row r="9">
      <c r="A9" s="5" t="s">
        <v>63</v>
      </c>
      <c r="B9" s="5" t="s">
        <v>65</v>
      </c>
      <c r="C9" s="20" t="s">
        <v>66</v>
      </c>
      <c r="D9" s="20" t="s">
        <v>67</v>
      </c>
      <c r="E9" s="5" t="s">
        <v>68</v>
      </c>
      <c r="F9" s="5" t="s">
        <v>70</v>
      </c>
      <c r="G9" s="5" t="s">
        <v>15</v>
      </c>
      <c r="H9" s="5" t="s">
        <v>16</v>
      </c>
      <c r="I9" s="5" t="s">
        <v>17</v>
      </c>
      <c r="J9" s="5" t="s">
        <v>71</v>
      </c>
      <c r="K9" s="8"/>
      <c r="L9" s="3" t="s">
        <v>72</v>
      </c>
    </row>
    <row r="10">
      <c r="A10" s="26">
        <v>46263.0</v>
      </c>
      <c r="B10" s="28" t="str">
        <f>HYPERLINK("https://drive.google.com/file/d/1w9ncSyp6Zv7l8Npn_VJrzaPPR_tGVyFL/view","2473-T")</f>
        <v>2473-T</v>
      </c>
      <c r="C10" s="29">
        <v>19.99</v>
      </c>
      <c r="D10" s="29">
        <f t="shared" ref="D10:D24" si="1">IF(C10="","",C10*1000)</f>
        <v>19990</v>
      </c>
      <c r="E10" s="33">
        <v>2.93</v>
      </c>
      <c r="F10" s="3" t="s">
        <v>77</v>
      </c>
      <c r="G10" s="37">
        <f t="shared" ref="G10:G24" si="2">IF(D10="","",D10*$L$5)</f>
        <v>257.871</v>
      </c>
      <c r="H10" s="37">
        <f t="shared" ref="H10:H24" si="3">IF(D10="","",(D10-G10)*$L$7)</f>
        <v>38.47765155</v>
      </c>
      <c r="I10" s="10">
        <f t="shared" ref="I10:I24" si="4">IF(D10="","",D10-G10-H10)</f>
        <v>19693.65135</v>
      </c>
      <c r="J10" s="7">
        <v>0.385</v>
      </c>
      <c r="L10" s="3">
        <v>2197.0</v>
      </c>
    </row>
    <row r="11">
      <c r="A11" s="26">
        <v>46263.0</v>
      </c>
      <c r="B11" s="28" t="str">
        <f>HYPERLINK("https://drive.google.com/file/d/1y-SiWBZFwx8Gtm3wEs5CIUS7Vk37-khl/view","2475-T")</f>
        <v>2475-T</v>
      </c>
      <c r="C11" s="29">
        <v>19.46</v>
      </c>
      <c r="D11" s="29">
        <f t="shared" si="1"/>
        <v>19460</v>
      </c>
      <c r="E11" s="33">
        <v>2.93</v>
      </c>
      <c r="F11" s="3" t="s">
        <v>81</v>
      </c>
      <c r="G11" s="37">
        <f t="shared" si="2"/>
        <v>251.034</v>
      </c>
      <c r="H11" s="37">
        <f t="shared" si="3"/>
        <v>37.4574837</v>
      </c>
      <c r="I11" s="10">
        <f t="shared" si="4"/>
        <v>19171.50852</v>
      </c>
      <c r="J11" s="7">
        <v>0.385</v>
      </c>
      <c r="L11" s="3">
        <v>2197.0</v>
      </c>
    </row>
    <row r="12">
      <c r="A12" s="26">
        <v>46263.0</v>
      </c>
      <c r="B12" s="28" t="str">
        <f>HYPERLINK("https://drive.google.com/file/d/1kmstFd3Rc-Tw50qIaP1xjGozn_h7X-GH/view","2476-T")</f>
        <v>2476-T</v>
      </c>
      <c r="C12" s="29">
        <v>20.1</v>
      </c>
      <c r="D12" s="29">
        <f t="shared" si="1"/>
        <v>20100</v>
      </c>
      <c r="E12" s="33">
        <v>2.93</v>
      </c>
      <c r="F12" s="3" t="s">
        <v>81</v>
      </c>
      <c r="G12" s="37">
        <f t="shared" si="2"/>
        <v>259.29</v>
      </c>
      <c r="H12" s="37">
        <f t="shared" si="3"/>
        <v>38.6893845</v>
      </c>
      <c r="I12" s="10">
        <f t="shared" si="4"/>
        <v>19802.02062</v>
      </c>
      <c r="J12" s="7">
        <v>0.385</v>
      </c>
      <c r="L12" s="3">
        <v>2197.0</v>
      </c>
    </row>
    <row r="13">
      <c r="A13" s="26">
        <v>46263.0</v>
      </c>
      <c r="B13" s="28" t="str">
        <f>HYPERLINK("https://drive.google.com/file/d/1CaRRycxo-oOsKfrsn73gkX6EL7MvK0Wk/view","2478-T")</f>
        <v>2478-T</v>
      </c>
      <c r="C13" s="29">
        <v>19.47</v>
      </c>
      <c r="D13" s="29">
        <f t="shared" si="1"/>
        <v>19470</v>
      </c>
      <c r="E13" s="33">
        <v>2.93</v>
      </c>
      <c r="F13" s="3" t="s">
        <v>77</v>
      </c>
      <c r="G13" s="37">
        <f t="shared" si="2"/>
        <v>251.163</v>
      </c>
      <c r="H13" s="37">
        <f t="shared" si="3"/>
        <v>37.47673215</v>
      </c>
      <c r="I13" s="10">
        <f t="shared" si="4"/>
        <v>19181.36027</v>
      </c>
      <c r="J13" s="7">
        <v>0.385</v>
      </c>
      <c r="L13" s="3">
        <v>2197.0</v>
      </c>
    </row>
    <row r="14">
      <c r="A14" s="26">
        <v>46263.0</v>
      </c>
      <c r="B14" s="28" t="str">
        <f>HYPERLINK("https://drive.google.com/file/d/1WJu4JKq_CoxDfXKR7R4t8h2PBkqSUluy/view","2479-T")</f>
        <v>2479-T</v>
      </c>
      <c r="C14" s="29">
        <v>19.95</v>
      </c>
      <c r="D14" s="29">
        <f t="shared" si="1"/>
        <v>19950</v>
      </c>
      <c r="E14" s="33">
        <v>2.93</v>
      </c>
      <c r="F14" s="3" t="s">
        <v>77</v>
      </c>
      <c r="G14" s="37">
        <f t="shared" si="2"/>
        <v>257.355</v>
      </c>
      <c r="H14" s="37">
        <f t="shared" si="3"/>
        <v>38.40065775</v>
      </c>
      <c r="I14" s="10">
        <f t="shared" si="4"/>
        <v>19654.24434</v>
      </c>
      <c r="J14" s="7">
        <v>0.385</v>
      </c>
      <c r="L14" s="3">
        <v>2197.0</v>
      </c>
    </row>
    <row r="15">
      <c r="A15" s="26">
        <v>46263.0</v>
      </c>
      <c r="B15" s="18" t="str">
        <f>HYPERLINK("https://drive.google.com/file/d/1YeP7H4ij91CBOQjhhmRvPsufb4qB03Gz/view","2480-T")</f>
        <v>2480-T</v>
      </c>
      <c r="C15" s="29">
        <v>19.91</v>
      </c>
      <c r="D15" s="29">
        <f t="shared" si="1"/>
        <v>19910</v>
      </c>
      <c r="E15" s="33">
        <v>2.93</v>
      </c>
      <c r="F15" s="3" t="s">
        <v>91</v>
      </c>
      <c r="G15" s="37">
        <f t="shared" si="2"/>
        <v>256.839</v>
      </c>
      <c r="H15" s="37">
        <f t="shared" si="3"/>
        <v>38.32366395</v>
      </c>
      <c r="I15" s="10">
        <f t="shared" si="4"/>
        <v>19614.83734</v>
      </c>
      <c r="J15" s="7">
        <v>0.385</v>
      </c>
      <c r="L15" s="3">
        <v>2197.0</v>
      </c>
    </row>
    <row r="16">
      <c r="A16" s="26">
        <v>46263.0</v>
      </c>
      <c r="B16" s="18" t="str">
        <f>HYPERLINK("https://drive.google.com/file/d/1rTaerP2EP0F_870HVoQzXuADL5T2BnUK/view","2482-T")</f>
        <v>2482-T</v>
      </c>
      <c r="C16" s="29">
        <v>19.96</v>
      </c>
      <c r="D16" s="49">
        <f t="shared" si="1"/>
        <v>19960</v>
      </c>
      <c r="E16" s="33">
        <v>2.93</v>
      </c>
      <c r="F16" s="3" t="s">
        <v>94</v>
      </c>
      <c r="G16" s="37">
        <f t="shared" si="2"/>
        <v>257.484</v>
      </c>
      <c r="H16" s="37">
        <f t="shared" si="3"/>
        <v>38.4199062</v>
      </c>
      <c r="I16" s="10">
        <f t="shared" si="4"/>
        <v>19664.09609</v>
      </c>
      <c r="J16" s="7">
        <v>0.385</v>
      </c>
      <c r="L16" s="3">
        <v>2197.0</v>
      </c>
    </row>
    <row r="17">
      <c r="A17" s="26">
        <v>46263.0</v>
      </c>
      <c r="B17" s="18" t="str">
        <f>HYPERLINK("https://drive.google.com/file/d/1VFY2kXSVbKu2XYjKjP9I1EpukLD5GHEv/view","2483-T")</f>
        <v>2483-T</v>
      </c>
      <c r="C17" s="29">
        <v>20.01</v>
      </c>
      <c r="D17" s="49">
        <f t="shared" si="1"/>
        <v>20010</v>
      </c>
      <c r="E17" s="33">
        <v>2.93</v>
      </c>
      <c r="F17" s="3" t="s">
        <v>94</v>
      </c>
      <c r="G17" s="37">
        <f t="shared" si="2"/>
        <v>258.129</v>
      </c>
      <c r="H17" s="37">
        <f t="shared" si="3"/>
        <v>38.51614845</v>
      </c>
      <c r="I17" s="10">
        <f t="shared" si="4"/>
        <v>19713.35485</v>
      </c>
      <c r="J17" s="7">
        <v>0.385</v>
      </c>
      <c r="L17" s="3">
        <v>2197.0</v>
      </c>
    </row>
    <row r="18">
      <c r="A18" s="46"/>
      <c r="C18" s="49"/>
      <c r="D18" s="49" t="str">
        <f t="shared" si="1"/>
        <v/>
      </c>
      <c r="E18" s="52"/>
      <c r="G18" s="37" t="str">
        <f t="shared" si="2"/>
        <v/>
      </c>
      <c r="H18" s="37" t="str">
        <f t="shared" si="3"/>
        <v/>
      </c>
      <c r="I18" s="37" t="str">
        <f t="shared" si="4"/>
        <v/>
      </c>
    </row>
    <row r="19">
      <c r="A19" s="46"/>
      <c r="C19" s="49"/>
      <c r="D19" s="49" t="str">
        <f t="shared" si="1"/>
        <v/>
      </c>
      <c r="E19" s="52"/>
      <c r="G19" s="37" t="str">
        <f t="shared" si="2"/>
        <v/>
      </c>
      <c r="H19" s="37" t="str">
        <f t="shared" si="3"/>
        <v/>
      </c>
      <c r="I19" s="37" t="str">
        <f t="shared" si="4"/>
        <v/>
      </c>
    </row>
    <row r="20">
      <c r="A20" s="46"/>
      <c r="C20" s="49"/>
      <c r="D20" s="49" t="str">
        <f t="shared" si="1"/>
        <v/>
      </c>
      <c r="E20" s="52"/>
      <c r="G20" s="37" t="str">
        <f t="shared" si="2"/>
        <v/>
      </c>
      <c r="H20" s="37" t="str">
        <f t="shared" si="3"/>
        <v/>
      </c>
      <c r="I20" s="37" t="str">
        <f t="shared" si="4"/>
        <v/>
      </c>
      <c r="L20" s="59">
        <f>SUM(L10:L17)</f>
        <v>17576</v>
      </c>
    </row>
    <row r="21">
      <c r="A21" s="46"/>
      <c r="C21" s="49"/>
      <c r="D21" s="49" t="str">
        <f t="shared" si="1"/>
        <v/>
      </c>
      <c r="E21" s="52"/>
      <c r="G21" s="37" t="str">
        <f t="shared" si="2"/>
        <v/>
      </c>
      <c r="H21" s="37" t="str">
        <f t="shared" si="3"/>
        <v/>
      </c>
      <c r="I21" s="37" t="str">
        <f t="shared" si="4"/>
        <v/>
      </c>
    </row>
    <row r="22">
      <c r="A22" s="46"/>
      <c r="C22" s="49"/>
      <c r="D22" s="49" t="str">
        <f t="shared" si="1"/>
        <v/>
      </c>
      <c r="E22" s="52"/>
      <c r="G22" s="37" t="str">
        <f t="shared" si="2"/>
        <v/>
      </c>
      <c r="H22" s="37" t="str">
        <f t="shared" si="3"/>
        <v/>
      </c>
      <c r="I22" s="37" t="str">
        <f t="shared" si="4"/>
        <v/>
      </c>
    </row>
    <row r="23">
      <c r="A23" s="46"/>
      <c r="C23" s="49"/>
      <c r="D23" s="49" t="str">
        <f t="shared" si="1"/>
        <v/>
      </c>
      <c r="E23" s="52"/>
      <c r="G23" s="37" t="str">
        <f t="shared" si="2"/>
        <v/>
      </c>
      <c r="H23" s="37" t="str">
        <f t="shared" si="3"/>
        <v/>
      </c>
      <c r="I23" s="37" t="str">
        <f t="shared" si="4"/>
        <v/>
      </c>
    </row>
    <row r="24">
      <c r="A24" s="46"/>
      <c r="C24" s="49"/>
      <c r="D24" s="49" t="str">
        <f t="shared" si="1"/>
        <v/>
      </c>
      <c r="E24" s="52"/>
      <c r="G24" s="37" t="str">
        <f t="shared" si="2"/>
        <v/>
      </c>
      <c r="H24" s="37" t="str">
        <f t="shared" si="3"/>
        <v/>
      </c>
      <c r="I24" s="37" t="str">
        <f t="shared" si="4"/>
        <v/>
      </c>
    </row>
    <row r="25">
      <c r="A25" s="46"/>
      <c r="C25" s="10"/>
      <c r="D25" s="10"/>
      <c r="E25" s="10"/>
      <c r="F25" s="10"/>
      <c r="G25" s="10"/>
      <c r="H25" s="52"/>
    </row>
    <row r="26">
      <c r="A26" s="1" t="s">
        <v>118</v>
      </c>
      <c r="B26" s="2"/>
      <c r="C26" s="69"/>
      <c r="D26" s="69"/>
      <c r="E26" s="69"/>
      <c r="F26" s="69"/>
      <c r="G26" s="69"/>
      <c r="H26" s="73"/>
      <c r="I26" s="2"/>
      <c r="J26" s="2"/>
      <c r="K26" s="2"/>
      <c r="L26" s="2"/>
      <c r="M26" s="2"/>
      <c r="N26" s="2"/>
    </row>
    <row r="27">
      <c r="A27" s="5" t="s">
        <v>122</v>
      </c>
      <c r="B27" s="50" t="s">
        <v>13</v>
      </c>
      <c r="C27" s="50" t="s">
        <v>15</v>
      </c>
      <c r="D27" s="50" t="s">
        <v>16</v>
      </c>
      <c r="E27" s="50" t="s">
        <v>125</v>
      </c>
      <c r="F27" s="50" t="s">
        <v>17</v>
      </c>
      <c r="G27" s="74" t="s">
        <v>68</v>
      </c>
      <c r="H27" s="5" t="s">
        <v>127</v>
      </c>
      <c r="I27" s="5"/>
      <c r="J27" s="5" t="s">
        <v>129</v>
      </c>
      <c r="K27" s="8"/>
      <c r="L27" s="8"/>
      <c r="M27" s="8"/>
    </row>
    <row r="28">
      <c r="A28" s="51">
        <f>SUMIFS(D10:D24,B10:B24,"&lt;&gt;")</f>
        <v>158850</v>
      </c>
      <c r="B28" s="14">
        <f>A28</f>
        <v>158850</v>
      </c>
      <c r="C28" s="10">
        <f>B28*$L$5</f>
        <v>2049.165</v>
      </c>
      <c r="D28" s="35">
        <f>(B28-C28)*$L$7</f>
        <v>305.7616283</v>
      </c>
      <c r="E28" s="33">
        <v>0.0</v>
      </c>
      <c r="F28" s="51">
        <f>B28-C28-D28-E28</f>
        <v>156495.0734</v>
      </c>
      <c r="G28" s="52">
        <f>IFERROR(AVERAGE(E10:E24),"")</f>
        <v>2.93</v>
      </c>
      <c r="H28" s="37">
        <f>IFERROR(SUMPRODUCT(I10:I24,J10:J24)/SUM(I10:I24),"")</f>
        <v>0.385</v>
      </c>
      <c r="J28" s="37" t="str">
        <f>IFERROR(__xludf.DUMMYFUNCTION("TRIM(TEXTJOIN("", "",TRUE,IFERROR(FILTER(B10:B24,B10:B24&lt;&gt;""""),"""")))"),"2473-T, 2475-T, 2476-T, 2478-T, 2479-T, 2480-T, 2482-T, 2483-T")</f>
        <v>2473-T, 2475-T, 2476-T, 2478-T, 2479-T, 2480-T, 2482-T, 2483-T</v>
      </c>
    </row>
    <row r="29">
      <c r="A29" s="46"/>
      <c r="C29" s="10"/>
      <c r="D29" s="10"/>
      <c r="E29" s="10"/>
      <c r="F29" s="10"/>
      <c r="G29" s="10"/>
      <c r="H29" s="52"/>
    </row>
    <row r="30">
      <c r="A30" s="46"/>
      <c r="C30" s="10"/>
      <c r="D30" s="10"/>
      <c r="E30" s="10"/>
      <c r="F30" s="10"/>
      <c r="G30" s="10"/>
      <c r="H30" s="52"/>
    </row>
    <row r="31">
      <c r="A31" s="46"/>
    </row>
    <row r="32">
      <c r="A32" s="46"/>
    </row>
    <row r="33">
      <c r="A33" s="46"/>
    </row>
    <row r="34">
      <c r="A34" s="46"/>
    </row>
    <row r="35">
      <c r="A35" s="46"/>
    </row>
    <row r="36">
      <c r="A36" s="46"/>
    </row>
    <row r="37">
      <c r="A37" s="46"/>
    </row>
    <row r="38">
      <c r="A38" s="46"/>
    </row>
    <row r="39">
      <c r="A39" s="46"/>
    </row>
    <row r="40">
      <c r="A40" s="46"/>
    </row>
    <row r="41">
      <c r="A41" s="46"/>
    </row>
    <row r="42">
      <c r="A42" s="46"/>
    </row>
    <row r="43">
      <c r="A43" s="46"/>
    </row>
    <row r="44">
      <c r="A44" s="46"/>
    </row>
    <row r="45">
      <c r="A45" s="46"/>
    </row>
    <row r="46">
      <c r="A46" s="46"/>
    </row>
    <row r="47">
      <c r="A47" s="46"/>
    </row>
    <row r="48">
      <c r="A48" s="46"/>
    </row>
    <row r="49">
      <c r="A49" s="46"/>
    </row>
    <row r="50">
      <c r="A50" s="46"/>
    </row>
    <row r="51">
      <c r="A51" s="46"/>
    </row>
    <row r="52">
      <c r="A52" s="46"/>
    </row>
    <row r="53">
      <c r="A53" s="46"/>
    </row>
    <row r="54">
      <c r="A54" s="46"/>
    </row>
    <row r="55">
      <c r="A55" s="46"/>
    </row>
    <row r="56">
      <c r="A56" s="46"/>
    </row>
    <row r="57">
      <c r="A57" s="46"/>
    </row>
    <row r="58">
      <c r="A58" s="46"/>
    </row>
    <row r="59">
      <c r="A59" s="46"/>
    </row>
    <row r="60">
      <c r="A60" s="46"/>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5"/>
    <col customWidth="1" min="3" max="3" width="16.38"/>
    <col customWidth="1" min="4" max="4" width="23.88"/>
    <col customWidth="1" min="5" max="6" width="21.13"/>
    <col customWidth="1" min="7" max="7" width="37.13"/>
    <col customWidth="1" min="8" max="8" width="20.88"/>
    <col customWidth="1" min="9" max="9" width="19.0"/>
    <col customWidth="1" min="10" max="15" width="16.38"/>
  </cols>
  <sheetData>
    <row r="1">
      <c r="A1" s="1" t="s">
        <v>2</v>
      </c>
      <c r="B1" s="2"/>
      <c r="C1" s="2"/>
      <c r="D1" s="2"/>
      <c r="E1" s="2"/>
      <c r="F1" s="2"/>
      <c r="G1" s="2"/>
      <c r="H1" s="2"/>
      <c r="I1" s="2"/>
      <c r="J1" s="2"/>
      <c r="K1" s="2"/>
      <c r="L1" s="2"/>
      <c r="M1" s="2"/>
      <c r="N1" s="2"/>
      <c r="O1" s="2"/>
    </row>
    <row r="2">
      <c r="A2" s="3" t="s">
        <v>12</v>
      </c>
      <c r="B2" s="3" t="s">
        <v>4</v>
      </c>
      <c r="K2" s="5" t="s">
        <v>14</v>
      </c>
    </row>
    <row r="3">
      <c r="A3" s="3" t="s">
        <v>5</v>
      </c>
      <c r="B3" s="4">
        <v>46256.0</v>
      </c>
      <c r="K3" s="5" t="s">
        <v>19</v>
      </c>
      <c r="L3" s="7">
        <v>2.20462</v>
      </c>
    </row>
    <row r="4">
      <c r="A4" s="3" t="s">
        <v>6</v>
      </c>
      <c r="B4" s="4">
        <v>46263.0</v>
      </c>
      <c r="K4" s="5" t="s">
        <v>22</v>
      </c>
      <c r="L4" s="7">
        <v>0.453592</v>
      </c>
    </row>
    <row r="5">
      <c r="K5" s="5" t="s">
        <v>24</v>
      </c>
      <c r="L5" s="7">
        <v>0.0129</v>
      </c>
    </row>
    <row r="6">
      <c r="K6" s="5" t="s">
        <v>25</v>
      </c>
      <c r="L6" s="3" t="s">
        <v>26</v>
      </c>
    </row>
    <row r="7">
      <c r="K7" s="3" t="s">
        <v>27</v>
      </c>
      <c r="L7" s="7">
        <v>0.795241</v>
      </c>
    </row>
    <row r="8">
      <c r="A8" s="1" t="s">
        <v>28</v>
      </c>
      <c r="B8" s="2"/>
      <c r="C8" s="2"/>
      <c r="D8" s="2"/>
      <c r="E8" s="2"/>
      <c r="F8" s="2"/>
      <c r="G8" s="2"/>
      <c r="H8" s="2"/>
      <c r="I8" s="2"/>
      <c r="J8" s="2"/>
      <c r="K8" s="1" t="s">
        <v>29</v>
      </c>
      <c r="L8" s="9">
        <v>7.84</v>
      </c>
      <c r="M8" s="11" t="str">
        <f>HYPERLINK("https://docs.google.com/spreadsheets/d/15fnYOYMmu-7a-p8Alst6mAOsV7X854y6HBDYwQRUm5s/edit","Tote Loss Dataset")</f>
        <v>Tote Loss Dataset</v>
      </c>
      <c r="N8" s="2"/>
      <c r="O8" s="2"/>
    </row>
    <row r="9">
      <c r="A9" s="6"/>
      <c r="B9" s="13" t="s">
        <v>31</v>
      </c>
      <c r="D9" s="13" t="s">
        <v>32</v>
      </c>
      <c r="F9" s="13" t="s">
        <v>33</v>
      </c>
      <c r="G9" s="6"/>
      <c r="H9" s="6"/>
      <c r="I9" s="6"/>
      <c r="J9" s="15"/>
      <c r="K9" s="5" t="s">
        <v>35</v>
      </c>
      <c r="L9" s="8"/>
      <c r="M9" s="8"/>
    </row>
    <row r="10">
      <c r="A10" s="13" t="s">
        <v>36</v>
      </c>
      <c r="B10" s="13" t="s">
        <v>37</v>
      </c>
      <c r="C10" s="16" t="s">
        <v>39</v>
      </c>
      <c r="D10" s="17" t="s">
        <v>41</v>
      </c>
      <c r="E10" s="16" t="s">
        <v>43</v>
      </c>
      <c r="F10" s="17" t="s">
        <v>45</v>
      </c>
      <c r="G10" s="19" t="s">
        <v>47</v>
      </c>
      <c r="H10" s="21" t="s">
        <v>50</v>
      </c>
      <c r="I10" s="20" t="s">
        <v>54</v>
      </c>
      <c r="J10" s="20" t="s">
        <v>57</v>
      </c>
      <c r="K10" s="3" t="s">
        <v>59</v>
      </c>
      <c r="L10" s="7">
        <v>0.7128290192302931</v>
      </c>
      <c r="M10" s="18" t="str">
        <f>HYPERLINK("https://docs.google.com/spreadsheets/d/1L167k_JS3mnisFy3VpS-OXgI8U0cK-4nC6A9sxl-ozk/edit","PP Summary")</f>
        <v>PP Summary</v>
      </c>
    </row>
    <row r="11">
      <c r="A11" s="25">
        <v>301047.0</v>
      </c>
      <c r="B11" s="27">
        <v>1198.0</v>
      </c>
      <c r="C11" s="27">
        <v>57.6</v>
      </c>
      <c r="D11" s="30">
        <f t="shared" ref="D11:D28" si="1">B11-C11</f>
        <v>1140.4</v>
      </c>
      <c r="E11" s="27">
        <f t="shared" ref="E11:E28" si="2">$L$8</f>
        <v>7.84</v>
      </c>
      <c r="F11" s="30">
        <f t="shared" ref="F11:F28" si="3">D11-E11</f>
        <v>1132.56</v>
      </c>
      <c r="G11" s="31" t="s">
        <v>75</v>
      </c>
      <c r="H11" s="34">
        <f t="shared" ref="H11:H16" si="4">$L$15</f>
        <v>0.790064533</v>
      </c>
      <c r="I11" s="38">
        <f t="shared" ref="I11:I28" si="5">IF(H11="","",H11*D11)</f>
        <v>900.9895934</v>
      </c>
      <c r="J11" s="40">
        <f t="shared" ref="J11:J28" si="6">2.5*$L$4</f>
        <v>1.13398</v>
      </c>
      <c r="K11" s="42">
        <v>45962.0</v>
      </c>
      <c r="L11" s="7">
        <v>0.9748408534875329</v>
      </c>
      <c r="M11" s="18" t="str">
        <f>HYPERLINK("https://docs.google.com/spreadsheets/d/1W8jWu3sp39WnSuds1Ja0FWDG5UuWN9v5NUmF6yh_WbI/edit","PP Summary")</f>
        <v>PP Summary</v>
      </c>
    </row>
    <row r="12">
      <c r="A12" s="25">
        <v>301052.0</v>
      </c>
      <c r="B12" s="27">
        <v>1119.0</v>
      </c>
      <c r="C12" s="27">
        <v>57.6</v>
      </c>
      <c r="D12" s="30">
        <f t="shared" si="1"/>
        <v>1061.4</v>
      </c>
      <c r="E12" s="27">
        <f t="shared" si="2"/>
        <v>7.84</v>
      </c>
      <c r="F12" s="30">
        <f t="shared" si="3"/>
        <v>1053.56</v>
      </c>
      <c r="G12" s="31" t="s">
        <v>79</v>
      </c>
      <c r="H12" s="34">
        <f t="shared" si="4"/>
        <v>0.790064533</v>
      </c>
      <c r="I12" s="38">
        <f t="shared" si="5"/>
        <v>838.5744953</v>
      </c>
      <c r="J12" s="40">
        <f t="shared" si="6"/>
        <v>1.13398</v>
      </c>
      <c r="K12" s="42">
        <v>45992.0</v>
      </c>
      <c r="L12" s="7">
        <v>0.9721828239230533</v>
      </c>
      <c r="M12" s="18" t="str">
        <f>HYPERLINK("https://docs.google.com/spreadsheets/d/1-L6m2wYknC3o-yIts9KK7FrYAb5lZIv4AwaizK8FbMc/edit","PP Summary")</f>
        <v>PP Summary</v>
      </c>
    </row>
    <row r="13">
      <c r="A13" s="25">
        <v>301068.0</v>
      </c>
      <c r="B13" s="27">
        <v>1170.0</v>
      </c>
      <c r="C13" s="27">
        <v>57.6</v>
      </c>
      <c r="D13" s="30">
        <f t="shared" si="1"/>
        <v>1112.4</v>
      </c>
      <c r="E13" s="27">
        <f t="shared" si="2"/>
        <v>7.84</v>
      </c>
      <c r="F13" s="30">
        <f t="shared" si="3"/>
        <v>1104.56</v>
      </c>
      <c r="G13" s="31" t="s">
        <v>84</v>
      </c>
      <c r="H13" s="34">
        <f t="shared" si="4"/>
        <v>0.790064533</v>
      </c>
      <c r="I13" s="38">
        <f t="shared" si="5"/>
        <v>878.8677865</v>
      </c>
      <c r="J13" s="40">
        <f t="shared" si="6"/>
        <v>1.13398</v>
      </c>
      <c r="K13" s="42">
        <v>46023.0</v>
      </c>
      <c r="L13" s="7">
        <v>0.9319944877512889</v>
      </c>
      <c r="M13" s="18" t="str">
        <f>HYPERLINK("https://docs.google.com/spreadsheets/d/1bPZ7pNsR5rv-om-BypF4lK3nczjn4HJNO2dzimwnx7E/edit","PP Summary")</f>
        <v>PP Summary</v>
      </c>
    </row>
    <row r="14">
      <c r="A14" s="25">
        <v>301081.0</v>
      </c>
      <c r="B14" s="27">
        <v>1138.0</v>
      </c>
      <c r="C14" s="27">
        <v>57.6</v>
      </c>
      <c r="D14" s="30">
        <f t="shared" si="1"/>
        <v>1080.4</v>
      </c>
      <c r="E14" s="27">
        <f t="shared" si="2"/>
        <v>7.84</v>
      </c>
      <c r="F14" s="30">
        <f t="shared" si="3"/>
        <v>1072.56</v>
      </c>
      <c r="G14" s="31" t="s">
        <v>85</v>
      </c>
      <c r="H14" s="34">
        <f t="shared" si="4"/>
        <v>0.790064533</v>
      </c>
      <c r="I14" s="38">
        <f t="shared" si="5"/>
        <v>853.5857214</v>
      </c>
      <c r="J14" s="40">
        <f t="shared" si="6"/>
        <v>1.13398</v>
      </c>
      <c r="K14" s="42">
        <v>46054.0</v>
      </c>
      <c r="L14" s="7">
        <v>0.84989612258998</v>
      </c>
      <c r="M14" s="18" t="str">
        <f>HYPERLINK("https://docs.google.com/spreadsheets/d/1vH7bborVnc-TCby3wEkpzi7GGMOI5jMJooEW0V-rOQ4/edit","PP Summary")</f>
        <v>PP Summary</v>
      </c>
    </row>
    <row r="15">
      <c r="A15" s="25">
        <v>301091.0</v>
      </c>
      <c r="B15" s="27">
        <v>1103.0</v>
      </c>
      <c r="C15" s="27">
        <v>57.6</v>
      </c>
      <c r="D15" s="30">
        <f t="shared" si="1"/>
        <v>1045.4</v>
      </c>
      <c r="E15" s="27">
        <f t="shared" si="2"/>
        <v>7.84</v>
      </c>
      <c r="F15" s="30">
        <f t="shared" si="3"/>
        <v>1037.56</v>
      </c>
      <c r="G15" s="31" t="s">
        <v>87</v>
      </c>
      <c r="H15" s="34">
        <f t="shared" si="4"/>
        <v>0.790064533</v>
      </c>
      <c r="I15" s="38">
        <f t="shared" si="5"/>
        <v>825.9334628</v>
      </c>
      <c r="J15" s="40">
        <f t="shared" si="6"/>
        <v>1.13398</v>
      </c>
      <c r="K15" s="42">
        <v>46082.0</v>
      </c>
      <c r="L15" s="7">
        <v>0.7900645329689984</v>
      </c>
      <c r="M15" s="18" t="str">
        <f>HYPERLINK("https://docs.google.com/spreadsheets/d/1O7y30opa_u1_deqFm_w2qgVyxi_75X00xnzKuyVyh6o/edit","PP Summary")</f>
        <v>PP Summary</v>
      </c>
    </row>
    <row r="16">
      <c r="A16" s="25">
        <v>301096.0</v>
      </c>
      <c r="B16" s="27">
        <v>968.0</v>
      </c>
      <c r="C16" s="27">
        <v>57.6</v>
      </c>
      <c r="D16" s="30">
        <f t="shared" si="1"/>
        <v>910.4</v>
      </c>
      <c r="E16" s="27">
        <f t="shared" si="2"/>
        <v>7.84</v>
      </c>
      <c r="F16" s="30">
        <f t="shared" si="3"/>
        <v>902.56</v>
      </c>
      <c r="G16" s="31" t="s">
        <v>90</v>
      </c>
      <c r="H16" s="34">
        <f t="shared" si="4"/>
        <v>0.790064533</v>
      </c>
      <c r="I16" s="38">
        <f t="shared" si="5"/>
        <v>719.2747508</v>
      </c>
      <c r="J16" s="40">
        <f t="shared" si="6"/>
        <v>1.13398</v>
      </c>
      <c r="K16" s="42">
        <v>46113.0</v>
      </c>
      <c r="L16" s="7">
        <v>0.7848323401347014</v>
      </c>
      <c r="M16" s="18" t="str">
        <f>HYPERLINK("https://docs.google.com/spreadsheets/d/10Qwx7K6sUcOBrCebGUGVaVeLQnhzvcT8sHQ0Sy3VBBM/edit","PP Summary")</f>
        <v>PP Summary</v>
      </c>
    </row>
    <row r="17">
      <c r="A17" s="25">
        <v>301241.0</v>
      </c>
      <c r="B17" s="27">
        <v>1241.0</v>
      </c>
      <c r="C17" s="27">
        <v>57.6</v>
      </c>
      <c r="D17" s="30">
        <f t="shared" si="1"/>
        <v>1183.4</v>
      </c>
      <c r="E17" s="27">
        <f t="shared" si="2"/>
        <v>7.84</v>
      </c>
      <c r="F17" s="30">
        <f t="shared" si="3"/>
        <v>1175.56</v>
      </c>
      <c r="G17" s="31" t="s">
        <v>92</v>
      </c>
      <c r="H17" s="34">
        <f t="shared" ref="H17:H18" si="7">$L$19</f>
        <v>0.795241</v>
      </c>
      <c r="I17" s="38">
        <f t="shared" si="5"/>
        <v>941.0881994</v>
      </c>
      <c r="J17" s="40">
        <f t="shared" si="6"/>
        <v>1.13398</v>
      </c>
      <c r="K17" s="42">
        <v>46143.0</v>
      </c>
      <c r="L17" s="7">
        <v>0.6328458891234968</v>
      </c>
      <c r="M17" s="18" t="str">
        <f>HYPERLINK("https://docs.google.com/spreadsheets/d/1m66t1jsLGc4e6AWnCFMsFbkSceZ9IYC_-bfTsbP_OYc/edit","PP Summary")</f>
        <v>PP Summary</v>
      </c>
    </row>
    <row r="18">
      <c r="A18" s="25">
        <v>301250.0</v>
      </c>
      <c r="B18" s="27">
        <v>1181.0</v>
      </c>
      <c r="C18" s="27">
        <v>57.6</v>
      </c>
      <c r="D18" s="30">
        <f t="shared" si="1"/>
        <v>1123.4</v>
      </c>
      <c r="E18" s="27">
        <f t="shared" si="2"/>
        <v>7.84</v>
      </c>
      <c r="F18" s="30">
        <f t="shared" si="3"/>
        <v>1115.56</v>
      </c>
      <c r="G18" s="31" t="s">
        <v>106</v>
      </c>
      <c r="H18" s="34">
        <f t="shared" si="7"/>
        <v>0.795241</v>
      </c>
      <c r="I18" s="38">
        <f t="shared" si="5"/>
        <v>893.3737394</v>
      </c>
      <c r="J18" s="40">
        <f t="shared" si="6"/>
        <v>1.13398</v>
      </c>
      <c r="K18" s="42">
        <v>46174.0</v>
      </c>
      <c r="L18" s="7">
        <v>1.1105355635937064</v>
      </c>
      <c r="M18" s="18" t="str">
        <f>HYPERLINK("https://docs.google.com/spreadsheets/d/1MUQajDI2a_Cn9xWGPP7z4PhhphZnfl2_CSTnpB07Wgk/edit","PP Summary")</f>
        <v>PP Summary</v>
      </c>
    </row>
    <row r="19">
      <c r="A19" s="25">
        <v>301251.0</v>
      </c>
      <c r="B19" s="27">
        <v>1123.0</v>
      </c>
      <c r="C19" s="27">
        <v>57.6</v>
      </c>
      <c r="D19" s="30">
        <f t="shared" si="1"/>
        <v>1065.4</v>
      </c>
      <c r="E19" s="27">
        <f t="shared" si="2"/>
        <v>7.84</v>
      </c>
      <c r="F19" s="30">
        <f t="shared" si="3"/>
        <v>1057.56</v>
      </c>
      <c r="G19" s="31" t="s">
        <v>107</v>
      </c>
      <c r="H19" s="34">
        <f>$L$18</f>
        <v>1.110535564</v>
      </c>
      <c r="I19" s="38">
        <f t="shared" si="5"/>
        <v>1183.164589</v>
      </c>
      <c r="J19" s="40">
        <f t="shared" si="6"/>
        <v>1.13398</v>
      </c>
      <c r="K19" s="3" t="s">
        <v>108</v>
      </c>
      <c r="L19" s="37">
        <f>$L$7</f>
        <v>0.795241</v>
      </c>
    </row>
    <row r="20">
      <c r="A20" s="25">
        <v>301264.0</v>
      </c>
      <c r="B20" s="27">
        <v>1177.0</v>
      </c>
      <c r="C20" s="27">
        <v>57.6</v>
      </c>
      <c r="D20" s="30">
        <f t="shared" si="1"/>
        <v>1119.4</v>
      </c>
      <c r="E20" s="27">
        <f t="shared" si="2"/>
        <v>7.84</v>
      </c>
      <c r="F20" s="30">
        <f t="shared" si="3"/>
        <v>1111.56</v>
      </c>
      <c r="G20" s="31" t="s">
        <v>109</v>
      </c>
      <c r="H20" s="34">
        <f t="shared" ref="H20:H25" si="8">$L$19</f>
        <v>0.795241</v>
      </c>
      <c r="I20" s="38">
        <f t="shared" si="5"/>
        <v>890.1927754</v>
      </c>
      <c r="J20" s="40">
        <f t="shared" si="6"/>
        <v>1.13398</v>
      </c>
    </row>
    <row r="21">
      <c r="A21" s="25">
        <v>301286.0</v>
      </c>
      <c r="B21" s="27">
        <v>1213.0</v>
      </c>
      <c r="C21" s="27">
        <v>57.6</v>
      </c>
      <c r="D21" s="30">
        <f t="shared" si="1"/>
        <v>1155.4</v>
      </c>
      <c r="E21" s="27">
        <f t="shared" si="2"/>
        <v>7.84</v>
      </c>
      <c r="F21" s="30">
        <f t="shared" si="3"/>
        <v>1147.56</v>
      </c>
      <c r="G21" s="31" t="s">
        <v>110</v>
      </c>
      <c r="H21" s="34">
        <f t="shared" si="8"/>
        <v>0.795241</v>
      </c>
      <c r="I21" s="38">
        <f t="shared" si="5"/>
        <v>918.8214514</v>
      </c>
      <c r="J21" s="40">
        <f t="shared" si="6"/>
        <v>1.13398</v>
      </c>
    </row>
    <row r="22">
      <c r="A22" s="25">
        <v>301304.0</v>
      </c>
      <c r="B22" s="27">
        <v>1131.0</v>
      </c>
      <c r="C22" s="27">
        <v>57.6</v>
      </c>
      <c r="D22" s="30">
        <f t="shared" si="1"/>
        <v>1073.4</v>
      </c>
      <c r="E22" s="27">
        <f t="shared" si="2"/>
        <v>7.84</v>
      </c>
      <c r="F22" s="30">
        <f t="shared" si="3"/>
        <v>1065.56</v>
      </c>
      <c r="G22" s="31" t="s">
        <v>112</v>
      </c>
      <c r="H22" s="34">
        <f t="shared" si="8"/>
        <v>0.795241</v>
      </c>
      <c r="I22" s="38">
        <f t="shared" si="5"/>
        <v>853.6116894</v>
      </c>
      <c r="J22" s="40">
        <f t="shared" si="6"/>
        <v>1.13398</v>
      </c>
    </row>
    <row r="23">
      <c r="A23" s="25">
        <v>301314.0</v>
      </c>
      <c r="B23" s="27">
        <v>1103.0</v>
      </c>
      <c r="C23" s="27">
        <v>57.6</v>
      </c>
      <c r="D23" s="30">
        <f t="shared" si="1"/>
        <v>1045.4</v>
      </c>
      <c r="E23" s="27">
        <f t="shared" si="2"/>
        <v>7.84</v>
      </c>
      <c r="F23" s="30">
        <f t="shared" si="3"/>
        <v>1037.56</v>
      </c>
      <c r="G23" s="31" t="s">
        <v>113</v>
      </c>
      <c r="H23" s="34">
        <f t="shared" si="8"/>
        <v>0.795241</v>
      </c>
      <c r="I23" s="38">
        <f t="shared" si="5"/>
        <v>831.3449414</v>
      </c>
      <c r="J23" s="40">
        <f t="shared" si="6"/>
        <v>1.13398</v>
      </c>
    </row>
    <row r="24">
      <c r="A24" s="25">
        <v>301333.0</v>
      </c>
      <c r="B24" s="27">
        <v>1096.0</v>
      </c>
      <c r="C24" s="27">
        <v>57.6</v>
      </c>
      <c r="D24" s="30">
        <f t="shared" si="1"/>
        <v>1038.4</v>
      </c>
      <c r="E24" s="27">
        <f t="shared" si="2"/>
        <v>7.84</v>
      </c>
      <c r="F24" s="30">
        <f t="shared" si="3"/>
        <v>1030.56</v>
      </c>
      <c r="G24" s="31" t="s">
        <v>114</v>
      </c>
      <c r="H24" s="34">
        <f t="shared" si="8"/>
        <v>0.795241</v>
      </c>
      <c r="I24" s="38">
        <f t="shared" si="5"/>
        <v>825.7782544</v>
      </c>
      <c r="J24" s="40">
        <f t="shared" si="6"/>
        <v>1.13398</v>
      </c>
    </row>
    <row r="25">
      <c r="A25" s="23">
        <v>301372.0</v>
      </c>
      <c r="B25" s="39">
        <v>1191.0</v>
      </c>
      <c r="C25" s="27">
        <v>57.6</v>
      </c>
      <c r="D25" s="30">
        <f t="shared" si="1"/>
        <v>1133.4</v>
      </c>
      <c r="E25" s="32">
        <f t="shared" si="2"/>
        <v>7.84</v>
      </c>
      <c r="F25" s="30">
        <f t="shared" si="3"/>
        <v>1125.56</v>
      </c>
      <c r="G25" s="31" t="s">
        <v>117</v>
      </c>
      <c r="H25" s="68">
        <f t="shared" si="8"/>
        <v>0.795241</v>
      </c>
      <c r="I25" s="38">
        <f t="shared" si="5"/>
        <v>901.3261494</v>
      </c>
      <c r="J25" s="71">
        <f t="shared" si="6"/>
        <v>1.13398</v>
      </c>
    </row>
    <row r="26">
      <c r="A26" s="23">
        <v>300048.0</v>
      </c>
      <c r="B26" s="39">
        <v>1058.0</v>
      </c>
      <c r="C26" s="27">
        <v>57.6</v>
      </c>
      <c r="D26" s="30">
        <f t="shared" si="1"/>
        <v>1000.4</v>
      </c>
      <c r="E26" s="32">
        <f t="shared" si="2"/>
        <v>7.84</v>
      </c>
      <c r="F26" s="30">
        <f t="shared" si="3"/>
        <v>992.56</v>
      </c>
      <c r="G26" s="31" t="s">
        <v>123</v>
      </c>
      <c r="H26" s="34">
        <f t="shared" ref="H26:H28" si="9">$L$14</f>
        <v>0.8498961226</v>
      </c>
      <c r="I26" s="38">
        <f t="shared" si="5"/>
        <v>850.236081</v>
      </c>
      <c r="J26" s="71">
        <f t="shared" si="6"/>
        <v>1.13398</v>
      </c>
    </row>
    <row r="27">
      <c r="A27" s="23">
        <v>300021.0</v>
      </c>
      <c r="B27" s="39">
        <v>1204.0</v>
      </c>
      <c r="C27" s="27">
        <v>57.6</v>
      </c>
      <c r="D27" s="30">
        <f t="shared" si="1"/>
        <v>1146.4</v>
      </c>
      <c r="E27" s="32">
        <f t="shared" si="2"/>
        <v>7.84</v>
      </c>
      <c r="F27" s="30">
        <f t="shared" si="3"/>
        <v>1138.56</v>
      </c>
      <c r="G27" s="31" t="s">
        <v>133</v>
      </c>
      <c r="H27" s="34">
        <f t="shared" si="9"/>
        <v>0.8498961226</v>
      </c>
      <c r="I27" s="38">
        <f t="shared" si="5"/>
        <v>974.3209149</v>
      </c>
      <c r="J27" s="71">
        <f t="shared" si="6"/>
        <v>1.13398</v>
      </c>
    </row>
    <row r="28">
      <c r="A28" s="23">
        <v>300080.0</v>
      </c>
      <c r="B28" s="39">
        <v>1140.0</v>
      </c>
      <c r="C28" s="27">
        <v>57.6</v>
      </c>
      <c r="D28" s="30">
        <f t="shared" si="1"/>
        <v>1082.4</v>
      </c>
      <c r="E28" s="32">
        <f t="shared" si="2"/>
        <v>7.84</v>
      </c>
      <c r="F28" s="30">
        <f t="shared" si="3"/>
        <v>1074.56</v>
      </c>
      <c r="G28" s="31" t="s">
        <v>134</v>
      </c>
      <c r="H28" s="34">
        <f t="shared" si="9"/>
        <v>0.8498961226</v>
      </c>
      <c r="I28" s="38">
        <f t="shared" si="5"/>
        <v>919.9275631</v>
      </c>
      <c r="J28" s="71">
        <f t="shared" si="6"/>
        <v>1.13398</v>
      </c>
    </row>
    <row r="29">
      <c r="C29" s="10"/>
      <c r="D29" s="10"/>
      <c r="E29" s="10"/>
      <c r="F29" s="10"/>
      <c r="G29" s="76"/>
      <c r="H29" s="52"/>
    </row>
    <row r="30">
      <c r="A30" s="3" t="s">
        <v>86</v>
      </c>
      <c r="B30" s="10">
        <f t="shared" ref="B30:F30" si="10">SUM(B11:B28)</f>
        <v>20554</v>
      </c>
      <c r="C30" s="10">
        <f t="shared" si="10"/>
        <v>1036.8</v>
      </c>
      <c r="D30" s="10">
        <f t="shared" si="10"/>
        <v>19517.2</v>
      </c>
      <c r="E30" s="10">
        <f t="shared" si="10"/>
        <v>141.12</v>
      </c>
      <c r="F30" s="10">
        <f t="shared" si="10"/>
        <v>19376.08</v>
      </c>
      <c r="G30" s="76"/>
      <c r="H30" s="77">
        <f>I30/D30</f>
        <v>0.8198108417</v>
      </c>
      <c r="I30" s="51">
        <f t="shared" ref="I30:J30" si="11">SUM(I11:I28)</f>
        <v>16000.41216</v>
      </c>
      <c r="J30" s="79">
        <f t="shared" si="11"/>
        <v>20.41164</v>
      </c>
    </row>
    <row r="31">
      <c r="C31" s="10"/>
      <c r="D31" s="10"/>
      <c r="E31" s="10"/>
      <c r="F31" s="10"/>
      <c r="G31" s="76"/>
      <c r="H31" s="52"/>
    </row>
    <row r="32">
      <c r="A32" s="1" t="s">
        <v>135</v>
      </c>
      <c r="B32" s="2"/>
      <c r="C32" s="2"/>
      <c r="D32" s="2"/>
      <c r="E32" s="2"/>
      <c r="F32" s="2"/>
      <c r="G32" s="2"/>
      <c r="H32" s="2"/>
      <c r="I32" s="2"/>
      <c r="J32" s="2"/>
      <c r="K32" s="2"/>
      <c r="L32" s="2"/>
      <c r="M32" s="2"/>
      <c r="N32" s="2"/>
      <c r="O32" s="2"/>
    </row>
    <row r="33">
      <c r="A33" s="5" t="s">
        <v>136</v>
      </c>
      <c r="B33" s="5" t="s">
        <v>137</v>
      </c>
      <c r="C33" s="5" t="s">
        <v>53</v>
      </c>
      <c r="D33" s="5" t="s">
        <v>138</v>
      </c>
      <c r="E33" s="5"/>
      <c r="F33" s="5"/>
      <c r="G33" s="5"/>
      <c r="H33" s="5"/>
      <c r="I33" s="8"/>
      <c r="J33" s="8"/>
      <c r="K33" s="8"/>
      <c r="L33" s="8"/>
      <c r="M33" s="8"/>
      <c r="N33" s="8"/>
      <c r="O33" s="8"/>
    </row>
    <row r="34">
      <c r="A34" s="10">
        <f>B30</f>
        <v>20554</v>
      </c>
      <c r="B34" s="10">
        <f>SUM(D11:D28)</f>
        <v>19517.2</v>
      </c>
      <c r="C34" s="10">
        <f>IF(D34=0,"",B34-D34)</f>
        <v>141.12</v>
      </c>
      <c r="D34" s="10">
        <f>SUM(F11:F28)</f>
        <v>19376.08</v>
      </c>
      <c r="E34" s="10"/>
      <c r="F34" s="52"/>
      <c r="G34" s="52"/>
    </row>
  </sheetData>
  <mergeCells count="2">
    <mergeCell ref="B9:C9"/>
    <mergeCell ref="D9:E9"/>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5"/>
    <col customWidth="1" min="3" max="3" width="16.38"/>
    <col customWidth="1" min="4" max="4" width="23.88"/>
    <col customWidth="1" min="5" max="6" width="21.13"/>
    <col customWidth="1" min="7" max="7" width="37.13"/>
    <col customWidth="1" min="8" max="8" width="20.88"/>
    <col customWidth="1" min="9" max="9" width="19.0"/>
    <col customWidth="1" min="10" max="14" width="16.38"/>
  </cols>
  <sheetData>
    <row r="1">
      <c r="A1" s="1" t="s">
        <v>141</v>
      </c>
      <c r="B1" s="2"/>
      <c r="C1" s="2"/>
      <c r="D1" s="2"/>
      <c r="E1" s="2"/>
      <c r="F1" s="2"/>
      <c r="G1" s="2"/>
      <c r="H1" s="2"/>
      <c r="I1" s="2"/>
      <c r="J1" s="2"/>
      <c r="K1" s="2"/>
      <c r="L1" s="2"/>
      <c r="M1" s="2"/>
      <c r="N1" s="2"/>
    </row>
    <row r="2">
      <c r="A2" s="3" t="s">
        <v>12</v>
      </c>
      <c r="B2" s="3" t="s">
        <v>4</v>
      </c>
      <c r="K2" s="5" t="s">
        <v>14</v>
      </c>
    </row>
    <row r="3">
      <c r="A3" s="3" t="s">
        <v>5</v>
      </c>
      <c r="B3" s="4">
        <v>46256.0</v>
      </c>
      <c r="K3" s="5" t="s">
        <v>19</v>
      </c>
      <c r="L3" s="7">
        <v>2.20462</v>
      </c>
    </row>
    <row r="4">
      <c r="A4" s="3" t="s">
        <v>6</v>
      </c>
      <c r="B4" s="4">
        <v>46263.0</v>
      </c>
      <c r="K4" s="5" t="s">
        <v>22</v>
      </c>
      <c r="L4" s="7">
        <v>0.453592</v>
      </c>
    </row>
    <row r="5">
      <c r="K5" s="5" t="s">
        <v>24</v>
      </c>
      <c r="L5" s="7">
        <v>0.0129</v>
      </c>
    </row>
    <row r="6">
      <c r="K6" s="5" t="s">
        <v>25</v>
      </c>
      <c r="L6" s="3" t="s">
        <v>26</v>
      </c>
    </row>
    <row r="7">
      <c r="K7" s="3" t="s">
        <v>144</v>
      </c>
      <c r="L7" s="7">
        <v>0.120947</v>
      </c>
    </row>
    <row r="8">
      <c r="A8" s="1" t="s">
        <v>28</v>
      </c>
      <c r="B8" s="2"/>
      <c r="C8" s="2"/>
      <c r="D8" s="2"/>
      <c r="E8" s="2"/>
      <c r="F8" s="2"/>
      <c r="G8" s="2"/>
      <c r="H8" s="2"/>
      <c r="I8" s="2"/>
      <c r="J8" s="2"/>
      <c r="K8" s="2"/>
      <c r="L8" s="2"/>
      <c r="M8" s="2"/>
      <c r="N8" s="2"/>
    </row>
    <row r="9">
      <c r="A9" s="83"/>
      <c r="B9" s="84" t="s">
        <v>31</v>
      </c>
      <c r="D9" s="84" t="s">
        <v>38</v>
      </c>
      <c r="F9" s="13" t="s">
        <v>33</v>
      </c>
      <c r="G9" s="6"/>
      <c r="H9" s="6"/>
      <c r="I9" s="6"/>
      <c r="J9" s="15"/>
      <c r="K9" s="3" t="s">
        <v>35</v>
      </c>
    </row>
    <row r="10">
      <c r="A10" s="87" t="s">
        <v>36</v>
      </c>
      <c r="B10" s="88" t="s">
        <v>37</v>
      </c>
      <c r="C10" s="88" t="s">
        <v>39</v>
      </c>
      <c r="D10" s="88" t="s">
        <v>41</v>
      </c>
      <c r="E10" s="88" t="s">
        <v>154</v>
      </c>
      <c r="F10" s="88" t="s">
        <v>45</v>
      </c>
      <c r="G10" s="6" t="s">
        <v>47</v>
      </c>
      <c r="H10" s="6" t="s">
        <v>50</v>
      </c>
      <c r="I10" s="6" t="s">
        <v>54</v>
      </c>
      <c r="J10" s="6" t="s">
        <v>57</v>
      </c>
      <c r="K10" s="3" t="s">
        <v>59</v>
      </c>
      <c r="L10" s="7">
        <v>0.1575553394801048</v>
      </c>
      <c r="M10" s="18" t="str">
        <f>HYPERLINK("https://docs.google.com/spreadsheets/d/1L167k_JS3mnisFy3VpS-OXgI8U0cK-4nC6A9sxl-ozk/edit","PP Summary")</f>
        <v>PP Summary</v>
      </c>
    </row>
    <row r="11">
      <c r="A11" s="90">
        <v>15158.0</v>
      </c>
      <c r="B11" s="92">
        <v>1069.0</v>
      </c>
      <c r="C11" s="93">
        <v>57.6</v>
      </c>
      <c r="D11" s="95">
        <f t="shared" ref="D11:D89" si="1">B11-C11</f>
        <v>1011.4</v>
      </c>
      <c r="E11" s="98">
        <v>204.87</v>
      </c>
      <c r="F11" s="95">
        <f t="shared" ref="F11:F89" si="2">IF(E11="","",B11-E11)</f>
        <v>864.13</v>
      </c>
      <c r="G11" s="3" t="s">
        <v>173</v>
      </c>
      <c r="H11" s="101">
        <f>$L$10</f>
        <v>0.1575553395</v>
      </c>
      <c r="I11" s="10">
        <f t="shared" ref="I11:I89" si="3">IF(H11="","",H11*D11)</f>
        <v>159.3514704</v>
      </c>
      <c r="J11" s="79">
        <f t="shared" ref="J11:J89" si="4">2.5*$L$4</f>
        <v>1.13398</v>
      </c>
      <c r="K11" s="42">
        <v>45962.0</v>
      </c>
      <c r="L11" s="7">
        <v>0.1392140547840092</v>
      </c>
      <c r="M11" s="18" t="str">
        <f>HYPERLINK("https://docs.google.com/spreadsheets/d/1W8jWu3sp39WnSuds1Ja0FWDG5UuWN9v5NUmF6yh_WbI/edit","PP Summary")</f>
        <v>PP Summary</v>
      </c>
    </row>
    <row r="12">
      <c r="A12" s="90">
        <v>245109.0</v>
      </c>
      <c r="B12" s="92">
        <v>1034.0</v>
      </c>
      <c r="C12" s="93">
        <v>57.6</v>
      </c>
      <c r="D12" s="93">
        <f t="shared" si="1"/>
        <v>976.4</v>
      </c>
      <c r="E12" s="103">
        <v>204.87</v>
      </c>
      <c r="F12" s="95">
        <f t="shared" si="2"/>
        <v>829.13</v>
      </c>
      <c r="G12" s="3" t="s">
        <v>181</v>
      </c>
      <c r="H12" s="101">
        <f t="shared" ref="H12:H13" si="5">$L$22</f>
        <v>0.128689567</v>
      </c>
      <c r="I12" s="10">
        <f t="shared" si="3"/>
        <v>125.6524932</v>
      </c>
      <c r="J12" s="79">
        <f t="shared" si="4"/>
        <v>1.13398</v>
      </c>
      <c r="K12" s="42">
        <v>45992.0</v>
      </c>
      <c r="L12" s="7">
        <v>0.16306166436976688</v>
      </c>
      <c r="M12" s="18" t="str">
        <f>HYPERLINK("https://docs.google.com/spreadsheets/d/1-L6m2wYknC3o-yIts9KK7FrYAb5lZIv4AwaizK8FbMc/edit","PP Summary")</f>
        <v>PP Summary</v>
      </c>
    </row>
    <row r="13">
      <c r="A13" s="90">
        <v>245168.0</v>
      </c>
      <c r="B13" s="92">
        <v>1047.0</v>
      </c>
      <c r="C13" s="93">
        <v>57.6</v>
      </c>
      <c r="D13" s="95">
        <f t="shared" si="1"/>
        <v>989.4</v>
      </c>
      <c r="E13" s="103">
        <v>195.5</v>
      </c>
      <c r="F13" s="95">
        <f t="shared" si="2"/>
        <v>851.5</v>
      </c>
      <c r="G13" s="3" t="s">
        <v>187</v>
      </c>
      <c r="H13" s="101">
        <f t="shared" si="5"/>
        <v>0.128689567</v>
      </c>
      <c r="I13" s="10">
        <f t="shared" si="3"/>
        <v>127.3254576</v>
      </c>
      <c r="J13" s="79">
        <f t="shared" si="4"/>
        <v>1.13398</v>
      </c>
      <c r="K13" s="42">
        <v>46023.0</v>
      </c>
      <c r="L13" s="7">
        <v>0.15683401691482485</v>
      </c>
      <c r="M13" s="18" t="str">
        <f>HYPERLINK("https://docs.google.com/spreadsheets/d/1bPZ7pNsR5rv-om-BypF4lK3nczjn4HJNO2dzimwnx7E/edit","PP Summary")</f>
        <v>PP Summary</v>
      </c>
    </row>
    <row r="14">
      <c r="A14" s="90">
        <v>301032.0</v>
      </c>
      <c r="B14" s="92">
        <v>972.0</v>
      </c>
      <c r="C14" s="93">
        <v>57.6</v>
      </c>
      <c r="D14" s="95">
        <f t="shared" si="1"/>
        <v>914.4</v>
      </c>
      <c r="E14" s="98">
        <v>145.0</v>
      </c>
      <c r="F14" s="95">
        <f t="shared" si="2"/>
        <v>827</v>
      </c>
      <c r="G14" s="3" t="s">
        <v>189</v>
      </c>
      <c r="H14" s="101">
        <f>$L$15</f>
        <v>0.1185251532</v>
      </c>
      <c r="I14" s="10">
        <f t="shared" si="3"/>
        <v>108.3794001</v>
      </c>
      <c r="J14" s="79">
        <f t="shared" si="4"/>
        <v>1.13398</v>
      </c>
      <c r="K14" s="42">
        <v>46054.0</v>
      </c>
      <c r="L14" s="7">
        <v>0.13304979391442986</v>
      </c>
      <c r="M14" s="18" t="str">
        <f>HYPERLINK("https://docs.google.com/spreadsheets/d/1vH7bborVnc-TCby3wEkpzi7GGMOI5jMJooEW0V-rOQ4/edit","PP Summary")</f>
        <v>PP Summary</v>
      </c>
    </row>
    <row r="15">
      <c r="A15" s="90">
        <v>301053.0</v>
      </c>
      <c r="B15" s="92">
        <v>1006.0</v>
      </c>
      <c r="C15" s="93">
        <v>57.6</v>
      </c>
      <c r="D15" s="95">
        <f t="shared" si="1"/>
        <v>948.4</v>
      </c>
      <c r="E15" s="98">
        <v>166.5</v>
      </c>
      <c r="F15" s="95">
        <f t="shared" si="2"/>
        <v>839.5</v>
      </c>
      <c r="G15" s="3" t="s">
        <v>192</v>
      </c>
      <c r="H15" s="101">
        <f t="shared" ref="H15:H18" si="6">$L$16</f>
        <v>0.1314184532</v>
      </c>
      <c r="I15" s="10">
        <f t="shared" si="3"/>
        <v>124.637261</v>
      </c>
      <c r="J15" s="79">
        <f t="shared" si="4"/>
        <v>1.13398</v>
      </c>
      <c r="K15" s="42">
        <v>46082.0</v>
      </c>
      <c r="L15" s="7">
        <v>0.11852515320294801</v>
      </c>
      <c r="M15" s="18" t="str">
        <f>HYPERLINK("https://docs.google.com/spreadsheets/d/1O7y30opa_u1_deqFm_w2qgVyxi_75X00xnzKuyVyh6o/edit","PP Summary")</f>
        <v>PP Summary</v>
      </c>
    </row>
    <row r="16">
      <c r="A16" s="90">
        <v>301135.0</v>
      </c>
      <c r="B16" s="92">
        <v>1027.0</v>
      </c>
      <c r="C16" s="93">
        <v>57.6</v>
      </c>
      <c r="D16" s="95">
        <f t="shared" si="1"/>
        <v>969.4</v>
      </c>
      <c r="E16" s="98">
        <v>152.0</v>
      </c>
      <c r="F16" s="95">
        <f t="shared" si="2"/>
        <v>875</v>
      </c>
      <c r="G16" s="3" t="s">
        <v>194</v>
      </c>
      <c r="H16" s="101">
        <f t="shared" si="6"/>
        <v>0.1314184532</v>
      </c>
      <c r="I16" s="10">
        <f t="shared" si="3"/>
        <v>127.3970485</v>
      </c>
      <c r="J16" s="79">
        <f t="shared" si="4"/>
        <v>1.13398</v>
      </c>
      <c r="K16" s="42">
        <v>46113.0</v>
      </c>
      <c r="L16" s="7">
        <v>0.131418453205342</v>
      </c>
      <c r="M16" s="18" t="str">
        <f>HYPERLINK("https://docs.google.com/spreadsheets/d/10Qwx7K6sUcOBrCebGUGVaVeLQnhzvcT8sHQ0Sy3VBBM/edit","PP Summary")</f>
        <v>PP Summary</v>
      </c>
    </row>
    <row r="17">
      <c r="A17" s="90">
        <v>301137.0</v>
      </c>
      <c r="B17" s="92">
        <v>1094.0</v>
      </c>
      <c r="C17" s="93">
        <v>57.6</v>
      </c>
      <c r="D17" s="95">
        <f t="shared" si="1"/>
        <v>1036.4</v>
      </c>
      <c r="E17" s="98">
        <v>170.5</v>
      </c>
      <c r="F17" s="95">
        <f t="shared" si="2"/>
        <v>923.5</v>
      </c>
      <c r="G17" s="3" t="s">
        <v>195</v>
      </c>
      <c r="H17" s="101">
        <f t="shared" si="6"/>
        <v>0.1314184532</v>
      </c>
      <c r="I17" s="10">
        <f t="shared" si="3"/>
        <v>136.2020849</v>
      </c>
      <c r="J17" s="79">
        <f t="shared" si="4"/>
        <v>1.13398</v>
      </c>
      <c r="K17" s="42">
        <v>46143.0</v>
      </c>
      <c r="L17" s="7">
        <v>0.1106615762401743</v>
      </c>
      <c r="M17" s="18" t="str">
        <f>HYPERLINK("https://docs.google.com/spreadsheets/d/1m66t1jsLGc4e6AWnCFMsFbkSceZ9IYC_-bfTsbP_OYc/edit","PP Summary")</f>
        <v>PP Summary</v>
      </c>
    </row>
    <row r="18">
      <c r="A18" s="90">
        <v>301160.0</v>
      </c>
      <c r="B18" s="92">
        <v>1049.0</v>
      </c>
      <c r="C18" s="93">
        <v>57.6</v>
      </c>
      <c r="D18" s="95">
        <f t="shared" si="1"/>
        <v>991.4</v>
      </c>
      <c r="E18" s="98">
        <v>247.5</v>
      </c>
      <c r="F18" s="95">
        <f t="shared" si="2"/>
        <v>801.5</v>
      </c>
      <c r="G18" s="3" t="s">
        <v>196</v>
      </c>
      <c r="H18" s="101">
        <f t="shared" si="6"/>
        <v>0.1314184532</v>
      </c>
      <c r="I18" s="10">
        <f t="shared" si="3"/>
        <v>130.2882545</v>
      </c>
      <c r="J18" s="79">
        <f t="shared" si="4"/>
        <v>1.13398</v>
      </c>
      <c r="K18" s="42">
        <v>46174.0</v>
      </c>
      <c r="L18" s="7">
        <v>0.1236896673712938</v>
      </c>
      <c r="M18" s="18" t="str">
        <f>HYPERLINK("https://docs.google.com/spreadsheets/d/1MUQajDI2a_Cn9xWGPP7z4PhhphZnfl2_CSTnpB07Wgk/edit","PP Summary")</f>
        <v>PP Summary</v>
      </c>
    </row>
    <row r="19">
      <c r="A19" s="90">
        <v>301161.0</v>
      </c>
      <c r="B19" s="92">
        <v>1111.0</v>
      </c>
      <c r="C19" s="93">
        <v>57.6</v>
      </c>
      <c r="D19" s="95">
        <f t="shared" si="1"/>
        <v>1053.4</v>
      </c>
      <c r="E19" s="98">
        <v>237.5</v>
      </c>
      <c r="F19" s="95">
        <f t="shared" si="2"/>
        <v>873.5</v>
      </c>
      <c r="G19" s="3" t="s">
        <v>197</v>
      </c>
      <c r="H19" s="101">
        <f t="shared" ref="H19:H21" si="7">$L$17</f>
        <v>0.1106615762</v>
      </c>
      <c r="I19" s="10">
        <f t="shared" si="3"/>
        <v>116.5709044</v>
      </c>
      <c r="J19" s="79">
        <f t="shared" si="4"/>
        <v>1.13398</v>
      </c>
      <c r="K19" s="3" t="s">
        <v>108</v>
      </c>
      <c r="L19" s="37">
        <f>$L$7</f>
        <v>0.120947</v>
      </c>
    </row>
    <row r="20">
      <c r="A20" s="90">
        <v>301164.0</v>
      </c>
      <c r="B20" s="92">
        <v>1054.0</v>
      </c>
      <c r="C20" s="93">
        <v>57.6</v>
      </c>
      <c r="D20" s="95">
        <f t="shared" si="1"/>
        <v>996.4</v>
      </c>
      <c r="E20" s="103">
        <v>284.5</v>
      </c>
      <c r="F20" s="95">
        <f t="shared" si="2"/>
        <v>769.5</v>
      </c>
      <c r="G20" s="3" t="s">
        <v>198</v>
      </c>
      <c r="H20" s="101">
        <f t="shared" si="7"/>
        <v>0.1106615762</v>
      </c>
      <c r="I20" s="10">
        <f t="shared" si="3"/>
        <v>110.2631946</v>
      </c>
      <c r="J20" s="79">
        <f t="shared" si="4"/>
        <v>1.13398</v>
      </c>
      <c r="K20" s="3" t="s">
        <v>199</v>
      </c>
      <c r="L20" s="7">
        <v>0.13736711280644612</v>
      </c>
      <c r="M20" s="18" t="str">
        <f>HYPERLINK("https://docs.google.com/spreadsheets/d/1qPyS0H9Wx8z2vMl_3ANE1YLYahKLeL1Qo8OmZ_ol9aI/edit","PP Summary")</f>
        <v>PP Summary</v>
      </c>
    </row>
    <row r="21">
      <c r="A21" s="90">
        <v>301177.0</v>
      </c>
      <c r="B21" s="92">
        <v>1001.0</v>
      </c>
      <c r="C21" s="93">
        <v>57.6</v>
      </c>
      <c r="D21" s="95">
        <f t="shared" si="1"/>
        <v>943.4</v>
      </c>
      <c r="E21" s="98">
        <v>265.0</v>
      </c>
      <c r="F21" s="95">
        <f t="shared" si="2"/>
        <v>736</v>
      </c>
      <c r="G21" s="3" t="s">
        <v>200</v>
      </c>
      <c r="H21" s="101">
        <f t="shared" si="7"/>
        <v>0.1106615762</v>
      </c>
      <c r="I21" s="10">
        <f t="shared" si="3"/>
        <v>104.398131</v>
      </c>
      <c r="J21" s="79">
        <f t="shared" si="4"/>
        <v>1.13398</v>
      </c>
      <c r="K21" s="3" t="s">
        <v>201</v>
      </c>
      <c r="L21" s="7">
        <v>0.11056982394624702</v>
      </c>
      <c r="M21" s="18" t="str">
        <f>HYPERLINK("https://docs.google.com/spreadsheets/d/1Kt3H_bffKPxvyBHqOAdrhnGxRzwfAQXFnsLBczb9EKE/edit","PP Summary")</f>
        <v>PP Summary</v>
      </c>
    </row>
    <row r="22">
      <c r="A22" s="90">
        <v>120559.0</v>
      </c>
      <c r="B22" s="92">
        <v>1121.0</v>
      </c>
      <c r="C22" s="93">
        <v>62.9</v>
      </c>
      <c r="D22" s="95">
        <f t="shared" si="1"/>
        <v>1058.1</v>
      </c>
      <c r="E22" s="98">
        <v>152.0</v>
      </c>
      <c r="F22" s="95">
        <f t="shared" si="2"/>
        <v>969</v>
      </c>
      <c r="G22" s="3" t="s">
        <v>203</v>
      </c>
      <c r="H22" s="101">
        <f>$L$20</f>
        <v>0.1373671128</v>
      </c>
      <c r="I22" s="10">
        <f t="shared" si="3"/>
        <v>145.3481421</v>
      </c>
      <c r="J22" s="79">
        <f t="shared" si="4"/>
        <v>1.13398</v>
      </c>
      <c r="K22" s="3" t="s">
        <v>204</v>
      </c>
      <c r="L22" s="7">
        <v>0.12868956697570233</v>
      </c>
      <c r="M22" s="18" t="str">
        <f>HYPERLINK("https://docs.google.com/spreadsheets/d/1ZSnVAnmV96Ux_GwEJ_1zeATDHlQlHr5rvKAh3NOG2s0/edit","PP Summary")</f>
        <v>PP Summary</v>
      </c>
    </row>
    <row r="23">
      <c r="A23" s="90">
        <v>120577.0</v>
      </c>
      <c r="B23" s="92">
        <v>1045.0</v>
      </c>
      <c r="C23" s="93">
        <v>62.9</v>
      </c>
      <c r="D23" s="95">
        <f t="shared" si="1"/>
        <v>982.1</v>
      </c>
      <c r="E23" s="98">
        <v>204.87</v>
      </c>
      <c r="F23" s="95">
        <f t="shared" si="2"/>
        <v>840.13</v>
      </c>
      <c r="G23" s="3" t="s">
        <v>205</v>
      </c>
      <c r="H23" s="101">
        <f t="shared" ref="H23:H60" si="8">$L$10</f>
        <v>0.1575553395</v>
      </c>
      <c r="I23" s="10">
        <f t="shared" si="3"/>
        <v>154.7350989</v>
      </c>
      <c r="J23" s="79">
        <f t="shared" si="4"/>
        <v>1.13398</v>
      </c>
    </row>
    <row r="24">
      <c r="A24" s="90">
        <v>120529.0</v>
      </c>
      <c r="B24" s="92">
        <v>936.0</v>
      </c>
      <c r="C24" s="93">
        <v>62.9</v>
      </c>
      <c r="D24" s="95">
        <f t="shared" si="1"/>
        <v>873.1</v>
      </c>
      <c r="E24" s="98">
        <v>204.87</v>
      </c>
      <c r="F24" s="95">
        <f t="shared" si="2"/>
        <v>731.13</v>
      </c>
      <c r="G24" s="3" t="s">
        <v>206</v>
      </c>
      <c r="H24" s="101">
        <f t="shared" si="8"/>
        <v>0.1575553395</v>
      </c>
      <c r="I24" s="10">
        <f t="shared" si="3"/>
        <v>137.5615669</v>
      </c>
      <c r="J24" s="79">
        <f t="shared" si="4"/>
        <v>1.13398</v>
      </c>
    </row>
    <row r="25">
      <c r="A25" s="90">
        <v>120526.0</v>
      </c>
      <c r="B25" s="92">
        <v>1010.0</v>
      </c>
      <c r="C25" s="93">
        <v>62.9</v>
      </c>
      <c r="D25" s="95">
        <f t="shared" si="1"/>
        <v>947.1</v>
      </c>
      <c r="E25" s="98">
        <v>204.87</v>
      </c>
      <c r="F25" s="95">
        <f t="shared" si="2"/>
        <v>805.13</v>
      </c>
      <c r="G25" s="3" t="s">
        <v>207</v>
      </c>
      <c r="H25" s="101">
        <f t="shared" si="8"/>
        <v>0.1575553395</v>
      </c>
      <c r="I25" s="10">
        <f t="shared" si="3"/>
        <v>149.220662</v>
      </c>
      <c r="J25" s="79">
        <f t="shared" si="4"/>
        <v>1.13398</v>
      </c>
    </row>
    <row r="26">
      <c r="A26" s="90">
        <v>120530.0</v>
      </c>
      <c r="B26" s="92">
        <v>994.0</v>
      </c>
      <c r="C26" s="93">
        <v>62.9</v>
      </c>
      <c r="D26" s="95">
        <f t="shared" si="1"/>
        <v>931.1</v>
      </c>
      <c r="E26" s="98">
        <v>204.39</v>
      </c>
      <c r="F26" s="95">
        <f t="shared" si="2"/>
        <v>789.61</v>
      </c>
      <c r="G26" s="3" t="s">
        <v>208</v>
      </c>
      <c r="H26" s="101">
        <f t="shared" si="8"/>
        <v>0.1575553395</v>
      </c>
      <c r="I26" s="10">
        <f t="shared" si="3"/>
        <v>146.6997766</v>
      </c>
      <c r="J26" s="79">
        <f t="shared" si="4"/>
        <v>1.13398</v>
      </c>
    </row>
    <row r="27">
      <c r="A27" s="90">
        <v>120556.0</v>
      </c>
      <c r="B27" s="92">
        <v>1074.0</v>
      </c>
      <c r="C27" s="93">
        <v>62.9</v>
      </c>
      <c r="D27" s="95">
        <f t="shared" si="1"/>
        <v>1011.1</v>
      </c>
      <c r="E27" s="98">
        <v>205.35</v>
      </c>
      <c r="F27" s="95">
        <f t="shared" si="2"/>
        <v>868.65</v>
      </c>
      <c r="G27" s="3" t="s">
        <v>209</v>
      </c>
      <c r="H27" s="101">
        <f t="shared" si="8"/>
        <v>0.1575553395</v>
      </c>
      <c r="I27" s="10">
        <f t="shared" si="3"/>
        <v>159.3042037</v>
      </c>
      <c r="J27" s="79">
        <f t="shared" si="4"/>
        <v>1.13398</v>
      </c>
    </row>
    <row r="28">
      <c r="A28" s="90">
        <v>120536.0</v>
      </c>
      <c r="B28" s="92">
        <v>1066.0</v>
      </c>
      <c r="C28" s="93">
        <v>62.9</v>
      </c>
      <c r="D28" s="95">
        <f t="shared" si="1"/>
        <v>1003.1</v>
      </c>
      <c r="E28" s="98">
        <v>204.87</v>
      </c>
      <c r="F28" s="95">
        <f t="shared" si="2"/>
        <v>861.13</v>
      </c>
      <c r="G28" s="3" t="s">
        <v>210</v>
      </c>
      <c r="H28" s="101">
        <f t="shared" si="8"/>
        <v>0.1575553395</v>
      </c>
      <c r="I28" s="10">
        <f t="shared" si="3"/>
        <v>158.043761</v>
      </c>
      <c r="J28" s="79">
        <f t="shared" si="4"/>
        <v>1.13398</v>
      </c>
    </row>
    <row r="29">
      <c r="A29" s="90">
        <v>120533.0</v>
      </c>
      <c r="B29" s="92">
        <v>1035.0</v>
      </c>
      <c r="C29" s="93">
        <v>62.9</v>
      </c>
      <c r="D29" s="95">
        <f t="shared" si="1"/>
        <v>972.1</v>
      </c>
      <c r="E29" s="98">
        <v>204.87</v>
      </c>
      <c r="F29" s="95">
        <f t="shared" si="2"/>
        <v>830.13</v>
      </c>
      <c r="G29" s="3" t="s">
        <v>211</v>
      </c>
      <c r="H29" s="101">
        <f t="shared" si="8"/>
        <v>0.1575553395</v>
      </c>
      <c r="I29" s="10">
        <f t="shared" si="3"/>
        <v>153.1595455</v>
      </c>
      <c r="J29" s="79">
        <f t="shared" si="4"/>
        <v>1.13398</v>
      </c>
    </row>
    <row r="30">
      <c r="A30" s="90">
        <v>120571.0</v>
      </c>
      <c r="B30" s="92">
        <v>1030.0</v>
      </c>
      <c r="C30" s="93">
        <v>62.9</v>
      </c>
      <c r="D30" s="95">
        <f t="shared" si="1"/>
        <v>967.1</v>
      </c>
      <c r="E30" s="98">
        <v>172.0</v>
      </c>
      <c r="F30" s="95">
        <f t="shared" si="2"/>
        <v>858</v>
      </c>
      <c r="G30" s="3" t="s">
        <v>212</v>
      </c>
      <c r="H30" s="101">
        <f t="shared" si="8"/>
        <v>0.1575553395</v>
      </c>
      <c r="I30" s="10">
        <f t="shared" si="3"/>
        <v>152.3717688</v>
      </c>
      <c r="J30" s="79">
        <f t="shared" si="4"/>
        <v>1.13398</v>
      </c>
    </row>
    <row r="31">
      <c r="A31" s="90">
        <v>120539.0</v>
      </c>
      <c r="B31" s="92">
        <v>1002.0</v>
      </c>
      <c r="C31" s="93">
        <v>62.9</v>
      </c>
      <c r="D31" s="95">
        <f t="shared" si="1"/>
        <v>939.1</v>
      </c>
      <c r="E31" s="103">
        <v>204.87</v>
      </c>
      <c r="F31" s="95">
        <f t="shared" si="2"/>
        <v>797.13</v>
      </c>
      <c r="G31" s="3" t="s">
        <v>213</v>
      </c>
      <c r="H31" s="101">
        <f t="shared" si="8"/>
        <v>0.1575553395</v>
      </c>
      <c r="I31" s="10">
        <f t="shared" si="3"/>
        <v>147.9602193</v>
      </c>
      <c r="J31" s="79">
        <f t="shared" si="4"/>
        <v>1.13398</v>
      </c>
    </row>
    <row r="32">
      <c r="A32" s="90">
        <v>120535.0</v>
      </c>
      <c r="B32" s="92">
        <v>906.0</v>
      </c>
      <c r="C32" s="93">
        <v>62.9</v>
      </c>
      <c r="D32" s="92">
        <f t="shared" si="1"/>
        <v>843.1</v>
      </c>
      <c r="E32" s="103">
        <v>204.87</v>
      </c>
      <c r="F32" s="95">
        <f t="shared" si="2"/>
        <v>701.13</v>
      </c>
      <c r="G32" s="112" t="s">
        <v>214</v>
      </c>
      <c r="H32" s="113">
        <f t="shared" si="8"/>
        <v>0.1575553395</v>
      </c>
      <c r="I32" s="10">
        <f t="shared" si="3"/>
        <v>132.8349067</v>
      </c>
      <c r="J32" s="79">
        <f t="shared" si="4"/>
        <v>1.13398</v>
      </c>
    </row>
    <row r="33">
      <c r="A33" s="114">
        <v>120510.0</v>
      </c>
      <c r="B33" s="92">
        <v>1053.0</v>
      </c>
      <c r="C33" s="93">
        <v>62.9</v>
      </c>
      <c r="D33" s="95">
        <f t="shared" si="1"/>
        <v>990.1</v>
      </c>
      <c r="E33" s="98">
        <v>204.87</v>
      </c>
      <c r="F33" s="95">
        <f t="shared" si="2"/>
        <v>848.13</v>
      </c>
      <c r="G33" s="3" t="s">
        <v>215</v>
      </c>
      <c r="H33" s="101">
        <f t="shared" si="8"/>
        <v>0.1575553395</v>
      </c>
      <c r="I33" s="10">
        <f t="shared" si="3"/>
        <v>155.9955416</v>
      </c>
      <c r="J33" s="79">
        <f t="shared" si="4"/>
        <v>1.13398</v>
      </c>
    </row>
    <row r="34">
      <c r="A34" s="90">
        <v>120557.0</v>
      </c>
      <c r="B34" s="92">
        <v>928.0</v>
      </c>
      <c r="C34" s="93">
        <v>62.9</v>
      </c>
      <c r="D34" s="95">
        <f t="shared" si="1"/>
        <v>865.1</v>
      </c>
      <c r="E34" s="98">
        <v>204.87</v>
      </c>
      <c r="F34" s="95">
        <f t="shared" si="2"/>
        <v>723.13</v>
      </c>
      <c r="G34" s="3" t="s">
        <v>216</v>
      </c>
      <c r="H34" s="101">
        <f t="shared" si="8"/>
        <v>0.1575553395</v>
      </c>
      <c r="I34" s="10">
        <f t="shared" si="3"/>
        <v>136.3011242</v>
      </c>
      <c r="J34" s="79">
        <f t="shared" si="4"/>
        <v>1.13398</v>
      </c>
    </row>
    <row r="35">
      <c r="A35" s="90">
        <v>120595.0</v>
      </c>
      <c r="B35" s="92">
        <v>1070.0</v>
      </c>
      <c r="C35" s="93">
        <v>62.9</v>
      </c>
      <c r="D35" s="95">
        <f t="shared" si="1"/>
        <v>1007.1</v>
      </c>
      <c r="E35" s="98">
        <v>204.87</v>
      </c>
      <c r="F35" s="95">
        <f t="shared" si="2"/>
        <v>865.13</v>
      </c>
      <c r="G35" s="3" t="s">
        <v>217</v>
      </c>
      <c r="H35" s="101">
        <f t="shared" si="8"/>
        <v>0.1575553395</v>
      </c>
      <c r="I35" s="10">
        <f t="shared" si="3"/>
        <v>158.6739824</v>
      </c>
      <c r="J35" s="79">
        <f t="shared" si="4"/>
        <v>1.13398</v>
      </c>
    </row>
    <row r="36">
      <c r="A36" s="90">
        <v>120501.0</v>
      </c>
      <c r="B36" s="92">
        <v>1114.0</v>
      </c>
      <c r="C36" s="93">
        <v>62.9</v>
      </c>
      <c r="D36" s="95">
        <f t="shared" si="1"/>
        <v>1051.1</v>
      </c>
      <c r="E36" s="98">
        <v>204.87</v>
      </c>
      <c r="F36" s="95">
        <f t="shared" si="2"/>
        <v>909.13</v>
      </c>
      <c r="G36" s="3" t="s">
        <v>218</v>
      </c>
      <c r="H36" s="101">
        <f t="shared" si="8"/>
        <v>0.1575553395</v>
      </c>
      <c r="I36" s="10">
        <f t="shared" si="3"/>
        <v>165.6064173</v>
      </c>
      <c r="J36" s="79">
        <f t="shared" si="4"/>
        <v>1.13398</v>
      </c>
    </row>
    <row r="37">
      <c r="A37" s="90">
        <v>120549.0</v>
      </c>
      <c r="B37" s="92">
        <v>1037.0</v>
      </c>
      <c r="C37" s="93">
        <v>62.9</v>
      </c>
      <c r="D37" s="95">
        <f t="shared" si="1"/>
        <v>974.1</v>
      </c>
      <c r="E37" s="98">
        <v>204.87</v>
      </c>
      <c r="F37" s="95">
        <f t="shared" si="2"/>
        <v>832.13</v>
      </c>
      <c r="G37" s="3" t="s">
        <v>219</v>
      </c>
      <c r="H37" s="101">
        <f t="shared" si="8"/>
        <v>0.1575553395</v>
      </c>
      <c r="I37" s="10">
        <f t="shared" si="3"/>
        <v>153.4746562</v>
      </c>
      <c r="J37" s="79">
        <f t="shared" si="4"/>
        <v>1.13398</v>
      </c>
    </row>
    <row r="38">
      <c r="A38" s="90">
        <v>120506.0</v>
      </c>
      <c r="B38" s="92">
        <v>973.0</v>
      </c>
      <c r="C38" s="93">
        <v>62.9</v>
      </c>
      <c r="D38" s="95">
        <f t="shared" si="1"/>
        <v>910.1</v>
      </c>
      <c r="E38" s="103">
        <v>204.87</v>
      </c>
      <c r="F38" s="95">
        <f t="shared" si="2"/>
        <v>768.13</v>
      </c>
      <c r="G38" s="3" t="s">
        <v>220</v>
      </c>
      <c r="H38" s="101">
        <f t="shared" si="8"/>
        <v>0.1575553395</v>
      </c>
      <c r="I38" s="10">
        <f t="shared" si="3"/>
        <v>143.3911145</v>
      </c>
      <c r="J38" s="79">
        <f t="shared" si="4"/>
        <v>1.13398</v>
      </c>
    </row>
    <row r="39">
      <c r="A39" s="115">
        <v>120547.0</v>
      </c>
      <c r="B39" s="92">
        <v>1039.0</v>
      </c>
      <c r="C39" s="93">
        <v>62.9</v>
      </c>
      <c r="D39" s="95">
        <f t="shared" si="1"/>
        <v>976.1</v>
      </c>
      <c r="E39" s="98">
        <v>204.87</v>
      </c>
      <c r="F39" s="95">
        <f t="shared" si="2"/>
        <v>834.13</v>
      </c>
      <c r="G39" s="3" t="s">
        <v>222</v>
      </c>
      <c r="H39" s="101">
        <f t="shared" si="8"/>
        <v>0.1575553395</v>
      </c>
      <c r="I39" s="10">
        <f t="shared" si="3"/>
        <v>153.7897669</v>
      </c>
      <c r="J39" s="79">
        <f t="shared" si="4"/>
        <v>1.13398</v>
      </c>
    </row>
    <row r="40">
      <c r="A40" s="115">
        <v>120521.0</v>
      </c>
      <c r="B40" s="92">
        <v>941.0</v>
      </c>
      <c r="C40" s="93">
        <v>62.9</v>
      </c>
      <c r="D40" s="95">
        <f t="shared" si="1"/>
        <v>878.1</v>
      </c>
      <c r="E40" s="98">
        <v>204.87</v>
      </c>
      <c r="F40" s="95">
        <f t="shared" si="2"/>
        <v>736.13</v>
      </c>
      <c r="G40" s="3" t="s">
        <v>223</v>
      </c>
      <c r="H40" s="101">
        <f t="shared" si="8"/>
        <v>0.1575553395</v>
      </c>
      <c r="I40" s="10">
        <f t="shared" si="3"/>
        <v>138.3493436</v>
      </c>
      <c r="J40" s="79">
        <f t="shared" si="4"/>
        <v>1.13398</v>
      </c>
    </row>
    <row r="41">
      <c r="A41" s="115">
        <v>120537.0</v>
      </c>
      <c r="B41" s="92">
        <v>864.0</v>
      </c>
      <c r="C41" s="93">
        <v>57.6</v>
      </c>
      <c r="D41" s="95">
        <f t="shared" si="1"/>
        <v>806.4</v>
      </c>
      <c r="E41" s="98">
        <v>204.87</v>
      </c>
      <c r="F41" s="95">
        <f t="shared" si="2"/>
        <v>659.13</v>
      </c>
      <c r="G41" s="3" t="s">
        <v>224</v>
      </c>
      <c r="H41" s="101">
        <f t="shared" si="8"/>
        <v>0.1575553395</v>
      </c>
      <c r="I41" s="10">
        <f t="shared" si="3"/>
        <v>127.0526258</v>
      </c>
      <c r="J41" s="79">
        <f t="shared" si="4"/>
        <v>1.13398</v>
      </c>
    </row>
    <row r="42">
      <c r="A42" s="115">
        <v>120522.0</v>
      </c>
      <c r="B42" s="92">
        <v>1077.0</v>
      </c>
      <c r="C42" s="93">
        <v>57.6</v>
      </c>
      <c r="D42" s="95">
        <f t="shared" si="1"/>
        <v>1019.4</v>
      </c>
      <c r="E42" s="103">
        <v>204.87</v>
      </c>
      <c r="F42" s="95">
        <f t="shared" si="2"/>
        <v>872.13</v>
      </c>
      <c r="G42" s="3" t="s">
        <v>225</v>
      </c>
      <c r="H42" s="101">
        <f t="shared" si="8"/>
        <v>0.1575553395</v>
      </c>
      <c r="I42" s="10">
        <f t="shared" si="3"/>
        <v>160.6119131</v>
      </c>
      <c r="J42" s="79">
        <f t="shared" si="4"/>
        <v>1.13398</v>
      </c>
    </row>
    <row r="43">
      <c r="A43" s="115">
        <v>120562.0</v>
      </c>
      <c r="B43" s="92">
        <v>990.0</v>
      </c>
      <c r="C43" s="93">
        <v>57.6</v>
      </c>
      <c r="D43" s="95">
        <f t="shared" si="1"/>
        <v>932.4</v>
      </c>
      <c r="E43" s="98">
        <v>109.0</v>
      </c>
      <c r="F43" s="95">
        <f t="shared" si="2"/>
        <v>881</v>
      </c>
      <c r="G43" s="3" t="s">
        <v>226</v>
      </c>
      <c r="H43" s="101">
        <f t="shared" si="8"/>
        <v>0.1575553395</v>
      </c>
      <c r="I43" s="10">
        <f t="shared" si="3"/>
        <v>146.9045985</v>
      </c>
      <c r="J43" s="79">
        <f t="shared" si="4"/>
        <v>1.13398</v>
      </c>
    </row>
    <row r="44">
      <c r="A44" s="115">
        <v>15177.0</v>
      </c>
      <c r="B44" s="92">
        <v>1069.0</v>
      </c>
      <c r="C44" s="93">
        <v>57.6</v>
      </c>
      <c r="D44" s="95">
        <f t="shared" si="1"/>
        <v>1011.4</v>
      </c>
      <c r="E44" s="103">
        <v>161.0</v>
      </c>
      <c r="F44" s="95">
        <f t="shared" si="2"/>
        <v>908</v>
      </c>
      <c r="G44" s="3" t="s">
        <v>227</v>
      </c>
      <c r="H44" s="101">
        <f t="shared" si="8"/>
        <v>0.1575553395</v>
      </c>
      <c r="I44" s="10">
        <f t="shared" si="3"/>
        <v>159.3514704</v>
      </c>
      <c r="J44" s="79">
        <f t="shared" si="4"/>
        <v>1.13398</v>
      </c>
    </row>
    <row r="45">
      <c r="A45" s="115">
        <v>15159.0</v>
      </c>
      <c r="B45" s="92">
        <v>928.0</v>
      </c>
      <c r="C45" s="93">
        <v>57.6</v>
      </c>
      <c r="D45" s="95">
        <f t="shared" si="1"/>
        <v>870.4</v>
      </c>
      <c r="E45" s="103">
        <v>204.87</v>
      </c>
      <c r="F45" s="95">
        <f t="shared" si="2"/>
        <v>723.13</v>
      </c>
      <c r="G45" s="3" t="s">
        <v>228</v>
      </c>
      <c r="H45" s="101">
        <f t="shared" si="8"/>
        <v>0.1575553395</v>
      </c>
      <c r="I45" s="10">
        <f t="shared" si="3"/>
        <v>137.1361675</v>
      </c>
      <c r="J45" s="79">
        <f t="shared" si="4"/>
        <v>1.13398</v>
      </c>
      <c r="K45" s="3"/>
    </row>
    <row r="46">
      <c r="A46" s="116">
        <v>120514.0</v>
      </c>
      <c r="B46" s="92">
        <v>1067.0</v>
      </c>
      <c r="C46" s="93">
        <v>57.6</v>
      </c>
      <c r="D46" s="95">
        <f t="shared" si="1"/>
        <v>1009.4</v>
      </c>
      <c r="E46" s="103">
        <v>176.0</v>
      </c>
      <c r="F46" s="95">
        <f t="shared" si="2"/>
        <v>891</v>
      </c>
      <c r="G46" s="3" t="s">
        <v>229</v>
      </c>
      <c r="H46" s="101">
        <f t="shared" si="8"/>
        <v>0.1575553395</v>
      </c>
      <c r="I46" s="10">
        <f t="shared" si="3"/>
        <v>159.0363597</v>
      </c>
      <c r="J46" s="79">
        <f t="shared" si="4"/>
        <v>1.13398</v>
      </c>
      <c r="K46" s="3"/>
    </row>
    <row r="47">
      <c r="A47" s="116">
        <v>120523.0</v>
      </c>
      <c r="B47" s="92">
        <v>1019.0</v>
      </c>
      <c r="C47" s="93">
        <v>57.6</v>
      </c>
      <c r="D47" s="95">
        <f t="shared" si="1"/>
        <v>961.4</v>
      </c>
      <c r="E47" s="103">
        <v>204.87</v>
      </c>
      <c r="F47" s="95">
        <f t="shared" si="2"/>
        <v>814.13</v>
      </c>
      <c r="G47" s="3" t="s">
        <v>230</v>
      </c>
      <c r="H47" s="101">
        <f t="shared" si="8"/>
        <v>0.1575553395</v>
      </c>
      <c r="I47" s="10">
        <f t="shared" si="3"/>
        <v>151.4737034</v>
      </c>
      <c r="J47" s="79">
        <f t="shared" si="4"/>
        <v>1.13398</v>
      </c>
      <c r="K47" s="3"/>
    </row>
    <row r="48">
      <c r="A48" s="116">
        <v>15169.0</v>
      </c>
      <c r="B48" s="92">
        <v>987.0</v>
      </c>
      <c r="C48" s="93">
        <v>57.6</v>
      </c>
      <c r="D48" s="95">
        <f t="shared" si="1"/>
        <v>929.4</v>
      </c>
      <c r="E48" s="103">
        <v>204.87</v>
      </c>
      <c r="F48" s="95">
        <f t="shared" si="2"/>
        <v>782.13</v>
      </c>
      <c r="G48" s="3" t="s">
        <v>231</v>
      </c>
      <c r="H48" s="101">
        <f t="shared" si="8"/>
        <v>0.1575553395</v>
      </c>
      <c r="I48" s="10">
        <f t="shared" si="3"/>
        <v>146.4319325</v>
      </c>
      <c r="J48" s="79">
        <f t="shared" si="4"/>
        <v>1.13398</v>
      </c>
      <c r="K48" s="3"/>
    </row>
    <row r="49">
      <c r="A49" s="115">
        <v>15184.0</v>
      </c>
      <c r="B49" s="92">
        <v>980.0</v>
      </c>
      <c r="C49" s="93">
        <v>57.6</v>
      </c>
      <c r="D49" s="95">
        <f t="shared" si="1"/>
        <v>922.4</v>
      </c>
      <c r="E49" s="98">
        <v>155.5</v>
      </c>
      <c r="F49" s="95">
        <f t="shared" si="2"/>
        <v>824.5</v>
      </c>
      <c r="G49" s="3" t="s">
        <v>232</v>
      </c>
      <c r="H49" s="101">
        <f t="shared" si="8"/>
        <v>0.1575553395</v>
      </c>
      <c r="I49" s="10">
        <f t="shared" si="3"/>
        <v>145.3290451</v>
      </c>
      <c r="J49" s="79">
        <f t="shared" si="4"/>
        <v>1.13398</v>
      </c>
    </row>
    <row r="50">
      <c r="A50" s="115">
        <v>15167.0</v>
      </c>
      <c r="B50" s="92">
        <v>1042.0</v>
      </c>
      <c r="C50" s="93">
        <v>57.6</v>
      </c>
      <c r="D50" s="95">
        <f t="shared" si="1"/>
        <v>984.4</v>
      </c>
      <c r="E50" s="98">
        <v>204.87</v>
      </c>
      <c r="F50" s="95">
        <f t="shared" si="2"/>
        <v>837.13</v>
      </c>
      <c r="G50" s="3" t="s">
        <v>233</v>
      </c>
      <c r="H50" s="101">
        <f t="shared" si="8"/>
        <v>0.1575553395</v>
      </c>
      <c r="I50" s="10">
        <f t="shared" si="3"/>
        <v>155.0974762</v>
      </c>
      <c r="J50" s="79">
        <f t="shared" si="4"/>
        <v>1.13398</v>
      </c>
    </row>
    <row r="51">
      <c r="A51" s="115">
        <v>15187.0</v>
      </c>
      <c r="B51" s="92">
        <v>1013.0</v>
      </c>
      <c r="C51" s="93">
        <v>57.6</v>
      </c>
      <c r="D51" s="95">
        <f t="shared" si="1"/>
        <v>955.4</v>
      </c>
      <c r="E51" s="98">
        <v>157.5</v>
      </c>
      <c r="F51" s="95">
        <f t="shared" si="2"/>
        <v>855.5</v>
      </c>
      <c r="G51" s="3" t="s">
        <v>234</v>
      </c>
      <c r="H51" s="101">
        <f t="shared" si="8"/>
        <v>0.1575553395</v>
      </c>
      <c r="I51" s="10">
        <f t="shared" si="3"/>
        <v>150.5283713</v>
      </c>
      <c r="J51" s="79">
        <f t="shared" si="4"/>
        <v>1.13398</v>
      </c>
    </row>
    <row r="52">
      <c r="A52" s="115">
        <v>15154.0</v>
      </c>
      <c r="B52" s="92">
        <v>960.0</v>
      </c>
      <c r="C52" s="93">
        <v>57.6</v>
      </c>
      <c r="D52" s="95">
        <f t="shared" si="1"/>
        <v>902.4</v>
      </c>
      <c r="E52" s="98">
        <v>154.0</v>
      </c>
      <c r="F52" s="95">
        <f t="shared" si="2"/>
        <v>806</v>
      </c>
      <c r="G52" s="3" t="s">
        <v>235</v>
      </c>
      <c r="H52" s="101">
        <f t="shared" si="8"/>
        <v>0.1575553395</v>
      </c>
      <c r="I52" s="10">
        <f t="shared" si="3"/>
        <v>142.1779383</v>
      </c>
      <c r="J52" s="79">
        <f t="shared" si="4"/>
        <v>1.13398</v>
      </c>
    </row>
    <row r="53">
      <c r="A53" s="115">
        <v>15165.0</v>
      </c>
      <c r="B53" s="92">
        <v>973.0</v>
      </c>
      <c r="C53" s="93">
        <v>57.6</v>
      </c>
      <c r="D53" s="95">
        <f t="shared" si="1"/>
        <v>915.4</v>
      </c>
      <c r="E53" s="98">
        <v>204.87</v>
      </c>
      <c r="F53" s="95">
        <f t="shared" si="2"/>
        <v>768.13</v>
      </c>
      <c r="G53" s="3" t="s">
        <v>236</v>
      </c>
      <c r="H53" s="101">
        <f t="shared" si="8"/>
        <v>0.1575553395</v>
      </c>
      <c r="I53" s="10">
        <f t="shared" si="3"/>
        <v>144.2261578</v>
      </c>
      <c r="J53" s="79">
        <f t="shared" si="4"/>
        <v>1.13398</v>
      </c>
    </row>
    <row r="54">
      <c r="A54" s="115">
        <v>15195.0</v>
      </c>
      <c r="B54" s="92">
        <v>997.0</v>
      </c>
      <c r="C54" s="93">
        <v>57.6</v>
      </c>
      <c r="D54" s="95">
        <f t="shared" si="1"/>
        <v>939.4</v>
      </c>
      <c r="E54" s="98">
        <v>204.87</v>
      </c>
      <c r="F54" s="95">
        <f t="shared" si="2"/>
        <v>792.13</v>
      </c>
      <c r="G54" s="3" t="s">
        <v>237</v>
      </c>
      <c r="H54" s="101">
        <f t="shared" si="8"/>
        <v>0.1575553395</v>
      </c>
      <c r="I54" s="10">
        <f t="shared" si="3"/>
        <v>148.0074859</v>
      </c>
      <c r="J54" s="79">
        <f t="shared" si="4"/>
        <v>1.13398</v>
      </c>
    </row>
    <row r="55">
      <c r="A55" s="115">
        <v>15156.0</v>
      </c>
      <c r="B55" s="92">
        <v>1113.0</v>
      </c>
      <c r="C55" s="93">
        <v>57.6</v>
      </c>
      <c r="D55" s="95">
        <f t="shared" si="1"/>
        <v>1055.4</v>
      </c>
      <c r="E55" s="98">
        <v>171.0</v>
      </c>
      <c r="F55" s="95">
        <f t="shared" si="2"/>
        <v>942</v>
      </c>
      <c r="G55" s="3" t="s">
        <v>238</v>
      </c>
      <c r="H55" s="101">
        <f t="shared" si="8"/>
        <v>0.1575553395</v>
      </c>
      <c r="I55" s="10">
        <f t="shared" si="3"/>
        <v>166.2839053</v>
      </c>
      <c r="J55" s="79">
        <f t="shared" si="4"/>
        <v>1.13398</v>
      </c>
    </row>
    <row r="56">
      <c r="A56" s="115">
        <v>15161.0</v>
      </c>
      <c r="B56" s="92">
        <v>1058.0</v>
      </c>
      <c r="C56" s="93">
        <v>57.6</v>
      </c>
      <c r="D56" s="95">
        <f t="shared" si="1"/>
        <v>1000.4</v>
      </c>
      <c r="E56" s="98">
        <v>200.0</v>
      </c>
      <c r="F56" s="95">
        <f t="shared" si="2"/>
        <v>858</v>
      </c>
      <c r="G56" s="3" t="s">
        <v>239</v>
      </c>
      <c r="H56" s="101">
        <f t="shared" si="8"/>
        <v>0.1575553395</v>
      </c>
      <c r="I56" s="10">
        <f t="shared" si="3"/>
        <v>157.6183616</v>
      </c>
      <c r="J56" s="79">
        <f t="shared" si="4"/>
        <v>1.13398</v>
      </c>
    </row>
    <row r="57">
      <c r="A57" s="115">
        <v>15180.0</v>
      </c>
      <c r="B57" s="92">
        <v>971.0</v>
      </c>
      <c r="C57" s="93">
        <v>57.6</v>
      </c>
      <c r="D57" s="95">
        <f t="shared" si="1"/>
        <v>913.4</v>
      </c>
      <c r="E57" s="98">
        <v>143.5</v>
      </c>
      <c r="F57" s="95">
        <f t="shared" si="2"/>
        <v>827.5</v>
      </c>
      <c r="G57" s="3" t="s">
        <v>240</v>
      </c>
      <c r="H57" s="101">
        <f t="shared" si="8"/>
        <v>0.1575553395</v>
      </c>
      <c r="I57" s="10">
        <f t="shared" si="3"/>
        <v>143.9110471</v>
      </c>
      <c r="J57" s="79">
        <f t="shared" si="4"/>
        <v>1.13398</v>
      </c>
    </row>
    <row r="58">
      <c r="A58" s="115">
        <v>15153.0</v>
      </c>
      <c r="B58" s="92">
        <v>976.0</v>
      </c>
      <c r="C58" s="93">
        <v>57.6</v>
      </c>
      <c r="D58" s="95">
        <f t="shared" si="1"/>
        <v>918.4</v>
      </c>
      <c r="E58" s="98">
        <v>399.0</v>
      </c>
      <c r="F58" s="95">
        <f t="shared" si="2"/>
        <v>577</v>
      </c>
      <c r="G58" s="3" t="s">
        <v>241</v>
      </c>
      <c r="H58" s="101">
        <f t="shared" si="8"/>
        <v>0.1575553395</v>
      </c>
      <c r="I58" s="10">
        <f t="shared" si="3"/>
        <v>144.6988238</v>
      </c>
      <c r="J58" s="79">
        <f t="shared" si="4"/>
        <v>1.13398</v>
      </c>
    </row>
    <row r="59">
      <c r="A59" s="115">
        <v>15190.0</v>
      </c>
      <c r="B59" s="92">
        <v>1073.0</v>
      </c>
      <c r="C59" s="93">
        <v>57.6</v>
      </c>
      <c r="D59" s="95">
        <f t="shared" si="1"/>
        <v>1015.4</v>
      </c>
      <c r="E59" s="98">
        <v>204.87</v>
      </c>
      <c r="F59" s="95">
        <f t="shared" si="2"/>
        <v>868.13</v>
      </c>
      <c r="G59" s="3" t="s">
        <v>242</v>
      </c>
      <c r="H59" s="101">
        <f t="shared" si="8"/>
        <v>0.1575553395</v>
      </c>
      <c r="I59" s="10">
        <f t="shared" si="3"/>
        <v>159.9816917</v>
      </c>
      <c r="J59" s="79">
        <f t="shared" si="4"/>
        <v>1.13398</v>
      </c>
    </row>
    <row r="60">
      <c r="A60" s="115">
        <v>15198.0</v>
      </c>
      <c r="B60" s="92">
        <v>1034.0</v>
      </c>
      <c r="C60" s="93">
        <v>57.6</v>
      </c>
      <c r="D60" s="95">
        <f t="shared" si="1"/>
        <v>976.4</v>
      </c>
      <c r="E60" s="98">
        <v>156.0</v>
      </c>
      <c r="F60" s="95">
        <f t="shared" si="2"/>
        <v>878</v>
      </c>
      <c r="G60" s="3" t="s">
        <v>244</v>
      </c>
      <c r="H60" s="101">
        <f t="shared" si="8"/>
        <v>0.1575553395</v>
      </c>
      <c r="I60" s="10">
        <f t="shared" si="3"/>
        <v>153.8370335</v>
      </c>
      <c r="J60" s="79">
        <f t="shared" si="4"/>
        <v>1.13398</v>
      </c>
    </row>
    <row r="61">
      <c r="A61" s="115">
        <v>15183.0</v>
      </c>
      <c r="B61" s="92">
        <v>1011.0</v>
      </c>
      <c r="C61" s="93">
        <v>57.6</v>
      </c>
      <c r="D61" s="95">
        <f t="shared" si="1"/>
        <v>953.4</v>
      </c>
      <c r="E61" s="98">
        <v>204.87</v>
      </c>
      <c r="F61" s="95">
        <f t="shared" si="2"/>
        <v>806.13</v>
      </c>
      <c r="G61" s="3" t="s">
        <v>245</v>
      </c>
      <c r="H61" s="101">
        <f t="shared" ref="H61:H62" si="9">$L$21</f>
        <v>0.1105698239</v>
      </c>
      <c r="I61" s="10">
        <f t="shared" si="3"/>
        <v>105.4172702</v>
      </c>
      <c r="J61" s="79">
        <f t="shared" si="4"/>
        <v>1.13398</v>
      </c>
    </row>
    <row r="62">
      <c r="A62" s="115">
        <v>245132.0</v>
      </c>
      <c r="B62" s="92">
        <v>1086.0</v>
      </c>
      <c r="C62" s="93">
        <v>57.6</v>
      </c>
      <c r="D62" s="95">
        <f t="shared" si="1"/>
        <v>1028.4</v>
      </c>
      <c r="E62" s="98">
        <v>204.87</v>
      </c>
      <c r="F62" s="95">
        <f t="shared" si="2"/>
        <v>881.13</v>
      </c>
      <c r="G62" s="3" t="s">
        <v>246</v>
      </c>
      <c r="H62" s="101">
        <f t="shared" si="9"/>
        <v>0.1105698239</v>
      </c>
      <c r="I62" s="10">
        <f t="shared" si="3"/>
        <v>113.7100069</v>
      </c>
      <c r="J62" s="79">
        <f t="shared" si="4"/>
        <v>1.13398</v>
      </c>
    </row>
    <row r="63">
      <c r="A63" s="115">
        <v>245180.0</v>
      </c>
      <c r="B63" s="92">
        <v>1033.0</v>
      </c>
      <c r="C63" s="93">
        <v>57.6</v>
      </c>
      <c r="D63" s="95">
        <f t="shared" si="1"/>
        <v>975.4</v>
      </c>
      <c r="E63" s="98">
        <v>204.87</v>
      </c>
      <c r="F63" s="95">
        <f t="shared" si="2"/>
        <v>828.13</v>
      </c>
      <c r="G63" s="3" t="s">
        <v>247</v>
      </c>
      <c r="H63" s="101">
        <f>$L$22</f>
        <v>0.128689567</v>
      </c>
      <c r="I63" s="10">
        <f t="shared" si="3"/>
        <v>125.5238036</v>
      </c>
      <c r="J63" s="79">
        <f t="shared" si="4"/>
        <v>1.13398</v>
      </c>
    </row>
    <row r="64">
      <c r="A64" s="115">
        <v>228474.0</v>
      </c>
      <c r="B64" s="92">
        <v>1102.0</v>
      </c>
      <c r="C64" s="93">
        <v>57.6</v>
      </c>
      <c r="D64" s="95">
        <f t="shared" si="1"/>
        <v>1044.4</v>
      </c>
      <c r="E64" s="98">
        <v>204.87</v>
      </c>
      <c r="F64" s="95">
        <f t="shared" si="2"/>
        <v>897.13</v>
      </c>
      <c r="G64" s="3" t="s">
        <v>248</v>
      </c>
      <c r="H64" s="101">
        <f t="shared" ref="H64:H69" si="10">$L$11</f>
        <v>0.1392140548</v>
      </c>
      <c r="I64" s="10">
        <f t="shared" si="3"/>
        <v>145.3951588</v>
      </c>
      <c r="J64" s="79">
        <f t="shared" si="4"/>
        <v>1.13398</v>
      </c>
    </row>
    <row r="65">
      <c r="A65" s="115">
        <v>228477.0</v>
      </c>
      <c r="B65" s="92">
        <v>1051.0</v>
      </c>
      <c r="C65" s="93">
        <v>57.6</v>
      </c>
      <c r="D65" s="95">
        <f t="shared" si="1"/>
        <v>993.4</v>
      </c>
      <c r="E65" s="98">
        <v>204.87</v>
      </c>
      <c r="F65" s="95">
        <f t="shared" si="2"/>
        <v>846.13</v>
      </c>
      <c r="G65" s="3" t="s">
        <v>249</v>
      </c>
      <c r="H65" s="101">
        <f t="shared" si="10"/>
        <v>0.1392140548</v>
      </c>
      <c r="I65" s="10">
        <f t="shared" si="3"/>
        <v>138.295242</v>
      </c>
      <c r="J65" s="79">
        <f t="shared" si="4"/>
        <v>1.13398</v>
      </c>
    </row>
    <row r="66">
      <c r="A66" s="115">
        <v>228090.0</v>
      </c>
      <c r="B66" s="92">
        <v>1082.0</v>
      </c>
      <c r="C66" s="93">
        <v>57.6</v>
      </c>
      <c r="D66" s="95">
        <f t="shared" si="1"/>
        <v>1024.4</v>
      </c>
      <c r="E66" s="98">
        <v>172.0</v>
      </c>
      <c r="F66" s="95">
        <f t="shared" si="2"/>
        <v>910</v>
      </c>
      <c r="G66" s="3" t="s">
        <v>250</v>
      </c>
      <c r="H66" s="101">
        <f t="shared" si="10"/>
        <v>0.1392140548</v>
      </c>
      <c r="I66" s="10">
        <f t="shared" si="3"/>
        <v>142.6108777</v>
      </c>
      <c r="J66" s="79">
        <f t="shared" si="4"/>
        <v>1.13398</v>
      </c>
    </row>
    <row r="67">
      <c r="A67" s="115">
        <v>228088.0</v>
      </c>
      <c r="B67" s="92">
        <v>1097.0</v>
      </c>
      <c r="C67" s="93">
        <v>57.6</v>
      </c>
      <c r="D67" s="95">
        <f t="shared" si="1"/>
        <v>1039.4</v>
      </c>
      <c r="E67" s="98">
        <v>204.87</v>
      </c>
      <c r="F67" s="95">
        <f t="shared" si="2"/>
        <v>892.13</v>
      </c>
      <c r="G67" s="3" t="s">
        <v>251</v>
      </c>
      <c r="H67" s="101">
        <f t="shared" si="10"/>
        <v>0.1392140548</v>
      </c>
      <c r="I67" s="10">
        <f t="shared" si="3"/>
        <v>144.6990885</v>
      </c>
      <c r="J67" s="79">
        <f t="shared" si="4"/>
        <v>1.13398</v>
      </c>
    </row>
    <row r="68">
      <c r="A68" s="115">
        <v>228045.0</v>
      </c>
      <c r="B68" s="92">
        <v>1086.0</v>
      </c>
      <c r="C68" s="93">
        <v>57.6</v>
      </c>
      <c r="D68" s="95">
        <f t="shared" si="1"/>
        <v>1028.4</v>
      </c>
      <c r="E68" s="98">
        <v>204.87</v>
      </c>
      <c r="F68" s="95">
        <f t="shared" si="2"/>
        <v>881.13</v>
      </c>
      <c r="G68" s="3" t="s">
        <v>252</v>
      </c>
      <c r="H68" s="101">
        <f t="shared" si="10"/>
        <v>0.1392140548</v>
      </c>
      <c r="I68" s="10">
        <f t="shared" si="3"/>
        <v>143.1677339</v>
      </c>
      <c r="J68" s="79">
        <f t="shared" si="4"/>
        <v>1.13398</v>
      </c>
    </row>
    <row r="69">
      <c r="A69" s="115">
        <v>228096.0</v>
      </c>
      <c r="B69" s="92">
        <v>1008.0</v>
      </c>
      <c r="C69" s="93">
        <v>57.6</v>
      </c>
      <c r="D69" s="95">
        <f t="shared" si="1"/>
        <v>950.4</v>
      </c>
      <c r="E69" s="98">
        <v>204.87</v>
      </c>
      <c r="F69" s="95">
        <f t="shared" si="2"/>
        <v>803.13</v>
      </c>
      <c r="G69" s="3" t="s">
        <v>253</v>
      </c>
      <c r="H69" s="101">
        <f t="shared" si="10"/>
        <v>0.1392140548</v>
      </c>
      <c r="I69" s="10">
        <f t="shared" si="3"/>
        <v>132.3090377</v>
      </c>
      <c r="J69" s="79">
        <f t="shared" si="4"/>
        <v>1.13398</v>
      </c>
    </row>
    <row r="70">
      <c r="A70" s="115">
        <v>300001.0</v>
      </c>
      <c r="B70" s="92">
        <v>1066.0</v>
      </c>
      <c r="C70" s="93">
        <v>57.6</v>
      </c>
      <c r="D70" s="95">
        <f t="shared" si="1"/>
        <v>1008.4</v>
      </c>
      <c r="E70" s="98">
        <v>169.0</v>
      </c>
      <c r="F70" s="95">
        <f t="shared" si="2"/>
        <v>897</v>
      </c>
      <c r="G70" s="3" t="s">
        <v>254</v>
      </c>
      <c r="H70" s="101">
        <f t="shared" ref="H70:H89" si="11">$L$13</f>
        <v>0.1568340169</v>
      </c>
      <c r="I70" s="10">
        <f t="shared" si="3"/>
        <v>158.1514227</v>
      </c>
      <c r="J70" s="79">
        <f t="shared" si="4"/>
        <v>1.13398</v>
      </c>
    </row>
    <row r="71">
      <c r="A71" s="115">
        <v>300005.0</v>
      </c>
      <c r="B71" s="92">
        <v>1063.0</v>
      </c>
      <c r="C71" s="93">
        <v>57.6</v>
      </c>
      <c r="D71" s="95">
        <f t="shared" si="1"/>
        <v>1005.4</v>
      </c>
      <c r="E71" s="98">
        <v>153.5</v>
      </c>
      <c r="F71" s="95">
        <f t="shared" si="2"/>
        <v>909.5</v>
      </c>
      <c r="G71" s="3" t="s">
        <v>255</v>
      </c>
      <c r="H71" s="101">
        <f t="shared" si="11"/>
        <v>0.1568340169</v>
      </c>
      <c r="I71" s="10">
        <f t="shared" si="3"/>
        <v>157.6809206</v>
      </c>
      <c r="J71" s="79">
        <f t="shared" si="4"/>
        <v>1.13398</v>
      </c>
    </row>
    <row r="72">
      <c r="A72" s="115">
        <v>300061.0</v>
      </c>
      <c r="B72" s="92">
        <v>1048.0</v>
      </c>
      <c r="C72" s="93">
        <v>57.6</v>
      </c>
      <c r="D72" s="95">
        <f t="shared" si="1"/>
        <v>990.4</v>
      </c>
      <c r="E72" s="98">
        <v>167.0</v>
      </c>
      <c r="F72" s="95">
        <f t="shared" si="2"/>
        <v>881</v>
      </c>
      <c r="G72" s="3" t="s">
        <v>256</v>
      </c>
      <c r="H72" s="101">
        <f t="shared" si="11"/>
        <v>0.1568340169</v>
      </c>
      <c r="I72" s="10">
        <f t="shared" si="3"/>
        <v>155.3284104</v>
      </c>
      <c r="J72" s="79">
        <f t="shared" si="4"/>
        <v>1.13398</v>
      </c>
    </row>
    <row r="73">
      <c r="A73" s="115">
        <v>300090.0</v>
      </c>
      <c r="B73" s="92">
        <v>1010.0</v>
      </c>
      <c r="C73" s="93">
        <v>57.6</v>
      </c>
      <c r="D73" s="95">
        <f t="shared" si="1"/>
        <v>952.4</v>
      </c>
      <c r="E73" s="98">
        <v>164.0</v>
      </c>
      <c r="F73" s="95">
        <f t="shared" si="2"/>
        <v>846</v>
      </c>
      <c r="G73" s="3" t="s">
        <v>257</v>
      </c>
      <c r="H73" s="101">
        <f t="shared" si="11"/>
        <v>0.1568340169</v>
      </c>
      <c r="I73" s="10">
        <f t="shared" si="3"/>
        <v>149.3687177</v>
      </c>
      <c r="J73" s="79">
        <f t="shared" si="4"/>
        <v>1.13398</v>
      </c>
    </row>
    <row r="74">
      <c r="A74" s="115">
        <v>300088.0</v>
      </c>
      <c r="B74" s="92">
        <v>999.0</v>
      </c>
      <c r="C74" s="93">
        <v>57.6</v>
      </c>
      <c r="D74" s="95">
        <f t="shared" si="1"/>
        <v>941.4</v>
      </c>
      <c r="E74" s="98">
        <v>154.0</v>
      </c>
      <c r="F74" s="95">
        <f t="shared" si="2"/>
        <v>845</v>
      </c>
      <c r="G74" s="3" t="s">
        <v>258</v>
      </c>
      <c r="H74" s="101">
        <f t="shared" si="11"/>
        <v>0.1568340169</v>
      </c>
      <c r="I74" s="10">
        <f t="shared" si="3"/>
        <v>147.6435435</v>
      </c>
      <c r="J74" s="79">
        <f t="shared" si="4"/>
        <v>1.13398</v>
      </c>
    </row>
    <row r="75">
      <c r="A75" s="115">
        <v>300087.0</v>
      </c>
      <c r="B75" s="92">
        <v>1172.0</v>
      </c>
      <c r="C75" s="93">
        <v>57.6</v>
      </c>
      <c r="D75" s="95">
        <f t="shared" si="1"/>
        <v>1114.4</v>
      </c>
      <c r="E75" s="98">
        <v>164.5</v>
      </c>
      <c r="F75" s="95">
        <f t="shared" si="2"/>
        <v>1007.5</v>
      </c>
      <c r="G75" s="3" t="s">
        <v>259</v>
      </c>
      <c r="H75" s="101">
        <f t="shared" si="11"/>
        <v>0.1568340169</v>
      </c>
      <c r="I75" s="10">
        <f t="shared" si="3"/>
        <v>174.7758284</v>
      </c>
      <c r="J75" s="79">
        <f t="shared" si="4"/>
        <v>1.13398</v>
      </c>
    </row>
    <row r="76">
      <c r="A76" s="115">
        <v>300071.0</v>
      </c>
      <c r="B76" s="92">
        <v>1118.0</v>
      </c>
      <c r="C76" s="93">
        <v>57.6</v>
      </c>
      <c r="D76" s="95">
        <f t="shared" si="1"/>
        <v>1060.4</v>
      </c>
      <c r="E76" s="98">
        <v>153.5</v>
      </c>
      <c r="F76" s="95">
        <f t="shared" si="2"/>
        <v>964.5</v>
      </c>
      <c r="G76" s="3" t="s">
        <v>261</v>
      </c>
      <c r="H76" s="101">
        <f t="shared" si="11"/>
        <v>0.1568340169</v>
      </c>
      <c r="I76" s="10">
        <f t="shared" si="3"/>
        <v>166.3067915</v>
      </c>
      <c r="J76" s="79">
        <f t="shared" si="4"/>
        <v>1.13398</v>
      </c>
    </row>
    <row r="77">
      <c r="A77" s="115">
        <v>300009.0</v>
      </c>
      <c r="B77" s="92">
        <v>1049.0</v>
      </c>
      <c r="C77" s="93">
        <v>57.6</v>
      </c>
      <c r="D77" s="95">
        <f t="shared" si="1"/>
        <v>991.4</v>
      </c>
      <c r="E77" s="98">
        <v>156.0</v>
      </c>
      <c r="F77" s="95">
        <f t="shared" si="2"/>
        <v>893</v>
      </c>
      <c r="G77" s="3" t="s">
        <v>262</v>
      </c>
      <c r="H77" s="101">
        <f t="shared" si="11"/>
        <v>0.1568340169</v>
      </c>
      <c r="I77" s="10">
        <f t="shared" si="3"/>
        <v>155.4852444</v>
      </c>
      <c r="J77" s="79">
        <f t="shared" si="4"/>
        <v>1.13398</v>
      </c>
    </row>
    <row r="78">
      <c r="A78" s="115">
        <v>300085.0</v>
      </c>
      <c r="B78" s="92">
        <v>976.0</v>
      </c>
      <c r="C78" s="93">
        <v>57.6</v>
      </c>
      <c r="D78" s="95">
        <f t="shared" si="1"/>
        <v>918.4</v>
      </c>
      <c r="E78" s="98">
        <v>160.0</v>
      </c>
      <c r="F78" s="95">
        <f t="shared" si="2"/>
        <v>816</v>
      </c>
      <c r="G78" s="3" t="s">
        <v>263</v>
      </c>
      <c r="H78" s="101">
        <f t="shared" si="11"/>
        <v>0.1568340169</v>
      </c>
      <c r="I78" s="10">
        <f t="shared" si="3"/>
        <v>144.0363611</v>
      </c>
      <c r="J78" s="79">
        <f t="shared" si="4"/>
        <v>1.13398</v>
      </c>
    </row>
    <row r="79">
      <c r="A79" s="115">
        <v>300027.0</v>
      </c>
      <c r="B79" s="92">
        <v>1171.0</v>
      </c>
      <c r="C79" s="93">
        <v>57.6</v>
      </c>
      <c r="D79" s="95">
        <f t="shared" si="1"/>
        <v>1113.4</v>
      </c>
      <c r="E79" s="98">
        <v>156.5</v>
      </c>
      <c r="F79" s="95">
        <f t="shared" si="2"/>
        <v>1014.5</v>
      </c>
      <c r="G79" s="3" t="s">
        <v>264</v>
      </c>
      <c r="H79" s="101">
        <f t="shared" si="11"/>
        <v>0.1568340169</v>
      </c>
      <c r="I79" s="10">
        <f t="shared" si="3"/>
        <v>174.6189944</v>
      </c>
      <c r="J79" s="79">
        <f t="shared" si="4"/>
        <v>1.13398</v>
      </c>
    </row>
    <row r="80">
      <c r="A80" s="115">
        <v>300024.0</v>
      </c>
      <c r="B80" s="92">
        <v>1146.0</v>
      </c>
      <c r="C80" s="93">
        <v>57.6</v>
      </c>
      <c r="D80" s="95">
        <f t="shared" si="1"/>
        <v>1088.4</v>
      </c>
      <c r="E80" s="98">
        <v>163.0</v>
      </c>
      <c r="F80" s="95">
        <f t="shared" si="2"/>
        <v>983</v>
      </c>
      <c r="G80" s="3" t="s">
        <v>265</v>
      </c>
      <c r="H80" s="101">
        <f t="shared" si="11"/>
        <v>0.1568340169</v>
      </c>
      <c r="I80" s="10">
        <f t="shared" si="3"/>
        <v>170.698144</v>
      </c>
      <c r="J80" s="79">
        <f t="shared" si="4"/>
        <v>1.13398</v>
      </c>
    </row>
    <row r="81">
      <c r="A81" s="115">
        <v>300072.0</v>
      </c>
      <c r="B81" s="92">
        <v>1190.0</v>
      </c>
      <c r="C81" s="93">
        <v>57.6</v>
      </c>
      <c r="D81" s="95">
        <f t="shared" si="1"/>
        <v>1132.4</v>
      </c>
      <c r="E81" s="98">
        <v>138.0</v>
      </c>
      <c r="F81" s="95">
        <f t="shared" si="2"/>
        <v>1052</v>
      </c>
      <c r="G81" s="3" t="s">
        <v>266</v>
      </c>
      <c r="H81" s="101">
        <f t="shared" si="11"/>
        <v>0.1568340169</v>
      </c>
      <c r="I81" s="10">
        <f t="shared" si="3"/>
        <v>177.5988408</v>
      </c>
      <c r="J81" s="79">
        <f t="shared" si="4"/>
        <v>1.13398</v>
      </c>
    </row>
    <row r="82">
      <c r="A82" s="115">
        <v>300013.0</v>
      </c>
      <c r="B82" s="92">
        <v>990.0</v>
      </c>
      <c r="C82" s="93">
        <v>57.6</v>
      </c>
      <c r="D82" s="95">
        <f t="shared" si="1"/>
        <v>932.4</v>
      </c>
      <c r="E82" s="98">
        <v>167.5</v>
      </c>
      <c r="F82" s="95">
        <f t="shared" si="2"/>
        <v>822.5</v>
      </c>
      <c r="G82" s="3" t="s">
        <v>267</v>
      </c>
      <c r="H82" s="101">
        <f t="shared" si="11"/>
        <v>0.1568340169</v>
      </c>
      <c r="I82" s="10">
        <f t="shared" si="3"/>
        <v>146.2320374</v>
      </c>
      <c r="J82" s="79">
        <f t="shared" si="4"/>
        <v>1.13398</v>
      </c>
    </row>
    <row r="83">
      <c r="A83" s="115">
        <v>300075.0</v>
      </c>
      <c r="B83" s="92">
        <v>959.0</v>
      </c>
      <c r="C83" s="93">
        <v>57.6</v>
      </c>
      <c r="D83" s="95">
        <f t="shared" si="1"/>
        <v>901.4</v>
      </c>
      <c r="E83" s="98">
        <v>156.0</v>
      </c>
      <c r="F83" s="95">
        <f t="shared" si="2"/>
        <v>803</v>
      </c>
      <c r="G83" s="3" t="s">
        <v>268</v>
      </c>
      <c r="H83" s="101">
        <f t="shared" si="11"/>
        <v>0.1568340169</v>
      </c>
      <c r="I83" s="10">
        <f t="shared" si="3"/>
        <v>141.3701828</v>
      </c>
      <c r="J83" s="79">
        <f t="shared" si="4"/>
        <v>1.13398</v>
      </c>
    </row>
    <row r="84">
      <c r="A84" s="115">
        <v>300093.0</v>
      </c>
      <c r="B84" s="92">
        <v>1108.0</v>
      </c>
      <c r="C84" s="93">
        <v>57.6</v>
      </c>
      <c r="D84" s="95">
        <f t="shared" si="1"/>
        <v>1050.4</v>
      </c>
      <c r="E84" s="98">
        <v>159.0</v>
      </c>
      <c r="F84" s="95">
        <f t="shared" si="2"/>
        <v>949</v>
      </c>
      <c r="G84" s="3" t="s">
        <v>269</v>
      </c>
      <c r="H84" s="101">
        <f t="shared" si="11"/>
        <v>0.1568340169</v>
      </c>
      <c r="I84" s="10">
        <f t="shared" si="3"/>
        <v>164.7384514</v>
      </c>
      <c r="J84" s="79">
        <f t="shared" si="4"/>
        <v>1.13398</v>
      </c>
    </row>
    <row r="85">
      <c r="A85" s="115">
        <v>300023.0</v>
      </c>
      <c r="B85" s="92">
        <v>1025.0</v>
      </c>
      <c r="C85" s="93">
        <v>57.6</v>
      </c>
      <c r="D85" s="95">
        <f t="shared" si="1"/>
        <v>967.4</v>
      </c>
      <c r="E85" s="98">
        <v>185.5</v>
      </c>
      <c r="F85" s="95">
        <f t="shared" si="2"/>
        <v>839.5</v>
      </c>
      <c r="G85" s="3" t="s">
        <v>270</v>
      </c>
      <c r="H85" s="101">
        <f t="shared" si="11"/>
        <v>0.1568340169</v>
      </c>
      <c r="I85" s="10">
        <f t="shared" si="3"/>
        <v>151.721228</v>
      </c>
      <c r="J85" s="79">
        <f t="shared" si="4"/>
        <v>1.13398</v>
      </c>
    </row>
    <row r="86">
      <c r="A86" s="115">
        <v>300012.0</v>
      </c>
      <c r="B86" s="92">
        <v>1019.0</v>
      </c>
      <c r="C86" s="93">
        <v>57.6</v>
      </c>
      <c r="D86" s="95">
        <f t="shared" si="1"/>
        <v>961.4</v>
      </c>
      <c r="E86" s="98">
        <v>186.5</v>
      </c>
      <c r="F86" s="95">
        <f t="shared" si="2"/>
        <v>832.5</v>
      </c>
      <c r="G86" s="3" t="s">
        <v>271</v>
      </c>
      <c r="H86" s="101">
        <f t="shared" si="11"/>
        <v>0.1568340169</v>
      </c>
      <c r="I86" s="10">
        <f t="shared" si="3"/>
        <v>150.7802239</v>
      </c>
      <c r="J86" s="79">
        <f t="shared" si="4"/>
        <v>1.13398</v>
      </c>
    </row>
    <row r="87">
      <c r="A87" s="115">
        <v>300033.0</v>
      </c>
      <c r="B87" s="92">
        <v>1172.0</v>
      </c>
      <c r="C87" s="93">
        <v>57.6</v>
      </c>
      <c r="D87" s="95">
        <f t="shared" si="1"/>
        <v>1114.4</v>
      </c>
      <c r="E87" s="98">
        <v>149.5</v>
      </c>
      <c r="F87" s="95">
        <f t="shared" si="2"/>
        <v>1022.5</v>
      </c>
      <c r="G87" s="3" t="s">
        <v>272</v>
      </c>
      <c r="H87" s="101">
        <f t="shared" si="11"/>
        <v>0.1568340169</v>
      </c>
      <c r="I87" s="10">
        <f t="shared" si="3"/>
        <v>174.7758284</v>
      </c>
      <c r="J87" s="79">
        <f t="shared" si="4"/>
        <v>1.13398</v>
      </c>
    </row>
    <row r="88">
      <c r="A88" s="115">
        <v>300068.0</v>
      </c>
      <c r="B88" s="117">
        <v>984.0</v>
      </c>
      <c r="C88" s="93">
        <v>57.6</v>
      </c>
      <c r="D88" s="95">
        <f t="shared" si="1"/>
        <v>926.4</v>
      </c>
      <c r="E88" s="92">
        <v>146.5</v>
      </c>
      <c r="F88" s="95">
        <f t="shared" si="2"/>
        <v>837.5</v>
      </c>
      <c r="G88" s="3" t="s">
        <v>273</v>
      </c>
      <c r="H88" s="37">
        <f t="shared" si="11"/>
        <v>0.1568340169</v>
      </c>
      <c r="I88" s="37">
        <f t="shared" si="3"/>
        <v>145.2910333</v>
      </c>
      <c r="J88" s="37">
        <f t="shared" si="4"/>
        <v>1.13398</v>
      </c>
    </row>
    <row r="89">
      <c r="A89" s="115">
        <v>300045.0</v>
      </c>
      <c r="B89" s="117">
        <v>1111.0</v>
      </c>
      <c r="C89" s="93">
        <v>57.6</v>
      </c>
      <c r="D89" s="95">
        <f t="shared" si="1"/>
        <v>1053.4</v>
      </c>
      <c r="E89" s="92">
        <v>166.0</v>
      </c>
      <c r="F89" s="95">
        <f t="shared" si="2"/>
        <v>945</v>
      </c>
      <c r="G89" s="3" t="s">
        <v>274</v>
      </c>
      <c r="H89" s="37">
        <f t="shared" si="11"/>
        <v>0.1568340169</v>
      </c>
      <c r="I89" s="37">
        <f t="shared" si="3"/>
        <v>165.2089534</v>
      </c>
      <c r="J89" s="37">
        <f t="shared" si="4"/>
        <v>1.13398</v>
      </c>
      <c r="K89" s="3"/>
    </row>
    <row r="90">
      <c r="A90" s="115"/>
      <c r="B90" s="117"/>
      <c r="C90" s="93"/>
      <c r="D90" s="95"/>
      <c r="E90" s="95"/>
      <c r="F90" s="95"/>
    </row>
    <row r="91">
      <c r="A91" s="115" t="s">
        <v>86</v>
      </c>
      <c r="B91" s="92">
        <f t="shared" ref="B91:E91" si="12">SUM(B11:B89)</f>
        <v>81961</v>
      </c>
      <c r="C91" s="93">
        <f t="shared" si="12"/>
        <v>4651.1</v>
      </c>
      <c r="D91" s="95">
        <f t="shared" si="12"/>
        <v>77309.9</v>
      </c>
      <c r="E91" s="95">
        <f t="shared" si="12"/>
        <v>14933.32</v>
      </c>
      <c r="F91" s="95">
        <f>SUM(F11:F89)-B96</f>
        <v>66060.68</v>
      </c>
      <c r="H91" s="37">
        <f>IFERROR(SUMPRODUCT(D11:D89,H11:H89)/SUMIF(H11:H89,"&lt;&gt;",D11:D89),"")</f>
        <v>0.1497340287</v>
      </c>
      <c r="I91" s="10">
        <f t="shared" ref="I91:J91" si="13">SUM(I11:I89)</f>
        <v>11575.92278</v>
      </c>
      <c r="J91" s="79">
        <f t="shared" si="13"/>
        <v>89.58442</v>
      </c>
    </row>
    <row r="92">
      <c r="A92" s="116"/>
      <c r="B92" s="117"/>
      <c r="C92" s="93"/>
      <c r="D92" s="95"/>
      <c r="E92" s="95"/>
      <c r="F92" s="95"/>
    </row>
    <row r="93">
      <c r="A93" s="116"/>
      <c r="B93" s="117"/>
      <c r="C93" s="93"/>
      <c r="D93" s="95"/>
      <c r="E93" s="95"/>
      <c r="F93" s="95"/>
      <c r="G93" s="35"/>
      <c r="H93" s="35"/>
      <c r="I93" s="52"/>
    </row>
    <row r="94">
      <c r="B94" s="118"/>
      <c r="C94" s="118"/>
      <c r="D94" s="119"/>
      <c r="E94" s="119"/>
      <c r="F94" s="119"/>
      <c r="G94" s="50"/>
      <c r="H94" s="120"/>
      <c r="I94" s="121"/>
      <c r="J94" s="8"/>
    </row>
    <row r="95">
      <c r="A95" s="3" t="s">
        <v>68</v>
      </c>
      <c r="B95" s="122">
        <v>2.93</v>
      </c>
      <c r="D95" s="10"/>
      <c r="E95" s="10"/>
      <c r="F95" s="10"/>
      <c r="G95" s="35"/>
      <c r="H95" s="35"/>
      <c r="I95" s="52"/>
    </row>
    <row r="96">
      <c r="A96" s="3" t="s">
        <v>276</v>
      </c>
      <c r="B96" s="122">
        <v>967.0</v>
      </c>
      <c r="C96" s="3" t="s">
        <v>277</v>
      </c>
      <c r="D96" s="10"/>
      <c r="E96" s="10"/>
      <c r="F96" s="10"/>
      <c r="G96" s="35"/>
      <c r="H96" s="35"/>
      <c r="I96" s="77"/>
    </row>
    <row r="97">
      <c r="B97" s="122"/>
      <c r="D97" s="10"/>
      <c r="E97" s="10"/>
      <c r="F97" s="10"/>
      <c r="G97" s="35"/>
      <c r="H97" s="35"/>
      <c r="I97" s="52"/>
    </row>
    <row r="98">
      <c r="B98" s="122"/>
      <c r="D98" s="10"/>
      <c r="E98" s="10"/>
      <c r="F98" s="10"/>
      <c r="G98" s="35"/>
      <c r="H98" s="35"/>
      <c r="I98" s="52"/>
    </row>
    <row r="99">
      <c r="B99" s="122"/>
      <c r="D99" s="10"/>
      <c r="E99" s="10"/>
      <c r="F99" s="10"/>
      <c r="G99" s="35"/>
      <c r="H99" s="35"/>
      <c r="I99" s="52"/>
    </row>
    <row r="100">
      <c r="B100" s="122"/>
      <c r="D100" s="10"/>
      <c r="E100" s="10"/>
      <c r="F100" s="10"/>
      <c r="G100" s="35"/>
      <c r="H100" s="35"/>
      <c r="I100" s="52"/>
    </row>
    <row r="101">
      <c r="B101" s="122"/>
      <c r="D101" s="10"/>
      <c r="E101" s="10"/>
      <c r="F101" s="10"/>
      <c r="G101" s="35"/>
      <c r="H101" s="35"/>
      <c r="I101" s="52"/>
    </row>
    <row r="102">
      <c r="B102" s="122"/>
      <c r="D102" s="10"/>
      <c r="E102" s="10"/>
      <c r="F102" s="10"/>
      <c r="G102" s="35"/>
      <c r="H102" s="35"/>
      <c r="I102" s="52"/>
    </row>
    <row r="103">
      <c r="B103" s="122"/>
      <c r="D103" s="10"/>
      <c r="E103" s="10"/>
      <c r="F103" s="10"/>
      <c r="G103" s="35"/>
      <c r="H103" s="35"/>
      <c r="I103" s="52"/>
    </row>
    <row r="104">
      <c r="B104" s="122"/>
      <c r="D104" s="10"/>
      <c r="E104" s="10"/>
      <c r="F104" s="10"/>
      <c r="G104" s="35"/>
      <c r="H104" s="35"/>
      <c r="I104" s="52"/>
    </row>
    <row r="105">
      <c r="B105" s="122"/>
      <c r="D105" s="10"/>
      <c r="E105" s="10"/>
      <c r="F105" s="10"/>
      <c r="G105" s="35"/>
      <c r="H105" s="35"/>
      <c r="I105" s="52"/>
    </row>
    <row r="106">
      <c r="B106" s="122"/>
      <c r="D106" s="10"/>
      <c r="E106" s="10"/>
      <c r="F106" s="10"/>
      <c r="G106" s="35"/>
      <c r="H106" s="35"/>
      <c r="I106" s="52"/>
    </row>
    <row r="107">
      <c r="B107" s="122"/>
      <c r="D107" s="10"/>
      <c r="E107" s="10"/>
      <c r="F107" s="10"/>
      <c r="G107" s="35"/>
      <c r="H107" s="35"/>
      <c r="I107" s="52"/>
    </row>
    <row r="108">
      <c r="B108" s="122"/>
      <c r="D108" s="10"/>
      <c r="E108" s="10"/>
      <c r="F108" s="10"/>
      <c r="G108" s="35"/>
      <c r="H108" s="35"/>
      <c r="I108" s="52"/>
    </row>
    <row r="109">
      <c r="B109" s="122"/>
      <c r="D109" s="10"/>
      <c r="E109" s="10"/>
      <c r="F109" s="10"/>
      <c r="G109" s="35"/>
      <c r="H109" s="35"/>
      <c r="I109" s="52"/>
    </row>
    <row r="110">
      <c r="B110" s="122"/>
      <c r="D110" s="10"/>
      <c r="E110" s="10"/>
      <c r="F110" s="10"/>
      <c r="G110" s="35"/>
      <c r="H110" s="35"/>
      <c r="I110" s="52"/>
    </row>
    <row r="111">
      <c r="B111" s="122"/>
      <c r="D111" s="10"/>
      <c r="E111" s="10"/>
      <c r="F111" s="10"/>
      <c r="G111" s="35"/>
      <c r="H111" s="35"/>
      <c r="I111" s="52"/>
    </row>
    <row r="112">
      <c r="B112" s="122"/>
      <c r="D112" s="10"/>
      <c r="E112" s="10"/>
      <c r="F112" s="10"/>
      <c r="G112" s="35"/>
      <c r="H112" s="35"/>
      <c r="I112" s="52"/>
    </row>
    <row r="113">
      <c r="B113" s="122"/>
      <c r="D113" s="10"/>
      <c r="E113" s="10"/>
      <c r="F113" s="10"/>
      <c r="G113" s="35"/>
      <c r="H113" s="35"/>
      <c r="I113" s="52"/>
    </row>
    <row r="114">
      <c r="B114" s="122"/>
      <c r="D114" s="10"/>
      <c r="E114" s="10"/>
      <c r="F114" s="10"/>
      <c r="G114" s="35"/>
      <c r="H114" s="35"/>
      <c r="I114" s="52"/>
    </row>
  </sheetData>
  <mergeCells count="2">
    <mergeCell ref="B9:C9"/>
    <mergeCell ref="D9:E9"/>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0.38"/>
    <col customWidth="1" min="3" max="5" width="23.88"/>
    <col customWidth="1" min="6" max="6" width="21.13"/>
    <col customWidth="1" min="7" max="7" width="20.88"/>
    <col customWidth="1" min="8" max="9" width="16.38"/>
    <col customWidth="1" min="10" max="10" width="35.13"/>
    <col customWidth="1" min="11" max="16" width="16.38"/>
  </cols>
  <sheetData>
    <row r="1">
      <c r="A1" s="1" t="s">
        <v>142</v>
      </c>
      <c r="B1" s="2"/>
      <c r="C1" s="2"/>
      <c r="D1" s="2"/>
      <c r="E1" s="2"/>
      <c r="F1" s="2"/>
      <c r="G1" s="2"/>
      <c r="H1" s="2"/>
      <c r="I1" s="2"/>
      <c r="J1" s="2"/>
      <c r="K1" s="2"/>
      <c r="L1" s="2"/>
      <c r="M1" s="2"/>
      <c r="N1" s="2"/>
      <c r="O1" s="2"/>
      <c r="P1" s="2"/>
    </row>
    <row r="2">
      <c r="A2" s="3" t="s">
        <v>12</v>
      </c>
      <c r="B2" s="3" t="s">
        <v>4</v>
      </c>
      <c r="L2" s="5"/>
      <c r="N2" s="3" t="s">
        <v>14</v>
      </c>
    </row>
    <row r="3">
      <c r="A3" s="3" t="s">
        <v>5</v>
      </c>
      <c r="B3" s="4">
        <v>46256.0</v>
      </c>
      <c r="L3" s="5"/>
      <c r="N3" s="3" t="s">
        <v>19</v>
      </c>
      <c r="O3" s="7">
        <v>2.20462</v>
      </c>
    </row>
    <row r="4">
      <c r="A4" s="3" t="s">
        <v>6</v>
      </c>
      <c r="B4" s="4">
        <v>46263.0</v>
      </c>
      <c r="L4" s="5"/>
      <c r="N4" s="3" t="s">
        <v>22</v>
      </c>
      <c r="O4" s="7">
        <v>0.453592</v>
      </c>
    </row>
    <row r="5">
      <c r="L5" s="5"/>
      <c r="N5" s="3" t="s">
        <v>143</v>
      </c>
      <c r="O5" s="91">
        <f>HYPERLINK("https://drive.google.com/file/d/1twIf0H9Ma4crVsPgD0Iq6eFDwxQIC-ni/view",0.00071)</f>
        <v>0.00071</v>
      </c>
    </row>
    <row r="6">
      <c r="L6" s="5"/>
      <c r="N6" s="3" t="s">
        <v>25</v>
      </c>
      <c r="O6" s="3" t="s">
        <v>26</v>
      </c>
    </row>
    <row r="7">
      <c r="N7" s="3" t="s">
        <v>104</v>
      </c>
      <c r="O7" s="7">
        <v>0.004</v>
      </c>
    </row>
    <row r="8">
      <c r="A8" s="1" t="s">
        <v>164</v>
      </c>
      <c r="B8" s="2"/>
      <c r="C8" s="2"/>
      <c r="D8" s="2"/>
      <c r="E8" s="2"/>
      <c r="F8" s="2"/>
      <c r="G8" s="2"/>
      <c r="H8" s="2"/>
      <c r="I8" s="2"/>
      <c r="J8" s="2"/>
      <c r="K8" s="2"/>
      <c r="L8" s="2"/>
      <c r="M8" s="2"/>
      <c r="N8" s="1"/>
      <c r="O8" s="9"/>
      <c r="P8" s="2"/>
    </row>
    <row r="9">
      <c r="A9" s="5" t="s">
        <v>63</v>
      </c>
      <c r="B9" s="20" t="s">
        <v>165</v>
      </c>
      <c r="C9" s="20" t="s">
        <v>166</v>
      </c>
      <c r="D9" s="20" t="s">
        <v>167</v>
      </c>
      <c r="E9" s="5" t="s">
        <v>168</v>
      </c>
      <c r="F9" s="5" t="s">
        <v>169</v>
      </c>
      <c r="G9" s="20" t="s">
        <v>68</v>
      </c>
      <c r="H9" s="5" t="s">
        <v>70</v>
      </c>
      <c r="I9" s="5" t="s">
        <v>71</v>
      </c>
      <c r="J9" s="5" t="s">
        <v>103</v>
      </c>
      <c r="K9" s="5" t="s">
        <v>170</v>
      </c>
      <c r="L9" s="5"/>
      <c r="M9" s="5"/>
      <c r="N9" s="5"/>
    </row>
    <row r="10">
      <c r="A10" s="4"/>
      <c r="B10" s="29"/>
      <c r="C10" s="29"/>
      <c r="D10" s="29"/>
      <c r="E10" s="10"/>
      <c r="F10" s="10"/>
      <c r="G10" s="29"/>
      <c r="I10" s="61"/>
      <c r="J10" s="96"/>
    </row>
    <row r="11">
      <c r="A11" s="4"/>
      <c r="B11" s="29"/>
      <c r="C11" s="29"/>
      <c r="D11" s="29"/>
      <c r="E11" s="10"/>
      <c r="F11" s="10"/>
      <c r="G11" s="29"/>
    </row>
    <row r="12">
      <c r="A12" s="4"/>
      <c r="B12" s="29"/>
      <c r="C12" s="29"/>
      <c r="D12" s="29"/>
      <c r="E12" s="10"/>
      <c r="F12" s="10"/>
      <c r="G12" s="29"/>
    </row>
    <row r="13">
      <c r="A13" s="4"/>
      <c r="B13" s="29"/>
      <c r="C13" s="29"/>
      <c r="D13" s="29"/>
      <c r="E13" s="10"/>
      <c r="F13" s="10"/>
      <c r="G13" s="29"/>
    </row>
    <row r="14">
      <c r="B14" s="10"/>
      <c r="C14" s="10"/>
      <c r="D14" s="10"/>
      <c r="E14" s="10"/>
      <c r="F14" s="10"/>
      <c r="G14" s="10"/>
    </row>
    <row r="15">
      <c r="A15" s="1"/>
      <c r="B15" s="2"/>
      <c r="C15" s="69"/>
      <c r="D15" s="69"/>
      <c r="E15" s="69"/>
      <c r="F15" s="69"/>
      <c r="G15" s="69"/>
      <c r="H15" s="69"/>
      <c r="I15" s="69"/>
      <c r="J15" s="2"/>
      <c r="K15" s="2"/>
      <c r="L15" s="2"/>
      <c r="M15" s="2"/>
      <c r="N15" s="2"/>
      <c r="O15" s="2"/>
      <c r="P15" s="2"/>
    </row>
    <row r="16">
      <c r="A16" s="5"/>
      <c r="B16" s="5"/>
      <c r="C16" s="50"/>
      <c r="D16" s="50"/>
      <c r="E16" s="50"/>
      <c r="F16" s="50"/>
      <c r="G16" s="50"/>
      <c r="H16" s="50"/>
      <c r="I16" s="50"/>
      <c r="J16" s="5"/>
      <c r="K16" s="8"/>
      <c r="L16" s="8"/>
      <c r="M16" s="8"/>
      <c r="N16" s="8"/>
      <c r="O16" s="8"/>
      <c r="P16" s="8"/>
    </row>
    <row r="17">
      <c r="A17" s="10"/>
      <c r="B17" s="10"/>
      <c r="C17" s="14"/>
      <c r="D17" s="14"/>
      <c r="E17" s="14"/>
      <c r="F17" s="10"/>
      <c r="G17" s="35"/>
      <c r="H17" s="35"/>
      <c r="I17" s="10"/>
    </row>
    <row r="18">
      <c r="C18" s="10"/>
      <c r="D18" s="10"/>
      <c r="E18" s="10"/>
      <c r="F18" s="10"/>
      <c r="G18" s="10"/>
      <c r="H18" s="10"/>
      <c r="I18" s="10"/>
    </row>
    <row r="19">
      <c r="C19" s="10"/>
      <c r="D19" s="10"/>
      <c r="E19" s="10"/>
      <c r="F19" s="10"/>
      <c r="G19" s="10"/>
      <c r="H19" s="10"/>
      <c r="I19" s="10"/>
    </row>
    <row r="20">
      <c r="A20" s="3" t="s">
        <v>135</v>
      </c>
    </row>
    <row r="21">
      <c r="A21" s="3" t="s">
        <v>174</v>
      </c>
      <c r="B21" s="3" t="s">
        <v>16</v>
      </c>
      <c r="C21" s="3" t="s">
        <v>17</v>
      </c>
      <c r="D21" s="3" t="s">
        <v>68</v>
      </c>
    </row>
    <row r="22">
      <c r="A22" s="37">
        <f>SUMIFS(E10:E18,A10:A18,"&lt;&gt;")</f>
        <v>0</v>
      </c>
      <c r="B22" s="37">
        <f>A22*$O$5</f>
        <v>0</v>
      </c>
      <c r="C22" s="37">
        <f>A22-B22</f>
        <v>0</v>
      </c>
      <c r="D22" s="37" t="str">
        <f>IFERROR(AVERAGE(G10:G18),"")</f>
        <v/>
      </c>
    </row>
    <row r="32">
      <c r="C32" s="3"/>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3" width="18.88"/>
    <col customWidth="1" min="4" max="4" width="21.38"/>
  </cols>
  <sheetData>
    <row r="1">
      <c r="A1" s="81" t="s">
        <v>145</v>
      </c>
      <c r="B1" s="82"/>
      <c r="C1" s="82"/>
      <c r="D1" s="82"/>
      <c r="E1" s="82"/>
      <c r="F1" s="82"/>
      <c r="G1" s="82"/>
    </row>
    <row r="4">
      <c r="A4" s="85" t="s">
        <v>0</v>
      </c>
      <c r="B4" s="86"/>
      <c r="C4" s="86"/>
      <c r="D4" s="86"/>
      <c r="E4" s="86"/>
      <c r="F4" s="8"/>
      <c r="G4" s="8"/>
    </row>
    <row r="5">
      <c r="A5" s="5" t="s">
        <v>146</v>
      </c>
      <c r="B5" s="5" t="s">
        <v>147</v>
      </c>
      <c r="C5" s="5" t="s">
        <v>148</v>
      </c>
      <c r="D5" s="5" t="s">
        <v>149</v>
      </c>
      <c r="E5" s="5" t="s">
        <v>150</v>
      </c>
      <c r="F5" s="8"/>
      <c r="G5" s="8"/>
    </row>
    <row r="6">
      <c r="A6" s="3" t="s">
        <v>4</v>
      </c>
      <c r="B6" s="3" t="s">
        <v>83</v>
      </c>
      <c r="C6" s="3" t="s">
        <v>151</v>
      </c>
      <c r="D6" s="37">
        <f>COUNTA(QOWV!A11:A89)</f>
        <v>79</v>
      </c>
      <c r="E6" s="3" t="s">
        <v>152</v>
      </c>
    </row>
    <row r="8">
      <c r="A8" s="5" t="s">
        <v>153</v>
      </c>
      <c r="B8" s="22">
        <v>1201.0</v>
      </c>
      <c r="C8" s="8"/>
      <c r="D8" s="8"/>
      <c r="E8" s="8"/>
      <c r="F8" s="8"/>
      <c r="G8" s="8"/>
    </row>
    <row r="10">
      <c r="A10" s="85" t="s">
        <v>155</v>
      </c>
      <c r="B10" s="86"/>
      <c r="C10" s="86"/>
      <c r="D10" s="86"/>
      <c r="E10" s="86"/>
      <c r="F10" s="86"/>
      <c r="G10" s="86"/>
    </row>
    <row r="11">
      <c r="A11" s="5" t="s">
        <v>156</v>
      </c>
      <c r="B11" s="5" t="s">
        <v>157</v>
      </c>
      <c r="C11" s="5" t="s">
        <v>158</v>
      </c>
      <c r="D11" s="5" t="s">
        <v>159</v>
      </c>
      <c r="E11" s="5" t="s">
        <v>160</v>
      </c>
      <c r="F11" s="5" t="s">
        <v>161</v>
      </c>
      <c r="G11" s="5" t="s">
        <v>162</v>
      </c>
    </row>
    <row r="12">
      <c r="A12" s="3" t="s">
        <v>163</v>
      </c>
      <c r="B12" s="89">
        <v>45993.0</v>
      </c>
      <c r="C12" s="7">
        <v>36.0</v>
      </c>
      <c r="D12" s="7">
        <v>23.0</v>
      </c>
      <c r="E12" s="94">
        <f t="shared" ref="E12:E23" si="1">IFERROR(D12/C12,"")</f>
        <v>0.6388888889</v>
      </c>
      <c r="F12" s="37">
        <f t="shared" ref="F12:F23" si="2">$B$8</f>
        <v>1201</v>
      </c>
      <c r="G12" s="97">
        <f t="shared" ref="G12:G23" si="3">IFERROR(E12*F12,"")</f>
        <v>767.3055556</v>
      </c>
    </row>
    <row r="13">
      <c r="A13" s="3" t="s">
        <v>171</v>
      </c>
      <c r="B13" s="89"/>
      <c r="C13" s="7">
        <v>20.0</v>
      </c>
      <c r="D13" s="7">
        <v>20.0</v>
      </c>
      <c r="E13" s="94">
        <f t="shared" si="1"/>
        <v>1</v>
      </c>
      <c r="F13" s="37">
        <f t="shared" si="2"/>
        <v>1201</v>
      </c>
      <c r="G13" s="97">
        <f t="shared" si="3"/>
        <v>1201</v>
      </c>
    </row>
    <row r="14">
      <c r="A14" s="5" t="s">
        <v>172</v>
      </c>
      <c r="B14" s="99">
        <v>45994.0</v>
      </c>
      <c r="C14" s="22">
        <v>18.0</v>
      </c>
      <c r="D14" s="22">
        <v>16.0</v>
      </c>
      <c r="E14" s="100">
        <f t="shared" si="1"/>
        <v>0.8888888889</v>
      </c>
      <c r="F14" s="8">
        <f t="shared" si="2"/>
        <v>1201</v>
      </c>
      <c r="G14" s="102">
        <f t="shared" si="3"/>
        <v>1067.555556</v>
      </c>
    </row>
    <row r="15">
      <c r="A15" s="5" t="s">
        <v>175</v>
      </c>
      <c r="B15" s="99">
        <v>46254.0</v>
      </c>
      <c r="C15" s="22">
        <v>18.0</v>
      </c>
      <c r="D15" s="22">
        <v>5.0</v>
      </c>
      <c r="E15" s="100">
        <f t="shared" si="1"/>
        <v>0.2777777778</v>
      </c>
      <c r="F15" s="8">
        <f t="shared" si="2"/>
        <v>1201</v>
      </c>
      <c r="G15" s="102">
        <f t="shared" si="3"/>
        <v>333.6111111</v>
      </c>
    </row>
    <row r="16">
      <c r="A16" s="5" t="s">
        <v>176</v>
      </c>
      <c r="B16" s="89">
        <v>45992.0</v>
      </c>
      <c r="C16" s="7">
        <v>40.0</v>
      </c>
      <c r="D16" s="7">
        <v>3.0</v>
      </c>
      <c r="E16" s="94">
        <f t="shared" si="1"/>
        <v>0.075</v>
      </c>
      <c r="F16" s="37">
        <f t="shared" si="2"/>
        <v>1201</v>
      </c>
      <c r="G16" s="97">
        <f t="shared" si="3"/>
        <v>90.075</v>
      </c>
    </row>
    <row r="17">
      <c r="A17" s="5" t="s">
        <v>177</v>
      </c>
      <c r="B17" s="89"/>
      <c r="C17" s="7">
        <v>20.0</v>
      </c>
      <c r="D17" s="7">
        <v>3.0</v>
      </c>
      <c r="E17" s="94">
        <f t="shared" si="1"/>
        <v>0.15</v>
      </c>
      <c r="F17" s="37">
        <f t="shared" si="2"/>
        <v>1201</v>
      </c>
      <c r="G17" s="97">
        <f t="shared" si="3"/>
        <v>180.15</v>
      </c>
    </row>
    <row r="18">
      <c r="A18" s="5" t="s">
        <v>178</v>
      </c>
      <c r="B18" s="89">
        <v>45996.0</v>
      </c>
      <c r="C18" s="7">
        <v>36.0</v>
      </c>
      <c r="D18" s="7">
        <v>2.0</v>
      </c>
      <c r="E18" s="94">
        <f t="shared" si="1"/>
        <v>0.05555555556</v>
      </c>
      <c r="F18" s="37">
        <f t="shared" si="2"/>
        <v>1201</v>
      </c>
      <c r="G18" s="97">
        <f t="shared" si="3"/>
        <v>66.72222222</v>
      </c>
    </row>
    <row r="19">
      <c r="A19" s="5" t="s">
        <v>179</v>
      </c>
      <c r="B19" s="89">
        <v>46195.0</v>
      </c>
      <c r="C19" s="7">
        <v>19.0</v>
      </c>
      <c r="D19" s="7">
        <v>2.0</v>
      </c>
      <c r="E19" s="94">
        <f t="shared" si="1"/>
        <v>0.1052631579</v>
      </c>
      <c r="F19" s="37">
        <f t="shared" si="2"/>
        <v>1201</v>
      </c>
      <c r="G19" s="97">
        <f t="shared" si="3"/>
        <v>126.4210526</v>
      </c>
    </row>
    <row r="20">
      <c r="A20" s="5" t="s">
        <v>180</v>
      </c>
      <c r="B20" s="89">
        <v>46252.0</v>
      </c>
      <c r="C20" s="7">
        <v>20.0</v>
      </c>
      <c r="D20" s="7">
        <v>2.0</v>
      </c>
      <c r="E20" s="94">
        <f t="shared" si="1"/>
        <v>0.1</v>
      </c>
      <c r="F20" s="37">
        <f t="shared" si="2"/>
        <v>1201</v>
      </c>
      <c r="G20" s="97">
        <f t="shared" si="3"/>
        <v>120.1</v>
      </c>
    </row>
    <row r="21">
      <c r="A21" s="5" t="s">
        <v>182</v>
      </c>
      <c r="B21" s="89">
        <v>46000.0</v>
      </c>
      <c r="C21" s="7">
        <v>36.0</v>
      </c>
      <c r="D21" s="7">
        <v>1.0</v>
      </c>
      <c r="E21" s="94">
        <f t="shared" si="1"/>
        <v>0.02777777778</v>
      </c>
      <c r="F21" s="37">
        <f t="shared" si="2"/>
        <v>1201</v>
      </c>
      <c r="G21" s="97">
        <f t="shared" si="3"/>
        <v>33.36111111</v>
      </c>
    </row>
    <row r="22">
      <c r="A22" s="5" t="s">
        <v>183</v>
      </c>
      <c r="B22" s="89">
        <v>46007.0</v>
      </c>
      <c r="C22" s="7">
        <v>1.0</v>
      </c>
      <c r="D22" s="7">
        <v>1.0</v>
      </c>
      <c r="E22" s="94">
        <f t="shared" si="1"/>
        <v>1</v>
      </c>
      <c r="F22" s="37">
        <f t="shared" si="2"/>
        <v>1201</v>
      </c>
      <c r="G22" s="97">
        <f t="shared" si="3"/>
        <v>1201</v>
      </c>
    </row>
    <row r="23">
      <c r="A23" s="5" t="s">
        <v>185</v>
      </c>
      <c r="B23" s="99">
        <v>46227.0</v>
      </c>
      <c r="C23" s="5">
        <v>20.0</v>
      </c>
      <c r="D23" s="5">
        <v>1.0</v>
      </c>
      <c r="E23" s="100">
        <f t="shared" si="1"/>
        <v>0.05</v>
      </c>
      <c r="F23" s="8">
        <f t="shared" si="2"/>
        <v>1201</v>
      </c>
      <c r="G23" s="102">
        <f t="shared" si="3"/>
        <v>60.05</v>
      </c>
    </row>
    <row r="24">
      <c r="A24" s="5" t="s">
        <v>186</v>
      </c>
      <c r="B24" s="99"/>
      <c r="C24" s="50">
        <f t="shared" ref="C24:D24" si="4">SUM(C12:C23)</f>
        <v>284</v>
      </c>
      <c r="D24" s="5">
        <f t="shared" si="4"/>
        <v>79</v>
      </c>
      <c r="E24" s="100"/>
      <c r="F24" s="8"/>
      <c r="G24" s="102">
        <f>SUM(G12:G23)</f>
        <v>5247.351608</v>
      </c>
    </row>
    <row r="25">
      <c r="C25" s="52"/>
      <c r="G25" s="97"/>
    </row>
    <row r="26">
      <c r="A26" s="5"/>
      <c r="B26" s="8"/>
      <c r="C26" s="8"/>
      <c r="D26" s="8"/>
      <c r="E26" s="8"/>
    </row>
    <row r="27">
      <c r="A27" s="5"/>
      <c r="B27" s="5"/>
      <c r="C27" s="5"/>
      <c r="D27" s="5"/>
      <c r="E27" s="5"/>
    </row>
    <row r="28">
      <c r="C28" s="42"/>
    </row>
    <row r="29">
      <c r="A29" s="5"/>
      <c r="B29" s="8"/>
      <c r="C29" s="8"/>
      <c r="D29" s="105"/>
      <c r="E29" s="8"/>
    </row>
    <row r="30">
      <c r="A30" s="5"/>
      <c r="B30" s="5"/>
      <c r="C30" s="5"/>
      <c r="D30" s="5"/>
      <c r="E30" s="5"/>
    </row>
    <row r="31">
      <c r="C31" s="42"/>
    </row>
    <row r="32">
      <c r="C32" s="42"/>
    </row>
    <row r="33">
      <c r="C33" s="42"/>
    </row>
    <row r="34">
      <c r="C34" s="42"/>
    </row>
    <row r="35">
      <c r="C35" s="42"/>
    </row>
    <row r="36">
      <c r="C36" s="42"/>
    </row>
    <row r="37">
      <c r="C37" s="42"/>
    </row>
    <row r="38">
      <c r="C38" s="42"/>
      <c r="F38" s="8"/>
    </row>
    <row r="39">
      <c r="A39" s="5"/>
      <c r="B39" s="8"/>
      <c r="C39" s="8"/>
      <c r="D39" s="105"/>
      <c r="E39" s="8"/>
    </row>
    <row r="40">
      <c r="A40" s="5"/>
      <c r="B40" s="5"/>
      <c r="C40" s="5"/>
      <c r="D40" s="5"/>
      <c r="E40" s="5"/>
      <c r="F40" s="8"/>
    </row>
    <row r="41">
      <c r="C41" s="42"/>
      <c r="F41" s="8"/>
    </row>
    <row r="42">
      <c r="A42" s="5"/>
      <c r="B42" s="8"/>
      <c r="C42" s="106"/>
      <c r="D42" s="105"/>
      <c r="E42" s="8"/>
    </row>
    <row r="43">
      <c r="A43" s="5"/>
      <c r="B43" s="5"/>
      <c r="C43" s="5"/>
      <c r="D43" s="5"/>
      <c r="E43" s="5"/>
    </row>
    <row r="44">
      <c r="C44" s="42"/>
    </row>
    <row r="45">
      <c r="A45" s="5"/>
      <c r="B45" s="8"/>
      <c r="C45" s="8"/>
      <c r="D45" s="105"/>
      <c r="E45" s="8"/>
    </row>
    <row r="46">
      <c r="A46" s="5"/>
      <c r="B46" s="5"/>
      <c r="C46" s="5"/>
      <c r="D46" s="5"/>
      <c r="E46" s="5"/>
    </row>
    <row r="47">
      <c r="C47" s="42"/>
    </row>
    <row r="48">
      <c r="C48" s="42"/>
    </row>
    <row r="49">
      <c r="C49" s="42"/>
    </row>
    <row r="50">
      <c r="C50" s="42"/>
    </row>
    <row r="51">
      <c r="C51" s="42"/>
    </row>
    <row r="52">
      <c r="C52" s="42"/>
    </row>
    <row r="53">
      <c r="C53" s="42"/>
    </row>
    <row r="54">
      <c r="C54" s="42"/>
    </row>
    <row r="55">
      <c r="C55" s="42"/>
    </row>
    <row r="56">
      <c r="A56" s="8"/>
      <c r="B56" s="8"/>
      <c r="C56" s="5"/>
      <c r="D56" s="8"/>
      <c r="E56" s="8"/>
      <c r="F56" s="8"/>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s>
  <sheetData>
    <row r="1">
      <c r="A1" s="5" t="s">
        <v>188</v>
      </c>
      <c r="B1" s="8"/>
      <c r="C1" s="8"/>
      <c r="D1" s="8"/>
      <c r="E1" s="8"/>
    </row>
    <row r="4">
      <c r="A4" s="85" t="s">
        <v>0</v>
      </c>
      <c r="B4" s="86"/>
      <c r="C4" s="86"/>
      <c r="D4" s="86"/>
      <c r="E4" s="86"/>
    </row>
    <row r="5">
      <c r="A5" s="5" t="s">
        <v>146</v>
      </c>
      <c r="B5" s="5" t="s">
        <v>147</v>
      </c>
      <c r="C5" s="5" t="s">
        <v>148</v>
      </c>
      <c r="D5" s="5" t="s">
        <v>149</v>
      </c>
      <c r="E5" s="5" t="s">
        <v>150</v>
      </c>
    </row>
    <row r="6">
      <c r="A6" s="3" t="s">
        <v>4</v>
      </c>
      <c r="B6" s="3" t="s">
        <v>116</v>
      </c>
      <c r="C6" s="3" t="s">
        <v>151</v>
      </c>
      <c r="D6" s="37">
        <f>COUNTA(WODO!A11:A28)</f>
        <v>18</v>
      </c>
      <c r="E6" s="3" t="s">
        <v>190</v>
      </c>
    </row>
    <row r="8">
      <c r="A8" s="3" t="s">
        <v>153</v>
      </c>
      <c r="B8" s="7">
        <v>1201.0</v>
      </c>
    </row>
    <row r="10">
      <c r="A10" s="85" t="s">
        <v>191</v>
      </c>
      <c r="B10" s="86"/>
      <c r="C10" s="86"/>
      <c r="D10" s="86"/>
      <c r="E10" s="86"/>
      <c r="F10" s="86"/>
      <c r="G10" s="86"/>
    </row>
    <row r="11">
      <c r="A11" s="5" t="s">
        <v>156</v>
      </c>
      <c r="B11" s="5" t="s">
        <v>157</v>
      </c>
      <c r="C11" s="5" t="s">
        <v>158</v>
      </c>
      <c r="D11" s="5" t="s">
        <v>159</v>
      </c>
      <c r="E11" s="5" t="s">
        <v>160</v>
      </c>
      <c r="F11" s="5" t="s">
        <v>161</v>
      </c>
      <c r="G11" s="5" t="s">
        <v>162</v>
      </c>
    </row>
    <row r="12">
      <c r="A12" s="3" t="s">
        <v>193</v>
      </c>
      <c r="B12" s="107">
        <v>46258.0</v>
      </c>
      <c r="C12" s="7">
        <v>18.0</v>
      </c>
      <c r="D12" s="7">
        <v>18.0</v>
      </c>
      <c r="E12" s="108">
        <f>IFERROR(D12/C12,"")</f>
        <v>1</v>
      </c>
      <c r="F12" s="37">
        <f>$B$8</f>
        <v>1201</v>
      </c>
      <c r="G12" s="10">
        <f>IFERROR(E12*F12,"")</f>
        <v>1201</v>
      </c>
    </row>
    <row r="13">
      <c r="A13" s="5"/>
      <c r="B13" s="8"/>
      <c r="C13" s="8"/>
      <c r="D13" s="8"/>
      <c r="E13" s="109"/>
      <c r="F13" s="8"/>
      <c r="G13" s="110"/>
    </row>
    <row r="14">
      <c r="A14" s="3" t="s">
        <v>86</v>
      </c>
      <c r="C14" s="37">
        <f t="shared" ref="C14:D14" si="1">SUM(C12:C13)</f>
        <v>18</v>
      </c>
      <c r="D14" s="37">
        <f t="shared" si="1"/>
        <v>18</v>
      </c>
      <c r="G14" s="10">
        <f>SUM(G12:G13)</f>
        <v>1201</v>
      </c>
    </row>
    <row r="15">
      <c r="A15" s="85"/>
      <c r="B15" s="86"/>
      <c r="C15" s="86"/>
      <c r="D15" s="86"/>
    </row>
    <row r="16">
      <c r="A16" s="5"/>
      <c r="B16" s="5"/>
      <c r="C16" s="5"/>
      <c r="D16" s="5"/>
    </row>
    <row r="17">
      <c r="C17" s="10"/>
      <c r="D17" s="111"/>
    </row>
    <row r="19">
      <c r="A19" s="5"/>
      <c r="B19" s="8"/>
      <c r="C19" s="8"/>
      <c r="D19" s="8"/>
      <c r="E19" s="8"/>
    </row>
    <row r="20">
      <c r="A20" s="5"/>
      <c r="B20" s="5"/>
      <c r="C20" s="5"/>
      <c r="D20" s="5"/>
      <c r="E20" s="5"/>
    </row>
    <row r="21">
      <c r="C21" s="42"/>
    </row>
    <row r="22">
      <c r="C22" s="42"/>
    </row>
    <row r="23">
      <c r="C23" s="42"/>
    </row>
    <row r="24">
      <c r="C24" s="42"/>
      <c r="D24" s="107"/>
    </row>
    <row r="25">
      <c r="C25" s="42"/>
      <c r="D25" s="107"/>
    </row>
    <row r="26">
      <c r="C26" s="42"/>
      <c r="D26" s="107"/>
    </row>
    <row r="27">
      <c r="C27" s="42"/>
      <c r="D27" s="107"/>
    </row>
    <row r="28">
      <c r="C28" s="42"/>
      <c r="D28" s="107"/>
    </row>
    <row r="29">
      <c r="C29" s="42"/>
      <c r="D29" s="107"/>
    </row>
    <row r="30">
      <c r="C30" s="42"/>
      <c r="D30" s="107"/>
    </row>
    <row r="31">
      <c r="C31" s="42"/>
      <c r="D31" s="107"/>
    </row>
    <row r="32">
      <c r="C32" s="42"/>
      <c r="D32" s="107"/>
    </row>
    <row r="33">
      <c r="C33" s="42"/>
      <c r="D33" s="107"/>
    </row>
    <row r="34">
      <c r="C34" s="42"/>
      <c r="D34" s="107"/>
    </row>
  </sheetData>
  <drawing r:id="rId2"/>
  <legacyDrawing r:id="rId3"/>
</worksheet>
</file>