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hidden" name="WODO" sheetId="4" r:id="rId8"/>
    <sheet state="visible" name="Kerry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4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<sst xmlns="http://schemas.openxmlformats.org/spreadsheetml/2006/main" count="486" uniqueCount="246">
  <si>
    <t>BATCH HEADER — AECN Truck (Direct from Fort Lupton)</t>
  </si>
  <si>
    <t>BATCH SUMMARY</t>
  </si>
  <si>
    <t>BATCH HEADER — AECN Rail</t>
  </si>
  <si>
    <t>BATCH HEADER — Charm WODO (IBC Totes)</t>
  </si>
  <si>
    <t>Batch ID (INJ-YYYY-WXX)</t>
  </si>
  <si>
    <t>INJ-09-2026-W2</t>
  </si>
  <si>
    <t>Constants</t>
  </si>
  <si>
    <t>Week Start (Sat)</t>
  </si>
  <si>
    <t>Lbs/Kg</t>
  </si>
  <si>
    <t>Week End (Sat)</t>
  </si>
  <si>
    <t>Kg/Lbs</t>
  </si>
  <si>
    <t>Sparging Mass Loss</t>
  </si>
  <si>
    <t>pH range (target)</t>
  </si>
  <si>
    <t>2.0 - 4.0</t>
  </si>
  <si>
    <t>Filtration Solids Content</t>
  </si>
  <si>
    <t>SECTION 1 - DELIVERIES LEDGER  (one row per direct truck; BOL &amp; scale ticket on same row)</t>
  </si>
  <si>
    <t>Date</t>
  </si>
  <si>
    <t>BOL # / SO #</t>
  </si>
  <si>
    <t>BOL Mass (MT)</t>
  </si>
  <si>
    <t>BOL Mass (kg)</t>
  </si>
  <si>
    <t>Scale Full (lb)</t>
  </si>
  <si>
    <t>Scale Empty (lb)</t>
  </si>
  <si>
    <t>Cargo (kg)</t>
  </si>
  <si>
    <t>pH</t>
  </si>
  <si>
    <t>Notes</t>
  </si>
  <si>
    <t>Sparging Loss (kg)</t>
  </si>
  <si>
    <t>Filtration Loss (kg)</t>
  </si>
  <si>
    <t>MOBI (kg)</t>
  </si>
  <si>
    <t>C Content</t>
  </si>
  <si>
    <t>EE Miles</t>
  </si>
  <si>
    <t>Batch ID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</si>
  <si>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</si>
  <si>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</si>
  <si>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</si>
  <si>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</si>
  <si>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</si>
  <si>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WODO 6-Mo CI (kg CO2e/kg), Jul-Dec 2026</t>
  </si>
  <si>
    <t>SECTION 1 - IBC LEDGER  (one row per IBC tote; tote tag mass is authoritative)</t>
  </si>
  <si>
    <t>AECN→SOPOR EE (mi)</t>
  </si>
  <si>
    <t>Rail EE (mi)</t>
  </si>
  <si>
    <t>Opel→Basco EE (mi)</t>
  </si>
  <si>
    <t>WODO Standard Loss (kg/tote), 2026 = Mean + 1 SD</t>
  </si>
  <si>
    <t>AECN Rail</t>
  </si>
  <si>
    <t>Transport Emissions</t>
  </si>
  <si>
    <t>Pyrolysis Emissions Mass &amp; Standard Loss</t>
  </si>
  <si>
    <t>SECTION 1 - RAILCARS RECEIVED THIS WEEK  (entity-level)</t>
  </si>
  <si>
    <t>MOBI</t>
  </si>
  <si>
    <t>Per-Production-Month CI (kg CO2e/kg) - PP Summary Output Type table, col T</t>
  </si>
  <si>
    <t>Tag</t>
  </si>
  <si>
    <t>BOL Trips (AECN→SOPOR)</t>
  </si>
  <si>
    <t>Gross Mass (kg)</t>
  </si>
  <si>
    <t>Tote Mass (kg)</t>
  </si>
  <si>
    <t>Net Oil Produced (kg)</t>
  </si>
  <si>
    <t>Railcar #</t>
  </si>
  <si>
    <t>Standard Loss (kg)</t>
  </si>
  <si>
    <t>Arrival Date at Opelousas</t>
  </si>
  <si>
    <t>Loading BOLs (comma-sep)</t>
  </si>
  <si>
    <t>Net Oil Injected (kg)</t>
  </si>
  <si>
    <t>Production Period</t>
  </si>
  <si>
    <t>Total Loaded (MT)</t>
  </si>
  <si>
    <t>Carbon Intensity</t>
  </si>
  <si>
    <t>Total Loaded (kg)</t>
  </si>
  <si>
    <t>Total Offloaded (kg, auto)</t>
  </si>
  <si>
    <t>Loss (kg)</t>
  </si>
  <si>
    <t>Previously Claimed (kg)</t>
  </si>
  <si>
    <t>Production  Emissions</t>
  </si>
  <si>
    <t>Prior-RP Claimed (kg)</t>
  </si>
  <si>
    <t>Scale Uncertainty</t>
  </si>
  <si>
    <t>PP#8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</si>
  <si>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</si>
  <si>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</si>
  <si>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</si>
  <si>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</si>
  <si>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</si>
  <si>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</si>
  <si>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TIMX201060</t>
  </si>
  <si>
    <t>2450-R, 2451-R, 2452-R</t>
  </si>
  <si>
    <t>November 2025</t>
  </si>
  <si>
    <t>December 2025</t>
  </si>
  <si>
    <t>January 2026</t>
  </si>
  <si>
    <t>AECN Truck</t>
  </si>
  <si>
    <t>February 2026</t>
  </si>
  <si>
    <t>March 2026</t>
  </si>
  <si>
    <t>April 2026</t>
  </si>
  <si>
    <t>May 2026</t>
  </si>
  <si>
    <t>Charm WODO</t>
  </si>
  <si>
    <t>June 2026</t>
  </si>
  <si>
    <t>Y</t>
  </si>
  <si>
    <t>July 2026 and later (Jan-Jun 2026 rolling)</t>
  </si>
  <si>
    <t>SHPX215079</t>
  </si>
  <si>
    <t>2453-R, 2454-R, 2455-R</t>
  </si>
  <si>
    <t>N</t>
  </si>
  <si>
    <t>SHPX215046</t>
  </si>
  <si>
    <t>2462-R, 2463-R, 2464-R</t>
  </si>
  <si>
    <t>TOTAL</t>
  </si>
  <si>
    <t>Kerry</t>
  </si>
  <si>
    <t>SECTION 2 - ROLLUP  (Mass Used = Σ BOL kg; scale tickets no longer required for direct trucks per 2026-05-26)</t>
  </si>
  <si>
    <t>SECTION 2 - ORIGINS LEDGER  (loading BOLs at SOPOR)</t>
  </si>
  <si>
    <t>QOWV</t>
  </si>
  <si>
    <t>BOL #</t>
  </si>
  <si>
    <t>Σ BOL (kg)</t>
  </si>
  <si>
    <t>Σ Cargo (kg)</t>
  </si>
  <si>
    <t>Uncertainty Adjustment (kg)</t>
  </si>
  <si>
    <t>SECTION 2 - ROLLUP</t>
  </si>
  <si>
    <t>Transport Mass</t>
  </si>
  <si>
    <t xml:space="preserve">C Content </t>
  </si>
  <si>
    <t>Σ Net Oil Produced (kg)</t>
  </si>
  <si>
    <t>Origins list (BOLs)</t>
  </si>
  <si>
    <t>MOBI — Σ Net Oil Injected (kg)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</si>
  <si>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</si>
  <si>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</si>
  <si>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</si>
  <si>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</si>
  <si>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</si>
  <si>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</si>
  <si>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</si>
  <si>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</si>
  <si>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</si>
  <si>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SR26-05494.002</t>
  </si>
  <si>
    <t>WODO</t>
  </si>
  <si>
    <t>SECTION 3 - SCALE TICKTS + OFFLOAD WEIGHTS</t>
  </si>
  <si>
    <t>SR26-05684.001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</si>
  <si>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</si>
  <si>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</si>
  <si>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</si>
  <si>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</si>
  <si>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</si>
  <si>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</si>
  <si>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Rail_SHPX215046_8.7.2026_offload_3</t>
  </si>
  <si>
    <t>SR26-05494.001</t>
  </si>
  <si>
    <t xml:space="preserve"> </t>
  </si>
  <si>
    <t>BATCH HEADER — Kerry (Calciner Waste Oil, Tankers)</t>
  </si>
  <si>
    <t>BATCH HEADER — QOWV (Aqueous Bio-Oil, IBC Totes)</t>
  </si>
  <si>
    <t>SECTION 1 - TANKER LEDGER  (one row per Kerry tanker; scale mass is authoritative)</t>
  </si>
  <si>
    <t>UID</t>
  </si>
  <si>
    <t>Gross Mass (lb) — transport</t>
  </si>
  <si>
    <t>Empty Weight (lb)</t>
  </si>
  <si>
    <t>Net Oil (lb)</t>
  </si>
  <si>
    <t>Net Injected (kg) — MOBI</t>
  </si>
  <si>
    <t>Mass Uncertainty (Scaling)</t>
  </si>
  <si>
    <t>WILA002</t>
  </si>
  <si>
    <t>BATCH HEADER — Whole Oil (IBC Totes)</t>
  </si>
  <si>
    <t>QOWV 6-Mo CI (kg CO2e/kg), Jul-Dec 2026</t>
  </si>
  <si>
    <t>SECTION 1 - IBC LEDGER  (one row per QOWV tote; tote tag mass is authoritative)</t>
  </si>
  <si>
    <t>Pyrolysis Emissions Mass</t>
  </si>
  <si>
    <t>WODO 6-Mo CI (kg CO2e/kg), Jul-Dec 2026 — BORROWED for Whole Oil (no DC Whole Oil CI yet)</t>
  </si>
  <si>
    <t>Empty Tote Weight (kg)</t>
  </si>
  <si>
    <t>015162</t>
  </si>
  <si>
    <t>Σ Net Injected (kg)</t>
  </si>
  <si>
    <t>MFO Lot not assigned, July 2025</t>
  </si>
  <si>
    <t>MFO Lot 3868 (LOT00003868), September 2025</t>
  </si>
  <si>
    <t>MFO Lot not assigned, September 2025</t>
  </si>
  <si>
    <t>MFO Lot not assigned, August 2025</t>
  </si>
  <si>
    <t>MFO Lot 301100 (LOT00301100), May 2026</t>
  </si>
  <si>
    <t>MFO Lot 301101 (LOT00301101), April 2026</t>
  </si>
  <si>
    <t>MFO Lot 301102 (LOT00301102), May 2026</t>
  </si>
  <si>
    <t>INJ-09-2026-W2 - QOWV Shipments &amp; EE Allocation</t>
  </si>
  <si>
    <t>MFO Lot 301108 (LOT00301108), May 2026</t>
  </si>
  <si>
    <t>MFO Lot 301110 (LOT00301110), May 2026</t>
  </si>
  <si>
    <t>PP#7</t>
  </si>
  <si>
    <t>Batch</t>
  </si>
  <si>
    <t>Fraction</t>
  </si>
  <si>
    <t>Inj. Week</t>
  </si>
  <si>
    <t># Totes</t>
  </si>
  <si>
    <t>Shipping Orders (relevant to this batch)</t>
  </si>
  <si>
    <t>2026-09-05 to 2026-09-12</t>
  </si>
  <si>
    <t>MFO Lot 301116 (LOT00301116), April 2026</t>
  </si>
  <si>
    <t>3 shipping orders / trucks - see table A</t>
  </si>
  <si>
    <t>Charm CO -&gt; Basco LA distance (one-way, mi)</t>
  </si>
  <si>
    <t>direct route</t>
  </si>
  <si>
    <t>Rail_SHPX215046_8.7.2026_offload_4</t>
  </si>
  <si>
    <t>EE ALLOCATION TABLE - A. DIRECT (Charm CO -&gt; Basco LA)</t>
  </si>
  <si>
    <t>MFO Lot 301117 (LOT00301117), May 2026</t>
  </si>
  <si>
    <t>Truck (shipping order)</t>
  </si>
  <si>
    <t>Ship Date</t>
  </si>
  <si>
    <t>Total Totes on Truck</t>
  </si>
  <si>
    <t>INJ-09-2026-W2 - WODO Shipments &amp; EE Mileage</t>
  </si>
  <si>
    <t>Batch-Relevant Totes</t>
  </si>
  <si>
    <t>Batch Share of Truck</t>
  </si>
  <si>
    <t>Mileage (one-way)</t>
  </si>
  <si>
    <t>Allocated Miles</t>
  </si>
  <si>
    <t>CO_AQUEOUS_12.01.25</t>
  </si>
  <si>
    <t>Shipping Orders (relevant totes)</t>
  </si>
  <si>
    <t>MFO Lot 301118 (LOT00301118), May 2026</t>
  </si>
  <si>
    <t>0 WODO totes this week - no shipping order to allocate</t>
  </si>
  <si>
    <t>Charm CO -&gt; Basco LA distance (one-way mi)</t>
  </si>
  <si>
    <t>EE ALLOCATION TABLE</t>
  </si>
  <si>
    <t>MFO Lot 301119 (LOT00301119), May 2026</t>
  </si>
  <si>
    <t>MFO Lot 301120 (LOT00301120), May 2026</t>
  </si>
  <si>
    <t>CO_AQUEOUS_12.1.25_T2</t>
  </si>
  <si>
    <t>MFO Lot 301129 (LOT00301129), May 2026</t>
  </si>
  <si>
    <t>COLA_34</t>
  </si>
  <si>
    <t>MFO Lot 301132 (LOT00301132), April 2026</t>
  </si>
  <si>
    <t>MFO Lot 301133 (LOT00301133), April 2026</t>
  </si>
  <si>
    <t>MFO Lot 301148 (LOT00301148), May 2026</t>
  </si>
  <si>
    <t>Check - every batch tote is allocated to a truck</t>
  </si>
  <si>
    <t>MFO Lot 301153 (LOT00301153), May 2026</t>
  </si>
  <si>
    <t>MFO Lot 301156 (LOT00301156), April 2026</t>
  </si>
  <si>
    <t>MFO Lot 301173 (LOT00301173), May 2026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</si>
  <si>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</si>
  <si>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</si>
  <si>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</si>
  <si>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</si>
  <si>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</si>
  <si>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MFO Lot 301180 (LOT00301180), May 2026</t>
  </si>
  <si>
    <t>September 2025</t>
  </si>
  <si>
    <t>Rail_SHPX215079_8.4.2026_offload_1</t>
  </si>
  <si>
    <t>MFO Lot 301194 (LOT00301194), May 2026</t>
  </si>
  <si>
    <t>MFO Lot 301195 (LOT00301195), April 2026</t>
  </si>
  <si>
    <t>015170</t>
  </si>
  <si>
    <t>MFO Lot 3255 (LOT00003255), July 2025</t>
  </si>
  <si>
    <t>245144</t>
  </si>
  <si>
    <t>MFO Lot 3696 (LOT00003696), September 2025</t>
  </si>
  <si>
    <t>245164</t>
  </si>
  <si>
    <t>MFO Lot 3702 (LOT00003702), September 2025</t>
  </si>
  <si>
    <t>245121</t>
  </si>
  <si>
    <t>MFO Lot 3746 (LOT00003746), September 2025</t>
  </si>
  <si>
    <t>245112</t>
  </si>
  <si>
    <t>MFO Lot 3748 (LOT00003748), September 2025</t>
  </si>
  <si>
    <t>245172</t>
  </si>
  <si>
    <t>INJ-09-2026-W2 - Whole Oil Shipments &amp; EE Mileage</t>
  </si>
  <si>
    <t>MFO Lot 3770 (LOT00003770), September 2025</t>
  </si>
  <si>
    <t>245165</t>
  </si>
  <si>
    <t>MFO Lot 3772 (LOT00003772), September 2025</t>
  </si>
  <si>
    <t>Whole Oil</t>
  </si>
  <si>
    <t>245107</t>
  </si>
  <si>
    <t>MFO Lot 3812 (LOT00003812), September 2025</t>
  </si>
  <si>
    <t>245157</t>
  </si>
  <si>
    <t>MFO Lot 3818 (LOT00003818), September 2025</t>
  </si>
  <si>
    <t>228410</t>
  </si>
  <si>
    <t>MFO Lot 3870 (LOT00003870), September 2025</t>
  </si>
  <si>
    <t>228432</t>
  </si>
  <si>
    <t>MFO Lot 3872 (LOT00003872), September 2025</t>
  </si>
  <si>
    <t>228470</t>
  </si>
  <si>
    <t>MFO Lot 3968 (LOT00003968), October 2025</t>
  </si>
  <si>
    <t>228485</t>
  </si>
  <si>
    <t>MFO Lot 3972 (LOT00003972), October 2025</t>
  </si>
  <si>
    <t>Rail_SHPX215079_8.4.2026_offload_2</t>
  </si>
  <si>
    <t>Rail_TIMX201060_7.31.2026_offload_1</t>
  </si>
  <si>
    <t>Rail_TIMX201060_7.31.2026_offload_2</t>
  </si>
  <si>
    <t>Rail_TIMX201060_7.31.2026_offload_3</t>
  </si>
  <si>
    <t>Rail_TIMX201060_7.31.2026_offload_4</t>
  </si>
  <si>
    <t>SECTION 4 - ROLLUP  (Mass Used = Σ Deliveries – Uncertainty Adj)</t>
  </si>
  <si>
    <t>Σ Deliveries raw (kg)</t>
  </si>
  <si>
    <t>Mass Used (post-adj) (kg)</t>
  </si>
  <si>
    <t>C Content (composite - see Summary)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</si>
</sst>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0.0000"/>
    <numFmt numFmtId="166" formatCode="yyyy-mm-dd"/>
    <numFmt numFmtId="167" formatCode="m/d/yy"/>
    <numFmt numFmtId="168" formatCode="mm/dd/yyyy"/>
    <numFmt numFmtId="169" formatCode="0.0000%"/>
    <numFmt numFmtId="170" formatCode="mmmm yyyy"/>
    <numFmt numFmtId="171" formatCode="#,##0.000000"/>
    <numFmt numFmtId="172" formatCode="0.000000"/>
  </numFmts>
  <fonts count="2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u/>
      <color rgb="FF0000FF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D8EAF9"/>
        <bgColor rgb="FFD8EAF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4" numFmtId="0" xfId="0" applyFont="1"/>
    <xf borderId="0" fillId="3" fontId="2" numFmtId="4" xfId="0" applyAlignment="1" applyFill="1" applyFont="1" applyNumberFormat="1">
      <alignment readingOrder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0" fontId="2" numFmtId="4" xfId="0" applyFont="1" applyNumberFormat="1"/>
    <xf borderId="0" fillId="2" fontId="5" numFmtId="0" xfId="0" applyFill="1" applyFont="1"/>
    <xf borderId="0" fillId="0" fontId="6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2" numFmtId="165" xfId="0" applyFont="1" applyNumberFormat="1"/>
    <xf quotePrefix="1" borderId="0" fillId="0" fontId="2" numFmtId="0" xfId="0" applyAlignment="1" applyFont="1">
      <alignment readingOrder="0"/>
    </xf>
    <xf borderId="0" fillId="0" fontId="2" numFmtId="0" xfId="0" applyFont="1"/>
    <xf borderId="0" fillId="3" fontId="2" numFmtId="4" xfId="0" applyFill="1" applyFont="1" applyNumberFormat="1"/>
    <xf borderId="0" fillId="0" fontId="2" numFmtId="0" xfId="0" applyAlignment="1" applyFont="1">
      <alignment readingOrder="0" shrinkToFit="0" wrapText="1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2" numFmtId="10" xfId="0" applyFont="1" applyNumberFormat="1"/>
    <xf borderId="0" fillId="0" fontId="2" numFmtId="169" xfId="0" applyFont="1" applyNumberFormat="1"/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5" fontId="8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3" fontId="11" numFmtId="4" xfId="0" applyAlignment="1" applyFill="1" applyFont="1" applyNumberFormat="1">
      <alignment readingOrder="0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0" fillId="5" fontId="2" numFmtId="4" xfId="0" applyAlignment="1" applyFill="1" applyFont="1" applyNumberFormat="1">
      <alignment readingOrder="0"/>
    </xf>
    <xf quotePrefix="1" borderId="1" fillId="0" fontId="12" numFmtId="0" xfId="0" applyAlignment="1" applyBorder="1" applyFon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vertical="bottom"/>
    </xf>
    <xf borderId="0" fillId="0" fontId="2" numFmtId="4" xfId="0" applyFont="1" applyNumberFormat="1"/>
    <xf borderId="0" fillId="0" fontId="2" numFmtId="170" xfId="0" applyAlignment="1" applyFont="1" applyNumberFormat="1">
      <alignment readingOrder="0"/>
    </xf>
    <xf borderId="0" fillId="5" fontId="2" numFmtId="4" xfId="0" applyFill="1" applyFont="1" applyNumberFormat="1"/>
    <xf borderId="1" fillId="0" fontId="12" numFmtId="1" xfId="0" applyAlignment="1" applyBorder="1" applyFont="1" applyNumberFormat="1">
      <alignment horizontal="right" readingOrder="0" vertical="bottom"/>
    </xf>
    <xf borderId="0" fillId="5" fontId="2" numFmtId="4" xfId="0" applyFill="1" applyFont="1" applyNumberFormat="1"/>
    <xf borderId="1" fillId="0" fontId="13" numFmtId="1" xfId="0" applyAlignment="1" applyBorder="1" applyFont="1" applyNumberFormat="1">
      <alignment horizontal="right" readingOrder="0" vertical="bottom"/>
    </xf>
    <xf borderId="0" fillId="0" fontId="3" numFmtId="4" xfId="0" applyFont="1" applyNumberFormat="1"/>
    <xf borderId="0" fillId="0" fontId="14" numFmtId="0" xfId="0" applyAlignment="1" applyFont="1">
      <alignment readingOrder="0"/>
    </xf>
    <xf borderId="0" fillId="0" fontId="14" numFmtId="0" xfId="0" applyFont="1"/>
    <xf borderId="0" fillId="0" fontId="2" numFmtId="10" xfId="0" applyAlignment="1" applyFont="1" applyNumberFormat="1">
      <alignment readingOrder="0"/>
    </xf>
    <xf borderId="0" fillId="0" fontId="15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borderId="1" fillId="0" fontId="12" numFmtId="0" xfId="0" applyAlignment="1" applyBorder="1" applyFont="1">
      <alignment horizontal="right" readingOrder="0" vertical="bottom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1" fillId="0" fontId="12" numFmtId="0" xfId="0" applyAlignment="1" applyBorder="1" applyFont="1">
      <alignment horizontal="right" readingOrder="0" vertical="bottom"/>
    </xf>
    <xf borderId="1" fillId="0" fontId="12" numFmtId="2" xfId="0" applyAlignment="1" applyBorder="1" applyFont="1" applyNumberFormat="1">
      <alignment horizontal="right" readingOrder="0" vertical="bottom"/>
    </xf>
    <xf borderId="0" fillId="0" fontId="18" numFmtId="4" xfId="0" applyAlignment="1" applyFont="1" applyNumberFormat="1">
      <alignment readingOrder="0"/>
    </xf>
    <xf borderId="1" fillId="0" fontId="13" numFmtId="0" xfId="0" applyAlignment="1" applyBorder="1" applyFont="1">
      <alignment horizontal="right" readingOrder="0" vertical="bottom"/>
    </xf>
    <xf borderId="0" fillId="0" fontId="2" numFmtId="1" xfId="0" applyFont="1" applyNumberFormat="1"/>
    <xf borderId="0" fillId="4" fontId="3" numFmtId="164" xfId="0" applyAlignment="1" applyFill="1" applyFont="1" applyNumberFormat="1">
      <alignment readingOrder="0"/>
    </xf>
    <xf borderId="0" fillId="4" fontId="19" numFmtId="4" xfId="0" applyAlignment="1" applyFill="1" applyFont="1" applyNumberFormat="1">
      <alignment readingOrder="0"/>
    </xf>
    <xf borderId="0" fillId="4" fontId="3" numFmtId="4" xfId="0" applyAlignment="1" applyFill="1" applyFont="1" applyNumberFormat="1">
      <alignment readingOrder="0"/>
    </xf>
    <xf borderId="0" fillId="4" fontId="3" numFmtId="2" xfId="0" applyAlignment="1" applyFill="1" applyFont="1" applyNumberFormat="1">
      <alignment readingOrder="0"/>
    </xf>
    <xf borderId="0" fillId="0" fontId="3" numFmtId="4" xfId="0" applyFont="1" applyNumberFormat="1"/>
    <xf borderId="0" fillId="4" fontId="3" numFmtId="4" xfId="0" applyFill="1" applyFont="1" applyNumberFormat="1"/>
    <xf borderId="0" fillId="0" fontId="3" numFmtId="171" xfId="0" applyAlignment="1" applyFont="1" applyNumberFormat="1">
      <alignment readingOrder="0"/>
    </xf>
    <xf borderId="0" fillId="4" fontId="3" numFmtId="4" xfId="0" applyAlignment="1" applyFill="1" applyFont="1" applyNumberFormat="1">
      <alignment readingOrder="0"/>
    </xf>
    <xf borderId="0" fillId="0" fontId="2" numFmtId="172" xfId="0" applyFont="1" applyNumberFormat="1"/>
    <xf borderId="0" fillId="6" fontId="3" numFmtId="0" xfId="0" applyAlignment="1" applyFill="1" applyFont="1">
      <alignment readingOrder="0"/>
    </xf>
    <xf borderId="0" fillId="6" fontId="20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30</v>
      </c>
      <c r="B2" s="3" t="s">
        <v>5</v>
      </c>
    </row>
    <row r="3">
      <c r="A3" s="3" t="s">
        <v>7</v>
      </c>
      <c r="B3" s="5">
        <v>46270.0</v>
      </c>
    </row>
    <row r="4">
      <c r="A4" s="3" t="s">
        <v>9</v>
      </c>
      <c r="B4" s="5">
        <v>46277.0</v>
      </c>
    </row>
    <row r="6">
      <c r="A6" s="1" t="s">
        <v>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32</v>
      </c>
      <c r="B7" s="4" t="s">
        <v>33</v>
      </c>
      <c r="C7" s="4" t="s">
        <v>34</v>
      </c>
      <c r="D7" s="8" t="s">
        <v>35</v>
      </c>
      <c r="E7" s="4" t="s">
        <v>25</v>
      </c>
      <c r="F7" s="8" t="s">
        <v>26</v>
      </c>
      <c r="G7" s="4" t="s">
        <v>27</v>
      </c>
      <c r="H7" s="4" t="s">
        <v>38</v>
      </c>
      <c r="I7" s="4" t="s">
        <v>39</v>
      </c>
      <c r="J7" s="4" t="s">
        <v>40</v>
      </c>
      <c r="K7" s="11"/>
      <c r="L7" s="11"/>
      <c r="M7" s="11"/>
      <c r="N7" s="11"/>
    </row>
    <row r="8">
      <c r="A8" s="3" t="s">
        <v>42</v>
      </c>
      <c r="B8" s="13">
        <f>'AECN Rail'!A44</f>
        <v>155863.283</v>
      </c>
      <c r="C8" s="13">
        <f>'AECN Rail'!B44</f>
        <v>20.3096</v>
      </c>
      <c r="D8" s="17">
        <f>'AECN Rail'!C44</f>
        <v>155842.9734</v>
      </c>
      <c r="E8" s="13">
        <f>'AECN Rail'!D44</f>
        <v>2010.374357</v>
      </c>
      <c r="F8" s="17">
        <f>'AECN Rail'!E44</f>
        <v>301.5118942</v>
      </c>
      <c r="G8" s="13">
        <f>'AECN Rail'!F44</f>
        <v>153531.0872</v>
      </c>
      <c r="H8" s="13">
        <f>'AECN Rail'!L36</f>
        <v>644.6740684</v>
      </c>
      <c r="I8" s="13">
        <f>'AECN Rail'!M36</f>
        <v>8810.686005</v>
      </c>
      <c r="J8" s="13">
        <f>'AECN Rail'!N36</f>
        <v>686.4</v>
      </c>
    </row>
    <row r="9">
      <c r="A9" s="3" t="s">
        <v>80</v>
      </c>
      <c r="B9" s="13">
        <f>'AECN Truck'!A28</f>
        <v>58570</v>
      </c>
      <c r="C9" s="13">
        <f>'AECN Truck'!F28</f>
        <v>0</v>
      </c>
      <c r="D9" s="17">
        <f>'AECN Truck'!C28</f>
        <v>58570</v>
      </c>
      <c r="E9" s="13">
        <f>'AECN Truck'!D28</f>
        <v>755.553</v>
      </c>
      <c r="F9" s="17">
        <f>'AECN Truck'!E28</f>
        <v>113.3163161</v>
      </c>
      <c r="G9" s="13">
        <f>'AECN Truck'!G28</f>
        <v>57701.13068</v>
      </c>
    </row>
    <row r="10">
      <c r="A10" s="3" t="s">
        <v>85</v>
      </c>
      <c r="B10" s="13">
        <f>WODO!A29</f>
        <v>0</v>
      </c>
      <c r="C10" s="16">
        <f>WODO!A29-WODO!B29</f>
        <v>0</v>
      </c>
      <c r="D10" s="29">
        <f>WODO!B29</f>
        <v>0</v>
      </c>
      <c r="E10" s="13" t="str">
        <f>WODO!C29</f>
        <v/>
      </c>
      <c r="F10" s="29">
        <v>0.0</v>
      </c>
      <c r="G10" s="16">
        <f>WODO!D29</f>
        <v>0</v>
      </c>
    </row>
    <row r="11">
      <c r="A11" s="3" t="s">
        <v>95</v>
      </c>
      <c r="B11" s="13">
        <f>Kerry!A18</f>
        <v>18234.3984</v>
      </c>
      <c r="C11" s="16">
        <v>0.0</v>
      </c>
      <c r="D11" s="29">
        <f>Kerry!A18</f>
        <v>18234.3984</v>
      </c>
      <c r="E11" s="16">
        <v>0.0</v>
      </c>
      <c r="F11" s="29">
        <f>Kerry!B18</f>
        <v>12.94642286</v>
      </c>
      <c r="G11" s="34">
        <f>Kerry!C18</f>
        <v>18221.45198</v>
      </c>
    </row>
    <row r="12">
      <c r="A12" s="3" t="s">
        <v>98</v>
      </c>
      <c r="B12" s="16">
        <f>QOWV!B50</f>
        <v>38830.4</v>
      </c>
      <c r="C12" s="16">
        <v>0.0</v>
      </c>
      <c r="D12" s="29">
        <f>QOWV!D50</f>
        <v>36641.6</v>
      </c>
      <c r="E12" s="16">
        <v>0.0</v>
      </c>
      <c r="F12" s="29">
        <v>0.0</v>
      </c>
      <c r="G12" s="34">
        <f>QOWV!F50</f>
        <v>31250.9</v>
      </c>
      <c r="I12" s="4"/>
      <c r="J12" s="11"/>
      <c r="K12" s="11"/>
      <c r="L12" s="11"/>
      <c r="M12" s="11"/>
      <c r="N12" s="11"/>
    </row>
    <row r="13">
      <c r="A13" s="3" t="s">
        <v>94</v>
      </c>
      <c r="B13" s="13">
        <f t="shared" ref="B13:J13" si="1">SUM(B8:B12)</f>
        <v>271498.0814</v>
      </c>
      <c r="C13" s="13">
        <f t="shared" si="1"/>
        <v>20.3096</v>
      </c>
      <c r="D13" s="13">
        <f t="shared" si="1"/>
        <v>269288.9718</v>
      </c>
      <c r="E13" s="13">
        <f t="shared" si="1"/>
        <v>2765.927357</v>
      </c>
      <c r="F13" s="13">
        <f t="shared" si="1"/>
        <v>427.7746332</v>
      </c>
      <c r="G13" s="13">
        <f t="shared" si="1"/>
        <v>260704.5698</v>
      </c>
      <c r="H13" s="13">
        <f t="shared" si="1"/>
        <v>644.6740684</v>
      </c>
      <c r="I13" s="13">
        <f t="shared" si="1"/>
        <v>8810.686005</v>
      </c>
      <c r="J13" s="13">
        <f t="shared" si="1"/>
        <v>686.4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109</v>
      </c>
      <c r="B15" s="4"/>
      <c r="C15" s="4"/>
      <c r="D15" s="4"/>
      <c r="E15" s="4"/>
      <c r="F15" s="4"/>
      <c r="G15" s="4"/>
      <c r="H15" s="11"/>
      <c r="I15" s="11"/>
      <c r="J15" s="11"/>
      <c r="K15" s="11"/>
      <c r="L15" s="11"/>
      <c r="M15" s="11"/>
    </row>
    <row r="16">
      <c r="A16" s="3" t="s">
        <v>110</v>
      </c>
      <c r="B16" s="16" t="s">
        <v>27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</row>
    <row r="17">
      <c r="A17" s="3" t="s">
        <v>117</v>
      </c>
      <c r="B17" s="13">
        <f>G8+G9</f>
        <v>211232.2179</v>
      </c>
      <c r="C17" s="3" t="s">
        <v>118</v>
      </c>
      <c r="D17" s="5">
        <v>46277.0</v>
      </c>
      <c r="E17" s="37">
        <v>0.404</v>
      </c>
      <c r="F17" s="9" t="str">
        <f>HYPERLINK("https://drive.google.com/file/d/1E1uy1rtPtWOVK39JiIoe8RyE38Ob0NQo/view","COA SR26-05494.002")</f>
        <v>COA SR26-05494.002</v>
      </c>
      <c r="G17" s="38">
        <f>E17*H17</f>
        <v>0.001616</v>
      </c>
      <c r="H17" s="37">
        <v>0.004</v>
      </c>
    </row>
    <row r="18">
      <c r="A18" s="3" t="s">
        <v>119</v>
      </c>
      <c r="B18" s="13">
        <f t="shared" ref="B18:B20" si="2">G10</f>
        <v>0</v>
      </c>
      <c r="E18" s="40"/>
      <c r="H18" s="40"/>
    </row>
    <row r="19">
      <c r="A19" s="3" t="s">
        <v>95</v>
      </c>
      <c r="B19" s="13">
        <f t="shared" si="2"/>
        <v>18221.45198</v>
      </c>
      <c r="C19" s="3" t="s">
        <v>121</v>
      </c>
      <c r="D19" s="5">
        <v>46277.0</v>
      </c>
      <c r="E19" s="37">
        <v>0.625</v>
      </c>
      <c r="F19" s="9" t="str">
        <f>HYPERLINK("https://drive.google.com/file/d/11ORmEak4YjN6gnJSryd5lewLhjk1xHMC/view","COA SR26-05684.001")</f>
        <v>COA SR26-05684.001</v>
      </c>
      <c r="G19" s="41">
        <f t="shared" ref="G19:G20" si="3">E19*H19</f>
        <v>0.0025</v>
      </c>
      <c r="H19" s="37">
        <v>0.004</v>
      </c>
    </row>
    <row r="20">
      <c r="A20" s="3" t="s">
        <v>98</v>
      </c>
      <c r="B20" s="13">
        <f t="shared" si="2"/>
        <v>31250.9</v>
      </c>
      <c r="C20" s="3" t="s">
        <v>129</v>
      </c>
      <c r="D20" s="5">
        <v>46270.0</v>
      </c>
      <c r="E20" s="37">
        <v>0.083</v>
      </c>
      <c r="F20" s="44" t="str">
        <f>HYPERLINK("https://drive.google.com/file/d/1E1uy1rtPtWOVK39JiIoe8RyE38Ob0NQo/view","COA SR26-05494.001")</f>
        <v>COA SR26-05494.001</v>
      </c>
      <c r="G20" s="38">
        <f t="shared" si="3"/>
        <v>0.000332</v>
      </c>
      <c r="H20" s="37">
        <v>0.004</v>
      </c>
      <c r="I20" s="11"/>
      <c r="J20" s="11"/>
      <c r="K20" s="11"/>
      <c r="L20" s="11"/>
      <c r="M20" s="11"/>
    </row>
    <row r="21">
      <c r="A21" s="3" t="s">
        <v>94</v>
      </c>
      <c r="B21" s="13">
        <f>SUM(B17:B20)</f>
        <v>260704.5698</v>
      </c>
      <c r="E21" s="40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11"/>
      <c r="E23" s="11"/>
      <c r="F23" s="4"/>
      <c r="G23" s="4" t="s">
        <v>130</v>
      </c>
      <c r="H23" s="11"/>
      <c r="I23" s="11"/>
      <c r="J23" s="11"/>
      <c r="K23" s="11"/>
      <c r="L23" s="11"/>
      <c r="M23" s="11"/>
      <c r="N23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5</v>
      </c>
      <c r="N2" s="4" t="s">
        <v>6</v>
      </c>
    </row>
    <row r="3">
      <c r="A3" s="3" t="s">
        <v>7</v>
      </c>
      <c r="B3" s="5">
        <v>46270.0</v>
      </c>
      <c r="N3" s="4" t="s">
        <v>8</v>
      </c>
      <c r="O3" s="6">
        <v>2.20462</v>
      </c>
    </row>
    <row r="4">
      <c r="A4" s="3" t="s">
        <v>9</v>
      </c>
      <c r="B4" s="5">
        <v>46277.0</v>
      </c>
      <c r="N4" s="4" t="s">
        <v>10</v>
      </c>
      <c r="O4" s="6">
        <v>0.453592</v>
      </c>
    </row>
    <row r="5">
      <c r="N5" s="4" t="s">
        <v>11</v>
      </c>
      <c r="O5" s="6">
        <v>0.0129</v>
      </c>
    </row>
    <row r="6">
      <c r="N6" s="4" t="s">
        <v>12</v>
      </c>
      <c r="O6" s="3" t="s">
        <v>13</v>
      </c>
    </row>
    <row r="7">
      <c r="N7" s="3" t="s">
        <v>14</v>
      </c>
      <c r="O7" s="15">
        <f>HYPERLINK("https://docs.google.com/spreadsheets/d/1XhIwfVwGTl2T04CAlA-qee03gfqxNWwBmSCAeiSW548/edit?usp=sharing", 0.00196)</f>
        <v>0.00196</v>
      </c>
    </row>
    <row r="8">
      <c r="A8" s="1" t="s">
        <v>45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49</v>
      </c>
      <c r="O8" s="12">
        <v>3.0</v>
      </c>
      <c r="P8" s="2"/>
      <c r="Q8" s="2"/>
      <c r="R8" s="2"/>
    </row>
    <row r="9">
      <c r="A9" s="4" t="s">
        <v>53</v>
      </c>
      <c r="B9" s="4" t="s">
        <v>55</v>
      </c>
      <c r="C9" s="4" t="s">
        <v>56</v>
      </c>
      <c r="D9" s="7" t="s">
        <v>59</v>
      </c>
      <c r="E9" s="7" t="s">
        <v>61</v>
      </c>
      <c r="F9" s="4" t="s">
        <v>62</v>
      </c>
      <c r="G9" s="4" t="s">
        <v>63</v>
      </c>
      <c r="H9" s="4" t="s">
        <v>64</v>
      </c>
      <c r="I9" s="4" t="s">
        <v>66</v>
      </c>
      <c r="J9" s="4" t="s">
        <v>69</v>
      </c>
      <c r="K9" s="4" t="s">
        <v>70</v>
      </c>
      <c r="L9" s="4" t="s">
        <v>71</v>
      </c>
      <c r="M9" s="4" t="s">
        <v>24</v>
      </c>
      <c r="N9" s="4" t="s">
        <v>72</v>
      </c>
      <c r="O9" s="19">
        <v>2.0</v>
      </c>
      <c r="P9" s="4" t="s">
        <v>73</v>
      </c>
      <c r="Q9" s="4" t="s">
        <v>74</v>
      </c>
      <c r="R9" s="11"/>
    </row>
    <row r="10">
      <c r="A10" s="3" t="s">
        <v>75</v>
      </c>
      <c r="B10" s="5">
        <v>46234.0</v>
      </c>
      <c r="C10" s="3" t="s">
        <v>76</v>
      </c>
      <c r="D10" s="10">
        <v>78.14</v>
      </c>
      <c r="E10" s="10">
        <v>78140.0</v>
      </c>
      <c r="F10" s="13">
        <f t="shared" ref="F10:F12" si="1">SUMIF($C$28:$C$41,A10,$F$28:$F$41)+H10</f>
        <v>77800.09984</v>
      </c>
      <c r="G10" s="13">
        <f t="shared" ref="G10:G12" si="2">IF(OR(E10="",F10=""),"",IF(Q10="Y",MAX(0,E10-F10),""))</f>
        <v>339.90016</v>
      </c>
      <c r="H10" s="6">
        <v>0.0</v>
      </c>
      <c r="I10" s="25">
        <v>0.0</v>
      </c>
      <c r="J10" s="25">
        <v>107.5</v>
      </c>
      <c r="K10" s="25">
        <v>2199.0</v>
      </c>
      <c r="L10" s="6">
        <v>42.9</v>
      </c>
      <c r="P10" s="23" t="str">
        <f t="shared" ref="P10:P14" si="3">IF(OR($E10="",$F10=""),"",IF(AND($H10=0,$F10&gt;=0.95*$E10),"FULL","PARTIAL"))</f>
        <v>FULL</v>
      </c>
      <c r="Q10" s="3" t="s">
        <v>87</v>
      </c>
    </row>
    <row r="11">
      <c r="A11" s="3" t="s">
        <v>89</v>
      </c>
      <c r="B11" s="27">
        <v>46238.0</v>
      </c>
      <c r="C11" s="3" t="s">
        <v>90</v>
      </c>
      <c r="D11" s="10">
        <v>77.87</v>
      </c>
      <c r="E11" s="10">
        <v>77870.0</v>
      </c>
      <c r="F11" s="13">
        <f t="shared" si="1"/>
        <v>42410.852</v>
      </c>
      <c r="G11" s="13" t="str">
        <f t="shared" si="2"/>
        <v/>
      </c>
      <c r="H11" s="25">
        <v>0.0</v>
      </c>
      <c r="I11" s="25">
        <v>0.0</v>
      </c>
      <c r="J11" s="25">
        <v>107.5</v>
      </c>
      <c r="K11" s="25">
        <v>2199.0</v>
      </c>
      <c r="L11" s="6">
        <v>42.9</v>
      </c>
      <c r="P11" s="23" t="str">
        <f t="shared" si="3"/>
        <v>PARTIAL</v>
      </c>
      <c r="Q11" s="3" t="s">
        <v>91</v>
      </c>
    </row>
    <row r="12">
      <c r="A12" s="3" t="s">
        <v>92</v>
      </c>
      <c r="B12" s="28">
        <v>46241.0</v>
      </c>
      <c r="C12" s="3" t="s">
        <v>93</v>
      </c>
      <c r="D12" s="30">
        <v>77.68</v>
      </c>
      <c r="E12" s="30">
        <v>77680.0</v>
      </c>
      <c r="F12" s="23">
        <f t="shared" si="1"/>
        <v>35652.3312</v>
      </c>
      <c r="G12" s="23" t="str">
        <f t="shared" si="2"/>
        <v/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23" t="str">
        <f t="shared" si="3"/>
        <v>PARTIAL</v>
      </c>
      <c r="Q12" s="3" t="s">
        <v>91</v>
      </c>
    </row>
    <row r="13">
      <c r="D13" s="30"/>
      <c r="E13" s="30"/>
      <c r="G13" s="23" t="str">
        <f t="shared" ref="G13:G14" si="4">IF(AND(E13&lt;&gt;"",F13&lt;&gt;"",F13&gt;=0.95*E13),E13-F13,"")</f>
        <v/>
      </c>
      <c r="P13" s="23" t="str">
        <f t="shared" si="3"/>
        <v/>
      </c>
    </row>
    <row r="14">
      <c r="G14" s="23" t="str">
        <f t="shared" si="4"/>
        <v/>
      </c>
      <c r="P14" s="23" t="str">
        <f t="shared" si="3"/>
        <v/>
      </c>
    </row>
    <row r="15">
      <c r="A15" s="1" t="s">
        <v>97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16</v>
      </c>
      <c r="B16" s="4" t="s">
        <v>99</v>
      </c>
      <c r="C16" s="4" t="s">
        <v>53</v>
      </c>
      <c r="D16" s="7" t="s">
        <v>18</v>
      </c>
      <c r="E16" s="7" t="s">
        <v>19</v>
      </c>
      <c r="F16" s="4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>
      <c r="A17" s="5">
        <v>46232.0</v>
      </c>
      <c r="B17" s="9" t="str">
        <f>HYPERLINK("https://drive.google.com/file/d/1ZuURgQe3U1js-r_7RIKM4d-Jr6-F3zSs/view","2450-R")</f>
        <v>2450-R</v>
      </c>
      <c r="C17" s="3" t="s">
        <v>75</v>
      </c>
      <c r="D17" s="10">
        <v>26.06</v>
      </c>
      <c r="E17" s="10">
        <v>26060.0</v>
      </c>
    </row>
    <row r="18">
      <c r="A18" s="5">
        <v>46232.0</v>
      </c>
      <c r="B18" s="9" t="str">
        <f>HYPERLINK("https://drive.google.com/file/d/1k0djKC95Um_AqEAfJcyq2WU9rV9x6Eec/view","2451-R")</f>
        <v>2451-R</v>
      </c>
      <c r="C18" s="3" t="s">
        <v>75</v>
      </c>
      <c r="D18" s="10">
        <v>26.02</v>
      </c>
      <c r="E18" s="10">
        <v>26020.0</v>
      </c>
    </row>
    <row r="19">
      <c r="A19" s="5">
        <v>46233.0</v>
      </c>
      <c r="B19" s="9" t="str">
        <f>HYPERLINK("https://drive.google.com/file/d/1mVN2I6OeEMIGpFBE9wpZJC3yF2INqi7H/view","2452-R")</f>
        <v>2452-R</v>
      </c>
      <c r="C19" s="3" t="s">
        <v>75</v>
      </c>
      <c r="D19" s="10">
        <v>26.06</v>
      </c>
      <c r="E19" s="10">
        <v>26060.0</v>
      </c>
    </row>
    <row r="20">
      <c r="A20" s="5">
        <v>46233.0</v>
      </c>
      <c r="B20" s="9" t="str">
        <f>HYPERLINK("https://drive.google.com/file/d/1uf-uIbIK-w263t44Z7hPxz4V6TcOwkuj/view","2453-R")</f>
        <v>2453-R</v>
      </c>
      <c r="C20" s="3" t="s">
        <v>89</v>
      </c>
      <c r="D20" s="10">
        <v>25.99</v>
      </c>
      <c r="E20" s="10">
        <v>25990.0</v>
      </c>
    </row>
    <row r="21">
      <c r="A21" s="5">
        <v>46237.0</v>
      </c>
      <c r="B21" s="9" t="str">
        <f>HYPERLINK("https://drive.google.com/file/d/19tEV6CHDlw4IHdGf0eTcvgchBT5619z2/view","2454-R")</f>
        <v>2454-R</v>
      </c>
      <c r="C21" s="3" t="s">
        <v>89</v>
      </c>
      <c r="D21" s="10">
        <v>25.91</v>
      </c>
      <c r="E21" s="10">
        <v>25910.0</v>
      </c>
    </row>
    <row r="22">
      <c r="A22" s="5">
        <v>46237.0</v>
      </c>
      <c r="B22" s="9" t="str">
        <f>HYPERLINK("https://drive.google.com/file/d/1Ew57sSdaj0k_89WfzfXFYvHmdga4A3Yt/view","2455-R")</f>
        <v>2455-R</v>
      </c>
      <c r="C22" s="3" t="s">
        <v>89</v>
      </c>
      <c r="D22" s="10">
        <v>25.97</v>
      </c>
      <c r="E22" s="10">
        <v>25970.0</v>
      </c>
    </row>
    <row r="23">
      <c r="A23" s="5">
        <v>46239.0</v>
      </c>
      <c r="B23" s="9" t="str">
        <f>HYPERLINK("https://drive.google.com/file/d/1dCSXmu7dtsVXb1lm03NoB703GWhQ4SoL/view","2462-R")</f>
        <v>2462-R</v>
      </c>
      <c r="C23" s="3" t="s">
        <v>92</v>
      </c>
      <c r="D23" s="16">
        <v>25.94</v>
      </c>
      <c r="E23" s="16">
        <v>25940.0</v>
      </c>
    </row>
    <row r="24">
      <c r="A24" s="5">
        <v>46240.0</v>
      </c>
      <c r="B24" s="9" t="str">
        <f>HYPERLINK("https://drive.google.com/file/d/1dnRbhH5-6l1akkr2TOene6LVg_vIcbqy/view","2463-R")</f>
        <v>2463-R</v>
      </c>
      <c r="C24" s="3" t="s">
        <v>92</v>
      </c>
      <c r="D24" s="16">
        <v>25.9</v>
      </c>
      <c r="E24" s="16">
        <v>25900.0</v>
      </c>
    </row>
    <row r="25">
      <c r="A25" s="5">
        <v>46240.0</v>
      </c>
      <c r="B25" s="9" t="str">
        <f>HYPERLINK("https://drive.google.com/file/d/1K229IOTPDOAGAckmNGMoLtQr9BUJo-tu/view","2464-R")</f>
        <v>2464-R</v>
      </c>
      <c r="C25" s="3" t="s">
        <v>92</v>
      </c>
      <c r="D25" s="16">
        <v>25.84</v>
      </c>
      <c r="E25" s="16">
        <v>25840.0</v>
      </c>
    </row>
    <row r="26">
      <c r="A26" s="1" t="s">
        <v>120</v>
      </c>
      <c r="B26" s="1"/>
      <c r="C26" s="1"/>
      <c r="D26" s="39"/>
      <c r="E26" s="39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5" t="s">
        <v>122</v>
      </c>
      <c r="E27" s="35" t="s">
        <v>123</v>
      </c>
      <c r="F27" s="7" t="s">
        <v>124</v>
      </c>
      <c r="G27" s="4" t="s">
        <v>23</v>
      </c>
      <c r="H27" s="7" t="s">
        <v>25</v>
      </c>
      <c r="I27" s="7" t="s">
        <v>26</v>
      </c>
      <c r="J27" s="7" t="s">
        <v>102</v>
      </c>
      <c r="K27" s="7" t="s">
        <v>27</v>
      </c>
      <c r="L27" s="4" t="s">
        <v>125</v>
      </c>
      <c r="M27" s="4" t="s">
        <v>126</v>
      </c>
      <c r="N27" s="4" t="s">
        <v>127</v>
      </c>
      <c r="O27" s="4" t="s">
        <v>28</v>
      </c>
      <c r="P27" s="11"/>
      <c r="Q27" s="11"/>
      <c r="R27" s="11"/>
    </row>
    <row r="28">
      <c r="A28" s="42">
        <v>46276.0</v>
      </c>
      <c r="B28" s="43" t="s">
        <v>128</v>
      </c>
      <c r="C28" s="43" t="s">
        <v>92</v>
      </c>
      <c r="D28" s="45">
        <f>HYPERLINK("https://drive.google.com/file/d/1GisAZh42UfUeqGGvXLAVvExtnXfKTUs8/view",74320)</f>
        <v>74320</v>
      </c>
      <c r="E28" s="45">
        <f>HYPERLINK("https://drive.google.com/file/d/1VZTOOgPaWtrG_CFLtozthC_v89fI-t5c/view",28440)</f>
        <v>28440</v>
      </c>
      <c r="F28" s="46">
        <f t="shared" ref="F28:F35" si="5">IF(OR(D28="",E28=""),"",(D28-E28)*$O$4)</f>
        <v>20810.80096</v>
      </c>
      <c r="G28" s="47">
        <f t="shared" ref="G28:G35" si="6">$G$44</f>
        <v>2.92</v>
      </c>
      <c r="H28" s="48">
        <f t="shared" ref="H28:H35" si="7">IF(F28="","",(F28-J28)*$O$5)</f>
        <v>268.4593324</v>
      </c>
      <c r="I28" s="48">
        <f t="shared" ref="I28:I35" si="8">IF(F28="","",(F28-J28)*(1-$O$5)*$O$7)</f>
        <v>40.26298959</v>
      </c>
      <c r="J28" s="46">
        <f t="array" ref="J28">IF(F28="","",IF(ROW()=MAX(IF($C$28:$C$35=C28,ROW($C$28:$C$35),0)),MAX(0,IFERROR(VLOOKUP(C28,$A$10:$L$14,6,FALSE)-VLOOKUP(C28,$A$10:$L$14,5,FALSE),0)),0))</f>
        <v>0</v>
      </c>
      <c r="K28" s="46">
        <f t="shared" ref="K28:K35" si="9">IF(F28="","",F28-H28-I28-J28)</f>
        <v>20502.07864</v>
      </c>
      <c r="L28" s="63">
        <f t="shared" ref="L28:L35" si="10">IF(F28="","",(F28-J28)/VLOOKUP(C28,$A$10:$L$14,5,FALSE)*VLOOKUP(C28,$A$10:$L$14,10,FALSE)*$O$8)</f>
        <v>86.39911573</v>
      </c>
      <c r="M28" s="48">
        <f t="array" ref="M28">IF(F28="","",2*(IF(IFERROR(VLOOKUP(C28,$A$10:$P$14,16,FALSE),"")="FULL",IF(ROW()=MIN(IF($C$28:$C$35=C28,ROW($C$28:$C$35),10^9)),VLOOKUP(C28,$A$10:$P$14,11,FALSE),0),(F28-J28)/VLOOKUP(C28,$A$10:$P$14,5,FALSE)*VLOOKUP(C28,$A$10:$P$14,11,FALSE))))</f>
        <v>1178.242825</v>
      </c>
      <c r="N28" s="48">
        <f t="shared" ref="N28:N35" si="11">IF(F28="","",IFERROR(VLOOKUP(C28,$A$10:$L$14,12,FALSE),0)*$O$9)</f>
        <v>85.8</v>
      </c>
      <c r="O28" s="68"/>
    </row>
    <row r="29">
      <c r="A29" s="5">
        <v>46276.0</v>
      </c>
      <c r="B29" s="3" t="s">
        <v>170</v>
      </c>
      <c r="C29" s="3" t="s">
        <v>92</v>
      </c>
      <c r="D29" s="69">
        <f>HYPERLINK("https://drive.google.com/file/d/1Ey8e0SGZWEeLyB3tSyfzmlK_x0MvYBgN/view",61980)</f>
        <v>61980</v>
      </c>
      <c r="E29" s="69">
        <f>HYPERLINK("https://drive.google.com/file/d/1mx7n-RIuGDT5LdH69PYAfmmYKxB144P_/view",29260)</f>
        <v>29260</v>
      </c>
      <c r="F29" s="10">
        <f t="shared" si="5"/>
        <v>14841.53024</v>
      </c>
      <c r="G29" s="18">
        <f t="shared" si="6"/>
        <v>2.92</v>
      </c>
      <c r="H29" s="24">
        <f t="shared" si="7"/>
        <v>191.1937463</v>
      </c>
      <c r="I29" s="24">
        <f t="shared" si="8"/>
        <v>28.67485271</v>
      </c>
      <c r="J29" s="10">
        <f>IF(F29="","",MAX(0,SUMIF($C$28:$C$35,C29,$F$28:$F$35)+(21055.74064+20992.23776)-VLOOKUP(C29,$A$10:$L$14,5,FALSE)))</f>
        <v>20.3096</v>
      </c>
      <c r="K29" s="24">
        <f t="shared" si="9"/>
        <v>14601.35204</v>
      </c>
      <c r="L29" s="59">
        <f t="shared" si="10"/>
        <v>61.53248785</v>
      </c>
      <c r="M29" s="13">
        <f t="array" ref="M29">IF(F29="","",2*(IF(IFERROR(VLOOKUP(C29,$A$10:$P$14,16,FALSE),"")="FULL",IF(ROW()=MIN(IF($C$28:$C$35=C29,ROW($C$28:$C$35),10^9)),VLOOKUP(C29,$A$10:$P$14,11,FALSE),0),(F29-J29)/VLOOKUP(C29,$A$10:$P$14,5,FALSE)*VLOOKUP(C29,$A$10:$P$14,11,FALSE))))</f>
        <v>839.1314157</v>
      </c>
      <c r="N29" s="13">
        <f t="shared" si="11"/>
        <v>85.8</v>
      </c>
      <c r="O29" s="68"/>
    </row>
    <row r="30">
      <c r="A30" s="5">
        <v>46276.0</v>
      </c>
      <c r="B30" s="3" t="s">
        <v>206</v>
      </c>
      <c r="C30" s="3" t="s">
        <v>89</v>
      </c>
      <c r="D30" s="69">
        <f>HYPERLINK("https://drive.google.com/file/d/1XqCArIC7PnSrQ6kqwkAhpxNbBI05eBPP/view",76720)</f>
        <v>76720</v>
      </c>
      <c r="E30" s="78">
        <f>HYPERLINK("https://drive.google.com/file/d/11t6R_4Gs-duPIqzwEQIX2N55hmOsPrGD/view",28660)</f>
        <v>28660</v>
      </c>
      <c r="F30" s="10">
        <f t="shared" si="5"/>
        <v>21799.63152</v>
      </c>
      <c r="G30" s="18">
        <f t="shared" si="6"/>
        <v>2.92</v>
      </c>
      <c r="H30" s="24">
        <f t="shared" si="7"/>
        <v>281.2152466</v>
      </c>
      <c r="I30" s="24">
        <f t="shared" si="8"/>
        <v>42.1760959</v>
      </c>
      <c r="J30" s="10">
        <f t="array" ref="J30">IF(F30="","",IF(ROW()=MAX(IF($C$28:$C$35=C30,ROW($C$28:$C$35),0)),MAX(0,IFERROR(VLOOKUP(C30,$A$10:$L$14,6,FALSE)-VLOOKUP(C30,$A$10:$L$14,5,FALSE),0)),0))</f>
        <v>0</v>
      </c>
      <c r="K30" s="24">
        <f t="shared" si="9"/>
        <v>21476.24018</v>
      </c>
      <c r="L30" s="59">
        <f t="shared" si="10"/>
        <v>90.28356447</v>
      </c>
      <c r="M30" s="13">
        <f t="array" ref="M30">IF(F30="","",2*(IF(IFERROR(VLOOKUP(C30,$A$10:$P$14,16,FALSE),"")="FULL",IF(ROW()=MIN(IF($C$28:$C$35=C30,ROW($C$28:$C$35),10^9)),VLOOKUP(C30,$A$10:$P$14,11,FALSE),0),(F30-J30)/VLOOKUP(C30,$A$10:$P$14,5,FALSE)*VLOOKUP(C30,$A$10:$P$14,11,FALSE))))</f>
        <v>1231.215865</v>
      </c>
      <c r="N30" s="13">
        <f t="shared" si="11"/>
        <v>85.8</v>
      </c>
      <c r="O30" s="68"/>
    </row>
    <row r="31">
      <c r="A31" s="81">
        <v>46276.0</v>
      </c>
      <c r="B31" s="8" t="s">
        <v>237</v>
      </c>
      <c r="C31" s="8" t="s">
        <v>89</v>
      </c>
      <c r="D31" s="82">
        <f>HYPERLINK("https://drive.google.com/file/d/1KFfyPOYLciZ2vsYZMviViwIHQM2cyEoP/view",73860)</f>
        <v>73860</v>
      </c>
      <c r="E31" s="82">
        <f>HYPERLINK("https://drive.google.com/file/d/12MMZsVKKYdE0J4hgJTknIIsqHMAA9nQe/view",28420)</f>
        <v>28420</v>
      </c>
      <c r="F31" s="83">
        <f t="shared" si="5"/>
        <v>20611.22048</v>
      </c>
      <c r="G31" s="84">
        <f t="shared" si="6"/>
        <v>2.92</v>
      </c>
      <c r="H31" s="86">
        <f t="shared" si="7"/>
        <v>265.8847442</v>
      </c>
      <c r="I31" s="86">
        <f t="shared" si="8"/>
        <v>39.87685804</v>
      </c>
      <c r="J31" s="83">
        <f t="array" ref="J31">IF(F31="","",IF(ROW()=MAX(IF($C$28:$C$35=C31,ROW($C$28:$C$35),0)),MAX(0,IFERROR(VLOOKUP(C31,$A$10:$L$14,6,FALSE)-VLOOKUP(C31,$A$10:$L$14,5,FALSE),0)),0))</f>
        <v>0</v>
      </c>
      <c r="K31" s="86">
        <f t="shared" si="9"/>
        <v>20305.45888</v>
      </c>
      <c r="L31" s="88">
        <f t="shared" si="10"/>
        <v>85.36173886</v>
      </c>
      <c r="M31" s="86">
        <f t="array" ref="M31">IF(F31="","",2*(IF(IFERROR(VLOOKUP(C31,$A$10:$P$14,16,FALSE),"")="FULL",IF(ROW()=MIN(IF($C$28:$C$35=C31,ROW($C$28:$C$35),10^9)),VLOOKUP(C31,$A$10:$P$14,11,FALSE),0),(F31-J31)/VLOOKUP(C31,$A$10:$P$14,5,FALSE)*VLOOKUP(C31,$A$10:$P$14,11,FALSE))))</f>
        <v>1164.095899</v>
      </c>
      <c r="N31" s="86">
        <f t="shared" si="11"/>
        <v>85.8</v>
      </c>
      <c r="O31" s="68"/>
    </row>
    <row r="32">
      <c r="A32" s="5">
        <v>46276.0</v>
      </c>
      <c r="B32" s="3" t="s">
        <v>238</v>
      </c>
      <c r="C32" s="3" t="s">
        <v>75</v>
      </c>
      <c r="D32" s="69">
        <f>HYPERLINK("https://drive.google.com/file/d/1iih6baWdgvbgqhjYWEaIk9LdrDGBeRby/view",85100)</f>
        <v>85100</v>
      </c>
      <c r="E32" s="69">
        <f>HYPERLINK("https://drive.google.com/file/d/181-3ASFhsekj8JYrjpVem8DW4rNxVpdA/view",29480)</f>
        <v>29480</v>
      </c>
      <c r="F32" s="10">
        <f t="shared" si="5"/>
        <v>25228.78704</v>
      </c>
      <c r="G32" s="18">
        <f t="shared" si="6"/>
        <v>2.92</v>
      </c>
      <c r="H32" s="10">
        <f t="shared" si="7"/>
        <v>325.4513528</v>
      </c>
      <c r="I32" s="10">
        <f t="shared" si="8"/>
        <v>48.81053795</v>
      </c>
      <c r="J32" s="10">
        <f t="array" ref="J32">IF(F32="","",IF(ROW()=MAX(IF($C$28:$C$35=C32,ROW($C$28:$C$35),0)),MAX(0,IFERROR(VLOOKUP(C32,$A$10:$L$14,6,FALSE)-VLOOKUP(C32,$A$10:$L$14,5,FALSE),0)),0))</f>
        <v>0</v>
      </c>
      <c r="K32" s="10">
        <f t="shared" si="9"/>
        <v>24854.52515</v>
      </c>
      <c r="L32" s="59">
        <f t="shared" si="10"/>
        <v>104.124441</v>
      </c>
      <c r="M32" s="13">
        <f t="array" ref="M32">IF(F32="","",2*(IF(IFERROR(VLOOKUP(C32,$A$10:$P$14,16,FALSE),"")="FULL",IF(ROW()=MIN(IF($C$28:$C$35=C32,ROW($C$28:$C$35),10^9)),VLOOKUP(C32,$A$10:$P$14,11,FALSE),0),(F32-J32)/VLOOKUP(C32,$A$10:$P$14,5,FALSE)*VLOOKUP(C32,$A$10:$P$14,11,FALSE))))</f>
        <v>4398</v>
      </c>
      <c r="N32" s="13">
        <f t="shared" si="11"/>
        <v>85.8</v>
      </c>
      <c r="O32" s="68"/>
    </row>
    <row r="33">
      <c r="A33" s="5">
        <v>46276.0</v>
      </c>
      <c r="B33" s="3" t="s">
        <v>239</v>
      </c>
      <c r="C33" s="3" t="s">
        <v>75</v>
      </c>
      <c r="D33" s="69">
        <f>HYPERLINK("https://drive.google.com/file/d/1N6jMP4naYICOYrPGkqYaYnqq5FhKiVZU/view", 74420)</f>
        <v>74420</v>
      </c>
      <c r="E33" s="69">
        <f>HYPERLINK("https://drive.google.com/file/d/1JhVupVG7-OHlIpAUWpjOVhSzUavcEYjL/view", 28760)</f>
        <v>28760</v>
      </c>
      <c r="F33" s="10">
        <f t="shared" si="5"/>
        <v>20711.01072</v>
      </c>
      <c r="G33" s="18">
        <f t="shared" si="6"/>
        <v>2.92</v>
      </c>
      <c r="H33" s="10">
        <f t="shared" si="7"/>
        <v>267.1720383</v>
      </c>
      <c r="I33" s="10">
        <f t="shared" si="8"/>
        <v>40.06992382</v>
      </c>
      <c r="J33" s="10">
        <f t="array" ref="J33">IF(F33="","",IF(ROW()=MAX(IF($C$28:$C$35=C33,ROW($C$28:$C$35),0)),MAX(0,IFERROR(VLOOKUP(C33,$A$10:$L$14,6,FALSE)-VLOOKUP(C33,$A$10:$L$14,5,FALSE),0)),0))</f>
        <v>0</v>
      </c>
      <c r="K33" s="10">
        <f t="shared" si="9"/>
        <v>20403.76876</v>
      </c>
      <c r="L33" s="59">
        <f t="shared" si="10"/>
        <v>85.47864035</v>
      </c>
      <c r="M33" s="13">
        <f t="array" ref="M33">IF(F33="","",2*(IF(IFERROR(VLOOKUP(C33,$A$10:$P$14,16,FALSE),"")="FULL",IF(ROW()=MIN(IF($C$28:$C$35=C33,ROW($C$28:$C$35),10^9)),VLOOKUP(C33,$A$10:$P$14,11,FALSE),0),(F33-J33)/VLOOKUP(C33,$A$10:$P$14,5,FALSE)*VLOOKUP(C33,$A$10:$P$14,11,FALSE))))</f>
        <v>0</v>
      </c>
      <c r="N33" s="13">
        <f t="shared" si="11"/>
        <v>85.8</v>
      </c>
      <c r="O33" s="68"/>
    </row>
    <row r="34">
      <c r="A34" s="81">
        <v>46276.0</v>
      </c>
      <c r="B34" s="90" t="s">
        <v>240</v>
      </c>
      <c r="C34" s="90" t="s">
        <v>75</v>
      </c>
      <c r="D34" s="91">
        <f>HYPERLINK("https://drive.google.com/file/d/15-txlOW4h4ZFEpOyYV_6TWeYMiEedZMX/view",73220)</f>
        <v>73220</v>
      </c>
      <c r="E34" s="91">
        <f>HYPERLINK("https://drive.google.com/file/d/1s_Mn6t0K6XdPCX1WaNgq9YzQ2nyLyS9_/view",29860)</f>
        <v>29860</v>
      </c>
      <c r="F34" s="92">
        <f t="shared" si="5"/>
        <v>19667.74912</v>
      </c>
      <c r="G34" s="93">
        <f t="shared" si="6"/>
        <v>2.92</v>
      </c>
      <c r="H34" s="92">
        <f t="shared" si="7"/>
        <v>253.7139636</v>
      </c>
      <c r="I34" s="92">
        <f t="shared" si="8"/>
        <v>38.05150891</v>
      </c>
      <c r="J34" s="92">
        <f t="array" ref="J34">IF(F34="","",IF(ROW()=MAX(IF($C$28:$C$35=C34,ROW($C$28:$C$35),0)),MAX(0,IFERROR(VLOOKUP(C34,$A$10:$L$14,6,FALSE)-VLOOKUP(C34,$A$10:$L$14,5,FALSE),0)),0))</f>
        <v>0</v>
      </c>
      <c r="K34" s="92">
        <f t="shared" si="9"/>
        <v>19375.98365</v>
      </c>
      <c r="L34" s="59">
        <f t="shared" si="10"/>
        <v>81.17288317</v>
      </c>
      <c r="M34" s="13">
        <f t="array" ref="M34">IF(F34="","",2*(IF(IFERROR(VLOOKUP(C34,$A$10:$P$14,16,FALSE),"")="FULL",IF(ROW()=MIN(IF($C$28:$C$35=C34,ROW($C$28:$C$35),10^9)),VLOOKUP(C34,$A$10:$P$14,11,FALSE),0),(F34-J34)/VLOOKUP(C34,$A$10:$P$14,5,FALSE)*VLOOKUP(C34,$A$10:$P$14,11,FALSE))))</f>
        <v>0</v>
      </c>
      <c r="N34" s="13">
        <f t="shared" si="11"/>
        <v>85.8</v>
      </c>
      <c r="O34" s="68"/>
    </row>
    <row r="35">
      <c r="A35" s="5">
        <v>46276.0</v>
      </c>
      <c r="B35" s="3" t="s">
        <v>241</v>
      </c>
      <c r="C35" s="3" t="s">
        <v>75</v>
      </c>
      <c r="D35" s="69">
        <f>HYPERLINK("https://drive.google.com/file/d/10Rb7609pMhTK_nP5ptKDTzeOGvKrXlES/view",55660)</f>
        <v>55660</v>
      </c>
      <c r="E35" s="69">
        <f>HYPERLINK("https://drive.google.com/file/d/1871HmRK7JHwcDzpA8J71aKcgWjWogfG7/view",28780)</f>
        <v>28780</v>
      </c>
      <c r="F35" s="16">
        <f t="shared" si="5"/>
        <v>12192.55296</v>
      </c>
      <c r="G35" s="20">
        <f t="shared" si="6"/>
        <v>2.92</v>
      </c>
      <c r="H35" s="13">
        <f t="shared" si="7"/>
        <v>157.2839332</v>
      </c>
      <c r="I35" s="13">
        <f t="shared" si="8"/>
        <v>23.58912729</v>
      </c>
      <c r="J35" s="16">
        <f t="array" ref="J35">IF(F35="","",IF(ROW()=MAX(IF($C$28:$C$35=C35,ROW($C$28:$C$35),0)),MAX(0,IFERROR(VLOOKUP(C35,$A$10:$L$14,6,FALSE)-VLOOKUP(C35,$A$10:$L$14,5,FALSE),0)),0))</f>
        <v>0</v>
      </c>
      <c r="K35" s="13">
        <f t="shared" si="9"/>
        <v>12011.6799</v>
      </c>
      <c r="L35" s="59">
        <f t="shared" si="10"/>
        <v>50.32119695</v>
      </c>
      <c r="M35" s="13">
        <f t="array" ref="M35">IF(F35="","",2*(IF(IFERROR(VLOOKUP(C35,$A$10:$P$14,16,FALSE),"")="FULL",IF(ROW()=MIN(IF($C$28:$C$35=C35,ROW($C$28:$C$35),10^9)),VLOOKUP(C35,$A$10:$P$14,11,FALSE),0),(F35-J35)/VLOOKUP(C35,$A$10:$P$14,5,FALSE)*VLOOKUP(C35,$A$10:$P$14,11,FALSE))))</f>
        <v>0</v>
      </c>
      <c r="N35" s="13">
        <f t="shared" si="11"/>
        <v>85.8</v>
      </c>
    </row>
    <row r="36">
      <c r="A36" s="5"/>
      <c r="D36" s="13"/>
      <c r="E36" s="13"/>
      <c r="F36" s="16"/>
      <c r="G36" s="20"/>
      <c r="H36" s="13"/>
      <c r="I36" s="13"/>
      <c r="J36" s="13"/>
      <c r="K36" s="13"/>
      <c r="L36" s="59">
        <f t="shared" ref="L36:N36" si="12">SUM(L28:L35)</f>
        <v>644.6740684</v>
      </c>
      <c r="M36" s="13">
        <f t="shared" si="12"/>
        <v>8810.686005</v>
      </c>
      <c r="N36" s="13">
        <f t="shared" si="12"/>
        <v>686.4</v>
      </c>
    </row>
    <row r="37">
      <c r="A37" s="5"/>
      <c r="D37" s="13"/>
      <c r="E37" s="13"/>
      <c r="F37" s="16"/>
      <c r="G37" s="20"/>
      <c r="H37" s="13"/>
      <c r="I37" s="13"/>
      <c r="J37" s="13"/>
      <c r="K37" s="13"/>
      <c r="L37" s="13" t="str">
        <f t="shared" ref="L37:L40" si="13">IF(F37="","",(F37-J37)/VLOOKUP(C37,$A$10:$L$14,5,FALSE)*VLOOKUP(C37,$A$10:$L$14,10,FALSE)*$O$8)</f>
        <v/>
      </c>
      <c r="M37" s="13" t="str">
        <f t="shared" ref="M37:M40" si="14">IF(F37="","",(F37-J37)/VLOOKUP(C37,$A$10:$L$14,5,FALSE)*VLOOKUP(C37,$A$10:$L$14,11,FALSE))</f>
        <v/>
      </c>
      <c r="N37" s="13" t="str">
        <f t="shared" ref="N37:N40" si="15">IF(F37="","",IFERROR(VLOOKUP(C37,$A$10:$L$14,12,FALSE),0)*$O$9)</f>
        <v/>
      </c>
    </row>
    <row r="38">
      <c r="A38" s="5"/>
      <c r="D38" s="13"/>
      <c r="E38" s="13"/>
      <c r="F38" s="16"/>
      <c r="G38" s="20"/>
      <c r="H38" s="13"/>
      <c r="I38" s="13"/>
      <c r="J38" s="13"/>
      <c r="K38" s="13"/>
      <c r="L38" s="13" t="str">
        <f t="shared" si="13"/>
        <v/>
      </c>
      <c r="M38" s="13" t="str">
        <f t="shared" si="14"/>
        <v/>
      </c>
      <c r="N38" s="13" t="str">
        <f t="shared" si="15"/>
        <v/>
      </c>
    </row>
    <row r="39">
      <c r="D39" s="13"/>
      <c r="E39" s="13"/>
      <c r="F39" s="13"/>
      <c r="G39" s="20"/>
      <c r="H39" s="13"/>
      <c r="I39" s="13"/>
      <c r="J39" s="13"/>
      <c r="K39" s="13"/>
      <c r="L39" s="13" t="str">
        <f t="shared" si="13"/>
        <v/>
      </c>
      <c r="M39" s="13" t="str">
        <f t="shared" si="14"/>
        <v/>
      </c>
      <c r="N39" s="13" t="str">
        <f t="shared" si="15"/>
        <v/>
      </c>
    </row>
    <row r="40">
      <c r="D40" s="13"/>
      <c r="E40" s="13"/>
      <c r="F40" s="13"/>
      <c r="G40" s="20"/>
      <c r="H40" s="13"/>
      <c r="I40" s="13"/>
      <c r="J40" s="13"/>
      <c r="K40" s="13"/>
      <c r="L40" s="13" t="str">
        <f t="shared" si="13"/>
        <v/>
      </c>
      <c r="M40" s="13" t="str">
        <f t="shared" si="14"/>
        <v/>
      </c>
      <c r="N40" s="13" t="str">
        <f t="shared" si="15"/>
        <v/>
      </c>
    </row>
    <row r="41">
      <c r="D41" s="13"/>
      <c r="E41" s="13"/>
      <c r="F41" s="13"/>
      <c r="G41" s="20"/>
    </row>
    <row r="42">
      <c r="A42" s="1" t="s">
        <v>242</v>
      </c>
      <c r="B42" s="2"/>
      <c r="C42" s="2"/>
      <c r="D42" s="32"/>
      <c r="E42" s="32"/>
      <c r="F42" s="32"/>
      <c r="G42" s="3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243</v>
      </c>
      <c r="B43" s="4" t="s">
        <v>34</v>
      </c>
      <c r="C43" s="4" t="s">
        <v>244</v>
      </c>
      <c r="D43" s="35" t="s">
        <v>25</v>
      </c>
      <c r="E43" s="35" t="s">
        <v>26</v>
      </c>
      <c r="F43" s="35" t="s">
        <v>27</v>
      </c>
      <c r="G43" s="35" t="s">
        <v>23</v>
      </c>
      <c r="H43" s="36" t="s">
        <v>245</v>
      </c>
      <c r="I43" s="36"/>
      <c r="J43" s="36"/>
      <c r="K43" s="36"/>
      <c r="L43" s="4"/>
      <c r="M43" s="4" t="s">
        <v>107</v>
      </c>
      <c r="N43" s="11"/>
      <c r="O43" s="11"/>
      <c r="P43" s="11"/>
      <c r="Q43" s="11"/>
      <c r="R43" s="11"/>
    </row>
    <row r="44">
      <c r="A44" s="13">
        <f>SUM(F28:F40)</f>
        <v>155863.283</v>
      </c>
      <c r="B44" s="13">
        <f>SUM(J28:J40)</f>
        <v>20.3096</v>
      </c>
      <c r="C44" s="17">
        <f>A44-B44</f>
        <v>155842.9734</v>
      </c>
      <c r="D44" s="13">
        <f t="shared" ref="D44:E44" si="16">SUM(H28:H40)</f>
        <v>2010.374357</v>
      </c>
      <c r="E44" s="13">
        <f t="shared" si="16"/>
        <v>301.5118942</v>
      </c>
      <c r="F44" s="13">
        <f>C44-D44-E44</f>
        <v>153531.0872</v>
      </c>
      <c r="G44" s="18">
        <v>2.92</v>
      </c>
      <c r="H44" s="40"/>
      <c r="I44" s="20"/>
      <c r="J44" s="20"/>
      <c r="K44" s="20"/>
      <c r="L44" s="20"/>
      <c r="M44" s="23" t="str">
        <f>IFERROR(__xludf.DUMMYFUNCTION("TRIM(TEXTJOIN("", "",TRUE,IFERROR(FILTER(B17:B25,B17:B25&lt;&gt;""""),"""")))"),"2450-R, 2451-R, 2452-R, 2453-R, 2454-R, 2455-R, 2462-R, 2463-R, 2464-R")</f>
        <v>2450-R, 2451-R, 2452-R, 2453-R, 2454-R, 2455-R, 2462-R, 2463-R, 2464-R</v>
      </c>
    </row>
    <row r="45">
      <c r="D45" s="13"/>
      <c r="E45" s="13"/>
      <c r="F45" s="13"/>
      <c r="G45" s="20"/>
    </row>
    <row r="46">
      <c r="D46" s="13"/>
      <c r="E46" s="13"/>
      <c r="F46" s="13"/>
      <c r="G46" s="20"/>
    </row>
    <row r="47">
      <c r="D47" s="13"/>
      <c r="E47" s="13"/>
      <c r="F47" s="13"/>
      <c r="G47" s="20"/>
    </row>
    <row r="48">
      <c r="D48" s="13"/>
      <c r="E48" s="13"/>
      <c r="F48" s="13"/>
      <c r="G48" s="2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46270.0</v>
      </c>
      <c r="K3" s="4" t="s">
        <v>8</v>
      </c>
      <c r="L3" s="6">
        <v>2.20462</v>
      </c>
    </row>
    <row r="4">
      <c r="A4" s="3" t="s">
        <v>9</v>
      </c>
      <c r="B4" s="5">
        <v>46277.0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7">
      <c r="K7" s="3" t="s">
        <v>14</v>
      </c>
      <c r="L7" s="6">
        <v>0.00196</v>
      </c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16</v>
      </c>
      <c r="B9" s="4" t="s">
        <v>17</v>
      </c>
      <c r="C9" s="7" t="s">
        <v>18</v>
      </c>
      <c r="D9" s="7" t="s">
        <v>19</v>
      </c>
      <c r="E9" s="4" t="s">
        <v>20</v>
      </c>
      <c r="F9" s="4" t="s">
        <v>21</v>
      </c>
      <c r="G9" s="7" t="s">
        <v>22</v>
      </c>
      <c r="H9" s="4" t="s">
        <v>23</v>
      </c>
      <c r="I9" s="4" t="s">
        <v>24</v>
      </c>
      <c r="J9" s="4" t="s">
        <v>25</v>
      </c>
      <c r="K9" s="4" t="s">
        <v>26</v>
      </c>
      <c r="L9" s="4" t="s">
        <v>27</v>
      </c>
      <c r="M9" s="4" t="s">
        <v>28</v>
      </c>
      <c r="N9" s="4" t="s">
        <v>29</v>
      </c>
    </row>
    <row r="10">
      <c r="A10" s="5">
        <v>46265.0</v>
      </c>
      <c r="B10" s="9" t="str">
        <f>HYPERLINK("https://drive.google.com/file/d/1e95euZUq0c64g0eo7Ehk8faLJSn-233w/view","2499-T")</f>
        <v>2499-T</v>
      </c>
      <c r="C10" s="10">
        <v>19.71</v>
      </c>
      <c r="D10" s="10">
        <f t="shared" ref="D10:D12" si="1">IF(C10="","",C10*1000)</f>
        <v>19710</v>
      </c>
      <c r="E10" s="13"/>
      <c r="F10" s="13"/>
      <c r="G10" s="10"/>
      <c r="H10" s="20">
        <f t="shared" ref="H10:H12" si="2">$H$28</f>
        <v>2.92</v>
      </c>
      <c r="J10" s="23">
        <f t="shared" ref="J10:J24" si="3">IF(D10="","",D10*$L$5)</f>
        <v>254.259</v>
      </c>
      <c r="K10" s="23">
        <f t="shared" ref="K10:K24" si="4">IF(D10="","",(D10-J10)*$L$7)</f>
        <v>38.13325236</v>
      </c>
      <c r="L10" s="13">
        <f t="shared" ref="L10:L24" si="5">IF(D10="","",D10-J10-K10)</f>
        <v>19417.60775</v>
      </c>
      <c r="N10" s="3">
        <v>2197.0</v>
      </c>
    </row>
    <row r="11">
      <c r="A11" s="5">
        <v>46266.0</v>
      </c>
      <c r="B11" s="9" t="str">
        <f>HYPERLINK("https://drive.google.com/file/d/1CG0ivzPlRELU1eR3benSKenshvwQrFZB/view","2503-T")</f>
        <v>2503-T</v>
      </c>
      <c r="C11" s="10">
        <v>19.19</v>
      </c>
      <c r="D11" s="10">
        <f t="shared" si="1"/>
        <v>19190</v>
      </c>
      <c r="E11" s="13"/>
      <c r="F11" s="13"/>
      <c r="G11" s="10"/>
      <c r="H11" s="20">
        <f t="shared" si="2"/>
        <v>2.92</v>
      </c>
      <c r="J11" s="23">
        <f t="shared" si="3"/>
        <v>247.551</v>
      </c>
      <c r="K11" s="23">
        <f t="shared" si="4"/>
        <v>37.12720004</v>
      </c>
      <c r="L11" s="13">
        <f t="shared" si="5"/>
        <v>18905.3218</v>
      </c>
      <c r="N11" s="3">
        <v>2197.0</v>
      </c>
    </row>
    <row r="12">
      <c r="A12" s="5">
        <v>46267.0</v>
      </c>
      <c r="B12" s="9" t="str">
        <f>HYPERLINK("https://drive.google.com/file/d/1XywE-kIo12ZeU7rw1v8BHbJk3CVE_o6E/view","2505-T")</f>
        <v>2505-T</v>
      </c>
      <c r="C12" s="10">
        <v>19.67</v>
      </c>
      <c r="D12" s="10">
        <f t="shared" si="1"/>
        <v>19670</v>
      </c>
      <c r="E12" s="13"/>
      <c r="F12" s="13"/>
      <c r="G12" s="10"/>
      <c r="H12" s="20">
        <f t="shared" si="2"/>
        <v>2.92</v>
      </c>
      <c r="J12" s="23">
        <f t="shared" si="3"/>
        <v>253.743</v>
      </c>
      <c r="K12" s="23">
        <f t="shared" si="4"/>
        <v>38.05586372</v>
      </c>
      <c r="L12" s="13">
        <f t="shared" si="5"/>
        <v>19378.20114</v>
      </c>
      <c r="N12" s="3">
        <v>2197.0</v>
      </c>
    </row>
    <row r="13">
      <c r="A13" s="5"/>
      <c r="C13" s="10"/>
      <c r="D13" s="10"/>
      <c r="E13" s="13"/>
      <c r="F13" s="13"/>
      <c r="G13" s="10"/>
      <c r="H13" s="20"/>
      <c r="J13" s="23" t="str">
        <f t="shared" si="3"/>
        <v/>
      </c>
      <c r="K13" s="23" t="str">
        <f t="shared" si="4"/>
        <v/>
      </c>
      <c r="L13" s="23" t="str">
        <f t="shared" si="5"/>
        <v/>
      </c>
    </row>
    <row r="14">
      <c r="A14" s="5"/>
      <c r="C14" s="10"/>
      <c r="D14" s="10"/>
      <c r="E14" s="13"/>
      <c r="F14" s="13"/>
      <c r="G14" s="10"/>
      <c r="H14" s="20"/>
      <c r="J14" s="23" t="str">
        <f t="shared" si="3"/>
        <v/>
      </c>
      <c r="K14" s="23" t="str">
        <f t="shared" si="4"/>
        <v/>
      </c>
      <c r="L14" s="23" t="str">
        <f t="shared" si="5"/>
        <v/>
      </c>
    </row>
    <row r="15">
      <c r="A15" s="5"/>
      <c r="C15" s="10"/>
      <c r="D15" s="10"/>
      <c r="E15" s="13"/>
      <c r="F15" s="13"/>
      <c r="G15" s="10"/>
      <c r="H15" s="20"/>
      <c r="J15" s="23" t="str">
        <f t="shared" si="3"/>
        <v/>
      </c>
      <c r="K15" s="23" t="str">
        <f t="shared" si="4"/>
        <v/>
      </c>
      <c r="L15" s="23" t="str">
        <f t="shared" si="5"/>
        <v/>
      </c>
    </row>
    <row r="16">
      <c r="A16" s="26"/>
      <c r="C16" s="10"/>
      <c r="D16" s="24"/>
      <c r="E16" s="13"/>
      <c r="F16" s="13"/>
      <c r="G16" s="24"/>
      <c r="H16" s="20"/>
      <c r="J16" s="23" t="str">
        <f t="shared" si="3"/>
        <v/>
      </c>
      <c r="K16" s="23" t="str">
        <f t="shared" si="4"/>
        <v/>
      </c>
      <c r="L16" s="23" t="str">
        <f t="shared" si="5"/>
        <v/>
      </c>
    </row>
    <row r="17">
      <c r="A17" s="26"/>
      <c r="C17" s="10"/>
      <c r="D17" s="24"/>
      <c r="E17" s="13"/>
      <c r="F17" s="13"/>
      <c r="G17" s="24"/>
      <c r="H17" s="20"/>
      <c r="J17" s="23" t="str">
        <f t="shared" si="3"/>
        <v/>
      </c>
      <c r="K17" s="23" t="str">
        <f t="shared" si="4"/>
        <v/>
      </c>
      <c r="L17" s="23" t="str">
        <f t="shared" si="5"/>
        <v/>
      </c>
    </row>
    <row r="18">
      <c r="A18" s="26"/>
      <c r="C18" s="10"/>
      <c r="D18" s="24"/>
      <c r="E18" s="13"/>
      <c r="F18" s="13"/>
      <c r="G18" s="24"/>
      <c r="H18" s="20"/>
      <c r="J18" s="23" t="str">
        <f t="shared" si="3"/>
        <v/>
      </c>
      <c r="K18" s="23" t="str">
        <f t="shared" si="4"/>
        <v/>
      </c>
      <c r="L18" s="23" t="str">
        <f t="shared" si="5"/>
        <v/>
      </c>
    </row>
    <row r="19">
      <c r="A19" s="26"/>
      <c r="C19" s="10"/>
      <c r="D19" s="24"/>
      <c r="E19" s="13"/>
      <c r="F19" s="13"/>
      <c r="G19" s="24"/>
      <c r="H19" s="20"/>
      <c r="J19" s="23" t="str">
        <f t="shared" si="3"/>
        <v/>
      </c>
      <c r="K19" s="23" t="str">
        <f t="shared" si="4"/>
        <v/>
      </c>
      <c r="L19" s="23" t="str">
        <f t="shared" si="5"/>
        <v/>
      </c>
    </row>
    <row r="20">
      <c r="A20" s="26"/>
      <c r="C20" s="10"/>
      <c r="D20" s="24"/>
      <c r="E20" s="13"/>
      <c r="F20" s="13"/>
      <c r="G20" s="24"/>
      <c r="H20" s="20"/>
      <c r="J20" s="23" t="str">
        <f t="shared" si="3"/>
        <v/>
      </c>
      <c r="K20" s="23" t="str">
        <f t="shared" si="4"/>
        <v/>
      </c>
      <c r="L20" s="23" t="str">
        <f t="shared" si="5"/>
        <v/>
      </c>
    </row>
    <row r="21">
      <c r="A21" s="26"/>
      <c r="C21" s="10"/>
      <c r="D21" s="24"/>
      <c r="E21" s="13"/>
      <c r="F21" s="13"/>
      <c r="G21" s="24"/>
      <c r="H21" s="20"/>
      <c r="J21" s="23" t="str">
        <f t="shared" si="3"/>
        <v/>
      </c>
      <c r="K21" s="23" t="str">
        <f t="shared" si="4"/>
        <v/>
      </c>
      <c r="L21" s="23" t="str">
        <f t="shared" si="5"/>
        <v/>
      </c>
    </row>
    <row r="22">
      <c r="A22" s="26"/>
      <c r="C22" s="10"/>
      <c r="D22" s="24"/>
      <c r="E22" s="13"/>
      <c r="F22" s="13"/>
      <c r="G22" s="24"/>
      <c r="H22" s="20"/>
      <c r="J22" s="23" t="str">
        <f t="shared" si="3"/>
        <v/>
      </c>
      <c r="K22" s="23" t="str">
        <f t="shared" si="4"/>
        <v/>
      </c>
      <c r="L22" s="23" t="str">
        <f t="shared" si="5"/>
        <v/>
      </c>
    </row>
    <row r="23">
      <c r="A23" s="26"/>
      <c r="C23" s="10"/>
      <c r="D23" s="24"/>
      <c r="E23" s="13"/>
      <c r="F23" s="13"/>
      <c r="G23" s="24"/>
      <c r="H23" s="20"/>
      <c r="J23" s="23" t="str">
        <f t="shared" si="3"/>
        <v/>
      </c>
      <c r="K23" s="23" t="str">
        <f t="shared" si="4"/>
        <v/>
      </c>
      <c r="L23" s="23" t="str">
        <f t="shared" si="5"/>
        <v/>
      </c>
    </row>
    <row r="24">
      <c r="C24" s="24"/>
      <c r="D24" s="24"/>
      <c r="E24" s="13"/>
      <c r="F24" s="13"/>
      <c r="G24" s="24"/>
      <c r="H24" s="20"/>
      <c r="J24" s="23" t="str">
        <f t="shared" si="3"/>
        <v/>
      </c>
      <c r="K24" s="23" t="str">
        <f t="shared" si="4"/>
        <v/>
      </c>
      <c r="L24" s="23" t="str">
        <f t="shared" si="5"/>
        <v/>
      </c>
    </row>
    <row r="25">
      <c r="C25" s="13"/>
      <c r="D25" s="13"/>
      <c r="E25" s="13"/>
      <c r="F25" s="13"/>
      <c r="G25" s="13"/>
      <c r="H25" s="20"/>
      <c r="N25" s="31">
        <f>sum(N10:N23)</f>
        <v>6591</v>
      </c>
    </row>
    <row r="26">
      <c r="A26" s="1" t="s">
        <v>96</v>
      </c>
      <c r="B26" s="2"/>
      <c r="C26" s="32"/>
      <c r="D26" s="32"/>
      <c r="E26" s="32"/>
      <c r="F26" s="32"/>
      <c r="G26" s="32"/>
      <c r="H26" s="33"/>
      <c r="I26" s="2"/>
      <c r="J26" s="2"/>
      <c r="K26" s="2"/>
      <c r="L26" s="2"/>
      <c r="M26" s="2"/>
      <c r="N26" s="2"/>
    </row>
    <row r="27">
      <c r="A27" s="4" t="s">
        <v>100</v>
      </c>
      <c r="B27" s="4" t="s">
        <v>101</v>
      </c>
      <c r="C27" s="35" t="s">
        <v>35</v>
      </c>
      <c r="D27" s="35" t="s">
        <v>25</v>
      </c>
      <c r="E27" s="35" t="s">
        <v>26</v>
      </c>
      <c r="F27" s="35" t="s">
        <v>102</v>
      </c>
      <c r="G27" s="35" t="s">
        <v>27</v>
      </c>
      <c r="H27" s="36" t="s">
        <v>23</v>
      </c>
      <c r="I27" s="4" t="s">
        <v>105</v>
      </c>
      <c r="J27" s="4"/>
      <c r="K27" s="4" t="s">
        <v>107</v>
      </c>
      <c r="L27" s="11"/>
      <c r="M27" s="11"/>
      <c r="N27" s="11"/>
    </row>
    <row r="28">
      <c r="A28" s="13">
        <f>SUMIFS(D10:D24,B10:B24,"&lt;&gt;")</f>
        <v>58570</v>
      </c>
      <c r="B28" s="13">
        <f>SUMIFS(G10:G24,B10:B24,"&lt;&gt;")</f>
        <v>0</v>
      </c>
      <c r="C28" s="17">
        <f>A28</f>
        <v>58570</v>
      </c>
      <c r="D28" s="13">
        <f>C28*$L$5</f>
        <v>755.553</v>
      </c>
      <c r="E28" s="16">
        <f>(C28-D28)*$L$7</f>
        <v>113.3163161</v>
      </c>
      <c r="F28" s="18">
        <v>0.0</v>
      </c>
      <c r="G28" s="20">
        <f>C28-D28-E28-F28</f>
        <v>57701.13068</v>
      </c>
      <c r="H28" s="18">
        <v>2.92</v>
      </c>
      <c r="K28" s="23" t="str">
        <f>IFERROR(__xludf.DUMMYFUNCTION("TRIM(TEXTJOIN("", "",TRUE,IFERROR(FILTER(B10:B24,B10:B24&lt;&gt;""""),"""")))"),"2499-T, 2503-T, 2505-T")</f>
        <v>2499-T, 2503-T, 2505-T</v>
      </c>
    </row>
    <row r="29">
      <c r="C29" s="13"/>
      <c r="D29" s="13"/>
      <c r="E29" s="13"/>
      <c r="F29" s="13"/>
      <c r="G29" s="13"/>
      <c r="H29" s="20"/>
    </row>
    <row r="30">
      <c r="C30" s="13"/>
      <c r="D30" s="13"/>
      <c r="E30" s="13"/>
      <c r="F30" s="13"/>
      <c r="G30" s="13"/>
      <c r="H30" s="2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46270.0</v>
      </c>
      <c r="K3" s="4" t="s">
        <v>8</v>
      </c>
      <c r="L3" s="6">
        <v>2.20462</v>
      </c>
    </row>
    <row r="4">
      <c r="A4" s="3" t="s">
        <v>9</v>
      </c>
      <c r="B4" s="5">
        <v>46277.0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7">
      <c r="K7" s="3" t="s">
        <v>36</v>
      </c>
      <c r="L7" s="6">
        <v>0.795241</v>
      </c>
    </row>
    <row r="8">
      <c r="A8" s="1" t="s">
        <v>37</v>
      </c>
      <c r="B8" s="2"/>
      <c r="C8" s="2"/>
      <c r="D8" s="2"/>
      <c r="E8" s="2"/>
      <c r="F8" s="2"/>
      <c r="G8" s="2"/>
      <c r="H8" s="2"/>
      <c r="I8" s="2"/>
      <c r="J8" s="1"/>
      <c r="K8" s="1" t="s">
        <v>41</v>
      </c>
      <c r="L8" s="12">
        <v>7.84</v>
      </c>
      <c r="M8" s="14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43</v>
      </c>
      <c r="C9" s="4"/>
      <c r="D9" s="4" t="s">
        <v>44</v>
      </c>
      <c r="E9" s="7"/>
      <c r="F9" s="4" t="s">
        <v>46</v>
      </c>
      <c r="G9" s="4"/>
      <c r="H9" s="4"/>
      <c r="I9" s="4"/>
      <c r="J9" s="11"/>
      <c r="K9" s="4" t="s">
        <v>47</v>
      </c>
      <c r="L9" s="11"/>
      <c r="M9" s="11"/>
    </row>
    <row r="10">
      <c r="A10" s="3" t="s">
        <v>48</v>
      </c>
      <c r="B10" s="3" t="s">
        <v>50</v>
      </c>
      <c r="C10" s="16" t="s">
        <v>51</v>
      </c>
      <c r="D10" s="16" t="s">
        <v>52</v>
      </c>
      <c r="E10" s="10" t="s">
        <v>54</v>
      </c>
      <c r="F10" s="16" t="s">
        <v>57</v>
      </c>
      <c r="G10" s="16" t="s">
        <v>58</v>
      </c>
      <c r="H10" s="18" t="s">
        <v>60</v>
      </c>
      <c r="I10" s="3" t="s">
        <v>65</v>
      </c>
      <c r="J10" s="3" t="s">
        <v>67</v>
      </c>
      <c r="K10" s="3" t="s">
        <v>68</v>
      </c>
      <c r="L10" s="6">
        <v>0.7128290192302931</v>
      </c>
      <c r="M10" s="9" t="str">
        <f>HYPERLINK("https://docs.google.com/spreadsheets/d/1L167k_JS3mnisFy3VpS-OXgI8U0cK-4nC6A9sxl-ozk/edit","PP Summary")</f>
        <v>PP Summary</v>
      </c>
    </row>
    <row r="11">
      <c r="C11" s="16"/>
      <c r="D11" s="13"/>
      <c r="E11" s="10"/>
      <c r="F11" s="13"/>
      <c r="G11" s="16"/>
      <c r="H11" s="21"/>
      <c r="K11" s="22" t="s">
        <v>77</v>
      </c>
      <c r="L11" s="6">
        <v>0.9748408534875329</v>
      </c>
      <c r="M11" s="9" t="str">
        <f>HYPERLINK("https://docs.google.com/spreadsheets/d/1W8jWu3sp39WnSuds1Ja0FWDG5UuWN9v5NUmF6yh_WbI/edit","PP Summary")</f>
        <v>PP Summary</v>
      </c>
    </row>
    <row r="12">
      <c r="C12" s="16"/>
      <c r="D12" s="13"/>
      <c r="E12" s="10"/>
      <c r="F12" s="13"/>
      <c r="G12" s="16"/>
      <c r="H12" s="21"/>
      <c r="K12" s="22" t="s">
        <v>78</v>
      </c>
      <c r="L12" s="6">
        <v>0.9721828239230533</v>
      </c>
      <c r="M12" s="9" t="str">
        <f>HYPERLINK("https://docs.google.com/spreadsheets/d/1-L6m2wYknC3o-yIts9KK7FrYAb5lZIv4AwaizK8FbMc/edit","PP Summary")</f>
        <v>PP Summary</v>
      </c>
    </row>
    <row r="13">
      <c r="C13" s="16"/>
      <c r="D13" s="13"/>
      <c r="E13" s="10"/>
      <c r="F13" s="13"/>
      <c r="G13" s="16"/>
      <c r="H13" s="21"/>
      <c r="K13" s="22" t="s">
        <v>79</v>
      </c>
      <c r="L13" s="6">
        <v>0.9319944877512889</v>
      </c>
      <c r="M13" s="9" t="str">
        <f>HYPERLINK("https://docs.google.com/spreadsheets/d/1bPZ7pNsR5rv-om-BypF4lK3nczjn4HJNO2dzimwnx7E/edit","PP Summary")</f>
        <v>PP Summary</v>
      </c>
    </row>
    <row r="14">
      <c r="C14" s="16"/>
      <c r="D14" s="13"/>
      <c r="E14" s="10"/>
      <c r="F14" s="13"/>
      <c r="G14" s="16"/>
      <c r="H14" s="21"/>
      <c r="K14" s="22" t="s">
        <v>81</v>
      </c>
      <c r="L14" s="6">
        <v>0.84989612258998</v>
      </c>
      <c r="M14" s="9" t="str">
        <f>HYPERLINK("https://docs.google.com/spreadsheets/d/1vH7bborVnc-TCby3wEkpzi7GGMOI5jMJooEW0V-rOQ4/edit","PP Summary")</f>
        <v>PP Summary</v>
      </c>
    </row>
    <row r="15">
      <c r="C15" s="16"/>
      <c r="D15" s="13"/>
      <c r="E15" s="10"/>
      <c r="F15" s="13"/>
      <c r="G15" s="16"/>
      <c r="H15" s="21"/>
      <c r="K15" s="22" t="s">
        <v>82</v>
      </c>
      <c r="L15" s="6">
        <v>0.7900645329689984</v>
      </c>
      <c r="M15" s="9" t="str">
        <f>HYPERLINK("https://docs.google.com/spreadsheets/d/1O7y30opa_u1_deqFm_w2qgVyxi_75X00xnzKuyVyh6o/edit","PP Summary")</f>
        <v>PP Summary</v>
      </c>
    </row>
    <row r="16">
      <c r="C16" s="16"/>
      <c r="D16" s="13"/>
      <c r="E16" s="24"/>
      <c r="F16" s="13"/>
      <c r="G16" s="16"/>
      <c r="H16" s="21"/>
      <c r="K16" s="22" t="s">
        <v>83</v>
      </c>
      <c r="L16" s="6">
        <v>0.7848323401347014</v>
      </c>
      <c r="M16" s="9" t="str">
        <f>HYPERLINK("https://docs.google.com/spreadsheets/d/10Qwx7K6sUcOBrCebGUGVaVeLQnhzvcT8sHQ0Sy3VBBM/edit","PP Summary")</f>
        <v>PP Summary</v>
      </c>
    </row>
    <row r="17">
      <c r="C17" s="16"/>
      <c r="D17" s="13"/>
      <c r="E17" s="24"/>
      <c r="F17" s="13"/>
      <c r="G17" s="16"/>
      <c r="H17" s="21"/>
      <c r="K17" s="22" t="s">
        <v>84</v>
      </c>
      <c r="L17" s="6">
        <v>0.6328458891234968</v>
      </c>
      <c r="M17" s="9" t="str">
        <f>HYPERLINK("https://docs.google.com/spreadsheets/d/1m66t1jsLGc4e6AWnCFMsFbkSceZ9IYC_-bfTsbP_OYc/edit","PP Summary")</f>
        <v>PP Summary</v>
      </c>
    </row>
    <row r="18">
      <c r="C18" s="16"/>
      <c r="D18" s="13"/>
      <c r="E18" s="24"/>
      <c r="F18" s="13"/>
      <c r="G18" s="16"/>
      <c r="H18" s="21"/>
      <c r="K18" s="22" t="s">
        <v>86</v>
      </c>
      <c r="L18" s="6">
        <v>1.1105355635937064</v>
      </c>
      <c r="M18" s="9" t="str">
        <f>HYPERLINK("https://docs.google.com/spreadsheets/d/1MUQajDI2a_Cn9xWGPP7z4PhhphZnfl2_CSTnpB07Wgk/edit","PP Summary")</f>
        <v>PP Summary</v>
      </c>
    </row>
    <row r="19">
      <c r="C19" s="16"/>
      <c r="D19" s="13"/>
      <c r="E19" s="24"/>
      <c r="F19" s="13"/>
      <c r="G19" s="16"/>
      <c r="H19" s="21"/>
      <c r="K19" s="3" t="s">
        <v>88</v>
      </c>
      <c r="L19" s="23">
        <f>$L$7</f>
        <v>0.795241</v>
      </c>
    </row>
    <row r="20">
      <c r="C20" s="16"/>
      <c r="D20" s="13"/>
      <c r="E20" s="24"/>
      <c r="F20" s="13"/>
      <c r="G20" s="16"/>
      <c r="H20" s="21"/>
    </row>
    <row r="21">
      <c r="C21" s="16"/>
      <c r="D21" s="13"/>
      <c r="E21" s="24"/>
      <c r="F21" s="13"/>
      <c r="G21" s="16"/>
      <c r="H21" s="21"/>
    </row>
    <row r="22">
      <c r="C22" s="16"/>
      <c r="D22" s="13"/>
      <c r="E22" s="24"/>
      <c r="F22" s="13"/>
      <c r="G22" s="16"/>
      <c r="H22" s="21"/>
    </row>
    <row r="23">
      <c r="C23" s="16"/>
      <c r="D23" s="13"/>
      <c r="E23" s="24"/>
      <c r="F23" s="13"/>
      <c r="G23" s="16"/>
      <c r="H23" s="21"/>
    </row>
    <row r="24">
      <c r="C24" s="13"/>
      <c r="D24" s="13"/>
      <c r="E24" s="24"/>
      <c r="F24" s="13"/>
      <c r="G24" s="13"/>
      <c r="H24" s="21"/>
    </row>
    <row r="25">
      <c r="A25" s="3" t="s">
        <v>94</v>
      </c>
      <c r="B25" s="23">
        <f t="shared" ref="B25:F25" si="1">SUM(B11:B23)</f>
        <v>0</v>
      </c>
      <c r="C25" s="13">
        <f t="shared" si="1"/>
        <v>0</v>
      </c>
      <c r="D25" s="13">
        <f t="shared" si="1"/>
        <v>0</v>
      </c>
      <c r="E25" s="24">
        <f t="shared" si="1"/>
        <v>0</v>
      </c>
      <c r="F25" s="13">
        <f t="shared" si="1"/>
        <v>0</v>
      </c>
      <c r="G25" s="13"/>
      <c r="H25" s="21" t="str">
        <f>I25/D25</f>
        <v>#DIV/0!</v>
      </c>
      <c r="I25" s="23">
        <f t="shared" ref="I25:J25" si="2">SUM(I11:I23)</f>
        <v>0</v>
      </c>
      <c r="J25" s="23">
        <f t="shared" si="2"/>
        <v>0</v>
      </c>
    </row>
    <row r="26">
      <c r="C26" s="13"/>
      <c r="D26" s="13"/>
      <c r="E26" s="24"/>
      <c r="F26" s="13"/>
      <c r="G26" s="13"/>
      <c r="H26" s="20"/>
    </row>
    <row r="27">
      <c r="A27" s="3" t="s">
        <v>103</v>
      </c>
      <c r="C27" s="13"/>
      <c r="D27" s="13"/>
      <c r="E27" s="24"/>
      <c r="F27" s="13"/>
      <c r="G27" s="13"/>
      <c r="H27" s="20"/>
    </row>
    <row r="28">
      <c r="A28" s="3" t="s">
        <v>104</v>
      </c>
      <c r="B28" s="3" t="s">
        <v>106</v>
      </c>
      <c r="C28" s="16" t="s">
        <v>63</v>
      </c>
      <c r="D28" s="16" t="s">
        <v>108</v>
      </c>
      <c r="E28" s="24"/>
      <c r="F28" s="13"/>
      <c r="G28" s="13"/>
      <c r="H28" s="20"/>
    </row>
    <row r="29">
      <c r="A29" s="23">
        <f>B25</f>
        <v>0</v>
      </c>
      <c r="B29" s="13">
        <f>SUM(D11:D23)</f>
        <v>0</v>
      </c>
      <c r="C29" s="13" t="str">
        <f>IF(D29=0,"",B29-D29)</f>
        <v/>
      </c>
      <c r="D29" s="13">
        <f>SUM(F11:F23)</f>
        <v>0</v>
      </c>
      <c r="E29" s="24"/>
      <c r="F29" s="13"/>
      <c r="G29" s="13"/>
      <c r="H29" s="20"/>
    </row>
    <row r="30">
      <c r="C30" s="13"/>
      <c r="D30" s="13"/>
      <c r="E30" s="13"/>
      <c r="F30" s="13"/>
      <c r="G30" s="13"/>
      <c r="H30" s="20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11"/>
      <c r="I32" s="11"/>
      <c r="J32" s="11"/>
      <c r="K32" s="11"/>
      <c r="L32" s="11"/>
      <c r="M32" s="11"/>
      <c r="N32" s="11"/>
    </row>
    <row r="33">
      <c r="A33" s="13"/>
      <c r="B33" s="13"/>
      <c r="C33" s="13"/>
      <c r="D33" s="20"/>
      <c r="E33" s="20"/>
      <c r="F33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5</v>
      </c>
      <c r="J2" s="4"/>
      <c r="L2" s="3" t="s">
        <v>6</v>
      </c>
    </row>
    <row r="3">
      <c r="A3" s="3" t="s">
        <v>7</v>
      </c>
      <c r="B3" s="5">
        <v>46270.0</v>
      </c>
      <c r="J3" s="4"/>
      <c r="L3" s="3" t="s">
        <v>8</v>
      </c>
      <c r="M3" s="6">
        <v>2.20462</v>
      </c>
    </row>
    <row r="4">
      <c r="A4" s="3" t="s">
        <v>9</v>
      </c>
      <c r="B4" s="5">
        <v>46277.0</v>
      </c>
      <c r="J4" s="4"/>
      <c r="L4" s="3" t="s">
        <v>10</v>
      </c>
      <c r="M4" s="6">
        <v>0.453592</v>
      </c>
    </row>
    <row r="5">
      <c r="J5" s="4"/>
      <c r="L5" s="3" t="s">
        <v>14</v>
      </c>
      <c r="M5" s="6">
        <v>7.1E-4</v>
      </c>
    </row>
    <row r="6">
      <c r="J6" s="4"/>
      <c r="L6" s="3" t="s">
        <v>12</v>
      </c>
      <c r="M6" s="3" t="s">
        <v>13</v>
      </c>
    </row>
    <row r="7">
      <c r="L7" s="3" t="s">
        <v>116</v>
      </c>
      <c r="M7" s="6">
        <v>0.004</v>
      </c>
    </row>
    <row r="8">
      <c r="A8" s="1" t="s">
        <v>133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16</v>
      </c>
      <c r="B9" s="4" t="s">
        <v>134</v>
      </c>
      <c r="C9" s="7" t="s">
        <v>135</v>
      </c>
      <c r="D9" s="7" t="s">
        <v>136</v>
      </c>
      <c r="E9" s="4" t="s">
        <v>137</v>
      </c>
      <c r="F9" s="4" t="s">
        <v>138</v>
      </c>
      <c r="G9" s="7" t="s">
        <v>23</v>
      </c>
      <c r="H9" s="4" t="s">
        <v>24</v>
      </c>
      <c r="I9" s="4" t="s">
        <v>28</v>
      </c>
      <c r="J9" s="4" t="s">
        <v>115</v>
      </c>
      <c r="K9" s="4" t="s">
        <v>139</v>
      </c>
      <c r="L9" s="11"/>
      <c r="M9" s="11"/>
    </row>
    <row r="10">
      <c r="A10" s="5">
        <v>46274.0</v>
      </c>
      <c r="B10" s="3" t="s">
        <v>140</v>
      </c>
      <c r="C10" s="51">
        <f>HYPERLINK("https://drive.google.com/file/d/1btCtnc1rbtqxocWXm7n2UE64uul98WHY/view", 75520)</f>
        <v>75520</v>
      </c>
      <c r="D10" s="51">
        <f>HYPERLINK("https://drive.google.com/file/d/1USAs0YoRNzymMk56RZBa70pYdhca1Sbc/view", 35320)</f>
        <v>35320</v>
      </c>
      <c r="E10" s="13">
        <f>C10-D10</f>
        <v>40200</v>
      </c>
      <c r="F10" s="13">
        <f>E10*M4</f>
        <v>18234.3984</v>
      </c>
      <c r="G10" s="10">
        <v>2.92</v>
      </c>
    </row>
    <row r="11">
      <c r="A11" s="5"/>
      <c r="C11" s="10"/>
      <c r="D11" s="10"/>
      <c r="E11" s="13"/>
      <c r="F11" s="13"/>
      <c r="G11" s="10"/>
    </row>
    <row r="12">
      <c r="A12" s="5"/>
      <c r="C12" s="10"/>
      <c r="D12" s="10"/>
      <c r="E12" s="13"/>
      <c r="F12" s="13"/>
      <c r="G12" s="10"/>
    </row>
    <row r="13">
      <c r="A13" s="5"/>
      <c r="C13" s="10"/>
      <c r="D13" s="10"/>
      <c r="E13" s="13"/>
      <c r="F13" s="13"/>
      <c r="G13" s="10"/>
    </row>
    <row r="14">
      <c r="C14" s="13"/>
      <c r="D14" s="13"/>
      <c r="E14" s="13"/>
      <c r="F14" s="13"/>
      <c r="G14" s="13"/>
    </row>
    <row r="15">
      <c r="A15" s="1"/>
      <c r="B15" s="2"/>
      <c r="C15" s="32"/>
      <c r="D15" s="32"/>
      <c r="E15" s="32"/>
      <c r="F15" s="32"/>
      <c r="G15" s="32"/>
      <c r="H15" s="2"/>
      <c r="I15" s="2"/>
      <c r="J15" s="2"/>
      <c r="K15" s="2"/>
      <c r="L15" s="2"/>
      <c r="M15" s="2"/>
    </row>
    <row r="16">
      <c r="A16" s="3" t="s">
        <v>103</v>
      </c>
    </row>
    <row r="17">
      <c r="A17" s="4" t="s">
        <v>148</v>
      </c>
      <c r="B17" s="4" t="s">
        <v>26</v>
      </c>
      <c r="C17" s="4" t="s">
        <v>27</v>
      </c>
      <c r="D17" s="3" t="s">
        <v>23</v>
      </c>
    </row>
    <row r="18">
      <c r="A18" s="59">
        <f>SUMIFS(F10:F15,B10:B15,"&lt;&gt;")</f>
        <v>18234.3984</v>
      </c>
      <c r="B18" s="59">
        <f>A18*$M$5</f>
        <v>12.94642286</v>
      </c>
      <c r="C18" s="59">
        <f>A18-B18</f>
        <v>18221.45198</v>
      </c>
      <c r="D18" s="34">
        <f>IFERROR(AVERAGE(G10:G15),"")</f>
        <v>2.92</v>
      </c>
      <c r="E18" s="40"/>
      <c r="G18" s="23" t="str">
        <f>IFERROR(__xludf.DUMMYFUNCTION("TRIM(TEXTJOIN("", "",TRUE,IFERROR(FILTER(B10:B15,B10:B15&lt;&gt;""""),"""")))"),"WILA002")</f>
        <v>WILA002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45.5"/>
    <col customWidth="1" min="8" max="8" width="20.88"/>
    <col customWidth="1" min="9" max="9" width="19.0"/>
    <col customWidth="1" min="10" max="14" width="16.38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46270.0</v>
      </c>
      <c r="K3" s="4" t="s">
        <v>8</v>
      </c>
      <c r="L3" s="6">
        <v>2.20462</v>
      </c>
    </row>
    <row r="4">
      <c r="A4" s="3" t="s">
        <v>9</v>
      </c>
      <c r="B4" s="5">
        <v>46277.0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7">
      <c r="K7" s="3" t="s">
        <v>142</v>
      </c>
      <c r="L7" s="6">
        <v>0.120947</v>
      </c>
    </row>
    <row r="8">
      <c r="A8" s="1" t="s">
        <v>143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9"/>
      <c r="B9" s="50" t="s">
        <v>43</v>
      </c>
      <c r="C9" s="50"/>
      <c r="D9" s="50" t="s">
        <v>144</v>
      </c>
      <c r="E9" s="4"/>
      <c r="F9" s="4" t="s">
        <v>46</v>
      </c>
      <c r="G9" s="4"/>
      <c r="H9" s="4"/>
      <c r="I9" s="4"/>
      <c r="K9" s="3" t="s">
        <v>47</v>
      </c>
    </row>
    <row r="10">
      <c r="A10" s="52" t="s">
        <v>48</v>
      </c>
      <c r="B10" s="53" t="s">
        <v>50</v>
      </c>
      <c r="C10" s="53" t="s">
        <v>51</v>
      </c>
      <c r="D10" s="53" t="s">
        <v>52</v>
      </c>
      <c r="E10" s="53" t="s">
        <v>146</v>
      </c>
      <c r="F10" s="53" t="s">
        <v>57</v>
      </c>
      <c r="G10" s="4" t="s">
        <v>58</v>
      </c>
      <c r="H10" s="4" t="s">
        <v>60</v>
      </c>
      <c r="I10" s="4" t="s">
        <v>65</v>
      </c>
      <c r="J10" s="4" t="s">
        <v>67</v>
      </c>
      <c r="K10" s="3" t="s">
        <v>68</v>
      </c>
      <c r="L10" s="6">
        <v>0.1575553394801048</v>
      </c>
      <c r="M10" s="9" t="str">
        <f>HYPERLINK("https://docs.google.com/spreadsheets/d/1L167k_JS3mnisFy3VpS-OXgI8U0cK-4nC6A9sxl-ozk/edit","PP Summary")</f>
        <v>PP Summary</v>
      </c>
    </row>
    <row r="11">
      <c r="A11" s="55" t="s">
        <v>147</v>
      </c>
      <c r="B11" s="56">
        <v>945.6</v>
      </c>
      <c r="C11" s="57">
        <v>57.6</v>
      </c>
      <c r="D11" s="58">
        <f t="shared" ref="D11:D48" si="1">B11-C11</f>
        <v>888</v>
      </c>
      <c r="E11" s="56">
        <v>290.0</v>
      </c>
      <c r="F11" s="58">
        <f t="shared" ref="F11:F48" si="2">IF(E11="","",B11-E11)</f>
        <v>655.6</v>
      </c>
      <c r="G11" s="3" t="s">
        <v>149</v>
      </c>
      <c r="H11" s="6">
        <f>$L$10</f>
        <v>0.1575553395</v>
      </c>
      <c r="I11" s="23">
        <f t="shared" ref="I11:I48" si="3">H11*D11</f>
        <v>139.9091415</v>
      </c>
      <c r="J11" s="23">
        <f t="shared" ref="J11:J48" si="4">2.5*$L$4</f>
        <v>1.13398</v>
      </c>
      <c r="K11" s="60">
        <v>45962.0</v>
      </c>
      <c r="L11" s="6">
        <v>0.1392140547840092</v>
      </c>
      <c r="M11" s="9" t="str">
        <f>HYPERLINK("https://docs.google.com/spreadsheets/d/1W8jWu3sp39WnSuds1Ja0FWDG5UuWN9v5NUmF6yh_WbI/edit","PP Summary")</f>
        <v>PP Summary</v>
      </c>
    </row>
    <row r="12">
      <c r="A12" s="62">
        <v>228490.0</v>
      </c>
      <c r="B12" s="56">
        <v>1044.0</v>
      </c>
      <c r="C12" s="57">
        <v>57.6</v>
      </c>
      <c r="D12" s="57">
        <f t="shared" si="1"/>
        <v>986.4</v>
      </c>
      <c r="E12" s="57">
        <v>368.0</v>
      </c>
      <c r="F12" s="58">
        <f t="shared" si="2"/>
        <v>676</v>
      </c>
      <c r="G12" s="3" t="s">
        <v>150</v>
      </c>
      <c r="H12" s="6">
        <f t="shared" ref="H12:H13" si="5">$L$21</f>
        <v>0.128689567</v>
      </c>
      <c r="I12" s="23">
        <f t="shared" si="3"/>
        <v>126.9393889</v>
      </c>
      <c r="J12" s="23">
        <f t="shared" si="4"/>
        <v>1.13398</v>
      </c>
      <c r="K12" s="60">
        <v>45992.0</v>
      </c>
      <c r="L12" s="6">
        <v>0.16306166436976688</v>
      </c>
      <c r="M12" s="9" t="str">
        <f>HYPERLINK("https://docs.google.com/spreadsheets/d/1-L6m2wYknC3o-yIts9KK7FrYAb5lZIv4AwaizK8FbMc/edit","PP Summary")</f>
        <v>PP Summary</v>
      </c>
    </row>
    <row r="13">
      <c r="A13" s="62">
        <v>245103.0</v>
      </c>
      <c r="B13" s="56">
        <v>1071.6</v>
      </c>
      <c r="C13" s="57">
        <v>57.6</v>
      </c>
      <c r="D13" s="58">
        <f t="shared" si="1"/>
        <v>1014</v>
      </c>
      <c r="E13" s="56">
        <v>229.0</v>
      </c>
      <c r="F13" s="58">
        <f t="shared" si="2"/>
        <v>842.6</v>
      </c>
      <c r="G13" s="3" t="s">
        <v>151</v>
      </c>
      <c r="H13" s="6">
        <f t="shared" si="5"/>
        <v>0.128689567</v>
      </c>
      <c r="I13" s="23">
        <f t="shared" si="3"/>
        <v>130.4912209</v>
      </c>
      <c r="J13" s="23">
        <f t="shared" si="4"/>
        <v>1.13398</v>
      </c>
      <c r="K13" s="60">
        <v>46023.0</v>
      </c>
      <c r="L13" s="6">
        <v>0.15683401691482485</v>
      </c>
      <c r="M13" s="9" t="str">
        <f>HYPERLINK("https://docs.google.com/spreadsheets/d/1bPZ7pNsR5rv-om-BypF4lK3nczjn4HJNO2dzimwnx7E/edit","PP Summary")</f>
        <v>PP Summary</v>
      </c>
    </row>
    <row r="14">
      <c r="A14" s="62">
        <v>245140.0</v>
      </c>
      <c r="B14" s="56">
        <v>1051.6</v>
      </c>
      <c r="C14" s="57">
        <v>57.6</v>
      </c>
      <c r="D14" s="58">
        <f t="shared" si="1"/>
        <v>994</v>
      </c>
      <c r="E14" s="56">
        <v>151.0</v>
      </c>
      <c r="F14" s="58">
        <f t="shared" si="2"/>
        <v>900.6</v>
      </c>
      <c r="G14" s="3" t="s">
        <v>152</v>
      </c>
      <c r="H14" s="6">
        <f>$L$22</f>
        <v>0.1105698239</v>
      </c>
      <c r="I14" s="23">
        <f t="shared" si="3"/>
        <v>109.906405</v>
      </c>
      <c r="J14" s="23">
        <f t="shared" si="4"/>
        <v>1.13398</v>
      </c>
      <c r="K14" s="60">
        <v>46054.0</v>
      </c>
      <c r="L14" s="6">
        <v>0.13304979391442986</v>
      </c>
      <c r="M14" s="9" t="str">
        <f>HYPERLINK("https://docs.google.com/spreadsheets/d/1vH7bborVnc-TCby3wEkpzi7GGMOI5jMJooEW0V-rOQ4/edit","PP Summary")</f>
        <v>PP Summary</v>
      </c>
    </row>
    <row r="15">
      <c r="A15" s="62">
        <v>245142.0</v>
      </c>
      <c r="B15" s="56">
        <v>1013.6</v>
      </c>
      <c r="C15" s="57">
        <v>57.6</v>
      </c>
      <c r="D15" s="58">
        <f t="shared" si="1"/>
        <v>956</v>
      </c>
      <c r="E15" s="56">
        <v>357.0</v>
      </c>
      <c r="F15" s="58">
        <f t="shared" si="2"/>
        <v>656.6</v>
      </c>
      <c r="G15" s="3" t="s">
        <v>151</v>
      </c>
      <c r="H15" s="6">
        <f>$L$21</f>
        <v>0.128689567</v>
      </c>
      <c r="I15" s="23">
        <f t="shared" si="3"/>
        <v>123.027226</v>
      </c>
      <c r="J15" s="23">
        <f t="shared" si="4"/>
        <v>1.13398</v>
      </c>
      <c r="K15" s="60">
        <v>46082.0</v>
      </c>
      <c r="L15" s="6">
        <v>0.11852515320294801</v>
      </c>
      <c r="M15" s="9" t="str">
        <f>HYPERLINK("https://docs.google.com/spreadsheets/d/1O7y30opa_u1_deqFm_w2qgVyxi_75X00xnzKuyVyh6o/edit","PP Summary")</f>
        <v>PP Summary</v>
      </c>
    </row>
    <row r="16">
      <c r="A16" s="64">
        <v>301100.0</v>
      </c>
      <c r="B16" s="56">
        <v>987.0</v>
      </c>
      <c r="C16" s="57">
        <v>57.6</v>
      </c>
      <c r="D16" s="58">
        <f t="shared" si="1"/>
        <v>929.4</v>
      </c>
      <c r="E16" s="56">
        <v>180.0</v>
      </c>
      <c r="F16" s="58">
        <f t="shared" si="2"/>
        <v>807</v>
      </c>
      <c r="G16" s="3" t="s">
        <v>153</v>
      </c>
      <c r="H16" s="6">
        <f>$L$17</f>
        <v>0.1106615762</v>
      </c>
      <c r="I16" s="23">
        <f t="shared" si="3"/>
        <v>102.848869</v>
      </c>
      <c r="J16" s="23">
        <f t="shared" si="4"/>
        <v>1.13398</v>
      </c>
      <c r="K16" s="60">
        <v>46113.0</v>
      </c>
      <c r="L16" s="6">
        <v>0.131418453205342</v>
      </c>
      <c r="M16" s="9" t="str">
        <f>HYPERLINK("https://docs.google.com/spreadsheets/d/10Qwx7K6sUcOBrCebGUGVaVeLQnhzvcT8sHQ0Sy3VBBM/edit","PP Summary")</f>
        <v>PP Summary</v>
      </c>
    </row>
    <row r="17">
      <c r="A17" s="62">
        <v>301101.0</v>
      </c>
      <c r="B17" s="56">
        <v>1035.0</v>
      </c>
      <c r="C17" s="57">
        <v>57.6</v>
      </c>
      <c r="D17" s="58">
        <f t="shared" si="1"/>
        <v>977.4</v>
      </c>
      <c r="E17" s="56">
        <v>168.0</v>
      </c>
      <c r="F17" s="58">
        <f t="shared" si="2"/>
        <v>867</v>
      </c>
      <c r="G17" s="3" t="s">
        <v>154</v>
      </c>
      <c r="H17" s="6">
        <f>$L$16</f>
        <v>0.1314184532</v>
      </c>
      <c r="I17" s="23">
        <f t="shared" si="3"/>
        <v>128.4483962</v>
      </c>
      <c r="J17" s="23">
        <f t="shared" si="4"/>
        <v>1.13398</v>
      </c>
      <c r="K17" s="60">
        <v>46143.0</v>
      </c>
      <c r="L17" s="6">
        <v>0.1106615762401743</v>
      </c>
      <c r="M17" s="9" t="str">
        <f>HYPERLINK("https://docs.google.com/spreadsheets/d/1m66t1jsLGc4e6AWnCFMsFbkSceZ9IYC_-bfTsbP_OYc/edit","PP Summary")</f>
        <v>PP Summary</v>
      </c>
    </row>
    <row r="18">
      <c r="A18" s="62">
        <v>301102.0</v>
      </c>
      <c r="B18" s="56">
        <v>979.0</v>
      </c>
      <c r="C18" s="57">
        <v>57.6</v>
      </c>
      <c r="D18" s="58">
        <f t="shared" si="1"/>
        <v>921.4</v>
      </c>
      <c r="E18" s="56">
        <v>152.5</v>
      </c>
      <c r="F18" s="58">
        <f t="shared" si="2"/>
        <v>826.5</v>
      </c>
      <c r="G18" s="3" t="s">
        <v>155</v>
      </c>
      <c r="H18" s="6">
        <f t="shared" ref="H18:H20" si="6">$L$17</f>
        <v>0.1106615762</v>
      </c>
      <c r="I18" s="23">
        <f t="shared" si="3"/>
        <v>101.9635763</v>
      </c>
      <c r="J18" s="23">
        <f t="shared" si="4"/>
        <v>1.13398</v>
      </c>
      <c r="K18" s="60">
        <v>46174.0</v>
      </c>
      <c r="L18" s="6">
        <v>0.1236896673712938</v>
      </c>
      <c r="M18" s="9" t="str">
        <f>HYPERLINK("https://docs.google.com/spreadsheets/d/1MUQajDI2a_Cn9xWGPP7z4PhhphZnfl2_CSTnpB07Wgk/edit","PP Summary")</f>
        <v>PP Summary</v>
      </c>
    </row>
    <row r="19">
      <c r="A19" s="62">
        <v>301108.0</v>
      </c>
      <c r="B19" s="56">
        <v>1047.0</v>
      </c>
      <c r="C19" s="57">
        <v>57.6</v>
      </c>
      <c r="D19" s="58">
        <f t="shared" si="1"/>
        <v>989.4</v>
      </c>
      <c r="E19" s="56">
        <v>205.0</v>
      </c>
      <c r="F19" s="58">
        <f t="shared" si="2"/>
        <v>842</v>
      </c>
      <c r="G19" s="3" t="s">
        <v>157</v>
      </c>
      <c r="H19" s="6">
        <f t="shared" si="6"/>
        <v>0.1106615762</v>
      </c>
      <c r="I19" s="23">
        <f t="shared" si="3"/>
        <v>109.4885635</v>
      </c>
      <c r="J19" s="23">
        <f t="shared" si="4"/>
        <v>1.13398</v>
      </c>
      <c r="K19" s="3" t="s">
        <v>88</v>
      </c>
      <c r="L19" s="23">
        <f>$L$7</f>
        <v>0.120947</v>
      </c>
    </row>
    <row r="20">
      <c r="A20" s="62">
        <v>301110.0</v>
      </c>
      <c r="B20" s="56">
        <v>1010.0</v>
      </c>
      <c r="C20" s="57">
        <v>57.6</v>
      </c>
      <c r="D20" s="58">
        <f t="shared" si="1"/>
        <v>952.4</v>
      </c>
      <c r="E20" s="57">
        <v>150.0</v>
      </c>
      <c r="F20" s="58">
        <f t="shared" si="2"/>
        <v>860</v>
      </c>
      <c r="G20" s="3" t="s">
        <v>158</v>
      </c>
      <c r="H20" s="6">
        <f t="shared" si="6"/>
        <v>0.1106615762</v>
      </c>
      <c r="I20" s="23">
        <f t="shared" si="3"/>
        <v>105.3940852</v>
      </c>
      <c r="J20" s="23">
        <f t="shared" si="4"/>
        <v>1.13398</v>
      </c>
      <c r="K20" s="3" t="s">
        <v>159</v>
      </c>
      <c r="L20" s="6">
        <v>0.13736711280644612</v>
      </c>
      <c r="M20" s="9" t="str">
        <f>HYPERLINK("https://docs.google.com/spreadsheets/d/1qPyS0H9Wx8z2vMl_3ANE1YLYahKLeL1Qo8OmZ_ol9aI/edit","PP Summary")</f>
        <v>PP Summary</v>
      </c>
    </row>
    <row r="21">
      <c r="A21" s="62">
        <v>301116.0</v>
      </c>
      <c r="B21" s="56">
        <v>1034.0</v>
      </c>
      <c r="C21" s="57">
        <v>57.6</v>
      </c>
      <c r="D21" s="58">
        <f t="shared" si="1"/>
        <v>976.4</v>
      </c>
      <c r="E21" s="56">
        <v>161.5</v>
      </c>
      <c r="F21" s="58">
        <f t="shared" si="2"/>
        <v>872.5</v>
      </c>
      <c r="G21" s="3" t="s">
        <v>166</v>
      </c>
      <c r="H21" s="6">
        <f>$L$16</f>
        <v>0.1314184532</v>
      </c>
      <c r="I21" s="23">
        <f t="shared" si="3"/>
        <v>128.3169777</v>
      </c>
      <c r="J21" s="23">
        <f t="shared" si="4"/>
        <v>1.13398</v>
      </c>
      <c r="K21" s="60">
        <f>DATE(2025,9,1)</f>
        <v>45901</v>
      </c>
      <c r="L21" s="6">
        <v>0.12868956697570233</v>
      </c>
      <c r="M21" s="9" t="str">
        <f>HYPERLINK("https://docs.google.com/spreadsheets/d/1ZSnVAnmV96Ux_GwEJ_1zeATDHlQlHr5rvKAh3NOG2s0/edit","PP Summary")</f>
        <v>PP Summary</v>
      </c>
    </row>
    <row r="22">
      <c r="A22" s="62">
        <v>301117.0</v>
      </c>
      <c r="B22" s="56">
        <v>976.0</v>
      </c>
      <c r="C22" s="57">
        <v>57.6</v>
      </c>
      <c r="D22" s="58">
        <f t="shared" si="1"/>
        <v>918.4</v>
      </c>
      <c r="E22" s="56">
        <v>157.0</v>
      </c>
      <c r="F22" s="58">
        <f t="shared" si="2"/>
        <v>819</v>
      </c>
      <c r="G22" s="3" t="s">
        <v>172</v>
      </c>
      <c r="H22" s="6">
        <f t="shared" ref="H22:H26" si="7">$L$17</f>
        <v>0.1106615762</v>
      </c>
      <c r="I22" s="23">
        <f t="shared" si="3"/>
        <v>101.6315916</v>
      </c>
      <c r="J22" s="23">
        <f t="shared" si="4"/>
        <v>1.13398</v>
      </c>
      <c r="K22" s="60">
        <f>DATE(2025,8,1)</f>
        <v>45870</v>
      </c>
      <c r="L22" s="6">
        <v>0.11056982394624702</v>
      </c>
      <c r="M22" s="9" t="str">
        <f>HYPERLINK("https://docs.google.com/spreadsheets/d/1Kt3H_bffKPxvyBHqOAdrhnGxRzwfAQXFnsLBczb9EKE/edit","PP Summary")</f>
        <v>PP Summary</v>
      </c>
    </row>
    <row r="23">
      <c r="A23" s="62">
        <v>301118.0</v>
      </c>
      <c r="B23" s="56">
        <v>1056.0</v>
      </c>
      <c r="C23" s="57">
        <v>57.6</v>
      </c>
      <c r="D23" s="58">
        <f t="shared" si="1"/>
        <v>998.4</v>
      </c>
      <c r="E23" s="56">
        <v>151.0</v>
      </c>
      <c r="F23" s="58">
        <f t="shared" si="2"/>
        <v>905</v>
      </c>
      <c r="G23" s="3" t="s">
        <v>183</v>
      </c>
      <c r="H23" s="6">
        <f t="shared" si="7"/>
        <v>0.1106615762</v>
      </c>
      <c r="I23" s="23">
        <f t="shared" si="3"/>
        <v>110.4845177</v>
      </c>
      <c r="J23" s="23">
        <f t="shared" si="4"/>
        <v>1.13398</v>
      </c>
      <c r="K23" s="60">
        <f>DATE(2025,10,1)</f>
        <v>45931</v>
      </c>
      <c r="L23" s="6">
        <v>0.1110176228550779</v>
      </c>
      <c r="M23" s="9" t="str">
        <f>HYPERLINK("https://docs.google.com/spreadsheets/d/1AZymoR1vHkfpH4ZKO5J6CklWiVlCfhVS872y-2LipDw/edit","PP Summary")</f>
        <v>PP Summary</v>
      </c>
    </row>
    <row r="24">
      <c r="A24" s="62">
        <v>301119.0</v>
      </c>
      <c r="B24" s="56">
        <v>990.0</v>
      </c>
      <c r="C24" s="57">
        <v>57.6</v>
      </c>
      <c r="D24" s="58">
        <f t="shared" si="1"/>
        <v>932.4</v>
      </c>
      <c r="E24" s="56">
        <v>169.0</v>
      </c>
      <c r="F24" s="58">
        <f t="shared" si="2"/>
        <v>821</v>
      </c>
      <c r="G24" s="3" t="s">
        <v>187</v>
      </c>
      <c r="H24" s="6">
        <f t="shared" si="7"/>
        <v>0.1106615762</v>
      </c>
      <c r="I24" s="23">
        <f t="shared" si="3"/>
        <v>103.1808537</v>
      </c>
      <c r="J24" s="23">
        <f t="shared" si="4"/>
        <v>1.13398</v>
      </c>
    </row>
    <row r="25">
      <c r="A25" s="62">
        <v>301120.0</v>
      </c>
      <c r="B25" s="56">
        <v>1039.0</v>
      </c>
      <c r="C25" s="57">
        <v>57.6</v>
      </c>
      <c r="D25" s="58">
        <f t="shared" si="1"/>
        <v>981.4</v>
      </c>
      <c r="E25" s="56">
        <v>158.5</v>
      </c>
      <c r="F25" s="58">
        <f t="shared" si="2"/>
        <v>880.5</v>
      </c>
      <c r="G25" s="3" t="s">
        <v>188</v>
      </c>
      <c r="H25" s="6">
        <f t="shared" si="7"/>
        <v>0.1106615762</v>
      </c>
      <c r="I25" s="23">
        <f t="shared" si="3"/>
        <v>108.6032709</v>
      </c>
      <c r="J25" s="23">
        <f t="shared" si="4"/>
        <v>1.13398</v>
      </c>
    </row>
    <row r="26">
      <c r="A26" s="62">
        <v>301129.0</v>
      </c>
      <c r="B26" s="56">
        <v>1074.0</v>
      </c>
      <c r="C26" s="57">
        <v>57.6</v>
      </c>
      <c r="D26" s="58">
        <f t="shared" si="1"/>
        <v>1016.4</v>
      </c>
      <c r="E26" s="56">
        <v>147.0</v>
      </c>
      <c r="F26" s="58">
        <f t="shared" si="2"/>
        <v>927</v>
      </c>
      <c r="G26" s="3" t="s">
        <v>190</v>
      </c>
      <c r="H26" s="6">
        <f t="shared" si="7"/>
        <v>0.1106615762</v>
      </c>
      <c r="I26" s="23">
        <f t="shared" si="3"/>
        <v>112.4764261</v>
      </c>
      <c r="J26" s="23">
        <f t="shared" si="4"/>
        <v>1.13398</v>
      </c>
    </row>
    <row r="27">
      <c r="A27" s="62">
        <v>301132.0</v>
      </c>
      <c r="B27" s="57">
        <v>960.0</v>
      </c>
      <c r="C27" s="57">
        <v>57.6</v>
      </c>
      <c r="D27" s="58">
        <f t="shared" si="1"/>
        <v>902.4</v>
      </c>
      <c r="E27" s="56">
        <v>192.0</v>
      </c>
      <c r="F27" s="58">
        <f t="shared" si="2"/>
        <v>768</v>
      </c>
      <c r="G27" s="3" t="s">
        <v>192</v>
      </c>
      <c r="H27" s="6">
        <f t="shared" ref="H27:H28" si="8">$L$16</f>
        <v>0.1314184532</v>
      </c>
      <c r="I27" s="23">
        <f t="shared" si="3"/>
        <v>118.5920122</v>
      </c>
      <c r="J27" s="23">
        <f t="shared" si="4"/>
        <v>1.13398</v>
      </c>
    </row>
    <row r="28">
      <c r="A28" s="62">
        <v>301133.0</v>
      </c>
      <c r="B28" s="57">
        <v>1054.0</v>
      </c>
      <c r="C28" s="57">
        <v>57.6</v>
      </c>
      <c r="D28" s="58">
        <f t="shared" si="1"/>
        <v>996.4</v>
      </c>
      <c r="E28" s="56">
        <v>157.0</v>
      </c>
      <c r="F28" s="58">
        <f t="shared" si="2"/>
        <v>897</v>
      </c>
      <c r="G28" s="3" t="s">
        <v>193</v>
      </c>
      <c r="H28" s="6">
        <f t="shared" si="8"/>
        <v>0.1314184532</v>
      </c>
      <c r="I28" s="23">
        <f t="shared" si="3"/>
        <v>130.9453468</v>
      </c>
      <c r="J28" s="23">
        <f t="shared" si="4"/>
        <v>1.13398</v>
      </c>
    </row>
    <row r="29">
      <c r="A29" s="62">
        <v>301148.0</v>
      </c>
      <c r="B29" s="56">
        <v>1039.0</v>
      </c>
      <c r="C29" s="57">
        <v>57.6</v>
      </c>
      <c r="D29" s="58">
        <f t="shared" si="1"/>
        <v>981.4</v>
      </c>
      <c r="E29" s="56">
        <v>156.0</v>
      </c>
      <c r="F29" s="58">
        <f t="shared" si="2"/>
        <v>883</v>
      </c>
      <c r="G29" s="3" t="s">
        <v>194</v>
      </c>
      <c r="H29" s="6">
        <f t="shared" ref="H29:H30" si="9">$L$17</f>
        <v>0.1106615762</v>
      </c>
      <c r="I29" s="23">
        <f t="shared" si="3"/>
        <v>108.6032709</v>
      </c>
      <c r="J29" s="23">
        <f t="shared" si="4"/>
        <v>1.13398</v>
      </c>
    </row>
    <row r="30">
      <c r="A30" s="62">
        <v>301153.0</v>
      </c>
      <c r="B30" s="56">
        <v>945.0</v>
      </c>
      <c r="C30" s="57">
        <v>57.6</v>
      </c>
      <c r="D30" s="58">
        <f t="shared" si="1"/>
        <v>887.4</v>
      </c>
      <c r="E30" s="56">
        <v>146.0</v>
      </c>
      <c r="F30" s="58">
        <f t="shared" si="2"/>
        <v>799</v>
      </c>
      <c r="G30" s="3" t="s">
        <v>196</v>
      </c>
      <c r="H30" s="6">
        <f t="shared" si="9"/>
        <v>0.1106615762</v>
      </c>
      <c r="I30" s="23">
        <f t="shared" si="3"/>
        <v>98.20108276</v>
      </c>
      <c r="J30" s="23">
        <f t="shared" si="4"/>
        <v>1.13398</v>
      </c>
    </row>
    <row r="31">
      <c r="A31" s="62">
        <v>301156.0</v>
      </c>
      <c r="B31" s="57">
        <v>1041.0</v>
      </c>
      <c r="C31" s="57">
        <v>57.6</v>
      </c>
      <c r="D31" s="58">
        <f t="shared" si="1"/>
        <v>983.4</v>
      </c>
      <c r="E31" s="56">
        <v>160.0</v>
      </c>
      <c r="F31" s="58">
        <f t="shared" si="2"/>
        <v>881</v>
      </c>
      <c r="G31" s="3" t="s">
        <v>197</v>
      </c>
      <c r="H31" s="6">
        <f>$L$16</f>
        <v>0.1314184532</v>
      </c>
      <c r="I31" s="23">
        <f t="shared" si="3"/>
        <v>129.2369069</v>
      </c>
      <c r="J31" s="23">
        <f t="shared" si="4"/>
        <v>1.13398</v>
      </c>
    </row>
    <row r="32">
      <c r="A32" s="62">
        <v>301173.0</v>
      </c>
      <c r="B32" s="73">
        <v>1033.0</v>
      </c>
      <c r="C32" s="57">
        <v>57.6</v>
      </c>
      <c r="D32" s="58">
        <f t="shared" si="1"/>
        <v>975.4</v>
      </c>
      <c r="E32" s="57">
        <v>144.0</v>
      </c>
      <c r="F32" s="58">
        <f t="shared" si="2"/>
        <v>889</v>
      </c>
      <c r="G32" s="74" t="s">
        <v>198</v>
      </c>
      <c r="H32" s="75">
        <f t="shared" ref="H32:H34" si="10">$L$17</f>
        <v>0.1106615762</v>
      </c>
      <c r="I32" s="23">
        <f t="shared" si="3"/>
        <v>107.9393015</v>
      </c>
      <c r="J32" s="23">
        <f t="shared" si="4"/>
        <v>1.13398</v>
      </c>
    </row>
    <row r="33">
      <c r="A33" s="62">
        <v>301180.0</v>
      </c>
      <c r="B33" s="76">
        <v>1017.0</v>
      </c>
      <c r="C33" s="57">
        <v>57.6</v>
      </c>
      <c r="D33" s="58">
        <f t="shared" si="1"/>
        <v>959.4</v>
      </c>
      <c r="E33" s="56">
        <v>149.0</v>
      </c>
      <c r="F33" s="58">
        <f t="shared" si="2"/>
        <v>868</v>
      </c>
      <c r="G33" s="3" t="s">
        <v>204</v>
      </c>
      <c r="H33" s="6">
        <f t="shared" si="10"/>
        <v>0.1106615762</v>
      </c>
      <c r="I33" s="23">
        <f t="shared" si="3"/>
        <v>106.1687162</v>
      </c>
      <c r="J33" s="23">
        <f t="shared" si="4"/>
        <v>1.13398</v>
      </c>
    </row>
    <row r="34">
      <c r="A34" s="62">
        <v>301194.0</v>
      </c>
      <c r="B34" s="77">
        <v>944.0</v>
      </c>
      <c r="C34" s="57">
        <v>57.6</v>
      </c>
      <c r="D34" s="58">
        <f t="shared" si="1"/>
        <v>886.4</v>
      </c>
      <c r="E34" s="77">
        <v>162.0</v>
      </c>
      <c r="F34" s="58">
        <f t="shared" si="2"/>
        <v>782</v>
      </c>
      <c r="G34" s="3" t="s">
        <v>207</v>
      </c>
      <c r="H34" s="6">
        <f t="shared" si="10"/>
        <v>0.1106615762</v>
      </c>
      <c r="I34" s="23">
        <f t="shared" si="3"/>
        <v>98.09042118</v>
      </c>
      <c r="J34" s="23">
        <f t="shared" si="4"/>
        <v>1.13398</v>
      </c>
    </row>
    <row r="35">
      <c r="A35" s="62">
        <v>301195.0</v>
      </c>
      <c r="B35" s="79">
        <v>1030.0</v>
      </c>
      <c r="C35" s="57">
        <v>57.6</v>
      </c>
      <c r="D35" s="58">
        <f t="shared" si="1"/>
        <v>972.4</v>
      </c>
      <c r="E35" s="56">
        <v>154.5</v>
      </c>
      <c r="F35" s="58">
        <f t="shared" si="2"/>
        <v>875.5</v>
      </c>
      <c r="G35" s="3" t="s">
        <v>208</v>
      </c>
      <c r="H35" s="6">
        <f>$L$16</f>
        <v>0.1314184532</v>
      </c>
      <c r="I35" s="23">
        <f t="shared" si="3"/>
        <v>127.7913039</v>
      </c>
      <c r="J35" s="23">
        <f t="shared" si="4"/>
        <v>1.13398</v>
      </c>
    </row>
    <row r="36">
      <c r="A36" s="55" t="s">
        <v>209</v>
      </c>
      <c r="B36" s="73">
        <v>1012.0</v>
      </c>
      <c r="C36" s="57">
        <v>57.6</v>
      </c>
      <c r="D36" s="58">
        <f t="shared" si="1"/>
        <v>954.4</v>
      </c>
      <c r="E36" s="56">
        <v>215.0</v>
      </c>
      <c r="F36" s="58">
        <f t="shared" si="2"/>
        <v>797</v>
      </c>
      <c r="G36" s="3" t="s">
        <v>210</v>
      </c>
      <c r="H36" s="6">
        <f>$L$10</f>
        <v>0.1575553395</v>
      </c>
      <c r="I36" s="23">
        <f t="shared" si="3"/>
        <v>150.370816</v>
      </c>
      <c r="J36" s="23">
        <f t="shared" si="4"/>
        <v>1.13398</v>
      </c>
    </row>
    <row r="37">
      <c r="A37" s="55" t="s">
        <v>211</v>
      </c>
      <c r="B37" s="73">
        <v>1018.0</v>
      </c>
      <c r="C37" s="57">
        <v>57.6</v>
      </c>
      <c r="D37" s="58">
        <f t="shared" si="1"/>
        <v>960.4</v>
      </c>
      <c r="E37" s="56">
        <v>181.5</v>
      </c>
      <c r="F37" s="58">
        <f t="shared" si="2"/>
        <v>836.5</v>
      </c>
      <c r="G37" s="3" t="s">
        <v>212</v>
      </c>
      <c r="H37" s="6">
        <f t="shared" ref="H37:H46" si="11">$L$21</f>
        <v>0.128689567</v>
      </c>
      <c r="I37" s="23">
        <f t="shared" si="3"/>
        <v>123.5934601</v>
      </c>
      <c r="J37" s="23">
        <f t="shared" si="4"/>
        <v>1.13398</v>
      </c>
    </row>
    <row r="38">
      <c r="A38" s="55" t="s">
        <v>213</v>
      </c>
      <c r="B38" s="73">
        <v>1020.0</v>
      </c>
      <c r="C38" s="57">
        <v>57.6</v>
      </c>
      <c r="D38" s="58">
        <f t="shared" si="1"/>
        <v>962.4</v>
      </c>
      <c r="E38" s="57">
        <v>314.0</v>
      </c>
      <c r="F38" s="58">
        <f t="shared" si="2"/>
        <v>706</v>
      </c>
      <c r="G38" s="3" t="s">
        <v>214</v>
      </c>
      <c r="H38" s="6">
        <f t="shared" si="11"/>
        <v>0.128689567</v>
      </c>
      <c r="I38" s="23">
        <f t="shared" si="3"/>
        <v>123.8508393</v>
      </c>
      <c r="J38" s="23">
        <f t="shared" si="4"/>
        <v>1.13398</v>
      </c>
    </row>
    <row r="39">
      <c r="A39" s="55" t="s">
        <v>215</v>
      </c>
      <c r="B39" s="73">
        <v>1003.0</v>
      </c>
      <c r="C39" s="57">
        <v>57.6</v>
      </c>
      <c r="D39" s="58">
        <f t="shared" si="1"/>
        <v>945.4</v>
      </c>
      <c r="E39" s="56">
        <v>190.0</v>
      </c>
      <c r="F39" s="58">
        <f t="shared" si="2"/>
        <v>813</v>
      </c>
      <c r="G39" s="3" t="s">
        <v>216</v>
      </c>
      <c r="H39" s="6">
        <f t="shared" si="11"/>
        <v>0.128689567</v>
      </c>
      <c r="I39" s="23">
        <f t="shared" si="3"/>
        <v>121.6631166</v>
      </c>
      <c r="J39" s="23">
        <f t="shared" si="4"/>
        <v>1.13398</v>
      </c>
    </row>
    <row r="40">
      <c r="A40" s="55" t="s">
        <v>217</v>
      </c>
      <c r="B40" s="73">
        <v>1051.0</v>
      </c>
      <c r="C40" s="57">
        <v>57.6</v>
      </c>
      <c r="D40" s="58">
        <f t="shared" si="1"/>
        <v>993.4</v>
      </c>
      <c r="E40" s="56">
        <v>210.0</v>
      </c>
      <c r="F40" s="58">
        <f t="shared" si="2"/>
        <v>841</v>
      </c>
      <c r="G40" s="3" t="s">
        <v>218</v>
      </c>
      <c r="H40" s="6">
        <f t="shared" si="11"/>
        <v>0.128689567</v>
      </c>
      <c r="I40" s="23">
        <f t="shared" si="3"/>
        <v>127.8402158</v>
      </c>
      <c r="J40" s="23">
        <f t="shared" si="4"/>
        <v>1.13398</v>
      </c>
    </row>
    <row r="41">
      <c r="A41" s="55" t="s">
        <v>219</v>
      </c>
      <c r="B41" s="73">
        <v>1043.0</v>
      </c>
      <c r="C41" s="57">
        <v>57.6</v>
      </c>
      <c r="D41" s="58">
        <f t="shared" si="1"/>
        <v>985.4</v>
      </c>
      <c r="E41" s="56">
        <v>239.0</v>
      </c>
      <c r="F41" s="58">
        <f t="shared" si="2"/>
        <v>804</v>
      </c>
      <c r="G41" s="3" t="s">
        <v>221</v>
      </c>
      <c r="H41" s="6">
        <f t="shared" si="11"/>
        <v>0.128689567</v>
      </c>
      <c r="I41" s="23">
        <f t="shared" si="3"/>
        <v>126.8106993</v>
      </c>
      <c r="J41" s="23">
        <f t="shared" si="4"/>
        <v>1.13398</v>
      </c>
    </row>
    <row r="42">
      <c r="A42" s="55" t="s">
        <v>222</v>
      </c>
      <c r="B42" s="73">
        <v>1095.0</v>
      </c>
      <c r="C42" s="57">
        <v>57.6</v>
      </c>
      <c r="D42" s="58">
        <f t="shared" si="1"/>
        <v>1037.4</v>
      </c>
      <c r="E42" s="57">
        <v>162.0</v>
      </c>
      <c r="F42" s="58">
        <f t="shared" si="2"/>
        <v>933</v>
      </c>
      <c r="G42" s="3" t="s">
        <v>223</v>
      </c>
      <c r="H42" s="6">
        <f t="shared" si="11"/>
        <v>0.128689567</v>
      </c>
      <c r="I42" s="23">
        <f t="shared" si="3"/>
        <v>133.5025568</v>
      </c>
      <c r="J42" s="23">
        <f t="shared" si="4"/>
        <v>1.13398</v>
      </c>
    </row>
    <row r="43">
      <c r="A43" s="55" t="s">
        <v>225</v>
      </c>
      <c r="B43" s="73">
        <v>1047.0</v>
      </c>
      <c r="C43" s="57">
        <v>57.6</v>
      </c>
      <c r="D43" s="58">
        <f t="shared" si="1"/>
        <v>989.4</v>
      </c>
      <c r="E43" s="56">
        <v>156.0</v>
      </c>
      <c r="F43" s="58">
        <f t="shared" si="2"/>
        <v>891</v>
      </c>
      <c r="G43" s="3" t="s">
        <v>226</v>
      </c>
      <c r="H43" s="6">
        <f t="shared" si="11"/>
        <v>0.128689567</v>
      </c>
      <c r="I43" s="23">
        <f t="shared" si="3"/>
        <v>127.3254576</v>
      </c>
      <c r="J43" s="23">
        <f t="shared" si="4"/>
        <v>1.13398</v>
      </c>
    </row>
    <row r="44">
      <c r="A44" s="55" t="s">
        <v>227</v>
      </c>
      <c r="B44" s="73">
        <v>1034.0</v>
      </c>
      <c r="C44" s="57">
        <v>57.6</v>
      </c>
      <c r="D44" s="58">
        <f t="shared" si="1"/>
        <v>976.4</v>
      </c>
      <c r="E44" s="56">
        <v>329.5</v>
      </c>
      <c r="F44" s="58">
        <f t="shared" si="2"/>
        <v>704.5</v>
      </c>
      <c r="G44" s="3" t="s">
        <v>228</v>
      </c>
      <c r="H44" s="6">
        <f t="shared" si="11"/>
        <v>0.128689567</v>
      </c>
      <c r="I44" s="23">
        <f t="shared" si="3"/>
        <v>125.6524932</v>
      </c>
      <c r="J44" s="23">
        <f t="shared" si="4"/>
        <v>1.13398</v>
      </c>
    </row>
    <row r="45">
      <c r="A45" s="55" t="s">
        <v>229</v>
      </c>
      <c r="B45" s="73">
        <v>1006.0</v>
      </c>
      <c r="C45" s="57">
        <v>57.6</v>
      </c>
      <c r="D45" s="58">
        <f t="shared" si="1"/>
        <v>948.4</v>
      </c>
      <c r="E45" s="56">
        <v>195.0</v>
      </c>
      <c r="F45" s="58">
        <f t="shared" si="2"/>
        <v>811</v>
      </c>
      <c r="G45" s="3" t="s">
        <v>230</v>
      </c>
      <c r="H45" s="6">
        <f t="shared" si="11"/>
        <v>0.128689567</v>
      </c>
      <c r="I45" s="23">
        <f t="shared" si="3"/>
        <v>122.0491853</v>
      </c>
      <c r="J45" s="23">
        <f t="shared" si="4"/>
        <v>1.13398</v>
      </c>
    </row>
    <row r="46">
      <c r="A46" s="55" t="s">
        <v>231</v>
      </c>
      <c r="B46" s="73">
        <v>1008.0</v>
      </c>
      <c r="C46" s="57">
        <v>57.6</v>
      </c>
      <c r="D46" s="58">
        <f t="shared" si="1"/>
        <v>950.4</v>
      </c>
      <c r="E46" s="56">
        <v>312.0</v>
      </c>
      <c r="F46" s="58">
        <f t="shared" si="2"/>
        <v>696</v>
      </c>
      <c r="G46" s="3" t="s">
        <v>232</v>
      </c>
      <c r="H46" s="6">
        <f t="shared" si="11"/>
        <v>0.128689567</v>
      </c>
      <c r="I46" s="23">
        <f t="shared" si="3"/>
        <v>122.3065645</v>
      </c>
      <c r="J46" s="23">
        <f t="shared" si="4"/>
        <v>1.13398</v>
      </c>
    </row>
    <row r="47">
      <c r="A47" s="55" t="s">
        <v>233</v>
      </c>
      <c r="B47" s="73">
        <v>1130.0</v>
      </c>
      <c r="C47" s="57">
        <v>57.6</v>
      </c>
      <c r="D47" s="58">
        <f t="shared" si="1"/>
        <v>1072.4</v>
      </c>
      <c r="E47" s="56">
        <v>267.5</v>
      </c>
      <c r="F47" s="58">
        <f t="shared" si="2"/>
        <v>862.5</v>
      </c>
      <c r="G47" s="3" t="s">
        <v>234</v>
      </c>
      <c r="H47" s="6">
        <f t="shared" ref="H47:H48" si="12">$L$23</f>
        <v>0.1110176229</v>
      </c>
      <c r="I47" s="23">
        <f t="shared" si="3"/>
        <v>119.0552987</v>
      </c>
      <c r="J47" s="23">
        <f t="shared" si="4"/>
        <v>1.13398</v>
      </c>
    </row>
    <row r="48">
      <c r="A48" s="55" t="s">
        <v>235</v>
      </c>
      <c r="B48" s="73">
        <v>947.0</v>
      </c>
      <c r="C48" s="57">
        <v>57.6</v>
      </c>
      <c r="D48" s="58">
        <f t="shared" si="1"/>
        <v>889.4</v>
      </c>
      <c r="E48" s="56">
        <v>193.0</v>
      </c>
      <c r="F48" s="58">
        <f t="shared" si="2"/>
        <v>754</v>
      </c>
      <c r="G48" s="3" t="s">
        <v>236</v>
      </c>
      <c r="H48" s="6">
        <f t="shared" si="12"/>
        <v>0.1110176229</v>
      </c>
      <c r="I48" s="23">
        <f t="shared" si="3"/>
        <v>98.73907377</v>
      </c>
      <c r="J48" s="23">
        <f t="shared" si="4"/>
        <v>1.13398</v>
      </c>
    </row>
    <row r="49">
      <c r="B49" s="80"/>
      <c r="C49" s="59"/>
      <c r="D49" s="13"/>
      <c r="E49" s="13"/>
      <c r="F49" s="13"/>
      <c r="G49" s="13" t="str">
        <f>IF(AND(D49&lt;&gt;"",F49&lt;&gt;""),(D49-F49)*$L$4,"")</f>
        <v/>
      </c>
      <c r="H49" s="13" t="str">
        <f>IF(G49="","",G49*(1-$L$5))</f>
        <v/>
      </c>
      <c r="I49" s="20"/>
    </row>
    <row r="50">
      <c r="B50" s="85">
        <f>SUM(B10:B48)</f>
        <v>38830.4</v>
      </c>
      <c r="C50" s="85"/>
      <c r="D50" s="85">
        <f>SUM(D10:D48)</f>
        <v>36641.6</v>
      </c>
      <c r="E50" s="85"/>
      <c r="F50" s="85">
        <f>SUM(F9:F48)</f>
        <v>31250.9</v>
      </c>
      <c r="G50" s="65"/>
      <c r="H50" s="87">
        <f>SUMPRODUCT(D11:D48,H11:H48)/SUM(D11:D48)</f>
        <v>0.1225775798</v>
      </c>
      <c r="I50" s="72">
        <f>sum(I11:I48)</f>
        <v>4491.438649</v>
      </c>
      <c r="J50" s="23">
        <f>SUM(J9:J48)</f>
        <v>43.09124</v>
      </c>
    </row>
    <row r="51">
      <c r="B51" s="80"/>
      <c r="D51" s="13"/>
      <c r="E51" s="13"/>
      <c r="F51" s="13"/>
      <c r="G51" s="13" t="str">
        <f t="shared" ref="G51:G70" si="13">IF(AND(D51&lt;&gt;"",F51&lt;&gt;""),(D51-F51)*$L$4,"")</f>
        <v/>
      </c>
      <c r="H51" s="13" t="str">
        <f t="shared" ref="H51:H70" si="14">IF(G51="","",G51*(1-$L$5))</f>
        <v/>
      </c>
      <c r="I51" s="20"/>
    </row>
    <row r="52">
      <c r="B52" s="80"/>
      <c r="D52" s="13"/>
      <c r="E52" s="13"/>
      <c r="F52" s="13"/>
      <c r="G52" s="13" t="str">
        <f t="shared" si="13"/>
        <v/>
      </c>
      <c r="H52" s="13" t="str">
        <f t="shared" si="14"/>
        <v/>
      </c>
      <c r="I52" s="89"/>
    </row>
    <row r="53">
      <c r="B53" s="80"/>
      <c r="D53" s="13"/>
      <c r="E53" s="13"/>
      <c r="F53" s="13"/>
      <c r="G53" s="13" t="str">
        <f t="shared" si="13"/>
        <v/>
      </c>
      <c r="H53" s="13" t="str">
        <f t="shared" si="14"/>
        <v/>
      </c>
      <c r="I53" s="20"/>
    </row>
    <row r="54">
      <c r="B54" s="80"/>
      <c r="D54" s="13"/>
      <c r="E54" s="13"/>
      <c r="F54" s="13"/>
      <c r="G54" s="13" t="str">
        <f t="shared" si="13"/>
        <v/>
      </c>
      <c r="H54" s="13" t="str">
        <f t="shared" si="14"/>
        <v/>
      </c>
      <c r="I54" s="20"/>
    </row>
    <row r="55">
      <c r="B55" s="80"/>
      <c r="D55" s="13"/>
      <c r="E55" s="13"/>
      <c r="F55" s="13"/>
      <c r="G55" s="13" t="str">
        <f t="shared" si="13"/>
        <v/>
      </c>
      <c r="H55" s="13" t="str">
        <f t="shared" si="14"/>
        <v/>
      </c>
      <c r="I55" s="20"/>
    </row>
    <row r="56">
      <c r="B56" s="80"/>
      <c r="D56" s="13"/>
      <c r="E56" s="13"/>
      <c r="F56" s="13"/>
      <c r="G56" s="13" t="str">
        <f t="shared" si="13"/>
        <v/>
      </c>
      <c r="H56" s="13" t="str">
        <f t="shared" si="14"/>
        <v/>
      </c>
      <c r="I56" s="20"/>
    </row>
    <row r="57">
      <c r="B57" s="80"/>
      <c r="D57" s="13"/>
      <c r="E57" s="13"/>
      <c r="F57" s="13"/>
      <c r="G57" s="13" t="str">
        <f t="shared" si="13"/>
        <v/>
      </c>
      <c r="H57" s="13" t="str">
        <f t="shared" si="14"/>
        <v/>
      </c>
      <c r="I57" s="20"/>
    </row>
    <row r="58">
      <c r="B58" s="80"/>
      <c r="D58" s="13"/>
      <c r="E58" s="13"/>
      <c r="F58" s="13"/>
      <c r="G58" s="13" t="str">
        <f t="shared" si="13"/>
        <v/>
      </c>
      <c r="H58" s="13" t="str">
        <f t="shared" si="14"/>
        <v/>
      </c>
      <c r="I58" s="20"/>
    </row>
    <row r="59">
      <c r="B59" s="80"/>
      <c r="D59" s="13"/>
      <c r="E59" s="13"/>
      <c r="F59" s="13"/>
      <c r="G59" s="13" t="str">
        <f t="shared" si="13"/>
        <v/>
      </c>
      <c r="H59" s="13" t="str">
        <f t="shared" si="14"/>
        <v/>
      </c>
      <c r="I59" s="20"/>
    </row>
    <row r="60">
      <c r="B60" s="80"/>
      <c r="D60" s="13"/>
      <c r="E60" s="13"/>
      <c r="F60" s="13"/>
      <c r="G60" s="13" t="str">
        <f t="shared" si="13"/>
        <v/>
      </c>
      <c r="H60" s="13" t="str">
        <f t="shared" si="14"/>
        <v/>
      </c>
      <c r="I60" s="20"/>
    </row>
    <row r="61">
      <c r="B61" s="80"/>
      <c r="D61" s="13"/>
      <c r="E61" s="13"/>
      <c r="F61" s="13"/>
      <c r="G61" s="13" t="str">
        <f t="shared" si="13"/>
        <v/>
      </c>
      <c r="H61" s="13" t="str">
        <f t="shared" si="14"/>
        <v/>
      </c>
      <c r="I61" s="20"/>
    </row>
    <row r="62">
      <c r="B62" s="80"/>
      <c r="D62" s="13"/>
      <c r="E62" s="13"/>
      <c r="F62" s="13"/>
      <c r="G62" s="13" t="str">
        <f t="shared" si="13"/>
        <v/>
      </c>
      <c r="H62" s="13" t="str">
        <f t="shared" si="14"/>
        <v/>
      </c>
      <c r="I62" s="20"/>
    </row>
    <row r="63">
      <c r="B63" s="80"/>
      <c r="D63" s="13"/>
      <c r="E63" s="13"/>
      <c r="F63" s="13"/>
      <c r="G63" s="13" t="str">
        <f t="shared" si="13"/>
        <v/>
      </c>
      <c r="H63" s="13" t="str">
        <f t="shared" si="14"/>
        <v/>
      </c>
      <c r="I63" s="20"/>
    </row>
    <row r="64">
      <c r="B64" s="80"/>
      <c r="D64" s="13"/>
      <c r="E64" s="13"/>
      <c r="F64" s="13"/>
      <c r="G64" s="13" t="str">
        <f t="shared" si="13"/>
        <v/>
      </c>
      <c r="H64" s="13" t="str">
        <f t="shared" si="14"/>
        <v/>
      </c>
      <c r="I64" s="20"/>
    </row>
    <row r="65">
      <c r="B65" s="80"/>
      <c r="D65" s="13"/>
      <c r="E65" s="13"/>
      <c r="F65" s="13"/>
      <c r="G65" s="13" t="str">
        <f t="shared" si="13"/>
        <v/>
      </c>
      <c r="H65" s="13" t="str">
        <f t="shared" si="14"/>
        <v/>
      </c>
      <c r="I65" s="20"/>
    </row>
    <row r="66">
      <c r="B66" s="80"/>
      <c r="D66" s="13"/>
      <c r="E66" s="13"/>
      <c r="F66" s="13"/>
      <c r="G66" s="13" t="str">
        <f t="shared" si="13"/>
        <v/>
      </c>
      <c r="H66" s="13" t="str">
        <f t="shared" si="14"/>
        <v/>
      </c>
      <c r="I66" s="20"/>
    </row>
    <row r="67">
      <c r="B67" s="80"/>
      <c r="D67" s="13"/>
      <c r="E67" s="13"/>
      <c r="F67" s="13"/>
      <c r="G67" s="13" t="str">
        <f t="shared" si="13"/>
        <v/>
      </c>
      <c r="H67" s="13" t="str">
        <f t="shared" si="14"/>
        <v/>
      </c>
      <c r="I67" s="20"/>
    </row>
    <row r="68">
      <c r="B68" s="80"/>
      <c r="D68" s="13"/>
      <c r="E68" s="13"/>
      <c r="F68" s="13"/>
      <c r="G68" s="13" t="str">
        <f t="shared" si="13"/>
        <v/>
      </c>
      <c r="H68" s="13" t="str">
        <f t="shared" si="14"/>
        <v/>
      </c>
      <c r="I68" s="20"/>
    </row>
    <row r="69">
      <c r="B69" s="80"/>
      <c r="D69" s="13"/>
      <c r="E69" s="13"/>
      <c r="F69" s="13"/>
      <c r="G69" s="13" t="str">
        <f t="shared" si="13"/>
        <v/>
      </c>
      <c r="H69" s="13" t="str">
        <f t="shared" si="14"/>
        <v/>
      </c>
      <c r="I69" s="20"/>
    </row>
    <row r="70">
      <c r="B70" s="80"/>
      <c r="D70" s="13"/>
      <c r="E70" s="13"/>
      <c r="F70" s="13"/>
      <c r="G70" s="13" t="str">
        <f t="shared" si="13"/>
        <v/>
      </c>
      <c r="H70" s="13" t="str">
        <f t="shared" si="14"/>
        <v/>
      </c>
      <c r="I70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  <c r="K2" s="4" t="s">
        <v>6</v>
      </c>
    </row>
    <row r="3">
      <c r="A3" s="3" t="s">
        <v>7</v>
      </c>
      <c r="B3" s="5">
        <v>46270.0</v>
      </c>
      <c r="K3" s="4" t="s">
        <v>8</v>
      </c>
      <c r="L3" s="6">
        <v>2.20462</v>
      </c>
    </row>
    <row r="4">
      <c r="A4" s="3" t="s">
        <v>9</v>
      </c>
      <c r="B4" s="5">
        <v>46277.0</v>
      </c>
      <c r="K4" s="4" t="s">
        <v>10</v>
      </c>
      <c r="L4" s="6">
        <v>0.453592</v>
      </c>
    </row>
    <row r="5">
      <c r="K5" s="4" t="s">
        <v>11</v>
      </c>
      <c r="L5" s="6">
        <v>0.0129</v>
      </c>
    </row>
    <row r="6">
      <c r="K6" s="4" t="s">
        <v>12</v>
      </c>
      <c r="L6" s="3" t="s">
        <v>13</v>
      </c>
    </row>
    <row r="7">
      <c r="K7" s="3" t="s">
        <v>145</v>
      </c>
      <c r="L7" s="6">
        <v>0.795241</v>
      </c>
    </row>
    <row r="8">
      <c r="A8" s="1" t="s">
        <v>37</v>
      </c>
      <c r="B8" s="2"/>
      <c r="C8" s="2"/>
      <c r="D8" s="2"/>
      <c r="E8" s="2"/>
      <c r="F8" s="2"/>
      <c r="G8" s="2"/>
      <c r="H8" s="2"/>
      <c r="I8" s="2"/>
      <c r="J8" s="1"/>
      <c r="K8" s="1"/>
      <c r="L8" s="12"/>
      <c r="M8" s="2"/>
      <c r="N8" s="2"/>
    </row>
    <row r="9">
      <c r="A9" s="4"/>
      <c r="B9" s="4" t="s">
        <v>43</v>
      </c>
      <c r="C9" s="4"/>
      <c r="D9" s="4" t="s">
        <v>144</v>
      </c>
      <c r="E9" s="7"/>
      <c r="F9" s="4" t="s">
        <v>46</v>
      </c>
      <c r="G9" s="4"/>
      <c r="H9" s="4"/>
      <c r="I9" s="4"/>
      <c r="J9" s="11"/>
      <c r="K9" s="4" t="s">
        <v>47</v>
      </c>
      <c r="L9" s="11"/>
      <c r="M9" s="11"/>
    </row>
    <row r="10">
      <c r="A10" s="3" t="s">
        <v>48</v>
      </c>
      <c r="B10" s="3" t="s">
        <v>50</v>
      </c>
      <c r="C10" s="16" t="s">
        <v>51</v>
      </c>
      <c r="D10" s="16" t="s">
        <v>52</v>
      </c>
      <c r="E10" s="54" t="s">
        <v>146</v>
      </c>
      <c r="F10" s="16" t="s">
        <v>57</v>
      </c>
      <c r="G10" s="16" t="s">
        <v>58</v>
      </c>
      <c r="H10" s="18" t="s">
        <v>60</v>
      </c>
      <c r="I10" s="3" t="s">
        <v>65</v>
      </c>
      <c r="J10" s="3" t="s">
        <v>67</v>
      </c>
      <c r="K10" s="3" t="s">
        <v>68</v>
      </c>
      <c r="L10" s="6">
        <v>0.7128290192302931</v>
      </c>
      <c r="M10" s="9" t="str">
        <f>HYPERLINK("https://docs.google.com/spreadsheets/d/1L167k_JS3mnisFy3VpS-OXgI8U0cK-4nC6A9sxl-ozk/edit","PP Summary")</f>
        <v>PP Summary</v>
      </c>
    </row>
    <row r="11">
      <c r="C11" s="16"/>
      <c r="D11" s="13"/>
      <c r="E11" s="54"/>
      <c r="F11" s="13"/>
      <c r="G11" s="16"/>
      <c r="H11" s="21"/>
      <c r="K11" s="22" t="s">
        <v>77</v>
      </c>
      <c r="L11" s="6">
        <v>0.9748408534875329</v>
      </c>
      <c r="M11" s="9" t="str">
        <f>HYPERLINK("https://docs.google.com/spreadsheets/d/1W8jWu3sp39WnSuds1Ja0FWDG5UuWN9v5NUmF6yh_WbI/edit","PP Summary")</f>
        <v>PP Summary</v>
      </c>
    </row>
    <row r="12">
      <c r="C12" s="16"/>
      <c r="D12" s="13"/>
      <c r="E12" s="54"/>
      <c r="F12" s="13"/>
      <c r="G12" s="16"/>
      <c r="H12" s="21"/>
      <c r="K12" s="22" t="s">
        <v>78</v>
      </c>
      <c r="L12" s="6">
        <v>0.9721828239230533</v>
      </c>
      <c r="M12" s="9" t="str">
        <f>HYPERLINK("https://docs.google.com/spreadsheets/d/1-L6m2wYknC3o-yIts9KK7FrYAb5lZIv4AwaizK8FbMc/edit","PP Summary")</f>
        <v>PP Summary</v>
      </c>
    </row>
    <row r="13">
      <c r="C13" s="16"/>
      <c r="D13" s="13"/>
      <c r="E13" s="54"/>
      <c r="F13" s="13"/>
      <c r="G13" s="16"/>
      <c r="H13" s="21"/>
      <c r="K13" s="22" t="s">
        <v>79</v>
      </c>
      <c r="L13" s="6">
        <v>0.9319944877512889</v>
      </c>
      <c r="M13" s="9" t="str">
        <f>HYPERLINK("https://docs.google.com/spreadsheets/d/1bPZ7pNsR5rv-om-BypF4lK3nczjn4HJNO2dzimwnx7E/edit","PP Summary")</f>
        <v>PP Summary</v>
      </c>
    </row>
    <row r="14">
      <c r="C14" s="16"/>
      <c r="D14" s="13"/>
      <c r="E14" s="54"/>
      <c r="F14" s="13"/>
      <c r="G14" s="16"/>
      <c r="H14" s="21"/>
      <c r="K14" s="22" t="s">
        <v>81</v>
      </c>
      <c r="L14" s="6">
        <v>0.84989612258998</v>
      </c>
      <c r="M14" s="9" t="str">
        <f>HYPERLINK("https://docs.google.com/spreadsheets/d/1vH7bborVnc-TCby3wEkpzi7GGMOI5jMJooEW0V-rOQ4/edit","PP Summary")</f>
        <v>PP Summary</v>
      </c>
    </row>
    <row r="15">
      <c r="C15" s="16"/>
      <c r="D15" s="13"/>
      <c r="E15" s="54"/>
      <c r="F15" s="13"/>
      <c r="G15" s="16"/>
      <c r="H15" s="21"/>
      <c r="K15" s="22" t="s">
        <v>82</v>
      </c>
      <c r="L15" s="6">
        <v>0.7900645329689984</v>
      </c>
      <c r="M15" s="9" t="str">
        <f>HYPERLINK("https://docs.google.com/spreadsheets/d/1O7y30opa_u1_deqFm_w2qgVyxi_75X00xnzKuyVyh6o/edit","PP Summary")</f>
        <v>PP Summary</v>
      </c>
    </row>
    <row r="16">
      <c r="C16" s="16"/>
      <c r="D16" s="13"/>
      <c r="E16" s="61"/>
      <c r="F16" s="13"/>
      <c r="G16" s="16"/>
      <c r="H16" s="21"/>
      <c r="K16" s="22" t="s">
        <v>83</v>
      </c>
      <c r="L16" s="6">
        <v>0.7848323401347014</v>
      </c>
      <c r="M16" s="9" t="str">
        <f>HYPERLINK("https://docs.google.com/spreadsheets/d/10Qwx7K6sUcOBrCebGUGVaVeLQnhzvcT8sHQ0Sy3VBBM/edit","PP Summary")</f>
        <v>PP Summary</v>
      </c>
    </row>
    <row r="17">
      <c r="C17" s="16"/>
      <c r="D17" s="13"/>
      <c r="E17" s="61"/>
      <c r="F17" s="13"/>
      <c r="G17" s="16"/>
      <c r="H17" s="21"/>
      <c r="K17" s="22" t="s">
        <v>84</v>
      </c>
      <c r="L17" s="6">
        <v>0.6328458891234968</v>
      </c>
      <c r="M17" s="9" t="str">
        <f>HYPERLINK("https://docs.google.com/spreadsheets/d/1m66t1jsLGc4e6AWnCFMsFbkSceZ9IYC_-bfTsbP_OYc/edit","PP Summary")</f>
        <v>PP Summary</v>
      </c>
    </row>
    <row r="18">
      <c r="C18" s="16"/>
      <c r="D18" s="13"/>
      <c r="E18" s="61"/>
      <c r="F18" s="13"/>
      <c r="G18" s="16"/>
      <c r="H18" s="21"/>
      <c r="K18" s="22" t="s">
        <v>86</v>
      </c>
      <c r="L18" s="6">
        <v>1.1105355635937064</v>
      </c>
      <c r="M18" s="9" t="str">
        <f>HYPERLINK("https://docs.google.com/spreadsheets/d/1MUQajDI2a_Cn9xWGPP7z4PhhphZnfl2_CSTnpB07Wgk/edit","PP Summary")</f>
        <v>PP Summary</v>
      </c>
    </row>
    <row r="19">
      <c r="C19" s="16"/>
      <c r="D19" s="13"/>
      <c r="E19" s="61"/>
      <c r="F19" s="13"/>
      <c r="G19" s="16"/>
      <c r="H19" s="21"/>
      <c r="K19" s="3" t="s">
        <v>88</v>
      </c>
      <c r="L19" s="23">
        <f>$L$7</f>
        <v>0.795241</v>
      </c>
    </row>
    <row r="20">
      <c r="C20" s="16"/>
      <c r="D20" s="13"/>
      <c r="E20" s="61"/>
      <c r="F20" s="13"/>
      <c r="G20" s="16"/>
      <c r="H20" s="21"/>
    </row>
    <row r="21">
      <c r="C21" s="16"/>
      <c r="D21" s="13"/>
      <c r="E21" s="61"/>
      <c r="F21" s="13"/>
      <c r="G21" s="16"/>
      <c r="H21" s="21"/>
    </row>
    <row r="22">
      <c r="C22" s="16"/>
      <c r="D22" s="13"/>
      <c r="E22" s="61"/>
      <c r="F22" s="13"/>
      <c r="G22" s="16"/>
      <c r="H22" s="21"/>
    </row>
    <row r="23">
      <c r="C23" s="16"/>
      <c r="D23" s="13"/>
      <c r="E23" s="61"/>
      <c r="F23" s="13"/>
      <c r="G23" s="16"/>
      <c r="H23" s="21"/>
    </row>
    <row r="24">
      <c r="C24" s="13"/>
      <c r="D24" s="13"/>
      <c r="E24" s="24"/>
      <c r="F24" s="13"/>
      <c r="G24" s="13"/>
      <c r="H24" s="21"/>
    </row>
    <row r="25">
      <c r="A25" s="3" t="s">
        <v>94</v>
      </c>
      <c r="B25" s="23">
        <f t="shared" ref="B25:F25" si="1">SUM(B11:B23)</f>
        <v>0</v>
      </c>
      <c r="C25" s="13">
        <f t="shared" si="1"/>
        <v>0</v>
      </c>
      <c r="D25" s="13">
        <f t="shared" si="1"/>
        <v>0</v>
      </c>
      <c r="E25" s="24">
        <f t="shared" si="1"/>
        <v>0</v>
      </c>
      <c r="F25" s="13">
        <f t="shared" si="1"/>
        <v>0</v>
      </c>
      <c r="G25" s="13"/>
      <c r="H25" s="21" t="str">
        <f>I25/D25</f>
        <v>#DIV/0!</v>
      </c>
      <c r="I25" s="23">
        <f t="shared" ref="I25:J25" si="2">SUM(I11:I23)</f>
        <v>0</v>
      </c>
      <c r="J25" s="23">
        <f t="shared" si="2"/>
        <v>0</v>
      </c>
    </row>
    <row r="26">
      <c r="C26" s="13"/>
      <c r="D26" s="13"/>
      <c r="E26" s="24"/>
      <c r="F26" s="13"/>
      <c r="G26" s="13"/>
      <c r="H26" s="20"/>
    </row>
    <row r="27">
      <c r="E27" s="24"/>
      <c r="F27" s="13"/>
      <c r="G27" s="13"/>
      <c r="H27" s="20"/>
    </row>
    <row r="28">
      <c r="E28" s="24"/>
      <c r="F28" s="13"/>
      <c r="G28" s="13"/>
      <c r="H28" s="20"/>
    </row>
    <row r="29">
      <c r="E29" s="24"/>
      <c r="F29" s="13"/>
      <c r="G29" s="13"/>
      <c r="H29" s="20"/>
    </row>
    <row r="30">
      <c r="C30" s="13"/>
      <c r="D30" s="13"/>
      <c r="E30" s="13"/>
      <c r="F30" s="13"/>
      <c r="G30" s="13"/>
      <c r="H30" s="20"/>
    </row>
    <row r="31">
      <c r="A31" s="1" t="s">
        <v>103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104</v>
      </c>
      <c r="B32" s="3" t="s">
        <v>106</v>
      </c>
      <c r="C32" s="16" t="s">
        <v>63</v>
      </c>
      <c r="D32" s="35" t="s">
        <v>108</v>
      </c>
      <c r="E32" s="20"/>
      <c r="F32" s="20"/>
    </row>
    <row r="33">
      <c r="A33" s="23">
        <f>B25</f>
        <v>0</v>
      </c>
      <c r="B33" s="13">
        <f>SUM(D11:D23)</f>
        <v>0</v>
      </c>
      <c r="C33" s="13" t="str">
        <f>IF(D33=0,"",B33-D33)</f>
        <v/>
      </c>
      <c r="D33" s="65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6" t="s">
        <v>156</v>
      </c>
      <c r="B1" s="67"/>
      <c r="C1" s="67"/>
      <c r="D1" s="67"/>
      <c r="E1" s="67"/>
      <c r="F1" s="67"/>
      <c r="G1" s="67"/>
    </row>
    <row r="4">
      <c r="A4" s="4" t="s">
        <v>1</v>
      </c>
      <c r="B4" s="11"/>
      <c r="C4" s="11"/>
      <c r="D4" s="11"/>
      <c r="E4" s="11"/>
      <c r="F4" s="11"/>
      <c r="G4" s="11"/>
    </row>
    <row r="5">
      <c r="A5" s="4" t="s">
        <v>160</v>
      </c>
      <c r="B5" s="4" t="s">
        <v>161</v>
      </c>
      <c r="C5" s="4" t="s">
        <v>162</v>
      </c>
      <c r="D5" s="4" t="s">
        <v>163</v>
      </c>
      <c r="E5" s="4" t="s">
        <v>164</v>
      </c>
      <c r="F5" s="11"/>
      <c r="G5" s="11"/>
    </row>
    <row r="6">
      <c r="A6" s="3" t="s">
        <v>5</v>
      </c>
      <c r="B6" s="3" t="s">
        <v>98</v>
      </c>
      <c r="C6" s="3" t="s">
        <v>165</v>
      </c>
      <c r="D6" s="6">
        <f>COUNTA(QOWV!A11:A48)</f>
        <v>38</v>
      </c>
      <c r="E6" s="3" t="s">
        <v>167</v>
      </c>
    </row>
    <row r="8">
      <c r="A8" s="4" t="s">
        <v>168</v>
      </c>
      <c r="B8" s="19">
        <v>1201.0</v>
      </c>
      <c r="C8" s="4" t="s">
        <v>169</v>
      </c>
      <c r="D8" s="11"/>
      <c r="E8" s="11"/>
      <c r="F8" s="11"/>
      <c r="G8" s="11"/>
    </row>
    <row r="10">
      <c r="A10" s="4" t="s">
        <v>171</v>
      </c>
      <c r="B10" s="11"/>
      <c r="C10" s="11"/>
      <c r="D10" s="11"/>
      <c r="E10" s="11"/>
      <c r="F10" s="11"/>
      <c r="G10" s="11"/>
    </row>
    <row r="11">
      <c r="A11" s="4" t="s">
        <v>173</v>
      </c>
      <c r="B11" s="4" t="s">
        <v>174</v>
      </c>
      <c r="C11" s="4" t="s">
        <v>175</v>
      </c>
      <c r="D11" s="4" t="s">
        <v>177</v>
      </c>
      <c r="E11" s="4" t="s">
        <v>178</v>
      </c>
      <c r="F11" s="4" t="s">
        <v>179</v>
      </c>
      <c r="G11" s="4" t="s">
        <v>180</v>
      </c>
    </row>
    <row r="12">
      <c r="A12" s="3" t="s">
        <v>181</v>
      </c>
      <c r="B12" s="70">
        <v>45992.0</v>
      </c>
      <c r="C12" s="6">
        <v>20.0</v>
      </c>
      <c r="D12" s="6">
        <v>9.0</v>
      </c>
      <c r="E12" s="71">
        <f t="shared" ref="E12:E14" si="1">D12/C12</f>
        <v>0.45</v>
      </c>
      <c r="F12" s="23">
        <f t="shared" ref="F12:F14" si="2">$B$8</f>
        <v>1201</v>
      </c>
      <c r="G12" s="20">
        <f t="shared" ref="G12:G14" si="3">E12*F12</f>
        <v>540.45</v>
      </c>
    </row>
    <row r="13">
      <c r="A13" s="3" t="s">
        <v>189</v>
      </c>
      <c r="B13" s="70">
        <v>45992.0</v>
      </c>
      <c r="C13" s="6">
        <v>20.0</v>
      </c>
      <c r="D13" s="6">
        <v>9.0</v>
      </c>
      <c r="E13" s="71">
        <f t="shared" si="1"/>
        <v>0.45</v>
      </c>
      <c r="F13" s="23">
        <f t="shared" si="2"/>
        <v>1201</v>
      </c>
      <c r="G13" s="20">
        <f t="shared" si="3"/>
        <v>540.45</v>
      </c>
    </row>
    <row r="14">
      <c r="A14" s="3" t="s">
        <v>191</v>
      </c>
      <c r="B14" s="70">
        <v>46260.0</v>
      </c>
      <c r="C14" s="6">
        <v>20.0</v>
      </c>
      <c r="D14" s="6">
        <v>20.0</v>
      </c>
      <c r="E14" s="71">
        <f t="shared" si="1"/>
        <v>1</v>
      </c>
      <c r="F14" s="23">
        <f t="shared" si="2"/>
        <v>1201</v>
      </c>
      <c r="G14" s="20">
        <f t="shared" si="3"/>
        <v>1201</v>
      </c>
    </row>
    <row r="15">
      <c r="B15" s="26"/>
      <c r="E15" s="71"/>
      <c r="G15" s="20"/>
    </row>
    <row r="16">
      <c r="A16" s="4" t="s">
        <v>94</v>
      </c>
      <c r="B16" s="11"/>
      <c r="C16" s="11">
        <f t="shared" ref="C16:D16" si="4">SUM(C12:C14)</f>
        <v>60</v>
      </c>
      <c r="D16" s="11">
        <f t="shared" si="4"/>
        <v>38</v>
      </c>
      <c r="E16" s="11"/>
      <c r="F16" s="11"/>
      <c r="G16" s="72">
        <f>SUM(G12:G14)</f>
        <v>2281.9</v>
      </c>
    </row>
    <row r="18">
      <c r="A18" s="4"/>
      <c r="B18" s="11"/>
      <c r="C18" s="11"/>
      <c r="D18" s="11"/>
      <c r="E18" s="11"/>
      <c r="F18" s="11"/>
      <c r="G18" s="11"/>
    </row>
    <row r="19">
      <c r="A19" s="4"/>
      <c r="B19" s="4"/>
      <c r="C19" s="4"/>
      <c r="D19" s="4"/>
      <c r="E19" s="11"/>
      <c r="F19" s="11"/>
      <c r="G19" s="11"/>
    </row>
    <row r="20">
      <c r="C20" s="20"/>
    </row>
    <row r="22">
      <c r="A22" s="4"/>
      <c r="B22" s="11"/>
      <c r="C22" s="11"/>
      <c r="D22" s="11"/>
      <c r="E22" s="11"/>
      <c r="F22" s="11"/>
      <c r="G22" s="11"/>
    </row>
    <row r="23">
      <c r="A23" s="4"/>
      <c r="B23" s="4"/>
      <c r="C23" s="4"/>
      <c r="D23" s="4"/>
      <c r="E23" s="4"/>
      <c r="F23" s="11"/>
    </row>
    <row r="24">
      <c r="D24" s="26"/>
    </row>
    <row r="25">
      <c r="D25" s="26"/>
    </row>
    <row r="26">
      <c r="D26" s="26"/>
    </row>
    <row r="27">
      <c r="D27" s="26"/>
    </row>
    <row r="28">
      <c r="D28" s="26"/>
    </row>
    <row r="29">
      <c r="D29" s="26"/>
    </row>
    <row r="30">
      <c r="D30" s="26"/>
    </row>
    <row r="31">
      <c r="D31" s="26"/>
    </row>
    <row r="32">
      <c r="D32" s="26"/>
    </row>
    <row r="33">
      <c r="D33" s="26"/>
    </row>
    <row r="34">
      <c r="A34" s="11"/>
      <c r="B34" s="11"/>
      <c r="C34" s="4"/>
      <c r="D34" s="11"/>
      <c r="E34" s="11"/>
      <c r="F34" s="11"/>
    </row>
    <row r="36">
      <c r="A36" s="4"/>
      <c r="B36" s="11"/>
      <c r="C36" s="11"/>
      <c r="D36" s="11"/>
      <c r="E36" s="11"/>
      <c r="F36" s="11"/>
    </row>
    <row r="37">
      <c r="A37" s="4"/>
      <c r="B37" s="4"/>
      <c r="C37" s="4"/>
      <c r="D37" s="4"/>
      <c r="E37" s="4"/>
      <c r="F37" s="11"/>
    </row>
    <row r="38">
      <c r="D38" s="26"/>
    </row>
    <row r="39">
      <c r="D39" s="26"/>
    </row>
    <row r="40">
      <c r="D40" s="26"/>
    </row>
    <row r="41">
      <c r="D41" s="26"/>
    </row>
    <row r="42">
      <c r="D42" s="26"/>
    </row>
    <row r="43">
      <c r="D43" s="26"/>
    </row>
    <row r="44">
      <c r="D44" s="26"/>
    </row>
    <row r="45">
      <c r="D45" s="26"/>
    </row>
    <row r="46">
      <c r="D46" s="26"/>
    </row>
    <row r="47">
      <c r="D47" s="26"/>
    </row>
    <row r="48">
      <c r="D48" s="26"/>
    </row>
    <row r="49">
      <c r="D49" s="26"/>
    </row>
    <row r="50">
      <c r="D50" s="26"/>
    </row>
    <row r="51">
      <c r="D51" s="26"/>
    </row>
    <row r="52">
      <c r="D52" s="26"/>
    </row>
    <row r="53">
      <c r="D53" s="26"/>
    </row>
    <row r="54">
      <c r="D54" s="26"/>
    </row>
    <row r="55">
      <c r="A55" s="11"/>
      <c r="B55" s="11"/>
      <c r="C55" s="4"/>
      <c r="D55" s="11"/>
      <c r="E55" s="11"/>
      <c r="F55" s="11"/>
    </row>
    <row r="57">
      <c r="A57" s="4" t="s">
        <v>199</v>
      </c>
      <c r="B57" s="11"/>
      <c r="C57" s="11"/>
      <c r="D57" s="11"/>
      <c r="E57" s="11"/>
      <c r="F57" s="11"/>
    </row>
    <row r="58">
      <c r="A58" s="4" t="s">
        <v>200</v>
      </c>
      <c r="B58" s="4" t="s">
        <v>161</v>
      </c>
      <c r="C58" s="4" t="s">
        <v>58</v>
      </c>
      <c r="D58" s="4" t="s">
        <v>201</v>
      </c>
      <c r="E58" s="4" t="s">
        <v>160</v>
      </c>
      <c r="F58" s="11"/>
    </row>
    <row r="59">
      <c r="A59" s="3">
        <v>228427.0</v>
      </c>
      <c r="B59" s="3" t="s">
        <v>98</v>
      </c>
      <c r="C59" s="22" t="s">
        <v>202</v>
      </c>
      <c r="D59" s="26">
        <v>46001.0</v>
      </c>
      <c r="E59" s="3" t="s">
        <v>203</v>
      </c>
    </row>
    <row r="60">
      <c r="A60" s="3">
        <v>228408.0</v>
      </c>
      <c r="B60" s="3" t="s">
        <v>98</v>
      </c>
      <c r="C60" s="22" t="s">
        <v>205</v>
      </c>
      <c r="D60" s="26">
        <v>46001.0</v>
      </c>
      <c r="E60" s="3" t="s">
        <v>203</v>
      </c>
    </row>
    <row r="61">
      <c r="A61" s="3">
        <v>228465.0</v>
      </c>
      <c r="B61" s="3" t="s">
        <v>98</v>
      </c>
      <c r="C61" s="22" t="s">
        <v>202</v>
      </c>
      <c r="D61" s="26">
        <v>46001.0</v>
      </c>
      <c r="E61" s="3" t="s">
        <v>203</v>
      </c>
    </row>
    <row r="62">
      <c r="A62" s="3">
        <v>228496.0</v>
      </c>
      <c r="B62" s="3" t="s">
        <v>98</v>
      </c>
      <c r="C62" s="22" t="s">
        <v>202</v>
      </c>
      <c r="D62" s="26">
        <v>46001.0</v>
      </c>
      <c r="E62" s="3" t="s">
        <v>203</v>
      </c>
    </row>
    <row r="63">
      <c r="A63" s="3">
        <v>228431.0</v>
      </c>
      <c r="B63" s="3" t="s">
        <v>98</v>
      </c>
      <c r="C63" s="22" t="s">
        <v>202</v>
      </c>
      <c r="D63" s="26">
        <v>46001.0</v>
      </c>
      <c r="E63" s="3" t="s">
        <v>203</v>
      </c>
    </row>
    <row r="64">
      <c r="A64" s="3">
        <v>228455.0</v>
      </c>
      <c r="B64" s="3" t="s">
        <v>98</v>
      </c>
      <c r="C64" s="22" t="s">
        <v>202</v>
      </c>
      <c r="D64" s="26">
        <v>46001.0</v>
      </c>
      <c r="E64" s="3" t="s">
        <v>203</v>
      </c>
    </row>
    <row r="65">
      <c r="A65" s="3">
        <v>228458.0</v>
      </c>
      <c r="B65" s="3" t="s">
        <v>98</v>
      </c>
      <c r="C65" s="22" t="s">
        <v>202</v>
      </c>
      <c r="D65" s="26">
        <v>46001.0</v>
      </c>
      <c r="E65" s="3" t="s">
        <v>203</v>
      </c>
    </row>
    <row r="66">
      <c r="A66" s="3">
        <v>228422.0</v>
      </c>
      <c r="B66" s="3" t="s">
        <v>98</v>
      </c>
      <c r="C66" s="22" t="s">
        <v>202</v>
      </c>
      <c r="D66" s="26">
        <v>46001.0</v>
      </c>
      <c r="E66" s="3" t="s">
        <v>203</v>
      </c>
    </row>
    <row r="67">
      <c r="A67" s="3">
        <v>228466.0</v>
      </c>
      <c r="B67" s="3" t="s">
        <v>98</v>
      </c>
      <c r="C67" s="22" t="s">
        <v>202</v>
      </c>
      <c r="D67" s="26">
        <v>46001.0</v>
      </c>
      <c r="E67" s="3" t="s">
        <v>203</v>
      </c>
    </row>
    <row r="68">
      <c r="A68" s="3">
        <v>228462.0</v>
      </c>
      <c r="B68" s="3" t="s">
        <v>98</v>
      </c>
      <c r="C68" s="22" t="s">
        <v>202</v>
      </c>
      <c r="D68" s="26">
        <v>46001.0</v>
      </c>
      <c r="E68" s="3" t="s">
        <v>203</v>
      </c>
    </row>
    <row r="69">
      <c r="A69" s="3">
        <v>228494.0</v>
      </c>
      <c r="B69" s="3" t="s">
        <v>98</v>
      </c>
      <c r="C69" s="22" t="s">
        <v>202</v>
      </c>
      <c r="D69" s="26">
        <v>46001.0</v>
      </c>
      <c r="E69" s="3" t="s">
        <v>203</v>
      </c>
    </row>
    <row r="70">
      <c r="A70" s="3">
        <v>228438.0</v>
      </c>
      <c r="B70" s="3" t="s">
        <v>98</v>
      </c>
      <c r="C70" s="22" t="s">
        <v>202</v>
      </c>
      <c r="D70" s="26">
        <v>46001.0</v>
      </c>
      <c r="E70" s="3" t="s">
        <v>203</v>
      </c>
    </row>
    <row r="71">
      <c r="A71" s="3">
        <v>228403.0</v>
      </c>
      <c r="B71" s="3" t="s">
        <v>98</v>
      </c>
      <c r="C71" s="22" t="s">
        <v>202</v>
      </c>
      <c r="D71" s="26">
        <v>46001.0</v>
      </c>
      <c r="E71" s="3" t="s">
        <v>203</v>
      </c>
    </row>
    <row r="72">
      <c r="A72" s="3">
        <v>228476.0</v>
      </c>
      <c r="B72" s="3" t="s">
        <v>98</v>
      </c>
      <c r="C72" s="22" t="s">
        <v>202</v>
      </c>
      <c r="D72" s="26">
        <v>46001.0</v>
      </c>
      <c r="E72" s="3" t="s">
        <v>203</v>
      </c>
    </row>
    <row r="73">
      <c r="A73" s="11"/>
      <c r="B73" s="11"/>
      <c r="C73" s="4"/>
      <c r="D73" s="11"/>
      <c r="E73" s="11"/>
      <c r="F73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176</v>
      </c>
    </row>
    <row r="4">
      <c r="A4" s="3" t="s">
        <v>1</v>
      </c>
    </row>
    <row r="5">
      <c r="A5" s="3" t="s">
        <v>160</v>
      </c>
      <c r="B5" s="3" t="s">
        <v>161</v>
      </c>
      <c r="C5" s="3" t="s">
        <v>162</v>
      </c>
      <c r="D5" s="3" t="s">
        <v>163</v>
      </c>
      <c r="E5" s="3" t="s">
        <v>182</v>
      </c>
    </row>
    <row r="6">
      <c r="A6" s="3" t="s">
        <v>5</v>
      </c>
      <c r="B6" s="3" t="s">
        <v>119</v>
      </c>
      <c r="C6" s="3" t="s">
        <v>165</v>
      </c>
      <c r="D6" s="23">
        <f>COUNTA(WODO!A11:A23)</f>
        <v>0</v>
      </c>
      <c r="E6" s="3" t="s">
        <v>184</v>
      </c>
    </row>
    <row r="8">
      <c r="A8" s="3" t="s">
        <v>185</v>
      </c>
      <c r="B8" s="6">
        <v>1201.0</v>
      </c>
    </row>
    <row r="10">
      <c r="A10" s="3" t="s">
        <v>186</v>
      </c>
    </row>
    <row r="11">
      <c r="A11" s="3" t="s">
        <v>173</v>
      </c>
      <c r="B11" s="3" t="s">
        <v>174</v>
      </c>
      <c r="C11" s="3" t="s">
        <v>175</v>
      </c>
      <c r="D11" s="3" t="s">
        <v>177</v>
      </c>
      <c r="E11" s="3" t="s">
        <v>178</v>
      </c>
      <c r="F11" s="3" t="s">
        <v>179</v>
      </c>
      <c r="G11" s="3" t="s">
        <v>180</v>
      </c>
    </row>
    <row r="12">
      <c r="B12" s="26"/>
      <c r="D12" s="23">
        <f>$D$6</f>
        <v>0</v>
      </c>
      <c r="E12" s="23" t="str">
        <f>IFERROR(D12/C12,"")</f>
        <v/>
      </c>
      <c r="F12" s="23">
        <f>$B$8</f>
        <v>1201</v>
      </c>
      <c r="G12" s="23">
        <f>IFERROR(E12*F12,"")</f>
        <v>0</v>
      </c>
    </row>
    <row r="14">
      <c r="A14" s="3" t="s">
        <v>94</v>
      </c>
      <c r="C14" s="23">
        <f t="shared" ref="C14:D14" si="1">SUM(C12:C13)</f>
        <v>0</v>
      </c>
      <c r="D14" s="23">
        <f t="shared" si="1"/>
        <v>0</v>
      </c>
      <c r="G14" s="23">
        <f>SUM(G12:G13)</f>
        <v>0</v>
      </c>
    </row>
    <row r="16">
      <c r="A16" s="3" t="s">
        <v>195</v>
      </c>
      <c r="B16" s="23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220</v>
      </c>
    </row>
    <row r="4">
      <c r="A4" s="3" t="s">
        <v>1</v>
      </c>
    </row>
    <row r="5">
      <c r="A5" s="3" t="s">
        <v>160</v>
      </c>
      <c r="B5" s="3" t="s">
        <v>161</v>
      </c>
      <c r="C5" s="3" t="s">
        <v>162</v>
      </c>
      <c r="D5" s="3" t="s">
        <v>163</v>
      </c>
      <c r="E5" s="3" t="s">
        <v>182</v>
      </c>
    </row>
    <row r="6">
      <c r="A6" s="3" t="s">
        <v>5</v>
      </c>
      <c r="B6" s="3" t="s">
        <v>224</v>
      </c>
      <c r="C6" s="3" t="s">
        <v>165</v>
      </c>
      <c r="D6" s="23">
        <f>COUNTA('Whole Oil'!A11:A23)</f>
        <v>0</v>
      </c>
    </row>
    <row r="8">
      <c r="A8" s="3" t="s">
        <v>185</v>
      </c>
      <c r="B8" s="6">
        <v>1201.0</v>
      </c>
    </row>
    <row r="10">
      <c r="A10" s="3" t="s">
        <v>186</v>
      </c>
    </row>
    <row r="11">
      <c r="A11" s="3" t="s">
        <v>173</v>
      </c>
      <c r="B11" s="3" t="s">
        <v>174</v>
      </c>
      <c r="C11" s="3" t="s">
        <v>175</v>
      </c>
      <c r="D11" s="3" t="s">
        <v>177</v>
      </c>
      <c r="E11" s="3" t="s">
        <v>178</v>
      </c>
      <c r="F11" s="3" t="s">
        <v>179</v>
      </c>
      <c r="G11" s="3" t="s">
        <v>180</v>
      </c>
    </row>
    <row r="12">
      <c r="B12" s="26"/>
    </row>
    <row r="14">
      <c r="A14" s="3" t="s">
        <v>94</v>
      </c>
      <c r="C14" s="23">
        <f t="shared" ref="C14:D14" si="1">SUM(C12:C13)</f>
        <v>0</v>
      </c>
      <c r="D14" s="23">
        <f t="shared" si="1"/>
        <v>0</v>
      </c>
      <c r="G14" s="23">
        <f>SUM(G12:G13)</f>
        <v>0</v>
      </c>
    </row>
    <row r="16">
      <c r="A16" s="3" t="s">
        <v>195</v>
      </c>
      <c r="B16" s="23" t="str">
        <f>IF($D$14=$D$6,"OK","MISMATCH")</f>
        <v>OK</v>
      </c>
    </row>
  </sheetData>
  <drawing r:id="rId1"/>
</worksheet>
</file>