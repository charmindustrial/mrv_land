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<sst xmlns="http://schemas.openxmlformats.org/spreadsheetml/2006/main" count="441" uniqueCount="250">
  <si>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HEADER — AECN Rail</t>
  </si>
  <si>
    <t>BATCH SUMMARY</t>
  </si>
  <si>
    <t>BATCH HEADER — AECN Truck (Direct from Fort Lupton)</t>
  </si>
  <si>
    <t>Batch ID (INJ-YYYY-WXX)</t>
  </si>
  <si>
    <t>INJ-09-2026-W4</t>
  </si>
  <si>
    <t>Constants</t>
  </si>
  <si>
    <t>Week Start (Sat)</t>
  </si>
  <si>
    <t>Batch ID</t>
  </si>
  <si>
    <t>Lbs/Kg</t>
  </si>
  <si>
    <t>Week End (Sat)</t>
  </si>
  <si>
    <t>Kg/Lbs</t>
  </si>
  <si>
    <t>Sparging Mass Loss</t>
  </si>
  <si>
    <t>pH range (target)</t>
  </si>
  <si>
    <t>2.0 - 4.0</t>
  </si>
  <si>
    <t>SECTION 1 - PER-TAB SUMMARY  (each row pulls from its mode tab)</t>
  </si>
  <si>
    <t>Filtration Solids Content</t>
  </si>
  <si>
    <t>SECTION 1 - DELIVERIES LEDGER  (one row per direct truck; BOL &amp; scale ticket on same row)</t>
  </si>
  <si>
    <t>Source Tab</t>
  </si>
  <si>
    <t>Σ Deliveries / Cargo (kg)</t>
  </si>
  <si>
    <t>Σ Uncertainty Adj (kg)</t>
  </si>
  <si>
    <t>Mass Used (kg)</t>
  </si>
  <si>
    <t>Date</t>
  </si>
  <si>
    <t>BOL # / SO #</t>
  </si>
  <si>
    <t>BOL Mass (MT)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</si>
  <si>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</si>
  <si>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</si>
  <si>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</si>
  <si>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</si>
  <si>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</si>
  <si>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</si>
  <si>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BATCH HEADER — Kerry (Calciner Waste Oil, Tankers)</t>
  </si>
  <si>
    <t>BOL Mass (kg)</t>
  </si>
  <si>
    <t>Scale Full (lb)</t>
  </si>
  <si>
    <t>Scale Empty (lb)</t>
  </si>
  <si>
    <t>Cargo (kg)</t>
  </si>
  <si>
    <t>pH</t>
  </si>
  <si>
    <t>Notes</t>
  </si>
  <si>
    <t>AECN Rail</t>
  </si>
  <si>
    <t>C Content</t>
  </si>
  <si>
    <t>EE Miles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</si>
  <si>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</si>
  <si>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</si>
  <si>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</si>
  <si>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</si>
  <si>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</si>
  <si>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</si>
  <si>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</si>
  <si>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</si>
  <si>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</si>
  <si>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</si>
  <si>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</si>
  <si>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</si>
  <si>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</si>
  <si>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</si>
  <si>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</si>
  <si>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</si>
  <si>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</si>
  <si>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</si>
  <si>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</si>
  <si>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Testing Uncertainty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</si>
  <si>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</si>
  <si>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</si>
  <si>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</si>
  <si>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</si>
  <si>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</si>
  <si>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</si>
  <si>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C Content Uncertainty</t>
  </si>
  <si>
    <t>Mass Uncertainty (Scaling)</t>
  </si>
  <si>
    <t>WILA004</t>
  </si>
  <si>
    <t>AECN Truck</t>
  </si>
  <si>
    <t>RailLogix Load in Baton Rouge</t>
  </si>
  <si>
    <t>Charm WODO</t>
  </si>
  <si>
    <t>Y</t>
  </si>
  <si>
    <t>SHPX215039</t>
  </si>
  <si>
    <t>2459-R, 2460-R, 2461-R</t>
  </si>
  <si>
    <t>SHPX215091</t>
  </si>
  <si>
    <t>2465-R, 2466-R, 2467-R</t>
  </si>
  <si>
    <t>Kerry</t>
  </si>
  <si>
    <t>SECTION 2 - ROLLUP  (Mass Used = Σ BOL kg; scale tickets no longer required for direct trucks per 2026-05-26)</t>
  </si>
  <si>
    <t>SHPX215079</t>
  </si>
  <si>
    <t>2453-R, 2454-R, 2455-R</t>
  </si>
  <si>
    <t>Σ BOL (kg)</t>
  </si>
  <si>
    <t>Σ Cargo (kg)</t>
  </si>
  <si>
    <t>Uncertainty Adjustment (kg)</t>
  </si>
  <si>
    <t>QOWV</t>
  </si>
  <si>
    <t xml:space="preserve">C Content </t>
  </si>
  <si>
    <t>Origins list (BOLs)</t>
  </si>
  <si>
    <t>SECTION 2 - ORIGINS LEDGER  (loading BOLs at SOPOR)</t>
  </si>
  <si>
    <t>SECTION 2 - ROLLUP</t>
  </si>
  <si>
    <t>BOL #</t>
  </si>
  <si>
    <t>Σ Net Injected (kg)</t>
  </si>
  <si>
    <t>TOTAL</t>
  </si>
  <si>
    <t>C Content (composite - see Summary)</t>
  </si>
  <si>
    <t>Origins list (Tanker UIDs)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</si>
  <si>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</si>
  <si>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</si>
  <si>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</si>
  <si>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</si>
  <si>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</si>
  <si>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</si>
  <si>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AECN</t>
  </si>
  <si>
    <t>SR26-05719.002</t>
  </si>
  <si>
    <t>WODO</t>
  </si>
  <si>
    <t>SR26-05719.001</t>
  </si>
  <si>
    <t>SR26-05719.003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</si>
  <si>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</si>
  <si>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</si>
  <si>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</si>
  <si>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</si>
  <si>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</si>
  <si>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</si>
  <si>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</si>
  <si>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</si>
  <si>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 xml:space="preserve"> </t>
  </si>
  <si>
    <t>BATCH HEADER — Charm WODO (IBC Totes)</t>
  </si>
  <si>
    <t>BATCH HEADER — QOWV (Aqueous Bio-Oil, IBC Totes)</t>
  </si>
  <si>
    <t>WODO 6-Mo CI (kg CO2e/kg), Jul-Dec 2026</t>
  </si>
  <si>
    <t>SECTION 1 - IBC LEDGER  (one row per IBC tote; tote tag mass is authoritative)</t>
  </si>
  <si>
    <t>WODO Standard Loss (kg/tote), 2026 = Mean + 1 SD</t>
  </si>
  <si>
    <t>QOWV 6-Mo CI (kg CO2e/kg), Jul-Dec 2026</t>
  </si>
  <si>
    <t>SECTION 1 - IBC LEDGER  (one row per QOWV tote; tote tag mass is authoritative)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</si>
  <si>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</si>
  <si>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</si>
  <si>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</si>
  <si>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</si>
  <si>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</si>
  <si>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Pyrolysis Emissions Mass</t>
  </si>
  <si>
    <t>PP#8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</si>
  <si>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</si>
  <si>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</si>
  <si>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</si>
  <si>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</si>
  <si>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</si>
  <si>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</si>
  <si>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</si>
  <si>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November 2025</t>
  </si>
  <si>
    <t>Carbon Intensity</t>
  </si>
  <si>
    <t>Production  Emissions</t>
  </si>
  <si>
    <t>December 2025</t>
  </si>
  <si>
    <t>January 2026</t>
  </si>
  <si>
    <t>BATCH HEADER — Whole Oil (IBC Totes)</t>
  </si>
  <si>
    <t>February 2026</t>
  </si>
  <si>
    <t>March 2026</t>
  </si>
  <si>
    <t>INJ-09-2026-W3</t>
  </si>
  <si>
    <t>April 2026</t>
  </si>
  <si>
    <t>MFO Lot 301105 (LOT00301105), June 2026</t>
  </si>
  <si>
    <t>WODO 6-Mo CI (kg CO2e/kg), Jul-Dec 2026 — BORROWED for Whole Oil (no DC Whole Oil CI yet)</t>
  </si>
  <si>
    <t>May 2026</t>
  </si>
  <si>
    <t>June 2026</t>
  </si>
  <si>
    <t>July 2026 and later (Jan-Jun 2026 rolling)</t>
  </si>
  <si>
    <t>MFO Lot 301106 (LOT00301106), June 2026</t>
  </si>
  <si>
    <t>MFO Lot 301107 (LOT00301107), June 2026</t>
  </si>
  <si>
    <t>MFO Lot 301136 (LOT00301136), June 2026</t>
  </si>
  <si>
    <t>MFO Lot 301155 (LOT00301155), June 2026</t>
  </si>
  <si>
    <t>MFO Lot 301157 (LOT00301157), June 2026</t>
  </si>
  <si>
    <t>MFO Lot 301166 (LOT00301166), June 2026</t>
  </si>
  <si>
    <t>INJ-09-2026-W4 - QOWV Shipments &amp; EE Allocation</t>
  </si>
  <si>
    <t>MFO Lot 301186 (LOT00301186), June 2026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</si>
  <si>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</si>
  <si>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</si>
  <si>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</si>
  <si>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</si>
  <si>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</si>
  <si>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</si>
  <si>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Transport Mass</t>
  </si>
  <si>
    <t>Σ Net Oil Produced (kg)</t>
  </si>
  <si>
    <t>MFO Lot 301189 (LOT00301189), June 2026</t>
  </si>
  <si>
    <t>MOBI — Σ Net Oil Injected (kg)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</si>
  <si>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</si>
  <si>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</si>
  <si>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</si>
  <si>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</si>
  <si>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</si>
  <si>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</si>
  <si>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</si>
  <si>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</si>
  <si>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</si>
  <si>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</si>
  <si>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</si>
  <si>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</si>
  <si>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MFO Lot 301191 (LOT00301191), June 2026</t>
  </si>
  <si>
    <t>PP#7</t>
  </si>
  <si>
    <t>MFO Lot 301201 (LOT00301201), June 2026</t>
  </si>
  <si>
    <t>COLA-38</t>
  </si>
  <si>
    <t>COLA-39</t>
  </si>
  <si>
    <t>COLA-40</t>
  </si>
  <si>
    <t>MFO Lot 301204 (LOT00301204), June 2026</t>
  </si>
  <si>
    <t>MFO Lot 301210 (LOT00301210), June 2026</t>
  </si>
  <si>
    <t>MFO Lot 301211 (LOT00301211), June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</si>
  <si>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</si>
  <si>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301212 (LOT00301212), June 2026</t>
  </si>
  <si>
    <t>MFO Lot 301215 (LOT00301215), June 2026</t>
  </si>
  <si>
    <t>MFO Lot 301219 (LOT00301219), June 2026</t>
  </si>
  <si>
    <t>INJ-09-2026-W2 - WODO Shipments &amp; EE Mileage</t>
  </si>
  <si>
    <t>Rail_SHPX215053_9.1.2026_offload_2</t>
  </si>
  <si>
    <t>MFO Lot 301220 (LOT00301220), June 2026</t>
  </si>
  <si>
    <t>Shipping Orders (relevant totes)</t>
  </si>
  <si>
    <t>INJ-09-2026-W2</t>
  </si>
  <si>
    <t>2026-09-05 to 2026-09-12</t>
  </si>
  <si>
    <t>MFO Lot 301222 (LOT00301222), June 2026</t>
  </si>
  <si>
    <t>0 WODO totes this week - no shipping order to allocate</t>
  </si>
  <si>
    <t>Charm CO -&gt; Basco LA distance (one-way mi)</t>
  </si>
  <si>
    <t>EE ALLOCATION TABLE</t>
  </si>
  <si>
    <t>MFO Lot 301223 (LOT00301223), June 2026</t>
  </si>
  <si>
    <t>MFO Lot 301228 (LOT00301228), June 2026</t>
  </si>
  <si>
    <t>INJ-09-2026-W3 - Whole Oil Shipments &amp; EE Mileage</t>
  </si>
  <si>
    <t>MFO Lot 301232 (LOT00301232), June 2026</t>
  </si>
  <si>
    <t>Whole Oil</t>
  </si>
  <si>
    <t>2026-09-11 to 2026-09-18</t>
  </si>
  <si>
    <t>MFO Lot 301240 (LOT00301240), June 2026</t>
  </si>
  <si>
    <t>MFO Lot 301242 (LOT00301242), July 2026</t>
  </si>
  <si>
    <t>MFO Lot 301245 (LOT00301245), July 2026</t>
  </si>
  <si>
    <t>Check - every batch tote is allocated to a truck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</si>
  <si>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</si>
  <si>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</si>
  <si>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</si>
  <si>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</si>
  <si>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</si>
  <si>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</si>
  <si>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</si>
  <si>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</si>
  <si>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</si>
  <si>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</si>
  <si>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</si>
  <si>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</si>
  <si>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</si>
  <si>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</si>
  <si>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</si>
  <si>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</si>
  <si>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Rail_SHPX215053_9.1.2026_offload_3</t>
  </si>
  <si>
    <t>MFO Lot 4760 (LOT00004760), February 2026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</si>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</sst>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%"/>
    <numFmt numFmtId="170" formatCode="0.0000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b/>
      <u/>
      <color rgb="FF0000FF"/>
    </font>
    <font>
      <u/>
      <color rgb="FF0000FF"/>
    </font>
    <font>
      <b/>
      <u/>
      <sz val="11.0"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5" numFmtId="0" xfId="0" applyAlignment="1" applyFill="1" applyFont="1">
      <alignment vertical="bottom"/>
    </xf>
    <xf borderId="0" fillId="3" fontId="2" numFmtId="4" xfId="0" applyFill="1" applyFont="1" applyNumberFormat="1"/>
    <xf borderId="0" fillId="2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4" fontId="9" numFmtId="4" xfId="0" applyAlignment="1" applyFill="1" applyFont="1" applyNumberFormat="1">
      <alignment horizontal="right" vertical="bottom"/>
    </xf>
    <xf borderId="0" fillId="0" fontId="2" numFmtId="166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4" fontId="6" numFmtId="4" xfId="0" applyAlignment="1" applyFill="1" applyFont="1" applyNumberFormat="1">
      <alignment vertical="bottom"/>
    </xf>
    <xf borderId="0" fillId="0" fontId="2" numFmtId="168" xfId="0" applyAlignment="1" applyFont="1" applyNumberFormat="1">
      <alignment readingOrder="0"/>
    </xf>
    <xf borderId="0" fillId="2" fontId="1" numFmtId="2" xfId="0" applyFill="1" applyFont="1" applyNumberFormat="1"/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vertical="bottom"/>
    </xf>
    <xf borderId="0" fillId="0" fontId="3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6" numFmtId="0" xfId="0" applyAlignment="1" applyFill="1" applyFont="1">
      <alignment vertical="bottom"/>
    </xf>
    <xf borderId="0" fillId="2" fontId="6" numFmtId="4" xfId="0" applyAlignment="1" applyFill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6" numFmtId="10" xfId="0" applyAlignment="1" applyFont="1" applyNumberFormat="1">
      <alignment vertical="bottom"/>
    </xf>
    <xf borderId="0" fillId="0" fontId="10" numFmtId="0" xfId="0" applyFont="1"/>
    <xf borderId="0" fillId="0" fontId="6" numFmtId="4" xfId="0" applyAlignment="1" applyFont="1" applyNumberFormat="1">
      <alignment horizontal="right" vertical="bottom"/>
    </xf>
    <xf borderId="0" fillId="0" fontId="2" numFmtId="2" xfId="0" applyAlignment="1" applyFont="1" applyNumberFormat="1">
      <alignment readingOrder="0"/>
    </xf>
    <xf borderId="0" fillId="0" fontId="6" numFmtId="4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169" xfId="0" applyFont="1" applyNumberFormat="1"/>
    <xf borderId="0" fillId="2" fontId="1" numFmtId="4" xfId="0" applyAlignment="1" applyFill="1" applyFont="1" applyNumberFormat="1">
      <alignment readingOrder="0"/>
    </xf>
    <xf borderId="0" fillId="0" fontId="11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2" fontId="13" numFmtId="0" xfId="0" applyFill="1" applyFont="1"/>
    <xf borderId="0" fillId="0" fontId="14" numFmtId="0" xfId="0" applyAlignment="1" applyFont="1">
      <alignment horizontal="center" vertical="bottom"/>
    </xf>
    <xf borderId="0" fillId="5" fontId="2" numFmtId="4" xfId="0" applyFill="1" applyFont="1" applyNumberFormat="1"/>
    <xf borderId="0" fillId="0" fontId="15" numFmtId="0" xfId="0" applyAlignment="1" applyFont="1">
      <alignment horizontal="center" readingOrder="0" vertical="bottom"/>
    </xf>
    <xf borderId="0" fillId="6" fontId="14" numFmtId="0" xfId="0" applyAlignment="1" applyFill="1" applyFont="1">
      <alignment horizontal="center" readingOrder="0" shrinkToFit="0" vertical="bottom" wrapText="1"/>
    </xf>
    <xf borderId="0" fillId="6" fontId="15" numFmtId="0" xfId="0" applyAlignment="1" applyFill="1" applyFont="1">
      <alignment horizontal="center" readingOrder="0" shrinkToFit="0" vertical="bottom" wrapText="1"/>
    </xf>
    <xf borderId="0" fillId="0" fontId="2" numFmtId="170" xfId="0" applyFont="1" applyNumberFormat="1"/>
    <xf borderId="0" fillId="6" fontId="3" numFmtId="0" xfId="0" applyAlignment="1" applyFill="1" applyFont="1">
      <alignment readingOrder="0" shrinkToFit="0" wrapText="1"/>
    </xf>
    <xf quotePrefix="1" borderId="0" fillId="0" fontId="2" numFmtId="0" xfId="0" applyAlignment="1" applyFont="1">
      <alignment readingOrder="0"/>
    </xf>
    <xf borderId="1" fillId="0" fontId="16" numFmtId="1" xfId="0" applyAlignment="1" applyBorder="1" applyFont="1" applyNumberFormat="1">
      <alignment horizontal="center" readingOrder="0" vertical="bottom"/>
    </xf>
    <xf borderId="1" fillId="0" fontId="17" numFmtId="4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6" fontId="2" numFmtId="4" xfId="0" applyAlignment="1" applyFill="1" applyFont="1" applyNumberFormat="1">
      <alignment readingOrder="0"/>
    </xf>
    <xf borderId="0" fillId="0" fontId="2" numFmtId="171" xfId="0" applyAlignment="1" applyFont="1" applyNumberFormat="1">
      <alignment readingOrder="0"/>
    </xf>
    <xf borderId="1" fillId="0" fontId="16" numFmtId="4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6" fontId="2" numFmtId="4" xfId="0" applyFill="1" applyFont="1" applyNumberFormat="1"/>
    <xf borderId="1" fillId="0" fontId="17" numFmtId="1" xfId="0" applyAlignment="1" applyBorder="1" applyFont="1" applyNumberFormat="1">
      <alignment horizontal="center" readingOrder="0" vertical="bottom"/>
    </xf>
    <xf borderId="0" fillId="0" fontId="18" numFmtId="0" xfId="0" applyAlignment="1" applyFont="1">
      <alignment readingOrder="0"/>
    </xf>
    <xf borderId="0" fillId="0" fontId="18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9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" numFmtId="1" xfId="0" applyFont="1" applyNumberFormat="1"/>
    <xf borderId="0" fillId="0" fontId="2" numFmtId="4" xfId="0" applyFont="1" applyNumberFormat="1"/>
    <xf borderId="0" fillId="5" fontId="22" numFmtId="4" xfId="0" applyAlignment="1" applyFill="1" applyFont="1" applyNumberFormat="1">
      <alignment readingOrder="0"/>
    </xf>
    <xf borderId="0" fillId="0" fontId="3" numFmtId="4" xfId="0" applyFont="1" applyNumberFormat="1"/>
    <xf borderId="0" fillId="0" fontId="3" numFmtId="172" xfId="0" applyFont="1" applyNumberFormat="1"/>
    <xf borderId="0" fillId="0" fontId="2" numFmtId="173" xfId="0" applyFont="1" applyNumberFormat="1"/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3" numFmtId="4" xfId="0" applyAlignment="1" applyFill="1" applyFont="1" applyNumberFormat="1">
      <alignment readingOrder="0"/>
    </xf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4</v>
      </c>
    </row>
    <row r="3">
      <c r="A3" s="3" t="s">
        <v>6</v>
      </c>
      <c r="B3" s="5">
        <v>46283.0</v>
      </c>
    </row>
    <row r="4">
      <c r="A4" s="3" t="s">
        <v>9</v>
      </c>
      <c r="B4" s="5">
        <v>46290.0</v>
      </c>
    </row>
    <row r="6">
      <c r="A6" s="1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17</v>
      </c>
      <c r="B7" s="4" t="s">
        <v>18</v>
      </c>
      <c r="C7" s="4" t="s">
        <v>19</v>
      </c>
      <c r="D7" s="7" t="s">
        <v>20</v>
      </c>
      <c r="E7" s="4" t="s">
        <v>24</v>
      </c>
      <c r="F7" s="7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9"/>
      <c r="L7" s="9"/>
      <c r="M7" s="9"/>
      <c r="N7" s="9"/>
    </row>
    <row r="8">
      <c r="A8" s="3" t="s">
        <v>37</v>
      </c>
      <c r="B8" s="12">
        <f>'AECN Rail'!A46</f>
        <v>268199.8778</v>
      </c>
      <c r="C8" s="12">
        <f>'AECN Rail'!B46</f>
        <v>392.76368</v>
      </c>
      <c r="D8" s="18">
        <f>'AECN Rail'!C46</f>
        <v>267807.1141</v>
      </c>
      <c r="E8" s="12">
        <f>'AECN Rail'!D46</f>
        <v>3454.711772</v>
      </c>
      <c r="F8" s="18">
        <f>'AECN Rail'!E46</f>
        <v>518.1307085</v>
      </c>
      <c r="G8" s="12">
        <f>'AECN Rail'!F46</f>
        <v>263834.2716</v>
      </c>
      <c r="H8" s="12">
        <f>'AECN Rail'!L42</f>
        <v>1111.729637</v>
      </c>
      <c r="I8" s="12">
        <f>'AECN Rail'!M42</f>
        <v>15102.68824</v>
      </c>
      <c r="J8" s="12">
        <f>'AECN Rail'!N42</f>
        <v>1946</v>
      </c>
    </row>
    <row r="9">
      <c r="A9" s="3" t="s">
        <v>69</v>
      </c>
      <c r="B9" s="12">
        <f>'AECN Truck'!A28</f>
        <v>0</v>
      </c>
      <c r="C9" s="12">
        <f>'AECN Truck'!F28</f>
        <v>0</v>
      </c>
      <c r="D9" s="18">
        <f>'AECN Truck'!C28</f>
        <v>0</v>
      </c>
      <c r="E9" s="12">
        <f>'AECN Truck'!D28</f>
        <v>0</v>
      </c>
      <c r="F9" s="18">
        <f>'AECN Truck'!E28</f>
        <v>0</v>
      </c>
      <c r="G9" s="12">
        <f>'AECN Truck'!G28</f>
        <v>0</v>
      </c>
    </row>
    <row r="10">
      <c r="A10" s="3" t="s">
        <v>71</v>
      </c>
      <c r="B10" s="12" t="str">
        <f>WODO!A29</f>
        <v/>
      </c>
      <c r="C10" s="31">
        <f>WODO!A29-WODO!B29</f>
        <v>0</v>
      </c>
      <c r="D10" s="32" t="str">
        <f>WODO!B29</f>
        <v/>
      </c>
      <c r="E10" s="12" t="str">
        <f>WODO!C29</f>
        <v/>
      </c>
      <c r="F10" s="32">
        <v>0.0</v>
      </c>
      <c r="G10" s="31" t="str">
        <f>WODO!D29</f>
        <v/>
      </c>
    </row>
    <row r="11">
      <c r="A11" s="3" t="s">
        <v>77</v>
      </c>
      <c r="B11" s="12">
        <f>Kerry!A18</f>
        <v>19168.79792</v>
      </c>
      <c r="C11" s="31">
        <v>0.0</v>
      </c>
      <c r="D11" s="32">
        <f>Kerry!A18</f>
        <v>19168.79792</v>
      </c>
      <c r="E11" s="31">
        <v>0.0</v>
      </c>
      <c r="F11" s="32">
        <f>Kerry!B18</f>
        <v>13.60984652</v>
      </c>
      <c r="G11" s="44">
        <f>Kerry!C18</f>
        <v>19155.18807</v>
      </c>
    </row>
    <row r="12">
      <c r="A12" s="3" t="s">
        <v>84</v>
      </c>
      <c r="B12" s="31">
        <f>QOWV!B54</f>
        <v>42989</v>
      </c>
      <c r="C12" s="31">
        <v>0.0</v>
      </c>
      <c r="D12" s="32">
        <f>QOWV!D54</f>
        <v>40569.8</v>
      </c>
      <c r="E12" s="31">
        <v>0.0</v>
      </c>
      <c r="F12" s="32">
        <v>0.0</v>
      </c>
      <c r="G12" s="44">
        <f>QOWV!F54</f>
        <v>34223.5</v>
      </c>
      <c r="I12" s="4"/>
      <c r="J12" s="9"/>
      <c r="K12" s="9"/>
      <c r="L12" s="9"/>
      <c r="M12" s="9"/>
      <c r="N12" s="9"/>
    </row>
    <row r="13">
      <c r="A13" s="3" t="s">
        <v>91</v>
      </c>
      <c r="B13" s="12">
        <f t="shared" ref="B13:J13" si="1">SUM(B8:B12)</f>
        <v>330357.6757</v>
      </c>
      <c r="C13" s="12">
        <f t="shared" si="1"/>
        <v>392.76368</v>
      </c>
      <c r="D13" s="12">
        <f t="shared" si="1"/>
        <v>327545.712</v>
      </c>
      <c r="E13" s="12">
        <f t="shared" si="1"/>
        <v>3454.711772</v>
      </c>
      <c r="F13" s="12">
        <f t="shared" si="1"/>
        <v>531.740555</v>
      </c>
      <c r="G13" s="12">
        <f t="shared" si="1"/>
        <v>317212.9597</v>
      </c>
      <c r="H13" s="12">
        <f t="shared" si="1"/>
        <v>1111.729637</v>
      </c>
      <c r="I13" s="12">
        <f t="shared" si="1"/>
        <v>15102.68824</v>
      </c>
      <c r="J13" s="12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94</v>
      </c>
      <c r="B15" s="4"/>
      <c r="C15" s="4"/>
      <c r="D15" s="4"/>
      <c r="E15" s="4"/>
      <c r="F15" s="4"/>
      <c r="G15" s="4"/>
      <c r="H15" s="9"/>
      <c r="I15" s="9"/>
      <c r="J15" s="9"/>
      <c r="K15" s="9"/>
      <c r="L15" s="9"/>
      <c r="M15" s="9"/>
    </row>
    <row r="16">
      <c r="A16" s="3" t="s">
        <v>95</v>
      </c>
      <c r="B16" s="31" t="s">
        <v>26</v>
      </c>
      <c r="C16" s="3" t="s">
        <v>96</v>
      </c>
      <c r="D16" s="3" t="s">
        <v>97</v>
      </c>
      <c r="E16" s="3" t="s">
        <v>98</v>
      </c>
      <c r="F16" s="3" t="s">
        <v>99</v>
      </c>
      <c r="G16" s="3" t="s">
        <v>66</v>
      </c>
      <c r="H16" s="3" t="s">
        <v>59</v>
      </c>
    </row>
    <row r="17">
      <c r="A17" s="3" t="s">
        <v>100</v>
      </c>
      <c r="B17" s="12">
        <f>G8+G9</f>
        <v>263834.2716</v>
      </c>
      <c r="C17" s="3" t="s">
        <v>101</v>
      </c>
      <c r="D17" s="5">
        <f>DATE(2026,9,25)</f>
        <v>46290</v>
      </c>
      <c r="E17" s="55">
        <v>0.44</v>
      </c>
      <c r="F17" s="51" t="str">
        <f>HYPERLINK("https://drive.google.com/file/d/1Viar0c3xdOh-pwkpbsNY0buJPDH5AGEJ/view","COA SR26-05719.002")</f>
        <v>COA SR26-05719.002</v>
      </c>
      <c r="G17" s="56">
        <f>E17*H17</f>
        <v>0.00176</v>
      </c>
      <c r="H17" s="55">
        <v>0.004</v>
      </c>
    </row>
    <row r="18">
      <c r="A18" s="3" t="s">
        <v>102</v>
      </c>
      <c r="B18" s="12" t="str">
        <f t="shared" ref="B18:B20" si="2">G10</f>
        <v/>
      </c>
      <c r="E18" s="57"/>
      <c r="H18" s="57"/>
    </row>
    <row r="19">
      <c r="A19" s="3" t="s">
        <v>77</v>
      </c>
      <c r="B19" s="12">
        <f t="shared" si="2"/>
        <v>19155.18807</v>
      </c>
      <c r="C19" s="3" t="s">
        <v>103</v>
      </c>
      <c r="D19" s="58">
        <f t="shared" ref="D19:D20" si="3">DATE(2026,9,25)</f>
        <v>46290</v>
      </c>
      <c r="E19" s="55">
        <v>0.579</v>
      </c>
      <c r="F19" s="51" t="str">
        <f>HYPERLINK("https://drive.google.com/file/d/1Viar0c3xdOh-pwkpbsNY0buJPDH5AGEJ/view","COA SR26-05719.001")</f>
        <v>COA SR26-05719.001</v>
      </c>
      <c r="G19" s="59">
        <f t="shared" ref="G19:G20" si="4">E19*H19</f>
        <v>0.002316</v>
      </c>
      <c r="H19" s="55">
        <v>0.004</v>
      </c>
    </row>
    <row r="20">
      <c r="A20" s="3" t="s">
        <v>84</v>
      </c>
      <c r="B20" s="12">
        <f t="shared" si="2"/>
        <v>34223.5</v>
      </c>
      <c r="C20" s="3" t="s">
        <v>104</v>
      </c>
      <c r="D20" s="5">
        <f t="shared" si="3"/>
        <v>46290</v>
      </c>
      <c r="E20" s="55">
        <v>0.079</v>
      </c>
      <c r="F20" s="61" t="str">
        <f>HYPERLINK("https://drive.google.com/file/d/1Viar0c3xdOh-pwkpbsNY0buJPDH5AGEJ/view","COA SR26-05719.003")</f>
        <v>COA SR26-05719.003</v>
      </c>
      <c r="G20" s="56">
        <f t="shared" si="4"/>
        <v>0.000316</v>
      </c>
      <c r="H20" s="55">
        <v>0.004</v>
      </c>
      <c r="I20" s="9"/>
      <c r="J20" s="9"/>
      <c r="K20" s="9"/>
      <c r="L20" s="9"/>
      <c r="M20" s="9"/>
    </row>
    <row r="21">
      <c r="A21" s="3" t="s">
        <v>91</v>
      </c>
      <c r="B21" s="12">
        <f>SUM(B17:B20)</f>
        <v>317212.9597</v>
      </c>
      <c r="E21" s="5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9"/>
      <c r="E23" s="9"/>
      <c r="F23" s="4"/>
      <c r="G23" s="4" t="s">
        <v>113</v>
      </c>
      <c r="H23" s="9"/>
      <c r="I23" s="9"/>
      <c r="J23" s="9"/>
      <c r="K23" s="9"/>
      <c r="L23" s="9"/>
      <c r="M23" s="9"/>
      <c r="N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</v>
      </c>
      <c r="B2" s="3" t="s">
        <v>4</v>
      </c>
      <c r="N2" s="4" t="s">
        <v>5</v>
      </c>
    </row>
    <row r="3">
      <c r="A3" s="3" t="s">
        <v>6</v>
      </c>
      <c r="B3" s="5">
        <v>46283.0</v>
      </c>
      <c r="N3" s="4" t="s">
        <v>8</v>
      </c>
      <c r="O3" s="6">
        <v>2.20462</v>
      </c>
    </row>
    <row r="4">
      <c r="A4" s="3" t="s">
        <v>9</v>
      </c>
      <c r="B4" s="5">
        <v>46290.0</v>
      </c>
      <c r="N4" s="4" t="s">
        <v>10</v>
      </c>
      <c r="O4" s="6">
        <v>0.453592</v>
      </c>
    </row>
    <row r="5">
      <c r="N5" s="4" t="s">
        <v>11</v>
      </c>
      <c r="O5" s="6">
        <v>0.0129</v>
      </c>
    </row>
    <row r="6">
      <c r="N6" s="4" t="s">
        <v>12</v>
      </c>
      <c r="O6" s="3" t="s">
        <v>13</v>
      </c>
    </row>
    <row r="7">
      <c r="N7" s="3" t="s">
        <v>15</v>
      </c>
      <c r="O7" s="10">
        <f>HYPERLINK("https://docs.google.com/spreadsheets/d/1XhIwfVwGTl2T04CAlA-qee03gfqxNWwBmSCAeiSW548/edit?usp=sharing", 0.00196)</f>
        <v>0.00196</v>
      </c>
    </row>
    <row r="8">
      <c r="A8" s="1" t="s">
        <v>40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41</v>
      </c>
      <c r="O8" s="14">
        <v>3.0</v>
      </c>
      <c r="P8" s="2"/>
      <c r="Q8" s="2"/>
      <c r="R8" s="2"/>
    </row>
    <row r="9">
      <c r="A9" s="4" t="s">
        <v>42</v>
      </c>
      <c r="B9" s="4" t="s">
        <v>43</v>
      </c>
      <c r="C9" s="4" t="s">
        <v>44</v>
      </c>
      <c r="D9" s="8" t="s">
        <v>45</v>
      </c>
      <c r="E9" s="8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36</v>
      </c>
      <c r="N9" s="4" t="s">
        <v>54</v>
      </c>
      <c r="O9" s="15">
        <v>2.0</v>
      </c>
      <c r="P9" s="4" t="s">
        <v>55</v>
      </c>
      <c r="Q9" s="4" t="s">
        <v>56</v>
      </c>
      <c r="R9" s="9"/>
    </row>
    <row r="10">
      <c r="A10" s="3" t="s">
        <v>57</v>
      </c>
      <c r="B10" s="5">
        <v>46266.0</v>
      </c>
      <c r="C10" s="3" t="s">
        <v>58</v>
      </c>
      <c r="D10" s="11">
        <f t="shared" ref="D10:D13" si="1">E10/1000</f>
        <v>77.57</v>
      </c>
      <c r="E10" s="11">
        <f t="shared" ref="E10:E12" si="2">SUMIF($C$17:$C$25,A10,$E$17:$E$25)</f>
        <v>77570</v>
      </c>
      <c r="F10" s="12">
        <f t="shared" ref="F10:F13" si="3">SUMIF($C$28:$C$43,A10,$F$28:$F$43)+H10</f>
        <v>77228.57392</v>
      </c>
      <c r="G10" s="12">
        <f t="shared" ref="G10:G13" si="4">IF(OR(E10="",F10=""),"",IF(Q10="Y",MAX(0,E10-F10),""))</f>
        <v>341.42608</v>
      </c>
      <c r="H10" s="6">
        <v>0.0</v>
      </c>
      <c r="I10" s="24">
        <v>0.0</v>
      </c>
      <c r="J10" s="24">
        <v>107.5</v>
      </c>
      <c r="K10" s="24">
        <v>2152.0</v>
      </c>
      <c r="L10" s="25">
        <f>HYPERLINK("https://drive.google.com/file/d/172SPmOAomsORH6vxAStJEVwo8N2K5fIs/view?usp=drivesdk",136)</f>
        <v>136</v>
      </c>
      <c r="M10" s="3" t="s">
        <v>70</v>
      </c>
      <c r="P10" s="16" t="str">
        <f t="shared" ref="P10:P14" si="5">IF(OR($E10="",$F10=""),"",IF(AND($H10=0,$F10&gt;=0.95*$E10),"FULL","PARTIAL"))</f>
        <v>FULL</v>
      </c>
      <c r="Q10" s="3" t="s">
        <v>72</v>
      </c>
    </row>
    <row r="11">
      <c r="A11" s="3" t="s">
        <v>73</v>
      </c>
      <c r="B11" s="29">
        <v>46240.0</v>
      </c>
      <c r="C11" s="3" t="s">
        <v>74</v>
      </c>
      <c r="D11" s="11">
        <f t="shared" si="1"/>
        <v>77.64</v>
      </c>
      <c r="E11" s="11">
        <f t="shared" si="2"/>
        <v>77640</v>
      </c>
      <c r="F11" s="12">
        <f t="shared" si="3"/>
        <v>77573.30384</v>
      </c>
      <c r="G11" s="12">
        <f t="shared" si="4"/>
        <v>66.69616</v>
      </c>
      <c r="H11" s="24">
        <v>0.0</v>
      </c>
      <c r="I11" s="24">
        <v>0.0</v>
      </c>
      <c r="J11" s="24">
        <v>107.5</v>
      </c>
      <c r="K11" s="24">
        <v>2199.0</v>
      </c>
      <c r="L11" s="6">
        <v>42.9</v>
      </c>
      <c r="P11" s="16" t="str">
        <f t="shared" si="5"/>
        <v>FULL</v>
      </c>
      <c r="Q11" s="3" t="s">
        <v>72</v>
      </c>
    </row>
    <row r="12">
      <c r="A12" s="3" t="s">
        <v>75</v>
      </c>
      <c r="B12" s="33">
        <v>46245.0</v>
      </c>
      <c r="C12" s="3" t="s">
        <v>76</v>
      </c>
      <c r="D12" s="34">
        <f t="shared" si="1"/>
        <v>77.77</v>
      </c>
      <c r="E12" s="34">
        <f t="shared" si="2"/>
        <v>77770</v>
      </c>
      <c r="F12" s="16">
        <f t="shared" si="3"/>
        <v>77546.08832</v>
      </c>
      <c r="G12" s="16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16" t="str">
        <f t="shared" si="5"/>
        <v>FULL</v>
      </c>
      <c r="Q12" s="3" t="s">
        <v>72</v>
      </c>
    </row>
    <row r="13">
      <c r="A13" s="3" t="s">
        <v>79</v>
      </c>
      <c r="B13" s="38">
        <v>46238.0</v>
      </c>
      <c r="C13" s="3" t="s">
        <v>80</v>
      </c>
      <c r="D13" s="34">
        <f t="shared" si="1"/>
        <v>77.87</v>
      </c>
      <c r="E13" s="34">
        <v>77870.0</v>
      </c>
      <c r="F13" s="16">
        <f t="shared" si="3"/>
        <v>78262.76368</v>
      </c>
      <c r="G13" s="16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16" t="str">
        <f t="shared" si="5"/>
        <v>PARTIAL</v>
      </c>
      <c r="Q13" s="3" t="s">
        <v>72</v>
      </c>
    </row>
    <row r="14">
      <c r="P14" s="16" t="str">
        <f t="shared" si="5"/>
        <v/>
      </c>
    </row>
    <row r="15">
      <c r="A15" s="1" t="s">
        <v>87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21</v>
      </c>
      <c r="B16" s="4" t="s">
        <v>89</v>
      </c>
      <c r="C16" s="4" t="s">
        <v>42</v>
      </c>
      <c r="D16" s="8" t="s">
        <v>23</v>
      </c>
      <c r="E16" s="8" t="s">
        <v>31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5">
        <v>46265.0</v>
      </c>
      <c r="B17" s="51" t="str">
        <f>HYPERLINK("https://drive.google.com/file/d/12orOaOASeVT98B3GI-nxQle3jK3gNgP5/view","2497-R")</f>
        <v>2497-R</v>
      </c>
      <c r="C17" s="3" t="s">
        <v>57</v>
      </c>
      <c r="D17" s="11">
        <v>25.91</v>
      </c>
      <c r="E17" s="11">
        <f t="shared" ref="E17:E25" si="6">D17*1000</f>
        <v>25910</v>
      </c>
    </row>
    <row r="18">
      <c r="A18" s="5">
        <v>46265.0</v>
      </c>
      <c r="B18" s="51" t="str">
        <f>HYPERLINK("https://drive.google.com/file/d/1_c8__bVVHBpZ6HjdR2CgWgPA3VjKAcKR/view","2498-R")</f>
        <v>2498-R</v>
      </c>
      <c r="C18" s="3" t="s">
        <v>57</v>
      </c>
      <c r="D18" s="11">
        <v>25.73</v>
      </c>
      <c r="E18" s="11">
        <f t="shared" si="6"/>
        <v>25730</v>
      </c>
    </row>
    <row r="19">
      <c r="A19" s="5">
        <v>46265.0</v>
      </c>
      <c r="B19" s="51" t="str">
        <f>HYPERLINK("https://drive.google.com/file/d/1q0RVI5-GeOS_6c6OJqsONY4z_X9CmgaE/view","2500-R")</f>
        <v>2500-R</v>
      </c>
      <c r="C19" s="3" t="s">
        <v>57</v>
      </c>
      <c r="D19" s="11">
        <v>25.93</v>
      </c>
      <c r="E19" s="11">
        <f t="shared" si="6"/>
        <v>25930</v>
      </c>
    </row>
    <row r="20">
      <c r="A20" s="5">
        <v>46238.0</v>
      </c>
      <c r="B20" s="51" t="str">
        <f>HYPERLINK("https://drive.google.com/file/d/1GyY1OqBtVGxxbvHVi8H2dZUUGXeJWEah/view","2459-R")</f>
        <v>2459-R</v>
      </c>
      <c r="C20" s="3" t="s">
        <v>73</v>
      </c>
      <c r="D20" s="11">
        <v>25.86</v>
      </c>
      <c r="E20" s="11">
        <f t="shared" si="6"/>
        <v>25860</v>
      </c>
    </row>
    <row r="21">
      <c r="A21" s="5">
        <v>46238.0</v>
      </c>
      <c r="B21" s="51" t="str">
        <f>HYPERLINK("https://drive.google.com/file/d/1Hcp8LYydYr3eaMLgym2UxOSORYtSYGfe/view","2460-R")</f>
        <v>2460-R</v>
      </c>
      <c r="C21" s="3" t="s">
        <v>73</v>
      </c>
      <c r="D21" s="11">
        <v>25.92</v>
      </c>
      <c r="E21" s="11">
        <f t="shared" si="6"/>
        <v>25920</v>
      </c>
    </row>
    <row r="22">
      <c r="A22" s="5">
        <v>46239.0</v>
      </c>
      <c r="B22" s="51" t="str">
        <f>HYPERLINK("https://drive.google.com/file/d/1x2GPFxujaN7k-P_-yydWiwMdBcl-SVi7/view","2461-R")</f>
        <v>2461-R</v>
      </c>
      <c r="C22" s="3" t="s">
        <v>73</v>
      </c>
      <c r="D22" s="11">
        <v>25.86</v>
      </c>
      <c r="E22" s="11">
        <f t="shared" si="6"/>
        <v>25860</v>
      </c>
    </row>
    <row r="23">
      <c r="A23" s="5">
        <v>46240.0</v>
      </c>
      <c r="B23" s="51" t="str">
        <f>HYPERLINK("https://drive.google.com/file/d/1sj1cVYvXOWH4pQq0zzJH2QbJrFt8tgLq/view","2465-R")</f>
        <v>2465-R</v>
      </c>
      <c r="C23" s="3" t="s">
        <v>75</v>
      </c>
      <c r="D23" s="31">
        <v>26.02</v>
      </c>
      <c r="E23" s="31">
        <f t="shared" si="6"/>
        <v>26020</v>
      </c>
    </row>
    <row r="24">
      <c r="A24" s="5">
        <v>46241.0</v>
      </c>
      <c r="B24" s="51" t="str">
        <f>HYPERLINK("https://drive.google.com/file/d/1M5Ga4xpn7x8a8t2Dqxu8HcEQbT9sZi8_/view","2466-R")</f>
        <v>2466-R</v>
      </c>
      <c r="C24" s="3" t="s">
        <v>75</v>
      </c>
      <c r="D24" s="31">
        <v>25.86</v>
      </c>
      <c r="E24" s="31">
        <f t="shared" si="6"/>
        <v>25860</v>
      </c>
    </row>
    <row r="25">
      <c r="A25" s="5">
        <v>46244.0</v>
      </c>
      <c r="B25" s="51" t="str">
        <f>HYPERLINK("https://drive.google.com/file/d/1izPN7FnwHn6hT5-DXMBr9z2XwUnyh9Dm/view","2467-R")</f>
        <v>2467-R</v>
      </c>
      <c r="C25" s="3" t="s">
        <v>75</v>
      </c>
      <c r="D25" s="31">
        <v>25.89</v>
      </c>
      <c r="E25" s="31">
        <f t="shared" si="6"/>
        <v>25890</v>
      </c>
    </row>
    <row r="26">
      <c r="A26" s="1" t="s">
        <v>105</v>
      </c>
      <c r="B26" s="1"/>
      <c r="C26" s="1"/>
      <c r="D26" s="60"/>
      <c r="E26" s="60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3" t="s">
        <v>106</v>
      </c>
      <c r="E27" s="43" t="s">
        <v>107</v>
      </c>
      <c r="F27" s="8" t="s">
        <v>108</v>
      </c>
      <c r="G27" s="4" t="s">
        <v>35</v>
      </c>
      <c r="H27" s="8" t="s">
        <v>24</v>
      </c>
      <c r="I27" s="8" t="s">
        <v>25</v>
      </c>
      <c r="J27" s="8" t="s">
        <v>83</v>
      </c>
      <c r="K27" s="8" t="s">
        <v>26</v>
      </c>
      <c r="L27" s="4" t="s">
        <v>109</v>
      </c>
      <c r="M27" s="4" t="s">
        <v>110</v>
      </c>
      <c r="N27" s="4" t="s">
        <v>111</v>
      </c>
      <c r="O27" s="4"/>
      <c r="P27" s="9"/>
      <c r="Q27" s="9"/>
      <c r="R27" s="9"/>
    </row>
    <row r="28">
      <c r="A28" s="62">
        <v>46290.0</v>
      </c>
      <c r="B28" s="63" t="s">
        <v>112</v>
      </c>
      <c r="C28" s="63" t="s">
        <v>57</v>
      </c>
      <c r="D28" s="64">
        <f>HYPERLINK("https://drive.google.com/file/d/1bKtobyUsCPK96XFfZT7gkb9A1fmvqhDh/view?usp=drivesdk", 73800)</f>
        <v>73800</v>
      </c>
      <c r="E28" s="64">
        <f>HYPERLINK("https://drive.google.com/file/d/1B1eo8EucXr6ANVw48d-bI_9sHL5rcUbT/view?usp=drivesdk", 29400)</f>
        <v>29400</v>
      </c>
      <c r="F28" s="65">
        <f t="shared" ref="F28:F41" si="7">IF(OR(D28="",E28=""),"",(D28-E28)*$O$4)</f>
        <v>20139.4848</v>
      </c>
      <c r="G28" s="66">
        <f t="shared" ref="G28:G41" si="8">$G$46</f>
        <v>2.97</v>
      </c>
      <c r="H28" s="69">
        <f t="shared" ref="H28:H41" si="9">IF(F28="","",(F28-J28)*$O$5)</f>
        <v>259.7993539</v>
      </c>
      <c r="I28" s="69">
        <f t="shared" ref="I28:I41" si="10">IF(F28="","",(F28-J28)*(1-$O$5)*$O$7)</f>
        <v>38.96418347</v>
      </c>
      <c r="J28" s="65">
        <f t="array" ref="J28">IF(F28="","",IF(ROW()=MAX(IF($C$28:$C$41=C28,ROW($C$28:$C$41),0)),MAX(0,IFERROR(VLOOKUP(C28,$A$10:$L$14,6,FALSE)-VLOOKUP(C28,$A$10:$L$14,5,FALSE),0)),0))</f>
        <v>0</v>
      </c>
      <c r="K28" s="65">
        <f t="shared" ref="K28:K41" si="11">IF(F28="","",F28-H28-I28-J28)</f>
        <v>19840.72126</v>
      </c>
      <c r="L28" s="69">
        <f t="shared" ref="L28:L41" si="12">IF(F28="","",(F28-J28)/VLOOKUP(C28,$A$10:$L$14,5,FALSE)*VLOOKUP(C28,$A$10:$L$14,10,FALSE)*$O$8)</f>
        <v>83.73061555</v>
      </c>
      <c r="M28" s="69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69">
        <f t="shared" ref="N28:N41" si="13">IF(F28="","",IFERROR(VLOOKUP(C28,$A$10:$L$14,12,FALSE),0)*$O$9)</f>
        <v>272</v>
      </c>
      <c r="O28" s="3" t="s">
        <v>70</v>
      </c>
    </row>
    <row r="29">
      <c r="A29" s="92">
        <v>46290.0</v>
      </c>
      <c r="B29" s="93" t="s">
        <v>194</v>
      </c>
      <c r="C29" s="93" t="s">
        <v>57</v>
      </c>
      <c r="D29" s="94">
        <f>HYPERLINK("https://drive.google.com/file/d/16VAhszz_gboKlu5l3mZq1gDrt6WLYw5i/view?usp=drivesdk", 73440)</f>
        <v>73440</v>
      </c>
      <c r="E29" s="94">
        <f>HYPERLINK("https://drive.google.com/file/d/1KhZEW87mB6Gr53ZMYDut95YZfZcQNHxb/view?usp=drivesdk", 28640)</f>
        <v>28640</v>
      </c>
      <c r="F29" s="95">
        <f t="shared" si="7"/>
        <v>20320.9216</v>
      </c>
      <c r="G29" s="96">
        <f t="shared" si="8"/>
        <v>2.97</v>
      </c>
      <c r="H29" s="97">
        <f t="shared" si="9"/>
        <v>262.1398886</v>
      </c>
      <c r="I29" s="97">
        <f t="shared" si="10"/>
        <v>39.31521215</v>
      </c>
      <c r="J29" s="95">
        <f t="array" ref="J29">IF(F29="","",IF(ROW()=MAX(IF($C$28:$C$41=C29,ROW($C$28:$C$41),0)),MAX(0,IFERROR(VLOOKUP(C29,$A$10:$L$14,6,FALSE)-VLOOKUP(C29,$A$10:$L$14,5,FALSE),0)),0))</f>
        <v>0</v>
      </c>
      <c r="K29" s="97">
        <f t="shared" si="11"/>
        <v>20019.4665</v>
      </c>
      <c r="L29" s="97">
        <f t="shared" si="12"/>
        <v>84.48494542</v>
      </c>
      <c r="M29" s="97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7">
        <f t="shared" si="13"/>
        <v>272</v>
      </c>
      <c r="O29" s="3" t="s">
        <v>70</v>
      </c>
    </row>
    <row r="30">
      <c r="A30" s="92">
        <v>46290.0</v>
      </c>
      <c r="B30" s="93" t="s">
        <v>229</v>
      </c>
      <c r="C30" s="93" t="s">
        <v>57</v>
      </c>
      <c r="D30" s="94">
        <f>HYPERLINK("https://drive.google.com/file/d/19rOYT7Ob0bzqJEmM0phyzF0-nC7r_kkk/view?usp=drivesdk", 75200)</f>
        <v>75200</v>
      </c>
      <c r="E30" s="102">
        <f>HYPERLINK("https://drive.google.com/file/d/1rCAr1NDzdzuYJOaKDuRQCFdgklYROXL8/view?usp=drivesdk", 28680)</f>
        <v>28680</v>
      </c>
      <c r="F30" s="95">
        <f t="shared" si="7"/>
        <v>21101.09984</v>
      </c>
      <c r="G30" s="96">
        <f t="shared" si="8"/>
        <v>2.97</v>
      </c>
      <c r="H30" s="97">
        <f t="shared" si="9"/>
        <v>272.2041879</v>
      </c>
      <c r="I30" s="97">
        <f t="shared" si="10"/>
        <v>40.82463548</v>
      </c>
      <c r="J30" s="95">
        <f t="array" ref="J30">IF(F30="","",IF(ROW()=MAX(IF($C$28:$C$41=C30,ROW($C$28:$C$41),0)),MAX(0,IFERROR(VLOOKUP(C30,$A$10:$L$14,6,FALSE)-VLOOKUP(C30,$A$10:$L$14,5,FALSE),0)),0))</f>
        <v>0</v>
      </c>
      <c r="K30" s="97">
        <f t="shared" si="11"/>
        <v>20788.07102</v>
      </c>
      <c r="L30" s="97">
        <f t="shared" si="12"/>
        <v>87.72856386</v>
      </c>
      <c r="M30" s="97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7">
        <f t="shared" si="13"/>
        <v>272</v>
      </c>
      <c r="O30" s="3" t="s">
        <v>70</v>
      </c>
    </row>
    <row r="31">
      <c r="A31" s="106">
        <v>46290.0</v>
      </c>
      <c r="B31" s="107" t="s">
        <v>231</v>
      </c>
      <c r="C31" s="107" t="s">
        <v>57</v>
      </c>
      <c r="D31" s="108">
        <f>HYPERLINK("https://drive.google.com/file/d/1omtA4Gi1svLGA3Yh3Qth0ezunoxaD_jS/view?usp=drivesdk", 64180)</f>
        <v>64180</v>
      </c>
      <c r="E31" s="108">
        <f>HYPERLINK("https://drive.google.com/file/d/1-oG-sz-PfsFGHByss-pBZydk2DblaV6P/view?usp=drivesdk", 29640)</f>
        <v>29640</v>
      </c>
      <c r="F31" s="109">
        <f t="shared" si="7"/>
        <v>15667.06768</v>
      </c>
      <c r="G31" s="110">
        <f t="shared" si="8"/>
        <v>2.97</v>
      </c>
      <c r="H31" s="111">
        <f t="shared" si="9"/>
        <v>202.1051731</v>
      </c>
      <c r="I31" s="111">
        <f t="shared" si="10"/>
        <v>30.31132651</v>
      </c>
      <c r="J31" s="109">
        <f t="array" ref="J31">IF(F31="","",IF(ROW()=MAX(IF($C$28:$C$41=C31,ROW($C$28:$C$41),0)),MAX(0,IFERROR(VLOOKUP(C31,$A$10:$L$14,6,FALSE)-VLOOKUP(C31,$A$10:$L$14,5,FALSE),0)),0))</f>
        <v>0</v>
      </c>
      <c r="K31" s="111">
        <f t="shared" si="11"/>
        <v>15434.65118</v>
      </c>
      <c r="L31" s="109">
        <f t="shared" si="12"/>
        <v>65.13638426</v>
      </c>
      <c r="M31" s="111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11">
        <f t="shared" si="13"/>
        <v>272</v>
      </c>
      <c r="O31" s="3" t="s">
        <v>70</v>
      </c>
    </row>
    <row r="32">
      <c r="A32" s="112">
        <v>46290.0</v>
      </c>
      <c r="B32" s="4" t="s">
        <v>232</v>
      </c>
      <c r="C32" s="4" t="s">
        <v>73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43">
        <f t="shared" si="7"/>
        <v>20783.58544</v>
      </c>
      <c r="G32" s="45">
        <f t="shared" si="8"/>
        <v>2.97</v>
      </c>
      <c r="H32" s="90">
        <f t="shared" si="9"/>
        <v>268.1082522</v>
      </c>
      <c r="I32" s="90">
        <f t="shared" si="10"/>
        <v>40.21033529</v>
      </c>
      <c r="J32" s="43">
        <f t="array" ref="J32">IF(F32="","",IF(ROW()=MAX(IF($C$28:$C$41=C32,ROW($C$28:$C$41),0)),MAX(0,IFERROR(VLOOKUP(C32,$A$10:$L$14,6,FALSE)-VLOOKUP(C32,$A$10:$L$14,5,FALSE),0)),0))</f>
        <v>0</v>
      </c>
      <c r="K32" s="90">
        <f t="shared" si="11"/>
        <v>20475.26685</v>
      </c>
      <c r="L32" s="43">
        <f t="shared" si="12"/>
        <v>86.33058094</v>
      </c>
      <c r="M32" s="90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0">
        <f t="shared" si="13"/>
        <v>85.8</v>
      </c>
      <c r="O32" s="114"/>
    </row>
    <row r="33">
      <c r="A33" s="112">
        <v>46290.0</v>
      </c>
      <c r="B33" s="4" t="s">
        <v>233</v>
      </c>
      <c r="C33" s="4" t="s">
        <v>73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43">
        <f t="shared" si="7"/>
        <v>22289.51088</v>
      </c>
      <c r="G33" s="45">
        <f t="shared" si="8"/>
        <v>2.97</v>
      </c>
      <c r="H33" s="90">
        <f t="shared" si="9"/>
        <v>287.5346904</v>
      </c>
      <c r="I33" s="90">
        <f t="shared" si="10"/>
        <v>43.12387333</v>
      </c>
      <c r="J33" s="43">
        <f t="array" ref="J33">IF(F33="","",IF(ROW()=MAX(IF($C$28:$C$41=C33,ROW($C$28:$C$41),0)),MAX(0,IFERROR(VLOOKUP(C33,$A$10:$L$14,6,FALSE)-VLOOKUP(C33,$A$10:$L$14,5,FALSE),0)),0))</f>
        <v>0</v>
      </c>
      <c r="K33" s="90">
        <f t="shared" si="11"/>
        <v>21958.85232</v>
      </c>
      <c r="L33" s="43">
        <f t="shared" si="12"/>
        <v>92.58587402</v>
      </c>
      <c r="M33" s="90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0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73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31">
        <f t="shared" si="7"/>
        <v>18751.49328</v>
      </c>
      <c r="G34" s="53">
        <f t="shared" si="8"/>
        <v>2.97</v>
      </c>
      <c r="H34" s="31">
        <f t="shared" si="9"/>
        <v>241.8942633</v>
      </c>
      <c r="I34" s="31">
        <f t="shared" si="10"/>
        <v>36.27881407</v>
      </c>
      <c r="J34" s="31">
        <f t="array" ref="J34">IF(F34="","",IF(ROW()=MAX(IF($C$28:$C$41=C34,ROW($C$28:$C$41),0)),MAX(0,IFERROR(VLOOKUP(C34,$A$10:$L$14,6,FALSE)-VLOOKUP(C34,$A$10:$L$14,5,FALSE),0)),0))</f>
        <v>0</v>
      </c>
      <c r="K34" s="31">
        <f t="shared" si="11"/>
        <v>18473.3202</v>
      </c>
      <c r="L34" s="12">
        <f t="shared" si="12"/>
        <v>77.88970354</v>
      </c>
      <c r="M34" s="12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2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73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31">
        <f t="shared" si="7"/>
        <v>15748.71424</v>
      </c>
      <c r="G35" s="53">
        <f t="shared" si="8"/>
        <v>2.97</v>
      </c>
      <c r="H35" s="31">
        <f t="shared" si="9"/>
        <v>203.1584137</v>
      </c>
      <c r="I35" s="31">
        <f t="shared" si="10"/>
        <v>30.46928942</v>
      </c>
      <c r="J35" s="31">
        <f t="array" ref="J35">IF(F35="","",IF(ROW()=MAX(IF($C$28:$C$41=C35,ROW($C$28:$C$41),0)),MAX(0,IFERROR(VLOOKUP(C35,$A$10:$L$14,6,FALSE)-VLOOKUP(C35,$A$10:$L$14,5,FALSE),0)),0))</f>
        <v>0</v>
      </c>
      <c r="K35" s="31">
        <f t="shared" si="11"/>
        <v>15515.08654</v>
      </c>
      <c r="L35" s="12">
        <f t="shared" si="12"/>
        <v>65.41679988</v>
      </c>
      <c r="M35" s="12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2">
        <f t="shared" si="13"/>
        <v>85.8</v>
      </c>
      <c r="O35" s="114"/>
    </row>
    <row r="36">
      <c r="A36" s="112">
        <v>46290.0</v>
      </c>
      <c r="B36" s="4" t="s">
        <v>236</v>
      </c>
      <c r="C36" s="4" t="s">
        <v>75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43">
        <f t="shared" si="7"/>
        <v>20647.50784</v>
      </c>
      <c r="G36" s="45">
        <f t="shared" si="8"/>
        <v>2.97</v>
      </c>
      <c r="H36" s="43">
        <f t="shared" si="9"/>
        <v>266.3528511</v>
      </c>
      <c r="I36" s="43">
        <f t="shared" si="10"/>
        <v>39.94706378</v>
      </c>
      <c r="J36" s="43">
        <f t="array" ref="J36">IF(F36="","",IF(ROW()=MAX(IF($C$28:$C$41=C36,ROW($C$28:$C$41),0)),MAX(0,IFERROR(VLOOKUP(C36,$A$10:$L$14,6,FALSE)-VLOOKUP(C36,$A$10:$L$14,5,FALSE),0)),0))</f>
        <v>0</v>
      </c>
      <c r="K36" s="43">
        <f t="shared" si="11"/>
        <v>20341.20793</v>
      </c>
      <c r="L36" s="12">
        <f t="shared" si="12"/>
        <v>85.62197863</v>
      </c>
      <c r="M36" s="12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2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75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31">
        <f t="shared" si="7"/>
        <v>19486.31232</v>
      </c>
      <c r="G37" s="13">
        <f t="shared" si="8"/>
        <v>2.97</v>
      </c>
      <c r="H37" s="12">
        <f t="shared" si="9"/>
        <v>251.3734289</v>
      </c>
      <c r="I37" s="12">
        <f t="shared" si="10"/>
        <v>37.70048023</v>
      </c>
      <c r="J37" s="31">
        <f t="array" ref="J37">IF(F37="","",IF(ROW()=MAX(IF($C$28:$C$41=C37,ROW($C$28:$C$41),0)),MAX(0,IFERROR(VLOOKUP(C37,$A$10:$L$14,6,FALSE)-VLOOKUP(C37,$A$10:$L$14,5,FALSE),0)),0))</f>
        <v>0</v>
      </c>
      <c r="K37" s="12">
        <f t="shared" si="11"/>
        <v>19197.23841</v>
      </c>
      <c r="L37" s="12">
        <f t="shared" si="12"/>
        <v>80.80668282</v>
      </c>
      <c r="M37" s="12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2">
        <f t="shared" si="13"/>
        <v>85.8</v>
      </c>
    </row>
    <row r="38">
      <c r="A38" s="5">
        <v>46290.0</v>
      </c>
      <c r="B38" s="3" t="s">
        <v>238</v>
      </c>
      <c r="C38" s="3" t="s">
        <v>75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31">
        <f t="shared" si="7"/>
        <v>21545.62</v>
      </c>
      <c r="G38" s="13">
        <f t="shared" si="8"/>
        <v>2.97</v>
      </c>
      <c r="H38" s="12">
        <f t="shared" si="9"/>
        <v>277.938498</v>
      </c>
      <c r="I38" s="12">
        <f t="shared" si="10"/>
        <v>41.68465574</v>
      </c>
      <c r="J38" s="12">
        <f t="array" ref="J38">IF(F38="","",IF(ROW()=MAX(IF($C$28:$C$41=C38,ROW($C$28:$C$41),0)),MAX(0,IFERROR(VLOOKUP(C38,$A$10:$L$14,6,FALSE)-VLOOKUP(C38,$A$10:$L$14,5,FALSE),0)),0))</f>
        <v>0</v>
      </c>
      <c r="K38" s="12">
        <f t="shared" si="11"/>
        <v>21225.99685</v>
      </c>
      <c r="L38" s="12">
        <f t="shared" si="12"/>
        <v>89.34630899</v>
      </c>
      <c r="M38" s="12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2">
        <f t="shared" si="13"/>
        <v>85.8</v>
      </c>
    </row>
    <row r="39">
      <c r="A39" s="5">
        <v>46290.0</v>
      </c>
      <c r="B39" s="3" t="s">
        <v>239</v>
      </c>
      <c r="C39" s="3" t="s">
        <v>75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31">
        <f t="shared" si="7"/>
        <v>15866.64816</v>
      </c>
      <c r="G39" s="13">
        <f t="shared" si="8"/>
        <v>2.97</v>
      </c>
      <c r="H39" s="12">
        <f t="shared" si="9"/>
        <v>204.6797613</v>
      </c>
      <c r="I39" s="12">
        <f t="shared" si="10"/>
        <v>30.69745806</v>
      </c>
      <c r="J39" s="12">
        <f t="array" ref="J39">IF(F39="","",IF(ROW()=MAX(IF($C$28:$C$41=C39,ROW($C$28:$C$41),0)),MAX(0,IFERROR(VLOOKUP(C39,$A$10:$L$14,6,FALSE)-VLOOKUP(C39,$A$10:$L$14,5,FALSE),0)),0))</f>
        <v>0</v>
      </c>
      <c r="K39" s="12">
        <f t="shared" si="11"/>
        <v>15631.27094</v>
      </c>
      <c r="L39" s="12">
        <f t="shared" si="12"/>
        <v>65.79650291</v>
      </c>
      <c r="M39" s="12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2">
        <f t="shared" si="13"/>
        <v>85.8</v>
      </c>
    </row>
    <row r="40">
      <c r="A40" s="5">
        <v>46290.0</v>
      </c>
      <c r="B40" s="3" t="s">
        <v>240</v>
      </c>
      <c r="C40" s="3" t="s">
        <v>79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31">
        <f t="shared" si="7"/>
        <v>21137.3872</v>
      </c>
      <c r="G40" s="13">
        <f t="shared" si="8"/>
        <v>2.97</v>
      </c>
      <c r="H40" s="12">
        <f t="shared" si="9"/>
        <v>272.6722949</v>
      </c>
      <c r="I40" s="12">
        <f t="shared" si="10"/>
        <v>40.89484121</v>
      </c>
      <c r="J40" s="12">
        <f t="array" ref="J40">IF(F40="","",IF(ROW()=MAX(IF($C$28:$C$41=C40,ROW($C$28:$C$41),0)),MAX(0,IFERROR(VLOOKUP(C40,$A$10:$L$14,6,FALSE)-VLOOKUP(C40,$A$10:$L$14,5,FALSE),0)),0))</f>
        <v>0</v>
      </c>
      <c r="K40" s="12">
        <f t="shared" si="11"/>
        <v>20823.82006</v>
      </c>
      <c r="L40" s="12">
        <f t="shared" si="12"/>
        <v>87.54086775</v>
      </c>
      <c r="M40" s="12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2">
        <f t="shared" si="13"/>
        <v>85.8</v>
      </c>
    </row>
    <row r="41">
      <c r="A41" s="5">
        <v>46290.0</v>
      </c>
      <c r="B41" s="3" t="s">
        <v>241</v>
      </c>
      <c r="C41" s="3" t="s">
        <v>79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2">
        <f t="shared" si="7"/>
        <v>14714.52448</v>
      </c>
      <c r="G41" s="13">
        <f t="shared" si="8"/>
        <v>2.97</v>
      </c>
      <c r="H41" s="12">
        <f t="shared" si="9"/>
        <v>184.7507143</v>
      </c>
      <c r="I41" s="12">
        <f t="shared" si="10"/>
        <v>27.70853977</v>
      </c>
      <c r="J41" s="12">
        <f t="array" ref="J41">IF(F41="","",IF(ROW()=MAX(IF($C$28:$C$41=C41,ROW($C$28:$C$41),0)),MAX(0,IFERROR(VLOOKUP(C41,$A$10:$L$14,6,FALSE)-VLOOKUP(C41,$A$10:$L$14,5,FALSE),0)),0))</f>
        <v>392.76368</v>
      </c>
      <c r="K41" s="12">
        <f t="shared" si="11"/>
        <v>14109.30155</v>
      </c>
      <c r="L41" s="12">
        <f t="shared" si="12"/>
        <v>59.31382892</v>
      </c>
      <c r="M41" s="12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2">
        <f t="shared" si="13"/>
        <v>85.8</v>
      </c>
    </row>
    <row r="42">
      <c r="D42" s="12"/>
      <c r="E42" s="12"/>
      <c r="F42" s="12"/>
      <c r="G42" s="13"/>
      <c r="H42" s="12"/>
      <c r="I42" s="12"/>
      <c r="J42" s="12"/>
      <c r="K42" s="12"/>
      <c r="L42" s="12">
        <f t="shared" ref="L42:N42" si="14">SUM(L28:L41)</f>
        <v>1111.729637</v>
      </c>
      <c r="M42" s="12">
        <f t="shared" si="14"/>
        <v>15102.68824</v>
      </c>
      <c r="N42" s="12">
        <f t="shared" si="14"/>
        <v>1946</v>
      </c>
    </row>
    <row r="43">
      <c r="D43" s="12"/>
      <c r="E43" s="12"/>
      <c r="F43" s="12"/>
      <c r="G43" s="13"/>
    </row>
    <row r="44">
      <c r="A44" s="1" t="s">
        <v>242</v>
      </c>
      <c r="B44" s="2"/>
      <c r="C44" s="2"/>
      <c r="D44" s="36"/>
      <c r="E44" s="36"/>
      <c r="F44" s="36"/>
      <c r="G44" s="3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19</v>
      </c>
      <c r="C45" s="4" t="s">
        <v>244</v>
      </c>
      <c r="D45" s="43" t="s">
        <v>24</v>
      </c>
      <c r="E45" s="43" t="s">
        <v>25</v>
      </c>
      <c r="F45" s="43" t="s">
        <v>26</v>
      </c>
      <c r="G45" s="43" t="s">
        <v>35</v>
      </c>
      <c r="H45" s="45" t="s">
        <v>85</v>
      </c>
      <c r="I45" s="45"/>
      <c r="J45" s="45"/>
      <c r="K45" s="45"/>
      <c r="L45" s="4"/>
      <c r="M45" s="4" t="s">
        <v>86</v>
      </c>
      <c r="N45" s="9"/>
      <c r="O45" s="9"/>
      <c r="P45" s="9"/>
      <c r="Q45" s="9"/>
      <c r="R45" s="9"/>
    </row>
    <row r="46">
      <c r="A46" s="12">
        <f>SUM(F28:F42)</f>
        <v>268199.8778</v>
      </c>
      <c r="B46" s="12">
        <f>SUM(J28:J42)</f>
        <v>392.76368</v>
      </c>
      <c r="C46" s="18">
        <f>A46-B46</f>
        <v>267807.1141</v>
      </c>
      <c r="D46" s="12">
        <f t="shared" ref="D46:E46" si="15">SUM(H28:H42)</f>
        <v>3454.711772</v>
      </c>
      <c r="E46" s="12">
        <f t="shared" si="15"/>
        <v>518.1307085</v>
      </c>
      <c r="F46" s="12">
        <f>C46-D46-E46-K46</f>
        <v>263834.2716</v>
      </c>
      <c r="G46" s="53">
        <v>2.97</v>
      </c>
      <c r="H46" s="57"/>
      <c r="I46" s="13"/>
      <c r="J46" s="13"/>
      <c r="K46" s="13"/>
      <c r="L46" s="13"/>
      <c r="M46" s="16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2"/>
      <c r="E47" s="12"/>
      <c r="F47" s="12"/>
      <c r="G47" s="13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2">
        <f t="shared" ref="B49:B50" si="16">C49</f>
        <v>77228.57392</v>
      </c>
      <c r="C49" s="12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2">
        <f t="shared" si="16"/>
        <v>190578.5402</v>
      </c>
      <c r="C50" s="12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  <c r="K2" s="4" t="s">
        <v>5</v>
      </c>
    </row>
    <row r="3">
      <c r="A3" s="3" t="s">
        <v>6</v>
      </c>
      <c r="B3" s="5">
        <v>46283.0</v>
      </c>
      <c r="K3" s="4" t="s">
        <v>8</v>
      </c>
      <c r="L3" s="6">
        <v>2.20462</v>
      </c>
    </row>
    <row r="4">
      <c r="A4" s="3" t="s">
        <v>9</v>
      </c>
      <c r="B4" s="5">
        <v>46290.0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15</v>
      </c>
      <c r="L7" s="6">
        <v>0.00196</v>
      </c>
    </row>
    <row r="8">
      <c r="A8" s="1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21</v>
      </c>
      <c r="B9" s="4" t="s">
        <v>22</v>
      </c>
      <c r="C9" s="8" t="s">
        <v>23</v>
      </c>
      <c r="D9" s="8" t="s">
        <v>31</v>
      </c>
      <c r="E9" s="4" t="s">
        <v>32</v>
      </c>
      <c r="F9" s="4" t="s">
        <v>33</v>
      </c>
      <c r="G9" s="8" t="s">
        <v>34</v>
      </c>
      <c r="H9" s="4" t="s">
        <v>35</v>
      </c>
      <c r="I9" s="4" t="s">
        <v>36</v>
      </c>
      <c r="J9" s="4" t="s">
        <v>24</v>
      </c>
      <c r="K9" s="4" t="s">
        <v>25</v>
      </c>
      <c r="L9" s="4" t="s">
        <v>26</v>
      </c>
      <c r="M9" s="4" t="s">
        <v>38</v>
      </c>
      <c r="N9" s="4" t="s">
        <v>39</v>
      </c>
    </row>
    <row r="10">
      <c r="A10" s="5"/>
      <c r="C10" s="11"/>
      <c r="D10" s="11"/>
      <c r="E10" s="12"/>
      <c r="F10" s="12"/>
      <c r="G10" s="11"/>
      <c r="H10" s="13"/>
      <c r="J10" s="16" t="str">
        <f t="shared" ref="J10:J24" si="1">IF(D10="","",D10*$L$5)</f>
        <v/>
      </c>
      <c r="K10" s="16" t="str">
        <f t="shared" ref="K10:K24" si="2">IF(D10="","",(D10-J10)*$L$7)</f>
        <v/>
      </c>
      <c r="L10" s="16" t="str">
        <f t="shared" ref="L10:L24" si="3">IF(D10="","",D10-J10-K10)</f>
        <v/>
      </c>
      <c r="N10" s="3">
        <v>2197.0</v>
      </c>
    </row>
    <row r="11">
      <c r="A11" s="5"/>
      <c r="C11" s="11"/>
      <c r="D11" s="11"/>
      <c r="E11" s="12"/>
      <c r="F11" s="12"/>
      <c r="G11" s="11"/>
      <c r="H11" s="13"/>
      <c r="J11" s="16" t="str">
        <f t="shared" si="1"/>
        <v/>
      </c>
      <c r="K11" s="16" t="str">
        <f t="shared" si="2"/>
        <v/>
      </c>
      <c r="L11" s="16" t="str">
        <f t="shared" si="3"/>
        <v/>
      </c>
      <c r="N11" s="3">
        <v>2197.0</v>
      </c>
    </row>
    <row r="12">
      <c r="A12" s="5"/>
      <c r="C12" s="11"/>
      <c r="D12" s="11"/>
      <c r="E12" s="12"/>
      <c r="F12" s="12"/>
      <c r="G12" s="11"/>
      <c r="H12" s="13"/>
      <c r="J12" s="16" t="str">
        <f t="shared" si="1"/>
        <v/>
      </c>
      <c r="K12" s="16" t="str">
        <f t="shared" si="2"/>
        <v/>
      </c>
      <c r="L12" s="16" t="str">
        <f t="shared" si="3"/>
        <v/>
      </c>
      <c r="N12" s="3">
        <v>2197.0</v>
      </c>
    </row>
    <row r="13">
      <c r="A13" s="5"/>
      <c r="C13" s="11"/>
      <c r="D13" s="11"/>
      <c r="E13" s="12"/>
      <c r="F13" s="12"/>
      <c r="G13" s="11"/>
      <c r="H13" s="13"/>
      <c r="J13" s="16" t="str">
        <f t="shared" si="1"/>
        <v/>
      </c>
      <c r="K13" s="16" t="str">
        <f t="shared" si="2"/>
        <v/>
      </c>
      <c r="L13" s="16" t="str">
        <f t="shared" si="3"/>
        <v/>
      </c>
    </row>
    <row r="14">
      <c r="A14" s="5"/>
      <c r="C14" s="11"/>
      <c r="D14" s="11"/>
      <c r="E14" s="12"/>
      <c r="F14" s="12"/>
      <c r="G14" s="11"/>
      <c r="H14" s="13"/>
      <c r="J14" s="16" t="str">
        <f t="shared" si="1"/>
        <v/>
      </c>
      <c r="K14" s="16" t="str">
        <f t="shared" si="2"/>
        <v/>
      </c>
      <c r="L14" s="16" t="str">
        <f t="shared" si="3"/>
        <v/>
      </c>
    </row>
    <row r="15">
      <c r="A15" s="5"/>
      <c r="C15" s="11"/>
      <c r="D15" s="11"/>
      <c r="E15" s="12"/>
      <c r="F15" s="12"/>
      <c r="G15" s="11"/>
      <c r="H15" s="13"/>
      <c r="J15" s="16" t="str">
        <f t="shared" si="1"/>
        <v/>
      </c>
      <c r="K15" s="16" t="str">
        <f t="shared" si="2"/>
        <v/>
      </c>
      <c r="L15" s="16" t="str">
        <f t="shared" si="3"/>
        <v/>
      </c>
    </row>
    <row r="16">
      <c r="A16" s="26"/>
      <c r="C16" s="11"/>
      <c r="D16" s="27"/>
      <c r="E16" s="12"/>
      <c r="F16" s="12"/>
      <c r="G16" s="27"/>
      <c r="H16" s="13"/>
      <c r="J16" s="16" t="str">
        <f t="shared" si="1"/>
        <v/>
      </c>
      <c r="K16" s="16" t="str">
        <f t="shared" si="2"/>
        <v/>
      </c>
      <c r="L16" s="16" t="str">
        <f t="shared" si="3"/>
        <v/>
      </c>
    </row>
    <row r="17">
      <c r="A17" s="26"/>
      <c r="C17" s="11"/>
      <c r="D17" s="27"/>
      <c r="E17" s="12"/>
      <c r="F17" s="12"/>
      <c r="G17" s="27"/>
      <c r="H17" s="13"/>
      <c r="J17" s="16" t="str">
        <f t="shared" si="1"/>
        <v/>
      </c>
      <c r="K17" s="16" t="str">
        <f t="shared" si="2"/>
        <v/>
      </c>
      <c r="L17" s="16" t="str">
        <f t="shared" si="3"/>
        <v/>
      </c>
    </row>
    <row r="18">
      <c r="A18" s="26"/>
      <c r="C18" s="11"/>
      <c r="D18" s="27"/>
      <c r="E18" s="12"/>
      <c r="F18" s="12"/>
      <c r="G18" s="27"/>
      <c r="H18" s="13"/>
      <c r="J18" s="16" t="str">
        <f t="shared" si="1"/>
        <v/>
      </c>
      <c r="K18" s="16" t="str">
        <f t="shared" si="2"/>
        <v/>
      </c>
      <c r="L18" s="16" t="str">
        <f t="shared" si="3"/>
        <v/>
      </c>
    </row>
    <row r="19">
      <c r="A19" s="26"/>
      <c r="C19" s="11"/>
      <c r="D19" s="27"/>
      <c r="E19" s="12"/>
      <c r="F19" s="12"/>
      <c r="G19" s="27"/>
      <c r="H19" s="13"/>
      <c r="J19" s="16" t="str">
        <f t="shared" si="1"/>
        <v/>
      </c>
      <c r="K19" s="16" t="str">
        <f t="shared" si="2"/>
        <v/>
      </c>
      <c r="L19" s="16" t="str">
        <f t="shared" si="3"/>
        <v/>
      </c>
    </row>
    <row r="20">
      <c r="A20" s="26"/>
      <c r="C20" s="11"/>
      <c r="D20" s="27"/>
      <c r="E20" s="12"/>
      <c r="F20" s="12"/>
      <c r="G20" s="27"/>
      <c r="H20" s="13"/>
      <c r="J20" s="16" t="str">
        <f t="shared" si="1"/>
        <v/>
      </c>
      <c r="K20" s="16" t="str">
        <f t="shared" si="2"/>
        <v/>
      </c>
      <c r="L20" s="16" t="str">
        <f t="shared" si="3"/>
        <v/>
      </c>
    </row>
    <row r="21">
      <c r="A21" s="26"/>
      <c r="C21" s="11"/>
      <c r="D21" s="27"/>
      <c r="E21" s="12"/>
      <c r="F21" s="12"/>
      <c r="G21" s="27"/>
      <c r="H21" s="13"/>
      <c r="J21" s="16" t="str">
        <f t="shared" si="1"/>
        <v/>
      </c>
      <c r="K21" s="16" t="str">
        <f t="shared" si="2"/>
        <v/>
      </c>
      <c r="L21" s="16" t="str">
        <f t="shared" si="3"/>
        <v/>
      </c>
    </row>
    <row r="22">
      <c r="A22" s="26"/>
      <c r="C22" s="11"/>
      <c r="D22" s="27"/>
      <c r="E22" s="12"/>
      <c r="F22" s="12"/>
      <c r="G22" s="27"/>
      <c r="H22" s="13"/>
      <c r="J22" s="16" t="str">
        <f t="shared" si="1"/>
        <v/>
      </c>
      <c r="K22" s="16" t="str">
        <f t="shared" si="2"/>
        <v/>
      </c>
      <c r="L22" s="16" t="str">
        <f t="shared" si="3"/>
        <v/>
      </c>
    </row>
    <row r="23">
      <c r="A23" s="26"/>
      <c r="C23" s="11"/>
      <c r="D23" s="27"/>
      <c r="E23" s="12"/>
      <c r="F23" s="12"/>
      <c r="G23" s="27"/>
      <c r="H23" s="13"/>
      <c r="J23" s="16" t="str">
        <f t="shared" si="1"/>
        <v/>
      </c>
      <c r="K23" s="16" t="str">
        <f t="shared" si="2"/>
        <v/>
      </c>
      <c r="L23" s="16" t="str">
        <f t="shared" si="3"/>
        <v/>
      </c>
    </row>
    <row r="24">
      <c r="C24" s="27"/>
      <c r="D24" s="27"/>
      <c r="E24" s="12"/>
      <c r="F24" s="12"/>
      <c r="G24" s="27"/>
      <c r="H24" s="13"/>
      <c r="J24" s="16" t="str">
        <f t="shared" si="1"/>
        <v/>
      </c>
      <c r="K24" s="16" t="str">
        <f t="shared" si="2"/>
        <v/>
      </c>
      <c r="L24" s="16" t="str">
        <f t="shared" si="3"/>
        <v/>
      </c>
    </row>
    <row r="25">
      <c r="C25" s="12"/>
      <c r="D25" s="12"/>
      <c r="E25" s="12"/>
      <c r="F25" s="12"/>
      <c r="G25" s="12"/>
      <c r="H25" s="13"/>
      <c r="N25" s="35">
        <f>sum(N10:N23)</f>
        <v>6591</v>
      </c>
    </row>
    <row r="26">
      <c r="A26" s="1" t="s">
        <v>78</v>
      </c>
      <c r="B26" s="2"/>
      <c r="C26" s="36"/>
      <c r="D26" s="36"/>
      <c r="E26" s="36"/>
      <c r="F26" s="36"/>
      <c r="G26" s="36"/>
      <c r="H26" s="39"/>
      <c r="I26" s="2"/>
      <c r="J26" s="2"/>
      <c r="K26" s="2"/>
      <c r="L26" s="2"/>
      <c r="M26" s="2"/>
      <c r="N26" s="2"/>
    </row>
    <row r="27">
      <c r="A27" s="4" t="s">
        <v>81</v>
      </c>
      <c r="B27" s="4" t="s">
        <v>82</v>
      </c>
      <c r="C27" s="43" t="s">
        <v>20</v>
      </c>
      <c r="D27" s="43" t="s">
        <v>24</v>
      </c>
      <c r="E27" s="43" t="s">
        <v>25</v>
      </c>
      <c r="F27" s="43" t="s">
        <v>83</v>
      </c>
      <c r="G27" s="43" t="s">
        <v>26</v>
      </c>
      <c r="H27" s="45" t="s">
        <v>35</v>
      </c>
      <c r="I27" s="4" t="s">
        <v>85</v>
      </c>
      <c r="J27" s="4"/>
      <c r="K27" s="4" t="s">
        <v>86</v>
      </c>
      <c r="L27" s="9"/>
      <c r="M27" s="9"/>
      <c r="N27" s="9"/>
    </row>
    <row r="28">
      <c r="A28" s="12">
        <f>SUMIFS(D10:D24,B10:B24,"&lt;&gt;")</f>
        <v>0</v>
      </c>
      <c r="B28" s="12">
        <f>SUMIFS(G10:G24,B10:B24,"&lt;&gt;")</f>
        <v>0</v>
      </c>
      <c r="C28" s="18">
        <f>A28</f>
        <v>0</v>
      </c>
      <c r="D28" s="12">
        <f>C28*$L$5</f>
        <v>0</v>
      </c>
      <c r="E28" s="31">
        <f>(C28-D28)*$L$7</f>
        <v>0</v>
      </c>
      <c r="F28" s="53">
        <v>0.0</v>
      </c>
      <c r="G28" s="13">
        <f>C28-D28-E28-F28</f>
        <v>0</v>
      </c>
      <c r="H28" s="53">
        <v>2.97</v>
      </c>
      <c r="K28" s="16" t="str">
        <f>IFERROR(__xludf.DUMMYFUNCTION("TRIM(TEXTJOIN("", "",TRUE,IFERROR(FILTER(B10:B24,B10:B24&lt;&gt;""""),"""")))"),"")</f>
        <v/>
      </c>
    </row>
    <row r="29">
      <c r="C29" s="12"/>
      <c r="D29" s="12"/>
      <c r="E29" s="12"/>
      <c r="F29" s="12"/>
      <c r="G29" s="12"/>
      <c r="H29" s="13"/>
    </row>
    <row r="30">
      <c r="C30" s="12"/>
      <c r="D30" s="12"/>
      <c r="E30" s="12"/>
      <c r="F30" s="12"/>
      <c r="G30" s="12"/>
      <c r="H30" s="1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3" t="s">
        <v>4</v>
      </c>
      <c r="J2" s="4"/>
      <c r="L2" s="3" t="s">
        <v>5</v>
      </c>
    </row>
    <row r="3">
      <c r="A3" s="3" t="s">
        <v>6</v>
      </c>
      <c r="B3" s="5">
        <v>46283.0</v>
      </c>
      <c r="J3" s="4"/>
      <c r="L3" s="3" t="s">
        <v>8</v>
      </c>
      <c r="M3" s="6">
        <v>2.20462</v>
      </c>
    </row>
    <row r="4">
      <c r="A4" s="3" t="s">
        <v>9</v>
      </c>
      <c r="B4" s="5">
        <v>46290.0</v>
      </c>
      <c r="J4" s="4"/>
      <c r="L4" s="3" t="s">
        <v>10</v>
      </c>
      <c r="M4" s="6">
        <v>0.453592</v>
      </c>
    </row>
    <row r="5">
      <c r="J5" s="4"/>
      <c r="L5" s="3" t="s">
        <v>15</v>
      </c>
      <c r="M5" s="6">
        <v>7.1E-4</v>
      </c>
    </row>
    <row r="6">
      <c r="J6" s="4"/>
      <c r="L6" s="3" t="s">
        <v>12</v>
      </c>
      <c r="M6" s="3" t="s">
        <v>13</v>
      </c>
    </row>
    <row r="7">
      <c r="L7" s="3" t="s">
        <v>59</v>
      </c>
      <c r="M7" s="6">
        <v>0.004</v>
      </c>
    </row>
    <row r="8">
      <c r="A8" s="17" t="s">
        <v>60</v>
      </c>
      <c r="B8" s="19"/>
      <c r="C8" s="19"/>
      <c r="D8" s="19"/>
      <c r="E8" s="19"/>
      <c r="F8" s="19"/>
      <c r="G8" s="19"/>
      <c r="H8" s="2"/>
      <c r="I8" s="2"/>
      <c r="J8" s="2"/>
      <c r="K8" s="2"/>
      <c r="L8" s="2"/>
      <c r="M8" s="2"/>
    </row>
    <row r="9">
      <c r="A9" s="20" t="s">
        <v>21</v>
      </c>
      <c r="B9" s="20" t="s">
        <v>61</v>
      </c>
      <c r="C9" s="21" t="s">
        <v>62</v>
      </c>
      <c r="D9" s="21" t="s">
        <v>63</v>
      </c>
      <c r="E9" s="20" t="s">
        <v>64</v>
      </c>
      <c r="F9" s="20" t="s">
        <v>65</v>
      </c>
      <c r="G9" s="21" t="s">
        <v>35</v>
      </c>
      <c r="H9" s="4" t="s">
        <v>36</v>
      </c>
      <c r="I9" s="4" t="s">
        <v>38</v>
      </c>
      <c r="J9" s="4" t="s">
        <v>66</v>
      </c>
      <c r="K9" s="4" t="s">
        <v>67</v>
      </c>
      <c r="L9" s="9"/>
      <c r="M9" s="9"/>
    </row>
    <row r="10">
      <c r="A10" s="22">
        <v>46290.0</v>
      </c>
      <c r="B10" s="23" t="s">
        <v>68</v>
      </c>
      <c r="C10" s="28">
        <f>HYPERLINK("https://drive.google.com/file/d/1GAqZF0tspn69yxEu9qeh335noEtt4cIH/view", 76680)</f>
        <v>76680</v>
      </c>
      <c r="D10" s="28">
        <f>HYPERLINK("https://drive.google.com/file/d/1yIF3Xk4gf5-KAlQWOgEdsFtLL17r7eJz/view", 34420)</f>
        <v>34420</v>
      </c>
      <c r="E10" s="30">
        <f>C10-D10</f>
        <v>42260</v>
      </c>
      <c r="F10" s="30">
        <f>E10*M4</f>
        <v>19168.79792</v>
      </c>
      <c r="G10" s="37">
        <f>$D$18</f>
        <v>2.97</v>
      </c>
    </row>
    <row r="11">
      <c r="A11" s="40"/>
      <c r="B11" s="41"/>
      <c r="C11" s="37"/>
      <c r="D11" s="37"/>
      <c r="E11" s="42"/>
      <c r="F11" s="42"/>
      <c r="G11" s="37"/>
    </row>
    <row r="12">
      <c r="A12" s="40"/>
      <c r="B12" s="41"/>
      <c r="C12" s="37"/>
      <c r="D12" s="37"/>
      <c r="E12" s="42"/>
      <c r="F12" s="42"/>
      <c r="G12" s="37"/>
    </row>
    <row r="13">
      <c r="A13" s="40"/>
      <c r="B13" s="41"/>
      <c r="C13" s="37"/>
      <c r="D13" s="37"/>
      <c r="E13" s="42"/>
      <c r="F13" s="42"/>
      <c r="G13" s="37"/>
    </row>
    <row r="14">
      <c r="A14" s="41"/>
      <c r="B14" s="41"/>
      <c r="C14" s="42"/>
      <c r="D14" s="42"/>
      <c r="E14" s="42"/>
      <c r="F14" s="42"/>
      <c r="G14" s="42"/>
    </row>
    <row r="15">
      <c r="A15" s="46"/>
      <c r="B15" s="19"/>
      <c r="C15" s="47"/>
      <c r="D15" s="47"/>
      <c r="E15" s="47"/>
      <c r="F15" s="47"/>
      <c r="G15" s="47"/>
      <c r="H15" s="2"/>
      <c r="I15" s="2"/>
      <c r="J15" s="2"/>
      <c r="K15" s="2"/>
      <c r="L15" s="2"/>
      <c r="M15" s="2"/>
    </row>
    <row r="16">
      <c r="A16" s="41" t="s">
        <v>88</v>
      </c>
      <c r="B16" s="41"/>
      <c r="C16" s="41"/>
      <c r="D16" s="41"/>
      <c r="E16" s="41"/>
      <c r="F16" s="41"/>
      <c r="G16" s="41"/>
    </row>
    <row r="17">
      <c r="A17" s="48" t="s">
        <v>90</v>
      </c>
      <c r="B17" s="48" t="s">
        <v>25</v>
      </c>
      <c r="C17" s="48" t="s">
        <v>26</v>
      </c>
      <c r="D17" s="49" t="s">
        <v>35</v>
      </c>
      <c r="E17" s="50" t="s">
        <v>92</v>
      </c>
      <c r="F17" s="41"/>
      <c r="G17" s="41" t="s">
        <v>93</v>
      </c>
    </row>
    <row r="18">
      <c r="A18" s="52">
        <f>SUMIFS(F10:F15,B10:B15,"&lt;&gt;")</f>
        <v>19168.79792</v>
      </c>
      <c r="B18" s="52">
        <f>A18*$M$5</f>
        <v>13.60984652</v>
      </c>
      <c r="C18" s="52">
        <f>A18-B18</f>
        <v>19155.18807</v>
      </c>
      <c r="D18" s="54">
        <v>2.97</v>
      </c>
      <c r="E18" s="50"/>
      <c r="F18" s="41"/>
      <c r="G18" s="41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  <c r="K2" s="4" t="s">
        <v>5</v>
      </c>
    </row>
    <row r="3">
      <c r="A3" s="3" t="s">
        <v>6</v>
      </c>
      <c r="B3" s="5">
        <v>46283.0</v>
      </c>
      <c r="K3" s="4" t="s">
        <v>8</v>
      </c>
      <c r="L3" s="6">
        <v>2.20462</v>
      </c>
    </row>
    <row r="4">
      <c r="A4" s="3" t="s">
        <v>9</v>
      </c>
      <c r="B4" s="5">
        <v>46290.0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116</v>
      </c>
      <c r="L7" s="6">
        <v>0.795241</v>
      </c>
    </row>
    <row r="8">
      <c r="A8" s="1" t="s">
        <v>117</v>
      </c>
      <c r="B8" s="2"/>
      <c r="C8" s="2"/>
      <c r="D8" s="2"/>
      <c r="E8" s="2"/>
      <c r="F8" s="2"/>
      <c r="G8" s="2"/>
      <c r="H8" s="2"/>
      <c r="I8" s="2"/>
      <c r="J8" s="1"/>
      <c r="K8" s="1" t="s">
        <v>118</v>
      </c>
      <c r="L8" s="14">
        <v>7.84</v>
      </c>
      <c r="M8" s="67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121</v>
      </c>
      <c r="C9" s="4"/>
      <c r="D9" s="4" t="s">
        <v>122</v>
      </c>
      <c r="E9" s="8"/>
      <c r="F9" s="4" t="s">
        <v>123</v>
      </c>
      <c r="G9" s="4"/>
      <c r="H9" s="4"/>
      <c r="I9" s="4"/>
      <c r="J9" s="9"/>
      <c r="K9" s="4" t="s">
        <v>124</v>
      </c>
      <c r="L9" s="9"/>
      <c r="M9" s="9"/>
    </row>
    <row r="10">
      <c r="C10" s="31"/>
      <c r="D10" s="31"/>
      <c r="E10" s="11"/>
      <c r="F10" s="31"/>
      <c r="G10" s="31"/>
      <c r="H10" s="53"/>
      <c r="J10" s="3" t="s">
        <v>125</v>
      </c>
      <c r="K10" s="3" t="s">
        <v>127</v>
      </c>
      <c r="L10" s="6">
        <v>0.7128290192302931</v>
      </c>
      <c r="M10" s="51" t="str">
        <f>HYPERLINK("https://docs.google.com/spreadsheets/d/1L167k_JS3mnisFy3VpS-OXgI8U0cK-4nC6A9sxl-ozk/edit","PP Summary")</f>
        <v>PP Summary</v>
      </c>
    </row>
    <row r="11">
      <c r="C11" s="31"/>
      <c r="D11" s="12"/>
      <c r="E11" s="11"/>
      <c r="F11" s="12"/>
      <c r="G11" s="31"/>
      <c r="H11" s="73"/>
      <c r="K11" s="75" t="s">
        <v>135</v>
      </c>
      <c r="L11" s="6">
        <v>0.9748408534875329</v>
      </c>
      <c r="M11" s="51" t="str">
        <f>HYPERLINK("https://docs.google.com/spreadsheets/d/1W8jWu3sp39WnSuds1Ja0FWDG5UuWN9v5NUmF6yh_WbI/edit","PP Summary")</f>
        <v>PP Summary</v>
      </c>
    </row>
    <row r="12">
      <c r="C12" s="31"/>
      <c r="D12" s="12"/>
      <c r="E12" s="11"/>
      <c r="F12" s="12"/>
      <c r="G12" s="31"/>
      <c r="H12" s="73"/>
      <c r="K12" s="75" t="s">
        <v>138</v>
      </c>
      <c r="L12" s="6">
        <v>0.9721828239230533</v>
      </c>
      <c r="M12" s="51" t="str">
        <f>HYPERLINK("https://docs.google.com/spreadsheets/d/1-L6m2wYknC3o-yIts9KK7FrYAb5lZIv4AwaizK8FbMc/edit","PP Summary")</f>
        <v>PP Summary</v>
      </c>
    </row>
    <row r="13">
      <c r="C13" s="31"/>
      <c r="D13" s="12"/>
      <c r="E13" s="11"/>
      <c r="F13" s="12"/>
      <c r="G13" s="31"/>
      <c r="H13" s="73"/>
      <c r="K13" s="75" t="s">
        <v>139</v>
      </c>
      <c r="L13" s="6">
        <v>0.9319944877512889</v>
      </c>
      <c r="M13" s="51" t="str">
        <f>HYPERLINK("https://docs.google.com/spreadsheets/d/1bPZ7pNsR5rv-om-BypF4lK3nczjn4HJNO2dzimwnx7E/edit","PP Summary")</f>
        <v>PP Summary</v>
      </c>
    </row>
    <row r="14">
      <c r="C14" s="31"/>
      <c r="D14" s="12"/>
      <c r="E14" s="11"/>
      <c r="F14" s="12"/>
      <c r="G14" s="31"/>
      <c r="H14" s="73"/>
      <c r="K14" s="75" t="s">
        <v>141</v>
      </c>
      <c r="L14" s="6">
        <v>0.84989612258998</v>
      </c>
      <c r="M14" s="51" t="str">
        <f>HYPERLINK("https://docs.google.com/spreadsheets/d/1vH7bborVnc-TCby3wEkpzi7GGMOI5jMJooEW0V-rOQ4/edit","PP Summary")</f>
        <v>PP Summary</v>
      </c>
    </row>
    <row r="15">
      <c r="C15" s="31"/>
      <c r="D15" s="12"/>
      <c r="E15" s="11"/>
      <c r="F15" s="12"/>
      <c r="G15" s="31"/>
      <c r="H15" s="73"/>
      <c r="K15" s="75" t="s">
        <v>142</v>
      </c>
      <c r="L15" s="6">
        <v>0.7900645329689984</v>
      </c>
      <c r="M15" s="51" t="str">
        <f>HYPERLINK("https://docs.google.com/spreadsheets/d/1O7y30opa_u1_deqFm_w2qgVyxi_75X00xnzKuyVyh6o/edit","PP Summary")</f>
        <v>PP Summary</v>
      </c>
    </row>
    <row r="16">
      <c r="C16" s="31"/>
      <c r="D16" s="12"/>
      <c r="E16" s="27"/>
      <c r="F16" s="12"/>
      <c r="G16" s="31"/>
      <c r="H16" s="73"/>
      <c r="K16" s="75" t="s">
        <v>144</v>
      </c>
      <c r="L16" s="6">
        <v>0.7848323401347014</v>
      </c>
      <c r="M16" s="51" t="str">
        <f>HYPERLINK("https://docs.google.com/spreadsheets/d/10Qwx7K6sUcOBrCebGUGVaVeLQnhzvcT8sHQ0Sy3VBBM/edit","PP Summary")</f>
        <v>PP Summary</v>
      </c>
    </row>
    <row r="17">
      <c r="C17" s="31"/>
      <c r="D17" s="12"/>
      <c r="E17" s="27"/>
      <c r="F17" s="12"/>
      <c r="G17" s="31"/>
      <c r="H17" s="73"/>
      <c r="K17" s="75" t="s">
        <v>147</v>
      </c>
      <c r="L17" s="6">
        <v>0.6328458891234968</v>
      </c>
      <c r="M17" s="51" t="str">
        <f>HYPERLINK("https://docs.google.com/spreadsheets/d/1m66t1jsLGc4e6AWnCFMsFbkSceZ9IYC_-bfTsbP_OYc/edit","PP Summary")</f>
        <v>PP Summary</v>
      </c>
    </row>
    <row r="18">
      <c r="C18" s="31"/>
      <c r="D18" s="12"/>
      <c r="E18" s="27"/>
      <c r="F18" s="12"/>
      <c r="G18" s="31"/>
      <c r="H18" s="73"/>
      <c r="K18" s="75" t="s">
        <v>148</v>
      </c>
      <c r="L18" s="6">
        <v>1.1105355635937064</v>
      </c>
      <c r="M18" s="51" t="str">
        <f>HYPERLINK("https://docs.google.com/spreadsheets/d/1MUQajDI2a_Cn9xWGPP7z4PhhphZnfl2_CSTnpB07Wgk/edit","PP Summary")</f>
        <v>PP Summary</v>
      </c>
    </row>
    <row r="19">
      <c r="C19" s="31"/>
      <c r="D19" s="12"/>
      <c r="E19" s="27"/>
      <c r="F19" s="12"/>
      <c r="G19" s="31"/>
      <c r="H19" s="73"/>
      <c r="K19" s="3" t="s">
        <v>149</v>
      </c>
      <c r="L19" s="16">
        <f>$L$7</f>
        <v>0.795241</v>
      </c>
    </row>
    <row r="20">
      <c r="C20" s="31"/>
      <c r="D20" s="12"/>
      <c r="E20" s="27"/>
      <c r="F20" s="12"/>
      <c r="G20" s="31"/>
      <c r="H20" s="73"/>
    </row>
    <row r="21">
      <c r="C21" s="31"/>
      <c r="D21" s="12"/>
      <c r="E21" s="27"/>
      <c r="F21" s="12"/>
      <c r="G21" s="31"/>
      <c r="H21" s="73"/>
    </row>
    <row r="22">
      <c r="C22" s="31"/>
      <c r="D22" s="12"/>
      <c r="E22" s="27"/>
      <c r="F22" s="12"/>
      <c r="G22" s="31"/>
      <c r="H22" s="73"/>
    </row>
    <row r="23">
      <c r="C23" s="31"/>
      <c r="D23" s="12"/>
      <c r="E23" s="27"/>
      <c r="F23" s="12"/>
      <c r="G23" s="31"/>
      <c r="H23" s="73"/>
    </row>
    <row r="24">
      <c r="C24" s="12"/>
      <c r="D24" s="12"/>
      <c r="E24" s="27"/>
      <c r="F24" s="12"/>
      <c r="G24" s="12"/>
      <c r="H24" s="73"/>
    </row>
    <row r="25">
      <c r="C25" s="12"/>
      <c r="D25" s="12"/>
      <c r="E25" s="27"/>
      <c r="F25" s="12"/>
      <c r="G25" s="12"/>
      <c r="H25" s="73"/>
      <c r="J25" s="16">
        <f>SUM(J11:J23)</f>
        <v>0</v>
      </c>
    </row>
    <row r="26">
      <c r="C26" s="12"/>
      <c r="D26" s="12"/>
      <c r="E26" s="27"/>
      <c r="F26" s="12"/>
      <c r="G26" s="12"/>
      <c r="H26" s="13"/>
    </row>
    <row r="27">
      <c r="C27" s="12"/>
      <c r="D27" s="12"/>
      <c r="E27" s="27"/>
      <c r="F27" s="12"/>
      <c r="G27" s="12"/>
      <c r="H27" s="13"/>
    </row>
    <row r="28">
      <c r="C28" s="31"/>
      <c r="D28" s="31"/>
      <c r="E28" s="27"/>
      <c r="F28" s="12"/>
      <c r="G28" s="12"/>
      <c r="H28" s="13"/>
    </row>
    <row r="29">
      <c r="C29" s="12"/>
      <c r="D29" s="12"/>
      <c r="E29" s="27"/>
      <c r="F29" s="12"/>
      <c r="G29" s="12"/>
      <c r="H29" s="13"/>
    </row>
    <row r="30">
      <c r="C30" s="12"/>
      <c r="D30" s="12"/>
      <c r="E30" s="12"/>
      <c r="F30" s="12"/>
      <c r="G30" s="12"/>
      <c r="H30" s="13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</row>
    <row r="33">
      <c r="A33" s="12"/>
      <c r="B33" s="12"/>
      <c r="C33" s="12"/>
      <c r="D33" s="13"/>
      <c r="E33" s="13"/>
      <c r="F33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  <c r="K2" s="4" t="s">
        <v>5</v>
      </c>
    </row>
    <row r="3">
      <c r="A3" s="3" t="s">
        <v>6</v>
      </c>
      <c r="B3" s="5">
        <v>46283.0</v>
      </c>
      <c r="K3" s="4" t="s">
        <v>8</v>
      </c>
      <c r="L3" s="6">
        <v>2.20462</v>
      </c>
    </row>
    <row r="4">
      <c r="A4" s="3" t="s">
        <v>9</v>
      </c>
      <c r="B4" s="5">
        <v>46290.0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119</v>
      </c>
      <c r="L7" s="6">
        <v>0.120947</v>
      </c>
    </row>
    <row r="8">
      <c r="A8" s="1" t="s">
        <v>120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8"/>
      <c r="B9" s="70" t="s">
        <v>121</v>
      </c>
      <c r="C9" s="70"/>
      <c r="D9" s="70" t="s">
        <v>126</v>
      </c>
      <c r="E9" s="4"/>
      <c r="F9" s="4" t="s">
        <v>123</v>
      </c>
      <c r="G9" s="4"/>
      <c r="H9" s="4"/>
      <c r="I9" s="4"/>
      <c r="K9" s="3" t="s">
        <v>124</v>
      </c>
    </row>
    <row r="10">
      <c r="A10" s="71" t="s">
        <v>128</v>
      </c>
      <c r="B10" s="72" t="s">
        <v>129</v>
      </c>
      <c r="C10" s="72" t="s">
        <v>130</v>
      </c>
      <c r="D10" s="72" t="s">
        <v>131</v>
      </c>
      <c r="E10" s="72" t="s">
        <v>132</v>
      </c>
      <c r="F10" s="72" t="s">
        <v>133</v>
      </c>
      <c r="G10" s="74" t="s">
        <v>134</v>
      </c>
      <c r="H10" s="74" t="s">
        <v>136</v>
      </c>
      <c r="I10" s="74" t="s">
        <v>137</v>
      </c>
      <c r="J10" s="74" t="s">
        <v>125</v>
      </c>
      <c r="K10" s="3" t="s">
        <v>127</v>
      </c>
      <c r="L10" s="6">
        <v>0.1575553394801048</v>
      </c>
      <c r="M10" s="51" t="str">
        <f>HYPERLINK("https://docs.google.com/spreadsheets/d/1L167k_JS3mnisFy3VpS-OXgI8U0cK-4nC6A9sxl-ozk/edit","PP Summary")</f>
        <v>PP Summary</v>
      </c>
    </row>
    <row r="11">
      <c r="A11" s="76">
        <v>301105.0</v>
      </c>
      <c r="B11" s="77">
        <v>1028.0</v>
      </c>
      <c r="C11" s="77">
        <v>57.6</v>
      </c>
      <c r="D11" s="77">
        <f t="shared" ref="D11:D52" si="1">B11-C11</f>
        <v>970.4</v>
      </c>
      <c r="E11" s="77">
        <v>232.5</v>
      </c>
      <c r="F11" s="77">
        <f t="shared" ref="F11:F52" si="2">IF(E11="","",B11-E11)</f>
        <v>795.5</v>
      </c>
      <c r="G11" s="78" t="s">
        <v>145</v>
      </c>
      <c r="H11" s="78">
        <f t="shared" ref="H11:H33" si="3">$L$18</f>
        <v>0.1173329448</v>
      </c>
      <c r="I11" s="78">
        <f t="shared" ref="I11:I52" si="4">H11*D11</f>
        <v>113.8598896</v>
      </c>
      <c r="J11" s="78">
        <f t="shared" ref="J11:J52" si="5">2.5*$L$4</f>
        <v>1.13398</v>
      </c>
      <c r="K11" s="80">
        <v>45962.0</v>
      </c>
      <c r="L11" s="6">
        <v>0.1392140547840092</v>
      </c>
      <c r="M11" s="51" t="str">
        <f>HYPERLINK("https://docs.google.com/spreadsheets/d/1W8jWu3sp39WnSuds1Ja0FWDG5UuWN9v5NUmF6yh_WbI/edit","PP Summary")</f>
        <v>PP Summary</v>
      </c>
    </row>
    <row r="12">
      <c r="A12" s="76">
        <v>301106.0</v>
      </c>
      <c r="B12" s="81">
        <v>1021.0</v>
      </c>
      <c r="C12" s="77">
        <v>57.6</v>
      </c>
      <c r="D12" s="82">
        <f t="shared" si="1"/>
        <v>963.4</v>
      </c>
      <c r="E12" s="81">
        <v>167.0</v>
      </c>
      <c r="F12" s="82">
        <f t="shared" si="2"/>
        <v>854</v>
      </c>
      <c r="G12" s="78" t="s">
        <v>150</v>
      </c>
      <c r="H12" s="83">
        <f t="shared" si="3"/>
        <v>0.1173329448</v>
      </c>
      <c r="I12" s="83">
        <f t="shared" si="4"/>
        <v>113.038559</v>
      </c>
      <c r="J12" s="83">
        <f t="shared" si="5"/>
        <v>1.13398</v>
      </c>
      <c r="K12" s="80">
        <v>45992.0</v>
      </c>
      <c r="L12" s="6">
        <v>0.16306166436976688</v>
      </c>
      <c r="M12" s="51" t="str">
        <f>HYPERLINK("https://docs.google.com/spreadsheets/d/1-L6m2wYknC3o-yIts9KK7FrYAb5lZIv4AwaizK8FbMc/edit","PP Summary")</f>
        <v>PP Summary</v>
      </c>
    </row>
    <row r="13">
      <c r="A13" s="76">
        <v>301107.0</v>
      </c>
      <c r="B13" s="81">
        <v>1056.0</v>
      </c>
      <c r="C13" s="77">
        <v>57.6</v>
      </c>
      <c r="D13" s="77">
        <f t="shared" si="1"/>
        <v>998.4</v>
      </c>
      <c r="E13" s="77">
        <v>168.5</v>
      </c>
      <c r="F13" s="82">
        <f t="shared" si="2"/>
        <v>887.5</v>
      </c>
      <c r="G13" s="78" t="s">
        <v>151</v>
      </c>
      <c r="H13" s="83">
        <f t="shared" si="3"/>
        <v>0.1173329448</v>
      </c>
      <c r="I13" s="83">
        <f t="shared" si="4"/>
        <v>117.1452121</v>
      </c>
      <c r="J13" s="83">
        <f t="shared" si="5"/>
        <v>1.13398</v>
      </c>
      <c r="K13" s="80">
        <v>46023.0</v>
      </c>
      <c r="L13" s="6">
        <v>0.15683401691482485</v>
      </c>
      <c r="M13" s="51" t="str">
        <f>HYPERLINK("https://docs.google.com/spreadsheets/d/1bPZ7pNsR5rv-om-BypF4lK3nczjn4HJNO2dzimwnx7E/edit","PP Summary")</f>
        <v>PP Summary</v>
      </c>
    </row>
    <row r="14">
      <c r="A14" s="76">
        <v>301136.0</v>
      </c>
      <c r="B14" s="81">
        <v>993.0</v>
      </c>
      <c r="C14" s="77">
        <v>57.6</v>
      </c>
      <c r="D14" s="82">
        <f t="shared" si="1"/>
        <v>935.4</v>
      </c>
      <c r="E14" s="81">
        <v>191.0</v>
      </c>
      <c r="F14" s="82">
        <f t="shared" si="2"/>
        <v>802</v>
      </c>
      <c r="G14" s="78" t="s">
        <v>152</v>
      </c>
      <c r="H14" s="83">
        <f t="shared" si="3"/>
        <v>0.1173329448</v>
      </c>
      <c r="I14" s="83">
        <f t="shared" si="4"/>
        <v>109.7532366</v>
      </c>
      <c r="J14" s="83">
        <f t="shared" si="5"/>
        <v>1.13398</v>
      </c>
      <c r="K14" s="80">
        <v>46054.0</v>
      </c>
      <c r="L14" s="6">
        <v>0.13304979391442986</v>
      </c>
      <c r="M14" s="51" t="str">
        <f>HYPERLINK("https://docs.google.com/spreadsheets/d/1vH7bborVnc-TCby3wEkpzi7GGMOI5jMJooEW0V-rOQ4/edit","PP Summary")</f>
        <v>PP Summary</v>
      </c>
    </row>
    <row r="15">
      <c r="A15" s="76">
        <v>301155.0</v>
      </c>
      <c r="B15" s="81">
        <v>1049.0</v>
      </c>
      <c r="C15" s="77">
        <v>57.6</v>
      </c>
      <c r="D15" s="82">
        <f t="shared" si="1"/>
        <v>991.4</v>
      </c>
      <c r="E15" s="81">
        <v>177.5</v>
      </c>
      <c r="F15" s="82">
        <f t="shared" si="2"/>
        <v>871.5</v>
      </c>
      <c r="G15" s="78" t="s">
        <v>153</v>
      </c>
      <c r="H15" s="83">
        <f t="shared" si="3"/>
        <v>0.1173329448</v>
      </c>
      <c r="I15" s="83">
        <f t="shared" si="4"/>
        <v>116.3238815</v>
      </c>
      <c r="J15" s="83">
        <f t="shared" si="5"/>
        <v>1.13398</v>
      </c>
      <c r="K15" s="80">
        <v>46082.0</v>
      </c>
      <c r="L15" s="6">
        <v>0.11852515320294801</v>
      </c>
      <c r="M15" s="51" t="str">
        <f>HYPERLINK("https://docs.google.com/spreadsheets/d/1O7y30opa_u1_deqFm_w2qgVyxi_75X00xnzKuyVyh6o/edit","PP Summary")</f>
        <v>PP Summary</v>
      </c>
    </row>
    <row r="16">
      <c r="A16" s="76">
        <v>301157.0</v>
      </c>
      <c r="B16" s="81">
        <v>925.0</v>
      </c>
      <c r="C16" s="77">
        <v>57.6</v>
      </c>
      <c r="D16" s="82">
        <f t="shared" si="1"/>
        <v>867.4</v>
      </c>
      <c r="E16" s="81">
        <v>266.5</v>
      </c>
      <c r="F16" s="82">
        <f t="shared" si="2"/>
        <v>658.5</v>
      </c>
      <c r="G16" s="78" t="s">
        <v>154</v>
      </c>
      <c r="H16" s="83">
        <f t="shared" si="3"/>
        <v>0.1173329448</v>
      </c>
      <c r="I16" s="83">
        <f t="shared" si="4"/>
        <v>101.7745963</v>
      </c>
      <c r="J16" s="83">
        <f t="shared" si="5"/>
        <v>1.13398</v>
      </c>
      <c r="K16" s="80">
        <v>46113.0</v>
      </c>
      <c r="L16" s="6">
        <v>0.131418453205342</v>
      </c>
      <c r="M16" s="51" t="str">
        <f>HYPERLINK("https://docs.google.com/spreadsheets/d/10Qwx7K6sUcOBrCebGUGVaVeLQnhzvcT8sHQ0Sy3VBBM/edit","PP Summary")</f>
        <v>PP Summary</v>
      </c>
    </row>
    <row r="17">
      <c r="A17" s="85">
        <v>301166.0</v>
      </c>
      <c r="B17" s="81">
        <v>1094.0</v>
      </c>
      <c r="C17" s="77">
        <v>57.6</v>
      </c>
      <c r="D17" s="82">
        <f t="shared" si="1"/>
        <v>1036.4</v>
      </c>
      <c r="E17" s="81">
        <v>442.5</v>
      </c>
      <c r="F17" s="82">
        <f t="shared" si="2"/>
        <v>651.5</v>
      </c>
      <c r="G17" s="78" t="s">
        <v>155</v>
      </c>
      <c r="H17" s="83">
        <f t="shared" si="3"/>
        <v>0.1173329448</v>
      </c>
      <c r="I17" s="83">
        <f t="shared" si="4"/>
        <v>121.603864</v>
      </c>
      <c r="J17" s="83">
        <f t="shared" si="5"/>
        <v>1.13398</v>
      </c>
      <c r="K17" s="80">
        <v>46143.0</v>
      </c>
      <c r="L17" s="6">
        <v>0.1106615762401743</v>
      </c>
      <c r="M17" s="51" t="str">
        <f>HYPERLINK("https://docs.google.com/spreadsheets/d/1m66t1jsLGc4e6AWnCFMsFbkSceZ9IYC_-bfTsbP_OYc/edit","PP Summary")</f>
        <v>PP Summary</v>
      </c>
    </row>
    <row r="18">
      <c r="A18" s="76">
        <v>301186.0</v>
      </c>
      <c r="B18" s="81">
        <v>1022.0</v>
      </c>
      <c r="C18" s="77">
        <v>57.6</v>
      </c>
      <c r="D18" s="82">
        <f t="shared" si="1"/>
        <v>964.4</v>
      </c>
      <c r="E18" s="81">
        <v>164.5</v>
      </c>
      <c r="F18" s="82">
        <f t="shared" si="2"/>
        <v>857.5</v>
      </c>
      <c r="G18" s="78" t="s">
        <v>157</v>
      </c>
      <c r="H18" s="83">
        <f t="shared" si="3"/>
        <v>0.1173329448</v>
      </c>
      <c r="I18" s="83">
        <f t="shared" si="4"/>
        <v>113.155892</v>
      </c>
      <c r="J18" s="83">
        <f t="shared" si="5"/>
        <v>1.13398</v>
      </c>
      <c r="K18" s="80">
        <v>46174.0</v>
      </c>
      <c r="L18" s="6">
        <v>0.1173329448</v>
      </c>
      <c r="M18" s="51" t="str">
        <f>HYPERLINK("https://docs.google.com/spreadsheets/d/1MUQajDI2a_Cn9xWGPP7z4PhhphZnfl2_CSTnpB07Wgk/edit","PP Summary")</f>
        <v>PP Summary</v>
      </c>
    </row>
    <row r="19">
      <c r="A19" s="76">
        <v>301189.0</v>
      </c>
      <c r="B19" s="81">
        <v>1022.0</v>
      </c>
      <c r="C19" s="77">
        <v>57.6</v>
      </c>
      <c r="D19" s="82">
        <f t="shared" si="1"/>
        <v>964.4</v>
      </c>
      <c r="E19" s="81">
        <v>182.0</v>
      </c>
      <c r="F19" s="82">
        <f t="shared" si="2"/>
        <v>840</v>
      </c>
      <c r="G19" s="78" t="s">
        <v>166</v>
      </c>
      <c r="H19" s="83">
        <f t="shared" si="3"/>
        <v>0.1173329448</v>
      </c>
      <c r="I19" s="83">
        <f t="shared" si="4"/>
        <v>113.155892</v>
      </c>
      <c r="J19" s="83">
        <f t="shared" si="5"/>
        <v>1.13398</v>
      </c>
      <c r="K19" s="3" t="s">
        <v>149</v>
      </c>
      <c r="L19" s="16">
        <f>$L$7</f>
        <v>0.120947</v>
      </c>
    </row>
    <row r="20">
      <c r="A20" s="76">
        <v>301191.0</v>
      </c>
      <c r="B20" s="81">
        <v>1150.0</v>
      </c>
      <c r="C20" s="77">
        <v>57.6</v>
      </c>
      <c r="D20" s="82">
        <f t="shared" si="1"/>
        <v>1092.4</v>
      </c>
      <c r="E20" s="81">
        <v>182.5</v>
      </c>
      <c r="F20" s="82">
        <f t="shared" si="2"/>
        <v>967.5</v>
      </c>
      <c r="G20" s="78" t="s">
        <v>180</v>
      </c>
      <c r="H20" s="83">
        <f t="shared" si="3"/>
        <v>0.1173329448</v>
      </c>
      <c r="I20" s="83">
        <f t="shared" si="4"/>
        <v>128.1745089</v>
      </c>
      <c r="J20" s="83">
        <f t="shared" si="5"/>
        <v>1.13398</v>
      </c>
      <c r="K20" s="3" t="s">
        <v>181</v>
      </c>
      <c r="L20" s="6">
        <v>0.13736711280644612</v>
      </c>
      <c r="M20" s="51" t="str">
        <f>HYPERLINK("https://docs.google.com/spreadsheets/d/1qPyS0H9Wx8z2vMl_3ANE1YLYahKLeL1Qo8OmZ_ol9aI/edit","PP Summary")</f>
        <v>PP Summary</v>
      </c>
    </row>
    <row r="21">
      <c r="A21" s="76">
        <v>301201.0</v>
      </c>
      <c r="B21" s="81">
        <v>1035.0</v>
      </c>
      <c r="C21" s="77">
        <v>57.6</v>
      </c>
      <c r="D21" s="82">
        <f t="shared" si="1"/>
        <v>977.4</v>
      </c>
      <c r="E21" s="77">
        <v>194.0</v>
      </c>
      <c r="F21" s="82">
        <f t="shared" si="2"/>
        <v>841</v>
      </c>
      <c r="G21" s="78" t="s">
        <v>182</v>
      </c>
      <c r="H21" s="83">
        <f t="shared" si="3"/>
        <v>0.1173329448</v>
      </c>
      <c r="I21" s="83">
        <f t="shared" si="4"/>
        <v>114.6812202</v>
      </c>
      <c r="J21" s="83">
        <f t="shared" si="5"/>
        <v>1.13398</v>
      </c>
      <c r="K21" s="80">
        <f>DATE(2025,9,1)</f>
        <v>45901</v>
      </c>
      <c r="L21" s="6">
        <v>0.12868956697570233</v>
      </c>
      <c r="M21" s="51" t="str">
        <f>HYPERLINK("https://docs.google.com/spreadsheets/d/1mojgzK0eWo2N7Lh4Xjc_mGHEtTdqNunHtR_a90ZNk7o/edit","PP Summary")</f>
        <v>PP Summary</v>
      </c>
    </row>
    <row r="22">
      <c r="A22" s="76">
        <v>301204.0</v>
      </c>
      <c r="B22" s="81">
        <v>1018.0</v>
      </c>
      <c r="C22" s="77">
        <v>57.6</v>
      </c>
      <c r="D22" s="82">
        <f t="shared" si="1"/>
        <v>960.4</v>
      </c>
      <c r="E22" s="81">
        <v>190.0</v>
      </c>
      <c r="F22" s="82">
        <f t="shared" si="2"/>
        <v>828</v>
      </c>
      <c r="G22" s="78" t="s">
        <v>186</v>
      </c>
      <c r="H22" s="83">
        <f t="shared" si="3"/>
        <v>0.1173329448</v>
      </c>
      <c r="I22" s="83">
        <f t="shared" si="4"/>
        <v>112.6865602</v>
      </c>
      <c r="J22" s="83">
        <f t="shared" si="5"/>
        <v>1.13398</v>
      </c>
    </row>
    <row r="23">
      <c r="A23" s="76">
        <v>301210.0</v>
      </c>
      <c r="B23" s="81">
        <v>1024.0</v>
      </c>
      <c r="C23" s="77">
        <v>57.6</v>
      </c>
      <c r="D23" s="82">
        <f t="shared" si="1"/>
        <v>966.4</v>
      </c>
      <c r="E23" s="81">
        <v>164.5</v>
      </c>
      <c r="F23" s="82">
        <f t="shared" si="2"/>
        <v>859.5</v>
      </c>
      <c r="G23" s="78" t="s">
        <v>187</v>
      </c>
      <c r="H23" s="83">
        <f t="shared" si="3"/>
        <v>0.1173329448</v>
      </c>
      <c r="I23" s="83">
        <f t="shared" si="4"/>
        <v>113.3905579</v>
      </c>
      <c r="J23" s="83">
        <f t="shared" si="5"/>
        <v>1.13398</v>
      </c>
    </row>
    <row r="24">
      <c r="A24" s="76">
        <v>301211.0</v>
      </c>
      <c r="B24" s="81">
        <v>1038.0</v>
      </c>
      <c r="C24" s="77">
        <v>57.6</v>
      </c>
      <c r="D24" s="82">
        <f t="shared" si="1"/>
        <v>980.4</v>
      </c>
      <c r="E24" s="81">
        <v>204.0</v>
      </c>
      <c r="F24" s="82">
        <f t="shared" si="2"/>
        <v>834</v>
      </c>
      <c r="G24" s="78" t="s">
        <v>188</v>
      </c>
      <c r="H24" s="83">
        <f t="shared" si="3"/>
        <v>0.1173329448</v>
      </c>
      <c r="I24" s="83">
        <f t="shared" si="4"/>
        <v>115.0332191</v>
      </c>
      <c r="J24" s="83">
        <f t="shared" si="5"/>
        <v>1.13398</v>
      </c>
    </row>
    <row r="25">
      <c r="A25" s="76">
        <v>301212.0</v>
      </c>
      <c r="B25" s="81">
        <v>823.0</v>
      </c>
      <c r="C25" s="77">
        <v>57.6</v>
      </c>
      <c r="D25" s="82">
        <f t="shared" si="1"/>
        <v>765.4</v>
      </c>
      <c r="E25" s="81">
        <v>260.0</v>
      </c>
      <c r="F25" s="82">
        <f t="shared" si="2"/>
        <v>563</v>
      </c>
      <c r="G25" s="78" t="s">
        <v>190</v>
      </c>
      <c r="H25" s="83">
        <f t="shared" si="3"/>
        <v>0.1173329448</v>
      </c>
      <c r="I25" s="83">
        <f t="shared" si="4"/>
        <v>89.80663595</v>
      </c>
      <c r="J25" s="83">
        <f t="shared" si="5"/>
        <v>1.13398</v>
      </c>
    </row>
    <row r="26">
      <c r="A26" s="76">
        <v>301215.0</v>
      </c>
      <c r="B26" s="81">
        <v>1041.0</v>
      </c>
      <c r="C26" s="77">
        <v>57.6</v>
      </c>
      <c r="D26" s="82">
        <f t="shared" si="1"/>
        <v>983.4</v>
      </c>
      <c r="E26" s="81">
        <v>442.5</v>
      </c>
      <c r="F26" s="82">
        <f t="shared" si="2"/>
        <v>598.5</v>
      </c>
      <c r="G26" s="78" t="s">
        <v>191</v>
      </c>
      <c r="H26" s="83">
        <f t="shared" si="3"/>
        <v>0.1173329448</v>
      </c>
      <c r="I26" s="83">
        <f t="shared" si="4"/>
        <v>115.3852179</v>
      </c>
      <c r="J26" s="83">
        <f t="shared" si="5"/>
        <v>1.13398</v>
      </c>
    </row>
    <row r="27">
      <c r="A27" s="76">
        <v>301219.0</v>
      </c>
      <c r="B27" s="81">
        <v>1063.0</v>
      </c>
      <c r="C27" s="77">
        <v>57.6</v>
      </c>
      <c r="D27" s="82">
        <f t="shared" si="1"/>
        <v>1005.4</v>
      </c>
      <c r="E27" s="81">
        <v>167.5</v>
      </c>
      <c r="F27" s="82">
        <f t="shared" si="2"/>
        <v>895.5</v>
      </c>
      <c r="G27" s="78" t="s">
        <v>192</v>
      </c>
      <c r="H27" s="83">
        <f t="shared" si="3"/>
        <v>0.1173329448</v>
      </c>
      <c r="I27" s="83">
        <f t="shared" si="4"/>
        <v>117.9665427</v>
      </c>
      <c r="J27" s="83">
        <f t="shared" si="5"/>
        <v>1.13398</v>
      </c>
    </row>
    <row r="28">
      <c r="A28" s="76">
        <v>301220.0</v>
      </c>
      <c r="B28" s="77">
        <v>983.0</v>
      </c>
      <c r="C28" s="77">
        <v>57.6</v>
      </c>
      <c r="D28" s="82">
        <f t="shared" si="1"/>
        <v>925.4</v>
      </c>
      <c r="E28" s="81">
        <v>204.5</v>
      </c>
      <c r="F28" s="82">
        <f t="shared" si="2"/>
        <v>778.5</v>
      </c>
      <c r="G28" s="78" t="s">
        <v>195</v>
      </c>
      <c r="H28" s="83">
        <f t="shared" si="3"/>
        <v>0.1173329448</v>
      </c>
      <c r="I28" s="83">
        <f t="shared" si="4"/>
        <v>108.5799071</v>
      </c>
      <c r="J28" s="83">
        <f t="shared" si="5"/>
        <v>1.13398</v>
      </c>
    </row>
    <row r="29">
      <c r="A29" s="76">
        <v>301222.0</v>
      </c>
      <c r="B29" s="77">
        <v>1039.0</v>
      </c>
      <c r="C29" s="77">
        <v>57.6</v>
      </c>
      <c r="D29" s="82">
        <f t="shared" si="1"/>
        <v>981.4</v>
      </c>
      <c r="E29" s="81">
        <v>204.0</v>
      </c>
      <c r="F29" s="82">
        <f t="shared" si="2"/>
        <v>835</v>
      </c>
      <c r="G29" s="78" t="s">
        <v>199</v>
      </c>
      <c r="H29" s="83">
        <f t="shared" si="3"/>
        <v>0.1173329448</v>
      </c>
      <c r="I29" s="83">
        <f t="shared" si="4"/>
        <v>115.150552</v>
      </c>
      <c r="J29" s="83">
        <f t="shared" si="5"/>
        <v>1.13398</v>
      </c>
    </row>
    <row r="30">
      <c r="A30" s="76">
        <v>301223.0</v>
      </c>
      <c r="B30" s="81">
        <v>1063.0</v>
      </c>
      <c r="C30" s="77">
        <v>57.6</v>
      </c>
      <c r="D30" s="82">
        <f t="shared" si="1"/>
        <v>1005.4</v>
      </c>
      <c r="E30" s="81">
        <v>170.0</v>
      </c>
      <c r="F30" s="82">
        <f t="shared" si="2"/>
        <v>893</v>
      </c>
      <c r="G30" s="78" t="s">
        <v>203</v>
      </c>
      <c r="H30" s="83">
        <f t="shared" si="3"/>
        <v>0.1173329448</v>
      </c>
      <c r="I30" s="83">
        <f t="shared" si="4"/>
        <v>117.9665427</v>
      </c>
      <c r="J30" s="83">
        <f t="shared" si="5"/>
        <v>1.13398</v>
      </c>
    </row>
    <row r="31">
      <c r="A31" s="76">
        <v>301228.0</v>
      </c>
      <c r="B31" s="81">
        <v>1116.0</v>
      </c>
      <c r="C31" s="77">
        <v>57.6</v>
      </c>
      <c r="D31" s="82">
        <f t="shared" si="1"/>
        <v>1058.4</v>
      </c>
      <c r="E31" s="81">
        <v>204.5</v>
      </c>
      <c r="F31" s="82">
        <f t="shared" si="2"/>
        <v>911.5</v>
      </c>
      <c r="G31" s="78" t="s">
        <v>204</v>
      </c>
      <c r="H31" s="83">
        <f t="shared" si="3"/>
        <v>0.1173329448</v>
      </c>
      <c r="I31" s="83">
        <f t="shared" si="4"/>
        <v>124.1851888</v>
      </c>
      <c r="J31" s="83">
        <f t="shared" si="5"/>
        <v>1.13398</v>
      </c>
    </row>
    <row r="32">
      <c r="A32" s="76">
        <v>301232.0</v>
      </c>
      <c r="B32" s="77">
        <v>940.0</v>
      </c>
      <c r="C32" s="77">
        <v>57.6</v>
      </c>
      <c r="D32" s="82">
        <f t="shared" si="1"/>
        <v>882.4</v>
      </c>
      <c r="E32" s="81">
        <v>164.5</v>
      </c>
      <c r="F32" s="82">
        <f t="shared" si="2"/>
        <v>775.5</v>
      </c>
      <c r="G32" s="78" t="s">
        <v>206</v>
      </c>
      <c r="H32" s="83">
        <f t="shared" si="3"/>
        <v>0.1173329448</v>
      </c>
      <c r="I32" s="83">
        <f t="shared" si="4"/>
        <v>103.5345905</v>
      </c>
      <c r="J32" s="83">
        <f t="shared" si="5"/>
        <v>1.13398</v>
      </c>
    </row>
    <row r="33">
      <c r="A33" s="76">
        <v>301240.0</v>
      </c>
      <c r="B33" s="81">
        <v>1030.0</v>
      </c>
      <c r="C33" s="77">
        <v>57.6</v>
      </c>
      <c r="D33" s="82">
        <f t="shared" si="1"/>
        <v>972.4</v>
      </c>
      <c r="E33" s="77">
        <v>169.0</v>
      </c>
      <c r="F33" s="82">
        <f t="shared" si="2"/>
        <v>861</v>
      </c>
      <c r="G33" s="98" t="s">
        <v>209</v>
      </c>
      <c r="H33" s="99">
        <f t="shared" si="3"/>
        <v>0.1173329448</v>
      </c>
      <c r="I33" s="83">
        <f t="shared" si="4"/>
        <v>114.0945555</v>
      </c>
      <c r="J33" s="83">
        <f t="shared" si="5"/>
        <v>1.13398</v>
      </c>
    </row>
    <row r="34">
      <c r="A34" s="76">
        <v>301242.0</v>
      </c>
      <c r="B34" s="81">
        <v>1052.0</v>
      </c>
      <c r="C34" s="77">
        <v>57.6</v>
      </c>
      <c r="D34" s="82">
        <f t="shared" si="1"/>
        <v>994.4</v>
      </c>
      <c r="E34" s="81">
        <v>216.0</v>
      </c>
      <c r="F34" s="82">
        <f t="shared" si="2"/>
        <v>836</v>
      </c>
      <c r="G34" s="78" t="s">
        <v>210</v>
      </c>
      <c r="H34" s="83">
        <f t="shared" ref="H34:H35" si="6">$L$19</f>
        <v>0.120947</v>
      </c>
      <c r="I34" s="83">
        <f t="shared" si="4"/>
        <v>120.2696968</v>
      </c>
      <c r="J34" s="83">
        <f t="shared" si="5"/>
        <v>1.13398</v>
      </c>
    </row>
    <row r="35">
      <c r="A35" s="76">
        <v>301245.0</v>
      </c>
      <c r="B35" s="81">
        <v>1005.0</v>
      </c>
      <c r="C35" s="77">
        <v>57.6</v>
      </c>
      <c r="D35" s="82">
        <f t="shared" si="1"/>
        <v>947.4</v>
      </c>
      <c r="E35" s="81">
        <v>166.5</v>
      </c>
      <c r="F35" s="82">
        <f t="shared" si="2"/>
        <v>838.5</v>
      </c>
      <c r="G35" s="78" t="s">
        <v>211</v>
      </c>
      <c r="H35" s="83">
        <f t="shared" si="6"/>
        <v>0.120947</v>
      </c>
      <c r="I35" s="83">
        <f t="shared" si="4"/>
        <v>114.5851878</v>
      </c>
      <c r="J35" s="83">
        <f t="shared" si="5"/>
        <v>1.13398</v>
      </c>
    </row>
    <row r="36">
      <c r="A36" s="76">
        <v>301249.0</v>
      </c>
      <c r="B36" s="77">
        <v>1136.0</v>
      </c>
      <c r="C36" s="77">
        <v>57.6</v>
      </c>
      <c r="D36" s="82">
        <f t="shared" si="1"/>
        <v>1078.4</v>
      </c>
      <c r="E36" s="81">
        <v>197.5</v>
      </c>
      <c r="F36" s="82">
        <f t="shared" si="2"/>
        <v>938.5</v>
      </c>
      <c r="G36" s="78" t="s">
        <v>213</v>
      </c>
      <c r="H36" s="83">
        <f t="shared" ref="H36:H39" si="7">$L$18</f>
        <v>0.1173329448</v>
      </c>
      <c r="I36" s="83">
        <f t="shared" si="4"/>
        <v>126.5318477</v>
      </c>
      <c r="J36" s="83">
        <f t="shared" si="5"/>
        <v>1.13398</v>
      </c>
    </row>
    <row r="37">
      <c r="A37" s="76">
        <v>301263.0</v>
      </c>
      <c r="B37" s="81">
        <v>1043.0</v>
      </c>
      <c r="C37" s="77">
        <v>57.6</v>
      </c>
      <c r="D37" s="82">
        <f t="shared" si="1"/>
        <v>985.4</v>
      </c>
      <c r="E37" s="81">
        <v>203.0</v>
      </c>
      <c r="F37" s="82">
        <f t="shared" si="2"/>
        <v>840</v>
      </c>
      <c r="G37" s="78" t="s">
        <v>214</v>
      </c>
      <c r="H37" s="83">
        <f t="shared" si="7"/>
        <v>0.1173329448</v>
      </c>
      <c r="I37" s="83">
        <f t="shared" si="4"/>
        <v>115.6198838</v>
      </c>
      <c r="J37" s="83">
        <f t="shared" si="5"/>
        <v>1.13398</v>
      </c>
    </row>
    <row r="38">
      <c r="A38" s="76">
        <v>301265.0</v>
      </c>
      <c r="B38" s="81">
        <v>1068.0</v>
      </c>
      <c r="C38" s="77">
        <v>57.6</v>
      </c>
      <c r="D38" s="82">
        <f t="shared" si="1"/>
        <v>1010.4</v>
      </c>
      <c r="E38" s="81">
        <v>194.0</v>
      </c>
      <c r="F38" s="82">
        <f t="shared" si="2"/>
        <v>874</v>
      </c>
      <c r="G38" s="78" t="s">
        <v>215</v>
      </c>
      <c r="H38" s="83">
        <f t="shared" si="7"/>
        <v>0.1173329448</v>
      </c>
      <c r="I38" s="83">
        <f t="shared" si="4"/>
        <v>118.5532074</v>
      </c>
      <c r="J38" s="83">
        <f t="shared" si="5"/>
        <v>1.13398</v>
      </c>
    </row>
    <row r="39">
      <c r="A39" s="76">
        <v>301267.0</v>
      </c>
      <c r="B39" s="81">
        <v>864.0</v>
      </c>
      <c r="C39" s="77">
        <v>57.6</v>
      </c>
      <c r="D39" s="82">
        <f t="shared" si="1"/>
        <v>806.4</v>
      </c>
      <c r="E39" s="77">
        <v>179.0</v>
      </c>
      <c r="F39" s="82">
        <f t="shared" si="2"/>
        <v>685</v>
      </c>
      <c r="G39" s="78" t="s">
        <v>216</v>
      </c>
      <c r="H39" s="83">
        <f t="shared" si="7"/>
        <v>0.1173329448</v>
      </c>
      <c r="I39" s="83">
        <f t="shared" si="4"/>
        <v>94.61728669</v>
      </c>
      <c r="J39" s="83">
        <f t="shared" si="5"/>
        <v>1.13398</v>
      </c>
    </row>
    <row r="40">
      <c r="A40" s="76">
        <v>301274.0</v>
      </c>
      <c r="B40" s="77">
        <v>1080.0</v>
      </c>
      <c r="C40" s="77">
        <v>57.6</v>
      </c>
      <c r="D40" s="82">
        <f t="shared" si="1"/>
        <v>1022.4</v>
      </c>
      <c r="E40" s="81">
        <v>169.5</v>
      </c>
      <c r="F40" s="82">
        <f t="shared" si="2"/>
        <v>910.5</v>
      </c>
      <c r="G40" s="78" t="s">
        <v>217</v>
      </c>
      <c r="H40" s="83">
        <f>$L$19</f>
        <v>0.120947</v>
      </c>
      <c r="I40" s="83">
        <f t="shared" si="4"/>
        <v>123.6562128</v>
      </c>
      <c r="J40" s="83">
        <f t="shared" si="5"/>
        <v>1.13398</v>
      </c>
    </row>
    <row r="41">
      <c r="A41" s="76">
        <v>301279.0</v>
      </c>
      <c r="B41" s="81">
        <v>1090.0</v>
      </c>
      <c r="C41" s="77">
        <v>57.6</v>
      </c>
      <c r="D41" s="82">
        <f t="shared" si="1"/>
        <v>1032.4</v>
      </c>
      <c r="E41" s="81">
        <v>172.0</v>
      </c>
      <c r="F41" s="82">
        <f t="shared" si="2"/>
        <v>918</v>
      </c>
      <c r="G41" s="78" t="s">
        <v>218</v>
      </c>
      <c r="H41" s="83">
        <f t="shared" ref="H41:H45" si="8">$L$18</f>
        <v>0.1173329448</v>
      </c>
      <c r="I41" s="83">
        <f t="shared" si="4"/>
        <v>121.1345322</v>
      </c>
      <c r="J41" s="83">
        <f t="shared" si="5"/>
        <v>1.13398</v>
      </c>
    </row>
    <row r="42">
      <c r="A42" s="76">
        <v>301281.0</v>
      </c>
      <c r="B42" s="81">
        <v>1055.0</v>
      </c>
      <c r="C42" s="77">
        <v>57.6</v>
      </c>
      <c r="D42" s="82">
        <f t="shared" si="1"/>
        <v>997.4</v>
      </c>
      <c r="E42" s="81">
        <v>212.5</v>
      </c>
      <c r="F42" s="82">
        <f t="shared" si="2"/>
        <v>842.5</v>
      </c>
      <c r="G42" s="78" t="s">
        <v>219</v>
      </c>
      <c r="H42" s="83">
        <f t="shared" si="8"/>
        <v>0.1173329448</v>
      </c>
      <c r="I42" s="83">
        <f t="shared" si="4"/>
        <v>117.0278791</v>
      </c>
      <c r="J42" s="83">
        <f t="shared" si="5"/>
        <v>1.13398</v>
      </c>
    </row>
    <row r="43">
      <c r="A43" s="76">
        <v>301282.0</v>
      </c>
      <c r="B43" s="81">
        <v>1151.0</v>
      </c>
      <c r="C43" s="77">
        <v>57.6</v>
      </c>
      <c r="D43" s="82">
        <f t="shared" si="1"/>
        <v>1093.4</v>
      </c>
      <c r="E43" s="77">
        <v>173.0</v>
      </c>
      <c r="F43" s="82">
        <f t="shared" si="2"/>
        <v>978</v>
      </c>
      <c r="G43" s="78" t="s">
        <v>220</v>
      </c>
      <c r="H43" s="83">
        <f t="shared" si="8"/>
        <v>0.1173329448</v>
      </c>
      <c r="I43" s="83">
        <f t="shared" si="4"/>
        <v>128.2918418</v>
      </c>
      <c r="J43" s="83">
        <f t="shared" si="5"/>
        <v>1.13398</v>
      </c>
    </row>
    <row r="44">
      <c r="A44" s="76">
        <v>301289.0</v>
      </c>
      <c r="B44" s="81">
        <v>1041.0</v>
      </c>
      <c r="C44" s="77">
        <v>57.6</v>
      </c>
      <c r="D44" s="82">
        <f t="shared" si="1"/>
        <v>983.4</v>
      </c>
      <c r="E44" s="81">
        <v>193.0</v>
      </c>
      <c r="F44" s="82">
        <f t="shared" si="2"/>
        <v>848</v>
      </c>
      <c r="G44" s="78" t="s">
        <v>221</v>
      </c>
      <c r="H44" s="83">
        <f t="shared" si="8"/>
        <v>0.1173329448</v>
      </c>
      <c r="I44" s="83">
        <f t="shared" si="4"/>
        <v>115.3852179</v>
      </c>
      <c r="J44" s="83">
        <f t="shared" si="5"/>
        <v>1.13398</v>
      </c>
    </row>
    <row r="45">
      <c r="A45" s="76">
        <v>301291.0</v>
      </c>
      <c r="B45" s="81">
        <v>1123.0</v>
      </c>
      <c r="C45" s="77">
        <v>57.6</v>
      </c>
      <c r="D45" s="82">
        <f t="shared" si="1"/>
        <v>1065.4</v>
      </c>
      <c r="E45" s="81">
        <v>169.5</v>
      </c>
      <c r="F45" s="82">
        <f t="shared" si="2"/>
        <v>953.5</v>
      </c>
      <c r="G45" s="78" t="s">
        <v>222</v>
      </c>
      <c r="H45" s="83">
        <f t="shared" si="8"/>
        <v>0.1173329448</v>
      </c>
      <c r="I45" s="83">
        <f t="shared" si="4"/>
        <v>125.0065194</v>
      </c>
      <c r="J45" s="83">
        <f t="shared" si="5"/>
        <v>1.13398</v>
      </c>
    </row>
    <row r="46">
      <c r="A46" s="76">
        <v>301297.0</v>
      </c>
      <c r="B46" s="81">
        <v>609.0</v>
      </c>
      <c r="C46" s="77">
        <v>57.6</v>
      </c>
      <c r="D46" s="82">
        <f t="shared" si="1"/>
        <v>551.4</v>
      </c>
      <c r="E46" s="81">
        <v>181.0</v>
      </c>
      <c r="F46" s="82">
        <f t="shared" si="2"/>
        <v>428</v>
      </c>
      <c r="G46" s="78" t="s">
        <v>223</v>
      </c>
      <c r="H46" s="83">
        <f t="shared" ref="H46:H50" si="9">$L$19</f>
        <v>0.120947</v>
      </c>
      <c r="I46" s="83">
        <f t="shared" si="4"/>
        <v>66.6901758</v>
      </c>
      <c r="J46" s="83">
        <f t="shared" si="5"/>
        <v>1.13398</v>
      </c>
    </row>
    <row r="47">
      <c r="A47" s="76">
        <v>301305.0</v>
      </c>
      <c r="B47" s="81">
        <v>1113.0</v>
      </c>
      <c r="C47" s="77">
        <v>57.6</v>
      </c>
      <c r="D47" s="82">
        <f t="shared" si="1"/>
        <v>1055.4</v>
      </c>
      <c r="E47" s="81">
        <v>219.0</v>
      </c>
      <c r="F47" s="82">
        <f t="shared" si="2"/>
        <v>894</v>
      </c>
      <c r="G47" s="78" t="s">
        <v>224</v>
      </c>
      <c r="H47" s="83">
        <f t="shared" si="9"/>
        <v>0.120947</v>
      </c>
      <c r="I47" s="83">
        <f t="shared" si="4"/>
        <v>127.6474638</v>
      </c>
      <c r="J47" s="83">
        <f t="shared" si="5"/>
        <v>1.13398</v>
      </c>
    </row>
    <row r="48">
      <c r="A48" s="76">
        <v>301312.0</v>
      </c>
      <c r="B48" s="81">
        <v>1044.0</v>
      </c>
      <c r="C48" s="77">
        <v>57.6</v>
      </c>
      <c r="D48" s="82">
        <f t="shared" si="1"/>
        <v>986.4</v>
      </c>
      <c r="E48" s="81">
        <v>256.0</v>
      </c>
      <c r="F48" s="82">
        <f t="shared" si="2"/>
        <v>788</v>
      </c>
      <c r="G48" s="78" t="s">
        <v>225</v>
      </c>
      <c r="H48" s="83">
        <f t="shared" si="9"/>
        <v>0.120947</v>
      </c>
      <c r="I48" s="83">
        <f t="shared" si="4"/>
        <v>119.3021208</v>
      </c>
      <c r="J48" s="83">
        <f t="shared" si="5"/>
        <v>1.13398</v>
      </c>
    </row>
    <row r="49">
      <c r="A49" s="76">
        <v>301317.0</v>
      </c>
      <c r="B49" s="81">
        <v>966.0</v>
      </c>
      <c r="C49" s="77">
        <v>57.6</v>
      </c>
      <c r="D49" s="82">
        <f t="shared" si="1"/>
        <v>908.4</v>
      </c>
      <c r="E49" s="81">
        <v>182.5</v>
      </c>
      <c r="F49" s="82">
        <f t="shared" si="2"/>
        <v>783.5</v>
      </c>
      <c r="G49" s="78" t="s">
        <v>226</v>
      </c>
      <c r="H49" s="83">
        <f t="shared" si="9"/>
        <v>0.120947</v>
      </c>
      <c r="I49" s="83">
        <f t="shared" si="4"/>
        <v>109.8682548</v>
      </c>
      <c r="J49" s="83">
        <f t="shared" si="5"/>
        <v>1.13398</v>
      </c>
    </row>
    <row r="50">
      <c r="A50" s="76">
        <v>301331.0</v>
      </c>
      <c r="B50" s="81">
        <v>994.0</v>
      </c>
      <c r="C50" s="77">
        <v>57.6</v>
      </c>
      <c r="D50" s="82">
        <f t="shared" si="1"/>
        <v>936.4</v>
      </c>
      <c r="E50" s="81">
        <v>256.0</v>
      </c>
      <c r="F50" s="82">
        <f t="shared" si="2"/>
        <v>738</v>
      </c>
      <c r="G50" s="78" t="s">
        <v>227</v>
      </c>
      <c r="H50" s="83">
        <f t="shared" si="9"/>
        <v>0.120947</v>
      </c>
      <c r="I50" s="83">
        <f t="shared" si="4"/>
        <v>113.2547708</v>
      </c>
      <c r="J50" s="83">
        <f t="shared" si="5"/>
        <v>1.13398</v>
      </c>
    </row>
    <row r="51">
      <c r="A51" s="85">
        <v>300022.0</v>
      </c>
      <c r="B51" s="81">
        <v>1012.0</v>
      </c>
      <c r="C51" s="77">
        <v>57.6</v>
      </c>
      <c r="D51" s="82">
        <f t="shared" si="1"/>
        <v>954.4</v>
      </c>
      <c r="E51" s="81">
        <v>288.0</v>
      </c>
      <c r="F51" s="82">
        <f t="shared" si="2"/>
        <v>724</v>
      </c>
      <c r="G51" s="78" t="s">
        <v>228</v>
      </c>
      <c r="H51" s="83">
        <f t="shared" ref="H51:H52" si="10">$L$14</f>
        <v>0.1330497939</v>
      </c>
      <c r="I51" s="83">
        <f t="shared" si="4"/>
        <v>126.9827233</v>
      </c>
      <c r="J51" s="83">
        <f t="shared" si="5"/>
        <v>1.13398</v>
      </c>
    </row>
    <row r="52">
      <c r="A52" s="76">
        <v>300040.0</v>
      </c>
      <c r="B52" s="81">
        <v>970.0</v>
      </c>
      <c r="C52" s="77">
        <v>57.6</v>
      </c>
      <c r="D52" s="82">
        <f t="shared" si="1"/>
        <v>912.4</v>
      </c>
      <c r="E52" s="81">
        <v>224.0</v>
      </c>
      <c r="F52" s="82">
        <f t="shared" si="2"/>
        <v>746</v>
      </c>
      <c r="G52" s="78" t="s">
        <v>230</v>
      </c>
      <c r="H52" s="83">
        <f t="shared" si="10"/>
        <v>0.1330497939</v>
      </c>
      <c r="I52" s="83">
        <f t="shared" si="4"/>
        <v>121.394632</v>
      </c>
      <c r="J52" s="83">
        <f t="shared" si="5"/>
        <v>1.13398</v>
      </c>
    </row>
    <row r="53">
      <c r="B53" s="100"/>
      <c r="C53" s="101"/>
      <c r="D53" s="12"/>
      <c r="E53" s="12"/>
      <c r="F53" s="12"/>
      <c r="G53" s="12" t="str">
        <f>IF(AND(D53&lt;&gt;"",F53&lt;&gt;""),(D53-F53)*$L$4,"")</f>
        <v/>
      </c>
      <c r="H53" s="12" t="str">
        <f>IF(G53="","",G53*(1-$L$5))</f>
        <v/>
      </c>
      <c r="I53" s="13"/>
    </row>
    <row r="54">
      <c r="B54" s="103">
        <f>SUM(B11:B52)</f>
        <v>42989</v>
      </c>
      <c r="C54" s="103"/>
      <c r="D54" s="103">
        <f>SUM(D11:D52)</f>
        <v>40569.8</v>
      </c>
      <c r="E54" s="103"/>
      <c r="F54" s="103">
        <f>SUM(F11:F52)</f>
        <v>34223.5</v>
      </c>
      <c r="G54" s="90"/>
      <c r="H54" s="104">
        <f>SUMPRODUCT(D11:D52,H11:H52)/SUM(D11:D52)</f>
        <v>0.1187155539</v>
      </c>
      <c r="I54" s="91">
        <f t="shared" ref="I54:J54" si="11">SUM(I11:I52)</f>
        <v>4816.266277</v>
      </c>
      <c r="J54" s="16">
        <f t="shared" si="11"/>
        <v>47.62716</v>
      </c>
    </row>
    <row r="55">
      <c r="B55" s="100"/>
      <c r="D55" s="12"/>
      <c r="E55" s="12"/>
      <c r="F55" s="12"/>
      <c r="G55" s="12" t="str">
        <f t="shared" ref="G55:G74" si="12">IF(AND(D55&lt;&gt;"",F55&lt;&gt;""),(D55-F55)*$L$4,"")</f>
        <v/>
      </c>
      <c r="H55" s="12" t="str">
        <f t="shared" ref="H55:H74" si="13">IF(G55="","",G55*(1-$L$5))</f>
        <v/>
      </c>
      <c r="I55" s="13"/>
    </row>
    <row r="56">
      <c r="B56" s="100"/>
      <c r="D56" s="12"/>
      <c r="E56" s="12"/>
      <c r="F56" s="12"/>
      <c r="G56" s="12" t="str">
        <f t="shared" si="12"/>
        <v/>
      </c>
      <c r="H56" s="12" t="str">
        <f t="shared" si="13"/>
        <v/>
      </c>
      <c r="I56" s="105"/>
    </row>
    <row r="57">
      <c r="B57" s="100"/>
      <c r="D57" s="12"/>
      <c r="E57" s="12"/>
      <c r="F57" s="12"/>
      <c r="G57" s="12" t="str">
        <f t="shared" si="12"/>
        <v/>
      </c>
      <c r="H57" s="12" t="str">
        <f t="shared" si="13"/>
        <v/>
      </c>
      <c r="I57" s="13"/>
    </row>
    <row r="58">
      <c r="B58" s="100"/>
      <c r="D58" s="12"/>
      <c r="E58" s="12"/>
      <c r="F58" s="12"/>
      <c r="G58" s="12" t="str">
        <f t="shared" si="12"/>
        <v/>
      </c>
      <c r="H58" s="12" t="str">
        <f t="shared" si="13"/>
        <v/>
      </c>
      <c r="I58" s="13"/>
    </row>
    <row r="59">
      <c r="B59" s="100"/>
      <c r="D59" s="12"/>
      <c r="E59" s="12"/>
      <c r="F59" s="12"/>
      <c r="G59" s="12" t="str">
        <f t="shared" si="12"/>
        <v/>
      </c>
      <c r="H59" s="12" t="str">
        <f t="shared" si="13"/>
        <v/>
      </c>
      <c r="I59" s="13"/>
    </row>
    <row r="60">
      <c r="B60" s="100"/>
      <c r="D60" s="12"/>
      <c r="E60" s="12"/>
      <c r="F60" s="12"/>
      <c r="G60" s="12" t="str">
        <f t="shared" si="12"/>
        <v/>
      </c>
      <c r="H60" s="12" t="str">
        <f t="shared" si="13"/>
        <v/>
      </c>
      <c r="I60" s="13"/>
    </row>
    <row r="61">
      <c r="B61" s="100"/>
      <c r="D61" s="12"/>
      <c r="E61" s="12"/>
      <c r="F61" s="12"/>
      <c r="G61" s="12" t="str">
        <f t="shared" si="12"/>
        <v/>
      </c>
      <c r="H61" s="12" t="str">
        <f t="shared" si="13"/>
        <v/>
      </c>
      <c r="I61" s="13"/>
    </row>
    <row r="62">
      <c r="B62" s="100"/>
      <c r="D62" s="12"/>
      <c r="E62" s="12"/>
      <c r="F62" s="12"/>
      <c r="G62" s="12" t="str">
        <f t="shared" si="12"/>
        <v/>
      </c>
      <c r="H62" s="12" t="str">
        <f t="shared" si="13"/>
        <v/>
      </c>
      <c r="I62" s="13"/>
    </row>
    <row r="63">
      <c r="B63" s="100"/>
      <c r="D63" s="12"/>
      <c r="E63" s="12"/>
      <c r="F63" s="12"/>
      <c r="G63" s="12" t="str">
        <f t="shared" si="12"/>
        <v/>
      </c>
      <c r="H63" s="12" t="str">
        <f t="shared" si="13"/>
        <v/>
      </c>
      <c r="I63" s="13"/>
    </row>
    <row r="64">
      <c r="B64" s="100"/>
      <c r="D64" s="12"/>
      <c r="E64" s="12"/>
      <c r="F64" s="12"/>
      <c r="G64" s="12" t="str">
        <f t="shared" si="12"/>
        <v/>
      </c>
      <c r="H64" s="12" t="str">
        <f t="shared" si="13"/>
        <v/>
      </c>
      <c r="I64" s="13"/>
    </row>
    <row r="65">
      <c r="B65" s="100"/>
      <c r="D65" s="12"/>
      <c r="E65" s="12"/>
      <c r="F65" s="12"/>
      <c r="G65" s="12" t="str">
        <f t="shared" si="12"/>
        <v/>
      </c>
      <c r="H65" s="12" t="str">
        <f t="shared" si="13"/>
        <v/>
      </c>
      <c r="I65" s="13"/>
    </row>
    <row r="66">
      <c r="B66" s="100"/>
      <c r="D66" s="12"/>
      <c r="E66" s="12"/>
      <c r="F66" s="12"/>
      <c r="G66" s="12" t="str">
        <f t="shared" si="12"/>
        <v/>
      </c>
      <c r="H66" s="12" t="str">
        <f t="shared" si="13"/>
        <v/>
      </c>
      <c r="I66" s="13"/>
    </row>
    <row r="67">
      <c r="B67" s="100"/>
      <c r="D67" s="12"/>
      <c r="E67" s="12"/>
      <c r="F67" s="12"/>
      <c r="G67" s="12" t="str">
        <f t="shared" si="12"/>
        <v/>
      </c>
      <c r="H67" s="12" t="str">
        <f t="shared" si="13"/>
        <v/>
      </c>
      <c r="I67" s="13"/>
    </row>
    <row r="68">
      <c r="B68" s="100"/>
      <c r="D68" s="12"/>
      <c r="E68" s="12"/>
      <c r="F68" s="12"/>
      <c r="G68" s="12" t="str">
        <f t="shared" si="12"/>
        <v/>
      </c>
      <c r="H68" s="12" t="str">
        <f t="shared" si="13"/>
        <v/>
      </c>
      <c r="I68" s="13"/>
    </row>
    <row r="69">
      <c r="B69" s="100"/>
      <c r="D69" s="12"/>
      <c r="E69" s="12"/>
      <c r="F69" s="12"/>
      <c r="G69" s="12" t="str">
        <f t="shared" si="12"/>
        <v/>
      </c>
      <c r="H69" s="12" t="str">
        <f t="shared" si="13"/>
        <v/>
      </c>
      <c r="I69" s="13"/>
    </row>
    <row r="70">
      <c r="B70" s="100"/>
      <c r="D70" s="12"/>
      <c r="E70" s="12"/>
      <c r="F70" s="12"/>
      <c r="G70" s="12" t="str">
        <f t="shared" si="12"/>
        <v/>
      </c>
      <c r="H70" s="12" t="str">
        <f t="shared" si="13"/>
        <v/>
      </c>
      <c r="I70" s="13"/>
    </row>
    <row r="71">
      <c r="B71" s="100"/>
      <c r="D71" s="12"/>
      <c r="E71" s="12"/>
      <c r="F71" s="12"/>
      <c r="G71" s="12" t="str">
        <f t="shared" si="12"/>
        <v/>
      </c>
      <c r="H71" s="12" t="str">
        <f t="shared" si="13"/>
        <v/>
      </c>
      <c r="I71" s="13"/>
    </row>
    <row r="72">
      <c r="B72" s="100"/>
      <c r="D72" s="12"/>
      <c r="E72" s="12"/>
      <c r="F72" s="12"/>
      <c r="G72" s="12" t="str">
        <f t="shared" si="12"/>
        <v/>
      </c>
      <c r="H72" s="12" t="str">
        <f t="shared" si="13"/>
        <v/>
      </c>
      <c r="I72" s="13"/>
    </row>
    <row r="73">
      <c r="B73" s="100"/>
      <c r="D73" s="12"/>
      <c r="E73" s="12"/>
      <c r="F73" s="12"/>
      <c r="G73" s="12" t="str">
        <f t="shared" si="12"/>
        <v/>
      </c>
      <c r="H73" s="12" t="str">
        <f t="shared" si="13"/>
        <v/>
      </c>
      <c r="I73" s="13"/>
    </row>
    <row r="74">
      <c r="B74" s="100"/>
      <c r="D74" s="12"/>
      <c r="E74" s="12"/>
      <c r="F74" s="12"/>
      <c r="G74" s="12" t="str">
        <f t="shared" si="12"/>
        <v/>
      </c>
      <c r="H74" s="12" t="str">
        <f t="shared" si="13"/>
        <v/>
      </c>
      <c r="I74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143</v>
      </c>
      <c r="K2" s="4" t="s">
        <v>5</v>
      </c>
    </row>
    <row r="3">
      <c r="A3" s="3" t="s">
        <v>6</v>
      </c>
      <c r="B3" s="5">
        <v>46276.0</v>
      </c>
      <c r="K3" s="4" t="s">
        <v>8</v>
      </c>
      <c r="L3" s="6">
        <v>2.20462</v>
      </c>
    </row>
    <row r="4">
      <c r="A4" s="3" t="s">
        <v>9</v>
      </c>
      <c r="B4" s="5">
        <v>46283.0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146</v>
      </c>
      <c r="L7" s="6">
        <v>0.795241</v>
      </c>
    </row>
    <row r="8">
      <c r="A8" s="1" t="s">
        <v>117</v>
      </c>
      <c r="B8" s="2"/>
      <c r="C8" s="2"/>
      <c r="D8" s="2"/>
      <c r="E8" s="2"/>
      <c r="F8" s="2"/>
      <c r="G8" s="2"/>
      <c r="H8" s="2"/>
      <c r="I8" s="2"/>
      <c r="J8" s="1"/>
      <c r="K8" s="1"/>
      <c r="L8" s="14"/>
      <c r="M8" s="2"/>
      <c r="N8" s="2"/>
    </row>
    <row r="9">
      <c r="A9" s="4"/>
      <c r="B9" s="4" t="s">
        <v>121</v>
      </c>
      <c r="C9" s="4"/>
      <c r="D9" s="4" t="s">
        <v>126</v>
      </c>
      <c r="E9" s="8"/>
      <c r="F9" s="4" t="s">
        <v>123</v>
      </c>
      <c r="G9" s="4"/>
      <c r="H9" s="4"/>
      <c r="I9" s="4"/>
      <c r="J9" s="9"/>
      <c r="K9" s="4" t="s">
        <v>124</v>
      </c>
      <c r="L9" s="9"/>
      <c r="M9" s="9"/>
    </row>
    <row r="10">
      <c r="A10" s="3" t="s">
        <v>128</v>
      </c>
      <c r="B10" s="3" t="s">
        <v>129</v>
      </c>
      <c r="C10" s="31" t="s">
        <v>130</v>
      </c>
      <c r="D10" s="31" t="s">
        <v>131</v>
      </c>
      <c r="E10" s="79" t="s">
        <v>132</v>
      </c>
      <c r="F10" s="31" t="s">
        <v>133</v>
      </c>
      <c r="G10" s="31" t="s">
        <v>134</v>
      </c>
      <c r="H10" s="53" t="s">
        <v>136</v>
      </c>
      <c r="I10" s="3" t="s">
        <v>137</v>
      </c>
      <c r="J10" s="3" t="s">
        <v>125</v>
      </c>
      <c r="K10" s="3" t="s">
        <v>127</v>
      </c>
      <c r="L10" s="6">
        <v>0.7128290192302931</v>
      </c>
      <c r="M10" s="51" t="str">
        <f>HYPERLINK("https://docs.google.com/spreadsheets/d/1L167k_JS3mnisFy3VpS-OXgI8U0cK-4nC6A9sxl-ozk/edit","PP Summary")</f>
        <v>PP Summary</v>
      </c>
    </row>
    <row r="11">
      <c r="C11" s="31"/>
      <c r="D11" s="12"/>
      <c r="E11" s="79"/>
      <c r="F11" s="12"/>
      <c r="G11" s="31"/>
      <c r="H11" s="73"/>
      <c r="K11" s="75" t="s">
        <v>135</v>
      </c>
      <c r="L11" s="6">
        <v>0.9748408534875329</v>
      </c>
      <c r="M11" s="51" t="str">
        <f>HYPERLINK("https://docs.google.com/spreadsheets/d/1W8jWu3sp39WnSuds1Ja0FWDG5UuWN9v5NUmF6yh_WbI/edit","PP Summary")</f>
        <v>PP Summary</v>
      </c>
    </row>
    <row r="12">
      <c r="C12" s="31"/>
      <c r="D12" s="12"/>
      <c r="E12" s="79"/>
      <c r="F12" s="12"/>
      <c r="G12" s="31"/>
      <c r="H12" s="73"/>
      <c r="K12" s="75" t="s">
        <v>138</v>
      </c>
      <c r="L12" s="6">
        <v>0.9721828239230533</v>
      </c>
      <c r="M12" s="51" t="str">
        <f>HYPERLINK("https://docs.google.com/spreadsheets/d/1-L6m2wYknC3o-yIts9KK7FrYAb5lZIv4AwaizK8FbMc/edit","PP Summary")</f>
        <v>PP Summary</v>
      </c>
    </row>
    <row r="13">
      <c r="C13" s="31"/>
      <c r="D13" s="12"/>
      <c r="E13" s="79"/>
      <c r="F13" s="12"/>
      <c r="G13" s="31"/>
      <c r="H13" s="73"/>
      <c r="K13" s="75" t="s">
        <v>139</v>
      </c>
      <c r="L13" s="6">
        <v>0.9319944877512889</v>
      </c>
      <c r="M13" s="51" t="str">
        <f>HYPERLINK("https://docs.google.com/spreadsheets/d/1bPZ7pNsR5rv-om-BypF4lK3nczjn4HJNO2dzimwnx7E/edit","PP Summary")</f>
        <v>PP Summary</v>
      </c>
    </row>
    <row r="14">
      <c r="C14" s="31"/>
      <c r="D14" s="12"/>
      <c r="E14" s="79"/>
      <c r="F14" s="12"/>
      <c r="G14" s="31"/>
      <c r="H14" s="73"/>
      <c r="K14" s="75" t="s">
        <v>141</v>
      </c>
      <c r="L14" s="6">
        <v>0.84989612258998</v>
      </c>
      <c r="M14" s="51" t="str">
        <f>HYPERLINK("https://docs.google.com/spreadsheets/d/1vH7bborVnc-TCby3wEkpzi7GGMOI5jMJooEW0V-rOQ4/edit","PP Summary")</f>
        <v>PP Summary</v>
      </c>
    </row>
    <row r="15">
      <c r="C15" s="31"/>
      <c r="D15" s="12"/>
      <c r="E15" s="79"/>
      <c r="F15" s="12"/>
      <c r="G15" s="31"/>
      <c r="H15" s="73"/>
      <c r="K15" s="75" t="s">
        <v>142</v>
      </c>
      <c r="L15" s="6">
        <v>0.7900645329689984</v>
      </c>
      <c r="M15" s="51" t="str">
        <f>HYPERLINK("https://docs.google.com/spreadsheets/d/1O7y30opa_u1_deqFm_w2qgVyxi_75X00xnzKuyVyh6o/edit","PP Summary")</f>
        <v>PP Summary</v>
      </c>
    </row>
    <row r="16">
      <c r="C16" s="31"/>
      <c r="D16" s="12"/>
      <c r="E16" s="84"/>
      <c r="F16" s="12"/>
      <c r="G16" s="31"/>
      <c r="H16" s="73"/>
      <c r="K16" s="75" t="s">
        <v>144</v>
      </c>
      <c r="L16" s="6">
        <v>0.7848323401347014</v>
      </c>
      <c r="M16" s="51" t="str">
        <f>HYPERLINK("https://docs.google.com/spreadsheets/d/10Qwx7K6sUcOBrCebGUGVaVeLQnhzvcT8sHQ0Sy3VBBM/edit","PP Summary")</f>
        <v>PP Summary</v>
      </c>
    </row>
    <row r="17">
      <c r="C17" s="31"/>
      <c r="D17" s="12"/>
      <c r="E17" s="84"/>
      <c r="F17" s="12"/>
      <c r="G17" s="31"/>
      <c r="H17" s="73"/>
      <c r="K17" s="75" t="s">
        <v>147</v>
      </c>
      <c r="L17" s="6">
        <v>0.6328458891234968</v>
      </c>
      <c r="M17" s="51" t="str">
        <f>HYPERLINK("https://docs.google.com/spreadsheets/d/1m66t1jsLGc4e6AWnCFMsFbkSceZ9IYC_-bfTsbP_OYc/edit","PP Summary")</f>
        <v>PP Summary</v>
      </c>
    </row>
    <row r="18">
      <c r="C18" s="31"/>
      <c r="D18" s="12"/>
      <c r="E18" s="84"/>
      <c r="F18" s="12"/>
      <c r="G18" s="31"/>
      <c r="H18" s="73"/>
      <c r="K18" s="75" t="s">
        <v>148</v>
      </c>
      <c r="L18" s="6">
        <v>1.1105355635937064</v>
      </c>
      <c r="M18" s="51" t="str">
        <f>HYPERLINK("https://docs.google.com/spreadsheets/d/1MUQajDI2a_Cn9xWGPP7z4PhhphZnfl2_CSTnpB07Wgk/edit","PP Summary")</f>
        <v>PP Summary</v>
      </c>
    </row>
    <row r="19">
      <c r="C19" s="31"/>
      <c r="D19" s="12"/>
      <c r="E19" s="84"/>
      <c r="F19" s="12"/>
      <c r="G19" s="31"/>
      <c r="H19" s="73"/>
      <c r="K19" s="3" t="s">
        <v>149</v>
      </c>
      <c r="L19" s="16">
        <f>$L$7</f>
        <v>0.795241</v>
      </c>
    </row>
    <row r="20">
      <c r="C20" s="31"/>
      <c r="D20" s="12"/>
      <c r="E20" s="84"/>
      <c r="F20" s="12"/>
      <c r="G20" s="31"/>
      <c r="H20" s="73"/>
    </row>
    <row r="21">
      <c r="C21" s="31"/>
      <c r="D21" s="12"/>
      <c r="E21" s="84"/>
      <c r="F21" s="12"/>
      <c r="G21" s="31"/>
      <c r="H21" s="73"/>
    </row>
    <row r="22">
      <c r="C22" s="31"/>
      <c r="D22" s="12"/>
      <c r="E22" s="84"/>
      <c r="F22" s="12"/>
      <c r="G22" s="31"/>
      <c r="H22" s="73"/>
    </row>
    <row r="23">
      <c r="C23" s="31"/>
      <c r="D23" s="12"/>
      <c r="E23" s="84"/>
      <c r="F23" s="12"/>
      <c r="G23" s="31"/>
      <c r="H23" s="73"/>
    </row>
    <row r="24">
      <c r="C24" s="12"/>
      <c r="D24" s="12"/>
      <c r="E24" s="27"/>
      <c r="F24" s="12"/>
      <c r="G24" s="12"/>
      <c r="H24" s="73"/>
    </row>
    <row r="25">
      <c r="A25" s="3" t="s">
        <v>91</v>
      </c>
      <c r="B25" s="16">
        <f t="shared" ref="B25:F25" si="1">SUM(B11:B23)</f>
        <v>0</v>
      </c>
      <c r="C25" s="12">
        <f t="shared" si="1"/>
        <v>0</v>
      </c>
      <c r="D25" s="12">
        <f t="shared" si="1"/>
        <v>0</v>
      </c>
      <c r="E25" s="27">
        <f t="shared" si="1"/>
        <v>0</v>
      </c>
      <c r="F25" s="12">
        <f t="shared" si="1"/>
        <v>0</v>
      </c>
      <c r="G25" s="12"/>
      <c r="H25" s="73" t="str">
        <f>I25/D25</f>
        <v>#DIV/0!</v>
      </c>
      <c r="I25" s="16">
        <f t="shared" ref="I25:J25" si="2">SUM(I11:I23)</f>
        <v>0</v>
      </c>
      <c r="J25" s="16">
        <f t="shared" si="2"/>
        <v>0</v>
      </c>
    </row>
    <row r="26">
      <c r="C26" s="12"/>
      <c r="D26" s="12"/>
      <c r="E26" s="27"/>
      <c r="F26" s="12"/>
      <c r="G26" s="12"/>
      <c r="H26" s="13"/>
    </row>
    <row r="27">
      <c r="E27" s="27"/>
      <c r="F27" s="12"/>
      <c r="G27" s="12"/>
      <c r="H27" s="13"/>
    </row>
    <row r="28">
      <c r="E28" s="27"/>
      <c r="F28" s="12"/>
      <c r="G28" s="12"/>
      <c r="H28" s="13"/>
    </row>
    <row r="29">
      <c r="E29" s="27"/>
      <c r="F29" s="12"/>
      <c r="G29" s="12"/>
      <c r="H29" s="13"/>
    </row>
    <row r="30">
      <c r="C30" s="12"/>
      <c r="D30" s="12"/>
      <c r="E30" s="12"/>
      <c r="F30" s="12"/>
      <c r="G30" s="12"/>
      <c r="H30" s="13"/>
    </row>
    <row r="31">
      <c r="A31" s="1" t="s">
        <v>88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164</v>
      </c>
      <c r="B32" s="3" t="s">
        <v>165</v>
      </c>
      <c r="C32" s="31" t="s">
        <v>48</v>
      </c>
      <c r="D32" s="43" t="s">
        <v>167</v>
      </c>
      <c r="E32" s="13"/>
      <c r="F32" s="13"/>
    </row>
    <row r="33">
      <c r="A33" s="16">
        <f>B25</f>
        <v>0</v>
      </c>
      <c r="B33" s="12">
        <f>SUM(D11:D23)</f>
        <v>0</v>
      </c>
      <c r="C33" s="12" t="str">
        <f>IF(D33=0,"",B33-D33)</f>
        <v/>
      </c>
      <c r="D33" s="90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86" t="s">
        <v>156</v>
      </c>
      <c r="B1" s="87"/>
      <c r="C1" s="87"/>
      <c r="D1" s="87"/>
      <c r="E1" s="87"/>
      <c r="F1" s="87"/>
      <c r="G1" s="87"/>
    </row>
    <row r="4">
      <c r="A4" s="4" t="s">
        <v>1</v>
      </c>
      <c r="B4" s="9"/>
      <c r="C4" s="9"/>
      <c r="D4" s="9"/>
      <c r="E4" s="9"/>
      <c r="F4" s="9"/>
      <c r="G4" s="9"/>
    </row>
    <row r="5">
      <c r="A5" s="4" t="s">
        <v>158</v>
      </c>
      <c r="B5" s="4" t="s">
        <v>159</v>
      </c>
      <c r="C5" s="4" t="s">
        <v>160</v>
      </c>
      <c r="D5" s="4" t="s">
        <v>161</v>
      </c>
      <c r="E5" s="4" t="s">
        <v>162</v>
      </c>
      <c r="F5" s="9"/>
      <c r="G5" s="9"/>
    </row>
    <row r="6">
      <c r="A6" s="3" t="s">
        <v>4</v>
      </c>
      <c r="B6" s="3" t="s">
        <v>84</v>
      </c>
      <c r="C6" s="3" t="s">
        <v>163</v>
      </c>
      <c r="D6" s="16">
        <f>COUNTA(QOWV!A11:A52)</f>
        <v>42</v>
      </c>
      <c r="E6" s="3" t="s">
        <v>168</v>
      </c>
    </row>
    <row r="8">
      <c r="A8" s="4" t="s">
        <v>169</v>
      </c>
      <c r="B8" s="15">
        <v>1201.0</v>
      </c>
      <c r="C8" s="4" t="s">
        <v>170</v>
      </c>
      <c r="D8" s="9"/>
      <c r="E8" s="9"/>
      <c r="F8" s="9"/>
      <c r="G8" s="9"/>
    </row>
    <row r="10">
      <c r="A10" s="4" t="s">
        <v>171</v>
      </c>
      <c r="B10" s="9"/>
      <c r="C10" s="9"/>
      <c r="D10" s="9"/>
      <c r="E10" s="9"/>
      <c r="F10" s="9"/>
      <c r="G10" s="9"/>
    </row>
    <row r="11">
      <c r="A11" s="4" t="s">
        <v>172</v>
      </c>
      <c r="B11" s="4" t="s">
        <v>173</v>
      </c>
      <c r="C11" s="4" t="s">
        <v>174</v>
      </c>
      <c r="D11" s="4" t="s">
        <v>175</v>
      </c>
      <c r="E11" s="4" t="s">
        <v>176</v>
      </c>
      <c r="F11" s="4" t="s">
        <v>177</v>
      </c>
      <c r="G11" s="4" t="s">
        <v>178</v>
      </c>
    </row>
    <row r="12">
      <c r="A12" s="3" t="s">
        <v>179</v>
      </c>
      <c r="B12" s="88">
        <v>46274.0</v>
      </c>
      <c r="C12" s="6">
        <v>20.0</v>
      </c>
      <c r="D12" s="6">
        <v>15.0</v>
      </c>
      <c r="E12" s="89">
        <f t="shared" ref="E12:E15" si="1">D12/C12</f>
        <v>0.75</v>
      </c>
      <c r="F12" s="16">
        <f t="shared" ref="F12:F15" si="2">$B$8</f>
        <v>1201</v>
      </c>
      <c r="G12" s="13">
        <f t="shared" ref="G12:G15" si="3">E12*F12</f>
        <v>900.75</v>
      </c>
    </row>
    <row r="13">
      <c r="A13" s="3" t="s">
        <v>183</v>
      </c>
      <c r="B13" s="88">
        <v>46275.0</v>
      </c>
      <c r="C13" s="6">
        <v>18.0</v>
      </c>
      <c r="D13" s="6">
        <v>5.0</v>
      </c>
      <c r="E13" s="89">
        <f t="shared" si="1"/>
        <v>0.2777777778</v>
      </c>
      <c r="F13" s="16">
        <f t="shared" si="2"/>
        <v>1201</v>
      </c>
      <c r="G13" s="13">
        <f t="shared" si="3"/>
        <v>333.6111111</v>
      </c>
    </row>
    <row r="14">
      <c r="A14" s="3" t="s">
        <v>184</v>
      </c>
      <c r="B14" s="88">
        <v>46280.0</v>
      </c>
      <c r="C14" s="6">
        <v>20.0</v>
      </c>
      <c r="D14" s="6">
        <v>20.0</v>
      </c>
      <c r="E14" s="89">
        <f t="shared" si="1"/>
        <v>1</v>
      </c>
      <c r="F14" s="16">
        <f t="shared" si="2"/>
        <v>1201</v>
      </c>
      <c r="G14" s="13">
        <f t="shared" si="3"/>
        <v>1201</v>
      </c>
    </row>
    <row r="15">
      <c r="A15" s="3" t="s">
        <v>185</v>
      </c>
      <c r="B15" s="88">
        <v>46282.0</v>
      </c>
      <c r="C15" s="6">
        <v>18.0</v>
      </c>
      <c r="D15" s="6">
        <v>2.0</v>
      </c>
      <c r="E15" s="89">
        <f t="shared" si="1"/>
        <v>0.1111111111</v>
      </c>
      <c r="F15" s="16">
        <f t="shared" si="2"/>
        <v>1201</v>
      </c>
      <c r="G15" s="13">
        <f t="shared" si="3"/>
        <v>133.4444444</v>
      </c>
    </row>
    <row r="16">
      <c r="B16" s="26"/>
      <c r="E16" s="89"/>
      <c r="G16" s="13"/>
    </row>
    <row r="17">
      <c r="A17" s="4" t="s">
        <v>91</v>
      </c>
      <c r="B17" s="9"/>
      <c r="C17" s="9">
        <f t="shared" ref="C17:D17" si="4">SUM(C12:C15)</f>
        <v>76</v>
      </c>
      <c r="D17" s="9">
        <f t="shared" si="4"/>
        <v>42</v>
      </c>
      <c r="E17" s="9"/>
      <c r="F17" s="9"/>
      <c r="G17" s="91">
        <f>SUM(G12:G15)</f>
        <v>2568.805556</v>
      </c>
    </row>
    <row r="19">
      <c r="A19" s="4" t="s">
        <v>189</v>
      </c>
      <c r="B19" s="9"/>
      <c r="C19" s="9"/>
      <c r="D19" s="9"/>
      <c r="E19" s="9"/>
      <c r="F19" s="9"/>
      <c r="G19" s="9"/>
    </row>
    <row r="20">
      <c r="A20" s="4"/>
      <c r="B20" s="4"/>
      <c r="C20" s="4"/>
      <c r="D20" s="4"/>
      <c r="E20" s="9"/>
      <c r="F20" s="9"/>
      <c r="G20" s="9"/>
    </row>
    <row r="21">
      <c r="C21" s="13"/>
    </row>
    <row r="23">
      <c r="A23" s="4"/>
      <c r="B23" s="9"/>
      <c r="C23" s="9"/>
      <c r="D23" s="9"/>
      <c r="E23" s="9"/>
      <c r="F23" s="9"/>
      <c r="G23" s="9"/>
    </row>
    <row r="24">
      <c r="A24" s="4"/>
      <c r="B24" s="4"/>
      <c r="C24" s="4"/>
      <c r="D24" s="4"/>
      <c r="E24" s="4"/>
      <c r="F24" s="9"/>
    </row>
    <row r="25">
      <c r="D25" s="26"/>
    </row>
    <row r="26">
      <c r="D26" s="26"/>
    </row>
    <row r="27">
      <c r="D27" s="26"/>
    </row>
    <row r="28">
      <c r="D28" s="26"/>
    </row>
    <row r="29">
      <c r="D29" s="26"/>
    </row>
    <row r="30">
      <c r="D30" s="26"/>
    </row>
    <row r="31">
      <c r="D31" s="26"/>
    </row>
    <row r="32">
      <c r="D32" s="26"/>
    </row>
    <row r="33">
      <c r="D33" s="26"/>
    </row>
    <row r="34">
      <c r="D34" s="26"/>
    </row>
    <row r="35">
      <c r="A35" s="9"/>
      <c r="B35" s="9"/>
      <c r="C35" s="4"/>
      <c r="D35" s="9"/>
      <c r="E35" s="9"/>
      <c r="F35" s="9"/>
    </row>
    <row r="37">
      <c r="A37" s="4"/>
      <c r="B37" s="9"/>
      <c r="C37" s="9"/>
      <c r="D37" s="9"/>
      <c r="E37" s="9"/>
      <c r="F37" s="9"/>
    </row>
    <row r="38">
      <c r="A38" s="4"/>
      <c r="B38" s="4"/>
      <c r="C38" s="4"/>
      <c r="D38" s="4"/>
      <c r="E38" s="4"/>
      <c r="F38" s="9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  <row r="49">
      <c r="D49" s="26"/>
    </row>
    <row r="50">
      <c r="D50" s="26"/>
    </row>
    <row r="51">
      <c r="D51" s="26"/>
    </row>
    <row r="52">
      <c r="D52" s="26"/>
    </row>
    <row r="53">
      <c r="D53" s="26"/>
    </row>
    <row r="54">
      <c r="D54" s="26"/>
    </row>
    <row r="55">
      <c r="D55" s="26"/>
    </row>
    <row r="56">
      <c r="A56" s="9"/>
      <c r="B56" s="9"/>
      <c r="C56" s="4"/>
      <c r="D56" s="9"/>
      <c r="E56" s="9"/>
      <c r="F56" s="9"/>
    </row>
    <row r="58">
      <c r="A58" s="4"/>
      <c r="B58" s="9"/>
      <c r="C58" s="9"/>
      <c r="D58" s="9"/>
      <c r="E58" s="9"/>
      <c r="F58" s="9"/>
    </row>
    <row r="59">
      <c r="A59" s="4"/>
      <c r="B59" s="4"/>
      <c r="C59" s="4"/>
      <c r="D59" s="4"/>
      <c r="E59" s="4"/>
      <c r="F59" s="9"/>
    </row>
    <row r="60">
      <c r="D60" s="26"/>
    </row>
    <row r="61">
      <c r="D61" s="26"/>
    </row>
    <row r="62">
      <c r="D62" s="26"/>
    </row>
    <row r="63">
      <c r="D63" s="26"/>
    </row>
    <row r="64">
      <c r="D64" s="26"/>
    </row>
    <row r="65">
      <c r="D65" s="26"/>
    </row>
    <row r="66">
      <c r="D66" s="26"/>
    </row>
    <row r="67">
      <c r="D67" s="26"/>
    </row>
    <row r="68">
      <c r="D68" s="26"/>
    </row>
    <row r="69">
      <c r="D69" s="26"/>
    </row>
    <row r="70">
      <c r="D70" s="26"/>
    </row>
    <row r="71">
      <c r="D71" s="26"/>
    </row>
    <row r="72">
      <c r="D72" s="26"/>
    </row>
    <row r="73">
      <c r="D73" s="26"/>
    </row>
    <row r="74">
      <c r="A74" s="9"/>
      <c r="B74" s="9"/>
      <c r="C74" s="4"/>
      <c r="D74" s="9"/>
      <c r="E74" s="9"/>
      <c r="F7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193</v>
      </c>
    </row>
    <row r="4">
      <c r="A4" s="3" t="s">
        <v>1</v>
      </c>
    </row>
    <row r="5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196</v>
      </c>
    </row>
    <row r="6">
      <c r="A6" s="3" t="s">
        <v>197</v>
      </c>
      <c r="B6" s="3" t="s">
        <v>102</v>
      </c>
      <c r="C6" s="3" t="s">
        <v>198</v>
      </c>
      <c r="D6" s="16">
        <f>COUNTA(WODO!A11:A23)</f>
        <v>0</v>
      </c>
      <c r="E6" s="3" t="s">
        <v>200</v>
      </c>
    </row>
    <row r="8">
      <c r="A8" s="3" t="s">
        <v>201</v>
      </c>
      <c r="B8" s="6">
        <v>1201.0</v>
      </c>
    </row>
    <row r="10">
      <c r="A10" s="3" t="s">
        <v>202</v>
      </c>
    </row>
    <row r="11">
      <c r="A11" s="3" t="s">
        <v>172</v>
      </c>
      <c r="B11" s="3" t="s">
        <v>173</v>
      </c>
      <c r="C11" s="3" t="s">
        <v>174</v>
      </c>
      <c r="D11" s="3" t="s">
        <v>175</v>
      </c>
      <c r="E11" s="3" t="s">
        <v>176</v>
      </c>
      <c r="F11" s="3" t="s">
        <v>177</v>
      </c>
      <c r="G11" s="3" t="s">
        <v>178</v>
      </c>
    </row>
    <row r="12">
      <c r="B12" s="26"/>
      <c r="D12" s="16">
        <f>$D$6</f>
        <v>0</v>
      </c>
      <c r="E12" s="16" t="str">
        <f>IFERROR(D12/C12,"")</f>
        <v/>
      </c>
      <c r="F12" s="16">
        <f>$B$8</f>
        <v>1201</v>
      </c>
      <c r="G12" s="16">
        <f>IFERROR(E12*F12,"")</f>
        <v>0</v>
      </c>
    </row>
    <row r="14">
      <c r="A14" s="3" t="s">
        <v>91</v>
      </c>
      <c r="C14" s="16">
        <f t="shared" ref="C14:D14" si="1">SUM(C12:C13)</f>
        <v>0</v>
      </c>
      <c r="D14" s="16">
        <f t="shared" si="1"/>
        <v>0</v>
      </c>
      <c r="G14" s="16">
        <f>SUM(G12:G13)</f>
        <v>0</v>
      </c>
    </row>
    <row r="16">
      <c r="A16" s="3" t="s">
        <v>212</v>
      </c>
      <c r="B16" s="16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205</v>
      </c>
    </row>
    <row r="4">
      <c r="A4" s="3" t="s">
        <v>1</v>
      </c>
    </row>
    <row r="5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196</v>
      </c>
    </row>
    <row r="6">
      <c r="A6" s="3" t="s">
        <v>143</v>
      </c>
      <c r="B6" s="3" t="s">
        <v>207</v>
      </c>
      <c r="C6" s="3" t="s">
        <v>208</v>
      </c>
      <c r="D6" s="16">
        <f>COUNTA('Whole Oil'!A11:A23)</f>
        <v>0</v>
      </c>
    </row>
    <row r="8">
      <c r="A8" s="3" t="s">
        <v>201</v>
      </c>
      <c r="B8" s="6">
        <v>1201.0</v>
      </c>
    </row>
    <row r="10">
      <c r="A10" s="3" t="s">
        <v>202</v>
      </c>
    </row>
    <row r="11">
      <c r="A11" s="3" t="s">
        <v>172</v>
      </c>
      <c r="B11" s="3" t="s">
        <v>173</v>
      </c>
      <c r="C11" s="3" t="s">
        <v>174</v>
      </c>
      <c r="D11" s="3" t="s">
        <v>175</v>
      </c>
      <c r="E11" s="3" t="s">
        <v>176</v>
      </c>
      <c r="F11" s="3" t="s">
        <v>177</v>
      </c>
      <c r="G11" s="3" t="s">
        <v>178</v>
      </c>
    </row>
    <row r="12">
      <c r="B12" s="26"/>
    </row>
    <row r="14">
      <c r="A14" s="3" t="s">
        <v>91</v>
      </c>
      <c r="C14" s="16">
        <f t="shared" ref="C14:D14" si="1">SUM(C12:C13)</f>
        <v>0</v>
      </c>
      <c r="D14" s="16">
        <f t="shared" si="1"/>
        <v>0</v>
      </c>
      <c r="G14" s="16">
        <f>SUM(G12:G13)</f>
        <v>0</v>
      </c>
    </row>
    <row r="16">
      <c r="A16" s="3" t="s">
        <v>212</v>
      </c>
      <c r="B16" s="16" t="str">
        <f>IF($D$14=$D$6,"OK","MISMATCH")</f>
        <v>OK</v>
      </c>
    </row>
  </sheetData>
  <drawing r:id="rId1"/>
</worksheet>
</file>