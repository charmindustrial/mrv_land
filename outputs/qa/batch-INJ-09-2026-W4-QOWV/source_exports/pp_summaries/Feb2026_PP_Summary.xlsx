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<sst xmlns="http://schemas.openxmlformats.org/spreadsheetml/2006/main" count="227" uniqueCount="172">
  <si>
    <t>Emission Factors</t>
  </si>
  <si>
    <t>Process Emissions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</si>
  <si>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</si>
  <si>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</si>
  <si>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</si>
  <si>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</si>
  <si>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</si>
  <si>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</si>
  <si>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</si>
  <si>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Embodied Emissions</t>
  </si>
  <si>
    <t>MT CO2e/t-mi</t>
  </si>
  <si>
    <t>Output Type</t>
  </si>
  <si>
    <t>N/A</t>
  </si>
  <si>
    <t>Mass of Output (kg)</t>
  </si>
  <si>
    <t>% Output Mass</t>
  </si>
  <si>
    <t>C Content (%)</t>
  </si>
  <si>
    <t>C Content Mass (kg)</t>
  </si>
  <si>
    <t>% C Content Mass</t>
  </si>
  <si>
    <t>Total Emissions Allocated to Fraction (MT CO2e)</t>
  </si>
  <si>
    <t>Kg Emissions/Kg Material</t>
  </si>
  <si>
    <t>GLEC V3.0 2024</t>
  </si>
  <si>
    <t>Production Operating Hours</t>
  </si>
  <si>
    <t>WODO</t>
  </si>
  <si>
    <t>Propane (kg)</t>
  </si>
  <si>
    <t>Diesel (kg)</t>
  </si>
  <si>
    <t>Total BM Consumed</t>
  </si>
  <si>
    <t>Gasoline (kg)</t>
  </si>
  <si>
    <t>WODO Yield</t>
  </si>
  <si>
    <t>WODO wt%C</t>
  </si>
  <si>
    <t>Biochar Yield</t>
  </si>
  <si>
    <t>Biochar wt%C</t>
  </si>
  <si>
    <t>Biomass Transport</t>
  </si>
  <si>
    <t>Truck Transport Fuel Use (Well to Wheel) -- Tanker Truck</t>
  </si>
  <si>
    <t>Propane</t>
  </si>
  <si>
    <t>Diesel</t>
  </si>
  <si>
    <t>Vehicle Embodied Emissions --Tanker Truck</t>
  </si>
  <si>
    <t>MT CO2e/mi</t>
  </si>
  <si>
    <t>Gasoline</t>
  </si>
  <si>
    <t>USEPA/GREET 2024</t>
  </si>
  <si>
    <t>Vehicle Embodied Emissions --Non-Tanker Truck</t>
  </si>
  <si>
    <t>Electricity</t>
  </si>
  <si>
    <t>Embodied Emissions -- Liquid Caustic Soda (50% NaOH)</t>
  </si>
  <si>
    <t>MTCO2e/T LCS</t>
  </si>
  <si>
    <t>Tailgas</t>
  </si>
  <si>
    <t>Pyrolyzer Up-Time</t>
  </si>
  <si>
    <t>Water</t>
  </si>
  <si>
    <t>Equipment Amortization</t>
  </si>
  <si>
    <t>Biochar</t>
  </si>
  <si>
    <t>Consumables Delivery</t>
  </si>
  <si>
    <t>GREET 2024</t>
  </si>
  <si>
    <t>Electricity Use -- Kansas</t>
  </si>
  <si>
    <t>MTCO2e/kWh</t>
  </si>
  <si>
    <t>Waste Disposal</t>
  </si>
  <si>
    <t>Green-E,USEPA, GREET 2024</t>
  </si>
  <si>
    <t>Electricity Use -- Kansas w/ Wind RECs</t>
  </si>
  <si>
    <t>Capital Goods EE</t>
  </si>
  <si>
    <t>SP+C EE</t>
  </si>
  <si>
    <t>New Pile</t>
  </si>
  <si>
    <t>Injection Emissions</t>
  </si>
  <si>
    <t>Total Operating Hours</t>
  </si>
  <si>
    <t>Electricity Use -- Colorado</t>
  </si>
  <si>
    <t>Aqueous Yield</t>
  </si>
  <si>
    <t>[MRV] Biomass Miles</t>
  </si>
  <si>
    <t>Total Biomass Consumed (kg)</t>
  </si>
  <si>
    <t>Electricity Use -- Colorado w/ Solar RECs</t>
  </si>
  <si>
    <t>Aqueous</t>
  </si>
  <si>
    <t>[MRV] Raw Biomass Tonnes</t>
  </si>
  <si>
    <t>Vaulted Equipment Embodied Emissions</t>
  </si>
  <si>
    <t>[MRV] Linear Feet Consumed</t>
  </si>
  <si>
    <t>MT CO2e/MT Injectate</t>
  </si>
  <si>
    <t>--</t>
  </si>
  <si>
    <t>Vaulted PDD</t>
  </si>
  <si>
    <t>[MRV] Uncertainty Adjusted Propane Used</t>
  </si>
  <si>
    <t>Self-Loading Truck Lumber Handling (No Transport)</t>
  </si>
  <si>
    <t>MT CO2e/MT logs</t>
  </si>
  <si>
    <t>[MRV] Uncertainty Adjusted Diesel Used</t>
  </si>
  <si>
    <t>Auburn University</t>
  </si>
  <si>
    <t>[MRV] Uncertainty Adjusted Gasoline Used</t>
  </si>
  <si>
    <t>Total Biomass Consumed (MT)</t>
  </si>
  <si>
    <t>[MRV] Uncertainty Adjusted Electricity</t>
  </si>
  <si>
    <t>[MRV] Total Water Used</t>
  </si>
  <si>
    <t>Diesel Fuel Combustion (Total WTW)</t>
  </si>
  <si>
    <t>MTCO2e/kg fuel</t>
  </si>
  <si>
    <t>R+D Operating Hours</t>
  </si>
  <si>
    <t>LPG Consumption (Total WTW)</t>
  </si>
  <si>
    <t>Biomass Amortization Factor for PP (kg Co2e/MT biomass)</t>
  </si>
  <si>
    <t>Gasoline Consumption (Total WTW)</t>
  </si>
  <si>
    <t>Drinking Water -- US</t>
  </si>
  <si>
    <t>MTCO2e/gal water</t>
  </si>
  <si>
    <t>Log Handling Emissions</t>
  </si>
  <si>
    <t>% Production</t>
  </si>
  <si>
    <t>https://www.sciencedirect.com/science/article/abs/pii/S0959652621030110</t>
  </si>
  <si>
    <t>Total Amortized Embodied Emissions (kg)</t>
  </si>
  <si>
    <t>% R+D</t>
  </si>
  <si>
    <t xml:space="preserve"> 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</si>
  <si>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</si>
  <si>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</si>
  <si>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</si>
  <si>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</si>
  <si>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</si>
  <si>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</si>
  <si>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</si>
  <si>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</si>
  <si>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</si>
  <si>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</si>
  <si>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</si>
  <si>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</si>
  <si>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</si>
  <si>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</si>
  <si>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</si>
  <si>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</si>
  <si>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</si>
  <si>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</si>
  <si>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</si>
  <si>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</si>
  <si>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</si>
  <si>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</si>
  <si>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</si>
  <si>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</si>
  <si>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</si>
  <si>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</si>
  <si>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</si>
  <si>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</si>
  <si>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</si>
  <si>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</si>
  <si>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3721.06</t>
  </si>
  <si>
    <t>Total Diesel Consumption for PP (Gal)</t>
  </si>
  <si>
    <t>Total Diesel Fills in Office Generator for PP (Gal)</t>
  </si>
  <si>
    <t>0</t>
  </si>
  <si>
    <t>Total</t>
  </si>
  <si>
    <t>Total Production Diesel Consumption for PP (Gal)</t>
  </si>
  <si>
    <t>983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</si>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</sst>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>
      <b/>
      <sz val="14.0"/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Font="1"/>
    <xf borderId="0" fillId="2" fontId="5" numFmtId="0" xfId="0" applyFill="1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/>
    </xf>
    <xf borderId="0" fillId="0" fontId="5" numFmtId="4" xfId="0" applyFont="1" applyNumberFormat="1"/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5" numFmtId="2" xfId="0" applyFont="1" applyNumberFormat="1"/>
    <xf borderId="0" fillId="0" fontId="5" numFmtId="3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5" numFmtId="4" xfId="0" applyAlignment="1" applyFont="1" applyNumberFormat="1">
      <alignment horizontal="center"/>
    </xf>
    <xf borderId="0" fillId="0" fontId="8" numFmtId="10" xfId="0" applyAlignment="1" applyFont="1" applyNumberFormat="1">
      <alignment readingOrder="0"/>
    </xf>
    <xf borderId="0" fillId="0" fontId="5" numFmtId="2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0" fillId="0" fontId="5" numFmtId="164" xfId="0" applyFont="1" applyNumberFormat="1"/>
    <xf borderId="0" fillId="0" fontId="9" numFmtId="0" xfId="0" applyAlignment="1" applyFont="1">
      <alignment readingOrder="0"/>
    </xf>
    <xf borderId="0" fillId="0" fontId="5" numFmtId="164" xfId="0" applyAlignment="1" applyFont="1" applyNumberFormat="1">
      <alignment horizontal="center"/>
    </xf>
    <xf borderId="0" fillId="0" fontId="5" numFmtId="165" xfId="0" applyFont="1" applyNumberFormat="1"/>
    <xf borderId="0" fillId="0" fontId="5" numFmtId="0" xfId="0" applyAlignment="1" applyFont="1">
      <alignment horizontal="center"/>
    </xf>
    <xf borderId="0" fillId="0" fontId="5" numFmtId="166" xfId="0" applyFont="1" applyNumberFormat="1"/>
    <xf borderId="0" fillId="3" fontId="4" numFmtId="0" xfId="0" applyAlignment="1" applyFill="1" applyFont="1">
      <alignment readingOrder="0"/>
    </xf>
    <xf borderId="0" fillId="0" fontId="5" numFmtId="4" xfId="0" applyAlignment="1" applyFont="1" applyNumberFormat="1">
      <alignment readingOrder="0"/>
    </xf>
    <xf borderId="0" fillId="4" fontId="5" numFmtId="0" xfId="0" applyAlignment="1" applyFill="1" applyFont="1">
      <alignment horizontal="center"/>
    </xf>
    <xf borderId="0" fillId="5" fontId="5" numFmtId="4" xfId="0" applyAlignment="1" applyFill="1" applyFont="1" applyNumberFormat="1">
      <alignment readingOrder="0"/>
    </xf>
    <xf borderId="0" fillId="0" fontId="5" numFmtId="0" xfId="0" applyAlignment="1" applyFont="1">
      <alignment horizontal="center" readingOrder="0"/>
    </xf>
    <xf quotePrefix="1" borderId="0" fillId="6" fontId="5" numFmtId="0" xfId="0" applyAlignment="1" applyFill="1" applyFont="1">
      <alignment horizontal="center" readingOrder="0"/>
    </xf>
    <xf borderId="0" fillId="0" fontId="6" numFmtId="0" xfId="0" applyAlignment="1" applyFont="1">
      <alignment readingOrder="0" vertical="bottom"/>
    </xf>
    <xf borderId="0" fillId="0" fontId="7" numFmtId="0" xfId="0" applyFont="1"/>
    <xf borderId="0" fillId="0" fontId="6" numFmtId="166" xfId="0" applyAlignment="1" applyFont="1" applyNumberFormat="1">
      <alignment horizontal="right" readingOrder="0" vertical="bottom"/>
    </xf>
    <xf borderId="0" fillId="0" fontId="8" numFmtId="3" xfId="0" applyAlignment="1" applyFont="1" applyNumberFormat="1">
      <alignment readingOrder="0"/>
    </xf>
    <xf borderId="0" fillId="0" fontId="5" numFmtId="3" xfId="0" applyFont="1" applyNumberFormat="1"/>
    <xf borderId="0" fillId="0" fontId="10" numFmtId="0" xfId="0" applyAlignment="1" applyFont="1">
      <alignment readingOrder="0" vertical="bottom"/>
    </xf>
    <xf borderId="0" fillId="0" fontId="6" numFmtId="167" xfId="0" applyAlignment="1" applyFont="1" applyNumberFormat="1">
      <alignment horizontal="right" readingOrder="0" vertical="bottom"/>
    </xf>
    <xf borderId="0" fillId="5" fontId="5" numFmtId="0" xfId="0" applyAlignment="1" applyFill="1" applyFont="1">
      <alignment readingOrder="0"/>
    </xf>
    <xf borderId="0" fillId="5" fontId="5" numFmtId="2" xfId="0" applyAlignment="1" applyFill="1" applyFont="1" applyNumberFormat="1">
      <alignment readingOrder="0"/>
    </xf>
    <xf borderId="0" fillId="0" fontId="5" numFmtId="10" xfId="0" applyFont="1" applyNumberFormat="1"/>
    <xf borderId="0" fillId="0" fontId="5" numFmtId="167" xfId="0" applyFont="1" applyNumberFormat="1"/>
    <xf borderId="0" fillId="0" fontId="5" numFmtId="168" xfId="0" applyFont="1" applyNumberFormat="1"/>
    <xf borderId="0" fillId="0" fontId="11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5" numFmtId="10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/>
    </xf>
    <xf borderId="0" fillId="0" fontId="6" numFmtId="166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4" xfId="0" applyAlignment="1" applyFont="1" applyNumberFormat="1">
      <alignment readingOrder="0"/>
    </xf>
    <xf borderId="0" fillId="8" fontId="4" numFmtId="0" xfId="0" applyAlignment="1" applyFill="1" applyFont="1">
      <alignment readingOrder="0"/>
    </xf>
    <xf borderId="0" fillId="8" fontId="5" numFmtId="164" xfId="0" applyFill="1" applyFont="1" applyNumberFormat="1"/>
    <xf borderId="0" fillId="8" fontId="5" numFmtId="10" xfId="0" applyFill="1" applyFont="1" applyNumberFormat="1"/>
    <xf borderId="0" fillId="0" fontId="5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7" numFmtId="4" xfId="0" applyFont="1" applyNumberFormat="1"/>
    <xf borderId="0" fillId="0" fontId="7" numFmtId="168" xfId="0" applyFont="1" applyNumberFormat="1"/>
    <xf borderId="0" fillId="8" fontId="5" numFmtId="2" xfId="0" applyFill="1" applyFont="1" applyNumberFormat="1"/>
    <xf borderId="0" fillId="8" fontId="5" numFmtId="0" xfId="0" applyFill="1" applyFont="1"/>
    <xf borderId="0" fillId="0" fontId="15" numFmtId="3" xfId="0" applyAlignment="1" applyFont="1" applyNumberFormat="1">
      <alignment readingOrder="0"/>
    </xf>
    <xf borderId="0" fillId="9" fontId="4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168" xfId="0" applyAlignment="1" applyFont="1" applyNumberFormat="1">
      <alignment readingOrder="0" vertical="bottom"/>
    </xf>
    <xf borderId="0" fillId="0" fontId="7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5" fontId="7" numFmtId="0" xfId="0" applyAlignment="1" applyFill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5" numFmtId="167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0" fillId="7" fontId="5" numFmtId="167" xfId="0" applyAlignment="1" applyFill="1" applyFont="1" applyNumberFormat="1">
      <alignment readingOrder="0"/>
    </xf>
    <xf borderId="0" fillId="7" fontId="5" numFmtId="170" xfId="0" applyAlignment="1" applyFill="1" applyFont="1" applyNumberFormat="1">
      <alignment readingOrder="0"/>
    </xf>
    <xf borderId="0" fillId="7" fontId="5" numFmtId="165" xfId="0" applyAlignment="1" applyFill="1" applyFont="1" applyNumberFormat="1">
      <alignment readingOrder="0"/>
    </xf>
    <xf borderId="0" fillId="7" fontId="5" numFmtId="0" xfId="0" applyFill="1" applyFont="1"/>
    <xf borderId="0" fillId="7" fontId="5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2" t="s">
        <v>1</v>
      </c>
      <c r="E1" s="4"/>
      <c r="G1" s="6"/>
      <c r="H1" s="2" t="s">
        <v>9</v>
      </c>
      <c r="L1" s="6"/>
      <c r="M1" s="9" t="s">
        <v>11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/>
      <c r="V1" s="9"/>
      <c r="W1" s="9"/>
      <c r="X1" s="9"/>
      <c r="Y1" s="9"/>
      <c r="Z1" s="9"/>
      <c r="AA1" s="9"/>
      <c r="AB1" s="9"/>
    </row>
    <row r="2">
      <c r="A2" s="4"/>
      <c r="E2" s="4"/>
      <c r="G2" s="6"/>
      <c r="L2" s="6"/>
      <c r="M2" s="12" t="s">
        <v>22</v>
      </c>
      <c r="N2" s="14">
        <v>10966.0</v>
      </c>
      <c r="O2" s="15">
        <f t="shared" ref="O2:O4" si="1">N2/($N$2+$N$3+$N$4)</f>
        <v>0.1998984284</v>
      </c>
      <c r="P2" s="17">
        <v>0.5238</v>
      </c>
      <c r="Q2" s="14">
        <f t="shared" ref="Q2:Q4" si="2">P2*N2</f>
        <v>5743.9908</v>
      </c>
      <c r="R2" s="15">
        <f t="shared" ref="R2:R4" si="3">Q2/(SUM($Q$2+$Q$3+$Q$4))</f>
        <v>0.4098195467</v>
      </c>
      <c r="S2" s="24">
        <f t="shared" ref="S2:S4" si="4">R2*$I$32</f>
        <v>9.31996088</v>
      </c>
      <c r="T2" s="26">
        <f t="shared" ref="T2:T4" si="5">(S2*1000)/N2</f>
        <v>0.8498961226</v>
      </c>
      <c r="U2" s="10"/>
      <c r="V2" s="10"/>
      <c r="W2" s="10"/>
      <c r="X2" s="10"/>
      <c r="Y2" s="10"/>
      <c r="Z2" s="10"/>
    </row>
    <row r="3">
      <c r="A3" s="27" t="s">
        <v>31</v>
      </c>
      <c r="E3" s="4" t="s">
        <v>44</v>
      </c>
      <c r="G3" s="6"/>
      <c r="H3" s="4" t="s">
        <v>46</v>
      </c>
      <c r="L3" s="6"/>
      <c r="M3" s="12" t="s">
        <v>47</v>
      </c>
      <c r="N3" s="14">
        <v>6766.26</v>
      </c>
      <c r="O3" s="15">
        <f t="shared" si="1"/>
        <v>0.1233416688</v>
      </c>
      <c r="P3" s="17">
        <v>0.7726</v>
      </c>
      <c r="Q3" s="28">
        <f t="shared" si="2"/>
        <v>5227.612476</v>
      </c>
      <c r="R3" s="15">
        <f t="shared" si="3"/>
        <v>0.3729772296</v>
      </c>
      <c r="S3" s="24">
        <f t="shared" si="4"/>
        <v>8.482106861</v>
      </c>
      <c r="T3" s="26">
        <f t="shared" si="5"/>
        <v>1.253588668</v>
      </c>
      <c r="U3" s="10"/>
      <c r="V3" s="10"/>
      <c r="W3" s="10"/>
      <c r="X3" s="10"/>
      <c r="Y3" s="10"/>
      <c r="Z3" s="10"/>
    </row>
    <row r="4">
      <c r="B4" s="9" t="s">
        <v>57</v>
      </c>
      <c r="D4" s="7"/>
      <c r="E4" s="12" t="s">
        <v>59</v>
      </c>
      <c r="F4" s="30">
        <v>1502.7</v>
      </c>
      <c r="G4" s="6"/>
      <c r="I4" s="12" t="s">
        <v>63</v>
      </c>
      <c r="J4" s="12">
        <v>47976.0</v>
      </c>
      <c r="L4" s="6"/>
      <c r="M4" s="12" t="s">
        <v>65</v>
      </c>
      <c r="N4" s="14">
        <v>37125.6</v>
      </c>
      <c r="O4" s="15">
        <f t="shared" si="1"/>
        <v>0.6767599028</v>
      </c>
      <c r="P4" s="17">
        <v>0.082</v>
      </c>
      <c r="Q4" s="28">
        <f t="shared" si="2"/>
        <v>3044.2992</v>
      </c>
      <c r="R4" s="15">
        <f t="shared" si="3"/>
        <v>0.2172032236</v>
      </c>
      <c r="S4" s="24">
        <f t="shared" si="4"/>
        <v>4.939553429</v>
      </c>
      <c r="T4" s="26">
        <f t="shared" si="5"/>
        <v>0.1330497939</v>
      </c>
      <c r="U4" s="10"/>
      <c r="V4" s="10"/>
      <c r="W4" s="10"/>
      <c r="X4" s="10"/>
      <c r="Y4" s="10"/>
      <c r="Z4" s="34"/>
    </row>
    <row r="5">
      <c r="B5" s="7" t="s">
        <v>1</v>
      </c>
      <c r="C5" s="35">
        <v>1.4172200170521543</v>
      </c>
      <c r="D5" s="33"/>
      <c r="E5" s="12" t="s">
        <v>21</v>
      </c>
      <c r="F5" s="30">
        <v>1502.7</v>
      </c>
      <c r="G5" s="6"/>
      <c r="I5" s="12" t="s">
        <v>78</v>
      </c>
      <c r="J5" s="13">
        <f>J4/1000</f>
        <v>47.976</v>
      </c>
      <c r="L5" s="6"/>
      <c r="N5" s="36"/>
      <c r="P5" s="17"/>
      <c r="Q5" s="37"/>
      <c r="R5" s="37"/>
      <c r="S5" s="24"/>
      <c r="T5" s="10"/>
      <c r="U5" s="10"/>
      <c r="V5" s="10"/>
      <c r="W5" s="10"/>
      <c r="X5" s="10"/>
      <c r="Y5" s="10"/>
      <c r="Z5" s="34"/>
    </row>
    <row r="6">
      <c r="B6" s="7" t="s">
        <v>9</v>
      </c>
      <c r="C6" s="39">
        <v>0.09439038819643568</v>
      </c>
      <c r="D6" s="33"/>
      <c r="E6" s="12" t="s">
        <v>83</v>
      </c>
      <c r="F6" s="40">
        <v>0.0</v>
      </c>
      <c r="G6" s="6"/>
      <c r="I6" s="12" t="s">
        <v>85</v>
      </c>
      <c r="J6" s="41">
        <v>65.48</v>
      </c>
      <c r="L6" s="6"/>
      <c r="R6" s="42"/>
      <c r="S6" s="13"/>
      <c r="T6" s="43"/>
      <c r="W6" s="10"/>
      <c r="X6" s="10"/>
      <c r="Y6" s="10"/>
      <c r="Z6" s="34"/>
    </row>
    <row r="7">
      <c r="B7" s="7" t="s">
        <v>89</v>
      </c>
      <c r="C7" s="39">
        <v>0.2858908484</v>
      </c>
      <c r="D7" s="7"/>
      <c r="E7" s="12" t="s">
        <v>90</v>
      </c>
      <c r="F7" s="42">
        <f>F5/F4</f>
        <v>1</v>
      </c>
      <c r="G7" s="6"/>
      <c r="I7" s="12" t="s">
        <v>92</v>
      </c>
      <c r="J7" s="13">
        <f>J6*J5</f>
        <v>3141.46848</v>
      </c>
      <c r="L7" s="6"/>
      <c r="Q7" s="37"/>
      <c r="R7" s="37"/>
      <c r="S7" s="44"/>
      <c r="T7" s="42"/>
      <c r="Z7" s="34"/>
    </row>
    <row r="8">
      <c r="D8" s="7"/>
      <c r="E8" s="12" t="s">
        <v>93</v>
      </c>
      <c r="F8" s="42">
        <f>F6/F4</f>
        <v>0</v>
      </c>
      <c r="G8" s="6"/>
      <c r="I8" s="12" t="s">
        <v>95</v>
      </c>
      <c r="J8" s="13">
        <f>J7/1000</f>
        <v>3.14146848</v>
      </c>
      <c r="L8" s="6"/>
      <c r="P8" s="12" t="s">
        <v>94</v>
      </c>
      <c r="T8" s="46"/>
      <c r="U8" s="46"/>
      <c r="V8" s="46"/>
      <c r="Z8" s="34"/>
    </row>
    <row r="9">
      <c r="B9" s="7" t="s">
        <v>96</v>
      </c>
      <c r="C9" s="35">
        <f>SUM(C5:C7)</f>
        <v>1.797501254</v>
      </c>
      <c r="D9" s="7"/>
      <c r="G9" s="6"/>
      <c r="H9" s="4" t="s">
        <v>97</v>
      </c>
      <c r="L9" s="6"/>
      <c r="T9" s="47"/>
      <c r="U9" s="47"/>
      <c r="V9" s="48"/>
      <c r="Z9" s="34"/>
    </row>
    <row r="10">
      <c r="B10" s="12" t="s">
        <v>98</v>
      </c>
      <c r="C10" s="26">
        <f>SUM(C5,C7)</f>
        <v>1.703110865</v>
      </c>
      <c r="D10" s="7"/>
      <c r="E10" s="49" t="s">
        <v>99</v>
      </c>
      <c r="F10" s="13"/>
      <c r="G10" s="6"/>
      <c r="I10" s="12" t="s">
        <v>100</v>
      </c>
      <c r="J10" s="12">
        <v>0.83351</v>
      </c>
      <c r="L10" s="6"/>
      <c r="T10" s="47"/>
      <c r="U10" s="50"/>
      <c r="V10" s="50"/>
      <c r="Z10" s="34"/>
    </row>
    <row r="11">
      <c r="B11" s="33" t="s">
        <v>101</v>
      </c>
      <c r="C11" s="51">
        <f>C9-C10</f>
        <v>0.0943903882</v>
      </c>
      <c r="D11" s="7"/>
      <c r="E11" s="7" t="s">
        <v>102</v>
      </c>
      <c r="F11" s="26">
        <f>Sum(C10,C39,C81,C89)</f>
        <v>14.30290777</v>
      </c>
      <c r="G11" s="6"/>
      <c r="I11" s="12" t="s">
        <v>103</v>
      </c>
      <c r="J11" s="13">
        <f>J10*(F5*(1.01))</f>
        <v>1265.040632</v>
      </c>
      <c r="L11" s="6"/>
      <c r="T11" s="47"/>
      <c r="U11" s="47"/>
      <c r="V11" s="48"/>
      <c r="Z11" s="34"/>
    </row>
    <row r="12">
      <c r="B12" s="33"/>
      <c r="C12" s="52"/>
      <c r="D12" s="7"/>
      <c r="E12" s="7" t="s">
        <v>104</v>
      </c>
      <c r="F12" s="13">
        <f>C62</f>
        <v>35984.81587</v>
      </c>
      <c r="G12" s="6"/>
      <c r="I12" s="12" t="s">
        <v>105</v>
      </c>
      <c r="J12" s="13">
        <f>J11/1000</f>
        <v>1.265040632</v>
      </c>
      <c r="L12" s="6"/>
      <c r="O12" s="53"/>
      <c r="T12" s="47"/>
      <c r="U12" s="47"/>
      <c r="V12" s="48"/>
      <c r="Z12" s="34"/>
    </row>
    <row r="13">
      <c r="B13" s="33" t="s">
        <v>106</v>
      </c>
      <c r="C13" s="52">
        <v>188.2358277</v>
      </c>
      <c r="D13" s="54"/>
      <c r="G13" s="6"/>
      <c r="L13" s="6"/>
      <c r="O13" s="55"/>
      <c r="T13" s="48"/>
      <c r="U13" s="47"/>
      <c r="V13" s="48"/>
    </row>
    <row r="14">
      <c r="B14" s="33" t="s">
        <v>107</v>
      </c>
      <c r="C14" s="56">
        <v>489.6</v>
      </c>
      <c r="D14" s="54"/>
      <c r="G14" s="6"/>
      <c r="L14" s="6"/>
      <c r="M14" s="57"/>
      <c r="T14" s="48"/>
      <c r="U14" s="48"/>
      <c r="V14" s="48"/>
    </row>
    <row r="15">
      <c r="B15" s="33" t="s">
        <v>108</v>
      </c>
      <c r="C15" s="56">
        <v>10240.02902</v>
      </c>
      <c r="D15" s="54"/>
      <c r="G15" s="6"/>
      <c r="L15" s="6"/>
      <c r="M15" s="57"/>
      <c r="T15" s="48"/>
      <c r="U15" s="48"/>
      <c r="V15" s="48"/>
    </row>
    <row r="16">
      <c r="B16" s="33"/>
      <c r="C16" s="52"/>
      <c r="D16" s="7"/>
      <c r="E16" s="33"/>
      <c r="F16" s="11"/>
      <c r="G16" s="6"/>
      <c r="L16" s="6"/>
      <c r="O16" s="58"/>
      <c r="P16" s="58"/>
      <c r="R16" s="10"/>
      <c r="S16" s="58"/>
      <c r="T16" s="28"/>
      <c r="U16" s="44"/>
    </row>
    <row r="17">
      <c r="A17" s="27" t="s">
        <v>109</v>
      </c>
      <c r="G17" s="6"/>
      <c r="H17" s="6"/>
      <c r="I17" s="6"/>
      <c r="J17" s="6"/>
      <c r="L17" s="6"/>
      <c r="N17" s="28"/>
      <c r="O17" s="58"/>
      <c r="P17" s="58"/>
      <c r="Q17" s="28"/>
      <c r="R17" s="10"/>
      <c r="S17" s="58"/>
      <c r="T17" s="28"/>
      <c r="U17" s="44"/>
    </row>
    <row r="18">
      <c r="B18" s="12" t="s">
        <v>110</v>
      </c>
      <c r="C18" s="59">
        <v>8648.53</v>
      </c>
      <c r="G18" s="6"/>
      <c r="H18" s="60" t="s">
        <v>111</v>
      </c>
      <c r="I18" s="61" t="s">
        <v>112</v>
      </c>
      <c r="J18" s="61" t="s">
        <v>113</v>
      </c>
      <c r="K18" s="62"/>
      <c r="L18" s="6"/>
      <c r="M18" s="9"/>
      <c r="N18" s="63"/>
      <c r="O18" s="28"/>
      <c r="P18" s="28"/>
      <c r="S18" s="28"/>
      <c r="T18" s="28"/>
      <c r="U18" s="44"/>
    </row>
    <row r="19">
      <c r="B19" s="12" t="s">
        <v>114</v>
      </c>
      <c r="C19" s="15">
        <v>0.49</v>
      </c>
      <c r="G19" s="6"/>
      <c r="H19" s="64" t="s">
        <v>31</v>
      </c>
      <c r="I19" s="65">
        <f>C9*F7</f>
        <v>1.797501254</v>
      </c>
      <c r="J19" s="66">
        <f t="shared" ref="J19:J29" si="6">I19/$I$32</f>
        <v>0.07904015462</v>
      </c>
      <c r="K19" s="67"/>
      <c r="L19" s="6"/>
      <c r="M19" s="68"/>
      <c r="N19" s="28"/>
      <c r="O19" s="69"/>
      <c r="P19" s="69"/>
      <c r="R19" s="28"/>
      <c r="S19" s="63"/>
      <c r="T19" s="63"/>
      <c r="U19" s="70"/>
      <c r="V19" s="34"/>
    </row>
    <row r="20">
      <c r="B20" s="12" t="s">
        <v>115</v>
      </c>
      <c r="C20" s="12">
        <v>1854.65</v>
      </c>
      <c r="G20" s="6"/>
      <c r="H20" s="64" t="s">
        <v>33</v>
      </c>
      <c r="I20" s="71">
        <f>C27*F7</f>
        <v>14.30157014</v>
      </c>
      <c r="J20" s="66">
        <f t="shared" si="6"/>
        <v>0.6288720595</v>
      </c>
      <c r="K20" s="67"/>
      <c r="L20" s="6"/>
      <c r="M20" s="68"/>
    </row>
    <row r="21">
      <c r="B21" s="12" t="s">
        <v>116</v>
      </c>
      <c r="C21" s="59">
        <v>7702.28</v>
      </c>
      <c r="G21" s="6"/>
      <c r="H21" s="64" t="s">
        <v>34</v>
      </c>
      <c r="I21" s="72">
        <f>C40*F7</f>
        <v>0</v>
      </c>
      <c r="J21" s="66">
        <f t="shared" si="6"/>
        <v>0</v>
      </c>
      <c r="K21" s="67"/>
      <c r="L21" s="6"/>
    </row>
    <row r="22">
      <c r="B22" s="12" t="s">
        <v>117</v>
      </c>
      <c r="C22" s="59">
        <v>2034.78</v>
      </c>
      <c r="G22" s="6"/>
      <c r="H22" s="64" t="s">
        <v>37</v>
      </c>
      <c r="I22" s="71">
        <f>C48*F7</f>
        <v>0.5235355972</v>
      </c>
      <c r="J22" s="66">
        <f t="shared" si="6"/>
        <v>0.02302103237</v>
      </c>
      <c r="K22" s="67"/>
      <c r="L22" s="6"/>
      <c r="M22" s="57"/>
      <c r="N22" s="10"/>
      <c r="Q22" s="37"/>
    </row>
    <row r="23">
      <c r="B23" s="12" t="s">
        <v>118</v>
      </c>
      <c r="C23" s="59">
        <v>3889.65</v>
      </c>
      <c r="G23" s="6"/>
      <c r="H23" s="64" t="s">
        <v>40</v>
      </c>
      <c r="I23" s="71">
        <f>C64*F7</f>
        <v>1.322420393</v>
      </c>
      <c r="J23" s="66">
        <f t="shared" si="6"/>
        <v>0.05814978552</v>
      </c>
      <c r="K23" s="67"/>
      <c r="L23" s="6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B24" s="12" t="s">
        <v>119</v>
      </c>
      <c r="C24" s="15">
        <v>0.0129</v>
      </c>
      <c r="G24" s="6"/>
      <c r="H24" s="64" t="s">
        <v>43</v>
      </c>
      <c r="I24" s="65">
        <f>C69*F7</f>
        <v>0.09265519372</v>
      </c>
      <c r="J24" s="66">
        <f t="shared" si="6"/>
        <v>0.004074256318</v>
      </c>
      <c r="K24" s="67"/>
      <c r="L24" s="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B25" s="12" t="s">
        <v>120</v>
      </c>
      <c r="C25" s="59">
        <f>C23*(1+C24)</f>
        <v>3939.826485</v>
      </c>
      <c r="G25" s="6"/>
      <c r="H25" s="64" t="s">
        <v>45</v>
      </c>
      <c r="I25" s="65">
        <f>C75*F7</f>
        <v>0.01196896416</v>
      </c>
      <c r="J25" s="66">
        <f t="shared" si="6"/>
        <v>0.000526302152</v>
      </c>
      <c r="K25" s="67"/>
      <c r="L25" s="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B26" s="12" t="s">
        <v>121</v>
      </c>
      <c r="C26" s="12">
        <f>'Emission Factors'!E15*1000</f>
        <v>3.63</v>
      </c>
      <c r="G26" s="6"/>
      <c r="H26" s="64" t="s">
        <v>48</v>
      </c>
      <c r="I26" s="65">
        <f>C82*F7</f>
        <v>0.031</v>
      </c>
      <c r="J26" s="66">
        <f t="shared" si="6"/>
        <v>0.001363139407</v>
      </c>
      <c r="K26" s="67"/>
      <c r="L26" s="6"/>
      <c r="N26" s="73"/>
      <c r="Q26" s="37"/>
      <c r="R26" s="37"/>
      <c r="S26" s="44"/>
      <c r="T26" s="42"/>
      <c r="U26" s="37"/>
      <c r="V26" s="44"/>
      <c r="W26" s="37"/>
      <c r="X26" s="44"/>
      <c r="Y26" s="10"/>
    </row>
    <row r="27">
      <c r="B27" s="12" t="s">
        <v>122</v>
      </c>
      <c r="C27" s="13">
        <f>(C25*C26)/1000</f>
        <v>14.30157014</v>
      </c>
      <c r="G27" s="6"/>
      <c r="H27" s="64" t="s">
        <v>52</v>
      </c>
      <c r="I27" s="71">
        <f>C90*F7</f>
        <v>0.2544605157</v>
      </c>
      <c r="J27" s="66">
        <f t="shared" si="6"/>
        <v>0.0111891986</v>
      </c>
      <c r="K27" s="67"/>
      <c r="L27" s="6"/>
      <c r="N27" s="73"/>
      <c r="Q27" s="37"/>
      <c r="R27" s="37"/>
      <c r="S27" s="44"/>
      <c r="T27" s="42"/>
      <c r="U27" s="37"/>
      <c r="V27" s="44"/>
      <c r="W27" s="37"/>
      <c r="X27" s="44"/>
      <c r="Y27" s="10"/>
    </row>
    <row r="28">
      <c r="G28" s="6"/>
      <c r="H28" s="64" t="s">
        <v>55</v>
      </c>
      <c r="I28" s="71">
        <f>J8*F7</f>
        <v>3.14146848</v>
      </c>
      <c r="J28" s="66">
        <f t="shared" si="6"/>
        <v>0.1381374026</v>
      </c>
      <c r="K28" s="67"/>
      <c r="L28" s="6"/>
      <c r="N28" s="73"/>
      <c r="Q28" s="37"/>
      <c r="R28" s="37"/>
      <c r="S28" s="44"/>
      <c r="T28" s="42"/>
      <c r="U28" s="37"/>
      <c r="V28" s="44"/>
      <c r="W28" s="37"/>
      <c r="X28" s="44"/>
      <c r="Y28" s="10"/>
    </row>
    <row r="29">
      <c r="A29" s="74" t="s">
        <v>123</v>
      </c>
      <c r="D29" s="10"/>
      <c r="G29" s="6"/>
      <c r="H29" s="64" t="s">
        <v>56</v>
      </c>
      <c r="I29" s="71">
        <f>J12*F7</f>
        <v>1.265040632</v>
      </c>
      <c r="J29" s="66">
        <f t="shared" si="6"/>
        <v>0.05562666893</v>
      </c>
      <c r="K29" s="67"/>
      <c r="L29" s="6"/>
      <c r="N29" s="73"/>
      <c r="Q29" s="37"/>
      <c r="R29" s="37"/>
      <c r="S29" s="44"/>
      <c r="T29" s="42"/>
      <c r="U29" s="37"/>
      <c r="V29" s="44"/>
      <c r="W29" s="37"/>
      <c r="X29" s="44"/>
      <c r="Y29" s="10"/>
    </row>
    <row r="30">
      <c r="B30" s="75" t="s">
        <v>124</v>
      </c>
      <c r="C30" s="76" t="s">
        <v>125</v>
      </c>
      <c r="G30" s="6"/>
      <c r="H30" s="64"/>
      <c r="I30" s="72"/>
      <c r="J30" s="66"/>
      <c r="K30" s="67"/>
      <c r="L30" s="6"/>
      <c r="N30" s="73"/>
      <c r="P30" s="15"/>
      <c r="Q30" s="37"/>
      <c r="R30" s="37"/>
      <c r="S30" s="44"/>
      <c r="T30" s="42"/>
      <c r="U30" s="37"/>
      <c r="V30" s="44"/>
      <c r="W30" s="37"/>
      <c r="X30" s="44"/>
      <c r="Y30" s="10"/>
    </row>
    <row r="31">
      <c r="B31" s="75" t="s">
        <v>126</v>
      </c>
      <c r="C31" s="77">
        <v>983.0</v>
      </c>
      <c r="D31" s="31"/>
      <c r="G31" s="6"/>
      <c r="H31" s="72"/>
      <c r="I31" s="72"/>
      <c r="J31" s="66"/>
      <c r="K31" s="67"/>
      <c r="L31" s="6"/>
      <c r="N31" s="73"/>
      <c r="P31" s="15"/>
      <c r="Q31" s="37"/>
      <c r="R31" s="37"/>
      <c r="S31" s="44"/>
      <c r="T31" s="42"/>
      <c r="U31" s="37"/>
      <c r="V31" s="44"/>
      <c r="W31" s="37"/>
      <c r="X31" s="44"/>
      <c r="Y31" s="10"/>
    </row>
    <row r="32">
      <c r="B32" s="75" t="s">
        <v>127</v>
      </c>
      <c r="C32" s="76" t="s">
        <v>128</v>
      </c>
      <c r="D32" s="24"/>
      <c r="G32" s="6"/>
      <c r="H32" s="64" t="s">
        <v>129</v>
      </c>
      <c r="I32" s="65">
        <f>SUM(I19:I30)</f>
        <v>22.74162117</v>
      </c>
      <c r="J32" s="66"/>
      <c r="K32" s="67"/>
      <c r="L32" s="6"/>
      <c r="M32" s="9"/>
      <c r="N32" s="34"/>
      <c r="O32" s="34"/>
      <c r="P32" s="34"/>
      <c r="Q32" s="34"/>
      <c r="R32" s="34"/>
      <c r="S32" s="70"/>
      <c r="T32" s="34"/>
      <c r="U32" s="78"/>
      <c r="V32" s="34"/>
      <c r="W32" s="78"/>
      <c r="X32" s="34"/>
      <c r="Y32" s="34"/>
      <c r="Z32" s="34"/>
      <c r="AA32" s="34"/>
      <c r="AB32" s="34"/>
    </row>
    <row r="33">
      <c r="B33" s="75" t="s">
        <v>130</v>
      </c>
      <c r="C33" s="76" t="s">
        <v>131</v>
      </c>
      <c r="G33" s="6"/>
      <c r="L33" s="6"/>
      <c r="N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B34" s="75" t="s">
        <v>132</v>
      </c>
      <c r="C34" s="79">
        <v>3162.56</v>
      </c>
      <c r="G34" s="6"/>
      <c r="L34" s="6"/>
      <c r="N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B35" s="33" t="s">
        <v>119</v>
      </c>
      <c r="C35" s="80">
        <v>0.0129</v>
      </c>
      <c r="G35" s="6"/>
      <c r="K35" s="67"/>
      <c r="L35" s="6"/>
      <c r="N35" s="59"/>
      <c r="O35" s="58"/>
      <c r="R35" s="28"/>
    </row>
    <row r="36">
      <c r="B36" s="33" t="s">
        <v>120</v>
      </c>
      <c r="C36" s="79">
        <f>C34*(1+C35)</f>
        <v>3203.357024</v>
      </c>
      <c r="G36" s="6"/>
      <c r="H36" s="4"/>
      <c r="K36" s="67"/>
      <c r="L36" s="6"/>
      <c r="N36" s="59"/>
      <c r="O36" s="58"/>
      <c r="R36" s="28"/>
    </row>
    <row r="37">
      <c r="B37" s="12" t="s">
        <v>133</v>
      </c>
      <c r="C37" s="12">
        <f>'Emission Factors'!E14*1000</f>
        <v>3.87</v>
      </c>
      <c r="G37" s="6"/>
      <c r="H37" s="4"/>
      <c r="K37" s="67"/>
      <c r="L37" s="6"/>
      <c r="N37" s="59"/>
      <c r="O37" s="58"/>
      <c r="R37" s="28"/>
    </row>
    <row r="38">
      <c r="B38" s="12" t="s">
        <v>134</v>
      </c>
      <c r="C38" s="13">
        <f>(C37*C36)/1000</f>
        <v>12.39699168</v>
      </c>
      <c r="D38" s="10"/>
      <c r="G38" s="6"/>
      <c r="L38" s="6"/>
      <c r="N38" s="28"/>
      <c r="O38" s="58"/>
    </row>
    <row r="39">
      <c r="B39" s="33" t="s">
        <v>135</v>
      </c>
      <c r="C39" s="13">
        <f>C38</f>
        <v>12.39699168</v>
      </c>
      <c r="G39" s="6"/>
      <c r="L39" s="6"/>
      <c r="M39" s="9"/>
      <c r="N39" s="63"/>
    </row>
    <row r="40">
      <c r="B40" s="33" t="s">
        <v>136</v>
      </c>
      <c r="C40" s="13">
        <f>C38-C39</f>
        <v>0</v>
      </c>
      <c r="G40" s="6"/>
      <c r="L40" s="6"/>
      <c r="M40" s="9"/>
      <c r="N40" s="63"/>
    </row>
    <row r="41">
      <c r="G41" s="6"/>
      <c r="H41" s="81"/>
      <c r="I41" s="9"/>
      <c r="L41" s="6"/>
    </row>
    <row r="42">
      <c r="A42" s="27" t="s">
        <v>137</v>
      </c>
      <c r="G42" s="6"/>
      <c r="H42" s="4"/>
      <c r="L42" s="6"/>
    </row>
    <row r="43">
      <c r="B43" s="12" t="s">
        <v>138</v>
      </c>
      <c r="C43" s="59">
        <v>50.012</v>
      </c>
      <c r="G43" s="6"/>
      <c r="H43" s="4"/>
      <c r="J43" s="82"/>
      <c r="L43" s="6"/>
    </row>
    <row r="44">
      <c r="B44" s="12" t="s">
        <v>139</v>
      </c>
      <c r="C44" s="59">
        <v>138.2</v>
      </c>
      <c r="G44" s="6"/>
      <c r="H44" s="4"/>
      <c r="J44" s="82"/>
      <c r="L44" s="6"/>
    </row>
    <row r="45">
      <c r="B45" s="12" t="s">
        <v>119</v>
      </c>
      <c r="C45" s="15">
        <v>0.0129</v>
      </c>
      <c r="G45" s="6"/>
      <c r="H45" s="4"/>
      <c r="L45" s="6"/>
    </row>
    <row r="46">
      <c r="B46" s="12" t="s">
        <v>120</v>
      </c>
      <c r="C46" s="59">
        <f>C44*(1+C45)</f>
        <v>139.98278</v>
      </c>
      <c r="G46" s="6"/>
      <c r="H46" s="4"/>
      <c r="J46" s="82"/>
      <c r="L46" s="6"/>
    </row>
    <row r="47">
      <c r="B47" s="12" t="s">
        <v>140</v>
      </c>
      <c r="C47" s="12">
        <f>'Emission Factors'!E16*1000</f>
        <v>3.74</v>
      </c>
      <c r="G47" s="6"/>
      <c r="H47" s="4"/>
      <c r="J47" s="83"/>
      <c r="L47" s="6"/>
    </row>
    <row r="48">
      <c r="B48" s="12" t="s">
        <v>141</v>
      </c>
      <c r="C48" s="13">
        <f>(C47*C46)/1000</f>
        <v>0.5235355972</v>
      </c>
      <c r="G48" s="6"/>
      <c r="H48" s="4"/>
      <c r="J48" s="82"/>
      <c r="L48" s="6"/>
    </row>
    <row r="49">
      <c r="D49" s="10"/>
      <c r="G49" s="6"/>
      <c r="H49" s="4"/>
      <c r="J49" s="82"/>
      <c r="L49" s="6"/>
    </row>
    <row r="50">
      <c r="A50" s="27" t="s">
        <v>142</v>
      </c>
      <c r="G50" s="6"/>
      <c r="H50" s="4"/>
      <c r="J50" s="82"/>
      <c r="L50" s="6"/>
    </row>
    <row r="51">
      <c r="B51" s="54" t="s">
        <v>143</v>
      </c>
      <c r="C51" s="84">
        <v>43436.6</v>
      </c>
      <c r="G51" s="6"/>
      <c r="H51" s="4"/>
      <c r="J51" s="82"/>
      <c r="L51" s="6"/>
    </row>
    <row r="52">
      <c r="B52" s="54" t="s">
        <v>144</v>
      </c>
      <c r="C52" s="85">
        <v>0.02</v>
      </c>
      <c r="G52" s="6"/>
      <c r="H52" s="4"/>
      <c r="J52" s="82"/>
      <c r="L52" s="6"/>
    </row>
    <row r="53">
      <c r="B53" s="54" t="s">
        <v>145</v>
      </c>
      <c r="C53" s="86">
        <f>C51*(1+C52)</f>
        <v>44305.332</v>
      </c>
      <c r="G53" s="6"/>
      <c r="H53" s="4"/>
      <c r="J53" s="82"/>
      <c r="L53" s="6"/>
    </row>
    <row r="54">
      <c r="B54" s="54" t="s">
        <v>146</v>
      </c>
      <c r="C54" s="87">
        <v>9212.0</v>
      </c>
      <c r="G54" s="6"/>
      <c r="H54" s="4"/>
      <c r="J54" s="82"/>
      <c r="L54" s="6"/>
    </row>
    <row r="55">
      <c r="B55" s="54" t="s">
        <v>147</v>
      </c>
      <c r="C55" s="87">
        <v>31.0</v>
      </c>
      <c r="G55" s="6"/>
      <c r="J55" s="81"/>
      <c r="L55" s="6"/>
    </row>
    <row r="56">
      <c r="B56" s="54" t="s">
        <v>148</v>
      </c>
      <c r="C56" s="86">
        <f>C54/C55</f>
        <v>297.1612903</v>
      </c>
      <c r="G56" s="6"/>
      <c r="H56" s="4"/>
      <c r="J56" s="81"/>
      <c r="L56" s="6"/>
    </row>
    <row r="57">
      <c r="B57" s="33" t="s">
        <v>149</v>
      </c>
      <c r="C57" s="8">
        <v>28.0</v>
      </c>
      <c r="G57" s="6"/>
      <c r="L57" s="6"/>
    </row>
    <row r="58">
      <c r="B58" s="54" t="s">
        <v>150</v>
      </c>
      <c r="C58" s="86">
        <f>(C56*C57)</f>
        <v>8320.516129</v>
      </c>
      <c r="G58" s="6"/>
      <c r="L58" s="6"/>
    </row>
    <row r="59">
      <c r="B59" s="54" t="s">
        <v>151</v>
      </c>
      <c r="C59" s="86">
        <f>C53-C58</f>
        <v>35984.81587</v>
      </c>
      <c r="G59" s="6"/>
      <c r="L59" s="6"/>
    </row>
    <row r="60">
      <c r="B60" s="12" t="s">
        <v>152</v>
      </c>
      <c r="C60" s="88">
        <f>'Emission Factors'!E10*1000</f>
        <v>0.5249006883</v>
      </c>
      <c r="G60" s="6"/>
      <c r="I60" s="15"/>
      <c r="L60" s="6"/>
    </row>
    <row r="61">
      <c r="B61" s="12" t="s">
        <v>153</v>
      </c>
      <c r="C61" s="13">
        <f>(C60*C59)/1000</f>
        <v>18.88845462</v>
      </c>
      <c r="G61" s="6"/>
      <c r="L61" s="6"/>
    </row>
    <row r="62">
      <c r="B62" s="12" t="s">
        <v>154</v>
      </c>
      <c r="C62" s="13">
        <f>C59</f>
        <v>35984.81587</v>
      </c>
      <c r="G62" s="6"/>
      <c r="L62" s="6"/>
    </row>
    <row r="63">
      <c r="B63" s="12" t="s">
        <v>155</v>
      </c>
      <c r="C63" s="89">
        <f>'Emission Factors'!E11*1000</f>
        <v>0.03674940003</v>
      </c>
      <c r="G63" s="6"/>
      <c r="L63" s="6"/>
    </row>
    <row r="64">
      <c r="B64" s="12" t="s">
        <v>136</v>
      </c>
      <c r="C64" s="13">
        <f>(C63*C62)/1000</f>
        <v>1.322420393</v>
      </c>
      <c r="G64" s="6"/>
      <c r="L64" s="6"/>
    </row>
    <row r="65">
      <c r="G65" s="6"/>
      <c r="L65" s="6"/>
    </row>
    <row r="66">
      <c r="A66" s="27" t="s">
        <v>156</v>
      </c>
      <c r="G66" s="6"/>
      <c r="L66" s="6"/>
    </row>
    <row r="67">
      <c r="B67" s="12" t="s">
        <v>157</v>
      </c>
      <c r="C67" s="12">
        <v>47976.0</v>
      </c>
      <c r="G67" s="6"/>
      <c r="L67" s="6"/>
    </row>
    <row r="68">
      <c r="B68" s="12" t="s">
        <v>158</v>
      </c>
      <c r="C68" s="12">
        <v>1.931282177E-6</v>
      </c>
      <c r="G68" s="6"/>
      <c r="L68" s="6"/>
    </row>
    <row r="69">
      <c r="B69" s="12" t="s">
        <v>159</v>
      </c>
      <c r="C69" s="90">
        <f>C68*C67</f>
        <v>0.09265519372</v>
      </c>
      <c r="G69" s="6"/>
      <c r="L69" s="6"/>
    </row>
    <row r="70">
      <c r="G70" s="6"/>
      <c r="L70" s="6"/>
    </row>
    <row r="71">
      <c r="A71" s="27" t="s">
        <v>160</v>
      </c>
      <c r="G71" s="6"/>
      <c r="L71" s="6"/>
    </row>
    <row r="72">
      <c r="B72" s="54" t="s">
        <v>161</v>
      </c>
      <c r="C72" s="59">
        <v>6873.62</v>
      </c>
      <c r="G72" s="6"/>
      <c r="L72" s="6"/>
    </row>
    <row r="73">
      <c r="B73" s="54" t="s">
        <v>162</v>
      </c>
      <c r="C73" s="59">
        <v>26051.02</v>
      </c>
      <c r="G73" s="6"/>
      <c r="L73" s="6"/>
    </row>
    <row r="74">
      <c r="B74" s="12" t="s">
        <v>163</v>
      </c>
      <c r="C74" s="91">
        <f>'Emission Factors'!E17*1000</f>
        <v>0.001741289766</v>
      </c>
      <c r="G74" s="6"/>
      <c r="L74" s="6"/>
    </row>
    <row r="75">
      <c r="B75" s="12" t="s">
        <v>164</v>
      </c>
      <c r="C75" s="92">
        <f>(C74*C72)/1000</f>
        <v>0.01196896416</v>
      </c>
      <c r="D75" s="93"/>
      <c r="G75" s="6"/>
      <c r="L75" s="6"/>
    </row>
    <row r="76">
      <c r="D76" s="94"/>
      <c r="G76" s="6"/>
      <c r="L76" s="6"/>
    </row>
    <row r="77">
      <c r="A77" s="27" t="s">
        <v>165</v>
      </c>
      <c r="C77" s="93"/>
      <c r="D77" s="93"/>
      <c r="G77" s="6"/>
      <c r="L77" s="6"/>
    </row>
    <row r="78">
      <c r="B78" s="33" t="s">
        <v>166</v>
      </c>
      <c r="C78" s="39">
        <v>0.037</v>
      </c>
      <c r="D78" s="93"/>
      <c r="G78" s="6"/>
      <c r="L78" s="6"/>
    </row>
    <row r="79">
      <c r="B79" s="33" t="s">
        <v>167</v>
      </c>
      <c r="C79" s="39">
        <v>0.031</v>
      </c>
      <c r="D79" s="93"/>
      <c r="G79" s="6"/>
      <c r="L79" s="6"/>
    </row>
    <row r="80">
      <c r="B80" s="33" t="s">
        <v>96</v>
      </c>
      <c r="C80" s="39">
        <v>0.068</v>
      </c>
      <c r="G80" s="6"/>
      <c r="L80" s="6"/>
    </row>
    <row r="81">
      <c r="B81" s="33" t="s">
        <v>135</v>
      </c>
      <c r="C81" s="35">
        <f>C78</f>
        <v>0.037</v>
      </c>
      <c r="G81" s="6"/>
      <c r="L81" s="6"/>
    </row>
    <row r="82">
      <c r="B82" s="33" t="s">
        <v>136</v>
      </c>
      <c r="C82" s="35">
        <f>C80-C78</f>
        <v>0.031</v>
      </c>
      <c r="G82" s="6"/>
      <c r="L82" s="6"/>
    </row>
    <row r="83">
      <c r="A83" s="74" t="s">
        <v>168</v>
      </c>
      <c r="G83" s="6"/>
      <c r="L83" s="6"/>
    </row>
    <row r="84">
      <c r="A84" s="4"/>
      <c r="B84" s="33" t="s">
        <v>169</v>
      </c>
      <c r="C84" s="39">
        <v>0.1658052233</v>
      </c>
      <c r="G84" s="6"/>
      <c r="L84" s="6"/>
    </row>
    <row r="85">
      <c r="B85" s="33" t="s">
        <v>170</v>
      </c>
      <c r="C85" s="39">
        <v>0.0123181057</v>
      </c>
      <c r="G85" s="6"/>
      <c r="L85" s="6"/>
    </row>
    <row r="86">
      <c r="B86" s="33" t="s">
        <v>171</v>
      </c>
      <c r="C86" s="39">
        <v>0.24214241</v>
      </c>
      <c r="G86" s="6"/>
      <c r="L86" s="6"/>
    </row>
    <row r="87">
      <c r="B87" s="12"/>
      <c r="C87" s="21"/>
      <c r="G87" s="6"/>
      <c r="L87" s="6"/>
    </row>
    <row r="88">
      <c r="B88" s="12" t="s">
        <v>96</v>
      </c>
      <c r="C88" s="88">
        <f>SUM(C84,C85,C86)</f>
        <v>0.420265739</v>
      </c>
      <c r="G88" s="6"/>
      <c r="L88" s="6"/>
    </row>
    <row r="89">
      <c r="B89" s="33" t="s">
        <v>135</v>
      </c>
      <c r="C89" s="43">
        <f>C84</f>
        <v>0.1658052233</v>
      </c>
      <c r="G89" s="6"/>
      <c r="L89" s="6"/>
    </row>
    <row r="90">
      <c r="B90" s="33" t="s">
        <v>136</v>
      </c>
      <c r="C90" s="43">
        <f>C88-C89</f>
        <v>0.2544605157</v>
      </c>
      <c r="G90" s="6"/>
      <c r="L90" s="6"/>
    </row>
    <row r="91">
      <c r="G91" s="6"/>
      <c r="L91" s="6"/>
    </row>
    <row r="92">
      <c r="G92" s="6"/>
      <c r="L92" s="6"/>
    </row>
    <row r="93">
      <c r="G93" s="6"/>
      <c r="L93" s="6"/>
    </row>
    <row r="94">
      <c r="G94" s="6"/>
      <c r="L94" s="6"/>
    </row>
    <row r="95">
      <c r="G95" s="6"/>
      <c r="L95" s="6"/>
    </row>
    <row r="96">
      <c r="G96" s="6"/>
      <c r="L96" s="6"/>
    </row>
    <row r="97">
      <c r="G97" s="6"/>
      <c r="L97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1" t="s">
        <v>0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>
      <c r="A3" s="7" t="s">
        <v>8</v>
      </c>
      <c r="B3" s="7" t="s">
        <v>10</v>
      </c>
      <c r="C3" s="8">
        <v>1.35156E-4</v>
      </c>
      <c r="D3" s="7" t="s">
        <v>12</v>
      </c>
      <c r="E3" s="11">
        <f t="shared" ref="E3:E6" si="1">C3</f>
        <v>0.000135156</v>
      </c>
      <c r="F3" s="22" t="s">
        <v>20</v>
      </c>
    </row>
    <row r="4">
      <c r="A4" s="7" t="s">
        <v>32</v>
      </c>
      <c r="B4" s="7" t="s">
        <v>10</v>
      </c>
      <c r="C4" s="8">
        <v>1.1263E-4</v>
      </c>
      <c r="D4" s="7" t="s">
        <v>12</v>
      </c>
      <c r="E4" s="11">
        <f t="shared" si="1"/>
        <v>0.00011263</v>
      </c>
      <c r="F4" s="22" t="s">
        <v>20</v>
      </c>
    </row>
    <row r="5">
      <c r="A5" s="7" t="s">
        <v>35</v>
      </c>
      <c r="B5" s="7" t="s">
        <v>36</v>
      </c>
      <c r="C5" s="8">
        <v>7.879952768E-5</v>
      </c>
      <c r="D5" s="7" t="s">
        <v>12</v>
      </c>
      <c r="E5" s="11">
        <f t="shared" si="1"/>
        <v>0.00007879952768</v>
      </c>
      <c r="F5" s="12" t="s">
        <v>38</v>
      </c>
    </row>
    <row r="6">
      <c r="A6" s="7" t="s">
        <v>39</v>
      </c>
      <c r="B6" s="7" t="s">
        <v>36</v>
      </c>
      <c r="C6" s="8">
        <v>6.44927E-5</v>
      </c>
      <c r="D6" s="7" t="s">
        <v>12</v>
      </c>
      <c r="E6" s="11">
        <f t="shared" si="1"/>
        <v>0.0000644927</v>
      </c>
      <c r="F6" s="12" t="s">
        <v>38</v>
      </c>
    </row>
    <row r="7">
      <c r="A7" s="7" t="s">
        <v>41</v>
      </c>
      <c r="B7" s="7" t="s">
        <v>42</v>
      </c>
      <c r="C7" s="8">
        <v>0.89272</v>
      </c>
      <c r="D7" s="11">
        <v>0.001200260388</v>
      </c>
      <c r="E7" s="11">
        <f>D7+C7</f>
        <v>0.8939202604</v>
      </c>
      <c r="F7" s="12" t="s">
        <v>49</v>
      </c>
    </row>
    <row r="8">
      <c r="A8" s="7" t="s">
        <v>50</v>
      </c>
      <c r="B8" s="7" t="s">
        <v>51</v>
      </c>
      <c r="C8" s="8">
        <v>5.108934662E-4</v>
      </c>
      <c r="D8" s="7" t="s">
        <v>12</v>
      </c>
      <c r="E8" s="11">
        <f t="shared" ref="E8:E17" si="2">C8</f>
        <v>0.0005108934662</v>
      </c>
      <c r="F8" s="12" t="s">
        <v>53</v>
      </c>
    </row>
    <row r="9">
      <c r="A9" s="7" t="s">
        <v>54</v>
      </c>
      <c r="B9" s="7" t="s">
        <v>51</v>
      </c>
      <c r="C9" s="8">
        <f>0.01004415071/1000</f>
        <v>0.00001004415071</v>
      </c>
      <c r="D9" s="7" t="s">
        <v>12</v>
      </c>
      <c r="E9" s="11">
        <f t="shared" si="2"/>
        <v>0.00001004415071</v>
      </c>
      <c r="F9" s="12" t="s">
        <v>53</v>
      </c>
    </row>
    <row r="10">
      <c r="A10" s="7" t="s">
        <v>60</v>
      </c>
      <c r="B10" s="7" t="s">
        <v>51</v>
      </c>
      <c r="C10" s="8">
        <v>5.249006883E-4</v>
      </c>
      <c r="D10" s="7" t="s">
        <v>12</v>
      </c>
      <c r="E10" s="11">
        <f t="shared" si="2"/>
        <v>0.0005249006883</v>
      </c>
      <c r="F10" s="12" t="s">
        <v>53</v>
      </c>
    </row>
    <row r="11">
      <c r="A11" s="7" t="s">
        <v>64</v>
      </c>
      <c r="B11" s="7" t="s">
        <v>51</v>
      </c>
      <c r="C11" s="8">
        <f>0.03674940003/1000</f>
        <v>0.00003674940003</v>
      </c>
      <c r="D11" s="7" t="s">
        <v>12</v>
      </c>
      <c r="E11" s="11">
        <f t="shared" si="2"/>
        <v>0.00003674940003</v>
      </c>
      <c r="F11" s="12" t="s">
        <v>53</v>
      </c>
    </row>
    <row r="12">
      <c r="A12" s="7" t="s">
        <v>67</v>
      </c>
      <c r="B12" s="7" t="s">
        <v>69</v>
      </c>
      <c r="C12" s="8">
        <v>1.034335159E-4</v>
      </c>
      <c r="D12" s="7" t="s">
        <v>12</v>
      </c>
      <c r="E12" s="11">
        <f t="shared" si="2"/>
        <v>0.0001034335159</v>
      </c>
      <c r="F12" s="33" t="s">
        <v>71</v>
      </c>
    </row>
    <row r="13">
      <c r="A13" s="7" t="s">
        <v>73</v>
      </c>
      <c r="B13" s="7" t="s">
        <v>74</v>
      </c>
      <c r="C13" s="8">
        <v>0.001518790827</v>
      </c>
      <c r="D13" s="7" t="s">
        <v>12</v>
      </c>
      <c r="E13" s="11">
        <f t="shared" si="2"/>
        <v>0.001518790827</v>
      </c>
      <c r="F13" s="38" t="s">
        <v>76</v>
      </c>
    </row>
    <row r="14">
      <c r="A14" s="7" t="s">
        <v>81</v>
      </c>
      <c r="B14" s="7" t="s">
        <v>82</v>
      </c>
      <c r="C14" s="8">
        <v>0.00387</v>
      </c>
      <c r="D14" s="7" t="s">
        <v>12</v>
      </c>
      <c r="E14" s="11">
        <f t="shared" si="2"/>
        <v>0.00387</v>
      </c>
      <c r="F14" s="22" t="s">
        <v>20</v>
      </c>
    </row>
    <row r="15">
      <c r="A15" s="7" t="s">
        <v>84</v>
      </c>
      <c r="B15" s="7" t="s">
        <v>82</v>
      </c>
      <c r="C15" s="8">
        <v>0.00363</v>
      </c>
      <c r="D15" s="7" t="s">
        <v>12</v>
      </c>
      <c r="E15" s="11">
        <f t="shared" si="2"/>
        <v>0.00363</v>
      </c>
      <c r="F15" s="22" t="s">
        <v>20</v>
      </c>
    </row>
    <row r="16">
      <c r="A16" s="7" t="s">
        <v>86</v>
      </c>
      <c r="B16" s="7" t="s">
        <v>82</v>
      </c>
      <c r="C16" s="8">
        <v>0.00374</v>
      </c>
      <c r="D16" s="7" t="s">
        <v>12</v>
      </c>
      <c r="E16" s="11">
        <f t="shared" si="2"/>
        <v>0.00374</v>
      </c>
      <c r="F16" s="22" t="s">
        <v>20</v>
      </c>
    </row>
    <row r="17">
      <c r="A17" s="7" t="s">
        <v>87</v>
      </c>
      <c r="B17" s="7" t="s">
        <v>88</v>
      </c>
      <c r="C17" s="8">
        <v>1.741289766E-6</v>
      </c>
      <c r="D17" s="7" t="s">
        <v>12</v>
      </c>
      <c r="E17" s="11">
        <f t="shared" si="2"/>
        <v>0.000001741289766</v>
      </c>
      <c r="F17" s="45" t="s">
        <v>91</v>
      </c>
    </row>
    <row r="21">
      <c r="D21" s="12" t="s">
        <v>94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5" t="str">
        <f>'Feb 26 PP Summary'!E5</f>
        <v>Production Operating Hours</v>
      </c>
      <c r="C2" s="10">
        <f>'Feb 26 PP Summary'!F5</f>
        <v>1502.7</v>
      </c>
    </row>
    <row r="3">
      <c r="B3" s="5" t="str">
        <f>'Feb 26 PP Summary'!I5</f>
        <v>Total Biomass Consumed (MT)</v>
      </c>
      <c r="C3" s="13">
        <f>'Feb 26 PP Summary'!J5</f>
        <v>47.976</v>
      </c>
    </row>
    <row r="4">
      <c r="B4" s="5" t="str">
        <f t="shared" ref="B4:C4" si="1">#REF!</f>
        <v>#REF!</v>
      </c>
      <c r="C4" s="5" t="str">
        <f t="shared" si="1"/>
        <v>#REF!</v>
      </c>
    </row>
    <row r="5">
      <c r="A5" s="12" t="s">
        <v>23</v>
      </c>
      <c r="B5" s="5" t="str">
        <f>'Feb 26 PP Summary'!B25</f>
        <v>Uncertainty Adjusted Total</v>
      </c>
      <c r="C5" s="13">
        <f>'Feb 26 PP Summary'!C25</f>
        <v>3939.826485</v>
      </c>
    </row>
    <row r="6">
      <c r="A6" s="12" t="s">
        <v>24</v>
      </c>
      <c r="B6" s="5" t="str">
        <f>'Feb 26 PP Summary'!B36</f>
        <v>Uncertainty Adjusted Total</v>
      </c>
      <c r="C6" s="13">
        <f>'Feb 26 PP Summary'!C36</f>
        <v>3203.357024</v>
      </c>
    </row>
    <row r="7">
      <c r="A7" s="12" t="s">
        <v>26</v>
      </c>
      <c r="B7" s="5" t="str">
        <f>'Feb 26 PP Summary'!B46</f>
        <v>Uncertainty Adjusted Total</v>
      </c>
    </row>
    <row r="10">
      <c r="B10" s="5" t="str">
        <f>'Feb 26 PP Summary'!H19</f>
        <v>Biomass Transport</v>
      </c>
      <c r="C10" s="21">
        <f>'Feb 26 PP Summary'!I19</f>
        <v>1.797501254</v>
      </c>
    </row>
    <row r="11">
      <c r="B11" s="5" t="str">
        <f>'Feb 26 PP Summary'!H20</f>
        <v>Propane</v>
      </c>
      <c r="C11" s="13">
        <f>'Feb 26 PP Summary'!I20</f>
        <v>14.30157014</v>
      </c>
    </row>
    <row r="12">
      <c r="B12" s="5" t="str">
        <f>'Feb 26 PP Summary'!H21</f>
        <v>Diesel</v>
      </c>
      <c r="C12" s="5">
        <f>'Feb 26 PP Summary'!I21</f>
        <v>0</v>
      </c>
    </row>
    <row r="13">
      <c r="B13" s="5" t="str">
        <f>'Feb 26 PP Summary'!H22</f>
        <v>Gasoline</v>
      </c>
      <c r="C13" s="13">
        <f>'Feb 26 PP Summary'!I22</f>
        <v>0.5235355972</v>
      </c>
    </row>
    <row r="14">
      <c r="B14" s="5" t="str">
        <f>'Feb 26 PP Summary'!H23</f>
        <v>Electricity</v>
      </c>
      <c r="C14" s="13">
        <f>'Feb 26 PP Summary'!I23</f>
        <v>1.322420393</v>
      </c>
    </row>
    <row r="15">
      <c r="B15" s="5" t="str">
        <f>'Feb 26 PP Summary'!H24</f>
        <v>Tailgas</v>
      </c>
      <c r="C15" s="21">
        <f>'Feb 26 PP Summary'!I24</f>
        <v>0.09265519372</v>
      </c>
    </row>
    <row r="16">
      <c r="B16" s="5" t="str">
        <f>'Feb 26 PP Summary'!H25</f>
        <v>Water</v>
      </c>
      <c r="C16" s="21">
        <f>'Feb 26 PP Summary'!I25</f>
        <v>0.01196896416</v>
      </c>
    </row>
    <row r="17">
      <c r="B17" s="5" t="str">
        <f>'Feb 26 PP Summary'!H26</f>
        <v>Consumables Delivery</v>
      </c>
      <c r="C17" s="21">
        <f>'Feb 26 PP Summary'!I26</f>
        <v>0.031</v>
      </c>
    </row>
    <row r="18">
      <c r="B18" s="5" t="str">
        <f>'Feb 26 PP Summary'!H27</f>
        <v>Waste Disposal</v>
      </c>
      <c r="C18" s="13">
        <f>'Feb 26 PP Summary'!I27</f>
        <v>0.2544605157</v>
      </c>
    </row>
    <row r="19">
      <c r="B19" s="5" t="str">
        <f>'Feb 26 PP Summary'!H28</f>
        <v>Capital Goods EE</v>
      </c>
      <c r="C19" s="13">
        <f>'Feb 26 PP Summary'!I28</f>
        <v>3.14146848</v>
      </c>
    </row>
    <row r="20">
      <c r="B20" s="5" t="str">
        <f>'Feb 26 PP Summary'!H29</f>
        <v>SP+C EE</v>
      </c>
      <c r="C20" s="13">
        <f>'Feb 26 PP Summary'!I29</f>
        <v>1.265040632</v>
      </c>
    </row>
    <row r="21">
      <c r="B21" s="5" t="str">
        <f>'Feb 26 PP Summary'!H32</f>
        <v>Total</v>
      </c>
      <c r="C21" s="21">
        <f>'Feb 26 PP Summary'!I32</f>
        <v>22.74162117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12" t="s">
        <v>21</v>
      </c>
      <c r="B1" s="16">
        <f>'Feb 26 PP Summary'!F5</f>
        <v>1502.7</v>
      </c>
    </row>
    <row r="2">
      <c r="A2" s="12" t="s">
        <v>25</v>
      </c>
      <c r="B2" s="18">
        <f>'Feb 26 PP Summary'!J5</f>
        <v>47.976</v>
      </c>
    </row>
    <row r="3">
      <c r="A3" s="12" t="s">
        <v>27</v>
      </c>
      <c r="B3" s="19">
        <f>'Feb 26 PP Summary'!N2</f>
        <v>10966</v>
      </c>
    </row>
    <row r="4">
      <c r="A4" s="12" t="s">
        <v>28</v>
      </c>
      <c r="B4" s="20">
        <f>'Feb 26 PP Summary'!P2</f>
        <v>0.5238</v>
      </c>
    </row>
    <row r="5">
      <c r="A5" s="12" t="s">
        <v>29</v>
      </c>
      <c r="B5" s="19">
        <f>'Feb 26 PP Summary'!N3</f>
        <v>6766.26</v>
      </c>
    </row>
    <row r="6">
      <c r="A6" s="12" t="s">
        <v>30</v>
      </c>
      <c r="B6" s="20">
        <f>'Feb 26 PP Summary'!P3</f>
        <v>0.7726</v>
      </c>
    </row>
    <row r="7">
      <c r="A7" s="12" t="s">
        <v>31</v>
      </c>
      <c r="B7" s="23">
        <f>'Feb 26 PP Summary'!I19</f>
        <v>1.797501254</v>
      </c>
    </row>
    <row r="8">
      <c r="A8" s="12" t="s">
        <v>33</v>
      </c>
      <c r="B8" s="18">
        <f>'Feb 26 PP Summary'!I20</f>
        <v>14.30157014</v>
      </c>
    </row>
    <row r="9">
      <c r="A9" s="12" t="s">
        <v>34</v>
      </c>
      <c r="B9" s="25">
        <f>'Feb 26 PP Summary'!I21</f>
        <v>0</v>
      </c>
    </row>
    <row r="10">
      <c r="A10" s="12" t="s">
        <v>37</v>
      </c>
      <c r="B10" s="18">
        <f>'Feb 26 PP Summary'!I22</f>
        <v>0.5235355972</v>
      </c>
    </row>
    <row r="11">
      <c r="A11" s="12" t="s">
        <v>40</v>
      </c>
      <c r="B11" s="18">
        <f>'Feb 26 PP Summary'!I23</f>
        <v>1.322420393</v>
      </c>
    </row>
    <row r="12">
      <c r="A12" s="12" t="s">
        <v>43</v>
      </c>
      <c r="B12" s="23">
        <f>'Feb 26 PP Summary'!I24</f>
        <v>0.09265519372</v>
      </c>
    </row>
    <row r="13">
      <c r="A13" s="12" t="s">
        <v>45</v>
      </c>
      <c r="B13" s="23">
        <f>'Feb 26 PP Summary'!I25</f>
        <v>0.01196896416</v>
      </c>
    </row>
    <row r="14">
      <c r="A14" s="12" t="s">
        <v>48</v>
      </c>
      <c r="B14" s="23">
        <f>'Feb 26 PP Summary'!I26</f>
        <v>0.031</v>
      </c>
    </row>
    <row r="15">
      <c r="A15" s="12" t="s">
        <v>52</v>
      </c>
      <c r="B15" s="18">
        <f>'Feb 26 PP Summary'!I27</f>
        <v>0.2544605157</v>
      </c>
    </row>
    <row r="16">
      <c r="A16" s="12" t="s">
        <v>55</v>
      </c>
      <c r="B16" s="18">
        <f>'Feb 26 PP Summary'!I28</f>
        <v>3.14146848</v>
      </c>
    </row>
    <row r="17">
      <c r="A17" s="12" t="s">
        <v>56</v>
      </c>
      <c r="B17" s="18">
        <f>'Feb 26 PP Summary'!I29</f>
        <v>1.265040632</v>
      </c>
    </row>
    <row r="18">
      <c r="A18" s="12" t="s">
        <v>58</v>
      </c>
      <c r="B18" s="29"/>
    </row>
    <row r="19">
      <c r="A19" s="12" t="s">
        <v>61</v>
      </c>
      <c r="B19" s="31">
        <v>75500.0</v>
      </c>
    </row>
    <row r="20">
      <c r="A20" s="12" t="s">
        <v>62</v>
      </c>
      <c r="B20" s="16">
        <f>'Feb 26 PP Summary'!C14</f>
        <v>489.6</v>
      </c>
    </row>
    <row r="21">
      <c r="A21" s="12" t="s">
        <v>66</v>
      </c>
      <c r="B21" s="16">
        <f>'Feb 26 PP Summary'!C13</f>
        <v>188.2358277</v>
      </c>
    </row>
    <row r="22">
      <c r="A22" s="12" t="s">
        <v>68</v>
      </c>
      <c r="B22" s="32" t="s">
        <v>70</v>
      </c>
    </row>
    <row r="23">
      <c r="A23" s="12" t="s">
        <v>72</v>
      </c>
      <c r="B23" s="18">
        <f>'Feb 26 PP Summary'!C25</f>
        <v>3939.826485</v>
      </c>
    </row>
    <row r="24">
      <c r="A24" s="12" t="s">
        <v>75</v>
      </c>
      <c r="B24" s="18">
        <f>'Feb 26 PP Summary'!C36</f>
        <v>3203.357024</v>
      </c>
    </row>
    <row r="25">
      <c r="A25" s="12" t="s">
        <v>77</v>
      </c>
      <c r="B25" s="18">
        <f>'Feb 26 PP Summary'!C46</f>
        <v>139.98278</v>
      </c>
    </row>
    <row r="26">
      <c r="A26" s="12" t="s">
        <v>79</v>
      </c>
      <c r="B26" s="18">
        <f>'Feb 26 PP Summary'!C59</f>
        <v>35984.81587</v>
      </c>
    </row>
    <row r="27">
      <c r="A27" s="12" t="s">
        <v>80</v>
      </c>
      <c r="B27" s="18">
        <f>'Feb 26 PP Summary'!C73</f>
        <v>26051.02</v>
      </c>
    </row>
    <row r="28">
      <c r="B28" s="25"/>
    </row>
    <row r="29">
      <c r="B29" s="25"/>
    </row>
    <row r="30"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</sheetData>
  <drawing r:id="rId1"/>
</worksheet>
</file>