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<sst xmlns="http://schemas.openxmlformats.org/spreadsheetml/2006/main" count="45" uniqueCount="23">
  <si>
    <t>Output Type</t>
  </si>
  <si>
    <t>Mass of Output (kg)</t>
  </si>
  <si>
    <t>% output</t>
  </si>
  <si>
    <t>C Content (%)</t>
  </si>
  <si>
    <t>C Content Mass (kg)</t>
  </si>
  <si>
    <t>CO2 Content Mass (kg)</t>
  </si>
  <si>
    <t>CO2 sequestered/tBio-oil (or Biochar)</t>
  </si>
  <si>
    <t>C Content Proportion</t>
  </si>
  <si>
    <t>Gallons to kgs</t>
  </si>
  <si>
    <t>https://www.convertunits.com/from/US+gallon/to/kilo+gram#google_vignette</t>
  </si>
  <si>
    <t>Oily Fraction (WODO)</t>
  </si>
  <si>
    <t>Biochar (dry)</t>
  </si>
  <si>
    <t>Aqueous</t>
  </si>
  <si>
    <t>Proportion Check (Should be 100%)</t>
  </si>
  <si>
    <t xml:space="preserve"> </t>
  </si>
  <si>
    <t>C Content Testing</t>
  </si>
  <si>
    <t>Outlier Check</t>
  </si>
  <si>
    <t>Fraction</t>
  </si>
  <si>
    <t>Average</t>
  </si>
  <si>
    <t>SD</t>
  </si>
  <si>
    <t>Average + 3SD</t>
  </si>
  <si>
    <t>AVERAGE - 3SD</t>
  </si>
  <si>
    <t>Biochar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</si>
</sst>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0" xfId="0" applyFont="1" applyNumberFormat="1"/>
    <xf borderId="0" fillId="0" fontId="5" numFmtId="10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10" xfId="0" applyAlignment="1" applyFont="1" applyNumberForma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1" numFmtId="10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vertunits.com/from/US+gallon/to/kilo+gra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88"/>
    <col customWidth="1" min="5" max="5" width="18.5"/>
    <col customWidth="1" min="6" max="6" width="21.25"/>
    <col customWidth="1" min="7" max="7" width="32.13"/>
    <col customWidth="1" min="8" max="8" width="20.0"/>
    <col customWidth="1" min="10" max="10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  <c r="K1" s="3">
        <v>3.785</v>
      </c>
      <c r="L1" s="4" t="s">
        <v>9</v>
      </c>
    </row>
    <row r="2">
      <c r="A2" s="3" t="s">
        <v>10</v>
      </c>
      <c r="B2" s="5"/>
      <c r="C2" s="6" t="str">
        <f t="shared" ref="C2:C4" si="1">B2/SUM($B$2,$B$3,$B$4)</f>
        <v>#DIV/0!</v>
      </c>
      <c r="D2" s="7" t="str">
        <f>E15</f>
        <v>#DIV/0!</v>
      </c>
      <c r="E2" s="8" t="str">
        <f t="shared" ref="E2:E4" si="2">D2*B2</f>
        <v>#DIV/0!</v>
      </c>
      <c r="F2" s="8" t="str">
        <f t="shared" ref="F2:F4" si="3">E2*(44/12)</f>
        <v>#DIV/0!</v>
      </c>
      <c r="G2" s="8" t="str">
        <f t="shared" ref="G2:G4" si="4">F2/(B2/1000)</f>
        <v>#DIV/0!</v>
      </c>
      <c r="H2" s="6" t="str">
        <f>E2/SUM(E2:E4)</f>
        <v>#DIV/0!</v>
      </c>
    </row>
    <row r="3">
      <c r="A3" s="3" t="s">
        <v>11</v>
      </c>
      <c r="B3" s="9"/>
      <c r="C3" s="6" t="str">
        <f t="shared" si="1"/>
        <v>#DIV/0!</v>
      </c>
      <c r="D3" s="7">
        <f>E20</f>
        <v>0.8274066667</v>
      </c>
      <c r="E3" s="8">
        <f t="shared" si="2"/>
        <v>0</v>
      </c>
      <c r="F3" s="8">
        <f t="shared" si="3"/>
        <v>0</v>
      </c>
      <c r="G3" s="8" t="str">
        <f t="shared" si="4"/>
        <v>#DIV/0!</v>
      </c>
      <c r="H3" s="6" t="str">
        <f>E3/sum(E2:E4)</f>
        <v>#DIV/0!</v>
      </c>
    </row>
    <row r="4">
      <c r="A4" s="3" t="s">
        <v>12</v>
      </c>
      <c r="C4" s="6" t="str">
        <f t="shared" si="1"/>
        <v>#DIV/0!</v>
      </c>
      <c r="D4" s="7" t="str">
        <f>E25</f>
        <v>#DIV/0!</v>
      </c>
      <c r="E4" s="8" t="str">
        <f t="shared" si="2"/>
        <v>#DIV/0!</v>
      </c>
      <c r="F4" s="8" t="str">
        <f t="shared" si="3"/>
        <v>#DIV/0!</v>
      </c>
      <c r="G4" s="8" t="str">
        <f t="shared" si="4"/>
        <v>#DIV/0!</v>
      </c>
      <c r="H4" s="6" t="str">
        <f>SUM(E4/SUM(E2:E4))</f>
        <v>#DIV/0!</v>
      </c>
    </row>
    <row r="5">
      <c r="G5" s="3" t="s">
        <v>13</v>
      </c>
      <c r="H5" s="6" t="str">
        <f>SUM(H2+H3+H4)</f>
        <v>#DIV/0!</v>
      </c>
    </row>
    <row r="10">
      <c r="D10" s="3" t="s">
        <v>14</v>
      </c>
    </row>
    <row r="13">
      <c r="A13" s="10" t="s">
        <v>15</v>
      </c>
      <c r="F13" s="10" t="s">
        <v>16</v>
      </c>
    </row>
    <row r="14">
      <c r="A14" s="10" t="s">
        <v>17</v>
      </c>
      <c r="B14" s="10" t="s">
        <v>3</v>
      </c>
      <c r="C14" s="10"/>
      <c r="E14" s="3" t="s">
        <v>18</v>
      </c>
      <c r="F14" s="3" t="s">
        <v>19</v>
      </c>
      <c r="G14" s="11" t="str">
        <f>STDEV(B15:B19)</f>
        <v>#DIV/0!</v>
      </c>
      <c r="K14" s="3" t="s">
        <v>14</v>
      </c>
    </row>
    <row r="15">
      <c r="A15" s="3" t="s">
        <v>10</v>
      </c>
      <c r="B15" s="12"/>
      <c r="C15" s="13"/>
      <c r="E15" s="6" t="str">
        <f>AVERAGE(B15:B19)</f>
        <v>#DIV/0!</v>
      </c>
      <c r="F15" s="3" t="s">
        <v>20</v>
      </c>
      <c r="G15" s="6" t="str">
        <f>$E$15+(3*$G$14)</f>
        <v>#DIV/0!</v>
      </c>
    </row>
    <row r="16">
      <c r="A16" s="3" t="s">
        <v>10</v>
      </c>
      <c r="B16" s="12"/>
      <c r="C16" s="13"/>
      <c r="F16" s="3" t="s">
        <v>21</v>
      </c>
      <c r="G16" s="6" t="str">
        <f>$E$15-(3*$G$14)</f>
        <v>#DIV/0!</v>
      </c>
    </row>
    <row r="17">
      <c r="A17" s="3" t="s">
        <v>10</v>
      </c>
      <c r="B17" s="12"/>
      <c r="C17" s="13"/>
    </row>
    <row r="18">
      <c r="A18" s="3" t="s">
        <v>10</v>
      </c>
      <c r="B18" s="12"/>
      <c r="C18" s="13"/>
    </row>
    <row r="19">
      <c r="A19" s="3" t="s">
        <v>10</v>
      </c>
      <c r="B19" s="12"/>
      <c r="C19" s="13"/>
    </row>
    <row r="20">
      <c r="A20" s="3" t="s">
        <v>22</v>
      </c>
      <c r="B20" s="12">
        <f>82.72/100</f>
        <v>0.8272</v>
      </c>
      <c r="C20" s="7"/>
      <c r="E20" s="11">
        <f>AVERAGE(B20:B24)</f>
        <v>0.8274066667</v>
      </c>
      <c r="F20" s="3" t="s">
        <v>19</v>
      </c>
      <c r="G20" s="11">
        <f>STDEV(B20:B24)</f>
        <v>0.01642146969</v>
      </c>
    </row>
    <row r="21">
      <c r="A21" s="3" t="s">
        <v>22</v>
      </c>
      <c r="B21" s="12">
        <f>82.29/100</f>
        <v>0.8229</v>
      </c>
      <c r="C21" s="7"/>
      <c r="F21" s="3" t="s">
        <v>20</v>
      </c>
      <c r="G21" s="11">
        <f>$E$20+(3*$G$20)</f>
        <v>0.8766710757</v>
      </c>
    </row>
    <row r="22">
      <c r="A22" s="3" t="s">
        <v>22</v>
      </c>
      <c r="B22" s="12">
        <f>80.66666667/100</f>
        <v>0.8066666667</v>
      </c>
      <c r="C22" s="7"/>
      <c r="F22" s="3" t="s">
        <v>21</v>
      </c>
      <c r="G22" s="11">
        <f>$E$20-(3*$G$20)</f>
        <v>0.7781422576</v>
      </c>
    </row>
    <row r="23">
      <c r="A23" s="3" t="s">
        <v>22</v>
      </c>
      <c r="B23" s="12">
        <f>85.24666667/100</f>
        <v>0.8524666667</v>
      </c>
      <c r="C23" s="7"/>
    </row>
    <row r="24">
      <c r="A24" s="3" t="s">
        <v>22</v>
      </c>
      <c r="B24" s="12">
        <f>82.78/100</f>
        <v>0.8278</v>
      </c>
      <c r="C24" s="7"/>
    </row>
    <row r="25">
      <c r="A25" s="3" t="s">
        <v>12</v>
      </c>
      <c r="B25" s="12"/>
      <c r="E25" s="6" t="str">
        <f>AVERAGE(B25:B29)</f>
        <v>#DIV/0!</v>
      </c>
      <c r="F25" s="3" t="s">
        <v>19</v>
      </c>
      <c r="G25" s="11" t="str">
        <f>STDEV(B25:B29)</f>
        <v>#DIV/0!</v>
      </c>
    </row>
    <row r="26">
      <c r="A26" s="3" t="s">
        <v>12</v>
      </c>
      <c r="B26" s="12"/>
      <c r="F26" s="3" t="s">
        <v>20</v>
      </c>
      <c r="G26" s="6" t="str">
        <f>$E$25+(3*$G$25)</f>
        <v>#DIV/0!</v>
      </c>
    </row>
    <row r="27">
      <c r="A27" s="3" t="s">
        <v>12</v>
      </c>
      <c r="B27" s="12"/>
      <c r="F27" s="3" t="s">
        <v>21</v>
      </c>
      <c r="G27" s="6" t="str">
        <f>$E$25-(3*$G$25)</f>
        <v>#DIV/0!</v>
      </c>
    </row>
    <row r="28">
      <c r="A28" s="3" t="s">
        <v>12</v>
      </c>
      <c r="B28" s="12"/>
    </row>
    <row r="29">
      <c r="A29" s="3" t="s">
        <v>12</v>
      </c>
      <c r="B29" s="12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9">
      <c r="A39" s="14"/>
      <c r="C39" s="15"/>
      <c r="D39" s="15"/>
      <c r="E39" s="15"/>
    </row>
    <row r="40">
      <c r="A40" s="2"/>
      <c r="B40" s="2"/>
      <c r="C40" s="15"/>
      <c r="D40" s="15"/>
      <c r="E40" s="15"/>
    </row>
    <row r="41">
      <c r="A41" s="16"/>
      <c r="B41" s="17"/>
      <c r="C41" s="18"/>
      <c r="D41" s="19"/>
      <c r="E41" s="15"/>
      <c r="G41" s="11"/>
    </row>
    <row r="42">
      <c r="A42" s="16"/>
      <c r="B42" s="17"/>
      <c r="C42" s="18"/>
      <c r="D42" s="15"/>
      <c r="E42" s="15"/>
    </row>
    <row r="43">
      <c r="A43" s="16"/>
      <c r="B43" s="17"/>
      <c r="C43" s="18"/>
      <c r="D43" s="15"/>
      <c r="E43" s="15"/>
    </row>
    <row r="44">
      <c r="A44" s="16"/>
      <c r="B44" s="17"/>
      <c r="C44" s="18"/>
      <c r="D44" s="15"/>
      <c r="E44" s="20"/>
    </row>
    <row r="45">
      <c r="A45" s="16"/>
      <c r="B45" s="17"/>
      <c r="C45" s="18"/>
      <c r="D45" s="15"/>
      <c r="E45" s="20"/>
    </row>
    <row r="46">
      <c r="A46" s="21"/>
      <c r="B46" s="22"/>
      <c r="C46" s="23"/>
      <c r="D46" s="15"/>
      <c r="E46" s="15"/>
    </row>
    <row r="47">
      <c r="A47" s="21"/>
      <c r="B47" s="22"/>
      <c r="C47" s="23"/>
      <c r="D47" s="15"/>
      <c r="E47" s="15"/>
    </row>
    <row r="48">
      <c r="A48" s="21"/>
      <c r="B48" s="22"/>
      <c r="C48" s="23"/>
      <c r="D48" s="15"/>
      <c r="E48" s="15"/>
    </row>
    <row r="49">
      <c r="A49" s="21"/>
      <c r="B49" s="22"/>
      <c r="C49" s="23"/>
      <c r="D49" s="15"/>
      <c r="E49" s="15"/>
    </row>
    <row r="50">
      <c r="A50" s="21"/>
      <c r="B50" s="22"/>
      <c r="C50" s="23"/>
      <c r="D50" s="15"/>
      <c r="E50" s="15"/>
    </row>
    <row r="51">
      <c r="A51" s="21"/>
      <c r="B51" s="22"/>
      <c r="C51" s="23"/>
      <c r="D51" s="15"/>
      <c r="E51" s="15"/>
    </row>
    <row r="52">
      <c r="A52" s="21"/>
      <c r="B52" s="22"/>
      <c r="C52" s="23"/>
      <c r="D52" s="15"/>
      <c r="E52" s="15"/>
    </row>
    <row r="53">
      <c r="A53" s="21"/>
      <c r="B53" s="22"/>
      <c r="C53" s="23"/>
      <c r="D53" s="15"/>
      <c r="E53" s="15"/>
    </row>
    <row r="54">
      <c r="A54" s="21"/>
      <c r="B54" s="22"/>
      <c r="C54" s="23"/>
      <c r="D54" s="15"/>
      <c r="E54" s="15"/>
    </row>
    <row r="55">
      <c r="A55" s="21"/>
      <c r="B55" s="22"/>
      <c r="C55" s="23"/>
      <c r="D55" s="15"/>
      <c r="E55" s="15"/>
    </row>
    <row r="56">
      <c r="A56" s="21"/>
      <c r="B56" s="22"/>
      <c r="C56" s="23"/>
      <c r="D56" s="15"/>
      <c r="E56" s="15"/>
    </row>
  </sheetData>
  <mergeCells count="1">
    <mergeCell ref="A39:B39"/>
  </mergeCells>
  <hyperlinks>
    <hyperlink r:id="rId1" location="google_vignette" ref="L1"/>
  </hyperlinks>
  <drawing r:id="rId2"/>
</worksheet>
</file>