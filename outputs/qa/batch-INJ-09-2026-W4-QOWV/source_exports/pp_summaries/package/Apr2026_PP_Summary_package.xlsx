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r 26 PP Summary" sheetId="1" r:id="rId4"/>
    <sheet state="visible" name="Emission Factors" sheetId="2" r:id="rId5"/>
    <sheet state="hidden" name="DataTable" sheetId="3" r:id="rId6"/>
    <sheet state="hidden" name="DataCollection" sheetId="4" r:id="rId7"/>
  </sheets>
  <definedNames/>
  <calcPr/>
  <extLst>
    <ext uri="GoogleSheetsCustomDataVersion2">
      <go:sheetsCustomData xmlns:go="http://customooxmlschemas.google.com/" r:id="rId8" roundtripDataChecksum="5hzwx7Wq9Eq4MTtc/loIdtFerIinex3W4kmj2HgK3h8="/>
    </ext>
  </extLst>
</workbook>
</file>

<file path=xl/sharedStrings.xml><?xml version="1.0" encoding="utf-8"?>
<sst xmlns="http://schemas.openxmlformats.org/spreadsheetml/2006/main" count="213" uniqueCount="165">
  <si>
    <t>Process Emissions</t>
  </si>
  <si>
    <t>Emission Factors</t>
  </si>
  <si>
    <t>Production Operating Hours</t>
  </si>
  <si>
    <t>Emissions Factor</t>
  </si>
  <si>
    <t>Embodied Emissions</t>
  </si>
  <si>
    <t>Output Type</t>
  </si>
  <si>
    <t>Unit</t>
  </si>
  <si>
    <t>Mass of Output (kg)</t>
  </si>
  <si>
    <t>Baseline Quantity</t>
  </si>
  <si>
    <t>Uncertainty Factor</t>
  </si>
  <si>
    <t>% Output Mass</t>
  </si>
  <si>
    <t>C Content (%)</t>
  </si>
  <si>
    <t>Final Quantity</t>
  </si>
  <si>
    <t>C Content Mass (kg)</t>
  </si>
  <si>
    <t>Source</t>
  </si>
  <si>
    <t>% C Content Mass</t>
  </si>
  <si>
    <t>Total Emissions Allocated to Fraction (MT CO2e)</t>
  </si>
  <si>
    <t>Truck Transport Fuel Use (Well to Wheel) -- Flatbed Truck</t>
  </si>
  <si>
    <t>Kg Emissions/Kg Material</t>
  </si>
  <si>
    <t>MT CO2e/t-mi</t>
  </si>
  <si>
    <t>Total BM Consumed</t>
  </si>
  <si>
    <t>GLEC V3.2 2025</t>
  </si>
  <si>
    <t>WODO</t>
  </si>
  <si>
    <t>WODO Yield</t>
  </si>
  <si>
    <t>Truck Transport Fuel Use (Well to Wheel) -- Tanker Truck</t>
  </si>
  <si>
    <t>WODO wt%C</t>
  </si>
  <si>
    <t>Propane (kg)</t>
  </si>
  <si>
    <t>Vehicle Embodied Emissions --Tanker Truck</t>
  </si>
  <si>
    <t>MT CO2e/mi</t>
  </si>
  <si>
    <t>Biochar Yield</t>
  </si>
  <si>
    <t>Diesel (kg)</t>
  </si>
  <si>
    <t>Vehicle Embodied Emissions --Non-Tanker Truck</t>
  </si>
  <si>
    <t>Biochar wt%C</t>
  </si>
  <si>
    <t>Gasoline (kg)</t>
  </si>
  <si>
    <t>Biomass Transport</t>
  </si>
  <si>
    <t>Grid Electricity Use -- Kansas</t>
  </si>
  <si>
    <t>MTCO2e/kWh</t>
  </si>
  <si>
    <t>Propane</t>
  </si>
  <si>
    <t>Green-E,USEPA, GREET 2025</t>
  </si>
  <si>
    <t>Wind RECs Use -- Kansas</t>
  </si>
  <si>
    <t>Diesel</t>
  </si>
  <si>
    <t>Pyrolyzer Up-Time</t>
  </si>
  <si>
    <t>Equipment Amortization</t>
  </si>
  <si>
    <t>Grid Electricity Use -- Colorado</t>
  </si>
  <si>
    <t>Biochar</t>
  </si>
  <si>
    <t>Gasoline</t>
  </si>
  <si>
    <t>Solar RECs Use -- Colorado</t>
  </si>
  <si>
    <t>Electricity</t>
  </si>
  <si>
    <t>Vaulted Equipment Embodied Emissions</t>
  </si>
  <si>
    <t>MT CO2e/MT Injectate</t>
  </si>
  <si>
    <t>N/A</t>
  </si>
  <si>
    <t>New Pile</t>
  </si>
  <si>
    <t>Tailgas</t>
  </si>
  <si>
    <t>Total Operating Hours</t>
  </si>
  <si>
    <t>Vaulted PDD</t>
  </si>
  <si>
    <t>Total Biomass Consumed (kg)</t>
  </si>
  <si>
    <t>Water</t>
  </si>
  <si>
    <t>Self-Loading Truck Lumber Handling (No Transport)</t>
  </si>
  <si>
    <t>MT CO2e/MT logs</t>
  </si>
  <si>
    <t>Aqueous</t>
  </si>
  <si>
    <t>Consumables Delivery</t>
  </si>
  <si>
    <t>Auburn University</t>
  </si>
  <si>
    <t>Waste Disposal</t>
  </si>
  <si>
    <t>Capital Goods EE</t>
  </si>
  <si>
    <t>SP+C EE</t>
  </si>
  <si>
    <t>Injection Emissions</t>
  </si>
  <si>
    <t>Diesel Fuel Combustion (Total WTW)</t>
  </si>
  <si>
    <t>Aqueous Yield</t>
  </si>
  <si>
    <t>MTCO2e/kg fuel</t>
  </si>
  <si>
    <t>[MRV] Biomass Miles</t>
  </si>
  <si>
    <t>LPG Consumption (Total WTW)</t>
  </si>
  <si>
    <t>[MRV] Raw Biomass Tonnes</t>
  </si>
  <si>
    <t>[MRV] Linear Feet Consumed</t>
  </si>
  <si>
    <t>Total Biomass Consumed (MT)</t>
  </si>
  <si>
    <t>Gasoline Consumption (Total WTW)</t>
  </si>
  <si>
    <t>--</t>
  </si>
  <si>
    <t>[MRV] Uncertainty Adjusted Propane Used</t>
  </si>
  <si>
    <t>Drinking Water -- US</t>
  </si>
  <si>
    <t>MTCO2e/gal water</t>
  </si>
  <si>
    <t>[MRV] Uncertainty Adjusted Diesel Used</t>
  </si>
  <si>
    <t>https://www.sciencedirect.com/science/article/abs/pii/S0959652621030110</t>
  </si>
  <si>
    <t>[MRV] Uncertainty Adjusted Gasoline Used</t>
  </si>
  <si>
    <t>R+D Operating Hours</t>
  </si>
  <si>
    <t xml:space="preserve"> </t>
  </si>
  <si>
    <t>[MRV] Uncertainty Adjusted Electricity</t>
  </si>
  <si>
    <t>Biomass Amortization Factor for PP (kg Co2e/MT biomass)</t>
  </si>
  <si>
    <t>[MRV] Total Water Used</t>
  </si>
  <si>
    <t>Log Handling Emissions</t>
  </si>
  <si>
    <t>% Production</t>
  </si>
  <si>
    <t>Total Amortized Embodied Emissions (kg)</t>
  </si>
  <si>
    <t>% R+D</t>
  </si>
  <si>
    <t>Total Amortized Embodied Emissions (MT)</t>
  </si>
  <si>
    <t>Total Emissions</t>
  </si>
  <si>
    <t>Spare Parts and Consumables</t>
  </si>
  <si>
    <t>BCU's Applied</t>
  </si>
  <si>
    <t>Total Procured Renewables</t>
  </si>
  <si>
    <t>EE Estimate per Pyrolyzer Operating Hour (kgCO2e)</t>
  </si>
  <si>
    <t>Remaining Emissions to Allocate</t>
  </si>
  <si>
    <t>RD BCUs (MT CO2e)</t>
  </si>
  <si>
    <t>Spare Parts and Consumables Estimate for Period (kg)</t>
  </si>
  <si>
    <t>RECs (kWh)</t>
  </si>
  <si>
    <t>Spare Parts and Consumables Estimate for Period (MT)</t>
  </si>
  <si>
    <t>Tonnes</t>
  </si>
  <si>
    <t>Miles</t>
  </si>
  <si>
    <t>Tonne-Miles</t>
  </si>
  <si>
    <t>Propane Combustion</t>
  </si>
  <si>
    <t>Total PP Deliveries (L)</t>
  </si>
  <si>
    <t>Consolidated Emissions Inventory (No GHG Neutralization)</t>
  </si>
  <si>
    <t>Total Emissions (MT)</t>
  </si>
  <si>
    <t>% of Total</t>
  </si>
  <si>
    <t>Tank Level at PP Close (%)</t>
  </si>
  <si>
    <t>Tank Level at PP Close (L)</t>
  </si>
  <si>
    <t>Total Propane Consumption for PP (L)</t>
  </si>
  <si>
    <t>Total Propane Consumption for PP (Gal)</t>
  </si>
  <si>
    <t>Total Propane Consumption for PP (kg)</t>
  </si>
  <si>
    <t>Fuel Meter Uncertainty</t>
  </si>
  <si>
    <t>Uncertainty Adjusted Total</t>
  </si>
  <si>
    <t>Propane Combustion Emission Factor (kg CO2e/kg)</t>
  </si>
  <si>
    <t>Total Propane Emissions (MT CO2e)</t>
  </si>
  <si>
    <t>Diesel Combustion</t>
  </si>
  <si>
    <t>Total Diesel Consumption for PP (L)</t>
  </si>
  <si>
    <t>Total Diesel Consumption for PP (Gal)</t>
  </si>
  <si>
    <t>Total Diesel Fills in Office Generator for PP (Gal)</t>
  </si>
  <si>
    <t>Total</t>
  </si>
  <si>
    <t>Total Production Diesel Consumption for PP (Gal)</t>
  </si>
  <si>
    <t>Total Production Diesel Consumption for PP (kg)</t>
  </si>
  <si>
    <t>Diesel Combustion Emission Factor (kg CO2e/kg)</t>
  </si>
  <si>
    <t>Total Diesel Emissions (MT CO2e)</t>
  </si>
  <si>
    <t>BCUs Applied (MT CO2e)</t>
  </si>
  <si>
    <t>Remaining Emissions to Allocate (MT CO2e)</t>
  </si>
  <si>
    <t>Gasoline Combustion</t>
  </si>
  <si>
    <t>Total Gasoline Consumption for PP (Gal)</t>
  </si>
  <si>
    <t>Total Gasoline Consumption for PP (kg)</t>
  </si>
  <si>
    <t>Gasoline Combustion Emission Factor (kg CO2e/kg)</t>
  </si>
  <si>
    <t>Total Gasoline Combustion Emissions (MT CO2e)</t>
  </si>
  <si>
    <t>Electricity Usage</t>
  </si>
  <si>
    <t>Total kWh Consumed</t>
  </si>
  <si>
    <t>Maximum Allowable Meter Uncertainty</t>
  </si>
  <si>
    <t>Total kWh Consumed -- Uncertainty Adjusted</t>
  </si>
  <si>
    <t>May 2024 Non-Pyrolysis (G+A, Eng) Consumption (kWh)</t>
  </si>
  <si>
    <t>Days in May</t>
  </si>
  <si>
    <t>Non-Pyrolysis kWh/Day</t>
  </si>
  <si>
    <t>Days in Production Period</t>
  </si>
  <si>
    <t>PP Non-Production Consumption (kWh)</t>
  </si>
  <si>
    <t>PP Production Consumption (kWh)</t>
  </si>
  <si>
    <t>CO Grid Region Emission Factor (kg CO2e/kWh)</t>
  </si>
  <si>
    <t>Total Electricity Consumption Emissions (MT CO2e)</t>
  </si>
  <si>
    <t>Retired RECs allocated (kWh)</t>
  </si>
  <si>
    <t>REC generation emission factor (solar) (kg CO2e/kWh)</t>
  </si>
  <si>
    <t>Tailgas Emissions</t>
  </si>
  <si>
    <t>Total Biomass Consumed (kg) (Uncertainty-Adjusted)</t>
  </si>
  <si>
    <t>Tailgas Emission Factor (MT CO2e/kg biomass)</t>
  </si>
  <si>
    <t>Total Tailgas Emissions (MT)</t>
  </si>
  <si>
    <t>Water Emissions</t>
  </si>
  <si>
    <t>Total Water Consumed (gal)</t>
  </si>
  <si>
    <t>Total Water Consumed (kg)</t>
  </si>
  <si>
    <t>Water Consumption Emission Factor (kg CO2e/gal water)</t>
  </si>
  <si>
    <t>Total Water Emissions (MT CO2e)</t>
  </si>
  <si>
    <t>Consumables Delivery Emissions</t>
  </si>
  <si>
    <t>Total Process Emissions</t>
  </si>
  <si>
    <t>Total Emb. Emissions</t>
  </si>
  <si>
    <t>Waste Disposal Emissions</t>
  </si>
  <si>
    <t>Transport Emissions (Process)</t>
  </si>
  <si>
    <t>Transport Emissions (Embodied)</t>
  </si>
  <si>
    <t>Disposal Emissions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</si>
</sst>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.000"/>
    <numFmt numFmtId="165" formatCode="#,##0.0000"/>
    <numFmt numFmtId="166" formatCode="0.000"/>
    <numFmt numFmtId="167" formatCode="0.0000"/>
    <numFmt numFmtId="168" formatCode="#,##0.0"/>
    <numFmt numFmtId="169" formatCode="0.000000000"/>
    <numFmt numFmtId="170" formatCode="#,##0.000000"/>
  </numFmts>
  <fonts count="15">
    <font>
      <sz val="10.0"/>
      <color rgb="FF000000"/>
      <name val="Arial"/>
      <scheme val="minor"/>
    </font>
    <font>
      <b/>
      <sz val="14.0"/>
      <color theme="1"/>
      <name val="Arial"/>
    </font>
    <font>
      <color theme="1"/>
      <name val="Arial"/>
    </font>
    <font>
      <b/>
      <sz val="12.0"/>
      <color theme="1"/>
      <name val="Arial"/>
    </font>
    <font>
      <b/>
      <color theme="1"/>
      <name val="Arial"/>
    </font>
    <font>
      <u/>
      <color rgb="FF0000FF"/>
    </font>
    <font>
      <color rgb="FF0000FF"/>
      <name val="Arial"/>
    </font>
    <font>
      <u/>
      <color rgb="FF0000FF"/>
      <name val="Arial"/>
    </font>
    <font>
      <sz val="11.0"/>
      <color rgb="FF1D1C1D"/>
      <name val="Lato"/>
    </font>
    <font>
      <color theme="1"/>
      <name val="Inherit"/>
    </font>
    <font>
      <b/>
      <u/>
      <color theme="1"/>
      <name val="Arial"/>
    </font>
    <font>
      <color rgb="FF000000"/>
      <name val="Arial"/>
    </font>
    <font>
      <b/>
      <sz val="13.0"/>
      <color theme="1"/>
      <name val="Arial"/>
    </font>
    <font>
      <i/>
      <color theme="1"/>
      <name val="Arial"/>
    </font>
    <font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 vertical="bottom"/>
    </xf>
    <xf borderId="0" fillId="0" fontId="3" numFmtId="0" xfId="0" applyFont="1"/>
    <xf borderId="0" fillId="2" fontId="2" numFmtId="0" xfId="0" applyFill="1" applyFont="1"/>
    <xf borderId="0" fillId="0" fontId="4" numFmtId="0" xfId="0" applyAlignment="1" applyFont="1">
      <alignment vertical="bottom"/>
    </xf>
    <xf borderId="0" fillId="0" fontId="4" numFmtId="0" xfId="0" applyFont="1"/>
    <xf borderId="0" fillId="0" fontId="2" numFmtId="0" xfId="0" applyAlignment="1" applyFont="1">
      <alignment vertical="bottom"/>
    </xf>
    <xf borderId="0" fillId="0" fontId="2" numFmtId="4" xfId="0" applyAlignment="1" applyFont="1" applyNumberFormat="1">
      <alignment horizontal="center"/>
    </xf>
    <xf borderId="0" fillId="0" fontId="2" numFmtId="0" xfId="0" applyAlignment="1" applyFont="1">
      <alignment horizontal="right" vertical="bottom"/>
    </xf>
    <xf borderId="0" fillId="0" fontId="2" numFmtId="4" xfId="0" applyFont="1" applyNumberFormat="1"/>
    <xf borderId="0" fillId="0" fontId="2" numFmtId="3" xfId="0" applyFont="1" applyNumberFormat="1"/>
    <xf borderId="0" fillId="0" fontId="2" numFmtId="2" xfId="0" applyAlignment="1" applyFont="1" applyNumberFormat="1">
      <alignment horizontal="center"/>
    </xf>
    <xf borderId="0" fillId="0" fontId="2" numFmtId="2" xfId="0" applyFont="1" applyNumberFormat="1"/>
    <xf borderId="0" fillId="0" fontId="5" numFmtId="0" xfId="0" applyFont="1"/>
    <xf borderId="0" fillId="0" fontId="2" numFmtId="10" xfId="0" applyFont="1" applyNumberFormat="1"/>
    <xf borderId="0" fillId="0" fontId="2" numFmtId="3" xfId="0" applyAlignment="1" applyFont="1" applyNumberFormat="1">
      <alignment horizontal="center"/>
    </xf>
    <xf borderId="0" fillId="0" fontId="6" numFmtId="10" xfId="0" applyFont="1" applyNumberFormat="1"/>
    <xf borderId="0" fillId="0" fontId="2" numFmtId="10" xfId="0" applyAlignment="1" applyFont="1" applyNumberFormat="1">
      <alignment horizontal="center"/>
    </xf>
    <xf borderId="0" fillId="0" fontId="2" numFmtId="164" xfId="0" applyFont="1" applyNumberFormat="1"/>
    <xf borderId="0" fillId="0" fontId="2" numFmtId="165" xfId="0" applyFont="1" applyNumberFormat="1"/>
    <xf borderId="0" fillId="0" fontId="2" numFmtId="166" xfId="0" applyAlignment="1" applyFont="1" applyNumberFormat="1">
      <alignment horizontal="center"/>
    </xf>
    <xf borderId="0" fillId="3" fontId="3" numFmtId="0" xfId="0" applyFill="1" applyFont="1"/>
    <xf borderId="0" fillId="0" fontId="2" numFmtId="166" xfId="0" applyFont="1" applyNumberFormat="1"/>
    <xf borderId="0" fillId="4" fontId="2" numFmtId="4" xfId="0" applyFill="1" applyFont="1" applyNumberFormat="1"/>
    <xf borderId="0" fillId="0" fontId="7" numFmtId="0" xfId="0" applyAlignment="1" applyFont="1">
      <alignment vertical="bottom"/>
    </xf>
    <xf borderId="0" fillId="5" fontId="2" numFmtId="0" xfId="0" applyAlignment="1" applyFill="1" applyFont="1">
      <alignment horizontal="center"/>
    </xf>
    <xf borderId="0" fillId="0" fontId="2" numFmtId="0" xfId="0" applyAlignment="1" applyFont="1">
      <alignment horizontal="center"/>
    </xf>
    <xf borderId="0" fillId="0" fontId="2" numFmtId="165" xfId="0" applyAlignment="1" applyFont="1" applyNumberFormat="1">
      <alignment horizontal="right" vertical="bottom"/>
    </xf>
    <xf quotePrefix="1" borderId="0" fillId="6" fontId="2" numFmtId="0" xfId="0" applyAlignment="1" applyFill="1" applyFont="1">
      <alignment horizontal="center"/>
    </xf>
    <xf borderId="0" fillId="0" fontId="6" numFmtId="3" xfId="0" applyFont="1" applyNumberFormat="1"/>
    <xf borderId="0" fillId="0" fontId="2" numFmtId="167" xfId="0" applyAlignment="1" applyFont="1" applyNumberFormat="1">
      <alignment horizontal="right" vertical="bottom"/>
    </xf>
    <xf borderId="0" fillId="4" fontId="2" numFmtId="0" xfId="0" applyFont="1"/>
    <xf borderId="0" fillId="4" fontId="2" numFmtId="2" xfId="0" applyFont="1" applyNumberFormat="1"/>
    <xf borderId="0" fillId="0" fontId="2" numFmtId="167" xfId="0" applyFont="1" applyNumberFormat="1"/>
    <xf borderId="0" fillId="0" fontId="2" numFmtId="168" xfId="0" applyFont="1" applyNumberFormat="1"/>
    <xf borderId="0" fillId="0" fontId="4" numFmtId="0" xfId="0" applyAlignment="1" applyFont="1">
      <alignment horizontal="right"/>
    </xf>
    <xf borderId="0" fillId="0" fontId="2" numFmtId="10" xfId="0" applyAlignment="1" applyFont="1" applyNumberFormat="1">
      <alignment horizontal="right"/>
    </xf>
    <xf borderId="0" fillId="0" fontId="2" numFmtId="0" xfId="0" applyAlignment="1" applyFont="1">
      <alignment horizontal="right"/>
    </xf>
    <xf borderId="0" fillId="0" fontId="2" numFmtId="4" xfId="0" applyAlignment="1" applyFont="1" applyNumberFormat="1">
      <alignment horizontal="right" vertical="bottom"/>
    </xf>
    <xf borderId="0" fillId="7" fontId="8" numFmtId="0" xfId="0" applyAlignment="1" applyFill="1" applyFont="1">
      <alignment horizontal="left" shrinkToFit="0" wrapText="1"/>
    </xf>
    <xf borderId="0" fillId="0" fontId="9" numFmtId="0" xfId="0" applyAlignment="1" applyFont="1">
      <alignment shrinkToFit="0" vertical="bottom" wrapText="1"/>
    </xf>
    <xf borderId="0" fillId="0" fontId="2" numFmtId="4" xfId="0" applyAlignment="1" applyFont="1" applyNumberFormat="1">
      <alignment vertical="bottom"/>
    </xf>
    <xf borderId="0" fillId="0" fontId="10" numFmtId="0" xfId="0" applyFont="1"/>
    <xf borderId="0" fillId="0" fontId="11" numFmtId="4" xfId="0" applyFont="1" applyNumberFormat="1"/>
    <xf borderId="0" fillId="8" fontId="12" numFmtId="0" xfId="0" applyFill="1" applyFont="1"/>
    <xf borderId="0" fillId="8" fontId="4" numFmtId="0" xfId="0" applyFont="1"/>
    <xf borderId="0" fillId="0" fontId="4" numFmtId="0" xfId="0" applyAlignment="1" applyFont="1">
      <alignment horizontal="center"/>
    </xf>
    <xf borderId="0" fillId="0" fontId="4" numFmtId="4" xfId="0" applyFont="1" applyNumberFormat="1"/>
    <xf borderId="0" fillId="8" fontId="3" numFmtId="0" xfId="0" applyFont="1"/>
    <xf borderId="0" fillId="8" fontId="2" numFmtId="166" xfId="0" applyFont="1" applyNumberFormat="1"/>
    <xf borderId="0" fillId="8" fontId="2" numFmtId="10" xfId="0" applyFont="1" applyNumberFormat="1"/>
    <xf borderId="0" fillId="0" fontId="2" numFmtId="164" xfId="0" applyAlignment="1" applyFont="1" applyNumberFormat="1">
      <alignment horizontal="center"/>
    </xf>
    <xf borderId="0" fillId="0" fontId="13" numFmtId="0" xfId="0" applyFont="1"/>
    <xf borderId="0" fillId="0" fontId="4" numFmtId="168" xfId="0" applyFont="1" applyNumberFormat="1"/>
    <xf borderId="0" fillId="8" fontId="2" numFmtId="2" xfId="0" applyFont="1" applyNumberFormat="1"/>
    <xf borderId="0" fillId="0" fontId="11" numFmtId="3" xfId="0" applyFont="1" applyNumberFormat="1"/>
    <xf borderId="0" fillId="9" fontId="3" numFmtId="0" xfId="0" applyFill="1" applyFont="1"/>
    <xf borderId="0" fillId="8" fontId="2" numFmtId="0" xfId="0" applyFont="1"/>
    <xf borderId="0" fillId="0" fontId="2" numFmtId="168" xfId="0" applyAlignment="1" applyFont="1" applyNumberFormat="1">
      <alignment vertical="bottom"/>
    </xf>
    <xf borderId="0" fillId="0" fontId="4" numFmtId="3" xfId="0" applyFont="1" applyNumberFormat="1"/>
    <xf borderId="0" fillId="0" fontId="2" numFmtId="2" xfId="0" applyAlignment="1" applyFont="1" applyNumberFormat="1">
      <alignment horizontal="right" vertical="bottom"/>
    </xf>
    <xf borderId="0" fillId="0" fontId="2" numFmtId="10" xfId="0" applyAlignment="1" applyFont="1" applyNumberFormat="1">
      <alignment horizontal="right" vertical="bottom"/>
    </xf>
    <xf borderId="0" fillId="0" fontId="12" numFmtId="0" xfId="0" applyFont="1"/>
    <xf borderId="0" fillId="0" fontId="14" numFmtId="10" xfId="0" applyFont="1" applyNumberFormat="1"/>
    <xf borderId="0" fillId="0" fontId="14" numFmtId="4" xfId="0" applyFont="1" applyNumberFormat="1"/>
    <xf borderId="0" fillId="4" fontId="4" numFmtId="0" xfId="0" applyFont="1"/>
    <xf borderId="0" fillId="0" fontId="2" numFmtId="169" xfId="0" applyFont="1" applyNumberFormat="1"/>
    <xf borderId="0" fillId="7" fontId="2" numFmtId="167" xfId="0" applyFont="1" applyNumberFormat="1"/>
    <xf borderId="0" fillId="7" fontId="2" numFmtId="170" xfId="0" applyFont="1" applyNumberFormat="1"/>
    <xf borderId="0" fillId="7" fontId="2" numFmtId="164" xfId="0" applyFont="1" applyNumberFormat="1"/>
    <xf borderId="0" fillId="7" fontId="2" numFmtId="0" xfId="0" applyFont="1"/>
    <xf borderId="0" fillId="7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mart-freight-centre-media.s3.amazonaws.com/documents/GLEC_FRAMEWORK_v3.2_21_10_25_1.pdf" TargetMode="External"/><Relationship Id="rId2" Type="http://schemas.openxmlformats.org/officeDocument/2006/relationships/hyperlink" Target="https://smart-freight-centre-media.s3.amazonaws.com/documents/GLEC_FRAMEWORK_v3.2_21_10_25_1.pdf" TargetMode="External"/><Relationship Id="rId3" Type="http://schemas.openxmlformats.org/officeDocument/2006/relationships/hyperlink" Target="https://drive.google.com/drive/folders/12VX4mHIqxoohRv7OmZfyld5xXgVMdOMF" TargetMode="External"/><Relationship Id="rId4" Type="http://schemas.openxmlformats.org/officeDocument/2006/relationships/hyperlink" Target="https://smart-freight-centre-media.s3.amazonaws.com/documents/GLEC_FRAMEWORK_v3.2_21_10_25_1.pdf" TargetMode="External"/><Relationship Id="rId5" Type="http://schemas.openxmlformats.org/officeDocument/2006/relationships/hyperlink" Target="https://smart-freight-centre-media.s3.amazonaws.com/documents/GLEC_FRAMEWORK_v3.2_21_10_25_1.pdf" TargetMode="External"/><Relationship Id="rId6" Type="http://schemas.openxmlformats.org/officeDocument/2006/relationships/hyperlink" Target="https://smart-freight-centre-media.s3.amazonaws.com/documents/GLEC_FRAMEWORK_v3.2_21_10_25_1.pdf" TargetMode="External"/><Relationship Id="rId7" Type="http://schemas.openxmlformats.org/officeDocument/2006/relationships/hyperlink" Target="https://www.sciencedirect.com/science/article/abs/pii/S0959652621030110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3.63"/>
    <col customWidth="1" min="2" max="2" width="47.88"/>
    <col customWidth="1" min="3" max="3" width="15.88"/>
    <col customWidth="1" min="4" max="4" width="2.13"/>
    <col customWidth="1" min="5" max="5" width="24.38"/>
    <col customWidth="1" min="6" max="6" width="12.63"/>
    <col customWidth="1" min="7" max="7" width="1.5"/>
    <col customWidth="1" min="8" max="8" width="63.5"/>
    <col customWidth="1" min="9" max="9" width="45.5"/>
    <col customWidth="1" min="12" max="12" width="1.5"/>
    <col customWidth="1" min="13" max="18" width="20.88"/>
    <col customWidth="1" min="19" max="19" width="21.88"/>
    <col customWidth="1" min="20" max="20" width="20.88"/>
    <col customWidth="1" min="21" max="21" width="29.25"/>
    <col customWidth="1" min="22" max="22" width="31.38"/>
    <col customWidth="1" min="23" max="23" width="28.63"/>
    <col customWidth="1" min="25" max="25" width="18.0"/>
  </cols>
  <sheetData>
    <row r="1" ht="15.75" customHeight="1">
      <c r="A1" s="1" t="s">
        <v>0</v>
      </c>
      <c r="E1" s="4"/>
      <c r="G1" s="5"/>
      <c r="H1" s="1" t="s">
        <v>4</v>
      </c>
      <c r="L1" s="5"/>
      <c r="M1" s="7" t="s">
        <v>5</v>
      </c>
      <c r="N1" s="7" t="s">
        <v>7</v>
      </c>
      <c r="O1" s="7" t="s">
        <v>10</v>
      </c>
      <c r="P1" s="7" t="s">
        <v>11</v>
      </c>
      <c r="Q1" s="7" t="s">
        <v>13</v>
      </c>
      <c r="R1" s="7" t="s">
        <v>15</v>
      </c>
      <c r="S1" s="7" t="s">
        <v>16</v>
      </c>
      <c r="T1" s="7" t="s">
        <v>18</v>
      </c>
      <c r="U1" s="7"/>
      <c r="V1" s="7"/>
      <c r="W1" s="7"/>
      <c r="X1" s="7"/>
      <c r="Y1" s="7"/>
      <c r="Z1" s="7"/>
      <c r="AA1" s="7"/>
      <c r="AB1" s="7"/>
    </row>
    <row r="2" ht="15.75" customHeight="1">
      <c r="A2" s="4"/>
      <c r="E2" s="4"/>
      <c r="G2" s="5"/>
      <c r="L2" s="5"/>
      <c r="M2" s="2" t="s">
        <v>22</v>
      </c>
      <c r="N2" s="12">
        <v>17580.4</v>
      </c>
      <c r="O2" s="16">
        <f t="shared" ref="O2:O4" si="1">N2/($N$2+$N$3+$N$4)</f>
        <v>0.2655096068</v>
      </c>
      <c r="P2" s="18">
        <v>0.4694</v>
      </c>
      <c r="Q2" s="12">
        <f t="shared" ref="Q2:Q4" si="2">P2*N2</f>
        <v>8252.23976</v>
      </c>
      <c r="R2" s="16">
        <f t="shared" ref="R2:R4" si="3">Q2/(SUM($Q$2+$Q$3+$Q$4))</f>
        <v>0.5363493064</v>
      </c>
      <c r="S2" s="20">
        <f t="shared" ref="S2:S4" si="4">R2*$I$32</f>
        <v>13.30751782</v>
      </c>
      <c r="T2" s="21">
        <f t="shared" ref="T2:T4" si="5">(S2*1000)/N2</f>
        <v>0.756951936</v>
      </c>
      <c r="U2" s="11"/>
      <c r="V2" s="11"/>
      <c r="W2" s="11"/>
      <c r="X2" s="11"/>
      <c r="Y2" s="11"/>
      <c r="Z2" s="11"/>
    </row>
    <row r="3" ht="15.75" customHeight="1">
      <c r="A3" s="23" t="s">
        <v>34</v>
      </c>
      <c r="E3" s="4" t="s">
        <v>41</v>
      </c>
      <c r="G3" s="5"/>
      <c r="H3" s="4" t="s">
        <v>42</v>
      </c>
      <c r="L3" s="5"/>
      <c r="M3" s="2" t="s">
        <v>44</v>
      </c>
      <c r="N3" s="12">
        <v>4721.4</v>
      </c>
      <c r="O3" s="16">
        <f t="shared" si="1"/>
        <v>0.07130537743</v>
      </c>
      <c r="P3" s="18">
        <v>0.7799</v>
      </c>
      <c r="Q3" s="11">
        <f t="shared" si="2"/>
        <v>3682.21986</v>
      </c>
      <c r="R3" s="16">
        <f t="shared" si="3"/>
        <v>0.2393236413</v>
      </c>
      <c r="S3" s="20">
        <f t="shared" si="4"/>
        <v>5.937928103</v>
      </c>
      <c r="T3" s="21">
        <f t="shared" si="5"/>
        <v>1.25766258</v>
      </c>
      <c r="U3" s="11"/>
      <c r="V3" s="11"/>
      <c r="W3" s="11"/>
      <c r="X3" s="11"/>
      <c r="Y3" s="11"/>
      <c r="Z3" s="11"/>
    </row>
    <row r="4" ht="15.75" customHeight="1">
      <c r="B4" s="7" t="s">
        <v>51</v>
      </c>
      <c r="D4" s="8"/>
      <c r="E4" s="2" t="s">
        <v>53</v>
      </c>
      <c r="F4" s="25">
        <v>1966.7</v>
      </c>
      <c r="G4" s="5"/>
      <c r="I4" s="2" t="s">
        <v>55</v>
      </c>
      <c r="J4" s="2">
        <v>62244.55</v>
      </c>
      <c r="L4" s="5"/>
      <c r="M4" s="2" t="s">
        <v>59</v>
      </c>
      <c r="N4" s="12">
        <v>43912.0</v>
      </c>
      <c r="O4" s="16">
        <f t="shared" si="1"/>
        <v>0.6631850158</v>
      </c>
      <c r="P4" s="18">
        <v>0.0786</v>
      </c>
      <c r="Q4" s="11">
        <f t="shared" si="2"/>
        <v>3451.4832</v>
      </c>
      <c r="R4" s="16">
        <f t="shared" si="3"/>
        <v>0.2243270523</v>
      </c>
      <c r="S4" s="20">
        <f t="shared" si="4"/>
        <v>5.565843396</v>
      </c>
      <c r="T4" s="21">
        <f t="shared" si="5"/>
        <v>0.1267499407</v>
      </c>
      <c r="U4" s="11"/>
      <c r="V4" s="11"/>
      <c r="W4" s="11"/>
      <c r="X4" s="11"/>
      <c r="Y4" s="11"/>
      <c r="Z4" s="7"/>
    </row>
    <row r="5" ht="15.75" customHeight="1">
      <c r="B5" s="8" t="s">
        <v>0</v>
      </c>
      <c r="C5" s="29">
        <f>C15*'Emission Factors'!E3</f>
        <v>0.760476168</v>
      </c>
      <c r="D5" s="8"/>
      <c r="E5" s="2" t="s">
        <v>2</v>
      </c>
      <c r="F5" s="25">
        <f>F4-F6</f>
        <v>1966.7</v>
      </c>
      <c r="G5" s="5"/>
      <c r="I5" s="2" t="s">
        <v>73</v>
      </c>
      <c r="J5" s="14">
        <f>J4/1000</f>
        <v>62.24455</v>
      </c>
      <c r="L5" s="5"/>
      <c r="N5" s="31"/>
      <c r="P5" s="18"/>
      <c r="Q5" s="12"/>
      <c r="R5" s="12"/>
      <c r="S5" s="20"/>
      <c r="T5" s="11"/>
      <c r="U5" s="11"/>
      <c r="V5" s="11"/>
      <c r="W5" s="11"/>
      <c r="X5" s="11"/>
      <c r="Y5" s="11"/>
      <c r="Z5" s="7"/>
    </row>
    <row r="6" ht="15.75" customHeight="1">
      <c r="B6" s="8" t="s">
        <v>4</v>
      </c>
      <c r="C6" s="32">
        <f>C14*'Emission Factors'!E6</f>
        <v>0.05243910456</v>
      </c>
      <c r="D6" s="8"/>
      <c r="E6" s="2" t="s">
        <v>82</v>
      </c>
      <c r="F6" s="33">
        <v>0.0</v>
      </c>
      <c r="G6" s="5"/>
      <c r="I6" s="2" t="s">
        <v>85</v>
      </c>
      <c r="J6" s="34">
        <v>66.43</v>
      </c>
      <c r="L6" s="5"/>
      <c r="R6" s="16"/>
      <c r="S6" s="14"/>
      <c r="T6" s="35"/>
      <c r="W6" s="11"/>
      <c r="X6" s="11"/>
      <c r="Y6" s="11"/>
      <c r="Z6" s="7"/>
    </row>
    <row r="7" ht="15.75" customHeight="1">
      <c r="B7" s="8" t="s">
        <v>87</v>
      </c>
      <c r="C7" s="32">
        <f>C13*'Emission Factors'!E13</f>
        <v>0.1534130614</v>
      </c>
      <c r="D7" s="8"/>
      <c r="E7" s="2" t="s">
        <v>88</v>
      </c>
      <c r="F7" s="16">
        <f>F5/F4</f>
        <v>1</v>
      </c>
      <c r="G7" s="5"/>
      <c r="I7" s="2" t="s">
        <v>89</v>
      </c>
      <c r="J7" s="14">
        <f>J6*J5</f>
        <v>4134.905457</v>
      </c>
      <c r="L7" s="5"/>
      <c r="Q7" s="12"/>
      <c r="R7" s="12"/>
      <c r="S7" s="36"/>
      <c r="T7" s="16"/>
      <c r="Z7" s="7"/>
    </row>
    <row r="8" ht="15.75" customHeight="1">
      <c r="D8" s="8"/>
      <c r="E8" s="2" t="s">
        <v>90</v>
      </c>
      <c r="F8" s="16">
        <f>F6/F4</f>
        <v>0</v>
      </c>
      <c r="G8" s="5"/>
      <c r="I8" s="2" t="s">
        <v>91</v>
      </c>
      <c r="J8" s="14">
        <f>J7/1000</f>
        <v>4.134905457</v>
      </c>
      <c r="L8" s="5"/>
      <c r="P8" s="2" t="s">
        <v>83</v>
      </c>
      <c r="T8" s="37"/>
      <c r="U8" s="37"/>
      <c r="V8" s="37"/>
      <c r="Z8" s="7"/>
    </row>
    <row r="9" ht="15.75" customHeight="1">
      <c r="B9" s="8" t="s">
        <v>92</v>
      </c>
      <c r="C9" s="29">
        <f>SUM(C5:C7)</f>
        <v>0.966328334</v>
      </c>
      <c r="D9" s="8"/>
      <c r="G9" s="5"/>
      <c r="H9" s="4" t="s">
        <v>93</v>
      </c>
      <c r="L9" s="5"/>
      <c r="T9" s="38"/>
      <c r="U9" s="38"/>
      <c r="V9" s="39"/>
      <c r="Z9" s="7"/>
    </row>
    <row r="10" ht="15.75" customHeight="1">
      <c r="B10" s="2" t="s">
        <v>94</v>
      </c>
      <c r="C10" s="21">
        <f>SUM(C5,C7)</f>
        <v>0.9138892294</v>
      </c>
      <c r="D10" s="8"/>
      <c r="E10" s="6" t="s">
        <v>95</v>
      </c>
      <c r="F10" s="14"/>
      <c r="G10" s="5"/>
      <c r="I10" s="2" t="s">
        <v>96</v>
      </c>
      <c r="J10" s="2">
        <v>0.83351</v>
      </c>
      <c r="L10" s="5"/>
      <c r="T10" s="38"/>
      <c r="U10" s="39"/>
      <c r="V10" s="39"/>
      <c r="Z10" s="7"/>
    </row>
    <row r="11" ht="15.75" customHeight="1">
      <c r="B11" s="8" t="s">
        <v>97</v>
      </c>
      <c r="C11" s="29">
        <f>C9-C10</f>
        <v>0.05243910456</v>
      </c>
      <c r="D11" s="8"/>
      <c r="E11" s="8" t="s">
        <v>98</v>
      </c>
      <c r="F11" s="21">
        <f>Sum(C10,C39,C81,C89)</f>
        <v>6.735062547</v>
      </c>
      <c r="G11" s="5"/>
      <c r="I11" s="2" t="s">
        <v>99</v>
      </c>
      <c r="J11" s="14">
        <f>J10*(F5*(1.01))</f>
        <v>1655.656758</v>
      </c>
      <c r="L11" s="5"/>
      <c r="T11" s="38"/>
      <c r="U11" s="38"/>
      <c r="V11" s="39"/>
      <c r="Z11" s="7"/>
    </row>
    <row r="12" ht="15.75" customHeight="1">
      <c r="B12" s="8"/>
      <c r="C12" s="40"/>
      <c r="D12" s="8"/>
      <c r="E12" s="8" t="s">
        <v>100</v>
      </c>
      <c r="F12" s="14">
        <f>C62</f>
        <v>35432.84369</v>
      </c>
      <c r="G12" s="5"/>
      <c r="I12" s="2" t="s">
        <v>101</v>
      </c>
      <c r="J12" s="14">
        <f>J11/1000</f>
        <v>1.655656758</v>
      </c>
      <c r="L12" s="5"/>
      <c r="O12" s="41"/>
      <c r="T12" s="38"/>
      <c r="U12" s="38"/>
      <c r="V12" s="39"/>
      <c r="Z12" s="7"/>
    </row>
    <row r="13" ht="15.75" customHeight="1">
      <c r="B13" s="8" t="s">
        <v>102</v>
      </c>
      <c r="C13" s="40">
        <v>101.01</v>
      </c>
      <c r="D13" s="8"/>
      <c r="G13" s="5"/>
      <c r="L13" s="5"/>
      <c r="O13" s="42"/>
      <c r="T13" s="39"/>
      <c r="U13" s="38"/>
      <c r="V13" s="39"/>
    </row>
    <row r="14" ht="15.75" customHeight="1">
      <c r="B14" s="8" t="s">
        <v>103</v>
      </c>
      <c r="C14" s="43">
        <v>272.0</v>
      </c>
      <c r="D14" s="8"/>
      <c r="G14" s="5"/>
      <c r="L14" s="5"/>
      <c r="M14" s="44"/>
      <c r="T14" s="39"/>
      <c r="U14" s="39"/>
      <c r="V14" s="39"/>
    </row>
    <row r="15" ht="15.75" customHeight="1">
      <c r="B15" s="8" t="s">
        <v>104</v>
      </c>
      <c r="C15" s="43">
        <v>5494.77</v>
      </c>
      <c r="D15" s="8"/>
      <c r="G15" s="5"/>
      <c r="L15" s="5"/>
      <c r="M15" s="44"/>
      <c r="T15" s="39"/>
      <c r="U15" s="39"/>
      <c r="V15" s="39"/>
    </row>
    <row r="16" ht="15.75" customHeight="1">
      <c r="B16" s="8"/>
      <c r="C16" s="40"/>
      <c r="D16" s="8"/>
      <c r="E16" s="8"/>
      <c r="F16" s="10"/>
      <c r="G16" s="5"/>
      <c r="L16" s="5"/>
      <c r="O16" s="45"/>
      <c r="P16" s="45"/>
      <c r="R16" s="11"/>
      <c r="S16" s="45"/>
      <c r="T16" s="11"/>
      <c r="U16" s="36"/>
    </row>
    <row r="17" ht="15.75" customHeight="1">
      <c r="A17" s="23" t="s">
        <v>105</v>
      </c>
      <c r="G17" s="5"/>
      <c r="H17" s="5"/>
      <c r="I17" s="5"/>
      <c r="J17" s="5"/>
      <c r="L17" s="5"/>
      <c r="N17" s="11"/>
      <c r="O17" s="45"/>
      <c r="P17" s="45"/>
      <c r="Q17" s="11"/>
      <c r="R17" s="11"/>
      <c r="S17" s="45"/>
      <c r="T17" s="11"/>
      <c r="U17" s="36"/>
    </row>
    <row r="18" ht="15.75" customHeight="1">
      <c r="B18" s="2" t="s">
        <v>106</v>
      </c>
      <c r="C18" s="14">
        <v>9978.34076</v>
      </c>
      <c r="G18" s="5"/>
      <c r="H18" s="46" t="s">
        <v>107</v>
      </c>
      <c r="I18" s="47" t="s">
        <v>108</v>
      </c>
      <c r="J18" s="47" t="s">
        <v>109</v>
      </c>
      <c r="K18" s="48"/>
      <c r="L18" s="5"/>
      <c r="M18" s="7"/>
      <c r="N18" s="49"/>
      <c r="O18" s="11"/>
      <c r="P18" s="11"/>
      <c r="S18" s="11"/>
      <c r="T18" s="11"/>
      <c r="U18" s="36"/>
    </row>
    <row r="19" ht="15.75" customHeight="1">
      <c r="B19" s="2" t="s">
        <v>110</v>
      </c>
      <c r="C19" s="16">
        <v>0.75</v>
      </c>
      <c r="G19" s="5"/>
      <c r="H19" s="50" t="s">
        <v>34</v>
      </c>
      <c r="I19" s="51">
        <f>C11*F7</f>
        <v>0.05243910456</v>
      </c>
      <c r="J19" s="52">
        <f t="shared" ref="J19:J29" si="6">I19/$I$32</f>
        <v>0.002113517919</v>
      </c>
      <c r="K19" s="53"/>
      <c r="L19" s="5"/>
      <c r="M19" s="54"/>
      <c r="N19" s="11"/>
      <c r="O19" s="49"/>
      <c r="P19" s="49"/>
      <c r="R19" s="11"/>
      <c r="S19" s="49"/>
      <c r="T19" s="49"/>
      <c r="U19" s="55"/>
      <c r="V19" s="7"/>
    </row>
    <row r="20" ht="15.75" customHeight="1">
      <c r="B20" s="2" t="s">
        <v>111</v>
      </c>
      <c r="C20" s="2">
        <v>2838.75</v>
      </c>
      <c r="G20" s="5"/>
      <c r="H20" s="50" t="s">
        <v>37</v>
      </c>
      <c r="I20" s="56">
        <f>C27*F7</f>
        <v>16.98158592</v>
      </c>
      <c r="J20" s="52">
        <f t="shared" si="6"/>
        <v>0.6844298056</v>
      </c>
      <c r="K20" s="53"/>
      <c r="L20" s="5"/>
      <c r="M20" s="54"/>
    </row>
    <row r="21" ht="15.75" customHeight="1">
      <c r="B21" s="2" t="s">
        <v>112</v>
      </c>
      <c r="C21" s="14">
        <v>9145.640759999998</v>
      </c>
      <c r="G21" s="5"/>
      <c r="H21" s="50" t="s">
        <v>40</v>
      </c>
      <c r="I21" s="56">
        <f>C40*F7</f>
        <v>0</v>
      </c>
      <c r="J21" s="52">
        <f t="shared" si="6"/>
        <v>0</v>
      </c>
      <c r="K21" s="53"/>
      <c r="L21" s="5"/>
    </row>
    <row r="22" ht="15.75" customHeight="1">
      <c r="B22" s="2" t="s">
        <v>113</v>
      </c>
      <c r="C22" s="14">
        <v>2416.023828330352</v>
      </c>
      <c r="G22" s="5"/>
      <c r="H22" s="50" t="s">
        <v>45</v>
      </c>
      <c r="I22" s="56">
        <f>C48*F7</f>
        <v>0.4866898597</v>
      </c>
      <c r="J22" s="52">
        <f t="shared" si="6"/>
        <v>0.01961566179</v>
      </c>
      <c r="K22" s="53"/>
      <c r="L22" s="5"/>
      <c r="M22" s="44"/>
      <c r="N22" s="11"/>
      <c r="Q22" s="12"/>
    </row>
    <row r="23" ht="15.75" customHeight="1">
      <c r="B23" s="2" t="s">
        <v>114</v>
      </c>
      <c r="C23" s="14">
        <v>4618.543630951151</v>
      </c>
      <c r="G23" s="5"/>
      <c r="H23" s="50" t="s">
        <v>47</v>
      </c>
      <c r="I23" s="56">
        <f>C64*F7</f>
        <v>1.298314164</v>
      </c>
      <c r="J23" s="52">
        <f t="shared" si="6"/>
        <v>0.05232755732</v>
      </c>
      <c r="K23" s="53"/>
      <c r="L23" s="5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ht="15.75" customHeight="1">
      <c r="B24" s="2" t="s">
        <v>115</v>
      </c>
      <c r="C24" s="16">
        <v>0.0129</v>
      </c>
      <c r="G24" s="5"/>
      <c r="H24" s="50" t="s">
        <v>52</v>
      </c>
      <c r="I24" s="51">
        <f>C69*F7</f>
        <v>0.12021179</v>
      </c>
      <c r="J24" s="52">
        <f t="shared" si="6"/>
        <v>0.004845044065</v>
      </c>
      <c r="K24" s="53"/>
      <c r="L24" s="5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ht="15.75" customHeight="1">
      <c r="B25" s="2" t="s">
        <v>116</v>
      </c>
      <c r="C25" s="14">
        <f>C23*(1+C24)</f>
        <v>4678.122844</v>
      </c>
      <c r="G25" s="5"/>
      <c r="H25" s="50" t="s">
        <v>56</v>
      </c>
      <c r="I25" s="51">
        <f>C75*F7</f>
        <v>0.01422039959</v>
      </c>
      <c r="J25" s="52">
        <f t="shared" si="6"/>
        <v>0.0005731423067</v>
      </c>
      <c r="K25" s="53"/>
      <c r="L25" s="5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ht="15.75" customHeight="1">
      <c r="B26" s="2" t="s">
        <v>117</v>
      </c>
      <c r="C26" s="2">
        <f>'Emission Factors'!E15*1000</f>
        <v>3.63</v>
      </c>
      <c r="G26" s="5"/>
      <c r="H26" s="50" t="s">
        <v>60</v>
      </c>
      <c r="I26" s="51">
        <f>C82*F7</f>
        <v>0.0672658593</v>
      </c>
      <c r="J26" s="52">
        <f t="shared" si="6"/>
        <v>0.002711098905</v>
      </c>
      <c r="K26" s="53"/>
      <c r="L26" s="5"/>
      <c r="N26" s="57"/>
      <c r="Q26" s="12"/>
      <c r="R26" s="12"/>
      <c r="S26" s="36"/>
      <c r="T26" s="16"/>
      <c r="U26" s="12"/>
      <c r="V26" s="36"/>
      <c r="W26" s="12"/>
      <c r="X26" s="36"/>
      <c r="Y26" s="11"/>
    </row>
    <row r="27" ht="15.75" customHeight="1">
      <c r="B27" s="2" t="s">
        <v>118</v>
      </c>
      <c r="C27" s="14">
        <f>(C25*C26)/1000</f>
        <v>16.98158592</v>
      </c>
      <c r="G27" s="5"/>
      <c r="H27" s="50" t="s">
        <v>62</v>
      </c>
      <c r="I27" s="56">
        <f>C90*F7</f>
        <v>0</v>
      </c>
      <c r="J27" s="52">
        <f t="shared" si="6"/>
        <v>0</v>
      </c>
      <c r="K27" s="53"/>
      <c r="L27" s="5"/>
      <c r="N27" s="57"/>
      <c r="Q27" s="12"/>
      <c r="R27" s="12"/>
      <c r="S27" s="36"/>
      <c r="T27" s="16"/>
      <c r="U27" s="12"/>
      <c r="V27" s="36"/>
      <c r="W27" s="12"/>
      <c r="X27" s="36"/>
      <c r="Y27" s="11"/>
    </row>
    <row r="28" ht="15.75" customHeight="1">
      <c r="G28" s="5"/>
      <c r="H28" s="50" t="s">
        <v>63</v>
      </c>
      <c r="I28" s="56">
        <f>J8*F7</f>
        <v>4.134905457</v>
      </c>
      <c r="J28" s="52">
        <f t="shared" si="6"/>
        <v>0.1666541954</v>
      </c>
      <c r="K28" s="53"/>
      <c r="L28" s="5"/>
      <c r="N28" s="57"/>
      <c r="Q28" s="12"/>
      <c r="R28" s="12"/>
      <c r="S28" s="36"/>
      <c r="T28" s="16"/>
      <c r="U28" s="12"/>
      <c r="V28" s="36"/>
      <c r="W28" s="12"/>
      <c r="X28" s="36"/>
      <c r="Y28" s="11"/>
    </row>
    <row r="29" ht="15.75" customHeight="1">
      <c r="A29" s="58" t="s">
        <v>119</v>
      </c>
      <c r="D29" s="11"/>
      <c r="G29" s="5"/>
      <c r="H29" s="50" t="s">
        <v>64</v>
      </c>
      <c r="I29" s="56">
        <f>J12*F7</f>
        <v>1.655656758</v>
      </c>
      <c r="J29" s="52">
        <f t="shared" si="6"/>
        <v>0.06672997671</v>
      </c>
      <c r="K29" s="53"/>
      <c r="L29" s="5"/>
      <c r="N29" s="57"/>
      <c r="Q29" s="12"/>
      <c r="R29" s="12"/>
      <c r="S29" s="36"/>
      <c r="T29" s="16"/>
      <c r="U29" s="12"/>
      <c r="V29" s="36"/>
      <c r="W29" s="12"/>
      <c r="X29" s="36"/>
      <c r="Y29" s="11"/>
    </row>
    <row r="30" ht="15.75" customHeight="1">
      <c r="B30" s="6" t="s">
        <v>120</v>
      </c>
      <c r="C30" s="10">
        <v>1737.5031900000001</v>
      </c>
      <c r="G30" s="5"/>
      <c r="H30" s="50"/>
      <c r="I30" s="59"/>
      <c r="J30" s="52"/>
      <c r="K30" s="53"/>
      <c r="L30" s="5"/>
      <c r="N30" s="57"/>
      <c r="P30" s="16"/>
      <c r="Q30" s="12"/>
      <c r="R30" s="12"/>
      <c r="S30" s="36"/>
      <c r="T30" s="16"/>
      <c r="U30" s="12"/>
      <c r="V30" s="36"/>
      <c r="W30" s="12"/>
      <c r="X30" s="36"/>
      <c r="Y30" s="11"/>
    </row>
    <row r="31" ht="15.75" customHeight="1">
      <c r="B31" s="6" t="s">
        <v>121</v>
      </c>
      <c r="C31" s="60">
        <v>459.0</v>
      </c>
      <c r="D31" s="28"/>
      <c r="G31" s="5"/>
      <c r="H31" s="59"/>
      <c r="I31" s="59"/>
      <c r="J31" s="52"/>
      <c r="K31" s="53"/>
      <c r="L31" s="5"/>
      <c r="N31" s="57"/>
      <c r="P31" s="16"/>
      <c r="Q31" s="12"/>
      <c r="R31" s="12"/>
      <c r="S31" s="36"/>
      <c r="T31" s="16"/>
      <c r="U31" s="12"/>
      <c r="V31" s="36"/>
      <c r="W31" s="12"/>
      <c r="X31" s="36"/>
      <c r="Y31" s="11"/>
    </row>
    <row r="32" ht="15.75" customHeight="1">
      <c r="B32" s="6" t="s">
        <v>122</v>
      </c>
      <c r="C32" s="10">
        <v>0.0</v>
      </c>
      <c r="D32" s="20"/>
      <c r="G32" s="5"/>
      <c r="H32" s="50" t="s">
        <v>123</v>
      </c>
      <c r="I32" s="51">
        <f>SUM(I19:I29)</f>
        <v>24.81128931</v>
      </c>
      <c r="J32" s="52"/>
      <c r="K32" s="53"/>
      <c r="L32" s="5"/>
      <c r="M32" s="7"/>
      <c r="N32" s="7"/>
      <c r="O32" s="7"/>
      <c r="P32" s="7"/>
      <c r="Q32" s="7"/>
      <c r="R32" s="7"/>
      <c r="S32" s="55"/>
      <c r="T32" s="7"/>
      <c r="U32" s="61"/>
      <c r="V32" s="7"/>
      <c r="W32" s="61"/>
      <c r="X32" s="7"/>
      <c r="Y32" s="7"/>
      <c r="Z32" s="7"/>
      <c r="AA32" s="7"/>
      <c r="AB32" s="7"/>
    </row>
    <row r="33" ht="15.75" customHeight="1">
      <c r="B33" s="6" t="s">
        <v>124</v>
      </c>
      <c r="C33" s="10">
        <v>459.0</v>
      </c>
      <c r="G33" s="5"/>
      <c r="L33" s="5"/>
      <c r="N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ht="15.75" customHeight="1">
      <c r="B34" s="6" t="s">
        <v>125</v>
      </c>
      <c r="C34" s="62">
        <v>1476.71775</v>
      </c>
      <c r="G34" s="5"/>
      <c r="L34" s="5"/>
      <c r="N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ht="15.75" customHeight="1">
      <c r="B35" s="8" t="s">
        <v>115</v>
      </c>
      <c r="C35" s="63">
        <v>0.0129</v>
      </c>
      <c r="G35" s="5"/>
      <c r="K35" s="53"/>
      <c r="L35" s="5"/>
      <c r="N35" s="14"/>
      <c r="O35" s="45"/>
      <c r="R35" s="11"/>
    </row>
    <row r="36" ht="15.75" customHeight="1">
      <c r="B36" s="8" t="s">
        <v>116</v>
      </c>
      <c r="C36" s="62">
        <f>C34*(1+C35)</f>
        <v>1495.767409</v>
      </c>
      <c r="G36" s="5"/>
      <c r="H36" s="4"/>
      <c r="K36" s="53"/>
      <c r="L36" s="5"/>
      <c r="N36" s="14"/>
      <c r="O36" s="45"/>
      <c r="R36" s="11"/>
    </row>
    <row r="37" ht="15.75" customHeight="1">
      <c r="B37" s="2" t="s">
        <v>126</v>
      </c>
      <c r="C37" s="2">
        <f>'Emission Factors'!E14*1000</f>
        <v>3.87</v>
      </c>
      <c r="G37" s="5"/>
      <c r="H37" s="4"/>
      <c r="K37" s="53"/>
      <c r="L37" s="5"/>
      <c r="N37" s="14"/>
      <c r="O37" s="45"/>
      <c r="R37" s="11"/>
    </row>
    <row r="38" ht="15.75" customHeight="1">
      <c r="B38" s="2" t="s">
        <v>127</v>
      </c>
      <c r="C38" s="14">
        <f>(C37*C36)/1000</f>
        <v>5.788619873</v>
      </c>
      <c r="D38" s="11"/>
      <c r="G38" s="5"/>
      <c r="L38" s="5"/>
      <c r="N38" s="11"/>
      <c r="O38" s="45"/>
    </row>
    <row r="39" ht="15.75" customHeight="1">
      <c r="B39" s="8" t="s">
        <v>128</v>
      </c>
      <c r="C39" s="14">
        <f>C38</f>
        <v>5.788619873</v>
      </c>
      <c r="G39" s="5"/>
      <c r="L39" s="5"/>
      <c r="M39" s="7"/>
      <c r="N39" s="49"/>
    </row>
    <row r="40" ht="15.75" customHeight="1">
      <c r="B40" s="8" t="s">
        <v>129</v>
      </c>
      <c r="C40" s="14">
        <f>C38-C39</f>
        <v>0</v>
      </c>
      <c r="G40" s="5"/>
      <c r="L40" s="5"/>
      <c r="M40" s="7"/>
      <c r="N40" s="49"/>
    </row>
    <row r="41" ht="15.75" customHeight="1">
      <c r="G41" s="5"/>
      <c r="H41" s="64"/>
      <c r="I41" s="7"/>
      <c r="L41" s="5"/>
    </row>
    <row r="42" ht="15.75" customHeight="1">
      <c r="A42" s="23" t="s">
        <v>130</v>
      </c>
      <c r="G42" s="5"/>
      <c r="H42" s="4"/>
      <c r="L42" s="5"/>
    </row>
    <row r="43" ht="15.75" customHeight="1">
      <c r="B43" s="2" t="s">
        <v>131</v>
      </c>
      <c r="C43" s="14">
        <v>46.492</v>
      </c>
      <c r="G43" s="5"/>
      <c r="H43" s="4"/>
      <c r="J43" s="65"/>
      <c r="L43" s="5"/>
    </row>
    <row r="44" ht="15.75" customHeight="1">
      <c r="B44" s="2" t="s">
        <v>132</v>
      </c>
      <c r="C44" s="14">
        <v>128.4736682</v>
      </c>
      <c r="G44" s="5"/>
      <c r="H44" s="4"/>
      <c r="J44" s="65"/>
      <c r="L44" s="5"/>
    </row>
    <row r="45" ht="15.75" customHeight="1">
      <c r="B45" s="2" t="s">
        <v>115</v>
      </c>
      <c r="C45" s="16">
        <v>0.0129</v>
      </c>
      <c r="G45" s="5"/>
      <c r="H45" s="4"/>
      <c r="L45" s="5"/>
    </row>
    <row r="46" ht="15.75" customHeight="1">
      <c r="B46" s="2" t="s">
        <v>116</v>
      </c>
      <c r="C46" s="14">
        <f>C44*(1+C45)</f>
        <v>130.1309785</v>
      </c>
      <c r="G46" s="5"/>
      <c r="H46" s="4"/>
      <c r="J46" s="65"/>
      <c r="L46" s="5"/>
    </row>
    <row r="47" ht="15.75" customHeight="1">
      <c r="B47" s="2" t="s">
        <v>133</v>
      </c>
      <c r="C47" s="2">
        <f>'Emission Factors'!E16*1000</f>
        <v>3.74</v>
      </c>
      <c r="G47" s="5"/>
      <c r="H47" s="4"/>
      <c r="J47" s="66"/>
      <c r="L47" s="5"/>
    </row>
    <row r="48" ht="15.75" customHeight="1">
      <c r="B48" s="2" t="s">
        <v>134</v>
      </c>
      <c r="C48" s="14">
        <f>(C47*C46)/1000</f>
        <v>0.4866898597</v>
      </c>
      <c r="G48" s="5"/>
      <c r="H48" s="4"/>
      <c r="J48" s="65"/>
      <c r="L48" s="5"/>
    </row>
    <row r="49" ht="15.75" customHeight="1">
      <c r="D49" s="11"/>
      <c r="G49" s="5"/>
      <c r="H49" s="4"/>
      <c r="J49" s="65"/>
      <c r="L49" s="5"/>
    </row>
    <row r="50" ht="15.75" customHeight="1">
      <c r="A50" s="23" t="s">
        <v>135</v>
      </c>
      <c r="G50" s="5"/>
      <c r="H50" s="4"/>
      <c r="J50" s="65"/>
      <c r="L50" s="5"/>
    </row>
    <row r="51" ht="15.75" customHeight="1">
      <c r="B51" s="8" t="s">
        <v>136</v>
      </c>
      <c r="C51" s="67">
        <v>43478.12</v>
      </c>
      <c r="G51" s="5"/>
      <c r="H51" s="4"/>
      <c r="J51" s="65"/>
      <c r="L51" s="5"/>
    </row>
    <row r="52" ht="15.75" customHeight="1">
      <c r="B52" s="8" t="s">
        <v>137</v>
      </c>
      <c r="C52" s="63">
        <v>0.02</v>
      </c>
      <c r="G52" s="5"/>
      <c r="H52" s="4"/>
      <c r="J52" s="65"/>
      <c r="L52" s="5"/>
    </row>
    <row r="53" ht="15.75" customHeight="1">
      <c r="B53" s="8" t="s">
        <v>138</v>
      </c>
      <c r="C53" s="62">
        <f>C51*(1+C52)</f>
        <v>44347.6824</v>
      </c>
      <c r="G53" s="5"/>
      <c r="H53" s="4"/>
      <c r="J53" s="65"/>
      <c r="L53" s="5"/>
    </row>
    <row r="54" ht="15.75" customHeight="1">
      <c r="B54" s="8" t="s">
        <v>139</v>
      </c>
      <c r="C54" s="10">
        <v>9212.0</v>
      </c>
      <c r="G54" s="5"/>
      <c r="H54" s="4"/>
      <c r="J54" s="65"/>
      <c r="L54" s="5"/>
    </row>
    <row r="55" ht="15.75" customHeight="1">
      <c r="B55" s="8" t="s">
        <v>140</v>
      </c>
      <c r="C55" s="10">
        <v>31.0</v>
      </c>
      <c r="G55" s="5"/>
      <c r="J55" s="64"/>
      <c r="L55" s="5"/>
    </row>
    <row r="56" ht="15.75" customHeight="1">
      <c r="B56" s="8" t="s">
        <v>141</v>
      </c>
      <c r="C56" s="62">
        <f>C54/C55</f>
        <v>297.1612903</v>
      </c>
      <c r="G56" s="5"/>
      <c r="H56" s="4"/>
      <c r="J56" s="64"/>
      <c r="L56" s="5"/>
    </row>
    <row r="57" ht="15.75" customHeight="1">
      <c r="B57" s="8" t="s">
        <v>142</v>
      </c>
      <c r="C57" s="10">
        <v>30.0</v>
      </c>
      <c r="G57" s="5"/>
      <c r="L57" s="5"/>
    </row>
    <row r="58" ht="15.75" customHeight="1">
      <c r="B58" s="8" t="s">
        <v>143</v>
      </c>
      <c r="C58" s="62">
        <f>(C56*C57)</f>
        <v>8914.83871</v>
      </c>
      <c r="G58" s="5"/>
      <c r="L58" s="5"/>
    </row>
    <row r="59" ht="15.75" customHeight="1">
      <c r="B59" s="8" t="s">
        <v>144</v>
      </c>
      <c r="C59" s="62">
        <f>C53-C58</f>
        <v>35432.84369</v>
      </c>
      <c r="G59" s="5"/>
      <c r="L59" s="5"/>
    </row>
    <row r="60" ht="15.75" customHeight="1">
      <c r="B60" s="2" t="s">
        <v>145</v>
      </c>
      <c r="C60" s="35">
        <f>'Emission Factors'!E10*1000</f>
        <v>0.4890238251</v>
      </c>
      <c r="G60" s="5"/>
      <c r="I60" s="16"/>
      <c r="L60" s="5"/>
    </row>
    <row r="61" ht="15.75" customHeight="1">
      <c r="B61" s="2" t="s">
        <v>146</v>
      </c>
      <c r="C61" s="14">
        <f>(C60*C59)/1000</f>
        <v>17.32750476</v>
      </c>
      <c r="G61" s="5"/>
      <c r="L61" s="5"/>
    </row>
    <row r="62" ht="15.75" customHeight="1">
      <c r="B62" s="2" t="s">
        <v>147</v>
      </c>
      <c r="C62" s="14">
        <f>C59</f>
        <v>35432.84369</v>
      </c>
      <c r="G62" s="5"/>
      <c r="L62" s="5"/>
    </row>
    <row r="63" ht="15.75" customHeight="1">
      <c r="B63" s="2" t="s">
        <v>148</v>
      </c>
      <c r="C63" s="68">
        <f>'Emission Factors'!E11*1000</f>
        <v>0.03664154577</v>
      </c>
      <c r="G63" s="5"/>
      <c r="L63" s="5"/>
    </row>
    <row r="64" ht="15.75" customHeight="1">
      <c r="B64" s="2" t="s">
        <v>129</v>
      </c>
      <c r="C64" s="14">
        <f>(C63*C62)/1000</f>
        <v>1.298314164</v>
      </c>
      <c r="G64" s="5"/>
      <c r="L64" s="5"/>
    </row>
    <row r="65" ht="15.75" customHeight="1">
      <c r="G65" s="5"/>
      <c r="L65" s="5"/>
    </row>
    <row r="66" ht="15.75" customHeight="1">
      <c r="A66" s="23" t="s">
        <v>149</v>
      </c>
      <c r="G66" s="5"/>
      <c r="L66" s="5"/>
    </row>
    <row r="67" ht="15.75" customHeight="1">
      <c r="B67" s="2" t="s">
        <v>150</v>
      </c>
      <c r="C67" s="2">
        <v>62244.55</v>
      </c>
      <c r="G67" s="5"/>
      <c r="L67" s="5"/>
    </row>
    <row r="68" ht="15.75" customHeight="1">
      <c r="B68" s="2" t="s">
        <v>151</v>
      </c>
      <c r="C68" s="2">
        <v>1.931282177E-6</v>
      </c>
      <c r="G68" s="5"/>
      <c r="L68" s="5"/>
    </row>
    <row r="69" ht="15.75" customHeight="1">
      <c r="B69" s="2" t="s">
        <v>152</v>
      </c>
      <c r="C69" s="69">
        <f>C68*C67</f>
        <v>0.12021179</v>
      </c>
      <c r="G69" s="5"/>
      <c r="L69" s="5"/>
    </row>
    <row r="70" ht="15.75" customHeight="1">
      <c r="G70" s="5"/>
      <c r="L70" s="5"/>
    </row>
    <row r="71" ht="15.75" customHeight="1">
      <c r="A71" s="23" t="s">
        <v>153</v>
      </c>
      <c r="G71" s="5"/>
      <c r="L71" s="5"/>
    </row>
    <row r="72" ht="15.75" customHeight="1">
      <c r="B72" s="8" t="s">
        <v>154</v>
      </c>
      <c r="C72" s="14">
        <v>8166.59</v>
      </c>
      <c r="G72" s="5"/>
      <c r="L72" s="5"/>
    </row>
    <row r="73" ht="15.75" customHeight="1">
      <c r="B73" s="8" t="s">
        <v>155</v>
      </c>
      <c r="C73" s="14">
        <v>30951.38</v>
      </c>
      <c r="G73" s="5"/>
      <c r="L73" s="5"/>
    </row>
    <row r="74" ht="15.75" customHeight="1">
      <c r="B74" s="2" t="s">
        <v>156</v>
      </c>
      <c r="C74" s="70">
        <f>'Emission Factors'!E17*1000</f>
        <v>0.001741289766</v>
      </c>
      <c r="G74" s="5"/>
      <c r="L74" s="5"/>
    </row>
    <row r="75" ht="15.75" customHeight="1">
      <c r="B75" s="2" t="s">
        <v>157</v>
      </c>
      <c r="C75" s="71">
        <f>(C74*C72)/1000</f>
        <v>0.01422039959</v>
      </c>
      <c r="D75" s="72"/>
      <c r="G75" s="5"/>
      <c r="L75" s="5"/>
    </row>
    <row r="76" ht="15.75" customHeight="1">
      <c r="D76" s="73"/>
      <c r="G76" s="5"/>
      <c r="L76" s="5"/>
    </row>
    <row r="77" ht="15.75" customHeight="1">
      <c r="A77" s="23" t="s">
        <v>158</v>
      </c>
      <c r="C77" s="72"/>
      <c r="D77" s="72"/>
      <c r="G77" s="5"/>
      <c r="L77" s="5"/>
    </row>
    <row r="78" ht="15.75" customHeight="1">
      <c r="B78" s="8" t="s">
        <v>159</v>
      </c>
      <c r="C78" s="32">
        <v>0.0325534446</v>
      </c>
      <c r="D78" s="72"/>
      <c r="G78" s="5"/>
      <c r="L78" s="5"/>
    </row>
    <row r="79" ht="15.75" customHeight="1">
      <c r="B79" s="8" t="s">
        <v>160</v>
      </c>
      <c r="C79" s="32">
        <v>0.0672658592</v>
      </c>
      <c r="D79" s="72"/>
      <c r="G79" s="5"/>
      <c r="L79" s="5"/>
    </row>
    <row r="80" ht="15.75" customHeight="1">
      <c r="B80" s="8" t="s">
        <v>92</v>
      </c>
      <c r="C80" s="32">
        <v>0.0998193039</v>
      </c>
      <c r="G80" s="5"/>
      <c r="L80" s="5"/>
    </row>
    <row r="81" ht="15.75" customHeight="1">
      <c r="B81" s="8" t="s">
        <v>128</v>
      </c>
      <c r="C81" s="29">
        <f>C78</f>
        <v>0.0325534446</v>
      </c>
      <c r="G81" s="5"/>
      <c r="L81" s="5"/>
    </row>
    <row r="82" ht="15.75" customHeight="1">
      <c r="B82" s="8" t="s">
        <v>129</v>
      </c>
      <c r="C82" s="29">
        <f>C80-C78</f>
        <v>0.0672658593</v>
      </c>
      <c r="G82" s="5"/>
      <c r="L82" s="5"/>
    </row>
    <row r="83" ht="15.75" customHeight="1">
      <c r="A83" s="58" t="s">
        <v>161</v>
      </c>
      <c r="G83" s="5"/>
      <c r="L83" s="5"/>
    </row>
    <row r="84" ht="15.75" customHeight="1">
      <c r="A84" s="4"/>
      <c r="B84" s="8" t="s">
        <v>162</v>
      </c>
      <c r="C84" s="32">
        <v>0.0</v>
      </c>
      <c r="G84" s="5"/>
      <c r="L84" s="5"/>
    </row>
    <row r="85" ht="15.75" customHeight="1">
      <c r="B85" s="8" t="s">
        <v>163</v>
      </c>
      <c r="C85" s="32">
        <v>0.0</v>
      </c>
      <c r="G85" s="5"/>
      <c r="L85" s="5"/>
    </row>
    <row r="86" ht="15.75" customHeight="1">
      <c r="B86" s="8" t="s">
        <v>164</v>
      </c>
      <c r="C86" s="32">
        <v>0.0</v>
      </c>
      <c r="G86" s="5"/>
      <c r="L86" s="5"/>
    </row>
    <row r="87" ht="15.75" customHeight="1">
      <c r="B87" s="2"/>
      <c r="C87" s="24"/>
      <c r="G87" s="5"/>
      <c r="L87" s="5"/>
    </row>
    <row r="88" ht="15.75" customHeight="1">
      <c r="B88" s="2" t="s">
        <v>92</v>
      </c>
      <c r="C88" s="35">
        <f>SUM(C84,C85,C86)</f>
        <v>0</v>
      </c>
      <c r="G88" s="5"/>
      <c r="L88" s="5"/>
    </row>
    <row r="89" ht="15.75" customHeight="1">
      <c r="B89" s="8" t="s">
        <v>128</v>
      </c>
      <c r="C89" s="35">
        <f>C84</f>
        <v>0</v>
      </c>
      <c r="G89" s="5"/>
      <c r="L89" s="5"/>
    </row>
    <row r="90" ht="15.75" customHeight="1">
      <c r="B90" s="8" t="s">
        <v>129</v>
      </c>
      <c r="C90" s="35">
        <f>C88-C89</f>
        <v>0</v>
      </c>
      <c r="G90" s="5"/>
      <c r="L90" s="5"/>
    </row>
    <row r="91" ht="15.75" customHeight="1">
      <c r="G91" s="5"/>
      <c r="L91" s="5"/>
    </row>
    <row r="92" ht="15.75" customHeight="1">
      <c r="G92" s="5"/>
      <c r="L92" s="5"/>
    </row>
    <row r="93" ht="15.75" customHeight="1">
      <c r="G93" s="5"/>
      <c r="L93" s="5"/>
    </row>
    <row r="94" ht="15.75" customHeight="1">
      <c r="G94" s="5"/>
      <c r="L94" s="5"/>
    </row>
    <row r="95" ht="15.75" customHeight="1">
      <c r="G95" s="5"/>
      <c r="L95" s="5"/>
    </row>
    <row r="96" ht="15.75" customHeight="1">
      <c r="G96" s="5"/>
      <c r="L96" s="5"/>
    </row>
    <row r="97" ht="15.75" customHeight="1">
      <c r="G97" s="5"/>
      <c r="L97" s="5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7.13"/>
    <col customWidth="1" min="2" max="2" width="19.0"/>
    <col customWidth="1" min="3" max="3" width="19.63"/>
    <col customWidth="1" min="4" max="4" width="18.75"/>
    <col customWidth="1" min="5" max="5" width="20.38"/>
    <col customWidth="1" min="6" max="6" width="12.63"/>
  </cols>
  <sheetData>
    <row r="1" ht="15.75" customHeight="1">
      <c r="A1" s="3" t="s">
        <v>1</v>
      </c>
    </row>
    <row r="2" ht="15.75" customHeight="1">
      <c r="A2" s="6" t="s">
        <v>3</v>
      </c>
      <c r="B2" s="6" t="s">
        <v>6</v>
      </c>
      <c r="C2" s="6" t="s">
        <v>8</v>
      </c>
      <c r="D2" s="6" t="s">
        <v>9</v>
      </c>
      <c r="E2" s="6" t="s">
        <v>12</v>
      </c>
      <c r="F2" s="6" t="s">
        <v>14</v>
      </c>
    </row>
    <row r="3" ht="15.75" customHeight="1">
      <c r="A3" s="8" t="s">
        <v>17</v>
      </c>
      <c r="B3" s="8" t="s">
        <v>19</v>
      </c>
      <c r="C3" s="10">
        <v>1.384E-4</v>
      </c>
      <c r="D3" s="8"/>
      <c r="E3" s="10">
        <v>1.384E-4</v>
      </c>
      <c r="F3" s="15" t="s">
        <v>21</v>
      </c>
    </row>
    <row r="4" ht="15.75" customHeight="1">
      <c r="A4" s="8" t="s">
        <v>24</v>
      </c>
      <c r="B4" s="8" t="s">
        <v>19</v>
      </c>
      <c r="C4" s="10">
        <v>1.143E-4</v>
      </c>
      <c r="D4" s="8">
        <v>0.0</v>
      </c>
      <c r="E4" s="10">
        <v>1.143E-4</v>
      </c>
      <c r="F4" s="15" t="s">
        <v>21</v>
      </c>
    </row>
    <row r="5" ht="15.75" customHeight="1">
      <c r="A5" s="8" t="s">
        <v>27</v>
      </c>
      <c r="B5" s="8" t="s">
        <v>28</v>
      </c>
      <c r="C5" s="10">
        <v>2.3756059E-4</v>
      </c>
      <c r="D5" s="8"/>
      <c r="E5" s="10">
        <v>2.3756059E-4</v>
      </c>
      <c r="F5" s="2" t="s">
        <v>21</v>
      </c>
    </row>
    <row r="6" ht="15.75" customHeight="1">
      <c r="A6" s="8" t="s">
        <v>31</v>
      </c>
      <c r="B6" s="8" t="s">
        <v>28</v>
      </c>
      <c r="C6" s="10">
        <v>1.927908256E-4</v>
      </c>
      <c r="D6" s="8"/>
      <c r="E6" s="10">
        <v>1.927908256E-4</v>
      </c>
      <c r="F6" s="8" t="s">
        <v>21</v>
      </c>
    </row>
    <row r="7" ht="15.75" customHeight="1">
      <c r="A7" s="8"/>
      <c r="B7" s="8"/>
      <c r="C7" s="10"/>
      <c r="D7" s="10"/>
      <c r="E7" s="10"/>
      <c r="F7" s="2"/>
    </row>
    <row r="8" ht="15.75" customHeight="1">
      <c r="A8" s="8" t="s">
        <v>35</v>
      </c>
      <c r="B8" s="8" t="s">
        <v>36</v>
      </c>
      <c r="C8" s="10">
        <v>4.655516852E-4</v>
      </c>
      <c r="D8" s="8"/>
      <c r="E8" s="10">
        <v>4.655516852E-4</v>
      </c>
      <c r="F8" s="2" t="s">
        <v>38</v>
      </c>
    </row>
    <row r="9" ht="15.75" customHeight="1">
      <c r="A9" s="8" t="s">
        <v>39</v>
      </c>
      <c r="B9" s="8" t="s">
        <v>36</v>
      </c>
      <c r="C9" s="10">
        <v>1.002719674E-5</v>
      </c>
      <c r="D9" s="8"/>
      <c r="E9" s="10">
        <v>1.002719674E-5</v>
      </c>
      <c r="F9" s="2" t="s">
        <v>38</v>
      </c>
    </row>
    <row r="10" ht="15.75" customHeight="1">
      <c r="A10" s="8" t="s">
        <v>43</v>
      </c>
      <c r="B10" s="8" t="s">
        <v>36</v>
      </c>
      <c r="C10" s="10">
        <v>4.890238251E-4</v>
      </c>
      <c r="D10" s="8"/>
      <c r="E10" s="10">
        <v>4.890238251E-4</v>
      </c>
      <c r="F10" s="2" t="s">
        <v>38</v>
      </c>
    </row>
    <row r="11" ht="15.75" customHeight="1">
      <c r="A11" s="8" t="s">
        <v>46</v>
      </c>
      <c r="B11" s="8" t="s">
        <v>36</v>
      </c>
      <c r="C11" s="10">
        <v>3.664154577E-5</v>
      </c>
      <c r="D11" s="8"/>
      <c r="E11" s="10">
        <v>3.664154577E-5</v>
      </c>
      <c r="F11" s="2" t="s">
        <v>38</v>
      </c>
    </row>
    <row r="12" ht="15.75" customHeight="1">
      <c r="A12" s="8" t="s">
        <v>48</v>
      </c>
      <c r="B12" s="8" t="s">
        <v>49</v>
      </c>
      <c r="C12" s="10">
        <v>1.034335159E-4</v>
      </c>
      <c r="D12" s="8" t="s">
        <v>50</v>
      </c>
      <c r="E12" s="10">
        <f t="shared" ref="E12:E17" si="1">C12</f>
        <v>0.0001034335159</v>
      </c>
      <c r="F12" s="8" t="s">
        <v>54</v>
      </c>
    </row>
    <row r="13" ht="15.75" customHeight="1">
      <c r="A13" s="8" t="s">
        <v>57</v>
      </c>
      <c r="B13" s="8" t="s">
        <v>58</v>
      </c>
      <c r="C13" s="10">
        <v>0.001518790827</v>
      </c>
      <c r="D13" s="8" t="s">
        <v>50</v>
      </c>
      <c r="E13" s="10">
        <f t="shared" si="1"/>
        <v>0.001518790827</v>
      </c>
      <c r="F13" s="26" t="s">
        <v>61</v>
      </c>
    </row>
    <row r="14" ht="15.75" customHeight="1">
      <c r="A14" s="8" t="s">
        <v>66</v>
      </c>
      <c r="B14" s="8" t="s">
        <v>68</v>
      </c>
      <c r="C14" s="10">
        <v>0.00387</v>
      </c>
      <c r="D14" s="8" t="s">
        <v>50</v>
      </c>
      <c r="E14" s="10">
        <f t="shared" si="1"/>
        <v>0.00387</v>
      </c>
      <c r="F14" s="15" t="s">
        <v>21</v>
      </c>
    </row>
    <row r="15" ht="15.75" customHeight="1">
      <c r="A15" s="8" t="s">
        <v>70</v>
      </c>
      <c r="B15" s="8" t="s">
        <v>68</v>
      </c>
      <c r="C15" s="10">
        <v>0.00363</v>
      </c>
      <c r="D15" s="8" t="s">
        <v>50</v>
      </c>
      <c r="E15" s="10">
        <f t="shared" si="1"/>
        <v>0.00363</v>
      </c>
      <c r="F15" s="15" t="s">
        <v>21</v>
      </c>
    </row>
    <row r="16" ht="15.75" customHeight="1">
      <c r="A16" s="8" t="s">
        <v>74</v>
      </c>
      <c r="B16" s="8" t="s">
        <v>68</v>
      </c>
      <c r="C16" s="10">
        <v>0.00374</v>
      </c>
      <c r="D16" s="8" t="s">
        <v>50</v>
      </c>
      <c r="E16" s="10">
        <f t="shared" si="1"/>
        <v>0.00374</v>
      </c>
      <c r="F16" s="15" t="s">
        <v>21</v>
      </c>
    </row>
    <row r="17" ht="15.75" customHeight="1">
      <c r="A17" s="8" t="s">
        <v>77</v>
      </c>
      <c r="B17" s="8" t="s">
        <v>78</v>
      </c>
      <c r="C17" s="10">
        <v>1.741289766E-6</v>
      </c>
      <c r="D17" s="8" t="s">
        <v>50</v>
      </c>
      <c r="E17" s="10">
        <f t="shared" si="1"/>
        <v>0.000001741289766</v>
      </c>
      <c r="F17" s="15" t="s">
        <v>80</v>
      </c>
    </row>
    <row r="18" ht="15.75" customHeight="1"/>
    <row r="19" ht="15.75" customHeight="1"/>
    <row r="20" ht="15.75" customHeight="1"/>
    <row r="21" ht="15.75" customHeight="1">
      <c r="D21" s="2" t="s">
        <v>83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hyperlinks>
    <hyperlink r:id="rId1" ref="F3"/>
    <hyperlink r:id="rId2" ref="F4"/>
    <hyperlink r:id="rId3" ref="F13"/>
    <hyperlink r:id="rId4" ref="F14"/>
    <hyperlink r:id="rId5" ref="F15"/>
    <hyperlink r:id="rId6" ref="F16"/>
    <hyperlink r:id="rId7" ref="F17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23.88"/>
    <col customWidth="1" min="3" max="6" width="12.63"/>
  </cols>
  <sheetData>
    <row r="1" ht="15.75" customHeight="1"/>
    <row r="2" ht="15.75" customHeight="1">
      <c r="B2" s="2" t="str">
        <f>'Apr 26 PP Summary'!E5</f>
        <v>Production Operating Hours</v>
      </c>
      <c r="C2" s="11">
        <f>'Apr 26 PP Summary'!F5</f>
        <v>1966.7</v>
      </c>
    </row>
    <row r="3" ht="15.75" customHeight="1">
      <c r="B3" s="2" t="str">
        <f>'Apr 26 PP Summary'!I5</f>
        <v>Total Biomass Consumed (MT)</v>
      </c>
      <c r="C3" s="14">
        <f>'Apr 26 PP Summary'!J5</f>
        <v>62.24455</v>
      </c>
    </row>
    <row r="4" ht="15.75" customHeight="1">
      <c r="B4" s="2" t="str">
        <f t="shared" ref="B4:C4" si="1">#REF!</f>
        <v>#REF!</v>
      </c>
      <c r="C4" s="2" t="str">
        <f t="shared" si="1"/>
        <v>#REF!</v>
      </c>
    </row>
    <row r="5" ht="15.75" customHeight="1">
      <c r="A5" s="2" t="s">
        <v>26</v>
      </c>
      <c r="B5" s="2" t="str">
        <f>'Apr 26 PP Summary'!B25</f>
        <v>Uncertainty Adjusted Total</v>
      </c>
      <c r="C5" s="14">
        <f>'Apr 26 PP Summary'!C25</f>
        <v>4678.122844</v>
      </c>
    </row>
    <row r="6" ht="15.75" customHeight="1">
      <c r="A6" s="2" t="s">
        <v>30</v>
      </c>
      <c r="B6" s="2" t="str">
        <f>'Apr 26 PP Summary'!B36</f>
        <v>Uncertainty Adjusted Total</v>
      </c>
      <c r="C6" s="14">
        <f>'Apr 26 PP Summary'!C36</f>
        <v>1495.767409</v>
      </c>
    </row>
    <row r="7" ht="15.75" customHeight="1">
      <c r="A7" s="2" t="s">
        <v>33</v>
      </c>
      <c r="B7" s="2" t="str">
        <f>'Apr 26 PP Summary'!B46</f>
        <v>Uncertainty Adjusted Total</v>
      </c>
    </row>
    <row r="8" ht="15.75" customHeight="1"/>
    <row r="9" ht="15.75" customHeight="1"/>
    <row r="10" ht="15.75" customHeight="1">
      <c r="B10" s="2" t="str">
        <f>'Apr 26 PP Summary'!H19</f>
        <v>Biomass Transport</v>
      </c>
      <c r="C10" s="24">
        <f>'Apr 26 PP Summary'!I19</f>
        <v>0.05243910456</v>
      </c>
    </row>
    <row r="11" ht="15.75" customHeight="1">
      <c r="B11" s="2" t="str">
        <f>'Apr 26 PP Summary'!H20</f>
        <v>Propane</v>
      </c>
      <c r="C11" s="14">
        <f>'Apr 26 PP Summary'!I20</f>
        <v>16.98158592</v>
      </c>
    </row>
    <row r="12" ht="15.75" customHeight="1">
      <c r="B12" s="2" t="str">
        <f>'Apr 26 PP Summary'!H21</f>
        <v>Diesel</v>
      </c>
      <c r="C12" s="14">
        <f>'Apr 26 PP Summary'!I21</f>
        <v>0</v>
      </c>
    </row>
    <row r="13" ht="15.75" customHeight="1">
      <c r="B13" s="2" t="str">
        <f>'Apr 26 PP Summary'!H22</f>
        <v>Gasoline</v>
      </c>
      <c r="C13" s="14">
        <f>'Apr 26 PP Summary'!I22</f>
        <v>0.4866898597</v>
      </c>
    </row>
    <row r="14" ht="15.75" customHeight="1">
      <c r="B14" s="2" t="str">
        <f>'Apr 26 PP Summary'!H23</f>
        <v>Electricity</v>
      </c>
      <c r="C14" s="14">
        <f>'Apr 26 PP Summary'!I23</f>
        <v>1.298314164</v>
      </c>
    </row>
    <row r="15" ht="15.75" customHeight="1">
      <c r="B15" s="2" t="str">
        <f>'Apr 26 PP Summary'!H24</f>
        <v>Tailgas</v>
      </c>
      <c r="C15" s="24">
        <f>'Apr 26 PP Summary'!I24</f>
        <v>0.12021179</v>
      </c>
    </row>
    <row r="16" ht="15.75" customHeight="1">
      <c r="B16" s="2" t="str">
        <f>'Apr 26 PP Summary'!H25</f>
        <v>Water</v>
      </c>
      <c r="C16" s="24">
        <f>'Apr 26 PP Summary'!I25</f>
        <v>0.01422039959</v>
      </c>
    </row>
    <row r="17" ht="15.75" customHeight="1">
      <c r="B17" s="2" t="str">
        <f>'Apr 26 PP Summary'!H26</f>
        <v>Consumables Delivery</v>
      </c>
      <c r="C17" s="24">
        <f>'Apr 26 PP Summary'!I26</f>
        <v>0.0672658593</v>
      </c>
    </row>
    <row r="18" ht="15.75" customHeight="1">
      <c r="B18" s="2" t="str">
        <f>'Apr 26 PP Summary'!H27</f>
        <v>Waste Disposal</v>
      </c>
      <c r="C18" s="14">
        <f>'Apr 26 PP Summary'!I27</f>
        <v>0</v>
      </c>
    </row>
    <row r="19" ht="15.75" customHeight="1">
      <c r="B19" s="2" t="str">
        <f>'Apr 26 PP Summary'!H28</f>
        <v>Capital Goods EE</v>
      </c>
      <c r="C19" s="14">
        <f>'Apr 26 PP Summary'!I28</f>
        <v>4.134905457</v>
      </c>
    </row>
    <row r="20" ht="15.75" customHeight="1">
      <c r="B20" s="2" t="str">
        <f>'Apr 26 PP Summary'!H29</f>
        <v>SP+C EE</v>
      </c>
      <c r="C20" s="14">
        <f>'Apr 26 PP Summary'!I29</f>
        <v>1.655656758</v>
      </c>
    </row>
    <row r="21" ht="15.75" customHeight="1">
      <c r="B21" s="2" t="str">
        <f>'Apr 26 PP Summary'!H32</f>
        <v>Total</v>
      </c>
      <c r="C21" s="24">
        <f>'Apr 26 PP Summary'!I32</f>
        <v>24.81128931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A7D6"/>
    <outlinePr summaryBelow="0" summaryRight="0"/>
  </sheetPr>
  <sheetViews>
    <sheetView workbookViewId="0"/>
  </sheetViews>
  <sheetFormatPr customHeight="1" defaultColWidth="12.63" defaultRowHeight="15.0"/>
  <cols>
    <col customWidth="1" min="1" max="1" width="39.5"/>
    <col customWidth="1" min="2" max="6" width="12.63"/>
  </cols>
  <sheetData>
    <row r="1" ht="15.75" customHeight="1">
      <c r="A1" s="2" t="s">
        <v>2</v>
      </c>
      <c r="B1" s="9">
        <f>'Apr 26 PP Summary'!F5</f>
        <v>1966.7</v>
      </c>
    </row>
    <row r="2" ht="15.75" customHeight="1">
      <c r="A2" s="2" t="s">
        <v>20</v>
      </c>
      <c r="B2" s="13">
        <f>'Apr 26 PP Summary'!J5</f>
        <v>62.24455</v>
      </c>
    </row>
    <row r="3" ht="15.75" customHeight="1">
      <c r="A3" s="2" t="s">
        <v>23</v>
      </c>
      <c r="B3" s="17">
        <f>'Apr 26 PP Summary'!N2</f>
        <v>17580.4</v>
      </c>
    </row>
    <row r="4" ht="15.75" customHeight="1">
      <c r="A4" s="2" t="s">
        <v>25</v>
      </c>
      <c r="B4" s="19">
        <f>'Apr 26 PP Summary'!P2</f>
        <v>0.4694</v>
      </c>
    </row>
    <row r="5" ht="15.75" customHeight="1">
      <c r="A5" s="2" t="s">
        <v>29</v>
      </c>
      <c r="B5" s="17">
        <f>'Apr 26 PP Summary'!N3</f>
        <v>4721.4</v>
      </c>
    </row>
    <row r="6" ht="15.75" customHeight="1">
      <c r="A6" s="2" t="s">
        <v>32</v>
      </c>
      <c r="B6" s="19">
        <f>'Apr 26 PP Summary'!P3</f>
        <v>0.7799</v>
      </c>
    </row>
    <row r="7" ht="15.75" customHeight="1">
      <c r="A7" s="2" t="s">
        <v>34</v>
      </c>
      <c r="B7" s="22">
        <f>'Apr 26 PP Summary'!I19</f>
        <v>0.05243910456</v>
      </c>
    </row>
    <row r="8" ht="15.75" customHeight="1">
      <c r="A8" s="2" t="s">
        <v>37</v>
      </c>
      <c r="B8" s="13">
        <f>'Apr 26 PP Summary'!I20</f>
        <v>16.98158592</v>
      </c>
    </row>
    <row r="9" ht="15.75" customHeight="1">
      <c r="A9" s="2" t="s">
        <v>40</v>
      </c>
      <c r="B9" s="13">
        <f>'Apr 26 PP Summary'!I21</f>
        <v>0</v>
      </c>
    </row>
    <row r="10" ht="15.75" customHeight="1">
      <c r="A10" s="2" t="s">
        <v>45</v>
      </c>
      <c r="B10" s="13">
        <f>'Apr 26 PP Summary'!I22</f>
        <v>0.4866898597</v>
      </c>
    </row>
    <row r="11" ht="15.75" customHeight="1">
      <c r="A11" s="2" t="s">
        <v>47</v>
      </c>
      <c r="B11" s="13">
        <f>'Apr 26 PP Summary'!I23</f>
        <v>1.298314164</v>
      </c>
    </row>
    <row r="12" ht="15.75" customHeight="1">
      <c r="A12" s="2" t="s">
        <v>52</v>
      </c>
      <c r="B12" s="22">
        <f>'Apr 26 PP Summary'!I24</f>
        <v>0.12021179</v>
      </c>
    </row>
    <row r="13" ht="15.75" customHeight="1">
      <c r="A13" s="2" t="s">
        <v>56</v>
      </c>
      <c r="B13" s="22">
        <f>'Apr 26 PP Summary'!I25</f>
        <v>0.01422039959</v>
      </c>
    </row>
    <row r="14" ht="15.75" customHeight="1">
      <c r="A14" s="2" t="s">
        <v>60</v>
      </c>
      <c r="B14" s="22">
        <f>'Apr 26 PP Summary'!I26</f>
        <v>0.0672658593</v>
      </c>
    </row>
    <row r="15" ht="15.75" customHeight="1">
      <c r="A15" s="2" t="s">
        <v>62</v>
      </c>
      <c r="B15" s="13">
        <f>'Apr 26 PP Summary'!I27</f>
        <v>0</v>
      </c>
    </row>
    <row r="16" ht="15.75" customHeight="1">
      <c r="A16" s="2" t="s">
        <v>63</v>
      </c>
      <c r="B16" s="13">
        <f>'Apr 26 PP Summary'!I28</f>
        <v>4.134905457</v>
      </c>
    </row>
    <row r="17" ht="15.75" customHeight="1">
      <c r="A17" s="2" t="s">
        <v>64</v>
      </c>
      <c r="B17" s="13">
        <f>'Apr 26 PP Summary'!I29</f>
        <v>1.655656758</v>
      </c>
    </row>
    <row r="18" ht="15.75" customHeight="1">
      <c r="A18" s="2" t="s">
        <v>65</v>
      </c>
      <c r="B18" s="27"/>
    </row>
    <row r="19" ht="15.75" customHeight="1">
      <c r="A19" s="2" t="s">
        <v>67</v>
      </c>
      <c r="B19" s="28">
        <v>75500.0</v>
      </c>
    </row>
    <row r="20" ht="15.75" customHeight="1">
      <c r="A20" s="2" t="s">
        <v>69</v>
      </c>
      <c r="B20" s="9">
        <f>'Apr 26 PP Summary'!C14</f>
        <v>272</v>
      </c>
    </row>
    <row r="21" ht="15.75" customHeight="1">
      <c r="A21" s="2" t="s">
        <v>71</v>
      </c>
      <c r="B21" s="9">
        <f>'Apr 26 PP Summary'!C13</f>
        <v>101.01</v>
      </c>
    </row>
    <row r="22" ht="15.75" customHeight="1">
      <c r="A22" s="2" t="s">
        <v>72</v>
      </c>
      <c r="B22" s="30" t="s">
        <v>75</v>
      </c>
    </row>
    <row r="23" ht="15.75" customHeight="1">
      <c r="A23" s="2" t="s">
        <v>76</v>
      </c>
      <c r="B23" s="13">
        <f>'Apr 26 PP Summary'!C25</f>
        <v>4678.122844</v>
      </c>
    </row>
    <row r="24" ht="15.75" customHeight="1">
      <c r="A24" s="2" t="s">
        <v>79</v>
      </c>
      <c r="B24" s="13">
        <f>'Apr 26 PP Summary'!C36</f>
        <v>1495.767409</v>
      </c>
    </row>
    <row r="25" ht="15.75" customHeight="1">
      <c r="A25" s="2" t="s">
        <v>81</v>
      </c>
      <c r="B25" s="13">
        <f>'Apr 26 PP Summary'!C46</f>
        <v>130.1309785</v>
      </c>
    </row>
    <row r="26" ht="15.75" customHeight="1">
      <c r="A26" s="2" t="s">
        <v>84</v>
      </c>
      <c r="B26" s="13">
        <f>'Apr 26 PP Summary'!C59</f>
        <v>35432.84369</v>
      </c>
    </row>
    <row r="27" ht="15.75" customHeight="1">
      <c r="A27" s="2" t="s">
        <v>86</v>
      </c>
      <c r="B27" s="13">
        <f>'Apr 26 PP Summary'!C73</f>
        <v>30951.38</v>
      </c>
    </row>
    <row r="28" ht="15.75" customHeight="1">
      <c r="B28" s="28"/>
    </row>
    <row r="29" ht="15.75" customHeight="1">
      <c r="B29" s="28"/>
    </row>
    <row r="30" ht="15.75" customHeight="1">
      <c r="B30" s="28"/>
    </row>
    <row r="31" ht="15.75" customHeight="1">
      <c r="B31" s="28"/>
    </row>
    <row r="32" ht="15.75" customHeight="1">
      <c r="B32" s="28"/>
    </row>
    <row r="33" ht="15.75" customHeight="1">
      <c r="B33" s="28"/>
    </row>
    <row r="34" ht="15.75" customHeight="1">
      <c r="B34" s="28"/>
    </row>
    <row r="35" ht="15.75" customHeight="1">
      <c r="B35" s="28"/>
    </row>
    <row r="36" ht="15.75" customHeight="1">
      <c r="B36" s="28"/>
    </row>
    <row r="37" ht="15.75" customHeight="1">
      <c r="B37" s="28"/>
    </row>
    <row r="38" ht="15.75" customHeight="1">
      <c r="B38" s="28"/>
    </row>
    <row r="39" ht="15.75" customHeight="1">
      <c r="B39" s="28"/>
    </row>
    <row r="40" ht="15.75" customHeight="1">
      <c r="B40" s="28"/>
    </row>
    <row r="41" ht="15.75" customHeight="1">
      <c r="B41" s="28"/>
    </row>
    <row r="42" ht="15.75" customHeight="1">
      <c r="B42" s="28"/>
    </row>
    <row r="43" ht="15.75" customHeight="1">
      <c r="B43" s="28"/>
    </row>
    <row r="44" ht="15.75" customHeight="1">
      <c r="B44" s="28"/>
    </row>
    <row r="45" ht="15.75" customHeight="1">
      <c r="B45" s="28"/>
    </row>
    <row r="46" ht="15.75" customHeight="1">
      <c r="B46" s="28"/>
    </row>
    <row r="47" ht="15.75" customHeight="1">
      <c r="B47" s="28"/>
    </row>
    <row r="48" ht="15.75" customHeight="1">
      <c r="B48" s="28"/>
    </row>
    <row r="49" ht="15.75" customHeight="1">
      <c r="B49" s="28"/>
    </row>
    <row r="50" ht="15.75" customHeight="1">
      <c r="B50" s="28"/>
    </row>
    <row r="51" ht="15.75" customHeight="1">
      <c r="B51" s="28"/>
    </row>
    <row r="52" ht="15.75" customHeight="1">
      <c r="B52" s="28"/>
    </row>
    <row r="53" ht="15.75" customHeight="1">
      <c r="B53" s="28"/>
    </row>
    <row r="54" ht="15.75" customHeight="1">
      <c r="B54" s="28"/>
    </row>
    <row r="55" ht="15.75" customHeight="1">
      <c r="B55" s="28"/>
    </row>
    <row r="56" ht="15.75" customHeight="1">
      <c r="B56" s="28"/>
    </row>
    <row r="57" ht="15.75" customHeight="1">
      <c r="B57" s="28"/>
    </row>
    <row r="58" ht="15.75" customHeight="1">
      <c r="B58" s="28"/>
    </row>
    <row r="59" ht="15.75" customHeight="1">
      <c r="B59" s="28"/>
    </row>
    <row r="60" ht="15.75" customHeight="1">
      <c r="B60" s="28"/>
    </row>
    <row r="61" ht="15.75" customHeight="1">
      <c r="B61" s="28"/>
    </row>
    <row r="62" ht="15.75" customHeight="1">
      <c r="B62" s="28"/>
    </row>
    <row r="63" ht="15.75" customHeight="1">
      <c r="B63" s="28"/>
    </row>
    <row r="64" ht="15.75" customHeight="1">
      <c r="B64" s="28"/>
    </row>
    <row r="65" ht="15.75" customHeight="1">
      <c r="B65" s="28"/>
    </row>
    <row r="66" ht="15.75" customHeight="1">
      <c r="B66" s="28"/>
    </row>
    <row r="67" ht="15.75" customHeight="1">
      <c r="B67" s="28"/>
    </row>
    <row r="68" ht="15.75" customHeight="1">
      <c r="B68" s="28"/>
    </row>
    <row r="69" ht="15.75" customHeight="1">
      <c r="B69" s="28"/>
    </row>
    <row r="70" ht="15.75" customHeight="1">
      <c r="B70" s="28"/>
    </row>
    <row r="71" ht="15.75" customHeight="1">
      <c r="B71" s="28"/>
    </row>
    <row r="72" ht="15.75" customHeight="1">
      <c r="B72" s="28"/>
    </row>
    <row r="73" ht="15.75" customHeight="1">
      <c r="B73" s="28"/>
    </row>
    <row r="74" ht="15.75" customHeight="1">
      <c r="B74" s="28"/>
    </row>
    <row r="75" ht="15.75" customHeight="1">
      <c r="B75" s="28"/>
    </row>
    <row r="76" ht="15.75" customHeight="1">
      <c r="B76" s="28"/>
    </row>
    <row r="77" ht="15.75" customHeight="1">
      <c r="B77" s="28"/>
    </row>
    <row r="78" ht="15.75" customHeight="1">
      <c r="B78" s="28"/>
    </row>
    <row r="79" ht="15.75" customHeight="1">
      <c r="B79" s="28"/>
    </row>
    <row r="80" ht="15.75" customHeight="1">
      <c r="B80" s="28"/>
    </row>
    <row r="81" ht="15.75" customHeight="1">
      <c r="B81" s="28"/>
    </row>
    <row r="82" ht="15.75" customHeight="1">
      <c r="B82" s="28"/>
    </row>
    <row r="83" ht="15.75" customHeight="1">
      <c r="B83" s="28"/>
    </row>
    <row r="84" ht="15.75" customHeight="1">
      <c r="B84" s="28"/>
    </row>
    <row r="85" ht="15.75" customHeight="1">
      <c r="B85" s="28"/>
    </row>
    <row r="86" ht="15.75" customHeight="1">
      <c r="B86" s="28"/>
    </row>
    <row r="87" ht="15.75" customHeight="1">
      <c r="B87" s="28"/>
    </row>
    <row r="88" ht="15.75" customHeight="1">
      <c r="B88" s="28"/>
    </row>
    <row r="89" ht="15.75" customHeight="1">
      <c r="B89" s="28"/>
    </row>
    <row r="90" ht="15.75" customHeight="1">
      <c r="B90" s="28"/>
    </row>
    <row r="91" ht="15.75" customHeight="1">
      <c r="B91" s="28"/>
    </row>
    <row r="92" ht="15.75" customHeight="1">
      <c r="B92" s="28"/>
    </row>
    <row r="93" ht="15.75" customHeight="1">
      <c r="B93" s="28"/>
    </row>
    <row r="94" ht="15.75" customHeight="1">
      <c r="B94" s="28"/>
    </row>
    <row r="95" ht="15.75" customHeight="1">
      <c r="B95" s="28"/>
    </row>
    <row r="96" ht="15.75" customHeight="1">
      <c r="B96" s="28"/>
    </row>
    <row r="97" ht="15.75" customHeight="1">
      <c r="B97" s="28"/>
    </row>
    <row r="98" ht="15.75" customHeight="1">
      <c r="B98" s="28"/>
    </row>
    <row r="99" ht="15.75" customHeight="1">
      <c r="B99" s="28"/>
    </row>
    <row r="100" ht="15.75" customHeight="1">
      <c r="B100" s="28"/>
    </row>
    <row r="101" ht="15.75" customHeight="1">
      <c r="B101" s="28"/>
    </row>
    <row r="102" ht="15.75" customHeight="1">
      <c r="B102" s="28"/>
    </row>
    <row r="103" ht="15.75" customHeight="1">
      <c r="B103" s="28"/>
    </row>
    <row r="104" ht="15.75" customHeight="1">
      <c r="B104" s="28"/>
    </row>
    <row r="105" ht="15.75" customHeight="1">
      <c r="B105" s="28"/>
    </row>
    <row r="106" ht="15.75" customHeight="1">
      <c r="B106" s="28"/>
    </row>
    <row r="107" ht="15.75" customHeight="1">
      <c r="B107" s="28"/>
    </row>
    <row r="108" ht="15.75" customHeight="1">
      <c r="B108" s="28"/>
    </row>
    <row r="109" ht="15.75" customHeight="1">
      <c r="B109" s="28"/>
    </row>
    <row r="110" ht="15.75" customHeight="1">
      <c r="B110" s="28"/>
    </row>
    <row r="111" ht="15.75" customHeight="1">
      <c r="B111" s="28"/>
    </row>
    <row r="112" ht="15.75" customHeight="1">
      <c r="B112" s="28"/>
    </row>
    <row r="113" ht="15.75" customHeight="1">
      <c r="B113" s="28"/>
    </row>
    <row r="114" ht="15.75" customHeight="1">
      <c r="B114" s="28"/>
    </row>
    <row r="115" ht="15.75" customHeight="1">
      <c r="B115" s="28"/>
    </row>
    <row r="116" ht="15.75" customHeight="1">
      <c r="B116" s="28"/>
    </row>
    <row r="117" ht="15.75" customHeight="1">
      <c r="B117" s="28"/>
    </row>
    <row r="118" ht="15.75" customHeight="1">
      <c r="B118" s="28"/>
    </row>
    <row r="119" ht="15.75" customHeight="1">
      <c r="B119" s="28"/>
    </row>
    <row r="120" ht="15.75" customHeight="1">
      <c r="B120" s="28"/>
    </row>
    <row r="121" ht="15.75" customHeight="1">
      <c r="B121" s="28"/>
    </row>
    <row r="122" ht="15.75" customHeight="1">
      <c r="B122" s="28"/>
    </row>
    <row r="123" ht="15.75" customHeight="1">
      <c r="B123" s="28"/>
    </row>
    <row r="124" ht="15.75" customHeight="1">
      <c r="B124" s="28"/>
    </row>
    <row r="125" ht="15.75" customHeight="1">
      <c r="B125" s="28"/>
    </row>
    <row r="126" ht="15.75" customHeight="1">
      <c r="B126" s="28"/>
    </row>
    <row r="127" ht="15.75" customHeight="1">
      <c r="B127" s="28"/>
    </row>
    <row r="128" ht="15.75" customHeight="1">
      <c r="B128" s="28"/>
    </row>
    <row r="129" ht="15.75" customHeight="1">
      <c r="B129" s="28"/>
    </row>
    <row r="130" ht="15.75" customHeight="1">
      <c r="B130" s="28"/>
    </row>
    <row r="131" ht="15.75" customHeight="1">
      <c r="B131" s="28"/>
    </row>
    <row r="132" ht="15.75" customHeight="1">
      <c r="B132" s="28"/>
    </row>
    <row r="133" ht="15.75" customHeight="1">
      <c r="B133" s="28"/>
    </row>
    <row r="134" ht="15.75" customHeight="1">
      <c r="B134" s="28"/>
    </row>
    <row r="135" ht="15.75" customHeight="1">
      <c r="B135" s="28"/>
    </row>
    <row r="136" ht="15.75" customHeight="1">
      <c r="B136" s="28"/>
    </row>
    <row r="137" ht="15.75" customHeight="1">
      <c r="B137" s="28"/>
    </row>
    <row r="138" ht="15.75" customHeight="1">
      <c r="B138" s="28"/>
    </row>
    <row r="139" ht="15.75" customHeight="1">
      <c r="B139" s="28"/>
    </row>
    <row r="140" ht="15.75" customHeight="1">
      <c r="B140" s="28"/>
    </row>
    <row r="141" ht="15.75" customHeight="1">
      <c r="B141" s="28"/>
    </row>
    <row r="142" ht="15.75" customHeight="1">
      <c r="B142" s="28"/>
    </row>
    <row r="143" ht="15.75" customHeight="1">
      <c r="B143" s="28"/>
    </row>
    <row r="144" ht="15.75" customHeight="1">
      <c r="B144" s="28"/>
    </row>
    <row r="145" ht="15.75" customHeight="1">
      <c r="B145" s="28"/>
    </row>
    <row r="146" ht="15.75" customHeight="1">
      <c r="B146" s="28"/>
    </row>
    <row r="147" ht="15.75" customHeight="1">
      <c r="B147" s="28"/>
    </row>
    <row r="148" ht="15.75" customHeight="1">
      <c r="B148" s="28"/>
    </row>
    <row r="149" ht="15.75" customHeight="1">
      <c r="B149" s="28"/>
    </row>
    <row r="150" ht="15.75" customHeight="1">
      <c r="B150" s="28"/>
    </row>
    <row r="151" ht="15.75" customHeight="1">
      <c r="B151" s="28"/>
    </row>
    <row r="152" ht="15.75" customHeight="1">
      <c r="B152" s="28"/>
    </row>
    <row r="153" ht="15.75" customHeight="1">
      <c r="B153" s="28"/>
    </row>
    <row r="154" ht="15.75" customHeight="1">
      <c r="B154" s="28"/>
    </row>
    <row r="155" ht="15.75" customHeight="1">
      <c r="B155" s="28"/>
    </row>
    <row r="156" ht="15.75" customHeight="1">
      <c r="B156" s="28"/>
    </row>
    <row r="157" ht="15.75" customHeight="1">
      <c r="B157" s="28"/>
    </row>
    <row r="158" ht="15.75" customHeight="1">
      <c r="B158" s="28"/>
    </row>
    <row r="159" ht="15.75" customHeight="1">
      <c r="B159" s="28"/>
    </row>
    <row r="160" ht="15.75" customHeight="1">
      <c r="B160" s="28"/>
    </row>
    <row r="161" ht="15.75" customHeight="1">
      <c r="B161" s="28"/>
    </row>
    <row r="162" ht="15.75" customHeight="1">
      <c r="B162" s="28"/>
    </row>
    <row r="163" ht="15.75" customHeight="1">
      <c r="B163" s="28"/>
    </row>
    <row r="164" ht="15.75" customHeight="1">
      <c r="B164" s="28"/>
    </row>
    <row r="165" ht="15.75" customHeight="1">
      <c r="B165" s="28"/>
    </row>
    <row r="166" ht="15.75" customHeight="1">
      <c r="B166" s="28"/>
    </row>
    <row r="167" ht="15.75" customHeight="1">
      <c r="B167" s="28"/>
    </row>
    <row r="168" ht="15.75" customHeight="1">
      <c r="B168" s="28"/>
    </row>
    <row r="169" ht="15.75" customHeight="1">
      <c r="B169" s="28"/>
    </row>
    <row r="170" ht="15.75" customHeight="1">
      <c r="B170" s="28"/>
    </row>
    <row r="171" ht="15.75" customHeight="1">
      <c r="B171" s="28"/>
    </row>
    <row r="172" ht="15.75" customHeight="1">
      <c r="B172" s="28"/>
    </row>
    <row r="173" ht="15.75" customHeight="1">
      <c r="B173" s="28"/>
    </row>
    <row r="174" ht="15.75" customHeight="1">
      <c r="B174" s="28"/>
    </row>
    <row r="175" ht="15.75" customHeight="1">
      <c r="B175" s="28"/>
    </row>
    <row r="176" ht="15.75" customHeight="1">
      <c r="B176" s="28"/>
    </row>
    <row r="177" ht="15.75" customHeight="1">
      <c r="B177" s="28"/>
    </row>
    <row r="178" ht="15.75" customHeight="1">
      <c r="B178" s="28"/>
    </row>
    <row r="179" ht="15.75" customHeight="1">
      <c r="B179" s="28"/>
    </row>
    <row r="180" ht="15.75" customHeight="1">
      <c r="B180" s="28"/>
    </row>
    <row r="181" ht="15.75" customHeight="1">
      <c r="B181" s="28"/>
    </row>
    <row r="182" ht="15.75" customHeight="1">
      <c r="B182" s="28"/>
    </row>
    <row r="183" ht="15.75" customHeight="1">
      <c r="B183" s="28"/>
    </row>
    <row r="184" ht="15.75" customHeight="1">
      <c r="B184" s="28"/>
    </row>
    <row r="185" ht="15.75" customHeight="1">
      <c r="B185" s="28"/>
    </row>
    <row r="186" ht="15.75" customHeight="1">
      <c r="B186" s="28"/>
    </row>
    <row r="187" ht="15.75" customHeight="1">
      <c r="B187" s="28"/>
    </row>
    <row r="188" ht="15.75" customHeight="1">
      <c r="B188" s="28"/>
    </row>
    <row r="189" ht="15.75" customHeight="1">
      <c r="B189" s="28"/>
    </row>
    <row r="190" ht="15.75" customHeight="1">
      <c r="B190" s="28"/>
    </row>
    <row r="191" ht="15.75" customHeight="1">
      <c r="B191" s="28"/>
    </row>
    <row r="192" ht="15.75" customHeight="1">
      <c r="B192" s="28"/>
    </row>
    <row r="193" ht="15.75" customHeight="1">
      <c r="B193" s="28"/>
    </row>
    <row r="194" ht="15.75" customHeight="1">
      <c r="B194" s="28"/>
    </row>
    <row r="195" ht="15.75" customHeight="1">
      <c r="B195" s="28"/>
    </row>
    <row r="196" ht="15.75" customHeight="1">
      <c r="B196" s="28"/>
    </row>
    <row r="197" ht="15.75" customHeight="1">
      <c r="B197" s="28"/>
    </row>
    <row r="198" ht="15.75" customHeight="1">
      <c r="B198" s="28"/>
    </row>
    <row r="199" ht="15.75" customHeight="1">
      <c r="B199" s="28"/>
    </row>
    <row r="200" ht="15.75" customHeight="1">
      <c r="B200" s="28"/>
    </row>
    <row r="201" ht="15.75" customHeight="1">
      <c r="B201" s="28"/>
    </row>
    <row r="202" ht="15.75" customHeight="1">
      <c r="B202" s="28"/>
    </row>
    <row r="203" ht="15.75" customHeight="1">
      <c r="B203" s="28"/>
    </row>
    <row r="204" ht="15.75" customHeight="1">
      <c r="B204" s="28"/>
    </row>
    <row r="205" ht="15.75" customHeight="1">
      <c r="B205" s="28"/>
    </row>
    <row r="206" ht="15.75" customHeight="1">
      <c r="B206" s="28"/>
    </row>
    <row r="207" ht="15.75" customHeight="1">
      <c r="B207" s="28"/>
    </row>
    <row r="208" ht="15.75" customHeight="1">
      <c r="B208" s="28"/>
    </row>
    <row r="209" ht="15.75" customHeight="1">
      <c r="B209" s="28"/>
    </row>
    <row r="210" ht="15.75" customHeight="1">
      <c r="B210" s="28"/>
    </row>
    <row r="211" ht="15.75" customHeight="1">
      <c r="B211" s="28"/>
    </row>
    <row r="212" ht="15.75" customHeight="1">
      <c r="B212" s="28"/>
    </row>
    <row r="213" ht="15.75" customHeight="1">
      <c r="B213" s="28"/>
    </row>
    <row r="214" ht="15.75" customHeight="1">
      <c r="B214" s="28"/>
    </row>
    <row r="215" ht="15.75" customHeight="1">
      <c r="B215" s="28"/>
    </row>
    <row r="216" ht="15.75" customHeight="1">
      <c r="B216" s="28"/>
    </row>
    <row r="217" ht="15.75" customHeight="1">
      <c r="B217" s="28"/>
    </row>
    <row r="218" ht="15.75" customHeight="1">
      <c r="B218" s="28"/>
    </row>
    <row r="219" ht="15.75" customHeight="1">
      <c r="B219" s="28"/>
    </row>
    <row r="220" ht="15.75" customHeight="1">
      <c r="B220" s="28"/>
    </row>
    <row r="221" ht="15.75" customHeight="1">
      <c r="B221" s="28"/>
    </row>
    <row r="222" ht="15.75" customHeight="1">
      <c r="B222" s="28"/>
    </row>
    <row r="223" ht="15.75" customHeight="1">
      <c r="B223" s="28"/>
    </row>
    <row r="224" ht="15.75" customHeight="1">
      <c r="B224" s="28"/>
    </row>
    <row r="225" ht="15.75" customHeight="1">
      <c r="B225" s="28"/>
    </row>
    <row r="226" ht="15.75" customHeight="1">
      <c r="B226" s="28"/>
    </row>
    <row r="227" ht="15.75" customHeight="1">
      <c r="B227" s="28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