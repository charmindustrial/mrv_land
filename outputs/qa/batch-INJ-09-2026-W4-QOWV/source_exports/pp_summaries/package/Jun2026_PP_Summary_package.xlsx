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 26 PP Summary" sheetId="1" r:id="rId4"/>
    <sheet state="visible" name="Emission Factors" sheetId="2" r:id="rId5"/>
    <sheet state="hidden" name="DataTable" sheetId="3" r:id="rId6"/>
    <sheet state="hidden" name="DataCollection" sheetId="4" r:id="rId7"/>
  </sheets>
  <definedNames/>
  <calcPr/>
  <extLst>
    <ext uri="GoogleSheetsCustomDataVersion2">
      <go:sheetsCustomData xmlns:go="http://customooxmlschemas.google.com/" r:id="rId8" roundtripDataChecksum="Ijge0Y1x3lLjrosBVCwslLCuDBNtg2GcYsQpjQ0dCJY="/>
    </ext>
  </extLst>
</workbook>
</file>

<file path=xl/sharedStrings.xml><?xml version="1.0" encoding="utf-8"?>
<sst xmlns="http://schemas.openxmlformats.org/spreadsheetml/2006/main" count="213" uniqueCount="165">
  <si>
    <t>Production Operating Hours</t>
  </si>
  <si>
    <t>Process Emissions</t>
  </si>
  <si>
    <t>Emission Factors</t>
  </si>
  <si>
    <t>Emissions Factor</t>
  </si>
  <si>
    <t>Unit</t>
  </si>
  <si>
    <t>Baseline Quantity</t>
  </si>
  <si>
    <t>Uncertainty Factor</t>
  </si>
  <si>
    <t>Final Quantity</t>
  </si>
  <si>
    <t>Source</t>
  </si>
  <si>
    <t>Truck Transport Fuel Use (Well to Wheel) -- Flatbed Truck</t>
  </si>
  <si>
    <t>MT CO2e/t-mi</t>
  </si>
  <si>
    <t>Total BM Consumed</t>
  </si>
  <si>
    <t>GLEC V3.2 2025</t>
  </si>
  <si>
    <t>WODO Yield</t>
  </si>
  <si>
    <t>Embodied Emissions</t>
  </si>
  <si>
    <t>Output Type</t>
  </si>
  <si>
    <t>WODO wt%C</t>
  </si>
  <si>
    <t>Truck Transport Fuel Use (Well to Wheel) -- Tanker Truck</t>
  </si>
  <si>
    <t>Propane (kg)</t>
  </si>
  <si>
    <t>Vehicle Embodied Emissions --Tanker Truck</t>
  </si>
  <si>
    <t>MT CO2e/mi</t>
  </si>
  <si>
    <t>Vehicle Embodied Emissions --Non-Tanker Truck</t>
  </si>
  <si>
    <t>Mass of Output (kg)</t>
  </si>
  <si>
    <t>Diesel (kg)</t>
  </si>
  <si>
    <t>% Output Mass</t>
  </si>
  <si>
    <t>C Content (%)</t>
  </si>
  <si>
    <t>Grid Electricity Use -- Kansas</t>
  </si>
  <si>
    <t>C Content Mass (kg)</t>
  </si>
  <si>
    <t>MTCO2e/kWh</t>
  </si>
  <si>
    <t>% C Content Mass</t>
  </si>
  <si>
    <t>Total Emissions Allocated to Fraction (MT CO2e)</t>
  </si>
  <si>
    <t>Kg Emissions/Kg Material</t>
  </si>
  <si>
    <t>Green-E,USEPA, GREET 2025</t>
  </si>
  <si>
    <t>Wind RECs Use -- Kansas</t>
  </si>
  <si>
    <t>Biochar Yield</t>
  </si>
  <si>
    <t>Grid Electricity Use -- Colorado</t>
  </si>
  <si>
    <t>Gasoline (kg)</t>
  </si>
  <si>
    <t>WODO</t>
  </si>
  <si>
    <t>Solar RECs Use -- Colorado</t>
  </si>
  <si>
    <t>Biochar wt%C</t>
  </si>
  <si>
    <t>Vaulted Equipment Embodied Emissions</t>
  </si>
  <si>
    <t>MT CO2e/MT Injectate</t>
  </si>
  <si>
    <t>N/A</t>
  </si>
  <si>
    <t>Biomass Transport</t>
  </si>
  <si>
    <t>Vaulted PDD</t>
  </si>
  <si>
    <t>Self-Loading Truck Lumber Handling (No Transport)</t>
  </si>
  <si>
    <t>MT CO2e/MT logs</t>
  </si>
  <si>
    <t>Auburn University</t>
  </si>
  <si>
    <t>Propane</t>
  </si>
  <si>
    <t>Diesel</t>
  </si>
  <si>
    <t>Diesel Fuel Combustion (Total WTW)</t>
  </si>
  <si>
    <t>MTCO2e/kg fuel</t>
  </si>
  <si>
    <t>LPG Consumption (Total WTW)</t>
  </si>
  <si>
    <t>Gasoline</t>
  </si>
  <si>
    <t>Gasoline Consumption (Total WTW)</t>
  </si>
  <si>
    <t>Drinking Water -- US</t>
  </si>
  <si>
    <t>MTCO2e/gal water</t>
  </si>
  <si>
    <t>https://www.sciencedirect.com/science/article/abs/pii/S0959652621030110</t>
  </si>
  <si>
    <t>Electricity</t>
  </si>
  <si>
    <t>Tailgas</t>
  </si>
  <si>
    <t>Pyrolyzer Up-Time</t>
  </si>
  <si>
    <t>Equipment Amortization</t>
  </si>
  <si>
    <t>Water</t>
  </si>
  <si>
    <t>Biochar</t>
  </si>
  <si>
    <t xml:space="preserve"> </t>
  </si>
  <si>
    <t>Consumables Delivery</t>
  </si>
  <si>
    <t>Waste Disposal</t>
  </si>
  <si>
    <t>Capital Goods EE</t>
  </si>
  <si>
    <t>New Pile</t>
  </si>
  <si>
    <t>Total Operating Hours</t>
  </si>
  <si>
    <t>SP+C EE</t>
  </si>
  <si>
    <t>Total Biomass Consumed (kg)</t>
  </si>
  <si>
    <t>Injection Emissions</t>
  </si>
  <si>
    <t>Aqueous</t>
  </si>
  <si>
    <t>Aqueous Yield</t>
  </si>
  <si>
    <t>[MRV] Biomass Miles</t>
  </si>
  <si>
    <t>[MRV] Raw Biomass Tonnes</t>
  </si>
  <si>
    <t>[MRV] Linear Feet Consumed</t>
  </si>
  <si>
    <t>--</t>
  </si>
  <si>
    <t>Total Biomass Consumed (MT)</t>
  </si>
  <si>
    <t>[MRV] Uncertainty Adjusted Propane Used</t>
  </si>
  <si>
    <t>[MRV] Uncertainty Adjusted Diesel Used</t>
  </si>
  <si>
    <t>[MRV] Uncertainty Adjusted Gasoline Used</t>
  </si>
  <si>
    <t>R+D Operating Hours</t>
  </si>
  <si>
    <t>[MRV] Uncertainty Adjusted Electricity</t>
  </si>
  <si>
    <t>Biomass Amortization Factor for PP (kg Co2e/MT biomass)</t>
  </si>
  <si>
    <t>[MRV] Total Water Used</t>
  </si>
  <si>
    <t>Log Handling Emissions</t>
  </si>
  <si>
    <t>% Production</t>
  </si>
  <si>
    <t>Total Amortized Embodied Emissions (kg)</t>
  </si>
  <si>
    <t>% R+D</t>
  </si>
  <si>
    <t>Total Amortized Embodied Emissions (MT)</t>
  </si>
  <si>
    <t>Total Emissions</t>
  </si>
  <si>
    <t>Spare Parts and Consumables</t>
  </si>
  <si>
    <t>BCU's Applied</t>
  </si>
  <si>
    <t>Total Procured Renewables</t>
  </si>
  <si>
    <t>EE Estimate per Pyrolyzer Operating Hour (kgCO2e)</t>
  </si>
  <si>
    <t>Remaining Emissions to Allocate</t>
  </si>
  <si>
    <t>RD BCUs (MT CO2e)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</si>
  <si>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</si>
  <si>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</si>
  <si>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</si>
  <si>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</si>
  <si>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</si>
  <si>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</si>
  <si>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</si>
  <si>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</si>
  <si>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</t>
  </si>
  <si>
    <t>Total Emissions (MT)</t>
  </si>
  <si>
    <t>% of Total</t>
  </si>
  <si>
    <t>Tank Level at PP Close (%)</t>
  </si>
  <si>
    <t>Tank Level at PP Close (L)</t>
  </si>
  <si>
    <t>Total Propane Consumption for PP (L)</t>
  </si>
  <si>
    <t>Total Propane Consumption for PP (Gal)</t>
  </si>
  <si>
    <t>Total Propane Consumption for PP (kg)</t>
  </si>
  <si>
    <t>Fuel Meter Uncertainty</t>
  </si>
  <si>
    <t>Uncertainty Adjusted Total</t>
  </si>
  <si>
    <t>Propane Combustion Emission Factor (kg CO2e/kg)</t>
  </si>
  <si>
    <t>Total Propane Emissions (MT CO2e)</t>
  </si>
  <si>
    <t>Diesel Combustion</t>
  </si>
  <si>
    <t>Total Diesel Consumption for PP (L)</t>
  </si>
  <si>
    <t>Total Diesel Consumption for PP (Gal)</t>
  </si>
  <si>
    <t>Total Diesel Fills in Office Generator for PP (Gal)</t>
  </si>
  <si>
    <t>Total</t>
  </si>
  <si>
    <t>Total Production Diesel Consumption for PP (Gal)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</si>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</sst>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"/>
    <numFmt numFmtId="165" formatCode="#,##0.000"/>
    <numFmt numFmtId="166" formatCode="#,##0.0000"/>
    <numFmt numFmtId="167" formatCode="0.0000"/>
    <numFmt numFmtId="168" formatCode="#,##0.0"/>
    <numFmt numFmtId="169" formatCode="0.000000000"/>
    <numFmt numFmtId="170" formatCode="#,##0.000000"/>
  </numFmts>
  <fonts count="16">
    <font>
      <sz val="10.0"/>
      <color rgb="FF000000"/>
      <name val="Arial"/>
      <scheme val="minor"/>
    </font>
    <font>
      <sz val="10.0"/>
      <color rgb="FF000000"/>
      <name val="Arial"/>
    </font>
    <font>
      <b/>
      <sz val="12.0"/>
      <color theme="1"/>
      <name val="Arial"/>
    </font>
    <font>
      <color theme="1"/>
      <name val="Arial"/>
    </font>
    <font>
      <b/>
      <sz val="14.0"/>
      <color theme="1"/>
      <name val="Arial"/>
    </font>
    <font>
      <b/>
      <color theme="1"/>
      <name val="Arial"/>
    </font>
    <font>
      <u/>
      <color rgb="FF0000FF"/>
    </font>
    <font>
      <color rgb="FF0000FF"/>
      <name val="Arial"/>
    </font>
    <font>
      <u/>
      <color rgb="FF0000FF"/>
      <name val="Arial"/>
    </font>
    <font>
      <sz val="11.0"/>
      <color rgb="FF1D1C1D"/>
      <name val="Lato"/>
    </font>
    <font>
      <color theme="1"/>
      <name val="Inherit"/>
    </font>
    <font>
      <b/>
      <u/>
      <color theme="1"/>
      <name val="Arial"/>
    </font>
    <font>
      <color rgb="FF000000"/>
      <name val="Arial"/>
    </font>
    <font>
      <b/>
      <sz val="13.0"/>
      <color theme="1"/>
      <name val="Arial"/>
    </font>
    <font>
      <i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bottom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vertical="bottom"/>
    </xf>
    <xf borderId="0" fillId="0" fontId="3" numFmtId="4" xfId="0" applyAlignment="1" applyFont="1" applyNumberFormat="1">
      <alignment horizont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0" xfId="0" applyFont="1"/>
    <xf borderId="0" fillId="0" fontId="3" numFmtId="4" xfId="0" applyFont="1" applyNumberFormat="1"/>
    <xf borderId="0" fillId="0" fontId="3" numFmtId="2" xfId="0" applyAlignment="1" applyFont="1" applyNumberFormat="1">
      <alignment horizontal="center"/>
    </xf>
    <xf borderId="0" fillId="2" fontId="3" numFmtId="0" xfId="0" applyFill="1" applyFont="1"/>
    <xf borderId="0" fillId="0" fontId="3" numFmtId="2" xfId="0" applyFont="1" applyNumberFormat="1"/>
    <xf borderId="0" fillId="0" fontId="3" numFmtId="3" xfId="0" applyAlignment="1" applyFont="1" applyNumberFormat="1">
      <alignment horizontal="center"/>
    </xf>
    <xf borderId="0" fillId="0" fontId="6" numFmtId="0" xfId="0" applyFont="1"/>
    <xf borderId="0" fillId="0" fontId="5" numFmtId="0" xfId="0" applyFont="1"/>
    <xf borderId="0" fillId="0" fontId="3" numFmtId="10" xfId="0" applyAlignment="1" applyFont="1" applyNumberFormat="1">
      <alignment horizontal="center"/>
    </xf>
    <xf borderId="0" fillId="0" fontId="3" numFmtId="3" xfId="0" applyFont="1" applyNumberFormat="1"/>
    <xf borderId="0" fillId="0" fontId="3" numFmtId="10" xfId="0" applyFont="1" applyNumberFormat="1"/>
    <xf borderId="0" fillId="0" fontId="7" numFmtId="10" xfId="0" applyFont="1" applyNumberFormat="1"/>
    <xf borderId="0" fillId="0" fontId="3" numFmtId="164" xfId="0" applyAlignment="1" applyFont="1" applyNumberFormat="1">
      <alignment horizontal="center"/>
    </xf>
    <xf borderId="0" fillId="0" fontId="3" numFmtId="164" xfId="0" applyFont="1" applyNumberFormat="1"/>
    <xf borderId="0" fillId="0" fontId="3" numFmtId="165" xfId="0" applyFont="1" applyNumberFormat="1"/>
    <xf borderId="0" fillId="0" fontId="8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3" numFmtId="166" xfId="0" applyFont="1" applyNumberFormat="1"/>
    <xf borderId="0" fillId="3" fontId="2" numFmtId="0" xfId="0" applyFill="1" applyFont="1"/>
    <xf borderId="0" fillId="4" fontId="3" numFmtId="4" xfId="0" applyFill="1" applyFont="1" applyNumberFormat="1"/>
    <xf borderId="0" fillId="5" fontId="3" numFmtId="0" xfId="0" applyAlignment="1" applyFill="1" applyFont="1">
      <alignment horizontal="center"/>
    </xf>
    <xf borderId="0" fillId="0" fontId="3" numFmtId="166" xfId="0" applyAlignment="1" applyFont="1" applyNumberFormat="1">
      <alignment horizontal="right" vertical="bottom"/>
    </xf>
    <xf quotePrefix="1" borderId="0" fillId="6" fontId="3" numFmtId="0" xfId="0" applyAlignment="1" applyFill="1" applyFont="1">
      <alignment horizontal="center"/>
    </xf>
    <xf borderId="0" fillId="0" fontId="7" numFmtId="3" xfId="0" applyFont="1" applyNumberFormat="1"/>
    <xf borderId="0" fillId="0" fontId="3" numFmtId="167" xfId="0" applyAlignment="1" applyFont="1" applyNumberFormat="1">
      <alignment horizontal="right" vertical="bottom"/>
    </xf>
    <xf borderId="0" fillId="4" fontId="3" numFmtId="0" xfId="0" applyFont="1"/>
    <xf borderId="0" fillId="4" fontId="3" numFmtId="2" xfId="0" applyFont="1" applyNumberFormat="1"/>
    <xf borderId="0" fillId="0" fontId="3" numFmtId="167" xfId="0" applyFont="1" applyNumberFormat="1"/>
    <xf borderId="0" fillId="0" fontId="3" numFmtId="168" xfId="0" applyFont="1" applyNumberFormat="1"/>
    <xf borderId="0" fillId="0" fontId="5" numFmtId="0" xfId="0" applyAlignment="1" applyFont="1">
      <alignment horizontal="right"/>
    </xf>
    <xf borderId="0" fillId="0" fontId="3" numFmtId="10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3" numFmtId="4" xfId="0" applyAlignment="1" applyFont="1" applyNumberFormat="1">
      <alignment horizontal="right" vertical="bottom"/>
    </xf>
    <xf borderId="0" fillId="7" fontId="9" numFmtId="0" xfId="0" applyAlignment="1" applyFill="1" applyFont="1">
      <alignment horizontal="left" shrinkToFit="0" wrapText="1"/>
    </xf>
    <xf borderId="0" fillId="0" fontId="3" numFmtId="4" xfId="0" applyAlignment="1" applyFont="1" applyNumberFormat="1">
      <alignment horizontal="right" readingOrder="0" vertical="bottom"/>
    </xf>
    <xf borderId="0" fillId="0" fontId="10" numFmtId="0" xfId="0" applyAlignment="1" applyFont="1">
      <alignment shrinkToFit="0" vertical="bottom" wrapText="1"/>
    </xf>
    <xf borderId="0" fillId="0" fontId="3" numFmtId="4" xfId="0" applyAlignment="1" applyFont="1" applyNumberFormat="1">
      <alignment readingOrder="0" vertical="bottom"/>
    </xf>
    <xf borderId="0" fillId="0" fontId="11" numFmtId="0" xfId="0" applyFont="1"/>
    <xf borderId="0" fillId="0" fontId="12" numFmtId="4" xfId="0" applyFont="1" applyNumberFormat="1"/>
    <xf borderId="0" fillId="8" fontId="13" numFmtId="0" xfId="0" applyFill="1" applyFont="1"/>
    <xf borderId="0" fillId="8" fontId="5" numFmtId="0" xfId="0" applyFont="1"/>
    <xf borderId="0" fillId="0" fontId="5" numFmtId="0" xfId="0" applyAlignment="1" applyFont="1">
      <alignment horizontal="center"/>
    </xf>
    <xf borderId="0" fillId="0" fontId="5" numFmtId="4" xfId="0" applyFont="1" applyNumberFormat="1"/>
    <xf borderId="0" fillId="8" fontId="2" numFmtId="0" xfId="0" applyFont="1"/>
    <xf borderId="0" fillId="8" fontId="3" numFmtId="164" xfId="0" applyFont="1" applyNumberFormat="1"/>
    <xf borderId="0" fillId="8" fontId="3" numFmtId="10" xfId="0" applyFont="1" applyNumberFormat="1"/>
    <xf borderId="0" fillId="0" fontId="3" numFmtId="165" xfId="0" applyAlignment="1" applyFont="1" applyNumberFormat="1">
      <alignment horizontal="center"/>
    </xf>
    <xf borderId="0" fillId="0" fontId="14" numFmtId="0" xfId="0" applyFont="1"/>
    <xf borderId="0" fillId="0" fontId="5" numFmtId="168" xfId="0" applyFont="1" applyNumberFormat="1"/>
    <xf borderId="0" fillId="8" fontId="3" numFmtId="2" xfId="0" applyFont="1" applyNumberFormat="1"/>
    <xf borderId="0" fillId="8" fontId="3" numFmtId="0" xfId="0" applyFont="1"/>
    <xf borderId="0" fillId="0" fontId="12" numFmtId="3" xfId="0" applyFont="1" applyNumberFormat="1"/>
    <xf borderId="0" fillId="9" fontId="2" numFmtId="0" xfId="0" applyFill="1" applyFont="1"/>
    <xf borderId="0" fillId="0" fontId="3" numFmtId="168" xfId="0" applyAlignment="1" applyFont="1" applyNumberFormat="1">
      <alignment vertical="bottom"/>
    </xf>
    <xf borderId="0" fillId="0" fontId="5" numFmtId="3" xfId="0" applyFont="1" applyNumberFormat="1"/>
    <xf borderId="0" fillId="0" fontId="3" numFmtId="2" xfId="0" applyAlignment="1" applyFont="1" applyNumberFormat="1">
      <alignment horizontal="right" vertical="bottom"/>
    </xf>
    <xf borderId="0" fillId="0" fontId="3" numFmtId="10" xfId="0" applyAlignment="1" applyFont="1" applyNumberFormat="1">
      <alignment horizontal="right" vertical="bottom"/>
    </xf>
    <xf borderId="0" fillId="0" fontId="13" numFmtId="0" xfId="0" applyFont="1"/>
    <xf borderId="0" fillId="0" fontId="15" numFmtId="10" xfId="0" applyFont="1" applyNumberFormat="1"/>
    <xf borderId="0" fillId="0" fontId="15" numFmtId="4" xfId="0" applyFont="1" applyNumberFormat="1"/>
    <xf borderId="0" fillId="4" fontId="5" numFmtId="0" xfId="0" applyFont="1"/>
    <xf borderId="0" fillId="0" fontId="3" numFmtId="169" xfId="0" applyFont="1" applyNumberFormat="1"/>
    <xf borderId="0" fillId="7" fontId="3" numFmtId="167" xfId="0" applyFont="1" applyNumberFormat="1"/>
    <xf borderId="0" fillId="7" fontId="3" numFmtId="170" xfId="0" applyFont="1" applyNumberFormat="1"/>
    <xf borderId="0" fillId="7" fontId="3" numFmtId="165" xfId="0" applyFont="1" applyNumberFormat="1"/>
    <xf borderId="0" fillId="7" fontId="3" numFmtId="0" xfId="0" applyFont="1"/>
    <xf borderId="0" fillId="7" fontId="3" numFmtId="4" xfId="0" applyFont="1" applyNumberFormat="1"/>
    <xf borderId="0" fillId="0" fontId="3" numFmtId="167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.2_21_10_25_1.pdf" TargetMode="External"/><Relationship Id="rId2" Type="http://schemas.openxmlformats.org/officeDocument/2006/relationships/hyperlink" Target="https://smart-freight-centre-media.s3.amazonaws.com/documents/GLEC_FRAMEWORK_v3.2_21_10_25_1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.2_21_10_25_1.pdf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6" Type="http://schemas.openxmlformats.org/officeDocument/2006/relationships/hyperlink" Target="https://smart-freight-centre-media.s3.amazonaws.com/documents/GLEC_FRAMEWORK_v3.2_21_10_25_1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6" max="6" width="12.63"/>
    <col customWidth="1" min="7" max="7" width="1.5"/>
    <col customWidth="1" min="8" max="8" width="63.5"/>
    <col customWidth="1" min="9" max="9" width="45.5"/>
    <col customWidth="1" min="12" max="12" width="1.5"/>
    <col customWidth="1" min="13" max="18" width="20.88"/>
    <col customWidth="1" min="19" max="19" width="21.88"/>
    <col customWidth="1" min="20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 ht="15.75" customHeight="1">
      <c r="A1" s="4" t="s">
        <v>1</v>
      </c>
      <c r="B1" s="1"/>
      <c r="C1" s="1"/>
      <c r="D1" s="1"/>
      <c r="E1" s="9"/>
      <c r="F1" s="1"/>
      <c r="G1" s="12"/>
      <c r="H1" s="4" t="s">
        <v>14</v>
      </c>
      <c r="I1" s="1"/>
      <c r="L1" s="12"/>
      <c r="M1" s="16" t="s">
        <v>15</v>
      </c>
      <c r="N1" s="16" t="s">
        <v>22</v>
      </c>
      <c r="O1" s="16" t="s">
        <v>24</v>
      </c>
      <c r="P1" s="16" t="s">
        <v>25</v>
      </c>
      <c r="Q1" s="16" t="s">
        <v>27</v>
      </c>
      <c r="R1" s="16" t="s">
        <v>29</v>
      </c>
      <c r="S1" s="16" t="s">
        <v>30</v>
      </c>
      <c r="T1" s="16" t="s">
        <v>31</v>
      </c>
      <c r="U1" s="16"/>
      <c r="V1" s="16"/>
      <c r="W1" s="16"/>
      <c r="X1" s="16"/>
      <c r="Y1" s="16"/>
      <c r="Z1" s="16"/>
      <c r="AA1" s="16"/>
      <c r="AB1" s="16"/>
    </row>
    <row r="2" ht="15.75" customHeight="1">
      <c r="A2" s="9"/>
      <c r="B2" s="1"/>
      <c r="C2" s="1"/>
      <c r="D2" s="1"/>
      <c r="E2" s="9"/>
      <c r="F2" s="1"/>
      <c r="G2" s="12"/>
      <c r="H2" s="1"/>
      <c r="I2" s="1"/>
      <c r="L2" s="12"/>
      <c r="M2" s="3" t="s">
        <v>37</v>
      </c>
      <c r="N2" s="18">
        <v>10778.0</v>
      </c>
      <c r="O2" s="19">
        <f t="shared" ref="O2:O4" si="1">N2/($N$2+$N$3+$N$4)</f>
        <v>0.1693543699</v>
      </c>
      <c r="P2" s="20">
        <v>0.59446</v>
      </c>
      <c r="Q2" s="18">
        <f t="shared" ref="Q2:Q4" si="2">P2*N2</f>
        <v>6407.08988</v>
      </c>
      <c r="R2" s="19">
        <f t="shared" ref="R2:R4" si="3">Q2/(SUM($Q$2+$Q$3+$Q$4))</f>
        <v>0.436964323</v>
      </c>
      <c r="S2" s="23">
        <f t="shared" ref="S2:S4" si="4">R2*$I$32</f>
        <v>11.34993841</v>
      </c>
      <c r="T2" s="26">
        <f t="shared" ref="T2:T4" si="5">(S2*1000)/N2</f>
        <v>1.053065356</v>
      </c>
      <c r="U2" s="10"/>
      <c r="V2" s="10"/>
      <c r="W2" s="10"/>
      <c r="X2" s="10"/>
      <c r="Y2" s="10"/>
      <c r="Z2" s="10"/>
    </row>
    <row r="3" ht="15.75" customHeight="1">
      <c r="A3" s="27" t="s">
        <v>43</v>
      </c>
      <c r="B3" s="1"/>
      <c r="C3" s="1"/>
      <c r="D3" s="1"/>
      <c r="E3" s="9" t="s">
        <v>60</v>
      </c>
      <c r="F3" s="1"/>
      <c r="G3" s="12"/>
      <c r="H3" s="9" t="s">
        <v>61</v>
      </c>
      <c r="I3" s="1"/>
      <c r="L3" s="12"/>
      <c r="M3" s="3" t="s">
        <v>63</v>
      </c>
      <c r="N3" s="18">
        <v>6247.5</v>
      </c>
      <c r="O3" s="19">
        <f t="shared" si="1"/>
        <v>0.09816676802</v>
      </c>
      <c r="P3" s="20">
        <v>0.8274</v>
      </c>
      <c r="Q3" s="10">
        <f t="shared" si="2"/>
        <v>5169.1815</v>
      </c>
      <c r="R3" s="19">
        <f t="shared" si="3"/>
        <v>0.3525388182</v>
      </c>
      <c r="S3" s="23">
        <f t="shared" si="4"/>
        <v>9.157026476</v>
      </c>
      <c r="T3" s="26">
        <f t="shared" si="5"/>
        <v>1.46571052</v>
      </c>
      <c r="U3" s="10"/>
      <c r="V3" s="10"/>
      <c r="W3" s="10"/>
      <c r="X3" s="10"/>
      <c r="Y3" s="10"/>
      <c r="Z3" s="10"/>
    </row>
    <row r="4" ht="15.75" customHeight="1">
      <c r="A4" s="1"/>
      <c r="B4" s="16" t="s">
        <v>68</v>
      </c>
      <c r="C4" s="1"/>
      <c r="D4" s="7"/>
      <c r="E4" s="3" t="s">
        <v>69</v>
      </c>
      <c r="F4" s="28">
        <v>2006.8</v>
      </c>
      <c r="G4" s="12"/>
      <c r="H4" s="1"/>
      <c r="I4" s="3" t="s">
        <v>71</v>
      </c>
      <c r="J4" s="3">
        <v>44544.7542</v>
      </c>
      <c r="L4" s="12"/>
      <c r="M4" s="3" t="s">
        <v>73</v>
      </c>
      <c r="N4" s="18">
        <v>46616.2</v>
      </c>
      <c r="O4" s="19">
        <f t="shared" si="1"/>
        <v>0.7324788621</v>
      </c>
      <c r="P4" s="20">
        <v>0.06621</v>
      </c>
      <c r="Q4" s="10">
        <f t="shared" si="2"/>
        <v>3086.458602</v>
      </c>
      <c r="R4" s="19">
        <f t="shared" si="3"/>
        <v>0.2104968588</v>
      </c>
      <c r="S4" s="23">
        <f t="shared" si="4"/>
        <v>5.467554803</v>
      </c>
      <c r="T4" s="26">
        <f t="shared" si="5"/>
        <v>0.117288728</v>
      </c>
      <c r="U4" s="10"/>
      <c r="V4" s="10"/>
      <c r="W4" s="10"/>
      <c r="X4" s="10"/>
      <c r="Y4" s="10"/>
      <c r="Z4" s="16"/>
    </row>
    <row r="5" ht="15.75" customHeight="1">
      <c r="A5" s="1"/>
      <c r="B5" s="7" t="s">
        <v>1</v>
      </c>
      <c r="C5" s="30">
        <f>C15*'Emission Factors'!E3</f>
        <v>1.069902584</v>
      </c>
      <c r="D5" s="7"/>
      <c r="E5" s="3" t="s">
        <v>0</v>
      </c>
      <c r="F5" s="28">
        <f>F4-F6</f>
        <v>2006.8</v>
      </c>
      <c r="G5" s="12"/>
      <c r="H5" s="1"/>
      <c r="I5" s="3" t="s">
        <v>79</v>
      </c>
      <c r="J5" s="13">
        <f>J4/1000</f>
        <v>44.5447542</v>
      </c>
      <c r="L5" s="12"/>
      <c r="M5" s="1"/>
      <c r="N5" s="32"/>
      <c r="O5" s="1"/>
      <c r="P5" s="20"/>
      <c r="Q5" s="18"/>
      <c r="R5" s="18"/>
      <c r="S5" s="23"/>
      <c r="T5" s="10"/>
      <c r="U5" s="10"/>
      <c r="V5" s="10"/>
      <c r="W5" s="10"/>
      <c r="X5" s="10"/>
      <c r="Y5" s="10"/>
      <c r="Z5" s="16"/>
    </row>
    <row r="6" ht="15.75" customHeight="1">
      <c r="A6" s="1"/>
      <c r="B6" s="7" t="s">
        <v>14</v>
      </c>
      <c r="C6" s="33">
        <f>C14*'Emission Factors'!E6</f>
        <v>0.06834434768</v>
      </c>
      <c r="D6" s="7"/>
      <c r="E6" s="3" t="s">
        <v>83</v>
      </c>
      <c r="F6" s="34">
        <v>0.0</v>
      </c>
      <c r="G6" s="12"/>
      <c r="H6" s="1"/>
      <c r="I6" s="3" t="s">
        <v>85</v>
      </c>
      <c r="J6" s="35">
        <v>66.8109016595761</v>
      </c>
      <c r="L6" s="12"/>
      <c r="M6" s="1"/>
      <c r="N6" s="1"/>
      <c r="O6" s="1"/>
      <c r="P6" s="1"/>
      <c r="Q6" s="1"/>
      <c r="R6" s="19"/>
      <c r="S6" s="13"/>
      <c r="T6" s="36"/>
      <c r="U6" s="1"/>
      <c r="V6" s="1"/>
      <c r="W6" s="10"/>
      <c r="X6" s="10"/>
      <c r="Y6" s="10"/>
      <c r="Z6" s="16"/>
    </row>
    <row r="7" ht="15.75" customHeight="1">
      <c r="A7" s="1"/>
      <c r="B7" s="7" t="s">
        <v>87</v>
      </c>
      <c r="C7" s="33">
        <f>C13*'Emission Factors'!E13</f>
        <v>0.1655937639</v>
      </c>
      <c r="D7" s="7"/>
      <c r="E7" s="3" t="s">
        <v>88</v>
      </c>
      <c r="F7" s="19">
        <f>F5/F4</f>
        <v>1</v>
      </c>
      <c r="G7" s="12"/>
      <c r="H7" s="1"/>
      <c r="I7" s="3" t="s">
        <v>89</v>
      </c>
      <c r="J7" s="13">
        <f>J6*J5</f>
        <v>2976.075192</v>
      </c>
      <c r="L7" s="12"/>
      <c r="M7" s="1"/>
      <c r="N7" s="1"/>
      <c r="O7" s="1"/>
      <c r="P7" s="1"/>
      <c r="Q7" s="18"/>
      <c r="R7" s="18"/>
      <c r="S7" s="37"/>
      <c r="T7" s="19"/>
      <c r="U7" s="1"/>
      <c r="V7" s="1"/>
      <c r="W7" s="1"/>
      <c r="Y7" s="1"/>
      <c r="Z7" s="16"/>
    </row>
    <row r="8" ht="15.75" customHeight="1">
      <c r="A8" s="1"/>
      <c r="B8" s="1"/>
      <c r="C8" s="1"/>
      <c r="D8" s="7"/>
      <c r="E8" s="3" t="s">
        <v>90</v>
      </c>
      <c r="F8" s="19">
        <f>F6/F4</f>
        <v>0</v>
      </c>
      <c r="G8" s="12"/>
      <c r="H8" s="1"/>
      <c r="I8" s="3" t="s">
        <v>91</v>
      </c>
      <c r="J8" s="13">
        <f>J7/1000</f>
        <v>2.976075192</v>
      </c>
      <c r="L8" s="12"/>
      <c r="M8" s="1"/>
      <c r="N8" s="1"/>
      <c r="O8" s="1"/>
      <c r="P8" s="3" t="s">
        <v>64</v>
      </c>
      <c r="Q8" s="1"/>
      <c r="R8" s="1"/>
      <c r="S8" s="1"/>
      <c r="T8" s="38"/>
      <c r="U8" s="38"/>
      <c r="V8" s="38"/>
      <c r="W8" s="1"/>
      <c r="Y8" s="1"/>
      <c r="Z8" s="16"/>
    </row>
    <row r="9" ht="15.75" customHeight="1">
      <c r="A9" s="1"/>
      <c r="B9" s="7" t="s">
        <v>92</v>
      </c>
      <c r="C9" s="30">
        <f>SUM(C5:C7)</f>
        <v>1.303840696</v>
      </c>
      <c r="D9" s="7"/>
      <c r="E9" s="1"/>
      <c r="F9" s="1"/>
      <c r="G9" s="12"/>
      <c r="H9" s="9" t="s">
        <v>93</v>
      </c>
      <c r="I9" s="1"/>
      <c r="L9" s="12"/>
      <c r="M9" s="1"/>
      <c r="N9" s="1"/>
      <c r="O9" s="1"/>
      <c r="P9" s="1"/>
      <c r="Q9" s="1"/>
      <c r="R9" s="1"/>
      <c r="S9" s="1"/>
      <c r="T9" s="39"/>
      <c r="U9" s="39"/>
      <c r="V9" s="40"/>
      <c r="W9" s="1"/>
      <c r="Y9" s="1"/>
      <c r="Z9" s="16"/>
    </row>
    <row r="10" ht="15.75" customHeight="1">
      <c r="A10" s="1"/>
      <c r="B10" s="3" t="s">
        <v>94</v>
      </c>
      <c r="C10" s="26">
        <f>SUM(C5,C7)</f>
        <v>1.235496348</v>
      </c>
      <c r="D10" s="7"/>
      <c r="E10" s="5" t="s">
        <v>95</v>
      </c>
      <c r="F10" s="13"/>
      <c r="G10" s="12"/>
      <c r="H10" s="1"/>
      <c r="I10" s="3" t="s">
        <v>96</v>
      </c>
      <c r="J10" s="3">
        <v>0.83351</v>
      </c>
      <c r="L10" s="12"/>
      <c r="M10" s="1"/>
      <c r="N10" s="1"/>
      <c r="O10" s="1"/>
      <c r="P10" s="1"/>
      <c r="Q10" s="1"/>
      <c r="R10" s="1"/>
      <c r="S10" s="1"/>
      <c r="T10" s="39"/>
      <c r="U10" s="40"/>
      <c r="V10" s="40"/>
      <c r="W10" s="1"/>
      <c r="Y10" s="1"/>
      <c r="Z10" s="16"/>
    </row>
    <row r="11" ht="15.75" customHeight="1">
      <c r="A11" s="1"/>
      <c r="B11" s="7" t="s">
        <v>97</v>
      </c>
      <c r="C11" s="30">
        <f>C9-C10</f>
        <v>0.06834434768</v>
      </c>
      <c r="D11" s="7"/>
      <c r="E11" s="7" t="s">
        <v>98</v>
      </c>
      <c r="F11" s="26">
        <f>Sum(C10,C39,C81,C89)</f>
        <v>5.176314652</v>
      </c>
      <c r="G11" s="12"/>
      <c r="H11" s="1"/>
      <c r="I11" s="3" t="s">
        <v>99</v>
      </c>
      <c r="J11" s="13">
        <f>J10*(F5*(1.01))</f>
        <v>1689.414747</v>
      </c>
      <c r="L11" s="12"/>
      <c r="M11" s="1"/>
      <c r="N11" s="1"/>
      <c r="O11" s="1"/>
      <c r="P11" s="1"/>
      <c r="Q11" s="1"/>
      <c r="R11" s="1"/>
      <c r="S11" s="1"/>
      <c r="T11" s="39"/>
      <c r="U11" s="39"/>
      <c r="V11" s="40"/>
      <c r="W11" s="1"/>
      <c r="Y11" s="1"/>
      <c r="Z11" s="16"/>
    </row>
    <row r="12" ht="15.75" customHeight="1">
      <c r="A12" s="1"/>
      <c r="B12" s="7"/>
      <c r="C12" s="41"/>
      <c r="D12" s="7"/>
      <c r="E12" s="7" t="s">
        <v>100</v>
      </c>
      <c r="F12" s="13">
        <f>C62</f>
        <v>34933.41089</v>
      </c>
      <c r="G12" s="12"/>
      <c r="H12" s="1"/>
      <c r="I12" s="3" t="s">
        <v>101</v>
      </c>
      <c r="J12" s="13">
        <f>J11/1000</f>
        <v>1.689414747</v>
      </c>
      <c r="L12" s="12"/>
      <c r="M12" s="1"/>
      <c r="N12" s="1"/>
      <c r="O12" s="42"/>
      <c r="P12" s="1"/>
      <c r="Q12" s="1"/>
      <c r="R12" s="1"/>
      <c r="S12" s="1"/>
      <c r="T12" s="39"/>
      <c r="U12" s="39"/>
      <c r="V12" s="40"/>
      <c r="W12" s="1"/>
      <c r="Y12" s="1"/>
      <c r="Z12" s="16"/>
    </row>
    <row r="13" ht="15.75" customHeight="1">
      <c r="A13" s="1"/>
      <c r="B13" s="7" t="s">
        <v>102</v>
      </c>
      <c r="C13" s="43">
        <v>109.03</v>
      </c>
      <c r="D13" s="7"/>
      <c r="E13" s="1"/>
      <c r="F13" s="1"/>
      <c r="G13" s="12"/>
      <c r="H13" s="1"/>
      <c r="I13" s="1"/>
      <c r="L13" s="12"/>
      <c r="M13" s="1"/>
      <c r="N13" s="1"/>
      <c r="O13" s="44"/>
      <c r="P13" s="1"/>
      <c r="Q13" s="1"/>
      <c r="R13" s="1"/>
      <c r="S13" s="1"/>
      <c r="T13" s="40"/>
      <c r="U13" s="39"/>
      <c r="V13" s="40"/>
      <c r="W13" s="1"/>
      <c r="Y13" s="1"/>
    </row>
    <row r="14" ht="15.75" customHeight="1">
      <c r="A14" s="1"/>
      <c r="B14" s="7" t="s">
        <v>103</v>
      </c>
      <c r="C14" s="45">
        <v>354.5</v>
      </c>
      <c r="D14" s="7"/>
      <c r="E14" s="1"/>
      <c r="F14" s="1"/>
      <c r="G14" s="12"/>
      <c r="H14" s="1"/>
      <c r="I14" s="1"/>
      <c r="L14" s="12"/>
      <c r="M14" s="46"/>
      <c r="N14" s="1"/>
      <c r="O14" s="1"/>
      <c r="P14" s="1"/>
      <c r="Q14" s="1"/>
      <c r="R14" s="1"/>
      <c r="S14" s="1"/>
      <c r="T14" s="40"/>
      <c r="U14" s="40"/>
      <c r="V14" s="40"/>
      <c r="W14" s="1"/>
      <c r="Y14" s="1"/>
    </row>
    <row r="15" ht="15.75" customHeight="1">
      <c r="A15" s="1"/>
      <c r="B15" s="7" t="s">
        <v>104</v>
      </c>
      <c r="C15" s="45">
        <v>7730.51</v>
      </c>
      <c r="D15" s="7"/>
      <c r="E15" s="1"/>
      <c r="F15" s="1"/>
      <c r="G15" s="12"/>
      <c r="H15" s="1"/>
      <c r="I15" s="1"/>
      <c r="L15" s="12"/>
      <c r="M15" s="46"/>
      <c r="N15" s="1"/>
      <c r="O15" s="1"/>
      <c r="P15" s="1"/>
      <c r="Q15" s="1"/>
      <c r="R15" s="1"/>
      <c r="S15" s="1"/>
      <c r="T15" s="40"/>
      <c r="U15" s="40"/>
      <c r="V15" s="40"/>
      <c r="W15" s="1"/>
      <c r="Y15" s="1"/>
    </row>
    <row r="16" ht="15.75" customHeight="1">
      <c r="A16" s="1"/>
      <c r="B16" s="7"/>
      <c r="C16" s="41"/>
      <c r="D16" s="7"/>
      <c r="E16" s="7"/>
      <c r="F16" s="8"/>
      <c r="G16" s="12"/>
      <c r="H16" s="1"/>
      <c r="I16" s="1"/>
      <c r="L16" s="12"/>
      <c r="M16" s="1"/>
      <c r="N16" s="1"/>
      <c r="O16" s="47"/>
      <c r="P16" s="47"/>
      <c r="Q16" s="1"/>
      <c r="R16" s="10"/>
      <c r="S16" s="47"/>
      <c r="T16" s="10"/>
      <c r="U16" s="37"/>
      <c r="V16" s="1"/>
      <c r="W16" s="1"/>
      <c r="Y16" s="1"/>
    </row>
    <row r="17" ht="15.75" customHeight="1">
      <c r="A17" s="27" t="s">
        <v>105</v>
      </c>
      <c r="B17" s="1"/>
      <c r="C17" s="1"/>
      <c r="D17" s="1"/>
      <c r="E17" s="1"/>
      <c r="F17" s="1"/>
      <c r="G17" s="12"/>
      <c r="H17" s="12"/>
      <c r="I17" s="12"/>
      <c r="J17" s="12"/>
      <c r="L17" s="12"/>
      <c r="M17" s="1"/>
      <c r="N17" s="10"/>
      <c r="O17" s="47"/>
      <c r="P17" s="47"/>
      <c r="Q17" s="10"/>
      <c r="R17" s="10"/>
      <c r="S17" s="47"/>
      <c r="T17" s="10"/>
      <c r="U17" s="37"/>
      <c r="V17" s="1"/>
      <c r="W17" s="1"/>
      <c r="Y17" s="1"/>
    </row>
    <row r="18" ht="15.75" customHeight="1">
      <c r="A18" s="1"/>
      <c r="B18" s="3" t="s">
        <v>106</v>
      </c>
      <c r="C18" s="13">
        <v>10553.344539</v>
      </c>
      <c r="D18" s="1"/>
      <c r="E18" s="1"/>
      <c r="F18" s="1"/>
      <c r="G18" s="12"/>
      <c r="H18" s="48" t="s">
        <v>107</v>
      </c>
      <c r="I18" s="49" t="s">
        <v>108</v>
      </c>
      <c r="J18" s="49" t="s">
        <v>109</v>
      </c>
      <c r="K18" s="50"/>
      <c r="L18" s="12"/>
      <c r="M18" s="16"/>
      <c r="N18" s="51"/>
      <c r="O18" s="10"/>
      <c r="P18" s="10"/>
      <c r="Q18" s="1"/>
      <c r="R18" s="1"/>
      <c r="S18" s="10"/>
      <c r="T18" s="10"/>
      <c r="U18" s="37"/>
      <c r="V18" s="1"/>
      <c r="W18" s="1"/>
      <c r="Y18" s="1"/>
    </row>
    <row r="19" ht="15.75" customHeight="1">
      <c r="A19" s="1"/>
      <c r="B19" s="3" t="s">
        <v>110</v>
      </c>
      <c r="C19" s="19">
        <v>0.68</v>
      </c>
      <c r="D19" s="1"/>
      <c r="E19" s="1"/>
      <c r="F19" s="1"/>
      <c r="G19" s="12"/>
      <c r="H19" s="52" t="s">
        <v>43</v>
      </c>
      <c r="I19" s="53">
        <f>C11*F7</f>
        <v>0.06834434768</v>
      </c>
      <c r="J19" s="54">
        <f t="shared" ref="J19:J29" si="6">I19/$I$32</f>
        <v>0.002631207371</v>
      </c>
      <c r="K19" s="55"/>
      <c r="L19" s="12"/>
      <c r="M19" s="56"/>
      <c r="N19" s="10"/>
      <c r="O19" s="51"/>
      <c r="P19" s="51"/>
      <c r="Q19" s="1"/>
      <c r="R19" s="10"/>
      <c r="S19" s="51"/>
      <c r="T19" s="51"/>
      <c r="U19" s="57"/>
      <c r="V19" s="16"/>
      <c r="W19" s="1"/>
      <c r="Y19" s="1"/>
    </row>
    <row r="20" ht="15.75" customHeight="1">
      <c r="A20" s="1"/>
      <c r="B20" s="3" t="s">
        <v>111</v>
      </c>
      <c r="C20" s="3">
        <v>2573.8</v>
      </c>
      <c r="D20" s="1"/>
      <c r="E20" s="1"/>
      <c r="F20" s="1"/>
      <c r="G20" s="12"/>
      <c r="H20" s="52" t="s">
        <v>48</v>
      </c>
      <c r="I20" s="58">
        <f>C27*F7</f>
        <v>19.31428531</v>
      </c>
      <c r="J20" s="54">
        <f t="shared" si="6"/>
        <v>0.7435858502</v>
      </c>
      <c r="K20" s="55"/>
      <c r="L20" s="12"/>
      <c r="M20" s="56"/>
      <c r="N20" s="1"/>
      <c r="O20" s="1"/>
      <c r="P20" s="1"/>
      <c r="Q20" s="1"/>
      <c r="R20" s="1"/>
      <c r="S20" s="1"/>
      <c r="T20" s="1"/>
      <c r="U20" s="1"/>
      <c r="V20" s="1"/>
      <c r="W20" s="1"/>
      <c r="Y20" s="1"/>
    </row>
    <row r="21" ht="15.75" customHeight="1">
      <c r="A21" s="1"/>
      <c r="B21" s="3" t="s">
        <v>112</v>
      </c>
      <c r="C21" s="13">
        <v>10401.944539</v>
      </c>
      <c r="D21" s="1"/>
      <c r="E21" s="1"/>
      <c r="F21" s="1"/>
      <c r="G21" s="12"/>
      <c r="H21" s="52" t="s">
        <v>49</v>
      </c>
      <c r="I21" s="59">
        <f>C40*F7</f>
        <v>0</v>
      </c>
      <c r="J21" s="54">
        <f t="shared" si="6"/>
        <v>0</v>
      </c>
      <c r="K21" s="55"/>
      <c r="L21" s="1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Y21" s="1"/>
    </row>
    <row r="22" ht="15.75" customHeight="1">
      <c r="A22" s="1"/>
      <c r="B22" s="3" t="s">
        <v>113</v>
      </c>
      <c r="C22" s="13">
        <v>2747.904332423701</v>
      </c>
      <c r="D22" s="1"/>
      <c r="E22" s="1"/>
      <c r="F22" s="1"/>
      <c r="G22" s="12"/>
      <c r="H22" s="52" t="s">
        <v>53</v>
      </c>
      <c r="I22" s="58">
        <f>C48*F7</f>
        <v>0.4580906018</v>
      </c>
      <c r="J22" s="54">
        <f t="shared" si="6"/>
        <v>0.01763615294</v>
      </c>
      <c r="K22" s="55"/>
      <c r="L22" s="12"/>
      <c r="M22" s="46"/>
      <c r="N22" s="10"/>
      <c r="O22" s="1"/>
      <c r="P22" s="1"/>
      <c r="Q22" s="18"/>
      <c r="R22" s="1"/>
      <c r="S22" s="1"/>
      <c r="T22" s="1"/>
      <c r="U22" s="1"/>
      <c r="V22" s="1"/>
      <c r="W22" s="1"/>
      <c r="Y22" s="1"/>
    </row>
    <row r="23" ht="15.75" customHeight="1">
      <c r="A23" s="1"/>
      <c r="B23" s="3" t="s">
        <v>114</v>
      </c>
      <c r="C23" s="13">
        <v>5252.976358991119</v>
      </c>
      <c r="D23" s="1"/>
      <c r="E23" s="1"/>
      <c r="F23" s="1"/>
      <c r="G23" s="12"/>
      <c r="H23" s="52" t="s">
        <v>58</v>
      </c>
      <c r="I23" s="58">
        <f>C64*F7</f>
        <v>1.280014174</v>
      </c>
      <c r="J23" s="54">
        <f t="shared" si="6"/>
        <v>0.04927960899</v>
      </c>
      <c r="K23" s="55"/>
      <c r="L23" s="12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ht="15.75" customHeight="1">
      <c r="A24" s="1"/>
      <c r="B24" s="3" t="s">
        <v>115</v>
      </c>
      <c r="C24" s="19">
        <v>0.0129</v>
      </c>
      <c r="D24" s="1"/>
      <c r="E24" s="1"/>
      <c r="F24" s="1"/>
      <c r="G24" s="12"/>
      <c r="H24" s="52" t="s">
        <v>59</v>
      </c>
      <c r="I24" s="53">
        <f>C69*F7</f>
        <v>0.08602848987</v>
      </c>
      <c r="J24" s="54">
        <f t="shared" si="6"/>
        <v>0.003312033904</v>
      </c>
      <c r="K24" s="55"/>
      <c r="L24" s="12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15.75" customHeight="1">
      <c r="A25" s="1"/>
      <c r="B25" s="3" t="s">
        <v>116</v>
      </c>
      <c r="C25" s="13">
        <f>C23*(1+C24)</f>
        <v>5320.739754</v>
      </c>
      <c r="D25" s="1"/>
      <c r="E25" s="1"/>
      <c r="F25" s="1"/>
      <c r="G25" s="12"/>
      <c r="H25" s="52" t="s">
        <v>62</v>
      </c>
      <c r="I25" s="53">
        <f>C75*F7</f>
        <v>0.01544853126</v>
      </c>
      <c r="J25" s="54">
        <f t="shared" si="6"/>
        <v>0.0005947571484</v>
      </c>
      <c r="K25" s="55"/>
      <c r="L25" s="12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15.75" customHeight="1">
      <c r="A26" s="1"/>
      <c r="B26" s="3" t="s">
        <v>117</v>
      </c>
      <c r="C26" s="3">
        <f>'Emission Factors'!E15*1000</f>
        <v>3.63</v>
      </c>
      <c r="D26" s="1"/>
      <c r="E26" s="1"/>
      <c r="F26" s="1"/>
      <c r="G26" s="12"/>
      <c r="H26" s="52" t="s">
        <v>65</v>
      </c>
      <c r="I26" s="53">
        <f>C82*F7</f>
        <v>0.0868183</v>
      </c>
      <c r="J26" s="54">
        <f t="shared" si="6"/>
        <v>0.003342441017</v>
      </c>
      <c r="K26" s="55"/>
      <c r="L26" s="12"/>
      <c r="M26" s="1"/>
      <c r="N26" s="60"/>
      <c r="O26" s="1"/>
      <c r="P26" s="1"/>
      <c r="Q26" s="18"/>
      <c r="R26" s="18"/>
      <c r="S26" s="37"/>
      <c r="T26" s="19"/>
      <c r="U26" s="18"/>
      <c r="V26" s="37"/>
      <c r="W26" s="18"/>
      <c r="X26" s="37"/>
      <c r="Y26" s="10"/>
    </row>
    <row r="27" ht="15.75" customHeight="1">
      <c r="A27" s="1"/>
      <c r="B27" s="3" t="s">
        <v>118</v>
      </c>
      <c r="C27" s="13">
        <f>(C25*C26)/1000</f>
        <v>19.31428531</v>
      </c>
      <c r="D27" s="1"/>
      <c r="E27" s="1"/>
      <c r="F27" s="1"/>
      <c r="G27" s="12"/>
      <c r="H27" s="52" t="s">
        <v>66</v>
      </c>
      <c r="I27" s="58">
        <f>C90*F7</f>
        <v>0</v>
      </c>
      <c r="J27" s="54">
        <f t="shared" si="6"/>
        <v>0</v>
      </c>
      <c r="K27" s="55"/>
      <c r="L27" s="12"/>
      <c r="M27" s="1"/>
      <c r="N27" s="60"/>
      <c r="O27" s="1"/>
      <c r="P27" s="1"/>
      <c r="Q27" s="18"/>
      <c r="R27" s="18"/>
      <c r="S27" s="37"/>
      <c r="T27" s="19"/>
      <c r="U27" s="18"/>
      <c r="V27" s="37"/>
      <c r="W27" s="18"/>
      <c r="X27" s="37"/>
      <c r="Y27" s="10"/>
    </row>
    <row r="28" ht="15.75" customHeight="1">
      <c r="A28" s="1"/>
      <c r="B28" s="1"/>
      <c r="C28" s="1"/>
      <c r="D28" s="1"/>
      <c r="E28" s="1"/>
      <c r="F28" s="1"/>
      <c r="G28" s="12"/>
      <c r="H28" s="52" t="s">
        <v>67</v>
      </c>
      <c r="I28" s="58">
        <f>J8*F7</f>
        <v>2.976075192</v>
      </c>
      <c r="J28" s="54">
        <f t="shared" si="6"/>
        <v>0.114576717</v>
      </c>
      <c r="K28" s="55"/>
      <c r="L28" s="12"/>
      <c r="M28" s="1"/>
      <c r="N28" s="60"/>
      <c r="O28" s="1"/>
      <c r="P28" s="1"/>
      <c r="Q28" s="18"/>
      <c r="R28" s="18"/>
      <c r="S28" s="37"/>
      <c r="T28" s="19"/>
      <c r="U28" s="18"/>
      <c r="V28" s="37"/>
      <c r="W28" s="18"/>
      <c r="X28" s="37"/>
      <c r="Y28" s="10"/>
    </row>
    <row r="29" ht="15.75" customHeight="1">
      <c r="A29" s="61" t="s">
        <v>119</v>
      </c>
      <c r="B29" s="1"/>
      <c r="C29" s="1"/>
      <c r="D29" s="10"/>
      <c r="E29" s="1"/>
      <c r="F29" s="1"/>
      <c r="G29" s="12"/>
      <c r="H29" s="52" t="s">
        <v>70</v>
      </c>
      <c r="I29" s="58">
        <f>J12*F7</f>
        <v>1.689414747</v>
      </c>
      <c r="J29" s="54">
        <f t="shared" si="6"/>
        <v>0.06504123144</v>
      </c>
      <c r="K29" s="55"/>
      <c r="L29" s="12"/>
      <c r="M29" s="1"/>
      <c r="N29" s="60"/>
      <c r="O29" s="1"/>
      <c r="P29" s="1"/>
      <c r="Q29" s="18"/>
      <c r="R29" s="18"/>
      <c r="S29" s="37"/>
      <c r="T29" s="19"/>
      <c r="U29" s="18"/>
      <c r="V29" s="37"/>
      <c r="W29" s="18"/>
      <c r="X29" s="37"/>
      <c r="Y29" s="10"/>
    </row>
    <row r="30" ht="15.75" customHeight="1">
      <c r="A30" s="1"/>
      <c r="B30" s="5" t="s">
        <v>120</v>
      </c>
      <c r="C30" s="8">
        <v>1173.4771</v>
      </c>
      <c r="D30" s="1"/>
      <c r="E30" s="1"/>
      <c r="F30" s="1"/>
      <c r="G30" s="12"/>
      <c r="H30" s="52"/>
      <c r="I30" s="59"/>
      <c r="J30" s="54"/>
      <c r="K30" s="55"/>
      <c r="L30" s="12"/>
      <c r="M30" s="1"/>
      <c r="N30" s="60"/>
      <c r="O30" s="1"/>
      <c r="P30" s="19"/>
      <c r="Q30" s="18"/>
      <c r="R30" s="18"/>
      <c r="S30" s="37"/>
      <c r="T30" s="19"/>
      <c r="U30" s="18"/>
      <c r="V30" s="37"/>
      <c r="W30" s="18"/>
      <c r="X30" s="37"/>
      <c r="Y30" s="10"/>
    </row>
    <row r="31" ht="15.75" customHeight="1">
      <c r="A31" s="1"/>
      <c r="B31" s="5" t="s">
        <v>121</v>
      </c>
      <c r="C31" s="62">
        <v>310.0</v>
      </c>
      <c r="D31" s="25"/>
      <c r="E31" s="1"/>
      <c r="F31" s="1"/>
      <c r="G31" s="12"/>
      <c r="H31" s="59"/>
      <c r="I31" s="59"/>
      <c r="J31" s="54"/>
      <c r="K31" s="55"/>
      <c r="L31" s="12"/>
      <c r="M31" s="1"/>
      <c r="N31" s="60"/>
      <c r="O31" s="1"/>
      <c r="P31" s="19"/>
      <c r="Q31" s="18"/>
      <c r="R31" s="18"/>
      <c r="S31" s="37"/>
      <c r="T31" s="19"/>
      <c r="U31" s="18"/>
      <c r="V31" s="37"/>
      <c r="W31" s="18"/>
      <c r="X31" s="37"/>
      <c r="Y31" s="10"/>
    </row>
    <row r="32" ht="15.75" customHeight="1">
      <c r="A32" s="1"/>
      <c r="B32" s="5" t="s">
        <v>122</v>
      </c>
      <c r="C32" s="8">
        <v>0.0</v>
      </c>
      <c r="D32" s="23"/>
      <c r="E32" s="1"/>
      <c r="F32" s="1"/>
      <c r="G32" s="12"/>
      <c r="H32" s="52" t="s">
        <v>123</v>
      </c>
      <c r="I32" s="53">
        <f>SUM(I19:I29)</f>
        <v>25.97451969</v>
      </c>
      <c r="J32" s="54"/>
      <c r="K32" s="55"/>
      <c r="L32" s="12"/>
      <c r="M32" s="16"/>
      <c r="N32" s="16"/>
      <c r="O32" s="16"/>
      <c r="P32" s="16"/>
      <c r="Q32" s="16"/>
      <c r="R32" s="16"/>
      <c r="S32" s="57"/>
      <c r="T32" s="16"/>
      <c r="U32" s="63"/>
      <c r="V32" s="16"/>
      <c r="W32" s="63"/>
      <c r="X32" s="16"/>
      <c r="Y32" s="16"/>
      <c r="Z32" s="16"/>
      <c r="AA32" s="16"/>
      <c r="AB32" s="16"/>
    </row>
    <row r="33" ht="15.75" customHeight="1">
      <c r="A33" s="1"/>
      <c r="B33" s="5" t="s">
        <v>124</v>
      </c>
      <c r="C33" s="8">
        <v>310.0</v>
      </c>
      <c r="D33" s="1"/>
      <c r="E33" s="1"/>
      <c r="F33" s="1"/>
      <c r="G33" s="12"/>
      <c r="H33" s="1"/>
      <c r="I33" s="1"/>
      <c r="L33" s="12"/>
      <c r="M33" s="1"/>
      <c r="N33" s="16"/>
      <c r="O33" s="1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ht="15.75" customHeight="1">
      <c r="A34" s="1"/>
      <c r="B34" s="5" t="s">
        <v>125</v>
      </c>
      <c r="C34" s="64">
        <v>997.3475</v>
      </c>
      <c r="D34" s="1"/>
      <c r="E34" s="1"/>
      <c r="F34" s="1"/>
      <c r="G34" s="12"/>
      <c r="H34" s="1"/>
      <c r="I34" s="1"/>
      <c r="L34" s="12"/>
      <c r="M34" s="1"/>
      <c r="N34" s="16"/>
      <c r="O34" s="1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ht="15.75" customHeight="1">
      <c r="A35" s="1"/>
      <c r="B35" s="7" t="s">
        <v>115</v>
      </c>
      <c r="C35" s="65">
        <v>0.0129</v>
      </c>
      <c r="D35" s="1"/>
      <c r="E35" s="1"/>
      <c r="F35" s="1"/>
      <c r="G35" s="12"/>
      <c r="H35" s="1"/>
      <c r="I35" s="1"/>
      <c r="K35" s="55"/>
      <c r="L35" s="12"/>
      <c r="M35" s="1"/>
      <c r="N35" s="13"/>
      <c r="O35" s="47"/>
      <c r="P35" s="1"/>
      <c r="Q35" s="1"/>
      <c r="R35" s="10"/>
      <c r="S35" s="1"/>
      <c r="T35" s="1"/>
      <c r="U35" s="1"/>
      <c r="V35" s="1"/>
      <c r="W35" s="1"/>
      <c r="Y35" s="1"/>
    </row>
    <row r="36" ht="15.75" customHeight="1">
      <c r="A36" s="1"/>
      <c r="B36" s="7" t="s">
        <v>116</v>
      </c>
      <c r="C36" s="64">
        <f>C34*(1+C35)</f>
        <v>1010.213283</v>
      </c>
      <c r="D36" s="1"/>
      <c r="E36" s="1"/>
      <c r="F36" s="1"/>
      <c r="G36" s="12"/>
      <c r="H36" s="9"/>
      <c r="I36" s="1"/>
      <c r="K36" s="55"/>
      <c r="L36" s="12"/>
      <c r="M36" s="1"/>
      <c r="N36" s="13"/>
      <c r="O36" s="47"/>
      <c r="P36" s="1"/>
      <c r="Q36" s="1"/>
      <c r="R36" s="10"/>
      <c r="S36" s="1"/>
      <c r="T36" s="1"/>
      <c r="U36" s="1"/>
      <c r="V36" s="1"/>
      <c r="W36" s="1"/>
      <c r="Y36" s="1"/>
    </row>
    <row r="37" ht="15.75" customHeight="1">
      <c r="A37" s="1"/>
      <c r="B37" s="3" t="s">
        <v>126</v>
      </c>
      <c r="C37" s="3">
        <f>'Emission Factors'!E14*1000</f>
        <v>3.87</v>
      </c>
      <c r="D37" s="1"/>
      <c r="E37" s="1"/>
      <c r="F37" s="1"/>
      <c r="G37" s="12"/>
      <c r="H37" s="9"/>
      <c r="I37" s="1"/>
      <c r="K37" s="55"/>
      <c r="L37" s="12"/>
      <c r="M37" s="1"/>
      <c r="N37" s="13"/>
      <c r="O37" s="47"/>
      <c r="P37" s="1"/>
      <c r="Q37" s="1"/>
      <c r="R37" s="10"/>
      <c r="S37" s="1"/>
      <c r="T37" s="1"/>
      <c r="U37" s="1"/>
      <c r="V37" s="1"/>
      <c r="W37" s="1"/>
      <c r="Y37" s="1"/>
    </row>
    <row r="38" ht="15.75" customHeight="1">
      <c r="A38" s="1"/>
      <c r="B38" s="3" t="s">
        <v>127</v>
      </c>
      <c r="C38" s="13">
        <f>(C37*C36)/1000</f>
        <v>3.909525404</v>
      </c>
      <c r="D38" s="10"/>
      <c r="E38" s="1"/>
      <c r="F38" s="1"/>
      <c r="G38" s="12"/>
      <c r="H38" s="1"/>
      <c r="I38" s="1"/>
      <c r="L38" s="12"/>
      <c r="M38" s="1"/>
      <c r="N38" s="10"/>
      <c r="O38" s="47"/>
      <c r="P38" s="1"/>
      <c r="Q38" s="1"/>
      <c r="R38" s="1"/>
      <c r="S38" s="1"/>
      <c r="T38" s="1"/>
      <c r="U38" s="1"/>
      <c r="V38" s="1"/>
      <c r="W38" s="1"/>
      <c r="Y38" s="1"/>
    </row>
    <row r="39" ht="15.75" customHeight="1">
      <c r="A39" s="1"/>
      <c r="B39" s="7" t="s">
        <v>128</v>
      </c>
      <c r="C39" s="13">
        <f>C38</f>
        <v>3.909525404</v>
      </c>
      <c r="D39" s="1"/>
      <c r="E39" s="1"/>
      <c r="F39" s="1"/>
      <c r="G39" s="12"/>
      <c r="H39" s="1"/>
      <c r="I39" s="1"/>
      <c r="L39" s="12"/>
      <c r="M39" s="16"/>
      <c r="N39" s="51"/>
      <c r="O39" s="1"/>
      <c r="P39" s="1"/>
      <c r="Q39" s="1"/>
      <c r="R39" s="1"/>
      <c r="S39" s="1"/>
      <c r="T39" s="1"/>
      <c r="U39" s="1"/>
      <c r="V39" s="1"/>
      <c r="W39" s="1"/>
      <c r="Y39" s="1"/>
    </row>
    <row r="40" ht="15.75" customHeight="1">
      <c r="A40" s="1"/>
      <c r="B40" s="7" t="s">
        <v>129</v>
      </c>
      <c r="C40" s="13">
        <f>C38-C39</f>
        <v>0</v>
      </c>
      <c r="D40" s="1"/>
      <c r="E40" s="1"/>
      <c r="F40" s="1"/>
      <c r="G40" s="12"/>
      <c r="H40" s="1"/>
      <c r="I40" s="1"/>
      <c r="L40" s="12"/>
      <c r="M40" s="16"/>
      <c r="N40" s="51"/>
      <c r="O40" s="1"/>
      <c r="P40" s="1"/>
      <c r="Q40" s="1"/>
      <c r="R40" s="1"/>
      <c r="S40" s="1"/>
      <c r="T40" s="1"/>
      <c r="U40" s="1"/>
      <c r="V40" s="1"/>
      <c r="W40" s="1"/>
      <c r="Y40" s="1"/>
    </row>
    <row r="41" ht="15.75" customHeight="1">
      <c r="A41" s="1"/>
      <c r="B41" s="1"/>
      <c r="C41" s="1"/>
      <c r="D41" s="1"/>
      <c r="E41" s="1"/>
      <c r="F41" s="1"/>
      <c r="G41" s="12"/>
      <c r="H41" s="66"/>
      <c r="I41" s="16"/>
      <c r="L41" s="1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Y41" s="1"/>
    </row>
    <row r="42" ht="15.75" customHeight="1">
      <c r="A42" s="27" t="s">
        <v>130</v>
      </c>
      <c r="B42" s="1"/>
      <c r="C42" s="1"/>
      <c r="D42" s="1"/>
      <c r="E42" s="1"/>
      <c r="F42" s="1"/>
      <c r="G42" s="12"/>
      <c r="H42" s="9"/>
      <c r="I42" s="1"/>
      <c r="L42" s="1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Y42" s="1"/>
    </row>
    <row r="43" ht="15.75" customHeight="1">
      <c r="A43" s="1"/>
      <c r="B43" s="3" t="s">
        <v>131</v>
      </c>
      <c r="C43" s="13">
        <v>43.76</v>
      </c>
      <c r="D43" s="1"/>
      <c r="E43" s="1"/>
      <c r="F43" s="1"/>
      <c r="G43" s="12"/>
      <c r="H43" s="9"/>
      <c r="I43" s="1"/>
      <c r="J43" s="67"/>
      <c r="L43" s="1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Y43" s="1"/>
    </row>
    <row r="44" ht="15.75" customHeight="1">
      <c r="A44" s="1"/>
      <c r="B44" s="3" t="s">
        <v>132</v>
      </c>
      <c r="C44" s="13">
        <v>120.924196</v>
      </c>
      <c r="D44" s="1"/>
      <c r="E44" s="1"/>
      <c r="F44" s="1"/>
      <c r="G44" s="12"/>
      <c r="H44" s="9"/>
      <c r="I44" s="1"/>
      <c r="J44" s="67"/>
      <c r="L44" s="1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Y44" s="1"/>
    </row>
    <row r="45" ht="15.75" customHeight="1">
      <c r="A45" s="1"/>
      <c r="B45" s="3" t="s">
        <v>115</v>
      </c>
      <c r="C45" s="19">
        <v>0.0129</v>
      </c>
      <c r="D45" s="1"/>
      <c r="E45" s="1"/>
      <c r="F45" s="1"/>
      <c r="G45" s="12"/>
      <c r="H45" s="9"/>
      <c r="I45" s="1"/>
      <c r="L45" s="1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Y45" s="1"/>
    </row>
    <row r="46" ht="15.75" customHeight="1">
      <c r="A46" s="1"/>
      <c r="B46" s="3" t="s">
        <v>116</v>
      </c>
      <c r="C46" s="13">
        <f>C44*(1+C45)</f>
        <v>122.4841181</v>
      </c>
      <c r="D46" s="1"/>
      <c r="E46" s="1"/>
      <c r="F46" s="1"/>
      <c r="G46" s="12"/>
      <c r="H46" s="9"/>
      <c r="I46" s="1"/>
      <c r="J46" s="67"/>
      <c r="L46" s="1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Y46" s="1"/>
    </row>
    <row r="47" ht="15.75" customHeight="1">
      <c r="A47" s="1"/>
      <c r="B47" s="3" t="s">
        <v>133</v>
      </c>
      <c r="C47" s="3">
        <f>'Emission Factors'!E16*1000</f>
        <v>3.74</v>
      </c>
      <c r="D47" s="1"/>
      <c r="E47" s="1"/>
      <c r="F47" s="1"/>
      <c r="G47" s="12"/>
      <c r="H47" s="9"/>
      <c r="I47" s="1"/>
      <c r="J47" s="68"/>
      <c r="L47" s="1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Y47" s="1"/>
    </row>
    <row r="48" ht="15.75" customHeight="1">
      <c r="A48" s="1"/>
      <c r="B48" s="3" t="s">
        <v>134</v>
      </c>
      <c r="C48" s="13">
        <f>(C47*C46)/1000</f>
        <v>0.4580906018</v>
      </c>
      <c r="D48" s="1"/>
      <c r="E48" s="1"/>
      <c r="F48" s="1"/>
      <c r="G48" s="12"/>
      <c r="H48" s="9"/>
      <c r="I48" s="1"/>
      <c r="J48" s="67"/>
      <c r="L48" s="1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Y48" s="1"/>
    </row>
    <row r="49" ht="15.75" customHeight="1">
      <c r="A49" s="1"/>
      <c r="B49" s="1"/>
      <c r="C49" s="1"/>
      <c r="D49" s="10"/>
      <c r="E49" s="1"/>
      <c r="F49" s="1"/>
      <c r="G49" s="12"/>
      <c r="H49" s="9"/>
      <c r="I49" s="1"/>
      <c r="J49" s="67"/>
      <c r="L49" s="1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Y49" s="1"/>
    </row>
    <row r="50" ht="15.75" customHeight="1">
      <c r="A50" s="27" t="s">
        <v>135</v>
      </c>
      <c r="B50" s="1"/>
      <c r="C50" s="1"/>
      <c r="D50" s="1"/>
      <c r="E50" s="1"/>
      <c r="F50" s="1"/>
      <c r="G50" s="12"/>
      <c r="H50" s="9"/>
      <c r="I50" s="1"/>
      <c r="J50" s="67"/>
      <c r="L50" s="1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Y50" s="1"/>
    </row>
    <row r="51" ht="15.75" customHeight="1">
      <c r="A51" s="1"/>
      <c r="B51" s="7" t="s">
        <v>136</v>
      </c>
      <c r="C51" s="69">
        <v>42988.48</v>
      </c>
      <c r="D51" s="1"/>
      <c r="E51" s="1"/>
      <c r="F51" s="1"/>
      <c r="G51" s="12"/>
      <c r="H51" s="9"/>
      <c r="I51" s="1"/>
      <c r="J51" s="67"/>
      <c r="L51" s="1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Y51" s="1"/>
    </row>
    <row r="52" ht="15.75" customHeight="1">
      <c r="A52" s="1"/>
      <c r="B52" s="7" t="s">
        <v>137</v>
      </c>
      <c r="C52" s="65">
        <v>0.02</v>
      </c>
      <c r="D52" s="1"/>
      <c r="E52" s="1"/>
      <c r="F52" s="1"/>
      <c r="G52" s="12"/>
      <c r="H52" s="9"/>
      <c r="I52" s="1"/>
      <c r="J52" s="67"/>
      <c r="L52" s="1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Y52" s="1"/>
    </row>
    <row r="53" ht="15.75" customHeight="1">
      <c r="A53" s="1"/>
      <c r="B53" s="7" t="s">
        <v>138</v>
      </c>
      <c r="C53" s="64">
        <f>C51*(1+C52)</f>
        <v>43848.2496</v>
      </c>
      <c r="D53" s="1"/>
      <c r="E53" s="1"/>
      <c r="F53" s="1"/>
      <c r="G53" s="12"/>
      <c r="H53" s="9"/>
      <c r="I53" s="1"/>
      <c r="J53" s="67"/>
      <c r="L53" s="1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Y53" s="1"/>
    </row>
    <row r="54" ht="15.75" customHeight="1">
      <c r="A54" s="1"/>
      <c r="B54" s="7" t="s">
        <v>139</v>
      </c>
      <c r="C54" s="8">
        <v>9212.0</v>
      </c>
      <c r="D54" s="1"/>
      <c r="E54" s="1"/>
      <c r="F54" s="1"/>
      <c r="G54" s="12"/>
      <c r="H54" s="9"/>
      <c r="I54" s="1"/>
      <c r="J54" s="67"/>
      <c r="L54" s="1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Y54" s="1"/>
    </row>
    <row r="55" ht="15.75" customHeight="1">
      <c r="A55" s="1"/>
      <c r="B55" s="7" t="s">
        <v>140</v>
      </c>
      <c r="C55" s="8">
        <v>31.0</v>
      </c>
      <c r="D55" s="1"/>
      <c r="E55" s="1"/>
      <c r="F55" s="1"/>
      <c r="G55" s="12"/>
      <c r="H55" s="1"/>
      <c r="I55" s="1"/>
      <c r="J55" s="66"/>
      <c r="L55" s="1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Y55" s="1"/>
    </row>
    <row r="56" ht="15.75" customHeight="1">
      <c r="A56" s="1"/>
      <c r="B56" s="7" t="s">
        <v>141</v>
      </c>
      <c r="C56" s="64">
        <f>C54/C55</f>
        <v>297.1612903</v>
      </c>
      <c r="D56" s="1"/>
      <c r="E56" s="1"/>
      <c r="F56" s="1"/>
      <c r="G56" s="12"/>
      <c r="H56" s="9"/>
      <c r="I56" s="1"/>
      <c r="J56" s="66"/>
      <c r="L56" s="1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Y56" s="1"/>
    </row>
    <row r="57" ht="15.75" customHeight="1">
      <c r="A57" s="1"/>
      <c r="B57" s="7" t="s">
        <v>142</v>
      </c>
      <c r="C57" s="8">
        <v>30.0</v>
      </c>
      <c r="D57" s="1"/>
      <c r="E57" s="1"/>
      <c r="F57" s="1"/>
      <c r="G57" s="12"/>
      <c r="H57" s="1"/>
      <c r="I57" s="1"/>
      <c r="L57" s="1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Y57" s="1"/>
    </row>
    <row r="58" ht="15.75" customHeight="1">
      <c r="A58" s="1"/>
      <c r="B58" s="7" t="s">
        <v>143</v>
      </c>
      <c r="C58" s="64">
        <f>(C56*C57)</f>
        <v>8914.83871</v>
      </c>
      <c r="D58" s="1"/>
      <c r="E58" s="1"/>
      <c r="F58" s="1"/>
      <c r="G58" s="12"/>
      <c r="H58" s="1"/>
      <c r="I58" s="1"/>
      <c r="L58" s="1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Y58" s="1"/>
    </row>
    <row r="59" ht="15.75" customHeight="1">
      <c r="A59" s="1"/>
      <c r="B59" s="7" t="s">
        <v>144</v>
      </c>
      <c r="C59" s="64">
        <f>C53-C58</f>
        <v>34933.41089</v>
      </c>
      <c r="D59" s="1"/>
      <c r="E59" s="1"/>
      <c r="F59" s="1"/>
      <c r="G59" s="12"/>
      <c r="H59" s="1"/>
      <c r="I59" s="1"/>
      <c r="L59" s="1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Y59" s="1"/>
    </row>
    <row r="60" ht="15.75" customHeight="1">
      <c r="A60" s="1"/>
      <c r="B60" s="3" t="s">
        <v>145</v>
      </c>
      <c r="C60" s="36">
        <f>'Emission Factors'!E10*1000</f>
        <v>0.4890238251</v>
      </c>
      <c r="D60" s="1"/>
      <c r="E60" s="1"/>
      <c r="F60" s="1"/>
      <c r="G60" s="12"/>
      <c r="H60" s="1"/>
      <c r="I60" s="19"/>
      <c r="L60" s="1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Y60" s="1"/>
    </row>
    <row r="61" ht="15.75" customHeight="1">
      <c r="A61" s="1"/>
      <c r="B61" s="3" t="s">
        <v>146</v>
      </c>
      <c r="C61" s="13">
        <f>(C60*C59)/1000</f>
        <v>17.08327022</v>
      </c>
      <c r="D61" s="1"/>
      <c r="E61" s="1"/>
      <c r="F61" s="1"/>
      <c r="G61" s="12"/>
      <c r="H61" s="1"/>
      <c r="I61" s="1"/>
      <c r="L61" s="1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Y61" s="1"/>
    </row>
    <row r="62" ht="15.75" customHeight="1">
      <c r="A62" s="1"/>
      <c r="B62" s="3" t="s">
        <v>147</v>
      </c>
      <c r="C62" s="13">
        <f>C59</f>
        <v>34933.41089</v>
      </c>
      <c r="D62" s="1"/>
      <c r="E62" s="1"/>
      <c r="F62" s="1"/>
      <c r="G62" s="12"/>
      <c r="H62" s="1"/>
      <c r="I62" s="1"/>
      <c r="L62" s="1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Y62" s="1"/>
    </row>
    <row r="63" ht="15.75" customHeight="1">
      <c r="A63" s="1"/>
      <c r="B63" s="3" t="s">
        <v>148</v>
      </c>
      <c r="C63" s="70">
        <f>'Emission Factors'!E11*1000</f>
        <v>0.03664154577</v>
      </c>
      <c r="D63" s="1"/>
      <c r="E63" s="1"/>
      <c r="F63" s="1"/>
      <c r="G63" s="12"/>
      <c r="H63" s="1"/>
      <c r="I63" s="1"/>
      <c r="L63" s="1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Y63" s="1"/>
    </row>
    <row r="64" ht="15.75" customHeight="1">
      <c r="A64" s="1"/>
      <c r="B64" s="3" t="s">
        <v>129</v>
      </c>
      <c r="C64" s="13">
        <f>(C63*C62)/1000</f>
        <v>1.280014174</v>
      </c>
      <c r="D64" s="1"/>
      <c r="E64" s="1"/>
      <c r="F64" s="1"/>
      <c r="G64" s="12"/>
      <c r="H64" s="1"/>
      <c r="I64" s="1"/>
      <c r="L64" s="1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Y64" s="1"/>
    </row>
    <row r="65" ht="15.75" customHeight="1">
      <c r="A65" s="1"/>
      <c r="B65" s="1"/>
      <c r="C65" s="1"/>
      <c r="D65" s="1"/>
      <c r="E65" s="1"/>
      <c r="F65" s="1"/>
      <c r="G65" s="12"/>
      <c r="H65" s="1"/>
      <c r="I65" s="1"/>
      <c r="L65" s="1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Y65" s="1"/>
    </row>
    <row r="66" ht="15.75" customHeight="1">
      <c r="A66" s="27" t="s">
        <v>149</v>
      </c>
      <c r="B66" s="1"/>
      <c r="C66" s="1"/>
      <c r="D66" s="1"/>
      <c r="E66" s="1"/>
      <c r="F66" s="1"/>
      <c r="G66" s="12"/>
      <c r="H66" s="1"/>
      <c r="I66" s="1"/>
      <c r="L66" s="1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Y66" s="1"/>
    </row>
    <row r="67" ht="15.75" customHeight="1">
      <c r="A67" s="1"/>
      <c r="B67" s="3" t="s">
        <v>150</v>
      </c>
      <c r="C67" s="3">
        <v>44544.7542</v>
      </c>
      <c r="D67" s="1"/>
      <c r="E67" s="1"/>
      <c r="F67" s="1"/>
      <c r="G67" s="12"/>
      <c r="H67" s="1"/>
      <c r="I67" s="1"/>
      <c r="L67" s="1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Y67" s="1"/>
    </row>
    <row r="68" ht="15.75" customHeight="1">
      <c r="A68" s="1"/>
      <c r="B68" s="3" t="s">
        <v>151</v>
      </c>
      <c r="C68" s="3">
        <v>1.931282177E-6</v>
      </c>
      <c r="D68" s="1"/>
      <c r="E68" s="1"/>
      <c r="F68" s="1"/>
      <c r="G68" s="12"/>
      <c r="H68" s="1"/>
      <c r="I68" s="1"/>
      <c r="L68" s="1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Y68" s="1"/>
    </row>
    <row r="69" ht="15.75" customHeight="1">
      <c r="A69" s="1"/>
      <c r="B69" s="3" t="s">
        <v>152</v>
      </c>
      <c r="C69" s="71">
        <f>C68*C67</f>
        <v>0.08602848987</v>
      </c>
      <c r="D69" s="1"/>
      <c r="E69" s="1"/>
      <c r="F69" s="1"/>
      <c r="G69" s="12"/>
      <c r="H69" s="1"/>
      <c r="I69" s="1"/>
      <c r="L69" s="1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Y69" s="1"/>
    </row>
    <row r="70" ht="15.75" customHeight="1">
      <c r="A70" s="1"/>
      <c r="B70" s="1"/>
      <c r="C70" s="1"/>
      <c r="D70" s="1"/>
      <c r="E70" s="1"/>
      <c r="F70" s="1"/>
      <c r="G70" s="12"/>
      <c r="H70" s="1"/>
      <c r="I70" s="1"/>
      <c r="L70" s="1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Y70" s="1"/>
    </row>
    <row r="71" ht="15.75" customHeight="1">
      <c r="A71" s="27" t="s">
        <v>153</v>
      </c>
      <c r="B71" s="1"/>
      <c r="C71" s="1"/>
      <c r="D71" s="1"/>
      <c r="E71" s="1"/>
      <c r="F71" s="1"/>
      <c r="G71" s="12"/>
      <c r="H71" s="1"/>
      <c r="I71" s="1"/>
      <c r="L71" s="1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Y71" s="1"/>
    </row>
    <row r="72" ht="15.75" customHeight="1">
      <c r="A72" s="1"/>
      <c r="B72" s="7" t="s">
        <v>154</v>
      </c>
      <c r="C72" s="13">
        <v>8871.89</v>
      </c>
      <c r="D72" s="1"/>
      <c r="E72" s="1"/>
      <c r="F72" s="1"/>
      <c r="G72" s="12"/>
      <c r="H72" s="1"/>
      <c r="I72" s="1"/>
      <c r="L72" s="1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Y72" s="1"/>
    </row>
    <row r="73" ht="15.75" customHeight="1">
      <c r="A73" s="1"/>
      <c r="B73" s="7" t="s">
        <v>155</v>
      </c>
      <c r="C73" s="13">
        <v>33624.4631</v>
      </c>
      <c r="D73" s="1"/>
      <c r="E73" s="1"/>
      <c r="F73" s="1"/>
      <c r="G73" s="12"/>
      <c r="H73" s="1"/>
      <c r="I73" s="1"/>
      <c r="L73" s="1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Y73" s="1"/>
    </row>
    <row r="74" ht="15.75" customHeight="1">
      <c r="A74" s="1"/>
      <c r="B74" s="3" t="s">
        <v>156</v>
      </c>
      <c r="C74" s="72">
        <f>'Emission Factors'!E17*1000</f>
        <v>0.001741289766</v>
      </c>
      <c r="D74" s="1"/>
      <c r="E74" s="1"/>
      <c r="F74" s="1"/>
      <c r="G74" s="12"/>
      <c r="H74" s="1"/>
      <c r="I74" s="1"/>
      <c r="L74" s="1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Y74" s="1"/>
    </row>
    <row r="75" ht="15.75" customHeight="1">
      <c r="A75" s="1"/>
      <c r="B75" s="3" t="s">
        <v>157</v>
      </c>
      <c r="C75" s="73">
        <f>(C74*C72)/1000</f>
        <v>0.01544853126</v>
      </c>
      <c r="D75" s="74"/>
      <c r="E75" s="1"/>
      <c r="F75" s="1"/>
      <c r="G75" s="12"/>
      <c r="H75" s="1"/>
      <c r="I75" s="1"/>
      <c r="L75" s="1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Y75" s="1"/>
    </row>
    <row r="76" ht="15.75" customHeight="1">
      <c r="A76" s="1"/>
      <c r="B76" s="1"/>
      <c r="C76" s="1"/>
      <c r="D76" s="75"/>
      <c r="E76" s="1"/>
      <c r="F76" s="1"/>
      <c r="G76" s="12"/>
      <c r="H76" s="1"/>
      <c r="I76" s="1"/>
      <c r="L76" s="1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Y76" s="1"/>
    </row>
    <row r="77" ht="15.75" customHeight="1">
      <c r="A77" s="27" t="s">
        <v>158</v>
      </c>
      <c r="B77" s="1"/>
      <c r="C77" s="74"/>
      <c r="D77" s="74"/>
      <c r="E77" s="1"/>
      <c r="F77" s="1"/>
      <c r="G77" s="12"/>
      <c r="H77" s="1"/>
      <c r="I77" s="1"/>
      <c r="L77" s="1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Y77" s="1"/>
    </row>
    <row r="78" ht="15.75" customHeight="1">
      <c r="A78" s="1"/>
      <c r="B78" s="7" t="s">
        <v>159</v>
      </c>
      <c r="C78" s="33">
        <v>0.0312929</v>
      </c>
      <c r="D78" s="74"/>
      <c r="E78" s="1"/>
      <c r="F78" s="1"/>
      <c r="G78" s="12"/>
      <c r="H78" s="1"/>
      <c r="I78" s="1"/>
      <c r="L78" s="1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Y78" s="1"/>
    </row>
    <row r="79" ht="15.75" customHeight="1">
      <c r="A79" s="1"/>
      <c r="B79" s="7" t="s">
        <v>160</v>
      </c>
      <c r="C79" s="33">
        <v>0.0868183</v>
      </c>
      <c r="D79" s="74"/>
      <c r="E79" s="1"/>
      <c r="F79" s="1"/>
      <c r="G79" s="12"/>
      <c r="H79" s="1"/>
      <c r="I79" s="1"/>
      <c r="L79" s="1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Y79" s="1"/>
    </row>
    <row r="80" ht="15.75" customHeight="1">
      <c r="A80" s="1"/>
      <c r="B80" s="7" t="s">
        <v>92</v>
      </c>
      <c r="C80" s="33">
        <f>C78+C79</f>
        <v>0.1181112</v>
      </c>
      <c r="D80" s="1"/>
      <c r="E80" s="1"/>
      <c r="F80" s="1"/>
      <c r="G80" s="12"/>
      <c r="H80" s="1"/>
      <c r="I80" s="1"/>
      <c r="L80" s="1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Y80" s="1"/>
    </row>
    <row r="81" ht="15.75" customHeight="1">
      <c r="A81" s="1"/>
      <c r="B81" s="7" t="s">
        <v>128</v>
      </c>
      <c r="C81" s="30">
        <f>C78</f>
        <v>0.0312929</v>
      </c>
      <c r="D81" s="1"/>
      <c r="E81" s="1"/>
      <c r="F81" s="1"/>
      <c r="G81" s="12"/>
      <c r="H81" s="1"/>
      <c r="I81" s="1"/>
      <c r="L81" s="1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</row>
    <row r="82" ht="15.75" customHeight="1">
      <c r="A82" s="1"/>
      <c r="B82" s="7" t="s">
        <v>129</v>
      </c>
      <c r="C82" s="30">
        <f>C80-C78</f>
        <v>0.0868183</v>
      </c>
      <c r="D82" s="1"/>
      <c r="E82" s="1"/>
      <c r="F82" s="1"/>
      <c r="G82" s="12"/>
      <c r="H82" s="1"/>
      <c r="I82" s="1"/>
      <c r="L82" s="1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Y82" s="1"/>
    </row>
    <row r="83" ht="15.75" customHeight="1">
      <c r="A83" s="61" t="s">
        <v>161</v>
      </c>
      <c r="B83" s="1"/>
      <c r="C83" s="1"/>
      <c r="D83" s="1"/>
      <c r="E83" s="1"/>
      <c r="F83" s="1"/>
      <c r="G83" s="12"/>
      <c r="H83" s="1"/>
      <c r="I83" s="1"/>
      <c r="L83" s="1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Y83" s="1"/>
    </row>
    <row r="84" ht="15.75" customHeight="1">
      <c r="A84" s="9"/>
      <c r="B84" s="7" t="s">
        <v>162</v>
      </c>
      <c r="C84" s="76">
        <v>0.0</v>
      </c>
      <c r="D84" s="1"/>
      <c r="E84" s="1"/>
      <c r="F84" s="1"/>
      <c r="G84" s="12"/>
      <c r="H84" s="1"/>
      <c r="I84" s="1"/>
      <c r="L84" s="1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Y84" s="1"/>
    </row>
    <row r="85" ht="15.75" customHeight="1">
      <c r="A85" s="1"/>
      <c r="B85" s="7" t="s">
        <v>163</v>
      </c>
      <c r="C85" s="76">
        <v>0.0</v>
      </c>
      <c r="D85" s="1"/>
      <c r="E85" s="1"/>
      <c r="F85" s="1"/>
      <c r="G85" s="12"/>
      <c r="H85" s="1"/>
      <c r="I85" s="1"/>
      <c r="L85" s="1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Y85" s="1"/>
    </row>
    <row r="86" ht="15.75" customHeight="1">
      <c r="A86" s="1"/>
      <c r="B86" s="7" t="s">
        <v>164</v>
      </c>
      <c r="C86" s="76">
        <v>0.0</v>
      </c>
      <c r="D86" s="1"/>
      <c r="E86" s="1"/>
      <c r="F86" s="1"/>
      <c r="G86" s="12"/>
      <c r="H86" s="1"/>
      <c r="I86" s="1"/>
      <c r="L86" s="1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Y86" s="1"/>
    </row>
    <row r="87" ht="15.75" customHeight="1">
      <c r="A87" s="1"/>
      <c r="B87" s="3"/>
      <c r="C87" s="22"/>
      <c r="D87" s="1"/>
      <c r="E87" s="1"/>
      <c r="F87" s="1"/>
      <c r="G87" s="12"/>
      <c r="H87" s="1"/>
      <c r="I87" s="1"/>
      <c r="L87" s="1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Y87" s="1"/>
    </row>
    <row r="88" ht="15.75" customHeight="1">
      <c r="A88" s="1"/>
      <c r="B88" s="3" t="s">
        <v>92</v>
      </c>
      <c r="C88" s="36">
        <f>SUM(C84,C85,C86)</f>
        <v>0</v>
      </c>
      <c r="D88" s="1"/>
      <c r="E88" s="1"/>
      <c r="F88" s="1"/>
      <c r="G88" s="12"/>
      <c r="H88" s="1"/>
      <c r="I88" s="1"/>
      <c r="L88" s="1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Y88" s="1"/>
    </row>
    <row r="89" ht="15.75" customHeight="1">
      <c r="A89" s="1"/>
      <c r="B89" s="7" t="s">
        <v>128</v>
      </c>
      <c r="C89" s="36">
        <f>C84</f>
        <v>0</v>
      </c>
      <c r="D89" s="1"/>
      <c r="E89" s="1"/>
      <c r="F89" s="1"/>
      <c r="G89" s="12"/>
      <c r="H89" s="1"/>
      <c r="I89" s="1"/>
      <c r="L89" s="1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Y89" s="1"/>
    </row>
    <row r="90" ht="15.75" customHeight="1">
      <c r="A90" s="1"/>
      <c r="B90" s="7" t="s">
        <v>129</v>
      </c>
      <c r="C90" s="36">
        <f>C88-C89</f>
        <v>0</v>
      </c>
      <c r="D90" s="1"/>
      <c r="E90" s="1"/>
      <c r="F90" s="1"/>
      <c r="G90" s="12"/>
      <c r="H90" s="1"/>
      <c r="I90" s="1"/>
      <c r="L90" s="1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Y90" s="1"/>
    </row>
    <row r="91" ht="15.75" customHeight="1">
      <c r="A91" s="1"/>
      <c r="B91" s="1"/>
      <c r="C91" s="1"/>
      <c r="D91" s="1"/>
      <c r="E91" s="1"/>
      <c r="F91" s="1"/>
      <c r="G91" s="12"/>
      <c r="H91" s="1"/>
      <c r="I91" s="1"/>
      <c r="L91" s="1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Y91" s="1"/>
    </row>
    <row r="92" ht="15.75" customHeight="1">
      <c r="A92" s="1"/>
      <c r="B92" s="1"/>
      <c r="C92" s="1"/>
      <c r="D92" s="1"/>
      <c r="E92" s="1"/>
      <c r="F92" s="1"/>
      <c r="G92" s="12"/>
      <c r="H92" s="1"/>
      <c r="I92" s="1"/>
      <c r="L92" s="1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Y92" s="1"/>
    </row>
    <row r="93" ht="15.75" customHeight="1">
      <c r="A93" s="1"/>
      <c r="B93" s="1"/>
      <c r="C93" s="1"/>
      <c r="D93" s="1"/>
      <c r="E93" s="1"/>
      <c r="F93" s="1"/>
      <c r="G93" s="12"/>
      <c r="H93" s="1"/>
      <c r="I93" s="1"/>
      <c r="L93" s="1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Y93" s="1"/>
    </row>
    <row r="94" ht="15.75" customHeight="1">
      <c r="A94" s="1"/>
      <c r="B94" s="1"/>
      <c r="C94" s="1"/>
      <c r="D94" s="1"/>
      <c r="E94" s="1"/>
      <c r="F94" s="1"/>
      <c r="G94" s="12"/>
      <c r="H94" s="1"/>
      <c r="I94" s="1"/>
      <c r="L94" s="1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Y94" s="1"/>
    </row>
    <row r="95" ht="15.75" customHeight="1">
      <c r="A95" s="1"/>
      <c r="B95" s="1"/>
      <c r="C95" s="1"/>
      <c r="D95" s="1"/>
      <c r="E95" s="1"/>
      <c r="F95" s="1"/>
      <c r="G95" s="12"/>
      <c r="H95" s="1"/>
      <c r="I95" s="1"/>
      <c r="L95" s="1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Y95" s="1"/>
    </row>
    <row r="96" ht="15.75" customHeight="1">
      <c r="A96" s="1"/>
      <c r="B96" s="1"/>
      <c r="C96" s="1"/>
      <c r="D96" s="1"/>
      <c r="E96" s="1"/>
      <c r="F96" s="1"/>
      <c r="G96" s="12"/>
      <c r="H96" s="1"/>
      <c r="I96" s="1"/>
      <c r="L96" s="1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Y96" s="1"/>
    </row>
    <row r="97" ht="15.75" customHeight="1">
      <c r="A97" s="1"/>
      <c r="B97" s="1"/>
      <c r="C97" s="1"/>
      <c r="D97" s="1"/>
      <c r="E97" s="1"/>
      <c r="F97" s="1"/>
      <c r="G97" s="12"/>
      <c r="H97" s="1"/>
      <c r="I97" s="1"/>
      <c r="L97" s="1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Y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Y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Y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Y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Y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Y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Y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Y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Y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Y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Y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Y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Y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Y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Y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Y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Y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Y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Y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Y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Y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Y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Y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Y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Y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Y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Y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Y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Y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Y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Y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Y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Y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Y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Y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Y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Y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Y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Y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Y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Y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Y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Y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Y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Y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Y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Y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Y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Y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Y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Y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Y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Y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Y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Y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Y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Y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Y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Y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Y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Y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Y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Y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Y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Y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Y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Y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Y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Y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Y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Y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Y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Y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Y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Y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Y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Y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Y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Y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Y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Y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Y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Y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Y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Y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Y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Y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Y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Y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Y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Y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Y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Y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Y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Y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Y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Y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Y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Y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Y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Y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Y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Y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Y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Y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Y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Y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Y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Y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Y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Y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Y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Y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Y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Y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Y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Y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Y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Y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Y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Y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Y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Y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Y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Y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Y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Y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Y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Y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Y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Y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Y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Y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Y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Y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Y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Y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Y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Y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Y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Y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Y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Y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Y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Y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Y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Y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Y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Y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Y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Y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Y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Y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Y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Y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Y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Y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Y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Y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Y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Y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Y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Y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Y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Y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Y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Y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Y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Y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Y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Y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Y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Y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Y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Y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Y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Y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Y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Y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Y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Y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Y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Y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Y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Y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Y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Y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Y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Y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Y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Y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Y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Y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Y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Y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Y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Y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Y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Y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Y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Y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Y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Y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Y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Y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Y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Y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Y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Y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Y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Y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Y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Y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Y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Y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Y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Y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Y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Y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Y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Y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Y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Y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Y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Y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Y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Y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Y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Y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Y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Y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Y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Y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Y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Y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Y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Y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Y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Y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Y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Y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Y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Y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Y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Y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Y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Y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Y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Y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Y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Y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Y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Y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Y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Y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Y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Y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Y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Y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Y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Y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Y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Y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Y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Y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Y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Y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Y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Y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Y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Y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Y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Y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Y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Y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Y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Y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Y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Y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Y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Y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Y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Y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Y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Y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Y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Y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Y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Y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Y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Y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Y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Y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Y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Y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Y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Y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Y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Y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Y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Y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Y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Y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Y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Y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Y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Y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Y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Y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Y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Y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Y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Y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Y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Y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Y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Y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Y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Y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Y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Y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Y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Y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Y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Y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Y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Y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Y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Y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Y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Y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Y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Y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Y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Y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Y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Y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Y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Y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Y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Y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Y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Y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Y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Y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Y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Y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Y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Y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Y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Y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Y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Y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Y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Y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Y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Y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Y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Y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Y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Y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Y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Y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Y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Y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Y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Y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Y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Y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Y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Y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Y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Y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Y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Y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Y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Y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Y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Y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Y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Y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Y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Y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Y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Y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Y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Y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Y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Y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Y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Y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Y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Y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Y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Y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Y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Y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Y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Y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Y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Y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Y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Y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Y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Y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Y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Y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Y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Y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Y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Y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Y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Y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Y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Y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Y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Y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Y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Y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Y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Y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Y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Y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Y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Y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Y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Y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Y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Y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Y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Y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Y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Y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Y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Y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Y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Y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Y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Y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Y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Y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Y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Y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Y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Y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Y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Y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Y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Y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Y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Y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Y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Y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Y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Y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Y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Y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Y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Y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Y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Y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Y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Y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Y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Y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Y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Y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Y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Y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Y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Y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Y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Y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Y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Y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Y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Y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Y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Y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Y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Y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Y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Y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Y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Y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Y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Y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Y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Y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Y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Y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Y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Y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Y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Y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Y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Y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Y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Y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Y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Y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Y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Y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Y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Y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Y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Y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Y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Y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Y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Y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Y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Y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Y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Y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Y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Y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Y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Y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Y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Y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Y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Y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Y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Y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Y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Y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Y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Y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Y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Y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Y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Y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Y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Y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Y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Y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Y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Y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Y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Y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Y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Y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Y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Y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Y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Y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Y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Y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Y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Y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Y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Y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Y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Y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Y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Y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Y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Y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Y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Y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Y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Y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Y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Y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Y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Y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Y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Y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Y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Y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Y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Y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Y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Y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Y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Y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Y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Y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Y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Y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Y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Y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Y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Y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Y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Y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Y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Y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Y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Y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Y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Y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Y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Y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Y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Y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Y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Y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Y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Y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Y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Y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Y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Y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Y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Y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Y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Y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Y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Y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Y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Y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Y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Y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Y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Y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Y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Y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Y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Y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Y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Y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Y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Y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Y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Y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Y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Y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Y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Y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Y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Y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Y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Y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Y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Y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Y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Y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Y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Y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Y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Y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Y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Y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Y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Y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Y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Y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Y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Y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Y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Y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Y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Y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Y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Y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Y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Y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Y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Y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Y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Y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Y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Y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Y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Y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Y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Y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Y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Y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Y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Y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Y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Y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Y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Y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Y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Y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Y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Y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Y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Y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Y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Y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Y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Y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Y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Y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Y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Y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Y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Y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Y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Y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Y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Y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Y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Y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Y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Y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Y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Y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Y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Y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Y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Y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Y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Y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Y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Y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Y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Y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Y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Y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Y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Y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Y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Y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Y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Y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Y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Y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Y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Y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Y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Y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Y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Y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Y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Y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Y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Y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Y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Y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Y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Y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Y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Y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Y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Y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Y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Y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Y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Y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Y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Y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Y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Y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Y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Y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Y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Y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Y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Y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Y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Y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Y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Y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Y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Y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Y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Y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Y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Y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Y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Y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Y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Y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Y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Y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Y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Y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Y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Y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Y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Y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Y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Y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Y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Y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Y1000" s="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  <col customWidth="1" min="6" max="6" width="12.63"/>
  </cols>
  <sheetData>
    <row r="1" ht="15.75" customHeight="1">
      <c r="A1" s="2" t="s">
        <v>2</v>
      </c>
    </row>
    <row r="2" ht="15.75" customHeight="1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</row>
    <row r="3" ht="15.75" customHeight="1">
      <c r="A3" s="7" t="s">
        <v>9</v>
      </c>
      <c r="B3" s="7" t="s">
        <v>10</v>
      </c>
      <c r="C3" s="8">
        <v>1.384E-4</v>
      </c>
      <c r="D3" s="7"/>
      <c r="E3" s="8">
        <v>1.384E-4</v>
      </c>
      <c r="F3" s="15" t="s">
        <v>12</v>
      </c>
    </row>
    <row r="4" ht="15.75" customHeight="1">
      <c r="A4" s="7" t="s">
        <v>17</v>
      </c>
      <c r="B4" s="7" t="s">
        <v>10</v>
      </c>
      <c r="C4" s="8">
        <v>1.143E-4</v>
      </c>
      <c r="D4" s="7">
        <v>0.0</v>
      </c>
      <c r="E4" s="8">
        <v>1.143E-4</v>
      </c>
      <c r="F4" s="15" t="s">
        <v>12</v>
      </c>
    </row>
    <row r="5" ht="15.75" customHeight="1">
      <c r="A5" s="7" t="s">
        <v>19</v>
      </c>
      <c r="B5" s="7" t="s">
        <v>20</v>
      </c>
      <c r="C5" s="8">
        <v>2.3756059E-4</v>
      </c>
      <c r="D5" s="7"/>
      <c r="E5" s="8">
        <v>2.3756059E-4</v>
      </c>
      <c r="F5" s="3" t="s">
        <v>12</v>
      </c>
    </row>
    <row r="6" ht="15.75" customHeight="1">
      <c r="A6" s="7" t="s">
        <v>21</v>
      </c>
      <c r="B6" s="7" t="s">
        <v>20</v>
      </c>
      <c r="C6" s="8">
        <v>1.927908256E-4</v>
      </c>
      <c r="D6" s="7"/>
      <c r="E6" s="8">
        <v>1.927908256E-4</v>
      </c>
      <c r="F6" s="7" t="s">
        <v>12</v>
      </c>
    </row>
    <row r="7" ht="15.75" customHeight="1">
      <c r="A7" s="7"/>
      <c r="B7" s="7"/>
      <c r="C7" s="8"/>
      <c r="D7" s="8"/>
      <c r="E7" s="8"/>
      <c r="F7" s="3"/>
    </row>
    <row r="8" ht="15.75" customHeight="1">
      <c r="A8" s="7" t="s">
        <v>26</v>
      </c>
      <c r="B8" s="7" t="s">
        <v>28</v>
      </c>
      <c r="C8" s="8">
        <v>4.655516852E-4</v>
      </c>
      <c r="D8" s="7"/>
      <c r="E8" s="8">
        <v>4.655516852E-4</v>
      </c>
      <c r="F8" s="3" t="s">
        <v>32</v>
      </c>
    </row>
    <row r="9" ht="15.75" customHeight="1">
      <c r="A9" s="7" t="s">
        <v>33</v>
      </c>
      <c r="B9" s="7" t="s">
        <v>28</v>
      </c>
      <c r="C9" s="8">
        <v>1.002719674E-5</v>
      </c>
      <c r="D9" s="7"/>
      <c r="E9" s="8">
        <v>1.002719674E-5</v>
      </c>
      <c r="F9" s="3" t="s">
        <v>32</v>
      </c>
    </row>
    <row r="10" ht="15.75" customHeight="1">
      <c r="A10" s="7" t="s">
        <v>35</v>
      </c>
      <c r="B10" s="7" t="s">
        <v>28</v>
      </c>
      <c r="C10" s="8">
        <v>4.890238251E-4</v>
      </c>
      <c r="D10" s="7"/>
      <c r="E10" s="8">
        <v>4.890238251E-4</v>
      </c>
      <c r="F10" s="3" t="s">
        <v>32</v>
      </c>
    </row>
    <row r="11" ht="15.75" customHeight="1">
      <c r="A11" s="7" t="s">
        <v>38</v>
      </c>
      <c r="B11" s="7" t="s">
        <v>28</v>
      </c>
      <c r="C11" s="8">
        <v>3.664154577E-5</v>
      </c>
      <c r="D11" s="7"/>
      <c r="E11" s="8">
        <v>3.664154577E-5</v>
      </c>
      <c r="F11" s="3" t="s">
        <v>32</v>
      </c>
    </row>
    <row r="12" ht="15.75" customHeight="1">
      <c r="A12" s="7" t="s">
        <v>40</v>
      </c>
      <c r="B12" s="7" t="s">
        <v>41</v>
      </c>
      <c r="C12" s="8">
        <v>1.034335159E-4</v>
      </c>
      <c r="D12" s="7" t="s">
        <v>42</v>
      </c>
      <c r="E12" s="8">
        <f t="shared" ref="E12:E17" si="1">C12</f>
        <v>0.0001034335159</v>
      </c>
      <c r="F12" s="7" t="s">
        <v>44</v>
      </c>
    </row>
    <row r="13" ht="15.75" customHeight="1">
      <c r="A13" s="7" t="s">
        <v>45</v>
      </c>
      <c r="B13" s="7" t="s">
        <v>46</v>
      </c>
      <c r="C13" s="8">
        <v>0.001518790827</v>
      </c>
      <c r="D13" s="7" t="s">
        <v>42</v>
      </c>
      <c r="E13" s="8">
        <f t="shared" si="1"/>
        <v>0.001518790827</v>
      </c>
      <c r="F13" s="24" t="s">
        <v>47</v>
      </c>
    </row>
    <row r="14" ht="15.75" customHeight="1">
      <c r="A14" s="7" t="s">
        <v>50</v>
      </c>
      <c r="B14" s="7" t="s">
        <v>51</v>
      </c>
      <c r="C14" s="8">
        <v>0.00387</v>
      </c>
      <c r="D14" s="7" t="s">
        <v>42</v>
      </c>
      <c r="E14" s="8">
        <f t="shared" si="1"/>
        <v>0.00387</v>
      </c>
      <c r="F14" s="15" t="s">
        <v>12</v>
      </c>
    </row>
    <row r="15" ht="15.75" customHeight="1">
      <c r="A15" s="7" t="s">
        <v>52</v>
      </c>
      <c r="B15" s="7" t="s">
        <v>51</v>
      </c>
      <c r="C15" s="8">
        <v>0.00363</v>
      </c>
      <c r="D15" s="7" t="s">
        <v>42</v>
      </c>
      <c r="E15" s="8">
        <f t="shared" si="1"/>
        <v>0.00363</v>
      </c>
      <c r="F15" s="15" t="s">
        <v>12</v>
      </c>
    </row>
    <row r="16" ht="15.75" customHeight="1">
      <c r="A16" s="7" t="s">
        <v>54</v>
      </c>
      <c r="B16" s="7" t="s">
        <v>51</v>
      </c>
      <c r="C16" s="8">
        <v>0.00374</v>
      </c>
      <c r="D16" s="7" t="s">
        <v>42</v>
      </c>
      <c r="E16" s="8">
        <f t="shared" si="1"/>
        <v>0.00374</v>
      </c>
      <c r="F16" s="15" t="s">
        <v>12</v>
      </c>
    </row>
    <row r="17" ht="15.75" customHeight="1">
      <c r="A17" s="7" t="s">
        <v>55</v>
      </c>
      <c r="B17" s="7" t="s">
        <v>56</v>
      </c>
      <c r="C17" s="8">
        <v>1.741289766E-6</v>
      </c>
      <c r="D17" s="7" t="s">
        <v>42</v>
      </c>
      <c r="E17" s="8">
        <f t="shared" si="1"/>
        <v>0.000001741289766</v>
      </c>
      <c r="F17" s="15" t="s">
        <v>57</v>
      </c>
    </row>
    <row r="18" ht="15.75" customHeight="1">
      <c r="A18" s="1"/>
      <c r="B18" s="1"/>
      <c r="C18" s="1"/>
      <c r="D18" s="1"/>
      <c r="E18" s="1"/>
      <c r="F18" s="1"/>
    </row>
    <row r="19" ht="15.75" customHeight="1">
      <c r="A19" s="1"/>
      <c r="B19" s="1"/>
      <c r="C19" s="1"/>
      <c r="D19" s="1"/>
      <c r="E19" s="1"/>
      <c r="F19" s="1"/>
    </row>
    <row r="20" ht="15.75" customHeight="1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3" t="s">
        <v>64</v>
      </c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printOptions/>
  <pageMargins bottom="1.0" footer="0.0" header="0.0" left="0.75" right="0.75" top="1.0"/>
  <pageSetup orientation="landscape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23.88"/>
    <col customWidth="1" min="3" max="6" width="12.63"/>
  </cols>
  <sheetData>
    <row r="1" ht="15.75" customHeight="1">
      <c r="A1" s="1"/>
      <c r="B1" s="1"/>
      <c r="C1" s="1"/>
      <c r="D1" s="1"/>
      <c r="E1" s="1"/>
      <c r="F1" s="1"/>
    </row>
    <row r="2" ht="15.75" customHeight="1">
      <c r="A2" s="1"/>
      <c r="B2" s="3" t="str">
        <f>'Jun 26 PP Summary'!E5</f>
        <v>Production Operating Hours</v>
      </c>
      <c r="C2" s="10">
        <f>'Jun 26 PP Summary'!F5</f>
        <v>2006.8</v>
      </c>
      <c r="D2" s="1"/>
      <c r="E2" s="1"/>
      <c r="F2" s="1"/>
    </row>
    <row r="3" ht="15.75" customHeight="1">
      <c r="A3" s="1"/>
      <c r="B3" s="3" t="str">
        <f>'Jun 26 PP Summary'!I5</f>
        <v>Total Biomass Consumed (MT)</v>
      </c>
      <c r="C3" s="13">
        <f>'Jun 26 PP Summary'!J5</f>
        <v>44.5447542</v>
      </c>
      <c r="D3" s="1"/>
      <c r="E3" s="1"/>
      <c r="F3" s="1"/>
    </row>
    <row r="4" ht="15.75" customHeight="1">
      <c r="A4" s="1"/>
      <c r="B4" s="3" t="str">
        <f t="shared" ref="B4:C4" si="1">#REF!</f>
        <v>#REF!</v>
      </c>
      <c r="C4" s="3" t="str">
        <f t="shared" si="1"/>
        <v>#REF!</v>
      </c>
      <c r="D4" s="1"/>
      <c r="E4" s="1"/>
      <c r="F4" s="1"/>
    </row>
    <row r="5" ht="15.75" customHeight="1">
      <c r="A5" s="3" t="s">
        <v>18</v>
      </c>
      <c r="B5" s="3" t="str">
        <f>'Jun 26 PP Summary'!B25</f>
        <v>Uncertainty Adjusted Total</v>
      </c>
      <c r="C5" s="13">
        <f>'Jun 26 PP Summary'!C25</f>
        <v>5320.739754</v>
      </c>
      <c r="D5" s="1"/>
      <c r="E5" s="1"/>
      <c r="F5" s="1"/>
    </row>
    <row r="6" ht="15.75" customHeight="1">
      <c r="A6" s="3" t="s">
        <v>23</v>
      </c>
      <c r="B6" s="3" t="str">
        <f>'Jun 26 PP Summary'!B36</f>
        <v>Uncertainty Adjusted Total</v>
      </c>
      <c r="C6" s="13">
        <f>'Jun 26 PP Summary'!C36</f>
        <v>1010.213283</v>
      </c>
      <c r="D6" s="1"/>
      <c r="E6" s="1"/>
      <c r="F6" s="1"/>
    </row>
    <row r="7" ht="15.75" customHeight="1">
      <c r="A7" s="3" t="s">
        <v>36</v>
      </c>
      <c r="B7" s="3" t="str">
        <f>'Jun 26 PP Summary'!B46</f>
        <v>Uncertainty Adjusted Total</v>
      </c>
      <c r="C7" s="1"/>
      <c r="D7" s="1"/>
      <c r="E7" s="1"/>
      <c r="F7" s="1"/>
    </row>
    <row r="8" ht="15.75" customHeight="1">
      <c r="A8" s="1"/>
      <c r="B8" s="1"/>
      <c r="C8" s="1"/>
      <c r="D8" s="1"/>
      <c r="E8" s="1"/>
      <c r="F8" s="1"/>
    </row>
    <row r="9" ht="15.75" customHeight="1">
      <c r="A9" s="1"/>
      <c r="B9" s="1"/>
      <c r="C9" s="1"/>
      <c r="D9" s="1"/>
      <c r="E9" s="1"/>
      <c r="F9" s="1"/>
    </row>
    <row r="10" ht="15.75" customHeight="1">
      <c r="A10" s="1"/>
      <c r="B10" s="3" t="str">
        <f>'Jun 26 PP Summary'!H19</f>
        <v>Biomass Transport</v>
      </c>
      <c r="C10" s="22">
        <f>'Jun 26 PP Summary'!I19</f>
        <v>0.06834434768</v>
      </c>
      <c r="D10" s="1"/>
      <c r="E10" s="1"/>
      <c r="F10" s="1"/>
    </row>
    <row r="11" ht="15.75" customHeight="1">
      <c r="A11" s="1"/>
      <c r="B11" s="3" t="str">
        <f>'Jun 26 PP Summary'!H20</f>
        <v>Propane</v>
      </c>
      <c r="C11" s="13">
        <f>'Jun 26 PP Summary'!I20</f>
        <v>19.31428531</v>
      </c>
      <c r="D11" s="1"/>
      <c r="E11" s="1"/>
      <c r="F11" s="1"/>
    </row>
    <row r="12" ht="15.75" customHeight="1">
      <c r="A12" s="1"/>
      <c r="B12" s="3" t="str">
        <f>'Jun 26 PP Summary'!H21</f>
        <v>Diesel</v>
      </c>
      <c r="C12" s="3">
        <f>'Jun 26 PP Summary'!I21</f>
        <v>0</v>
      </c>
      <c r="D12" s="1"/>
      <c r="E12" s="1"/>
      <c r="F12" s="1"/>
    </row>
    <row r="13" ht="15.75" customHeight="1">
      <c r="A13" s="1"/>
      <c r="B13" s="3" t="str">
        <f>'Jun 26 PP Summary'!H22</f>
        <v>Gasoline</v>
      </c>
      <c r="C13" s="13">
        <f>'Jun 26 PP Summary'!I22</f>
        <v>0.4580906018</v>
      </c>
      <c r="D13" s="1"/>
      <c r="E13" s="1"/>
      <c r="F13" s="1"/>
    </row>
    <row r="14" ht="15.75" customHeight="1">
      <c r="A14" s="1"/>
      <c r="B14" s="3" t="str">
        <f>'Jun 26 PP Summary'!H23</f>
        <v>Electricity</v>
      </c>
      <c r="C14" s="13">
        <f>'Jun 26 PP Summary'!I23</f>
        <v>1.280014174</v>
      </c>
      <c r="D14" s="1"/>
      <c r="E14" s="1"/>
      <c r="F14" s="1"/>
    </row>
    <row r="15" ht="15.75" customHeight="1">
      <c r="A15" s="1"/>
      <c r="B15" s="3" t="str">
        <f>'Jun 26 PP Summary'!H24</f>
        <v>Tailgas</v>
      </c>
      <c r="C15" s="22">
        <f>'Jun 26 PP Summary'!I24</f>
        <v>0.08602848987</v>
      </c>
      <c r="D15" s="1"/>
      <c r="E15" s="1"/>
      <c r="F15" s="1"/>
    </row>
    <row r="16" ht="15.75" customHeight="1">
      <c r="A16" s="1"/>
      <c r="B16" s="3" t="str">
        <f>'Jun 26 PP Summary'!H25</f>
        <v>Water</v>
      </c>
      <c r="C16" s="22">
        <f>'Jun 26 PP Summary'!I25</f>
        <v>0.01544853126</v>
      </c>
      <c r="D16" s="1"/>
      <c r="E16" s="1"/>
      <c r="F16" s="1"/>
    </row>
    <row r="17" ht="15.75" customHeight="1">
      <c r="A17" s="1"/>
      <c r="B17" s="3" t="str">
        <f>'Jun 26 PP Summary'!H26</f>
        <v>Consumables Delivery</v>
      </c>
      <c r="C17" s="22">
        <f>'Jun 26 PP Summary'!I26</f>
        <v>0.0868183</v>
      </c>
      <c r="D17" s="1"/>
      <c r="E17" s="1"/>
      <c r="F17" s="1"/>
    </row>
    <row r="18" ht="15.75" customHeight="1">
      <c r="A18" s="1"/>
      <c r="B18" s="3" t="str">
        <f>'Jun 26 PP Summary'!H27</f>
        <v>Waste Disposal</v>
      </c>
      <c r="C18" s="13">
        <f>'Jun 26 PP Summary'!I27</f>
        <v>0</v>
      </c>
      <c r="D18" s="1"/>
      <c r="E18" s="1"/>
      <c r="F18" s="1"/>
    </row>
    <row r="19" ht="15.75" customHeight="1">
      <c r="A19" s="1"/>
      <c r="B19" s="3" t="str">
        <f>'Jun 26 PP Summary'!H28</f>
        <v>Capital Goods EE</v>
      </c>
      <c r="C19" s="13">
        <f>'Jun 26 PP Summary'!I28</f>
        <v>2.976075192</v>
      </c>
      <c r="D19" s="1"/>
      <c r="E19" s="1"/>
      <c r="F19" s="1"/>
    </row>
    <row r="20" ht="15.75" customHeight="1">
      <c r="A20" s="1"/>
      <c r="B20" s="3" t="str">
        <f>'Jun 26 PP Summary'!H29</f>
        <v>SP+C EE</v>
      </c>
      <c r="C20" s="13">
        <f>'Jun 26 PP Summary'!I29</f>
        <v>1.689414747</v>
      </c>
      <c r="D20" s="1"/>
      <c r="E20" s="1"/>
      <c r="F20" s="1"/>
    </row>
    <row r="21" ht="15.75" customHeight="1">
      <c r="A21" s="1"/>
      <c r="B21" s="3" t="str">
        <f>'Jun 26 PP Summary'!H32</f>
        <v>Total</v>
      </c>
      <c r="C21" s="22">
        <f>'Jun 26 PP Summary'!I32</f>
        <v>25.97451969</v>
      </c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9.5"/>
    <col customWidth="1" min="2" max="6" width="12.63"/>
  </cols>
  <sheetData>
    <row r="1" ht="15.75" customHeight="1">
      <c r="A1" s="3" t="s">
        <v>0</v>
      </c>
      <c r="B1" s="6">
        <f>'Jun 26 PP Summary'!F5</f>
        <v>2006.8</v>
      </c>
      <c r="C1" s="1"/>
      <c r="D1" s="1"/>
      <c r="E1" s="1"/>
      <c r="F1" s="1"/>
    </row>
    <row r="2" ht="15.75" customHeight="1">
      <c r="A2" s="3" t="s">
        <v>11</v>
      </c>
      <c r="B2" s="11">
        <f>'Jun 26 PP Summary'!J5</f>
        <v>44.5447542</v>
      </c>
      <c r="C2" s="1"/>
      <c r="D2" s="1"/>
      <c r="E2" s="1"/>
      <c r="F2" s="1"/>
    </row>
    <row r="3" ht="15.75" customHeight="1">
      <c r="A3" s="3" t="s">
        <v>13</v>
      </c>
      <c r="B3" s="14">
        <f>'Jun 26 PP Summary'!N2</f>
        <v>10778</v>
      </c>
      <c r="C3" s="1"/>
      <c r="D3" s="1"/>
      <c r="E3" s="1"/>
      <c r="F3" s="1"/>
    </row>
    <row r="4" ht="15.75" customHeight="1">
      <c r="A4" s="3" t="s">
        <v>16</v>
      </c>
      <c r="B4" s="17">
        <f>'Jun 26 PP Summary'!P2</f>
        <v>0.59446</v>
      </c>
      <c r="C4" s="1"/>
      <c r="D4" s="1"/>
      <c r="E4" s="1"/>
      <c r="F4" s="1"/>
    </row>
    <row r="5" ht="15.75" customHeight="1">
      <c r="A5" s="3" t="s">
        <v>34</v>
      </c>
      <c r="B5" s="14">
        <f>'Jun 26 PP Summary'!N3</f>
        <v>6247.5</v>
      </c>
      <c r="C5" s="1"/>
      <c r="D5" s="1"/>
      <c r="E5" s="1"/>
      <c r="F5" s="1"/>
    </row>
    <row r="6" ht="15.75" customHeight="1">
      <c r="A6" s="3" t="s">
        <v>39</v>
      </c>
      <c r="B6" s="17">
        <f>'Jun 26 PP Summary'!P3</f>
        <v>0.8274</v>
      </c>
      <c r="C6" s="1"/>
      <c r="D6" s="1"/>
      <c r="E6" s="1"/>
      <c r="F6" s="1"/>
    </row>
    <row r="7" ht="15.75" customHeight="1">
      <c r="A7" s="3" t="s">
        <v>43</v>
      </c>
      <c r="B7" s="21">
        <f>'Jun 26 PP Summary'!I19</f>
        <v>0.06834434768</v>
      </c>
      <c r="C7" s="1"/>
      <c r="D7" s="1"/>
      <c r="E7" s="1"/>
      <c r="F7" s="1"/>
    </row>
    <row r="8" ht="15.75" customHeight="1">
      <c r="A8" s="3" t="s">
        <v>48</v>
      </c>
      <c r="B8" s="11">
        <f>'Jun 26 PP Summary'!I20</f>
        <v>19.31428531</v>
      </c>
      <c r="C8" s="1"/>
      <c r="D8" s="1"/>
      <c r="E8" s="1"/>
      <c r="F8" s="1"/>
    </row>
    <row r="9" ht="15.75" customHeight="1">
      <c r="A9" s="3" t="s">
        <v>49</v>
      </c>
      <c r="B9" s="25">
        <f>'Jun 26 PP Summary'!I21</f>
        <v>0</v>
      </c>
      <c r="C9" s="1"/>
      <c r="D9" s="1"/>
      <c r="E9" s="1"/>
      <c r="F9" s="1"/>
    </row>
    <row r="10" ht="15.75" customHeight="1">
      <c r="A10" s="3" t="s">
        <v>53</v>
      </c>
      <c r="B10" s="11">
        <f>'Jun 26 PP Summary'!I22</f>
        <v>0.4580906018</v>
      </c>
      <c r="C10" s="1"/>
      <c r="D10" s="1"/>
      <c r="E10" s="1"/>
      <c r="F10" s="1"/>
    </row>
    <row r="11" ht="15.75" customHeight="1">
      <c r="A11" s="3" t="s">
        <v>58</v>
      </c>
      <c r="B11" s="11">
        <f>'Jun 26 PP Summary'!I23</f>
        <v>1.280014174</v>
      </c>
      <c r="C11" s="1"/>
      <c r="D11" s="1"/>
      <c r="E11" s="1"/>
      <c r="F11" s="1"/>
    </row>
    <row r="12" ht="15.75" customHeight="1">
      <c r="A12" s="3" t="s">
        <v>59</v>
      </c>
      <c r="B12" s="21">
        <f>'Jun 26 PP Summary'!I24</f>
        <v>0.08602848987</v>
      </c>
      <c r="C12" s="1"/>
      <c r="D12" s="1"/>
      <c r="E12" s="1"/>
      <c r="F12" s="1"/>
    </row>
    <row r="13" ht="15.75" customHeight="1">
      <c r="A13" s="3" t="s">
        <v>62</v>
      </c>
      <c r="B13" s="21">
        <f>'Jun 26 PP Summary'!I25</f>
        <v>0.01544853126</v>
      </c>
      <c r="C13" s="1"/>
      <c r="D13" s="1"/>
      <c r="E13" s="1"/>
      <c r="F13" s="1"/>
    </row>
    <row r="14" ht="15.75" customHeight="1">
      <c r="A14" s="3" t="s">
        <v>65</v>
      </c>
      <c r="B14" s="21">
        <f>'Jun 26 PP Summary'!I26</f>
        <v>0.0868183</v>
      </c>
      <c r="C14" s="1"/>
      <c r="D14" s="1"/>
      <c r="E14" s="1"/>
      <c r="F14" s="1"/>
    </row>
    <row r="15" ht="15.75" customHeight="1">
      <c r="A15" s="3" t="s">
        <v>66</v>
      </c>
      <c r="B15" s="11">
        <f>'Jun 26 PP Summary'!I27</f>
        <v>0</v>
      </c>
      <c r="C15" s="1"/>
      <c r="D15" s="1"/>
      <c r="E15" s="1"/>
      <c r="F15" s="1"/>
    </row>
    <row r="16" ht="15.75" customHeight="1">
      <c r="A16" s="3" t="s">
        <v>67</v>
      </c>
      <c r="B16" s="11">
        <f>'Jun 26 PP Summary'!I28</f>
        <v>2.976075192</v>
      </c>
      <c r="C16" s="1"/>
      <c r="D16" s="1"/>
      <c r="E16" s="1"/>
      <c r="F16" s="1"/>
    </row>
    <row r="17" ht="15.75" customHeight="1">
      <c r="A17" s="3" t="s">
        <v>70</v>
      </c>
      <c r="B17" s="11">
        <f>'Jun 26 PP Summary'!I29</f>
        <v>1.689414747</v>
      </c>
      <c r="C17" s="1"/>
      <c r="D17" s="1"/>
      <c r="E17" s="1"/>
      <c r="F17" s="1"/>
    </row>
    <row r="18" ht="15.75" customHeight="1">
      <c r="A18" s="3" t="s">
        <v>72</v>
      </c>
      <c r="B18" s="29"/>
      <c r="C18" s="1"/>
      <c r="D18" s="1"/>
      <c r="E18" s="1"/>
      <c r="F18" s="1"/>
    </row>
    <row r="19" ht="15.75" customHeight="1">
      <c r="A19" s="3" t="s">
        <v>74</v>
      </c>
      <c r="B19" s="25">
        <v>75500.0</v>
      </c>
      <c r="C19" s="1"/>
      <c r="D19" s="1"/>
      <c r="E19" s="1"/>
      <c r="F19" s="1"/>
    </row>
    <row r="20" ht="15.75" customHeight="1">
      <c r="A20" s="3" t="s">
        <v>75</v>
      </c>
      <c r="B20" s="6">
        <f>'Jun 26 PP Summary'!C14</f>
        <v>354.5</v>
      </c>
      <c r="C20" s="1"/>
      <c r="D20" s="1"/>
      <c r="E20" s="1"/>
      <c r="F20" s="1"/>
    </row>
    <row r="21" ht="15.75" customHeight="1">
      <c r="A21" s="3" t="s">
        <v>76</v>
      </c>
      <c r="B21" s="6">
        <f>'Jun 26 PP Summary'!C13</f>
        <v>109.03</v>
      </c>
      <c r="C21" s="1"/>
      <c r="D21" s="1"/>
      <c r="E21" s="1"/>
      <c r="F21" s="1"/>
    </row>
    <row r="22" ht="15.75" customHeight="1">
      <c r="A22" s="3" t="s">
        <v>77</v>
      </c>
      <c r="B22" s="31" t="s">
        <v>78</v>
      </c>
      <c r="C22" s="1"/>
      <c r="D22" s="1"/>
      <c r="E22" s="1"/>
      <c r="F22" s="1"/>
    </row>
    <row r="23" ht="15.75" customHeight="1">
      <c r="A23" s="3" t="s">
        <v>80</v>
      </c>
      <c r="B23" s="11">
        <f>'Jun 26 PP Summary'!C25</f>
        <v>5320.739754</v>
      </c>
      <c r="C23" s="1"/>
      <c r="D23" s="1"/>
      <c r="E23" s="1"/>
      <c r="F23" s="1"/>
    </row>
    <row r="24" ht="15.75" customHeight="1">
      <c r="A24" s="3" t="s">
        <v>81</v>
      </c>
      <c r="B24" s="11">
        <f>'Jun 26 PP Summary'!C36</f>
        <v>1010.213283</v>
      </c>
      <c r="C24" s="1"/>
      <c r="D24" s="1"/>
      <c r="E24" s="1"/>
      <c r="F24" s="1"/>
    </row>
    <row r="25" ht="15.75" customHeight="1">
      <c r="A25" s="3" t="s">
        <v>82</v>
      </c>
      <c r="B25" s="11">
        <f>'Jun 26 PP Summary'!C46</f>
        <v>122.4841181</v>
      </c>
      <c r="C25" s="1"/>
      <c r="D25" s="1"/>
      <c r="E25" s="1"/>
      <c r="F25" s="1"/>
    </row>
    <row r="26" ht="15.75" customHeight="1">
      <c r="A26" s="3" t="s">
        <v>84</v>
      </c>
      <c r="B26" s="11">
        <f>'Jun 26 PP Summary'!C59</f>
        <v>34933.41089</v>
      </c>
      <c r="C26" s="1"/>
      <c r="D26" s="1"/>
      <c r="E26" s="1"/>
      <c r="F26" s="1"/>
    </row>
    <row r="27" ht="15.75" customHeight="1">
      <c r="A27" s="3" t="s">
        <v>86</v>
      </c>
      <c r="B27" s="11">
        <f>'Jun 26 PP Summary'!C73</f>
        <v>33624.4631</v>
      </c>
      <c r="C27" s="1"/>
      <c r="D27" s="1"/>
      <c r="E27" s="1"/>
      <c r="F27" s="1"/>
    </row>
    <row r="28" ht="15.75" customHeight="1">
      <c r="A28" s="1"/>
      <c r="B28" s="25"/>
      <c r="C28" s="1"/>
      <c r="D28" s="1"/>
      <c r="E28" s="1"/>
      <c r="F28" s="1"/>
    </row>
    <row r="29" ht="15.75" customHeight="1">
      <c r="A29" s="1"/>
      <c r="B29" s="25"/>
      <c r="C29" s="1"/>
      <c r="D29" s="1"/>
      <c r="E29" s="1"/>
      <c r="F29" s="1"/>
    </row>
    <row r="30" ht="15.75" customHeight="1">
      <c r="A30" s="1"/>
      <c r="B30" s="25"/>
      <c r="C30" s="1"/>
      <c r="D30" s="1"/>
      <c r="E30" s="1"/>
      <c r="F30" s="1"/>
    </row>
    <row r="31" ht="15.75" customHeight="1">
      <c r="A31" s="1"/>
      <c r="B31" s="25"/>
      <c r="C31" s="1"/>
      <c r="D31" s="1"/>
      <c r="E31" s="1"/>
      <c r="F31" s="1"/>
    </row>
    <row r="32" ht="15.75" customHeight="1">
      <c r="A32" s="1"/>
      <c r="B32" s="25"/>
      <c r="C32" s="1"/>
      <c r="D32" s="1"/>
      <c r="E32" s="1"/>
      <c r="F32" s="1"/>
    </row>
    <row r="33" ht="15.75" customHeight="1">
      <c r="A33" s="1"/>
      <c r="B33" s="25"/>
      <c r="C33" s="1"/>
      <c r="D33" s="1"/>
      <c r="E33" s="1"/>
      <c r="F33" s="1"/>
    </row>
    <row r="34" ht="15.75" customHeight="1">
      <c r="A34" s="1"/>
      <c r="B34" s="25"/>
      <c r="C34" s="1"/>
      <c r="D34" s="1"/>
      <c r="E34" s="1"/>
      <c r="F34" s="1"/>
    </row>
    <row r="35" ht="15.75" customHeight="1">
      <c r="A35" s="1"/>
      <c r="B35" s="25"/>
      <c r="C35" s="1"/>
      <c r="D35" s="1"/>
      <c r="E35" s="1"/>
      <c r="F35" s="1"/>
    </row>
    <row r="36" ht="15.75" customHeight="1">
      <c r="A36" s="1"/>
      <c r="B36" s="25"/>
      <c r="C36" s="1"/>
      <c r="D36" s="1"/>
      <c r="E36" s="1"/>
      <c r="F36" s="1"/>
    </row>
    <row r="37" ht="15.75" customHeight="1">
      <c r="A37" s="1"/>
      <c r="B37" s="25"/>
      <c r="C37" s="1"/>
      <c r="D37" s="1"/>
      <c r="E37" s="1"/>
      <c r="F37" s="1"/>
    </row>
    <row r="38" ht="15.75" customHeight="1">
      <c r="A38" s="1"/>
      <c r="B38" s="25"/>
      <c r="C38" s="1"/>
      <c r="D38" s="1"/>
      <c r="E38" s="1"/>
      <c r="F38" s="1"/>
    </row>
    <row r="39" ht="15.75" customHeight="1">
      <c r="A39" s="1"/>
      <c r="B39" s="25"/>
      <c r="C39" s="1"/>
      <c r="D39" s="1"/>
      <c r="E39" s="1"/>
      <c r="F39" s="1"/>
    </row>
    <row r="40" ht="15.75" customHeight="1">
      <c r="A40" s="1"/>
      <c r="B40" s="25"/>
      <c r="C40" s="1"/>
      <c r="D40" s="1"/>
      <c r="E40" s="1"/>
      <c r="F40" s="1"/>
    </row>
    <row r="41" ht="15.75" customHeight="1">
      <c r="A41" s="1"/>
      <c r="B41" s="25"/>
      <c r="C41" s="1"/>
      <c r="D41" s="1"/>
      <c r="E41" s="1"/>
      <c r="F41" s="1"/>
    </row>
    <row r="42" ht="15.75" customHeight="1">
      <c r="A42" s="1"/>
      <c r="B42" s="25"/>
      <c r="C42" s="1"/>
      <c r="D42" s="1"/>
      <c r="E42" s="1"/>
      <c r="F42" s="1"/>
    </row>
    <row r="43" ht="15.75" customHeight="1">
      <c r="A43" s="1"/>
      <c r="B43" s="25"/>
      <c r="C43" s="1"/>
      <c r="D43" s="1"/>
      <c r="E43" s="1"/>
      <c r="F43" s="1"/>
    </row>
    <row r="44" ht="15.75" customHeight="1">
      <c r="A44" s="1"/>
      <c r="B44" s="25"/>
      <c r="C44" s="1"/>
      <c r="D44" s="1"/>
      <c r="E44" s="1"/>
      <c r="F44" s="1"/>
    </row>
    <row r="45" ht="15.75" customHeight="1">
      <c r="A45" s="1"/>
      <c r="B45" s="25"/>
      <c r="C45" s="1"/>
      <c r="D45" s="1"/>
      <c r="E45" s="1"/>
      <c r="F45" s="1"/>
    </row>
    <row r="46" ht="15.75" customHeight="1">
      <c r="A46" s="1"/>
      <c r="B46" s="25"/>
      <c r="C46" s="1"/>
      <c r="D46" s="1"/>
      <c r="E46" s="1"/>
      <c r="F46" s="1"/>
    </row>
    <row r="47" ht="15.75" customHeight="1">
      <c r="A47" s="1"/>
      <c r="B47" s="25"/>
      <c r="C47" s="1"/>
      <c r="D47" s="1"/>
      <c r="E47" s="1"/>
      <c r="F47" s="1"/>
    </row>
    <row r="48" ht="15.75" customHeight="1">
      <c r="A48" s="1"/>
      <c r="B48" s="25"/>
      <c r="C48" s="1"/>
      <c r="D48" s="1"/>
      <c r="E48" s="1"/>
      <c r="F48" s="1"/>
    </row>
    <row r="49" ht="15.75" customHeight="1">
      <c r="A49" s="1"/>
      <c r="B49" s="25"/>
      <c r="C49" s="1"/>
      <c r="D49" s="1"/>
      <c r="E49" s="1"/>
      <c r="F49" s="1"/>
    </row>
    <row r="50" ht="15.75" customHeight="1">
      <c r="A50" s="1"/>
      <c r="B50" s="25"/>
      <c r="C50" s="1"/>
      <c r="D50" s="1"/>
      <c r="E50" s="1"/>
      <c r="F50" s="1"/>
    </row>
    <row r="51" ht="15.75" customHeight="1">
      <c r="A51" s="1"/>
      <c r="B51" s="25"/>
      <c r="C51" s="1"/>
      <c r="D51" s="1"/>
      <c r="E51" s="1"/>
      <c r="F51" s="1"/>
    </row>
    <row r="52" ht="15.75" customHeight="1">
      <c r="A52" s="1"/>
      <c r="B52" s="25"/>
      <c r="C52" s="1"/>
      <c r="D52" s="1"/>
      <c r="E52" s="1"/>
      <c r="F52" s="1"/>
    </row>
    <row r="53" ht="15.75" customHeight="1">
      <c r="A53" s="1"/>
      <c r="B53" s="25"/>
      <c r="C53" s="1"/>
      <c r="D53" s="1"/>
      <c r="E53" s="1"/>
      <c r="F53" s="1"/>
    </row>
    <row r="54" ht="15.75" customHeight="1">
      <c r="A54" s="1"/>
      <c r="B54" s="25"/>
      <c r="C54" s="1"/>
      <c r="D54" s="1"/>
      <c r="E54" s="1"/>
      <c r="F54" s="1"/>
    </row>
    <row r="55" ht="15.75" customHeight="1">
      <c r="A55" s="1"/>
      <c r="B55" s="25"/>
      <c r="C55" s="1"/>
      <c r="D55" s="1"/>
      <c r="E55" s="1"/>
      <c r="F55" s="1"/>
    </row>
    <row r="56" ht="15.75" customHeight="1">
      <c r="A56" s="1"/>
      <c r="B56" s="25"/>
      <c r="C56" s="1"/>
      <c r="D56" s="1"/>
      <c r="E56" s="1"/>
      <c r="F56" s="1"/>
    </row>
    <row r="57" ht="15.75" customHeight="1">
      <c r="A57" s="1"/>
      <c r="B57" s="25"/>
      <c r="C57" s="1"/>
      <c r="D57" s="1"/>
      <c r="E57" s="1"/>
      <c r="F57" s="1"/>
    </row>
    <row r="58" ht="15.75" customHeight="1">
      <c r="A58" s="1"/>
      <c r="B58" s="25"/>
      <c r="C58" s="1"/>
      <c r="D58" s="1"/>
      <c r="E58" s="1"/>
      <c r="F58" s="1"/>
    </row>
    <row r="59" ht="15.75" customHeight="1">
      <c r="A59" s="1"/>
      <c r="B59" s="25"/>
      <c r="C59" s="1"/>
      <c r="D59" s="1"/>
      <c r="E59" s="1"/>
      <c r="F59" s="1"/>
    </row>
    <row r="60" ht="15.75" customHeight="1">
      <c r="A60" s="1"/>
      <c r="B60" s="25"/>
      <c r="C60" s="1"/>
      <c r="D60" s="1"/>
      <c r="E60" s="1"/>
      <c r="F60" s="1"/>
    </row>
    <row r="61" ht="15.75" customHeight="1">
      <c r="A61" s="1"/>
      <c r="B61" s="25"/>
      <c r="C61" s="1"/>
      <c r="D61" s="1"/>
      <c r="E61" s="1"/>
      <c r="F61" s="1"/>
    </row>
    <row r="62" ht="15.75" customHeight="1">
      <c r="A62" s="1"/>
      <c r="B62" s="25"/>
      <c r="C62" s="1"/>
      <c r="D62" s="1"/>
      <c r="E62" s="1"/>
      <c r="F62" s="1"/>
    </row>
    <row r="63" ht="15.75" customHeight="1">
      <c r="A63" s="1"/>
      <c r="B63" s="25"/>
      <c r="C63" s="1"/>
      <c r="D63" s="1"/>
      <c r="E63" s="1"/>
      <c r="F63" s="1"/>
    </row>
    <row r="64" ht="15.75" customHeight="1">
      <c r="A64" s="1"/>
      <c r="B64" s="25"/>
      <c r="C64" s="1"/>
      <c r="D64" s="1"/>
      <c r="E64" s="1"/>
      <c r="F64" s="1"/>
    </row>
    <row r="65" ht="15.75" customHeight="1">
      <c r="A65" s="1"/>
      <c r="B65" s="25"/>
      <c r="C65" s="1"/>
      <c r="D65" s="1"/>
      <c r="E65" s="1"/>
      <c r="F65" s="1"/>
    </row>
    <row r="66" ht="15.75" customHeight="1">
      <c r="A66" s="1"/>
      <c r="B66" s="25"/>
      <c r="C66" s="1"/>
      <c r="D66" s="1"/>
      <c r="E66" s="1"/>
      <c r="F66" s="1"/>
    </row>
    <row r="67" ht="15.75" customHeight="1">
      <c r="A67" s="1"/>
      <c r="B67" s="25"/>
      <c r="C67" s="1"/>
      <c r="D67" s="1"/>
      <c r="E67" s="1"/>
      <c r="F67" s="1"/>
    </row>
    <row r="68" ht="15.75" customHeight="1">
      <c r="A68" s="1"/>
      <c r="B68" s="25"/>
      <c r="C68" s="1"/>
      <c r="D68" s="1"/>
      <c r="E68" s="1"/>
      <c r="F68" s="1"/>
    </row>
    <row r="69" ht="15.75" customHeight="1">
      <c r="A69" s="1"/>
      <c r="B69" s="25"/>
      <c r="C69" s="1"/>
      <c r="D69" s="1"/>
      <c r="E69" s="1"/>
      <c r="F69" s="1"/>
    </row>
    <row r="70" ht="15.75" customHeight="1">
      <c r="A70" s="1"/>
      <c r="B70" s="25"/>
      <c r="C70" s="1"/>
      <c r="D70" s="1"/>
      <c r="E70" s="1"/>
      <c r="F70" s="1"/>
    </row>
    <row r="71" ht="15.75" customHeight="1">
      <c r="A71" s="1"/>
      <c r="B71" s="25"/>
      <c r="C71" s="1"/>
      <c r="D71" s="1"/>
      <c r="E71" s="1"/>
      <c r="F71" s="1"/>
    </row>
    <row r="72" ht="15.75" customHeight="1">
      <c r="A72" s="1"/>
      <c r="B72" s="25"/>
      <c r="C72" s="1"/>
      <c r="D72" s="1"/>
      <c r="E72" s="1"/>
      <c r="F72" s="1"/>
    </row>
    <row r="73" ht="15.75" customHeight="1">
      <c r="A73" s="1"/>
      <c r="B73" s="25"/>
      <c r="C73" s="1"/>
      <c r="D73" s="1"/>
      <c r="E73" s="1"/>
      <c r="F73" s="1"/>
    </row>
    <row r="74" ht="15.75" customHeight="1">
      <c r="A74" s="1"/>
      <c r="B74" s="25"/>
      <c r="C74" s="1"/>
      <c r="D74" s="1"/>
      <c r="E74" s="1"/>
      <c r="F74" s="1"/>
    </row>
    <row r="75" ht="15.75" customHeight="1">
      <c r="A75" s="1"/>
      <c r="B75" s="25"/>
      <c r="C75" s="1"/>
      <c r="D75" s="1"/>
      <c r="E75" s="1"/>
      <c r="F75" s="1"/>
    </row>
    <row r="76" ht="15.75" customHeight="1">
      <c r="A76" s="1"/>
      <c r="B76" s="25"/>
      <c r="C76" s="1"/>
      <c r="D76" s="1"/>
      <c r="E76" s="1"/>
      <c r="F76" s="1"/>
    </row>
    <row r="77" ht="15.75" customHeight="1">
      <c r="A77" s="1"/>
      <c r="B77" s="25"/>
      <c r="C77" s="1"/>
      <c r="D77" s="1"/>
      <c r="E77" s="1"/>
      <c r="F77" s="1"/>
    </row>
    <row r="78" ht="15.75" customHeight="1">
      <c r="A78" s="1"/>
      <c r="B78" s="25"/>
      <c r="C78" s="1"/>
      <c r="D78" s="1"/>
      <c r="E78" s="1"/>
      <c r="F78" s="1"/>
    </row>
    <row r="79" ht="15.75" customHeight="1">
      <c r="A79" s="1"/>
      <c r="B79" s="25"/>
      <c r="C79" s="1"/>
      <c r="D79" s="1"/>
      <c r="E79" s="1"/>
      <c r="F79" s="1"/>
    </row>
    <row r="80" ht="15.75" customHeight="1">
      <c r="A80" s="1"/>
      <c r="B80" s="25"/>
      <c r="C80" s="1"/>
      <c r="D80" s="1"/>
      <c r="E80" s="1"/>
      <c r="F80" s="1"/>
    </row>
    <row r="81" ht="15.75" customHeight="1">
      <c r="A81" s="1"/>
      <c r="B81" s="25"/>
      <c r="C81" s="1"/>
      <c r="D81" s="1"/>
      <c r="E81" s="1"/>
      <c r="F81" s="1"/>
    </row>
    <row r="82" ht="15.75" customHeight="1">
      <c r="A82" s="1"/>
      <c r="B82" s="25"/>
      <c r="C82" s="1"/>
      <c r="D82" s="1"/>
      <c r="E82" s="1"/>
      <c r="F82" s="1"/>
    </row>
    <row r="83" ht="15.75" customHeight="1">
      <c r="A83" s="1"/>
      <c r="B83" s="25"/>
      <c r="C83" s="1"/>
      <c r="D83" s="1"/>
      <c r="E83" s="1"/>
      <c r="F83" s="1"/>
    </row>
    <row r="84" ht="15.75" customHeight="1">
      <c r="A84" s="1"/>
      <c r="B84" s="25"/>
      <c r="C84" s="1"/>
      <c r="D84" s="1"/>
      <c r="E84" s="1"/>
      <c r="F84" s="1"/>
    </row>
    <row r="85" ht="15.75" customHeight="1">
      <c r="A85" s="1"/>
      <c r="B85" s="25"/>
      <c r="C85" s="1"/>
      <c r="D85" s="1"/>
      <c r="E85" s="1"/>
      <c r="F85" s="1"/>
    </row>
    <row r="86" ht="15.75" customHeight="1">
      <c r="A86" s="1"/>
      <c r="B86" s="25"/>
      <c r="C86" s="1"/>
      <c r="D86" s="1"/>
      <c r="E86" s="1"/>
      <c r="F86" s="1"/>
    </row>
    <row r="87" ht="15.75" customHeight="1">
      <c r="A87" s="1"/>
      <c r="B87" s="25"/>
      <c r="C87" s="1"/>
      <c r="D87" s="1"/>
      <c r="E87" s="1"/>
      <c r="F87" s="1"/>
    </row>
    <row r="88" ht="15.75" customHeight="1">
      <c r="A88" s="1"/>
      <c r="B88" s="25"/>
      <c r="C88" s="1"/>
      <c r="D88" s="1"/>
      <c r="E88" s="1"/>
      <c r="F88" s="1"/>
    </row>
    <row r="89" ht="15.75" customHeight="1">
      <c r="A89" s="1"/>
      <c r="B89" s="25"/>
      <c r="C89" s="1"/>
      <c r="D89" s="1"/>
      <c r="E89" s="1"/>
      <c r="F89" s="1"/>
    </row>
    <row r="90" ht="15.75" customHeight="1">
      <c r="A90" s="1"/>
      <c r="B90" s="25"/>
      <c r="C90" s="1"/>
      <c r="D90" s="1"/>
      <c r="E90" s="1"/>
      <c r="F90" s="1"/>
    </row>
    <row r="91" ht="15.75" customHeight="1">
      <c r="A91" s="1"/>
      <c r="B91" s="25"/>
      <c r="C91" s="1"/>
      <c r="D91" s="1"/>
      <c r="E91" s="1"/>
      <c r="F91" s="1"/>
    </row>
    <row r="92" ht="15.75" customHeight="1">
      <c r="A92" s="1"/>
      <c r="B92" s="25"/>
      <c r="C92" s="1"/>
      <c r="D92" s="1"/>
      <c r="E92" s="1"/>
      <c r="F92" s="1"/>
    </row>
    <row r="93" ht="15.75" customHeight="1">
      <c r="A93" s="1"/>
      <c r="B93" s="25"/>
      <c r="C93" s="1"/>
      <c r="D93" s="1"/>
      <c r="E93" s="1"/>
      <c r="F93" s="1"/>
    </row>
    <row r="94" ht="15.75" customHeight="1">
      <c r="A94" s="1"/>
      <c r="B94" s="25"/>
      <c r="C94" s="1"/>
      <c r="D94" s="1"/>
      <c r="E94" s="1"/>
      <c r="F94" s="1"/>
    </row>
    <row r="95" ht="15.75" customHeight="1">
      <c r="A95" s="1"/>
      <c r="B95" s="25"/>
      <c r="C95" s="1"/>
      <c r="D95" s="1"/>
      <c r="E95" s="1"/>
      <c r="F95" s="1"/>
    </row>
    <row r="96" ht="15.75" customHeight="1">
      <c r="A96" s="1"/>
      <c r="B96" s="25"/>
      <c r="C96" s="1"/>
      <c r="D96" s="1"/>
      <c r="E96" s="1"/>
      <c r="F96" s="1"/>
    </row>
    <row r="97" ht="15.75" customHeight="1">
      <c r="A97" s="1"/>
      <c r="B97" s="25"/>
      <c r="C97" s="1"/>
      <c r="D97" s="1"/>
      <c r="E97" s="1"/>
      <c r="F97" s="1"/>
    </row>
    <row r="98" ht="15.75" customHeight="1">
      <c r="A98" s="1"/>
      <c r="B98" s="25"/>
      <c r="C98" s="1"/>
      <c r="D98" s="1"/>
      <c r="E98" s="1"/>
      <c r="F98" s="1"/>
    </row>
    <row r="99" ht="15.75" customHeight="1">
      <c r="A99" s="1"/>
      <c r="B99" s="25"/>
      <c r="C99" s="1"/>
      <c r="D99" s="1"/>
      <c r="E99" s="1"/>
      <c r="F99" s="1"/>
    </row>
    <row r="100" ht="15.75" customHeight="1">
      <c r="A100" s="1"/>
      <c r="B100" s="25"/>
      <c r="C100" s="1"/>
      <c r="D100" s="1"/>
      <c r="E100" s="1"/>
      <c r="F100" s="1"/>
    </row>
    <row r="101" ht="15.75" customHeight="1">
      <c r="A101" s="1"/>
      <c r="B101" s="25"/>
      <c r="C101" s="1"/>
      <c r="D101" s="1"/>
      <c r="E101" s="1"/>
      <c r="F101" s="1"/>
    </row>
    <row r="102" ht="15.75" customHeight="1">
      <c r="A102" s="1"/>
      <c r="B102" s="25"/>
      <c r="C102" s="1"/>
      <c r="D102" s="1"/>
      <c r="E102" s="1"/>
      <c r="F102" s="1"/>
    </row>
    <row r="103" ht="15.75" customHeight="1">
      <c r="A103" s="1"/>
      <c r="B103" s="25"/>
      <c r="C103" s="1"/>
      <c r="D103" s="1"/>
      <c r="E103" s="1"/>
      <c r="F103" s="1"/>
    </row>
    <row r="104" ht="15.75" customHeight="1">
      <c r="A104" s="1"/>
      <c r="B104" s="25"/>
      <c r="C104" s="1"/>
      <c r="D104" s="1"/>
      <c r="E104" s="1"/>
      <c r="F104" s="1"/>
    </row>
    <row r="105" ht="15.75" customHeight="1">
      <c r="A105" s="1"/>
      <c r="B105" s="25"/>
      <c r="C105" s="1"/>
      <c r="D105" s="1"/>
      <c r="E105" s="1"/>
      <c r="F105" s="1"/>
    </row>
    <row r="106" ht="15.75" customHeight="1">
      <c r="A106" s="1"/>
      <c r="B106" s="25"/>
      <c r="C106" s="1"/>
      <c r="D106" s="1"/>
      <c r="E106" s="1"/>
      <c r="F106" s="1"/>
    </row>
    <row r="107" ht="15.75" customHeight="1">
      <c r="A107" s="1"/>
      <c r="B107" s="25"/>
      <c r="C107" s="1"/>
      <c r="D107" s="1"/>
      <c r="E107" s="1"/>
      <c r="F107" s="1"/>
    </row>
    <row r="108" ht="15.75" customHeight="1">
      <c r="A108" s="1"/>
      <c r="B108" s="25"/>
      <c r="C108" s="1"/>
      <c r="D108" s="1"/>
      <c r="E108" s="1"/>
      <c r="F108" s="1"/>
    </row>
    <row r="109" ht="15.75" customHeight="1">
      <c r="A109" s="1"/>
      <c r="B109" s="25"/>
      <c r="C109" s="1"/>
      <c r="D109" s="1"/>
      <c r="E109" s="1"/>
      <c r="F109" s="1"/>
    </row>
    <row r="110" ht="15.75" customHeight="1">
      <c r="A110" s="1"/>
      <c r="B110" s="25"/>
      <c r="C110" s="1"/>
      <c r="D110" s="1"/>
      <c r="E110" s="1"/>
      <c r="F110" s="1"/>
    </row>
    <row r="111" ht="15.75" customHeight="1">
      <c r="A111" s="1"/>
      <c r="B111" s="25"/>
      <c r="C111" s="1"/>
      <c r="D111" s="1"/>
      <c r="E111" s="1"/>
      <c r="F111" s="1"/>
    </row>
    <row r="112" ht="15.75" customHeight="1">
      <c r="A112" s="1"/>
      <c r="B112" s="25"/>
      <c r="C112" s="1"/>
      <c r="D112" s="1"/>
      <c r="E112" s="1"/>
      <c r="F112" s="1"/>
    </row>
    <row r="113" ht="15.75" customHeight="1">
      <c r="A113" s="1"/>
      <c r="B113" s="25"/>
      <c r="C113" s="1"/>
      <c r="D113" s="1"/>
      <c r="E113" s="1"/>
      <c r="F113" s="1"/>
    </row>
    <row r="114" ht="15.75" customHeight="1">
      <c r="A114" s="1"/>
      <c r="B114" s="25"/>
      <c r="C114" s="1"/>
      <c r="D114" s="1"/>
      <c r="E114" s="1"/>
      <c r="F114" s="1"/>
    </row>
    <row r="115" ht="15.75" customHeight="1">
      <c r="A115" s="1"/>
      <c r="B115" s="25"/>
      <c r="C115" s="1"/>
      <c r="D115" s="1"/>
      <c r="E115" s="1"/>
      <c r="F115" s="1"/>
    </row>
    <row r="116" ht="15.75" customHeight="1">
      <c r="A116" s="1"/>
      <c r="B116" s="25"/>
      <c r="C116" s="1"/>
      <c r="D116" s="1"/>
      <c r="E116" s="1"/>
      <c r="F116" s="1"/>
    </row>
    <row r="117" ht="15.75" customHeight="1">
      <c r="A117" s="1"/>
      <c r="B117" s="25"/>
      <c r="C117" s="1"/>
      <c r="D117" s="1"/>
      <c r="E117" s="1"/>
      <c r="F117" s="1"/>
    </row>
    <row r="118" ht="15.75" customHeight="1">
      <c r="A118" s="1"/>
      <c r="B118" s="25"/>
      <c r="C118" s="1"/>
      <c r="D118" s="1"/>
      <c r="E118" s="1"/>
      <c r="F118" s="1"/>
    </row>
    <row r="119" ht="15.75" customHeight="1">
      <c r="A119" s="1"/>
      <c r="B119" s="25"/>
      <c r="C119" s="1"/>
      <c r="D119" s="1"/>
      <c r="E119" s="1"/>
      <c r="F119" s="1"/>
    </row>
    <row r="120" ht="15.75" customHeight="1">
      <c r="A120" s="1"/>
      <c r="B120" s="25"/>
      <c r="C120" s="1"/>
      <c r="D120" s="1"/>
      <c r="E120" s="1"/>
      <c r="F120" s="1"/>
    </row>
    <row r="121" ht="15.75" customHeight="1">
      <c r="A121" s="1"/>
      <c r="B121" s="25"/>
      <c r="C121" s="1"/>
      <c r="D121" s="1"/>
      <c r="E121" s="1"/>
      <c r="F121" s="1"/>
    </row>
    <row r="122" ht="15.75" customHeight="1">
      <c r="A122" s="1"/>
      <c r="B122" s="25"/>
      <c r="C122" s="1"/>
      <c r="D122" s="1"/>
      <c r="E122" s="1"/>
      <c r="F122" s="1"/>
    </row>
    <row r="123" ht="15.75" customHeight="1">
      <c r="A123" s="1"/>
      <c r="B123" s="25"/>
      <c r="C123" s="1"/>
      <c r="D123" s="1"/>
      <c r="E123" s="1"/>
      <c r="F123" s="1"/>
    </row>
    <row r="124" ht="15.75" customHeight="1">
      <c r="A124" s="1"/>
      <c r="B124" s="25"/>
      <c r="C124" s="1"/>
      <c r="D124" s="1"/>
      <c r="E124" s="1"/>
      <c r="F124" s="1"/>
    </row>
    <row r="125" ht="15.75" customHeight="1">
      <c r="A125" s="1"/>
      <c r="B125" s="25"/>
      <c r="C125" s="1"/>
      <c r="D125" s="1"/>
      <c r="E125" s="1"/>
      <c r="F125" s="1"/>
    </row>
    <row r="126" ht="15.75" customHeight="1">
      <c r="A126" s="1"/>
      <c r="B126" s="25"/>
      <c r="C126" s="1"/>
      <c r="D126" s="1"/>
      <c r="E126" s="1"/>
      <c r="F126" s="1"/>
    </row>
    <row r="127" ht="15.75" customHeight="1">
      <c r="A127" s="1"/>
      <c r="B127" s="25"/>
      <c r="C127" s="1"/>
      <c r="D127" s="1"/>
      <c r="E127" s="1"/>
      <c r="F127" s="1"/>
    </row>
    <row r="128" ht="15.75" customHeight="1">
      <c r="A128" s="1"/>
      <c r="B128" s="25"/>
      <c r="C128" s="1"/>
      <c r="D128" s="1"/>
      <c r="E128" s="1"/>
      <c r="F128" s="1"/>
    </row>
    <row r="129" ht="15.75" customHeight="1">
      <c r="A129" s="1"/>
      <c r="B129" s="25"/>
      <c r="C129" s="1"/>
      <c r="D129" s="1"/>
      <c r="E129" s="1"/>
      <c r="F129" s="1"/>
    </row>
    <row r="130" ht="15.75" customHeight="1">
      <c r="A130" s="1"/>
      <c r="B130" s="25"/>
      <c r="C130" s="1"/>
      <c r="D130" s="1"/>
      <c r="E130" s="1"/>
      <c r="F130" s="1"/>
    </row>
    <row r="131" ht="15.75" customHeight="1">
      <c r="A131" s="1"/>
      <c r="B131" s="25"/>
      <c r="C131" s="1"/>
      <c r="D131" s="1"/>
      <c r="E131" s="1"/>
      <c r="F131" s="1"/>
    </row>
    <row r="132" ht="15.75" customHeight="1">
      <c r="A132" s="1"/>
      <c r="B132" s="25"/>
      <c r="C132" s="1"/>
      <c r="D132" s="1"/>
      <c r="E132" s="1"/>
      <c r="F132" s="1"/>
    </row>
    <row r="133" ht="15.75" customHeight="1">
      <c r="A133" s="1"/>
      <c r="B133" s="25"/>
      <c r="C133" s="1"/>
      <c r="D133" s="1"/>
      <c r="E133" s="1"/>
      <c r="F133" s="1"/>
    </row>
    <row r="134" ht="15.75" customHeight="1">
      <c r="A134" s="1"/>
      <c r="B134" s="25"/>
      <c r="C134" s="1"/>
      <c r="D134" s="1"/>
      <c r="E134" s="1"/>
      <c r="F134" s="1"/>
    </row>
    <row r="135" ht="15.75" customHeight="1">
      <c r="A135" s="1"/>
      <c r="B135" s="25"/>
      <c r="C135" s="1"/>
      <c r="D135" s="1"/>
      <c r="E135" s="1"/>
      <c r="F135" s="1"/>
    </row>
    <row r="136" ht="15.75" customHeight="1">
      <c r="A136" s="1"/>
      <c r="B136" s="25"/>
      <c r="C136" s="1"/>
      <c r="D136" s="1"/>
      <c r="E136" s="1"/>
      <c r="F136" s="1"/>
    </row>
    <row r="137" ht="15.75" customHeight="1">
      <c r="A137" s="1"/>
      <c r="B137" s="25"/>
      <c r="C137" s="1"/>
      <c r="D137" s="1"/>
      <c r="E137" s="1"/>
      <c r="F137" s="1"/>
    </row>
    <row r="138" ht="15.75" customHeight="1">
      <c r="A138" s="1"/>
      <c r="B138" s="25"/>
      <c r="C138" s="1"/>
      <c r="D138" s="1"/>
      <c r="E138" s="1"/>
      <c r="F138" s="1"/>
    </row>
    <row r="139" ht="15.75" customHeight="1">
      <c r="A139" s="1"/>
      <c r="B139" s="25"/>
      <c r="C139" s="1"/>
      <c r="D139" s="1"/>
      <c r="E139" s="1"/>
      <c r="F139" s="1"/>
    </row>
    <row r="140" ht="15.75" customHeight="1">
      <c r="A140" s="1"/>
      <c r="B140" s="25"/>
      <c r="C140" s="1"/>
      <c r="D140" s="1"/>
      <c r="E140" s="1"/>
      <c r="F140" s="1"/>
    </row>
    <row r="141" ht="15.75" customHeight="1">
      <c r="A141" s="1"/>
      <c r="B141" s="25"/>
      <c r="C141" s="1"/>
      <c r="D141" s="1"/>
      <c r="E141" s="1"/>
      <c r="F141" s="1"/>
    </row>
    <row r="142" ht="15.75" customHeight="1">
      <c r="A142" s="1"/>
      <c r="B142" s="25"/>
      <c r="C142" s="1"/>
      <c r="D142" s="1"/>
      <c r="E142" s="1"/>
      <c r="F142" s="1"/>
    </row>
    <row r="143" ht="15.75" customHeight="1">
      <c r="A143" s="1"/>
      <c r="B143" s="25"/>
      <c r="C143" s="1"/>
      <c r="D143" s="1"/>
      <c r="E143" s="1"/>
      <c r="F143" s="1"/>
    </row>
    <row r="144" ht="15.75" customHeight="1">
      <c r="A144" s="1"/>
      <c r="B144" s="25"/>
      <c r="C144" s="1"/>
      <c r="D144" s="1"/>
      <c r="E144" s="1"/>
      <c r="F144" s="1"/>
    </row>
    <row r="145" ht="15.75" customHeight="1">
      <c r="A145" s="1"/>
      <c r="B145" s="25"/>
      <c r="C145" s="1"/>
      <c r="D145" s="1"/>
      <c r="E145" s="1"/>
      <c r="F145" s="1"/>
    </row>
    <row r="146" ht="15.75" customHeight="1">
      <c r="A146" s="1"/>
      <c r="B146" s="25"/>
      <c r="C146" s="1"/>
      <c r="D146" s="1"/>
      <c r="E146" s="1"/>
      <c r="F146" s="1"/>
    </row>
    <row r="147" ht="15.75" customHeight="1">
      <c r="A147" s="1"/>
      <c r="B147" s="25"/>
      <c r="C147" s="1"/>
      <c r="D147" s="1"/>
      <c r="E147" s="1"/>
      <c r="F147" s="1"/>
    </row>
    <row r="148" ht="15.75" customHeight="1">
      <c r="A148" s="1"/>
      <c r="B148" s="25"/>
      <c r="C148" s="1"/>
      <c r="D148" s="1"/>
      <c r="E148" s="1"/>
      <c r="F148" s="1"/>
    </row>
    <row r="149" ht="15.75" customHeight="1">
      <c r="A149" s="1"/>
      <c r="B149" s="25"/>
      <c r="C149" s="1"/>
      <c r="D149" s="1"/>
      <c r="E149" s="1"/>
      <c r="F149" s="1"/>
    </row>
    <row r="150" ht="15.75" customHeight="1">
      <c r="A150" s="1"/>
      <c r="B150" s="25"/>
      <c r="C150" s="1"/>
      <c r="D150" s="1"/>
      <c r="E150" s="1"/>
      <c r="F150" s="1"/>
    </row>
    <row r="151" ht="15.75" customHeight="1">
      <c r="A151" s="1"/>
      <c r="B151" s="25"/>
      <c r="C151" s="1"/>
      <c r="D151" s="1"/>
      <c r="E151" s="1"/>
      <c r="F151" s="1"/>
    </row>
    <row r="152" ht="15.75" customHeight="1">
      <c r="A152" s="1"/>
      <c r="B152" s="25"/>
      <c r="C152" s="1"/>
      <c r="D152" s="1"/>
      <c r="E152" s="1"/>
      <c r="F152" s="1"/>
    </row>
    <row r="153" ht="15.75" customHeight="1">
      <c r="A153" s="1"/>
      <c r="B153" s="25"/>
      <c r="C153" s="1"/>
      <c r="D153" s="1"/>
      <c r="E153" s="1"/>
      <c r="F153" s="1"/>
    </row>
    <row r="154" ht="15.75" customHeight="1">
      <c r="A154" s="1"/>
      <c r="B154" s="25"/>
      <c r="C154" s="1"/>
      <c r="D154" s="1"/>
      <c r="E154" s="1"/>
      <c r="F154" s="1"/>
    </row>
    <row r="155" ht="15.75" customHeight="1">
      <c r="A155" s="1"/>
      <c r="B155" s="25"/>
      <c r="C155" s="1"/>
      <c r="D155" s="1"/>
      <c r="E155" s="1"/>
      <c r="F155" s="1"/>
    </row>
    <row r="156" ht="15.75" customHeight="1">
      <c r="A156" s="1"/>
      <c r="B156" s="25"/>
      <c r="C156" s="1"/>
      <c r="D156" s="1"/>
      <c r="E156" s="1"/>
      <c r="F156" s="1"/>
    </row>
    <row r="157" ht="15.75" customHeight="1">
      <c r="A157" s="1"/>
      <c r="B157" s="25"/>
      <c r="C157" s="1"/>
      <c r="D157" s="1"/>
      <c r="E157" s="1"/>
      <c r="F157" s="1"/>
    </row>
    <row r="158" ht="15.75" customHeight="1">
      <c r="A158" s="1"/>
      <c r="B158" s="25"/>
      <c r="C158" s="1"/>
      <c r="D158" s="1"/>
      <c r="E158" s="1"/>
      <c r="F158" s="1"/>
    </row>
    <row r="159" ht="15.75" customHeight="1">
      <c r="A159" s="1"/>
      <c r="B159" s="25"/>
      <c r="C159" s="1"/>
      <c r="D159" s="1"/>
      <c r="E159" s="1"/>
      <c r="F159" s="1"/>
    </row>
    <row r="160" ht="15.75" customHeight="1">
      <c r="A160" s="1"/>
      <c r="B160" s="25"/>
      <c r="C160" s="1"/>
      <c r="D160" s="1"/>
      <c r="E160" s="1"/>
      <c r="F160" s="1"/>
    </row>
    <row r="161" ht="15.75" customHeight="1">
      <c r="A161" s="1"/>
      <c r="B161" s="25"/>
      <c r="C161" s="1"/>
      <c r="D161" s="1"/>
      <c r="E161" s="1"/>
      <c r="F161" s="1"/>
    </row>
    <row r="162" ht="15.75" customHeight="1">
      <c r="A162" s="1"/>
      <c r="B162" s="25"/>
      <c r="C162" s="1"/>
      <c r="D162" s="1"/>
      <c r="E162" s="1"/>
      <c r="F162" s="1"/>
    </row>
    <row r="163" ht="15.75" customHeight="1">
      <c r="A163" s="1"/>
      <c r="B163" s="25"/>
      <c r="C163" s="1"/>
      <c r="D163" s="1"/>
      <c r="E163" s="1"/>
      <c r="F163" s="1"/>
    </row>
    <row r="164" ht="15.75" customHeight="1">
      <c r="A164" s="1"/>
      <c r="B164" s="25"/>
      <c r="C164" s="1"/>
      <c r="D164" s="1"/>
      <c r="E164" s="1"/>
      <c r="F164" s="1"/>
    </row>
    <row r="165" ht="15.75" customHeight="1">
      <c r="A165" s="1"/>
      <c r="B165" s="25"/>
      <c r="C165" s="1"/>
      <c r="D165" s="1"/>
      <c r="E165" s="1"/>
      <c r="F165" s="1"/>
    </row>
    <row r="166" ht="15.75" customHeight="1">
      <c r="A166" s="1"/>
      <c r="B166" s="25"/>
      <c r="C166" s="1"/>
      <c r="D166" s="1"/>
      <c r="E166" s="1"/>
      <c r="F166" s="1"/>
    </row>
    <row r="167" ht="15.75" customHeight="1">
      <c r="A167" s="1"/>
      <c r="B167" s="25"/>
      <c r="C167" s="1"/>
      <c r="D167" s="1"/>
      <c r="E167" s="1"/>
      <c r="F167" s="1"/>
    </row>
    <row r="168" ht="15.75" customHeight="1">
      <c r="A168" s="1"/>
      <c r="B168" s="25"/>
      <c r="C168" s="1"/>
      <c r="D168" s="1"/>
      <c r="E168" s="1"/>
      <c r="F168" s="1"/>
    </row>
    <row r="169" ht="15.75" customHeight="1">
      <c r="A169" s="1"/>
      <c r="B169" s="25"/>
      <c r="C169" s="1"/>
      <c r="D169" s="1"/>
      <c r="E169" s="1"/>
      <c r="F169" s="1"/>
    </row>
    <row r="170" ht="15.75" customHeight="1">
      <c r="A170" s="1"/>
      <c r="B170" s="25"/>
      <c r="C170" s="1"/>
      <c r="D170" s="1"/>
      <c r="E170" s="1"/>
      <c r="F170" s="1"/>
    </row>
    <row r="171" ht="15.75" customHeight="1">
      <c r="A171" s="1"/>
      <c r="B171" s="25"/>
      <c r="C171" s="1"/>
      <c r="D171" s="1"/>
      <c r="E171" s="1"/>
      <c r="F171" s="1"/>
    </row>
    <row r="172" ht="15.75" customHeight="1">
      <c r="A172" s="1"/>
      <c r="B172" s="25"/>
      <c r="C172" s="1"/>
      <c r="D172" s="1"/>
      <c r="E172" s="1"/>
      <c r="F172" s="1"/>
    </row>
    <row r="173" ht="15.75" customHeight="1">
      <c r="A173" s="1"/>
      <c r="B173" s="25"/>
      <c r="C173" s="1"/>
      <c r="D173" s="1"/>
      <c r="E173" s="1"/>
      <c r="F173" s="1"/>
    </row>
    <row r="174" ht="15.75" customHeight="1">
      <c r="A174" s="1"/>
      <c r="B174" s="25"/>
      <c r="C174" s="1"/>
      <c r="D174" s="1"/>
      <c r="E174" s="1"/>
      <c r="F174" s="1"/>
    </row>
    <row r="175" ht="15.75" customHeight="1">
      <c r="A175" s="1"/>
      <c r="B175" s="25"/>
      <c r="C175" s="1"/>
      <c r="D175" s="1"/>
      <c r="E175" s="1"/>
      <c r="F175" s="1"/>
    </row>
    <row r="176" ht="15.75" customHeight="1">
      <c r="A176" s="1"/>
      <c r="B176" s="25"/>
      <c r="C176" s="1"/>
      <c r="D176" s="1"/>
      <c r="E176" s="1"/>
      <c r="F176" s="1"/>
    </row>
    <row r="177" ht="15.75" customHeight="1">
      <c r="A177" s="1"/>
      <c r="B177" s="25"/>
      <c r="C177" s="1"/>
      <c r="D177" s="1"/>
      <c r="E177" s="1"/>
      <c r="F177" s="1"/>
    </row>
    <row r="178" ht="15.75" customHeight="1">
      <c r="A178" s="1"/>
      <c r="B178" s="25"/>
      <c r="C178" s="1"/>
      <c r="D178" s="1"/>
      <c r="E178" s="1"/>
      <c r="F178" s="1"/>
    </row>
    <row r="179" ht="15.75" customHeight="1">
      <c r="A179" s="1"/>
      <c r="B179" s="25"/>
      <c r="C179" s="1"/>
      <c r="D179" s="1"/>
      <c r="E179" s="1"/>
      <c r="F179" s="1"/>
    </row>
    <row r="180" ht="15.75" customHeight="1">
      <c r="A180" s="1"/>
      <c r="B180" s="25"/>
      <c r="C180" s="1"/>
      <c r="D180" s="1"/>
      <c r="E180" s="1"/>
      <c r="F180" s="1"/>
    </row>
    <row r="181" ht="15.75" customHeight="1">
      <c r="A181" s="1"/>
      <c r="B181" s="25"/>
      <c r="C181" s="1"/>
      <c r="D181" s="1"/>
      <c r="E181" s="1"/>
      <c r="F181" s="1"/>
    </row>
    <row r="182" ht="15.75" customHeight="1">
      <c r="A182" s="1"/>
      <c r="B182" s="25"/>
      <c r="C182" s="1"/>
      <c r="D182" s="1"/>
      <c r="E182" s="1"/>
      <c r="F182" s="1"/>
    </row>
    <row r="183" ht="15.75" customHeight="1">
      <c r="A183" s="1"/>
      <c r="B183" s="25"/>
      <c r="C183" s="1"/>
      <c r="D183" s="1"/>
      <c r="E183" s="1"/>
      <c r="F183" s="1"/>
    </row>
    <row r="184" ht="15.75" customHeight="1">
      <c r="A184" s="1"/>
      <c r="B184" s="25"/>
      <c r="C184" s="1"/>
      <c r="D184" s="1"/>
      <c r="E184" s="1"/>
      <c r="F184" s="1"/>
    </row>
    <row r="185" ht="15.75" customHeight="1">
      <c r="A185" s="1"/>
      <c r="B185" s="25"/>
      <c r="C185" s="1"/>
      <c r="D185" s="1"/>
      <c r="E185" s="1"/>
      <c r="F185" s="1"/>
    </row>
    <row r="186" ht="15.75" customHeight="1">
      <c r="A186" s="1"/>
      <c r="B186" s="25"/>
      <c r="C186" s="1"/>
      <c r="D186" s="1"/>
      <c r="E186" s="1"/>
      <c r="F186" s="1"/>
    </row>
    <row r="187" ht="15.75" customHeight="1">
      <c r="A187" s="1"/>
      <c r="B187" s="25"/>
      <c r="C187" s="1"/>
      <c r="D187" s="1"/>
      <c r="E187" s="1"/>
      <c r="F187" s="1"/>
    </row>
    <row r="188" ht="15.75" customHeight="1">
      <c r="A188" s="1"/>
      <c r="B188" s="25"/>
      <c r="C188" s="1"/>
      <c r="D188" s="1"/>
      <c r="E188" s="1"/>
      <c r="F188" s="1"/>
    </row>
    <row r="189" ht="15.75" customHeight="1">
      <c r="A189" s="1"/>
      <c r="B189" s="25"/>
      <c r="C189" s="1"/>
      <c r="D189" s="1"/>
      <c r="E189" s="1"/>
      <c r="F189" s="1"/>
    </row>
    <row r="190" ht="15.75" customHeight="1">
      <c r="A190" s="1"/>
      <c r="B190" s="25"/>
      <c r="C190" s="1"/>
      <c r="D190" s="1"/>
      <c r="E190" s="1"/>
      <c r="F190" s="1"/>
    </row>
    <row r="191" ht="15.75" customHeight="1">
      <c r="A191" s="1"/>
      <c r="B191" s="25"/>
      <c r="C191" s="1"/>
      <c r="D191" s="1"/>
      <c r="E191" s="1"/>
      <c r="F191" s="1"/>
    </row>
    <row r="192" ht="15.75" customHeight="1">
      <c r="A192" s="1"/>
      <c r="B192" s="25"/>
      <c r="C192" s="1"/>
      <c r="D192" s="1"/>
      <c r="E192" s="1"/>
      <c r="F192" s="1"/>
    </row>
    <row r="193" ht="15.75" customHeight="1">
      <c r="A193" s="1"/>
      <c r="B193" s="25"/>
      <c r="C193" s="1"/>
      <c r="D193" s="1"/>
      <c r="E193" s="1"/>
      <c r="F193" s="1"/>
    </row>
    <row r="194" ht="15.75" customHeight="1">
      <c r="A194" s="1"/>
      <c r="B194" s="25"/>
      <c r="C194" s="1"/>
      <c r="D194" s="1"/>
      <c r="E194" s="1"/>
      <c r="F194" s="1"/>
    </row>
    <row r="195" ht="15.75" customHeight="1">
      <c r="A195" s="1"/>
      <c r="B195" s="25"/>
      <c r="C195" s="1"/>
      <c r="D195" s="1"/>
      <c r="E195" s="1"/>
      <c r="F195" s="1"/>
    </row>
    <row r="196" ht="15.75" customHeight="1">
      <c r="A196" s="1"/>
      <c r="B196" s="25"/>
      <c r="C196" s="1"/>
      <c r="D196" s="1"/>
      <c r="E196" s="1"/>
      <c r="F196" s="1"/>
    </row>
    <row r="197" ht="15.75" customHeight="1">
      <c r="A197" s="1"/>
      <c r="B197" s="25"/>
      <c r="C197" s="1"/>
      <c r="D197" s="1"/>
      <c r="E197" s="1"/>
      <c r="F197" s="1"/>
    </row>
    <row r="198" ht="15.75" customHeight="1">
      <c r="A198" s="1"/>
      <c r="B198" s="25"/>
      <c r="C198" s="1"/>
      <c r="D198" s="1"/>
      <c r="E198" s="1"/>
      <c r="F198" s="1"/>
    </row>
    <row r="199" ht="15.75" customHeight="1">
      <c r="A199" s="1"/>
      <c r="B199" s="25"/>
      <c r="C199" s="1"/>
      <c r="D199" s="1"/>
      <c r="E199" s="1"/>
      <c r="F199" s="1"/>
    </row>
    <row r="200" ht="15.75" customHeight="1">
      <c r="A200" s="1"/>
      <c r="B200" s="25"/>
      <c r="C200" s="1"/>
      <c r="D200" s="1"/>
      <c r="E200" s="1"/>
      <c r="F200" s="1"/>
    </row>
    <row r="201" ht="15.75" customHeight="1">
      <c r="A201" s="1"/>
      <c r="B201" s="25"/>
      <c r="C201" s="1"/>
      <c r="D201" s="1"/>
      <c r="E201" s="1"/>
      <c r="F201" s="1"/>
    </row>
    <row r="202" ht="15.75" customHeight="1">
      <c r="A202" s="1"/>
      <c r="B202" s="25"/>
      <c r="C202" s="1"/>
      <c r="D202" s="1"/>
      <c r="E202" s="1"/>
      <c r="F202" s="1"/>
    </row>
    <row r="203" ht="15.75" customHeight="1">
      <c r="A203" s="1"/>
      <c r="B203" s="25"/>
      <c r="C203" s="1"/>
      <c r="D203" s="1"/>
      <c r="E203" s="1"/>
      <c r="F203" s="1"/>
    </row>
    <row r="204" ht="15.75" customHeight="1">
      <c r="A204" s="1"/>
      <c r="B204" s="25"/>
      <c r="C204" s="1"/>
      <c r="D204" s="1"/>
      <c r="E204" s="1"/>
      <c r="F204" s="1"/>
    </row>
    <row r="205" ht="15.75" customHeight="1">
      <c r="A205" s="1"/>
      <c r="B205" s="25"/>
      <c r="C205" s="1"/>
      <c r="D205" s="1"/>
      <c r="E205" s="1"/>
      <c r="F205" s="1"/>
    </row>
    <row r="206" ht="15.75" customHeight="1">
      <c r="A206" s="1"/>
      <c r="B206" s="25"/>
      <c r="C206" s="1"/>
      <c r="D206" s="1"/>
      <c r="E206" s="1"/>
      <c r="F206" s="1"/>
    </row>
    <row r="207" ht="15.75" customHeight="1">
      <c r="A207" s="1"/>
      <c r="B207" s="25"/>
      <c r="C207" s="1"/>
      <c r="D207" s="1"/>
      <c r="E207" s="1"/>
      <c r="F207" s="1"/>
    </row>
    <row r="208" ht="15.75" customHeight="1">
      <c r="A208" s="1"/>
      <c r="B208" s="25"/>
      <c r="C208" s="1"/>
      <c r="D208" s="1"/>
      <c r="E208" s="1"/>
      <c r="F208" s="1"/>
    </row>
    <row r="209" ht="15.75" customHeight="1">
      <c r="A209" s="1"/>
      <c r="B209" s="25"/>
      <c r="C209" s="1"/>
      <c r="D209" s="1"/>
      <c r="E209" s="1"/>
      <c r="F209" s="1"/>
    </row>
    <row r="210" ht="15.75" customHeight="1">
      <c r="A210" s="1"/>
      <c r="B210" s="25"/>
      <c r="C210" s="1"/>
      <c r="D210" s="1"/>
      <c r="E210" s="1"/>
      <c r="F210" s="1"/>
    </row>
    <row r="211" ht="15.75" customHeight="1">
      <c r="A211" s="1"/>
      <c r="B211" s="25"/>
      <c r="C211" s="1"/>
      <c r="D211" s="1"/>
      <c r="E211" s="1"/>
      <c r="F211" s="1"/>
    </row>
    <row r="212" ht="15.75" customHeight="1">
      <c r="A212" s="1"/>
      <c r="B212" s="25"/>
      <c r="C212" s="1"/>
      <c r="D212" s="1"/>
      <c r="E212" s="1"/>
      <c r="F212" s="1"/>
    </row>
    <row r="213" ht="15.75" customHeight="1">
      <c r="A213" s="1"/>
      <c r="B213" s="25"/>
      <c r="C213" s="1"/>
      <c r="D213" s="1"/>
      <c r="E213" s="1"/>
      <c r="F213" s="1"/>
    </row>
    <row r="214" ht="15.75" customHeight="1">
      <c r="A214" s="1"/>
      <c r="B214" s="25"/>
      <c r="C214" s="1"/>
      <c r="D214" s="1"/>
      <c r="E214" s="1"/>
      <c r="F214" s="1"/>
    </row>
    <row r="215" ht="15.75" customHeight="1">
      <c r="A215" s="1"/>
      <c r="B215" s="25"/>
      <c r="C215" s="1"/>
      <c r="D215" s="1"/>
      <c r="E215" s="1"/>
      <c r="F215" s="1"/>
    </row>
    <row r="216" ht="15.75" customHeight="1">
      <c r="A216" s="1"/>
      <c r="B216" s="25"/>
      <c r="C216" s="1"/>
      <c r="D216" s="1"/>
      <c r="E216" s="1"/>
      <c r="F216" s="1"/>
    </row>
    <row r="217" ht="15.75" customHeight="1">
      <c r="A217" s="1"/>
      <c r="B217" s="25"/>
      <c r="C217" s="1"/>
      <c r="D217" s="1"/>
      <c r="E217" s="1"/>
      <c r="F217" s="1"/>
    </row>
    <row r="218" ht="15.75" customHeight="1">
      <c r="A218" s="1"/>
      <c r="B218" s="25"/>
      <c r="C218" s="1"/>
      <c r="D218" s="1"/>
      <c r="E218" s="1"/>
      <c r="F218" s="1"/>
    </row>
    <row r="219" ht="15.75" customHeight="1">
      <c r="A219" s="1"/>
      <c r="B219" s="25"/>
      <c r="C219" s="1"/>
      <c r="D219" s="1"/>
      <c r="E219" s="1"/>
      <c r="F219" s="1"/>
    </row>
    <row r="220" ht="15.75" customHeight="1">
      <c r="A220" s="1"/>
      <c r="B220" s="25"/>
      <c r="C220" s="1"/>
      <c r="D220" s="1"/>
      <c r="E220" s="1"/>
      <c r="F220" s="1"/>
    </row>
    <row r="221" ht="15.75" customHeight="1">
      <c r="A221" s="1"/>
      <c r="B221" s="25"/>
      <c r="C221" s="1"/>
      <c r="D221" s="1"/>
      <c r="E221" s="1"/>
      <c r="F221" s="1"/>
    </row>
    <row r="222" ht="15.75" customHeight="1">
      <c r="A222" s="1"/>
      <c r="B222" s="25"/>
      <c r="C222" s="1"/>
      <c r="D222" s="1"/>
      <c r="E222" s="1"/>
      <c r="F222" s="1"/>
    </row>
    <row r="223" ht="15.75" customHeight="1">
      <c r="A223" s="1"/>
      <c r="B223" s="25"/>
      <c r="C223" s="1"/>
      <c r="D223" s="1"/>
      <c r="E223" s="1"/>
      <c r="F223" s="1"/>
    </row>
    <row r="224" ht="15.75" customHeight="1">
      <c r="A224" s="1"/>
      <c r="B224" s="25"/>
      <c r="C224" s="1"/>
      <c r="D224" s="1"/>
      <c r="E224" s="1"/>
      <c r="F224" s="1"/>
    </row>
    <row r="225" ht="15.75" customHeight="1">
      <c r="A225" s="1"/>
      <c r="B225" s="25"/>
      <c r="C225" s="1"/>
      <c r="D225" s="1"/>
      <c r="E225" s="1"/>
      <c r="F225" s="1"/>
    </row>
    <row r="226" ht="15.75" customHeight="1">
      <c r="A226" s="1"/>
      <c r="B226" s="25"/>
      <c r="C226" s="1"/>
      <c r="D226" s="1"/>
      <c r="E226" s="1"/>
      <c r="F226" s="1"/>
    </row>
    <row r="227" ht="15.75" customHeight="1">
      <c r="A227" s="1"/>
      <c r="B227" s="25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2026-08-11T12:08:42Z</dcterms:created>
  <dc:creator>openpyxl</dc:creator>
</cp:coreProperties>
</file>