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 Oil" sheetId="1" r:id="rId5"/>
    <sheet state="visible" name="Whole Oil Shipments &amp; EE Alloca" sheetId="2" r:id="rId6"/>
  </sheets>
  <definedNames/>
  <calcPr/>
</workbook>
</file>

<file path=xl/sharedStrings.xml><?xml version="1.0" encoding="utf-8"?>
<sst xmlns="http://schemas.openxmlformats.org/spreadsheetml/2006/main" count="71" uniqueCount="69">
  <si>
    <t>BATCH HEADER — Whole Oil (IBC Totes)</t>
  </si>
  <si>
    <t>INJ-10-2026-W3 - Whole Oil Shipments &amp; EE Mileage</t>
  </si>
  <si>
    <t>BATCH SUMMARY</t>
  </si>
  <si>
    <t>Batch</t>
  </si>
  <si>
    <t>Fraction</t>
  </si>
  <si>
    <t>Inj. Week</t>
  </si>
  <si>
    <t># Totes</t>
  </si>
  <si>
    <t>Shipping Orders (relevant totes)</t>
  </si>
  <si>
    <t>INJ-10-2026-W3</t>
  </si>
  <si>
    <t>Whole Oil</t>
  </si>
  <si>
    <t>2026-10-10 to 2026-10-17</t>
  </si>
  <si>
    <t>Batch ID (INJ-YYYY-WXX)</t>
  </si>
  <si>
    <t>Constants</t>
  </si>
  <si>
    <t>Week Start (Sat)</t>
  </si>
  <si>
    <t>1 shipping order(s) direct CO-&gt;LA: COLA_38 = 5 of 18 totes on the truck (12 DC Whole Oil + 6 BGN QOWV; the other 13 are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</si>
  <si>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</si>
  <si>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</si>
  <si>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</si>
  <si>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</si>
  <si>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</si>
  <si>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</si>
  <si>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</si>
  <si>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</si>
  <si>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</si>
  <si>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COLA_38</t>
  </si>
  <si>
    <t>Lbs/Kg</t>
  </si>
  <si>
    <t>Week End (Sat)</t>
  </si>
  <si>
    <t>Kg/Lbs</t>
  </si>
  <si>
    <t>Sparging Mass Loss</t>
  </si>
  <si>
    <t>pH range (target)</t>
  </si>
  <si>
    <t>2.0 - 4.0</t>
  </si>
  <si>
    <t>WODO 6-Mo CI (kg CO2e/kg), Jul-Dec 2026 — BORROWED for Whole Oil (no DC Whole Oil CI yet)</t>
  </si>
  <si>
    <t>SECTION 1 - IBC LEDGER  (one row per IBC tote; tote tag mass is authoritative)</t>
  </si>
  <si>
    <t>Transport Emissions</t>
  </si>
  <si>
    <t>Pyrolysis Emissions Mass</t>
  </si>
  <si>
    <t>TOTAL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</si>
  <si>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</si>
  <si>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</si>
  <si>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</si>
  <si>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</si>
  <si>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</si>
  <si>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</si>
  <si>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Empty Tote Weight (kg)</t>
  </si>
  <si>
    <t>Check - every batch tote is allocated to a truck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</si>
  <si>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</si>
  <si>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</si>
  <si>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</si>
  <si>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</si>
  <si>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</si>
  <si>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</si>
  <si>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MFO Lot 301352 (LOT00301352), August 2026</t>
  </si>
  <si>
    <t>November 2025</t>
  </si>
  <si>
    <t>MFO Lot 301353 (LOT00301353), August 2026</t>
  </si>
  <si>
    <t>December 2025</t>
  </si>
  <si>
    <t>MFO Lot 301334 (LOT00301334), August 2026</t>
  </si>
  <si>
    <t>January 2026</t>
  </si>
  <si>
    <t>MFO Lot 301307 (LOT00301307), August 2026</t>
  </si>
  <si>
    <t>February 2026</t>
  </si>
  <si>
    <t>MFO Lot 301328 (LOT00301328), August 2026</t>
  </si>
  <si>
    <t>March 2026</t>
  </si>
  <si>
    <t>April 2026</t>
  </si>
  <si>
    <t>May 2026</t>
  </si>
  <si>
    <t>June 2026</t>
  </si>
  <si>
    <t>July 2026 and later (Jan-Jun 2026 rolling)</t>
  </si>
  <si>
    <t>SECTION 2 - ROLLUP</t>
  </si>
  <si>
    <t>Transport Mass</t>
  </si>
  <si>
    <t>Σ Net Oil Produced (kg)</t>
  </si>
  <si>
    <t>Loss (kg)</t>
  </si>
  <si>
    <t>MOBI — Σ Net Oil Injected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</si>
</sst>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yyyy-mm-dd"/>
    <numFmt numFmtId="166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1" numFmtId="4" xfId="0" applyAlignment="1" applyFont="1" applyNumberFormat="1">
      <alignment readingOrder="0"/>
    </xf>
    <xf borderId="0" fillId="4" fontId="1" numFmtId="4" xfId="0" applyAlignment="1" applyFill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4" numFmtId="0" xfId="0" applyFont="1"/>
    <xf borderId="0" fillId="0" fontId="1" numFmtId="4" xfId="0" applyFont="1" applyNumberFormat="1"/>
    <xf borderId="0" fillId="0" fontId="1" numFmtId="166" xfId="0" applyFont="1" applyNumberFormat="1"/>
    <xf quotePrefix="1" borderId="0" fillId="0" fontId="1" numFmtId="0" xfId="0" applyAlignment="1" applyFont="1">
      <alignment readingOrder="0"/>
    </xf>
    <xf borderId="0" fillId="4" fontId="1" numFmtId="4" xfId="0" applyFill="1" applyFont="1" applyNumberFormat="1"/>
    <xf borderId="0" fillId="3" fontId="1" numFmtId="4" xfId="0" applyFill="1" applyFont="1" applyNumberFormat="1"/>
    <xf borderId="0" fillId="0" fontId="1" numFmtId="2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1" t="s">
        <v>11</v>
      </c>
      <c r="B2" s="1" t="s">
        <v>8</v>
      </c>
      <c r="K2" s="4" t="s">
        <v>12</v>
      </c>
    </row>
    <row r="3">
      <c r="A3" s="1" t="s">
        <v>13</v>
      </c>
      <c r="B3" s="7">
        <f>DATE(2026,10,10)</f>
        <v>46305</v>
      </c>
      <c r="K3" s="4" t="s">
        <v>25</v>
      </c>
      <c r="L3" s="6">
        <v>2.20462</v>
      </c>
    </row>
    <row r="4">
      <c r="A4" s="1" t="s">
        <v>26</v>
      </c>
      <c r="B4" s="7">
        <f>DATE(2026,10,17)</f>
        <v>46312</v>
      </c>
      <c r="K4" s="4" t="s">
        <v>27</v>
      </c>
      <c r="L4" s="6">
        <v>0.453592</v>
      </c>
    </row>
    <row r="5">
      <c r="K5" s="4" t="s">
        <v>28</v>
      </c>
      <c r="L5" s="6">
        <v>0.0129</v>
      </c>
    </row>
    <row r="6">
      <c r="K6" s="4" t="s">
        <v>29</v>
      </c>
      <c r="L6" s="1" t="s">
        <v>30</v>
      </c>
    </row>
    <row r="7">
      <c r="K7" s="1" t="s">
        <v>31</v>
      </c>
      <c r="L7" s="6">
        <v>0.795241</v>
      </c>
    </row>
    <row r="8">
      <c r="A8" s="2" t="s">
        <v>32</v>
      </c>
      <c r="B8" s="3"/>
      <c r="C8" s="3"/>
      <c r="D8" s="3"/>
      <c r="E8" s="3"/>
      <c r="F8" s="3"/>
      <c r="G8" s="3"/>
      <c r="H8" s="3"/>
      <c r="I8" s="3"/>
      <c r="J8" s="2"/>
      <c r="K8" s="2"/>
      <c r="L8" s="9"/>
      <c r="M8" s="3"/>
      <c r="N8" s="3"/>
    </row>
    <row r="9">
      <c r="A9" s="4"/>
      <c r="B9" s="4" t="s">
        <v>33</v>
      </c>
      <c r="C9" s="4"/>
      <c r="D9" s="4" t="s">
        <v>34</v>
      </c>
      <c r="E9" s="10"/>
      <c r="F9" s="4" t="s">
        <v>36</v>
      </c>
      <c r="G9" s="4"/>
      <c r="H9" s="4"/>
      <c r="I9" s="4"/>
      <c r="J9" s="11"/>
      <c r="K9" s="4" t="s">
        <v>37</v>
      </c>
      <c r="L9" s="11"/>
      <c r="M9" s="11"/>
    </row>
    <row r="10">
      <c r="A10" s="1" t="s">
        <v>38</v>
      </c>
      <c r="B10" s="1" t="s">
        <v>39</v>
      </c>
      <c r="C10" s="12" t="s">
        <v>40</v>
      </c>
      <c r="D10" s="12" t="s">
        <v>41</v>
      </c>
      <c r="E10" s="13" t="s">
        <v>42</v>
      </c>
      <c r="F10" s="12" t="s">
        <v>44</v>
      </c>
      <c r="G10" s="12" t="s">
        <v>45</v>
      </c>
      <c r="H10" s="14" t="s">
        <v>46</v>
      </c>
      <c r="I10" s="1" t="s">
        <v>47</v>
      </c>
      <c r="J10" s="1" t="s">
        <v>48</v>
      </c>
      <c r="K10" s="1" t="s">
        <v>49</v>
      </c>
      <c r="L10" s="6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1">
        <v>301352.0</v>
      </c>
      <c r="B11" s="6">
        <v>1473.0</v>
      </c>
      <c r="C11" s="12">
        <v>62.9</v>
      </c>
      <c r="D11" s="16">
        <f t="shared" ref="D11:D15" si="1">B11-C11</f>
        <v>1410.1</v>
      </c>
      <c r="E11" s="13"/>
      <c r="F11" s="16" t="str">
        <f t="shared" ref="F11:F15" si="2">IF(E11="","",B11-E11)</f>
        <v/>
      </c>
      <c r="G11" s="12" t="s">
        <v>50</v>
      </c>
      <c r="H11" s="17">
        <f t="shared" ref="H11:H15" si="3">$L$19</f>
        <v>0.795241</v>
      </c>
      <c r="I11" s="5">
        <f t="shared" ref="I11:I15" si="4">IF(H11="","",H11*D11)</f>
        <v>1121.369334</v>
      </c>
      <c r="J11" s="5">
        <f t="shared" ref="J11:J15" si="5">2.5*$L$4</f>
        <v>1.13398</v>
      </c>
      <c r="K11" s="18" t="s">
        <v>51</v>
      </c>
      <c r="L11" s="6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A12" s="1">
        <v>301353.0</v>
      </c>
      <c r="B12" s="6">
        <v>1095.0</v>
      </c>
      <c r="C12" s="12">
        <v>57.6</v>
      </c>
      <c r="D12" s="16">
        <f t="shared" si="1"/>
        <v>1037.4</v>
      </c>
      <c r="E12" s="13"/>
      <c r="F12" s="16" t="str">
        <f t="shared" si="2"/>
        <v/>
      </c>
      <c r="G12" s="12" t="s">
        <v>52</v>
      </c>
      <c r="H12" s="17">
        <f t="shared" si="3"/>
        <v>0.795241</v>
      </c>
      <c r="I12" s="5">
        <f t="shared" si="4"/>
        <v>824.9830134</v>
      </c>
      <c r="J12" s="5">
        <f t="shared" si="5"/>
        <v>1.13398</v>
      </c>
      <c r="K12" s="18" t="s">
        <v>53</v>
      </c>
      <c r="L12" s="6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A13" s="1">
        <v>301334.0</v>
      </c>
      <c r="B13" s="6">
        <v>1091.0</v>
      </c>
      <c r="C13" s="12">
        <v>57.6</v>
      </c>
      <c r="D13" s="16">
        <f t="shared" si="1"/>
        <v>1033.4</v>
      </c>
      <c r="E13" s="13"/>
      <c r="F13" s="16" t="str">
        <f t="shared" si="2"/>
        <v/>
      </c>
      <c r="G13" s="12" t="s">
        <v>54</v>
      </c>
      <c r="H13" s="17">
        <f t="shared" si="3"/>
        <v>0.795241</v>
      </c>
      <c r="I13" s="5">
        <f t="shared" si="4"/>
        <v>821.8020494</v>
      </c>
      <c r="J13" s="5">
        <f t="shared" si="5"/>
        <v>1.13398</v>
      </c>
      <c r="K13" s="18" t="s">
        <v>55</v>
      </c>
      <c r="L13" s="6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A14" s="1">
        <v>301307.0</v>
      </c>
      <c r="B14" s="6">
        <v>1373.0</v>
      </c>
      <c r="C14" s="12">
        <v>62.9</v>
      </c>
      <c r="D14" s="16">
        <f t="shared" si="1"/>
        <v>1310.1</v>
      </c>
      <c r="E14" s="13"/>
      <c r="F14" s="16" t="str">
        <f t="shared" si="2"/>
        <v/>
      </c>
      <c r="G14" s="12" t="s">
        <v>56</v>
      </c>
      <c r="H14" s="17">
        <f t="shared" si="3"/>
        <v>0.795241</v>
      </c>
      <c r="I14" s="5">
        <f t="shared" si="4"/>
        <v>1041.845234</v>
      </c>
      <c r="J14" s="5">
        <f t="shared" si="5"/>
        <v>1.13398</v>
      </c>
      <c r="K14" s="18" t="s">
        <v>57</v>
      </c>
      <c r="L14" s="6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A15" s="1">
        <v>301328.0</v>
      </c>
      <c r="B15" s="6">
        <v>1102.0</v>
      </c>
      <c r="C15" s="12">
        <v>57.6</v>
      </c>
      <c r="D15" s="16">
        <f t="shared" si="1"/>
        <v>1044.4</v>
      </c>
      <c r="E15" s="13"/>
      <c r="F15" s="16" t="str">
        <f t="shared" si="2"/>
        <v/>
      </c>
      <c r="G15" s="12" t="s">
        <v>58</v>
      </c>
      <c r="H15" s="17">
        <f t="shared" si="3"/>
        <v>0.795241</v>
      </c>
      <c r="I15" s="5">
        <f t="shared" si="4"/>
        <v>830.5497004</v>
      </c>
      <c r="J15" s="5">
        <f t="shared" si="5"/>
        <v>1.13398</v>
      </c>
      <c r="K15" s="18" t="s">
        <v>59</v>
      </c>
      <c r="L15" s="6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C16" s="12"/>
      <c r="D16" s="16"/>
      <c r="E16" s="19"/>
      <c r="F16" s="16"/>
      <c r="G16" s="12"/>
      <c r="H16" s="17"/>
      <c r="K16" s="18" t="s">
        <v>60</v>
      </c>
      <c r="L16" s="6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C17" s="12"/>
      <c r="D17" s="16"/>
      <c r="E17" s="19"/>
      <c r="F17" s="16"/>
      <c r="G17" s="12"/>
      <c r="H17" s="17"/>
      <c r="K17" s="18" t="s">
        <v>61</v>
      </c>
      <c r="L17" s="6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C18" s="12"/>
      <c r="D18" s="16"/>
      <c r="E18" s="19"/>
      <c r="F18" s="16"/>
      <c r="G18" s="12"/>
      <c r="H18" s="17"/>
      <c r="K18" s="18" t="s">
        <v>62</v>
      </c>
      <c r="L18" s="6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C19" s="12"/>
      <c r="D19" s="16"/>
      <c r="E19" s="19"/>
      <c r="F19" s="16"/>
      <c r="G19" s="12"/>
      <c r="H19" s="17"/>
      <c r="K19" s="1" t="s">
        <v>63</v>
      </c>
      <c r="L19" s="5">
        <f>$L$7</f>
        <v>0.795241</v>
      </c>
    </row>
    <row r="20">
      <c r="C20" s="12"/>
      <c r="D20" s="16"/>
      <c r="E20" s="19"/>
      <c r="F20" s="16"/>
      <c r="G20" s="12"/>
      <c r="H20" s="17"/>
    </row>
    <row r="21">
      <c r="C21" s="12"/>
      <c r="D21" s="16"/>
      <c r="E21" s="19"/>
      <c r="F21" s="16"/>
      <c r="G21" s="12"/>
      <c r="H21" s="17"/>
    </row>
    <row r="22">
      <c r="C22" s="12"/>
      <c r="D22" s="16"/>
      <c r="E22" s="19"/>
      <c r="F22" s="16"/>
      <c r="G22" s="12"/>
      <c r="H22" s="17"/>
    </row>
    <row r="23">
      <c r="C23" s="12"/>
      <c r="D23" s="16"/>
      <c r="E23" s="19"/>
      <c r="F23" s="16"/>
      <c r="G23" s="12"/>
      <c r="H23" s="17"/>
    </row>
    <row r="24">
      <c r="C24" s="16"/>
      <c r="D24" s="16"/>
      <c r="E24" s="20"/>
      <c r="F24" s="16"/>
      <c r="G24" s="16"/>
      <c r="H24" s="17"/>
    </row>
    <row r="25">
      <c r="A25" s="1" t="s">
        <v>35</v>
      </c>
      <c r="B25" s="5">
        <f t="shared" ref="B25:F25" si="6">SUM(B11:B23)</f>
        <v>6134</v>
      </c>
      <c r="C25" s="16">
        <f t="shared" si="6"/>
        <v>298.6</v>
      </c>
      <c r="D25" s="16">
        <f t="shared" si="6"/>
        <v>5835.4</v>
      </c>
      <c r="E25" s="20">
        <f t="shared" si="6"/>
        <v>0</v>
      </c>
      <c r="F25" s="16">
        <f t="shared" si="6"/>
        <v>0</v>
      </c>
      <c r="G25" s="16"/>
      <c r="H25" s="17">
        <f>I25/D25</f>
        <v>0.795241</v>
      </c>
      <c r="I25" s="5">
        <f t="shared" ref="I25:J25" si="7">SUM(I11:I23)</f>
        <v>4640.549331</v>
      </c>
      <c r="J25" s="5">
        <f t="shared" si="7"/>
        <v>5.6699</v>
      </c>
    </row>
    <row r="26">
      <c r="C26" s="16"/>
      <c r="D26" s="16"/>
      <c r="E26" s="20"/>
      <c r="F26" s="16"/>
      <c r="G26" s="16"/>
      <c r="H26" s="21"/>
    </row>
    <row r="27">
      <c r="E27" s="20"/>
      <c r="F27" s="16"/>
      <c r="G27" s="16"/>
      <c r="H27" s="21"/>
    </row>
    <row r="28">
      <c r="E28" s="20"/>
      <c r="F28" s="16"/>
      <c r="G28" s="16"/>
      <c r="H28" s="21"/>
    </row>
    <row r="29">
      <c r="E29" s="20"/>
      <c r="F29" s="16"/>
      <c r="G29" s="16"/>
      <c r="H29" s="21"/>
    </row>
    <row r="30">
      <c r="C30" s="16"/>
      <c r="D30" s="16"/>
      <c r="E30" s="16"/>
      <c r="F30" s="16"/>
      <c r="G30" s="16"/>
      <c r="H30" s="21"/>
    </row>
    <row r="31">
      <c r="A31" s="2" t="s">
        <v>64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1" t="s">
        <v>65</v>
      </c>
      <c r="B32" s="1" t="s">
        <v>66</v>
      </c>
      <c r="C32" s="12" t="s">
        <v>67</v>
      </c>
      <c r="D32" s="22" t="s">
        <v>68</v>
      </c>
      <c r="E32" s="21"/>
      <c r="F32" s="21"/>
    </row>
    <row r="33">
      <c r="A33" s="5">
        <f>B25</f>
        <v>6134</v>
      </c>
      <c r="B33" s="16">
        <f>SUM(D11:D23)</f>
        <v>5835.4</v>
      </c>
      <c r="C33" s="16" t="str">
        <f>IF(D33=0,"",B33-D33)</f>
        <v/>
      </c>
      <c r="D33" s="23">
        <f>SUM(F11:F23)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4">
      <c r="A4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>
      <c r="A6" s="1" t="s">
        <v>8</v>
      </c>
      <c r="B6" s="1" t="s">
        <v>9</v>
      </c>
      <c r="C6" s="1" t="s">
        <v>10</v>
      </c>
      <c r="D6" s="5">
        <f>COUNTA('Whole Oil'!A11:A23)</f>
        <v>5</v>
      </c>
      <c r="E6" s="1" t="s">
        <v>14</v>
      </c>
    </row>
    <row r="8">
      <c r="A8" s="1" t="s">
        <v>15</v>
      </c>
      <c r="B8" s="6">
        <v>1201.0</v>
      </c>
    </row>
    <row r="10">
      <c r="A10" s="1" t="s">
        <v>16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</row>
    <row r="12">
      <c r="A12" s="1" t="s">
        <v>24</v>
      </c>
      <c r="B12" s="8">
        <v>46275.0</v>
      </c>
      <c r="C12" s="6">
        <v>18.0</v>
      </c>
      <c r="D12" s="5">
        <f>$D$6</f>
        <v>5</v>
      </c>
      <c r="E12" s="5">
        <f>IFERROR(D12/C12,"")</f>
        <v>0.2777777778</v>
      </c>
      <c r="F12" s="5">
        <f>$B$8</f>
        <v>1201</v>
      </c>
      <c r="G12" s="5">
        <f>IFERROR(E12*F12,"")</f>
        <v>333.6111111</v>
      </c>
    </row>
    <row r="14">
      <c r="A14" s="1" t="s">
        <v>35</v>
      </c>
      <c r="C14" s="5">
        <f t="shared" ref="C14:D14" si="1">SUM(C12:C13)</f>
        <v>18</v>
      </c>
      <c r="D14" s="5">
        <f t="shared" si="1"/>
        <v>5</v>
      </c>
      <c r="G14" s="5">
        <f>SUM(G12:G13)</f>
        <v>333.6111111</v>
      </c>
    </row>
    <row r="16">
      <c r="A16" s="1" t="s">
        <v>43</v>
      </c>
      <c r="B16" s="5" t="str">
        <f>IF($D$14=$D$6,"OK","MISMATCH")</f>
        <v>OK</v>
      </c>
    </row>
  </sheetData>
  <drawing r:id="rId1"/>
</worksheet>
</file>