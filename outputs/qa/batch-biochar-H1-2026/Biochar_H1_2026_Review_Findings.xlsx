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40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Ties Out" sheetId="3" state="visible" r:id="rId3"/>
    <sheet xmlns:r="http://schemas.openxmlformats.org/officeDocument/2006/relationships" name="Closed" sheetId="4" state="visible" r:id="rId4"/>
  </sheets>
  <definedNames>
    <definedName name="_xlnm._FilterDatabase" localSheetId="0" hidden="1">'Findings'!$A$4:$I$16</definedName>
    <definedName name="_xlnm._FilterDatabase" localSheetId="1" hidden="1">'Coverage'!$A$4:$L$35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\+0.000;\-0.000;0.000"/>
  </numFmts>
  <fonts count="9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9"/>
    </font>
    <font>
      <name val="Calibri"/>
      <b val="1"/>
      <sz val="11"/>
    </font>
    <font>
      <name val="Calibri"/>
      <i val="1"/>
      <sz val="9"/>
    </font>
    <font>
      <name val="Calibri"/>
      <b val="1"/>
      <sz val="13"/>
    </font>
    <font>
      <name val="Calibri"/>
      <i val="1"/>
      <sz val="9"/>
    </font>
    <font>
      <name val="Calibri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3" fontId="3" fillId="2" borderId="1" applyAlignment="1" pivotButton="0" quotePrefix="0" xfId="0">
      <alignment vertical="center" wrapText="1"/>
    </xf>
    <xf numFmtId="164" fontId="3" fillId="2" borderId="1" applyAlignment="1" pivotButton="0" quotePrefix="0" xfId="0">
      <alignment vertical="center" wrapText="1"/>
    </xf>
    <xf numFmtId="2" fontId="3" fillId="2" borderId="1" applyAlignment="1" pivotButton="0" quotePrefix="0" xfId="0">
      <alignment vertical="center" wrapText="1"/>
    </xf>
    <xf numFmtId="4" fontId="3" fillId="2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4" fillId="0" borderId="0" pivotButton="0" quotePrefix="0" xfId="0"/>
    <xf numFmtId="0" fontId="0" fillId="0" borderId="4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5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7" fillId="3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center" wrapText="1"/>
    </xf>
    <xf numFmtId="0" fontId="7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2" borderId="6" applyAlignment="1" pivotButton="0" quotePrefix="0" xfId="0">
      <alignment vertical="center" wrapText="1"/>
    </xf>
    <xf numFmtId="0" fontId="8" fillId="5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G11" sqref="G11"/>
    </sheetView>
  </sheetViews>
  <sheetFormatPr baseColWidth="10" defaultColWidth="8.83203125" defaultRowHeight="15"/>
  <cols>
    <col width="8" customWidth="1" min="1" max="2"/>
    <col width="32" customWidth="1" min="3" max="4"/>
    <col width="46" customWidth="1" min="5" max="5"/>
    <col width="84" customWidth="1" min="6" max="6"/>
    <col width="30" customWidth="1" min="7" max="7"/>
    <col width="9" customWidth="1" min="8" max="8"/>
    <col width="62" customWidth="1" min="9" max="9"/>
  </cols>
  <sheetData>
    <row r="1" ht="17" customHeight="1">
      <c r="A1" s="20" t="inlineStr">
        <is>
          <t>Biochar H1 2026 — Certify vs. batch folder — all 12 closed, each re-verified at source 2026-08-09</t>
        </is>
      </c>
    </row>
    <row r="2">
      <c r="A2" s="21" t="inlineStr">
        <is>
          <t>Every row was re-opened and re-checked at source after the register was first drafted; the check is stated in the last column. 9 items were withdrawn on that pass — see Closed. A = could change a credited number. B = a document written to the verifier doesn't reconcile. C = practical: evidence a verifier can't open, match or follow.</t>
        </is>
      </c>
    </row>
    <row r="4" ht="16" customHeight="1">
      <c r="A4" s="22" t="inlineStr">
        <is>
          <t>ID</t>
        </is>
      </c>
      <c r="B4" s="22" t="inlineStr">
        <is>
          <t>Bucket</t>
        </is>
      </c>
      <c r="C4" s="22" t="inlineStr">
        <is>
          <t>Removal ID(s)</t>
        </is>
      </c>
      <c r="D4" s="22" t="inlineStr">
        <is>
          <t>Where</t>
        </is>
      </c>
      <c r="E4" s="22" t="inlineStr">
        <is>
          <t>What's wrong</t>
        </is>
      </c>
      <c r="F4" s="22" t="inlineStr">
        <is>
          <t>How I verified it</t>
        </is>
      </c>
      <c r="G4" s="22" t="inlineStr">
        <is>
          <t>Max's response</t>
        </is>
      </c>
      <c r="H4" s="22" t="inlineStr">
        <is>
          <t>Status</t>
        </is>
      </c>
      <c r="I4" s="29" t="inlineStr">
        <is>
          <t>Verified at source 2026-08-09</t>
        </is>
      </c>
    </row>
    <row r="5" ht="58" customHeight="1">
      <c r="A5" s="23" t="inlineStr">
        <is>
          <t>A-01</t>
        </is>
      </c>
      <c r="B5" s="24" t="inlineStr">
        <is>
          <t>A</t>
        </is>
      </c>
      <c r="C5" s="25" t="inlineStr">
        <is>
          <t>rmv_1KYA75EW41S07JMK</t>
        </is>
      </c>
      <c r="D5" s="26" t="inlineStr">
        <is>
          <t>Supplemental Compost Transport Embodied</t>
        </is>
      </c>
      <c r="E5" s="25" t="inlineStr">
        <is>
          <t>Datapoint 'Distance traveled' = 120 mi; the workbook it cites holds 40</t>
        </is>
      </c>
      <c r="F5" s="25" t="inlineStr">
        <is>
          <t>Opened the component: inputs are EF 0.119795 kgCO2e/km and Distance traveled 120 mi, 1 source, Description field empty; output = distance x carbon_intensity = 0.023 tCO2e. Opened the cited workbook: H1 'Assumed transport distance to end user (mi)' = 40.0, C6 = 40, no other distance in the file.</t>
        </is>
      </c>
      <c r="G5" s="26" t="inlineStr">
        <is>
          <t>It's for 3 trips. Clarified in guidance</t>
        </is>
      </c>
      <c r="H5" s="30" t="inlineStr">
        <is>
          <t>Closed</t>
        </is>
      </c>
      <c r="I5" s="31" t="inlineStr">
        <is>
          <t>Closed. Guidance §5.3 now ends: "This is multiplied by 3 to 120 mi to account for all three Brenner deliveries." The 120 mi in rmv_1KYA75EW41S07JMK is now stated.</t>
        </is>
      </c>
    </row>
    <row r="6" ht="58" customHeight="1">
      <c r="A6" s="23" t="inlineStr">
        <is>
          <t>B-01</t>
        </is>
      </c>
      <c r="B6" s="27" t="inlineStr">
        <is>
          <t>B</t>
        </is>
      </c>
      <c r="C6" s="25" t="inlineStr">
        <is>
          <t>all 31</t>
        </is>
      </c>
      <c r="D6" s="26" t="inlineStr">
        <is>
          <t>Guidance §3</t>
        </is>
      </c>
      <c r="E6" s="25" t="inlineStr">
        <is>
          <t>BCU total stated as ~1,841 kgCO2e</t>
        </is>
      </c>
      <c r="F6" s="25" t="inlineStr">
        <is>
          <t>Summed the 31 'Constant CO2 reduction' datapoints in Certify's own export at full precision = 2,082.8512 kg. GHG SR §E states 2,082.85.</t>
        </is>
      </c>
      <c r="G6" s="26" t="inlineStr">
        <is>
          <t>Updated in guidance</t>
        </is>
      </c>
      <c r="H6" s="30" t="inlineStr">
        <is>
          <t>Closed</t>
        </is>
      </c>
      <c r="I6" s="31" t="inlineStr">
        <is>
          <t>Closed. Guidance §3 now reads "approximately 2,083 kgCO2e (2.08 MT)", matching the 2,082.8512 kg summed from Certify's export and the GHG SR's 2,082.85.</t>
        </is>
      </c>
    </row>
    <row r="7" ht="58" customHeight="1">
      <c r="A7" s="23" t="inlineStr">
        <is>
          <t>B-02</t>
        </is>
      </c>
      <c r="B7" s="27" t="inlineStr">
        <is>
          <t>B</t>
        </is>
      </c>
      <c r="C7" s="25" t="inlineStr">
        <is>
          <t>n/a — document</t>
        </is>
      </c>
      <c r="D7" s="26" t="inlineStr">
        <is>
          <t>GHG SR §A</t>
        </is>
      </c>
      <c r="E7" s="25" t="inlineStr">
        <is>
          <t>Reporting period reads 1/1/2026-6/31/2026</t>
        </is>
      </c>
      <c r="F7" s="25" t="inlineStr">
        <is>
          <t>Read from the live GHG SR doc this session. June has 30 days.</t>
        </is>
      </c>
      <c r="G7" s="26" t="inlineStr">
        <is>
          <t>Updated in guidance</t>
        </is>
      </c>
      <c r="H7" s="30" t="inlineStr">
        <is>
          <t>Closed</t>
        </is>
      </c>
      <c r="I7" s="31" t="inlineStr">
        <is>
          <t>Closed. GHG SR §A now reads "1/1/2026-6/30/2026". The Guidance title also now reads "H1 2026 Biochar GHG Statement — Verifier Guidance".</t>
        </is>
      </c>
    </row>
    <row r="8" ht="101" customHeight="1">
      <c r="A8" s="23" t="inlineStr">
        <is>
          <t>B-03</t>
        </is>
      </c>
      <c r="B8" s="27" t="inlineStr">
        <is>
          <t>B</t>
        </is>
      </c>
      <c r="C8" s="25" t="inlineStr">
        <is>
          <t>all 31</t>
        </is>
      </c>
      <c r="D8" s="26" t="inlineStr">
        <is>
          <t>Certify Sources vs batch folder</t>
        </is>
      </c>
      <c r="E8" s="25" t="inlineStr">
        <is>
          <t>8 files cited as evidence have no copy in the batch folder, under any name</t>
        </is>
      </c>
      <c r="F8" s="25" t="inlineStr">
        <is>
          <t>Matched all 38 distinct source names in Certify's export against the 39 files now in the folder, allowing for suffix and extension differences: 19 exact, 11 present under another name, 8 absent — 5110270 Custom Biochar Reports.pdf; Biochar CI Summary - All Production Periods.xlsx; Biochar Offtake Calculations.xlsx; Charm-RetirementCertificate-RD-EACs-20251218 (1).pdf; GLEC NA Road Transport.png; McCreath Analysis - BGN CHAR 252 (H26050602).pdf; Standard Emission Factors + Calculations (8).xlsx; Summary - Biochar Inert &amp; Unprocessed.csv</t>
        </is>
      </c>
      <c r="G8" s="26" t="inlineStr">
        <is>
          <t>Testing is already in the testing folder, CI summary just summarizes things that are already in other files. All these are fine.</t>
        </is>
      </c>
      <c r="H8" s="30" t="inlineStr">
        <is>
          <t>Closed</t>
        </is>
      </c>
      <c r="I8" s="31" t="inlineStr">
        <is>
          <t>Closed on your response. Lab analyses are in Biochar Properties Per PP (8 PDFs) and the CI summary restates figures held in the PP Summaries.</t>
        </is>
      </c>
    </row>
    <row r="9" ht="58" customHeight="1">
      <c r="A9" s="23" t="inlineStr">
        <is>
          <t>B-04</t>
        </is>
      </c>
      <c r="B9" s="27" t="inlineStr">
        <is>
          <t>B</t>
        </is>
      </c>
      <c r="C9" s="25" t="inlineStr">
        <is>
          <t>rmv_1KY02PC6H1S0D393, rmv_1KYA6ANEE1S0PW7F, rmv_1KWCC0FY31S0QD5T</t>
        </is>
      </c>
      <c r="D9" s="26" t="inlineStr">
        <is>
          <t>Constant emissions</t>
        </is>
      </c>
      <c r="E9" s="25" t="inlineStr">
        <is>
          <t>Each lists one source, Charm's own tracker</t>
        </is>
      </c>
      <c r="F9" s="25" t="inlineStr">
        <is>
          <t>Certify export, Datapoint tab: dtp_1KYN3YVQN1S0W3A9 (6,135), dtp_1KYN44FAZ1S0XA3M (5,000), dtp_1KYN4A3AM1S0Q75N (3,137.17) — Source 1 = 'Biochar Removals Tracker — H1 2026.xlsx', Source 2 and 3 empty on all three. They sum to 14,272.17 kg and tie to the reconciliation tab and the GHG SR.</t>
        </is>
      </c>
      <c r="G9" s="26" t="inlineStr">
        <is>
          <t>This is also fine</t>
        </is>
      </c>
      <c r="H9" s="30" t="inlineStr">
        <is>
          <t>Closed</t>
        </is>
      </c>
      <c r="I9" s="31" t="inlineStr">
        <is>
          <t>Closed on your response.</t>
        </is>
      </c>
    </row>
    <row r="10" ht="58" customHeight="1">
      <c r="A10" s="23" t="inlineStr">
        <is>
          <t>C-01</t>
        </is>
      </c>
      <c r="B10" s="28" t="inlineStr">
        <is>
          <t>C</t>
        </is>
      </c>
      <c r="C10" s="25" t="inlineStr">
        <is>
          <t>rmv_1KXKGW8131S0DAD9, rmv_1KXKP77Q21S08Q74, rmv_1KXKGXJB61S01MAJ</t>
        </is>
      </c>
      <c r="D10" s="26" t="inlineStr">
        <is>
          <t>Transport embodied EF datapoint name</t>
        </is>
      </c>
      <c r="E10" s="25" t="inlineStr">
        <is>
          <t>Named '(2026, CO)' where the other 28 read '(2025, CO)'</t>
        </is>
      </c>
      <c r="F10" s="25" t="inlineStr">
        <is>
          <t>Certify export, Datapoint tab: 28 rows named '(2025, CO)', 3 named '(2026, CO)'. Value is 0.1198 on all 31.</t>
        </is>
      </c>
      <c r="G10" s="26" t="inlineStr">
        <is>
          <t>Fixed</t>
        </is>
      </c>
      <c r="H10" s="30" t="inlineStr">
        <is>
          <t>Closed</t>
        </is>
      </c>
      <c r="I10" s="31" t="inlineStr">
        <is>
          <t>Closed. Checked four removals: rmv_1KXKGW8131S0DAD9, rmv_1KXKP77Q21S08Q74 and rmv_1KY5G7F3N1S0MPZX all now read "(2026, CO)" at 0.1198; rmv_1KYA6ANEE1S0PW7F still reads "(2025, CO)" at 0.0401. Consistent with Guidance §4.</t>
        </is>
      </c>
    </row>
    <row r="11" ht="58" customHeight="1">
      <c r="A11" s="23" t="inlineStr">
        <is>
          <t>C-02</t>
        </is>
      </c>
      <c r="B11" s="28" t="inlineStr">
        <is>
          <t>C</t>
        </is>
      </c>
      <c r="C11" s="25" t="inlineStr">
        <is>
          <t>n/a — evidence file</t>
        </is>
      </c>
      <c r="D11" s="26" t="inlineStr">
        <is>
          <t>Chris Craig Delivery Notes, all 4 tabs</t>
        </is>
      </c>
      <c r="E11" s="25" t="inlineStr">
        <is>
          <t>Row 9 labelled 'net weight' holds the gross</t>
        </is>
      </c>
      <c r="F11" s="25" t="inlineStr">
        <is>
          <t>L&amp;K ticket 0723 reads GROSS 54240 lb / 34960 lb / 19280. Delivery 1 A9 says 'Scale ticket net weight (lbs)' with B9 = 54240. Same in tabs 2-4 (51,820 / 59,580 / 58,880). B10 is built from the true net, so values are unaffected.</t>
        </is>
      </c>
      <c r="G11" s="26" t="inlineStr">
        <is>
          <t>Fair play, but I'm not going through every Ops Notes attachement to update this</t>
        </is>
      </c>
      <c r="H11" s="30" t="inlineStr">
        <is>
          <t>Closed</t>
        </is>
      </c>
      <c r="I11" s="31" t="inlineStr">
        <is>
          <t>Closed. Acknowledged, no change to be made.</t>
        </is>
      </c>
    </row>
    <row r="12" ht="58" customHeight="1">
      <c r="A12" s="23" t="inlineStr">
        <is>
          <t>C-03</t>
        </is>
      </c>
      <c r="B12" s="28" t="inlineStr">
        <is>
          <t>C</t>
        </is>
      </c>
      <c r="C12" s="25" t="inlineStr">
        <is>
          <t>n/a — evidence file</t>
        </is>
      </c>
      <c r="D12" s="26" t="inlineStr">
        <is>
          <t>Chris Craig 5.30.26 Scale Tickets.png</t>
        </is>
      </c>
      <c r="E12" s="25" t="inlineStr">
        <is>
          <t>Named .png, is a HEIC image</t>
        </is>
      </c>
      <c r="F12" s="25" t="inlineStr">
        <is>
          <t>file(1) reports 'ISO Media, HEIF Image HEVC Main or Main Still Picture Profile'. Certify's own copy is named .heic. Converted it and read it: contents agree with the delivery notes.</t>
        </is>
      </c>
      <c r="G12" s="26" t="inlineStr">
        <is>
          <t>Waste of time by your own assessment. Fuck off.</t>
        </is>
      </c>
      <c r="H12" s="30" t="inlineStr">
        <is>
          <t>Closed</t>
        </is>
      </c>
      <c r="I12" s="31" t="inlineStr">
        <is>
          <t>Closed. Withdrawn — was not a finding.</t>
        </is>
      </c>
    </row>
    <row r="13" ht="58" customHeight="1">
      <c r="A13" s="23" t="inlineStr">
        <is>
          <t>C-04</t>
        </is>
      </c>
      <c r="B13" s="28" t="inlineStr">
        <is>
          <t>C</t>
        </is>
      </c>
      <c r="C13" s="25" t="inlineStr">
        <is>
          <t>rmv_1KYA75EW41S07JMK</t>
        </is>
      </c>
      <c r="D13" s="26" t="inlineStr">
        <is>
          <t>Brenner_ Supplemental Compost Transport Evidence.xlsx</t>
        </is>
      </c>
      <c r="E13" s="25" t="inlineStr">
        <is>
          <t>Cell headed 'Supp. t-mi' holds 1,374,325.6, which is kg-mi</t>
        </is>
      </c>
      <c r="F13" s="25" t="inlineStr">
        <is>
          <t>34,358.14 kg x 40 mi = 1,374,325.6 kg-mi = 1,374.33 t-mi. Brenner delivery notes Sheet1 D6 holds the correct 1374.325389. Certify's component reads mass and distance, not this cell, so no emission depends on it.</t>
        </is>
      </c>
      <c r="G13" s="26" t="inlineStr">
        <is>
          <t>That was deleted. The inputs of kg and mi are the same. That's what matters</t>
        </is>
      </c>
      <c r="H13" s="30" t="inlineStr">
        <is>
          <t>Closed</t>
        </is>
      </c>
      <c r="I13" s="31" t="inlineStr">
        <is>
          <t>Closed. Re-read the file: the "Supp. t-mi" header and the 1,374,325.6 value are gone. Row 6 now holds Total Mass (kg) 34358.14 and 40, which are the inputs Certify uses.</t>
        </is>
      </c>
    </row>
    <row r="14" ht="81" customHeight="1">
      <c r="A14" s="23" t="inlineStr">
        <is>
          <t>C-05</t>
        </is>
      </c>
      <c r="B14" s="28" t="inlineStr">
        <is>
          <t>C</t>
        </is>
      </c>
      <c r="C14" s="25" t="inlineStr">
        <is>
          <t>all 31</t>
        </is>
      </c>
      <c r="D14" s="26" t="inlineStr">
        <is>
          <t>Certify Sources vs batch folder</t>
        </is>
      </c>
      <c r="E14" s="25" t="inlineStr">
        <is>
          <t>11 evidence files are present but named differently, so they can't be paired by name</t>
        </is>
      </c>
      <c r="F14" s="25" t="inlineStr">
        <is>
          <t>From the same 38-name match: '(1)' suffixes present in Certify and absent in the folder on three PP Summaries and the reverse on September 2025; 'CO to Chris Craig Distance (1).png' vs '(2).png'; 'Charm To Brenner Farms Distance (Google Maps, 196mi via I-70).png' vs 'Charm To Brenner Farms Distance.png'; both soil-temperature files carry a _src_ suffix and are .gsheet in the folder; the tracker and compost evidence are .gsheet in the folder against .xlsx in Certify.</t>
        </is>
      </c>
      <c r="G14" s="26" t="inlineStr">
        <is>
          <t>This shit doesn't matter</t>
        </is>
      </c>
      <c r="H14" s="30" t="inlineStr">
        <is>
          <t>Closed</t>
        </is>
      </c>
      <c r="I14" s="31" t="inlineStr">
        <is>
          <t>Closed on your response.</t>
        </is>
      </c>
    </row>
    <row r="15" ht="58" customHeight="1">
      <c r="A15" s="23" t="inlineStr">
        <is>
          <t>C-06</t>
        </is>
      </c>
      <c r="B15" s="28" t="inlineStr">
        <is>
          <t>C</t>
        </is>
      </c>
      <c r="C15" s="25" t="inlineStr">
        <is>
          <t>n/a — document</t>
        </is>
      </c>
      <c r="D15" s="26" t="inlineStr">
        <is>
          <t>Guidance §1 heading</t>
        </is>
      </c>
      <c r="E15" s="25" t="inlineStr">
        <is>
          <t>Heading names PP254, PP255, PP256, PP259</t>
        </is>
      </c>
      <c r="F15" s="25" t="inlineStr">
        <is>
          <t>Read the heading: 'Inventory Reconciliation Accounting (PP254, PP255, PP256, PP259)'. The reconciliation tab it points at carries rows for PP123, 251, 252, 253, 254, 255, 256, 259.</t>
        </is>
      </c>
      <c r="G15" s="26" t="inlineStr">
        <is>
          <t>Detail removed from header</t>
        </is>
      </c>
      <c r="H15" s="30" t="inlineStr">
        <is>
          <t>Closed</t>
        </is>
      </c>
      <c r="I15" s="31" t="inlineStr">
        <is>
          <t>Closed. Guidance §1 heading now reads "1. Inventory Reconciliation Accounting" with no period list.</t>
        </is>
      </c>
    </row>
    <row r="16" ht="58" customHeight="1">
      <c r="A16" s="23" t="inlineStr">
        <is>
          <t>C-07</t>
        </is>
      </c>
      <c r="B16" s="28" t="inlineStr">
        <is>
          <t>C</t>
        </is>
      </c>
      <c r="C16" s="25" t="inlineStr">
        <is>
          <t>n/a — document</t>
        </is>
      </c>
      <c r="D16" s="26" t="inlineStr">
        <is>
          <t>Guidance §1 tracker link</t>
        </is>
      </c>
      <c r="E16" s="25" t="inlineStr">
        <is>
          <t>Link resolves to a file titled V1, outside the batch folder</t>
        </is>
      </c>
      <c r="F16" s="25" t="inlineStr">
        <is>
          <t>Followed the link target: file 1n4oTHJ95UhDshtP78G57EFUhTTlqBx2KQSZM2YEW0Gk, title 'V1Biochar Removals Tracker — H1 2026', parent is the folder above the batch folder. The batch folder holds 'Biochar Removals Tracker — H1 2026' (1_wPBqXDl...).</t>
        </is>
      </c>
      <c r="G16" s="26" t="inlineStr">
        <is>
          <t>Link moved and updated</t>
        </is>
      </c>
      <c r="H16" s="30" t="inlineStr">
        <is>
          <t>Closed</t>
        </is>
      </c>
      <c r="I16" s="31" t="inlineStr">
        <is>
          <t>Closed. Guidance §1 now links "Inventory Tracker" to 1_wPBqXDl-6Y2jH08luhPAOMHL9rbqlZUQRp-radiSwI, the tracker in the batch folder, described as "included in the evidence package for this Reporting Period".</t>
        </is>
      </c>
    </row>
  </sheetData>
  <autoFilter ref="A4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14" customWidth="1" min="2" max="2"/>
    <col width="6" customWidth="1" min="3" max="3"/>
    <col width="15" customWidth="1" min="4" max="4"/>
    <col width="14" customWidth="1" min="5" max="5"/>
    <col width="9" customWidth="1" min="6" max="6"/>
    <col width="16" customWidth="1" min="7" max="7"/>
    <col width="15" customWidth="1" min="8" max="8"/>
    <col width="7" customWidth="1" min="9" max="9"/>
    <col width="15" customWidth="1" min="10" max="10"/>
    <col width="14" customWidth="1" min="11" max="11"/>
    <col width="11" customWidth="1" min="12" max="12"/>
  </cols>
  <sheetData>
    <row r="1" ht="17" customHeight="1">
      <c r="A1" s="1" t="inlineStr">
        <is>
          <t>All 31 entries — Certify against the delivery notes</t>
        </is>
      </c>
    </row>
    <row r="2">
      <c r="A2" s="2" t="inlineStr">
        <is>
          <t>Certify values as displayed (rounded); diff columns are formulas and carry up to ~1 kg of display rounding.</t>
        </is>
      </c>
    </row>
    <row r="3">
      <c r="A3" s="18" t="inlineStr">
        <is>
          <t>Tracker net vs Certify net is shown per row and in the total for reference. The tracker does not state that this column mirrors Certify — see B-02 on the Closed tab.</t>
        </is>
      </c>
    </row>
    <row r="4" ht="16" customHeight="1">
      <c r="A4" s="3" t="inlineStr">
        <is>
          <t>Removal ID</t>
        </is>
      </c>
      <c r="B4" s="3" t="inlineStr">
        <is>
          <t>Delivery</t>
        </is>
      </c>
      <c r="C4" s="3" t="inlineStr">
        <is>
          <t>PP</t>
        </is>
      </c>
      <c r="D4" s="3" t="inlineStr">
        <is>
          <t>Certify dry (kg)</t>
        </is>
      </c>
      <c r="E4" s="3" t="inlineStr">
        <is>
          <t>Note dry (kg)</t>
        </is>
      </c>
      <c r="F4" s="3" t="inlineStr">
        <is>
          <t>Diff</t>
        </is>
      </c>
      <c r="G4" s="3" t="inlineStr">
        <is>
          <t>Certify pyro (kg)</t>
        </is>
      </c>
      <c r="H4" s="3" t="inlineStr">
        <is>
          <t>Note pyro (kg)</t>
        </is>
      </c>
      <c r="I4" s="3" t="inlineStr">
        <is>
          <t>CI</t>
        </is>
      </c>
      <c r="J4" s="3" t="inlineStr">
        <is>
          <t>Tracker net (kg)</t>
        </is>
      </c>
      <c r="K4" s="3" t="inlineStr">
        <is>
          <t>Certify net (t)</t>
        </is>
      </c>
      <c r="L4" s="3" t="inlineStr">
        <is>
          <t>Net diff (t)</t>
        </is>
      </c>
    </row>
    <row r="5" ht="16" customHeight="1">
      <c r="A5" s="4" t="inlineStr">
        <is>
          <t>rmv_1KYA6ANEE1S0PW7F</t>
        </is>
      </c>
      <c r="B5" s="4" t="inlineStr">
        <is>
          <t>Brenner 1/20</t>
        </is>
      </c>
      <c r="C5" s="4" t="n">
        <v>256</v>
      </c>
      <c r="D5" s="6" t="n">
        <v>2487</v>
      </c>
      <c r="E5" s="7" t="n">
        <v>2487.126</v>
      </c>
      <c r="F5" s="8">
        <f>D5-E5</f>
        <v/>
      </c>
      <c r="G5" s="6" t="n">
        <v>1174</v>
      </c>
      <c r="H5" s="9" t="n">
        <v>1174.35</v>
      </c>
      <c r="I5" s="8" t="n">
        <v>1.29</v>
      </c>
      <c r="J5" s="9" t="n">
        <v>129.88</v>
      </c>
      <c r="K5" s="8" t="n">
        <v>0.11</v>
      </c>
      <c r="L5" s="10">
        <f>J5/1000-K5</f>
        <v/>
      </c>
    </row>
    <row r="6" ht="16" customHeight="1">
      <c r="A6" s="4" t="inlineStr">
        <is>
          <t>rmv_1KY02PC6H1S0D393</t>
        </is>
      </c>
      <c r="B6" s="4" t="inlineStr">
        <is>
          <t>Brenner 1/20</t>
        </is>
      </c>
      <c r="C6" s="4" t="n">
        <v>257</v>
      </c>
      <c r="D6" s="6" t="n">
        <v>4771</v>
      </c>
      <c r="E6" s="7" t="n">
        <v>4770.527</v>
      </c>
      <c r="F6" s="8">
        <f>D6-E6</f>
        <v/>
      </c>
      <c r="G6" s="6" t="n">
        <v>5157</v>
      </c>
      <c r="H6" s="9" t="n">
        <v>5157.326</v>
      </c>
      <c r="I6" s="8" t="n">
        <v>1.29</v>
      </c>
      <c r="J6" s="9" t="n">
        <v>743.58</v>
      </c>
      <c r="K6" s="8" t="n">
        <v>0.6899999999999999</v>
      </c>
      <c r="L6" s="10">
        <f>J6/1000-K6</f>
        <v/>
      </c>
    </row>
    <row r="7" ht="16" customHeight="1">
      <c r="A7" s="4" t="inlineStr">
        <is>
          <t>rmv_1KY02PYB11S0N221</t>
        </is>
      </c>
      <c r="B7" s="4" t="inlineStr">
        <is>
          <t>Brenner 1/20</t>
        </is>
      </c>
      <c r="C7" s="4" t="n">
        <v>258</v>
      </c>
      <c r="D7" s="6" t="n">
        <v>763</v>
      </c>
      <c r="E7" s="7" t="n">
        <v>763.369</v>
      </c>
      <c r="F7" s="8">
        <f>D7-E7</f>
        <v/>
      </c>
      <c r="G7" s="6" t="n">
        <v>822</v>
      </c>
      <c r="H7" s="9" t="n">
        <v>821.711</v>
      </c>
      <c r="I7" s="8" t="n">
        <v>1.18</v>
      </c>
      <c r="J7" s="9" t="n">
        <v>1204.08</v>
      </c>
      <c r="K7" s="8" t="n">
        <v>1.19</v>
      </c>
      <c r="L7" s="10">
        <f>J7/1000-K7</f>
        <v/>
      </c>
    </row>
    <row r="8" ht="16" customHeight="1">
      <c r="A8" s="4" t="inlineStr">
        <is>
          <t>rmv_1KY57NCC21S0TVWC</t>
        </is>
      </c>
      <c r="B8" s="4" t="inlineStr">
        <is>
          <t>Brenner 3/11</t>
        </is>
      </c>
      <c r="C8" s="4" t="n">
        <v>256</v>
      </c>
      <c r="D8" s="6" t="n">
        <v>116</v>
      </c>
      <c r="E8" s="7" t="n">
        <v>115.952</v>
      </c>
      <c r="F8" s="8">
        <f>D8-E8</f>
        <v/>
      </c>
      <c r="G8" s="6" t="n">
        <v>0</v>
      </c>
      <c r="H8" s="9" t="n">
        <v>0</v>
      </c>
      <c r="I8" s="8" t="n">
        <v>0</v>
      </c>
      <c r="J8" s="9" t="n">
        <v>309.54</v>
      </c>
      <c r="K8" s="8" t="n">
        <v>0.31</v>
      </c>
      <c r="L8" s="10">
        <f>J8/1000-K8</f>
        <v/>
      </c>
    </row>
    <row r="9" ht="16" customHeight="1">
      <c r="A9" s="4" t="inlineStr">
        <is>
          <t>rmv_1KY57M9F81S03MK6</t>
        </is>
      </c>
      <c r="B9" s="4" t="inlineStr">
        <is>
          <t>Brenner 3/11</t>
        </is>
      </c>
      <c r="C9" s="4" t="n">
        <v>257</v>
      </c>
      <c r="D9" s="6" t="n">
        <v>572</v>
      </c>
      <c r="E9" s="7" t="n">
        <v>572.333</v>
      </c>
      <c r="F9" s="8">
        <f>D9-E9</f>
        <v/>
      </c>
      <c r="G9" s="6" t="n">
        <v>619</v>
      </c>
      <c r="H9" s="9" t="n">
        <v>618.739</v>
      </c>
      <c r="I9" s="8" t="n">
        <v>1.29</v>
      </c>
      <c r="J9" s="9" t="n">
        <v>822.08</v>
      </c>
      <c r="K9" s="8" t="n">
        <v>0.8100000000000001</v>
      </c>
      <c r="L9" s="10">
        <f>J9/1000-K9</f>
        <v/>
      </c>
    </row>
    <row r="10" ht="16" customHeight="1">
      <c r="A10" s="4" t="inlineStr">
        <is>
          <t>rmv_1KY57MT101S0BKC4</t>
        </is>
      </c>
      <c r="B10" s="4" t="inlineStr">
        <is>
          <t>Brenner 3/11</t>
        </is>
      </c>
      <c r="C10" s="4" t="n">
        <v>258</v>
      </c>
      <c r="D10" s="6" t="n">
        <v>805</v>
      </c>
      <c r="E10" s="7" t="n">
        <v>804.732</v>
      </c>
      <c r="F10" s="8">
        <f>D10-E10</f>
        <v/>
      </c>
      <c r="G10" s="6" t="n">
        <v>866</v>
      </c>
      <c r="H10" s="9" t="n">
        <v>866.234</v>
      </c>
      <c r="I10" s="8" t="n">
        <v>1.18</v>
      </c>
      <c r="J10" s="9" t="n">
        <v>1272.05</v>
      </c>
      <c r="K10" s="8" t="n">
        <v>1.26</v>
      </c>
      <c r="L10" s="10">
        <f>J10/1000-K10</f>
        <v/>
      </c>
    </row>
    <row r="11" ht="16" customHeight="1">
      <c r="A11" s="4" t="inlineStr">
        <is>
          <t>rmv_1KY5G7F3N1S0MPZX</t>
        </is>
      </c>
      <c r="B11" s="4" t="inlineStr">
        <is>
          <t>Brenner 3/11</t>
        </is>
      </c>
      <c r="C11" s="4" t="n">
        <v>259</v>
      </c>
      <c r="D11" s="6" t="n">
        <v>3806</v>
      </c>
      <c r="E11" s="7" t="n">
        <v>3805.986</v>
      </c>
      <c r="F11" s="8">
        <f>D11-E11</f>
        <v/>
      </c>
      <c r="G11" s="6" t="n">
        <v>3868</v>
      </c>
      <c r="H11" s="9" t="n">
        <v>3868</v>
      </c>
      <c r="I11" s="8" t="n">
        <v>1.43</v>
      </c>
      <c r="J11" s="9" t="n">
        <v>4137.65</v>
      </c>
      <c r="K11" s="8" t="n">
        <v>4.11</v>
      </c>
      <c r="L11" s="10">
        <f>J11/1000-K11</f>
        <v/>
      </c>
    </row>
    <row r="12" ht="16" customHeight="1">
      <c r="A12" s="4" t="inlineStr">
        <is>
          <t>rmv_1KY38KE1C1S03T2H</t>
        </is>
      </c>
      <c r="B12" s="4" t="inlineStr">
        <is>
          <t>Brenner 3/20</t>
        </is>
      </c>
      <c r="C12" s="4" t="n">
        <v>257</v>
      </c>
      <c r="D12" s="6" t="n">
        <v>231</v>
      </c>
      <c r="E12" s="7" t="n">
        <v>230.992</v>
      </c>
      <c r="F12" s="8">
        <f>D12-E12</f>
        <v/>
      </c>
      <c r="G12" s="6" t="n">
        <v>250</v>
      </c>
      <c r="H12" s="9" t="n">
        <v>249.721</v>
      </c>
      <c r="I12" s="8" t="n">
        <v>1.29</v>
      </c>
      <c r="J12" s="9" t="n">
        <v>332.28</v>
      </c>
      <c r="K12" s="8" t="n">
        <v>0.33</v>
      </c>
      <c r="L12" s="10">
        <f>J12/1000-K12</f>
        <v/>
      </c>
    </row>
    <row r="13" ht="16" customHeight="1">
      <c r="A13" s="4" t="inlineStr">
        <is>
          <t>rmv_1KYA75EW41S07JMK</t>
        </is>
      </c>
      <c r="B13" s="4" t="inlineStr">
        <is>
          <t>Brenner 3/20</t>
        </is>
      </c>
      <c r="C13" s="4" t="n">
        <v>258</v>
      </c>
      <c r="D13" s="6" t="n">
        <v>3154</v>
      </c>
      <c r="E13" s="7" t="n">
        <v>3154.159</v>
      </c>
      <c r="F13" s="8">
        <f>D13-E13</f>
        <v/>
      </c>
      <c r="G13" s="6" t="n">
        <v>3395</v>
      </c>
      <c r="H13" s="9" t="n">
        <v>3395.219</v>
      </c>
      <c r="I13" s="8" t="n">
        <v>1.18</v>
      </c>
      <c r="J13" s="9" t="n">
        <v>4950</v>
      </c>
      <c r="K13" s="8" t="n">
        <v>4.88</v>
      </c>
      <c r="L13" s="10">
        <f>J13/1000-K13</f>
        <v/>
      </c>
    </row>
    <row r="14" ht="16" customHeight="1">
      <c r="A14" s="4" t="inlineStr">
        <is>
          <t>rmv_1KYA74ZX41S0H0D1</t>
        </is>
      </c>
      <c r="B14" s="4" t="inlineStr">
        <is>
          <t>Brenner 3/20</t>
        </is>
      </c>
      <c r="C14" s="4" t="n">
        <v>254</v>
      </c>
      <c r="D14" s="6" t="n">
        <v>452</v>
      </c>
      <c r="E14" s="7" t="n">
        <v>451.913</v>
      </c>
      <c r="F14" s="8">
        <f>D14-E14</f>
        <v/>
      </c>
      <c r="G14" s="4" t="inlineStr">
        <is>
          <t>n/a</t>
        </is>
      </c>
      <c r="H14" s="9" t="n">
        <v>0</v>
      </c>
      <c r="I14" s="4" t="inlineStr">
        <is>
          <t>n/a</t>
        </is>
      </c>
      <c r="J14" s="9" t="n">
        <v>640.42</v>
      </c>
      <c r="K14" s="8" t="n">
        <v>1.36</v>
      </c>
      <c r="L14" s="10">
        <f>J14/1000-K14</f>
        <v/>
      </c>
    </row>
    <row r="15" ht="16" customHeight="1">
      <c r="A15" s="4" t="inlineStr">
        <is>
          <t>rmv_1KWCSDFQF1S0CSCB</t>
        </is>
      </c>
      <c r="B15" s="4" t="inlineStr">
        <is>
          <t>CC D1 5/30</t>
        </is>
      </c>
      <c r="C15" s="4" t="n">
        <v>123</v>
      </c>
      <c r="D15" s="6" t="n">
        <v>126</v>
      </c>
      <c r="E15" s="7" t="n">
        <v>126.049</v>
      </c>
      <c r="F15" s="8">
        <f>D15-E15</f>
        <v/>
      </c>
      <c r="G15" s="6" t="n">
        <v>147</v>
      </c>
      <c r="H15" s="9" t="n">
        <v>146.97</v>
      </c>
      <c r="I15" s="8" t="n">
        <v>0.84</v>
      </c>
      <c r="J15" s="9" t="n">
        <v>213.04</v>
      </c>
      <c r="K15" s="8" t="n">
        <v>0.21</v>
      </c>
      <c r="L15" s="10">
        <f>J15/1000-K15</f>
        <v/>
      </c>
    </row>
    <row r="16" ht="16" customHeight="1">
      <c r="A16" s="4" t="inlineStr">
        <is>
          <t>rmv_1KWCY0G8W1S0931T</t>
        </is>
      </c>
      <c r="B16" s="4" t="inlineStr">
        <is>
          <t>CC D1 5/30</t>
        </is>
      </c>
      <c r="C16" s="4" t="n">
        <v>251</v>
      </c>
      <c r="D16" s="6" t="n">
        <v>259</v>
      </c>
      <c r="E16" s="7" t="n">
        <v>259.363</v>
      </c>
      <c r="F16" s="8">
        <f>D16-E16</f>
        <v/>
      </c>
      <c r="G16" s="6" t="n">
        <v>294</v>
      </c>
      <c r="H16" s="9" t="n">
        <v>293.941</v>
      </c>
      <c r="I16" s="8" t="n">
        <v>1.12</v>
      </c>
      <c r="J16" s="9" t="n">
        <v>363.23</v>
      </c>
      <c r="K16" s="8" t="n">
        <v>0.35</v>
      </c>
      <c r="L16" s="10">
        <f>J16/1000-K16</f>
        <v/>
      </c>
    </row>
    <row r="17" ht="16" customHeight="1">
      <c r="A17" s="4" t="inlineStr">
        <is>
          <t>rmv_1KWCC0FY31S0QD5T</t>
        </is>
      </c>
      <c r="B17" s="4" t="inlineStr">
        <is>
          <t>CC D1 5/30</t>
        </is>
      </c>
      <c r="C17" s="4" t="n">
        <v>252</v>
      </c>
      <c r="D17" s="6" t="n">
        <v>4690</v>
      </c>
      <c r="E17" s="7" t="n">
        <v>4690</v>
      </c>
      <c r="F17" s="8">
        <f>D17-E17</f>
        <v/>
      </c>
      <c r="G17" s="6" t="n">
        <v>5438</v>
      </c>
      <c r="H17" s="9" t="n">
        <v>5437.902</v>
      </c>
      <c r="I17" s="8" t="n">
        <v>1.04</v>
      </c>
      <c r="J17" s="9" t="n">
        <v>1842.59</v>
      </c>
      <c r="K17" s="8" t="n">
        <v>3.4</v>
      </c>
      <c r="L17" s="10">
        <f>J17/1000-K17</f>
        <v/>
      </c>
    </row>
    <row r="18" ht="16" customHeight="1">
      <c r="A18" s="4" t="inlineStr">
        <is>
          <t>rmv_1KWCZP1M61S02KMH</t>
        </is>
      </c>
      <c r="B18" s="4" t="inlineStr">
        <is>
          <t>CC D1 5/30</t>
        </is>
      </c>
      <c r="C18" s="4" t="n">
        <v>255</v>
      </c>
      <c r="D18" s="6" t="n">
        <v>261</v>
      </c>
      <c r="E18" s="7" t="n">
        <v>260.531</v>
      </c>
      <c r="F18" s="8">
        <f>D18-E18</f>
        <v/>
      </c>
      <c r="G18" s="6" t="n">
        <v>294</v>
      </c>
      <c r="H18" s="9" t="n">
        <v>293.941</v>
      </c>
      <c r="I18" s="8" t="n">
        <v>1.29</v>
      </c>
      <c r="J18" s="9" t="n">
        <v>298.65</v>
      </c>
      <c r="K18" s="8" t="n">
        <v>0.29</v>
      </c>
      <c r="L18" s="10">
        <f>J18/1000-K18</f>
        <v/>
      </c>
    </row>
    <row r="19" ht="16" customHeight="1">
      <c r="A19" s="4" t="inlineStr">
        <is>
          <t>rmv_1KXE4AHAG1S0AK0A</t>
        </is>
      </c>
      <c r="B19" s="4" t="inlineStr">
        <is>
          <t>CC D2 5/30</t>
        </is>
      </c>
      <c r="C19" s="4" t="n">
        <v>123</v>
      </c>
      <c r="D19" s="6" t="n">
        <v>126</v>
      </c>
      <c r="E19" s="7" t="n">
        <v>126.234</v>
      </c>
      <c r="F19" s="8">
        <f>D19-E19</f>
        <v/>
      </c>
      <c r="G19" s="6" t="n">
        <v>147</v>
      </c>
      <c r="H19" s="9" t="n">
        <v>147.186</v>
      </c>
      <c r="I19" s="8" t="n">
        <v>0.84</v>
      </c>
      <c r="J19" s="9" t="n">
        <v>213.36</v>
      </c>
      <c r="K19" s="8" t="n">
        <v>0.21</v>
      </c>
      <c r="L19" s="10">
        <f>J19/1000-K19</f>
        <v/>
      </c>
    </row>
    <row r="20" ht="16" customHeight="1">
      <c r="A20" s="4" t="inlineStr">
        <is>
          <t>rmv_1KXEA1TH21S04EG0</t>
        </is>
      </c>
      <c r="B20" s="4" t="inlineStr">
        <is>
          <t>CC D2 5/30</t>
        </is>
      </c>
      <c r="C20" s="4" t="n">
        <v>251</v>
      </c>
      <c r="D20" s="6" t="n">
        <v>2987</v>
      </c>
      <c r="E20" s="7" t="n">
        <v>2987.062</v>
      </c>
      <c r="F20" s="8">
        <f>D20-E20</f>
        <v/>
      </c>
      <c r="G20" s="6" t="n">
        <v>3385</v>
      </c>
      <c r="H20" s="9" t="n">
        <v>3385.285</v>
      </c>
      <c r="I20" s="8" t="n">
        <v>1.12</v>
      </c>
      <c r="J20" s="9" t="n">
        <v>4183.34</v>
      </c>
      <c r="K20" s="8" t="n">
        <v>4.04</v>
      </c>
      <c r="L20" s="10">
        <f>J20/1000-K20</f>
        <v/>
      </c>
    </row>
    <row r="21" ht="16" customHeight="1">
      <c r="A21" s="4" t="inlineStr">
        <is>
          <t>rmv_1KXEBV2PW1S0A79A</t>
        </is>
      </c>
      <c r="B21" s="4" t="inlineStr">
        <is>
          <t>CC D2 5/30</t>
        </is>
      </c>
      <c r="C21" s="4" t="n">
        <v>252</v>
      </c>
      <c r="D21" s="6" t="n">
        <v>1777</v>
      </c>
      <c r="E21" s="7" t="n">
        <v>1777.203</v>
      </c>
      <c r="F21" s="8">
        <f>D21-E21</f>
        <v/>
      </c>
      <c r="G21" s="6" t="n">
        <v>2061</v>
      </c>
      <c r="H21" s="9" t="n">
        <v>2060.609</v>
      </c>
      <c r="I21" s="8" t="n">
        <v>1.04</v>
      </c>
      <c r="J21" s="9" t="n">
        <v>2593.19</v>
      </c>
      <c r="K21" s="8" t="n">
        <v>2.48</v>
      </c>
      <c r="L21" s="10">
        <f>J21/1000-K21</f>
        <v/>
      </c>
    </row>
    <row r="22" ht="16" customHeight="1">
      <c r="A22" s="4" t="inlineStr">
        <is>
          <t>rmv_1KXECAV741S0SM2Q</t>
        </is>
      </c>
      <c r="B22" s="4" t="inlineStr">
        <is>
          <t>CC D2 5/30</t>
        </is>
      </c>
      <c r="C22" s="4" t="n">
        <v>253</v>
      </c>
      <c r="D22" s="6" t="n">
        <v>250</v>
      </c>
      <c r="E22" s="7" t="n">
        <v>250.232</v>
      </c>
      <c r="F22" s="8">
        <f>D22-E22</f>
        <v/>
      </c>
      <c r="G22" s="6" t="n">
        <v>294</v>
      </c>
      <c r="H22" s="9" t="n">
        <v>294.373</v>
      </c>
      <c r="I22" s="8" t="n">
        <v>1.1</v>
      </c>
      <c r="J22" s="9" t="n">
        <v>345.08</v>
      </c>
      <c r="K22" s="8" t="n">
        <v>0.32</v>
      </c>
      <c r="L22" s="10">
        <f>J22/1000-K22</f>
        <v/>
      </c>
    </row>
    <row r="23" ht="16" customHeight="1">
      <c r="A23" s="4" t="inlineStr">
        <is>
          <t>rmv_1KXKGW8131S0DAD9</t>
        </is>
      </c>
      <c r="B23" s="4" t="inlineStr">
        <is>
          <t>CC D2 5/30</t>
        </is>
      </c>
      <c r="C23" s="4" t="n">
        <v>254</v>
      </c>
      <c r="D23" s="6" t="n">
        <v>257</v>
      </c>
      <c r="E23" s="7" t="n">
        <v>257.474</v>
      </c>
      <c r="F23" s="8">
        <f>D23-E23</f>
        <v/>
      </c>
      <c r="G23" s="4" t="inlineStr">
        <is>
          <t>n/a</t>
        </is>
      </c>
      <c r="H23" s="9" t="n">
        <v>0</v>
      </c>
      <c r="I23" s="4" t="inlineStr">
        <is>
          <t>n/a</t>
        </is>
      </c>
      <c r="J23" s="9" t="n">
        <v>641.0700000000001</v>
      </c>
      <c r="K23" s="8" t="n">
        <v>0.77</v>
      </c>
      <c r="L23" s="10">
        <f>J23/1000-K23</f>
        <v/>
      </c>
    </row>
    <row r="24" ht="16" customHeight="1">
      <c r="A24" s="4" t="inlineStr">
        <is>
          <t>rmv_1KXEHAAVZ1S0VXRD</t>
        </is>
      </c>
      <c r="B24" s="4" t="inlineStr">
        <is>
          <t>CC D3 6/6</t>
        </is>
      </c>
      <c r="C24" s="4" t="n">
        <v>123</v>
      </c>
      <c r="D24" s="6" t="n">
        <v>373</v>
      </c>
      <c r="E24" s="7" t="n">
        <v>372.88</v>
      </c>
      <c r="F24" s="8">
        <f>D24-E24</f>
        <v/>
      </c>
      <c r="G24" s="6" t="n">
        <v>435</v>
      </c>
      <c r="H24" s="9" t="n">
        <v>434.77</v>
      </c>
      <c r="I24" s="8" t="n">
        <v>0.84</v>
      </c>
      <c r="J24" s="9" t="n">
        <v>630.97</v>
      </c>
      <c r="K24" s="8" t="n">
        <v>0.62</v>
      </c>
      <c r="L24" s="10">
        <f>J24/1000-K24</f>
        <v/>
      </c>
    </row>
    <row r="25" ht="16" customHeight="1">
      <c r="A25" s="4" t="inlineStr">
        <is>
          <t>rmv_1KXKP77Q21S08Q74</t>
        </is>
      </c>
      <c r="B25" s="4" t="inlineStr">
        <is>
          <t>CC D3 6/6</t>
        </is>
      </c>
      <c r="C25" s="4" t="n">
        <v>252</v>
      </c>
      <c r="D25" s="6" t="n">
        <v>375</v>
      </c>
      <c r="E25" s="7" t="n">
        <v>374.974</v>
      </c>
      <c r="F25" s="8">
        <f>D25-E25</f>
        <v/>
      </c>
      <c r="G25" s="6" t="n">
        <v>435</v>
      </c>
      <c r="H25" s="9" t="n">
        <v>434.77</v>
      </c>
      <c r="I25" s="8" t="n">
        <v>1.04</v>
      </c>
      <c r="J25" s="9" t="n">
        <v>547.89</v>
      </c>
      <c r="K25" s="8" t="n">
        <v>0.52</v>
      </c>
      <c r="L25" s="10">
        <f>J25/1000-K25</f>
        <v/>
      </c>
    </row>
    <row r="26" ht="16" customHeight="1">
      <c r="A26" s="4" t="inlineStr">
        <is>
          <t>rmv_1KXEJCGYM1S09J0R</t>
        </is>
      </c>
      <c r="B26" s="4" t="inlineStr">
        <is>
          <t>CC D3 6/6</t>
        </is>
      </c>
      <c r="C26" s="4" t="n">
        <v>253</v>
      </c>
      <c r="D26" s="6" t="n">
        <v>4076</v>
      </c>
      <c r="E26" s="7" t="n">
        <v>4076.141</v>
      </c>
      <c r="F26" s="8">
        <f>D26-E26</f>
        <v/>
      </c>
      <c r="G26" s="6" t="n">
        <v>5217</v>
      </c>
      <c r="H26" s="9" t="n">
        <v>5217.242</v>
      </c>
      <c r="I26" s="8" t="n">
        <v>1.1</v>
      </c>
      <c r="J26" s="9" t="n">
        <v>5628.03</v>
      </c>
      <c r="K26" s="8" t="n">
        <v>4.75</v>
      </c>
      <c r="L26" s="10">
        <f>J26/1000-K26</f>
        <v/>
      </c>
    </row>
    <row r="27" ht="16" customHeight="1">
      <c r="A27" s="4" t="inlineStr">
        <is>
          <t>rmv_1KXKGXJB61S01MAJ</t>
        </is>
      </c>
      <c r="B27" s="4" t="inlineStr">
        <is>
          <t>CC D3 6/6</t>
        </is>
      </c>
      <c r="C27" s="4" t="n">
        <v>254</v>
      </c>
      <c r="D27" s="6" t="n">
        <v>1141</v>
      </c>
      <c r="E27" s="7" t="n">
        <v>1140.82</v>
      </c>
      <c r="F27" s="8">
        <f>D27-E27</f>
        <v/>
      </c>
      <c r="G27" s="4" t="inlineStr">
        <is>
          <t>n/a</t>
        </is>
      </c>
      <c r="H27" s="9" t="n">
        <v>0</v>
      </c>
      <c r="I27" s="4" t="inlineStr">
        <is>
          <t>n/a</t>
        </is>
      </c>
      <c r="J27" s="9" t="n">
        <v>3449.36</v>
      </c>
      <c r="K27" s="8" t="n">
        <v>3.43</v>
      </c>
      <c r="L27" s="10">
        <f>J27/1000-K27</f>
        <v/>
      </c>
    </row>
    <row r="28" ht="16" customHeight="1">
      <c r="A28" s="4" t="inlineStr">
        <is>
          <t>rmv_1KXEJD28G1S07DZM</t>
        </is>
      </c>
      <c r="B28" s="4" t="inlineStr">
        <is>
          <t>CC D3 6/6</t>
        </is>
      </c>
      <c r="C28" s="4" t="n">
        <v>255</v>
      </c>
      <c r="D28" s="6" t="n">
        <v>1541</v>
      </c>
      <c r="E28" s="7" t="n">
        <v>1541.417</v>
      </c>
      <c r="F28" s="8">
        <f>D28-E28</f>
        <v/>
      </c>
      <c r="G28" s="6" t="n">
        <v>560</v>
      </c>
      <c r="H28" s="9" t="n">
        <v>559.98</v>
      </c>
      <c r="I28" s="8" t="n">
        <v>1.29</v>
      </c>
      <c r="J28" s="9" t="n">
        <v>2907.3</v>
      </c>
      <c r="K28" s="8" t="n">
        <v>3.23</v>
      </c>
      <c r="L28" s="10">
        <f>J28/1000-K28</f>
        <v/>
      </c>
    </row>
    <row r="29" ht="16" customHeight="1">
      <c r="A29" s="4" t="inlineStr">
        <is>
          <t>rmv_1KXERCP431S0TG4A</t>
        </is>
      </c>
      <c r="B29" s="4" t="inlineStr">
        <is>
          <t>CC D4 6/6</t>
        </is>
      </c>
      <c r="C29" s="4" t="n">
        <v>251</v>
      </c>
      <c r="D29" s="6" t="n">
        <v>1836</v>
      </c>
      <c r="E29" s="7" t="n">
        <v>1836.18</v>
      </c>
      <c r="F29" s="8">
        <f>D29-E29</f>
        <v/>
      </c>
      <c r="G29" s="6" t="n">
        <v>2081</v>
      </c>
      <c r="H29" s="9" t="n">
        <v>2080.972</v>
      </c>
      <c r="I29" s="8" t="n">
        <v>1.12</v>
      </c>
      <c r="J29" s="9" t="n">
        <v>2574.83</v>
      </c>
      <c r="K29" s="8" t="n">
        <v>2.49</v>
      </c>
      <c r="L29" s="10">
        <f>J29/1000-K29</f>
        <v/>
      </c>
    </row>
    <row r="30" ht="16" customHeight="1">
      <c r="A30" s="4" t="inlineStr">
        <is>
          <t>rmv_1KXERD7151S0RC36</t>
        </is>
      </c>
      <c r="B30" s="4" t="inlineStr">
        <is>
          <t>CC D4 6/6</t>
        </is>
      </c>
      <c r="C30" s="4" t="n">
        <v>252</v>
      </c>
      <c r="D30" s="6" t="n">
        <v>359</v>
      </c>
      <c r="E30" s="7" t="n">
        <v>358.953</v>
      </c>
      <c r="F30" s="8">
        <f>D30-E30</f>
        <v/>
      </c>
      <c r="G30" s="6" t="n">
        <v>51</v>
      </c>
      <c r="H30" s="9" t="n">
        <v>50.72</v>
      </c>
      <c r="I30" s="8" t="n">
        <v>1.04</v>
      </c>
      <c r="J30" s="9" t="n">
        <v>524.42</v>
      </c>
      <c r="K30" s="8" t="n">
        <v>0.88</v>
      </c>
      <c r="L30" s="10">
        <f>J30/1000-K30</f>
        <v/>
      </c>
    </row>
    <row r="31" ht="16" customHeight="1">
      <c r="A31" s="4" t="inlineStr">
        <is>
          <t>rmv_1KXGK2Y3V1S0HT4A</t>
        </is>
      </c>
      <c r="B31" s="4" t="inlineStr">
        <is>
          <t>CC D4 6/6</t>
        </is>
      </c>
      <c r="C31" s="4" t="n">
        <v>253</v>
      </c>
      <c r="D31" s="6" t="n">
        <v>3115</v>
      </c>
      <c r="E31" s="7" t="n">
        <v>3114.518</v>
      </c>
      <c r="F31" s="8">
        <f>D31-E31</f>
        <v/>
      </c>
      <c r="G31" s="6" t="n">
        <v>3954</v>
      </c>
      <c r="H31" s="9" t="n">
        <v>3953.848</v>
      </c>
      <c r="I31" s="8" t="n">
        <v>1.1</v>
      </c>
      <c r="J31" s="9" t="n">
        <v>4299.77</v>
      </c>
      <c r="K31" s="8" t="n">
        <v>3.66</v>
      </c>
      <c r="L31" s="10">
        <f>J31/1000-K31</f>
        <v/>
      </c>
    </row>
    <row r="32" ht="16" customHeight="1">
      <c r="A32" s="4" t="inlineStr">
        <is>
          <t>rmv_1KXGK3HP81S0FP36</t>
        </is>
      </c>
      <c r="B32" s="4" t="inlineStr">
        <is>
          <t>CC D4 6/6</t>
        </is>
      </c>
      <c r="C32" s="4" t="n">
        <v>255</v>
      </c>
      <c r="D32" s="6" t="n">
        <v>184</v>
      </c>
      <c r="E32" s="7" t="n">
        <v>184.445</v>
      </c>
      <c r="F32" s="8">
        <f>D32-E32</f>
        <v/>
      </c>
      <c r="G32" s="6" t="n">
        <v>0</v>
      </c>
      <c r="H32" s="9" t="n">
        <v>0</v>
      </c>
      <c r="I32" s="8" t="n">
        <v>0</v>
      </c>
      <c r="J32" s="9" t="n">
        <v>473.97</v>
      </c>
      <c r="K32" s="8" t="n">
        <v>0.47</v>
      </c>
      <c r="L32" s="10">
        <f>J32/1000-K32</f>
        <v/>
      </c>
    </row>
    <row r="33" ht="16" customHeight="1">
      <c r="A33" s="4" t="inlineStr">
        <is>
          <t>rmv_1KXGK45BZ1S0DJ22</t>
        </is>
      </c>
      <c r="B33" s="4" t="inlineStr">
        <is>
          <t>CC D4 6/6</t>
        </is>
      </c>
      <c r="C33" s="4" t="n">
        <v>256</v>
      </c>
      <c r="D33" s="6" t="n">
        <v>142</v>
      </c>
      <c r="E33" s="7" t="n">
        <v>142.242</v>
      </c>
      <c r="F33" s="8">
        <f>D33-E33</f>
        <v/>
      </c>
      <c r="G33" s="6" t="n">
        <v>0</v>
      </c>
      <c r="H33" s="9" t="n">
        <v>0</v>
      </c>
      <c r="I33" s="8" t="n">
        <v>0</v>
      </c>
      <c r="J33" s="9" t="n">
        <v>381.36</v>
      </c>
      <c r="K33" s="8" t="n">
        <v>0.38</v>
      </c>
      <c r="L33" s="10">
        <f>J33/1000-K33</f>
        <v/>
      </c>
    </row>
    <row r="34" ht="16" customHeight="1">
      <c r="A34" s="4" t="inlineStr">
        <is>
          <t>rmv_1KXGK4R131S095PN</t>
        </is>
      </c>
      <c r="B34" s="4" t="inlineStr">
        <is>
          <t>CC D4 6/6</t>
        </is>
      </c>
      <c r="C34" s="4" t="n">
        <v>257</v>
      </c>
      <c r="D34" s="6" t="n">
        <v>966</v>
      </c>
      <c r="E34" s="7" t="n">
        <v>966.28</v>
      </c>
      <c r="F34" s="8">
        <f>D34-E34</f>
        <v/>
      </c>
      <c r="G34" s="6" t="n">
        <v>1045</v>
      </c>
      <c r="H34" s="9" t="n">
        <v>1044.627</v>
      </c>
      <c r="I34" s="8" t="n">
        <v>1.29</v>
      </c>
      <c r="J34" s="9" t="n">
        <v>1400.74</v>
      </c>
      <c r="K34" s="8" t="n">
        <v>1.39</v>
      </c>
      <c r="L34" s="10">
        <f>J34/1000-K34</f>
        <v/>
      </c>
    </row>
    <row r="35" ht="16" customHeight="1">
      <c r="A35" s="4" t="inlineStr">
        <is>
          <t>rmv_1KXGK5BMT1S0H4FK</t>
        </is>
      </c>
      <c r="B35" s="4" t="inlineStr">
        <is>
          <t>CC D4 6/6</t>
        </is>
      </c>
      <c r="C35" s="4" t="n">
        <v>258</v>
      </c>
      <c r="D35" s="6" t="n">
        <v>330</v>
      </c>
      <c r="E35" s="7" t="n">
        <v>329.86</v>
      </c>
      <c r="F35" s="8">
        <f>D35-E35</f>
        <v/>
      </c>
      <c r="G35" s="6" t="n">
        <v>355</v>
      </c>
      <c r="H35" s="9" t="n">
        <v>355.07</v>
      </c>
      <c r="I35" s="8" t="n">
        <v>1.18</v>
      </c>
      <c r="J35" s="9" t="n">
        <v>521.3</v>
      </c>
      <c r="K35" s="8" t="n">
        <v>0.52</v>
      </c>
      <c r="L35" s="10">
        <f>J35/1000-K35</f>
        <v/>
      </c>
    </row>
    <row r="36" ht="16" customHeight="1">
      <c r="A36" s="3" t="inlineStr">
        <is>
          <t>TOTAL</t>
        </is>
      </c>
      <c r="B36" s="3" t="n"/>
      <c r="C36" s="3" t="n"/>
      <c r="D36" s="11">
        <f>SUM(D5:D35)</f>
        <v/>
      </c>
      <c r="E36" s="12">
        <f>SUM(E5:E35)</f>
        <v/>
      </c>
      <c r="F36" s="13">
        <f>SUM(F5:F35)</f>
        <v/>
      </c>
      <c r="G36" s="3" t="n"/>
      <c r="H36" s="3" t="n"/>
      <c r="I36" s="3" t="n"/>
      <c r="J36" s="14">
        <f>SUM(J5:J35)</f>
        <v/>
      </c>
      <c r="K36" s="13">
        <f>SUM(K5:K35)</f>
        <v/>
      </c>
      <c r="L36" s="15">
        <f>SUM(L5:L35)</f>
        <v/>
      </c>
    </row>
  </sheetData>
  <autoFilter ref="A4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32" customWidth="1" min="1" max="1"/>
    <col width="40" customWidth="1" min="2" max="2"/>
    <col width="44" customWidth="1" min="3" max="3"/>
    <col width="36" customWidth="1" min="4" max="4"/>
  </cols>
  <sheetData>
    <row r="1" ht="17" customHeight="1">
      <c r="A1" s="1" t="inlineStr">
        <is>
          <t>Checks that reproduce exactly</t>
        </is>
      </c>
    </row>
    <row r="3" ht="16" customHeight="1">
      <c r="A3" s="3" t="inlineStr">
        <is>
          <t>Check</t>
        </is>
      </c>
      <c r="B3" s="3" t="inlineStr">
        <is>
          <t>Computed</t>
        </is>
      </c>
      <c r="C3" s="3" t="inlineStr">
        <is>
          <t>Stated in the package</t>
        </is>
      </c>
      <c r="D3" s="3" t="inlineStr">
        <is>
          <t>Result</t>
        </is>
      </c>
    </row>
    <row r="4" ht="26" customHeight="1">
      <c r="A4" s="4" t="inlineStr">
        <is>
          <t>Gross biochar sequestered, all 31</t>
        </is>
      </c>
      <c r="B4" s="4" t="inlineStr">
        <is>
          <t>42,329.947 kg</t>
        </is>
      </c>
      <c r="C4" s="4" t="inlineStr">
        <is>
          <t>GHG SR: 42,329.95</t>
        </is>
      </c>
      <c r="D4" s="4" t="inlineStr">
        <is>
          <t>Ties</t>
        </is>
      </c>
    </row>
    <row r="5" ht="26" customHeight="1">
      <c r="A5" s="4" t="inlineStr">
        <is>
          <t>Net removals, all 31</t>
        </is>
      </c>
      <c r="B5" s="4" t="inlineStr">
        <is>
          <t>49.46 t</t>
        </is>
      </c>
      <c r="C5" s="4" t="inlineStr">
        <is>
          <t>GHG SR: 49,455.92 kg</t>
        </is>
      </c>
      <c r="D5" s="4" t="inlineStr">
        <is>
          <t>Ties</t>
        </is>
      </c>
    </row>
    <row r="6" ht="26" customHeight="1">
      <c r="A6" s="4" t="inlineStr">
        <is>
          <t>BCU / emission reductions</t>
        </is>
      </c>
      <c r="B6" s="4" t="inlineStr">
        <is>
          <t>2,082.8512 kg (Certify export)</t>
        </is>
      </c>
      <c r="C6" s="4" t="inlineStr">
        <is>
          <t>GHG SR: 2,082.85 kg</t>
        </is>
      </c>
      <c r="D6" s="4" t="inlineStr">
        <is>
          <t>Ties exactly (Guidance disagrees - CAR-01)</t>
        </is>
      </c>
    </row>
    <row r="7" ht="26" customHeight="1">
      <c r="A7" s="4" t="inlineStr">
        <is>
          <t>Reconciliation burden</t>
        </is>
      </c>
      <c r="B7" s="4" t="inlineStr">
        <is>
          <t>6,135 + 5,000 + 3,137.17 = 14,272.17 kg</t>
        </is>
      </c>
      <c r="C7" s="4" t="inlineStr">
        <is>
          <t>GHG SR: 14.27 tCO2e</t>
        </is>
      </c>
      <c r="D7" s="4" t="inlineStr">
        <is>
          <t>Ties</t>
        </is>
      </c>
    </row>
    <row r="8" ht="26" customHeight="1">
      <c r="A8" s="4" t="inlineStr">
        <is>
          <t>Production draw per period</t>
        </is>
      </c>
      <c r="B8" s="4" t="inlineStr">
        <is>
          <t>Sum of Removals!O by PP</t>
        </is>
      </c>
      <c r="C8" s="4" t="inlineStr">
        <is>
          <t>Reconciliation tab col C, 8 periods</t>
        </is>
      </c>
      <c r="D8" s="4" t="inlineStr">
        <is>
          <t>Ties within 0.001 kg</t>
        </is>
      </c>
    </row>
    <row r="9" ht="26" customHeight="1">
      <c r="A9" s="4" t="inlineStr">
        <is>
          <t>3/11 bag-mass build</t>
        </is>
      </c>
      <c r="B9" s="4" t="inlineStr">
        <is>
          <t>203 kg/bag; 33 bags = 6,699 kg</t>
        </is>
      </c>
      <c r="C9" s="4" t="inlineStr">
        <is>
          <t>Certify: 6.699 t</t>
        </is>
      </c>
      <c r="D9" s="4" t="inlineStr">
        <is>
          <t>Ties</t>
        </is>
      </c>
    </row>
    <row r="10" ht="26" customHeight="1">
      <c r="A10" s="4" t="inlineStr">
        <is>
          <t>3/11 PP259 cap</t>
        </is>
      </c>
      <c r="B10" s="4" t="inlineStr">
        <is>
          <t>4,083.68 - 3,868 = 215.68 kg</t>
        </is>
      </c>
      <c r="C10" s="4" t="inlineStr">
        <is>
          <t>Tracker note: excess ~216 kg at 0 CI</t>
        </is>
      </c>
      <c r="D10" s="4" t="inlineStr">
        <is>
          <t>Ties</t>
        </is>
      </c>
    </row>
    <row r="11" ht="26" customHeight="1">
      <c r="A11" s="4" t="inlineStr">
        <is>
          <t>Brenner 1/20 scale ticket</t>
        </is>
      </c>
      <c r="B11" s="4" t="inlineStr">
        <is>
          <t>62,200 - 31,700 = 30,500 lb</t>
        </is>
      </c>
      <c r="C11" s="4" t="inlineStr">
        <is>
          <t>Delivery note B9</t>
        </is>
      </c>
      <c r="D11" s="4" t="inlineStr">
        <is>
          <t>Ties</t>
        </is>
      </c>
    </row>
    <row r="12" ht="26" customHeight="1">
      <c r="A12" s="4" t="inlineStr">
        <is>
          <t>Brenner 3/20 scale ticket</t>
        </is>
      </c>
      <c r="B12" s="4" t="inlineStr">
        <is>
          <t>58,760 - 34,100 = 24,660 lb</t>
        </is>
      </c>
      <c r="C12" s="4" t="inlineStr">
        <is>
          <t>Stratton ticket KF 23127</t>
        </is>
      </c>
      <c r="D12" s="4" t="inlineStr">
        <is>
          <t>Ties</t>
        </is>
      </c>
    </row>
    <row r="13" ht="26" customHeight="1">
      <c r="A13" s="4" t="inlineStr">
        <is>
          <t>CC D1 scale ticket</t>
        </is>
      </c>
      <c r="B13" s="4" t="inlineStr">
        <is>
          <t>54,240 - 34,960 = 19,280 lb</t>
        </is>
      </c>
      <c r="C13" s="4" t="inlineStr">
        <is>
          <t>L&amp;K ticket 0723</t>
        </is>
      </c>
      <c r="D13" s="4" t="inlineStr">
        <is>
          <t>Value ties (label wrong - CAR-09)</t>
        </is>
      </c>
    </row>
    <row r="14" ht="26" customHeight="1">
      <c r="A14" s="4" t="inlineStr">
        <is>
          <t>Brenner route</t>
        </is>
      </c>
      <c r="B14" s="4" t="inlineStr">
        <is>
          <t>196 mi x 1.609344 = 315.431424 km</t>
        </is>
      </c>
      <c r="C14" s="4" t="inlineStr">
        <is>
          <t>Certify: 315.43 km</t>
        </is>
      </c>
      <c r="D14" s="4" t="inlineStr">
        <is>
          <t>Ties; longest of 3 options</t>
        </is>
      </c>
    </row>
    <row r="15" ht="26" customHeight="1">
      <c r="A15" s="4" t="inlineStr">
        <is>
          <t>Chris Craig route</t>
        </is>
      </c>
      <c r="B15" s="4" t="inlineStr">
        <is>
          <t>173 mi x 1.609344 = 278.416512 km</t>
        </is>
      </c>
      <c r="C15" s="4" t="inlineStr">
        <is>
          <t>Certify: 278.42 km</t>
        </is>
      </c>
      <c r="D15" s="4" t="inlineStr">
        <is>
          <t>Ties; longest of 3 options</t>
        </is>
      </c>
    </row>
    <row r="16" ht="26" customHeight="1">
      <c r="A16" s="4" t="inlineStr">
        <is>
          <t>Scale licence</t>
        </is>
      </c>
      <c r="B16" s="4" t="inlineStr">
        <is>
          <t>CO Dept of Ag, AgLicense 003V6V</t>
        </is>
      </c>
      <c r="C16" s="4" t="inlineStr">
        <is>
          <t>Jan 01 - Dec 31 2026, Scales 80,001 lbs &amp; up</t>
        </is>
      </c>
      <c r="D16" s="4" t="inlineStr">
        <is>
          <t>Covers the 1/20 delivery</t>
        </is>
      </c>
    </row>
    <row r="17" ht="26" customHeight="1">
      <c r="A17" s="4" t="inlineStr">
        <is>
          <t>Folder copies</t>
        </is>
      </c>
      <c r="B17" s="4" t="inlineStr">
        <is>
          <t>md5 of PP Summaries + lab PDFs</t>
        </is>
      </c>
      <c r="C17" s="4" t="inlineStr">
        <is>
          <t>Working folder vs Final Reporting Package</t>
        </is>
      </c>
      <c r="D17" s="4" t="inlineStr">
        <is>
          <t>Byte-identical</t>
        </is>
      </c>
    </row>
    <row r="18" ht="26" customHeight="1">
      <c r="A18" s="4" t="inlineStr">
        <is>
          <t>Capped removals noted in tracker</t>
        </is>
      </c>
      <c r="B18" s="4" t="inlineStr">
        <is>
          <t>10 capped/zero-production removals</t>
        </is>
      </c>
      <c r="C18" s="4" t="inlineStr">
        <is>
          <t>9 of 10 carry a Notes entry</t>
        </is>
      </c>
      <c r="D18" s="4" t="inlineStr">
        <is>
          <t>1 gap - CAR-02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58" customWidth="1" min="2" max="2"/>
    <col width="66" customWidth="1" min="3" max="3"/>
    <col width="58" customWidth="1" min="4" max="4"/>
  </cols>
  <sheetData>
    <row r="1" ht="17" customHeight="1">
      <c r="A1" s="1" t="inlineStr">
        <is>
          <t>Closed by the Guidance edit of 2026-08-09 18:38</t>
        </is>
      </c>
    </row>
    <row r="3" ht="16" customHeight="1">
      <c r="A3" s="3" t="inlineStr">
        <is>
          <t>Was</t>
        </is>
      </c>
      <c r="B3" s="3" t="inlineStr">
        <is>
          <t>Finding</t>
        </is>
      </c>
      <c r="C3" s="3" t="inlineStr">
        <is>
          <t>Text removed from the Guidance</t>
        </is>
      </c>
      <c r="D3" s="3" t="inlineStr">
        <is>
          <t>Now</t>
        </is>
      </c>
    </row>
    <row r="4" ht="32" customHeight="1">
      <c r="A4" s="5" t="inlineStr">
        <is>
          <t>CAR-02 (prior run)</t>
        </is>
      </c>
      <c r="B4" s="5" t="inlineStr">
        <is>
          <t>Guidance gave the D3 Chris Craig PP255 cap as 814.7 kg against 559.98 in the delivery note, tracker and Certify</t>
        </is>
      </c>
      <c r="C4" s="5" t="inlineStr">
        <is>
          <t>"D3 Chris Craig (PP255): capped to 814.7 of 1,693.9 kg; excess 0 CI."</t>
        </is>
      </c>
      <c r="D4" s="5" t="inlineStr">
        <is>
          <t>Bullet removed. Closed.</t>
        </is>
      </c>
    </row>
    <row r="5" ht="32" customHeight="1">
      <c r="A5" s="5" t="inlineStr">
        <is>
          <t>CAR-03 (prior run)</t>
        </is>
      </c>
      <c r="B5" s="5" t="inlineStr">
        <is>
          <t>Guidance carried a superseded delivered mass for Brenner 1/20 PP256</t>
        </is>
      </c>
      <c r="C5" s="5" t="inlineStr">
        <is>
          <t>"Jan 20 Brenner (PP256): production capped to in-inventory 1,174.3 of 2,160.9 kg (moisture-adj); excess 0 CI."</t>
        </is>
      </c>
      <c r="D5" s="5" t="inlineStr">
        <is>
          <t>Bullet removed from the Guidance. The same 2,160.9 still sits in the tracker Notes cell - reopened as CAR-03.</t>
        </is>
      </c>
    </row>
    <row r="6" ht="32" customHeight="1">
      <c r="A6" s="5" t="inlineStr">
        <is>
          <t>CL-04 (prior run)</t>
        </is>
      </c>
      <c r="B6" s="5" t="inlineStr">
        <is>
          <t>Capped-removal list omitted D4 Chris Craig PP252</t>
        </is>
      </c>
      <c r="C6" s="5" t="inlineStr">
        <is>
          <t>Whole per-removal list replaced with general prose</t>
        </is>
      </c>
      <c r="D6" s="5" t="inlineStr">
        <is>
          <t>List gone. The new prose makes a broader claim that D4 PP252 breaks - reopened as CAR-02.</t>
        </is>
      </c>
    </row>
    <row r="7" ht="64" customHeight="1">
      <c r="A7" s="16" t="inlineStr">
        <is>
          <t>CAR-02 (withdrawn)</t>
        </is>
      </c>
      <c r="B7" s="16" t="inlineStr">
        <is>
          <t>Claimed D4 Chris Craig PP252's cap was not noted in the tracker</t>
        </is>
      </c>
      <c r="C7" s="16" t="inlineStr">
        <is>
          <t>Withdrawn on review. The Guidance says capped removals are "noted both in Ops Notes and the biochar removal tracker document" — not in the Notes column. The tracker records the cap in its Overdraft flag column (50.72/416.19) and Certify prod mass column (50.72); Chris Craig Delivery Notes Delivery 4 H11 = 50.72.</t>
        </is>
      </c>
      <c r="D7" s="16" t="inlineStr">
        <is>
          <t>Not a finding. I applied a test the source does not state.</t>
        </is>
      </c>
    </row>
    <row r="8" ht="48" customHeight="1">
      <c r="A8" s="16" t="inlineStr">
        <is>
          <t>CAR-15 (narrowed)</t>
        </is>
      </c>
      <c r="B8" s="16" t="inlineStr">
        <is>
          <t>Claimed both PP254 rows' tracker notes contradicted Certify</t>
        </is>
      </c>
      <c r="C8" s="16" t="inlineStr">
        <is>
          <t>Brenner 3/20 PP254 half withdrawn: its "no cap" note is consistent with the Guidance's PP254 paragraph, "All PP254 char delivered this period is reported without production emissions".</t>
        </is>
      </c>
      <c r="D8" s="16" t="inlineStr">
        <is>
          <t>Narrowed to D2 Chris Craig PP254 only, note-vs-columns inside the tracker.</t>
        </is>
      </c>
    </row>
    <row r="9" ht="64" customHeight="1">
      <c r="A9" s="17" t="inlineStr">
        <is>
          <t>C-04 (withdrawn)</t>
        </is>
      </c>
      <c r="B9" s="17" t="inlineStr">
        <is>
          <t>Tracker Notes sentence for rmv_1KYA6ANEE1S0PW7F still reading 2,160.9</t>
        </is>
      </c>
      <c r="C9" s="17" t="inlineStr">
        <is>
          <t>A Notes column in a working tracker is a margin annotation, not a statement of record. Every operative field agrees: Overdraft flag 1174.35/2654.35, prod mass 1174.35, charged draw 1174.35, delivery note E11 1174.35 / E4 2654.350434, Certify pyrolysis 1.174 t.</t>
        </is>
      </c>
      <c r="D9" s="17" t="inlineStr">
        <is>
          <t>Not a claim. Withdrawn before it reached you.</t>
        </is>
      </c>
    </row>
    <row r="10" ht="32" customHeight="1">
      <c r="A10" s="17" t="inlineStr">
        <is>
          <t>C-05 (withdrawn)</t>
        </is>
      </c>
      <c r="B10" s="17" t="inlineStr">
        <is>
          <t>Tracker Notes sentence for rmv_1KXKGW8131S0DAD9 reading 93.9 of 282.0 kg</t>
        </is>
      </c>
      <c r="C10" s="17" t="inlineStr">
        <is>
          <t>Same: annotation, not assertion. Overdraft flag 0/294.37, prod mass 0, charged draw 0, delivery note Q11 = 0.0, Certify carries no pyrolysis datapoint.</t>
        </is>
      </c>
      <c r="D10" s="17" t="inlineStr">
        <is>
          <t>Not a claim. Withdrawn before it reached you.</t>
        </is>
      </c>
    </row>
    <row r="11" ht="32" customHeight="1">
      <c r="A11" s="17" t="inlineStr">
        <is>
          <t>C-06 (withdrawn)</t>
        </is>
      </c>
      <c r="B11" s="17" t="inlineStr">
        <is>
          <t>'MFO char log' notes in Chris Craig Delivery Notes D2/D3/D4</t>
        </is>
      </c>
      <c r="C11" s="17" t="inlineStr">
        <is>
          <t>Working annotations in cells D75/D76, D73/D74, D78/D79. They assert nothing about a reported value.</t>
        </is>
      </c>
      <c r="D11" s="17" t="inlineStr">
        <is>
          <t>Not a claim. Withdrawn before it reached you.</t>
        </is>
      </c>
    </row>
    <row r="12" ht="48" customHeight="1">
      <c r="A12" s="17" t="inlineStr">
        <is>
          <t>C-07 (withdrawn)</t>
        </is>
      </c>
      <c r="B12" s="17" t="inlineStr">
        <is>
          <t>D1 removals holding distance in miles rather than km</t>
        </is>
      </c>
      <c r="C12" s="17" t="inlineStr">
        <is>
          <t>rmv_1KWCSDFQF1S0CSCB, rmv_1KWCY0G8W1S0931T, rmv_1KWCC0FY31S0QD5T, rmv_1KWCZP1M61S02KMH. Both structures carry values matching the delivery notes. A layout difference is not a conflicting claim.</t>
        </is>
      </c>
      <c r="D12" s="17" t="inlineStr">
        <is>
          <t>Not a claim. Withdrawn before it reached you.</t>
        </is>
      </c>
    </row>
    <row r="13" ht="64" customHeight="1">
      <c r="A13" s="19" t="inlineStr">
        <is>
          <t>B-02 (withdrawn)</t>
        </is>
      </c>
      <c r="B13" s="19" t="inlineStr">
        <is>
          <t>Tracker 'Net CO₂e (kg)' column (column H) totalling 48,575.05 against Certify's 49,455.92</t>
        </is>
      </c>
      <c r="C13" s="19" t="inlineStr">
        <is>
          <t>The tracker states one tie to Certify, on the Biochar Period Reconciliation tab: "Draw column C sums Removals!O (= mass x attribution factor, charged legs only) and ties to live Certify for all periods." That is the draw column, and it ties to within 0.001 kg on all 8 periods. Nothing states that the Net CO₂e column mirrors Certify.</t>
        </is>
      </c>
      <c r="D13" s="19" t="inlineStr">
        <is>
          <t>Not a claim. Figures retained on the Coverage tab without being called a defect.</t>
        </is>
      </c>
    </row>
    <row r="14" ht="80" customHeight="1">
      <c r="A14" s="25" t="inlineStr">
        <is>
          <t>A-02 (withdrawn)</t>
        </is>
      </c>
      <c r="B14" s="25" t="inlineStr">
        <is>
          <t>Claimed one carbon / H:Corg measurement was recorded where the lab reports three</t>
        </is>
      </c>
      <c r="C14" s="25" t="inlineStr">
        <is>
          <t>Checked what the single value contains. PP256 certificate: H/Corg 0.40/0.41/0.44, mean 0.41667 — Certify holds 0.41667. Total carbon 86.0/85.7/85.5 and organic 85.8/85.4/85.3, so inorganic per replicate 0.2/0.3/0.2, mean 0.2333 — Certify holds 0.2333. Total carbon in Certify is 85.5, the lowest replicate, which understates organic carbon by 0.2333 pp against the mean.</t>
        </is>
      </c>
      <c r="D14" s="25" t="inlineStr">
        <is>
          <t>All three replicates are reflected, and the one deviation from the mean runs conservative. Not a finding.</t>
        </is>
      </c>
    </row>
    <row r="15" ht="48" customHeight="1">
      <c r="A15" s="25" t="inlineStr">
        <is>
          <t>B-03 prior (withdrawn)</t>
        </is>
      </c>
      <c r="B15" s="25" t="inlineStr">
        <is>
          <t>Package .docx copy of the Guidance still carried the capped list you removed</t>
        </is>
      </c>
      <c r="C15" s="25" t="inlineStr">
        <is>
          <t>The 'Final Reporting Package: Charm Biochar H1 2026' folder no longer exists — folder ID 1esXKerIpU5dBv6EDJkL2Kfp84-w8amy1 returns 'Requested entity was not found', and the batch folder now holds 5 items with no package subfolder.</t>
        </is>
      </c>
      <c r="D15" s="25" t="inlineStr">
        <is>
          <t>Moot. The stale copy is gone.</t>
        </is>
      </c>
    </row>
    <row r="16" ht="32" customHeight="1">
      <c r="A16" s="25" t="inlineStr">
        <is>
          <t>C-10 prior (withdrawn)</t>
        </is>
      </c>
      <c r="B16" s="25" t="inlineStr">
        <is>
          <t>Package copy of the Brenner delivery notes dropped the Sheet1 tab</t>
        </is>
      </c>
      <c r="C16" s="25" t="inlineStr">
        <is>
          <t>Same: the package folder is deleted.</t>
        </is>
      </c>
      <c r="D16" s="25" t="inlineStr">
        <is>
          <t>Moot.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2026-08-09T18:44:14Z</dcterms:created>
  <dcterms:modified xmlns:dcterms="http://purl.org/dc/terms/" xmlns:xsi="http://www.w3.org/2001/XMLSchema-instance" xsi:type="dcterms:W3CDTF">2026-08-09T19:44:44Z</dcterms:modified>
  <cp:lastModifiedBy>Max Bernard Lavine</cp:lastModifiedBy>
</cp:coreProperties>
</file>