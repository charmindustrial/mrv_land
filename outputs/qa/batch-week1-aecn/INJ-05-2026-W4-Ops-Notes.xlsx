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hidden" name="WODO" sheetId="4" r:id="rId8"/>
    <sheet state="hidden" name="Kerry" sheetId="5" r:id="rId9"/>
    <sheet state="visible" name="QOWV" sheetId="6" r:id="rId10"/>
    <sheet state="visible" name="QOWV Shipments &amp; EE Allocation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tc={03e4f96c-efa2-4d79-ab97-eb1276e9b8a4}</author>
    <author>tc={274cd644-73f5-4e99-8566-2f2ce22cc11b}</author>
  </authors>
  <commentList>
    <comment authorId="0" xr:uid="{03e4f96c-efa2-4d79-ab97-eb1276e9b8a4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These should also be functions (B##-F##)
</t>
      </text>
    </comment>
    <comment authorId="1" xr:uid="{274cd644-73f5-4e99-8566-2f2ce22cc11b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What's up with these highlighted rows?
Reply:
	They are the ones that are needing to be added in MG inventory but I cannot until the PP stuff is fixed
Reply:
	My sense is we will circumvent this
Reply:
	OK, same deal with the AECN offloads in that tab?
Reply:
	That is actually just indicating the last load for a particular railcar
1 total reaction
Max Lavine reacted with 👍 at 2026-06-08 16:29 PM
</t>
      </text>
    </comment>
  </commentList>
</comments>
</file>

<file path=xl/sharedStrings.xml><?xml version="1.0" encoding="utf-8"?>
<sst xmlns="http://schemas.openxmlformats.org/spreadsheetml/2006/main" count="456" uniqueCount="205">
  <si>
    <t>BATCH SUMMARY</t>
  </si>
  <si>
    <t>Batch ID</t>
  </si>
  <si>
    <t>INJ-05-2026-W4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</si>
  <si>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</si>
  <si>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</si>
  <si>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</si>
  <si>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</si>
  <si>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</si>
  <si>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</si>
  <si>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</si>
  <si>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</si>
  <si>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</si>
  <si>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</si>
  <si>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</si>
  <si>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</si>
  <si>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</si>
  <si>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</si>
  <si>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AECN Truck</t>
  </si>
  <si>
    <t>Charm WODO</t>
  </si>
  <si>
    <t>Kerry</t>
  </si>
  <si>
    <t>QOWV</t>
  </si>
  <si>
    <t>TOTAL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</si>
  <si>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</si>
  <si>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</si>
  <si>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</si>
  <si>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</si>
  <si>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</si>
  <si>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</si>
  <si>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</si>
  <si>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</si>
  <si>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</si>
  <si>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INJ-05-2026 W4 AECN QOWV</t>
  </si>
  <si>
    <t>INJ-05-2026 W4 AECN QOWV.pdf</t>
  </si>
  <si>
    <t>WODO</t>
  </si>
  <si>
    <t xml:space="preserve"> </t>
  </si>
  <si>
    <t>BATCH HEADER — AECN Rail</t>
  </si>
  <si>
    <t>Batch ID (INJ-YYYY-WXX)</t>
  </si>
  <si>
    <t>Constants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</si>
  <si>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</si>
  <si>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</si>
  <si>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</si>
  <si>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</si>
  <si>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</si>
  <si>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</si>
  <si>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</si>
  <si>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</si>
  <si>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</si>
  <si>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</si>
  <si>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</si>
  <si>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</si>
  <si>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</si>
  <si>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</si>
  <si>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</si>
  <si>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Prior Period Mass</t>
  </si>
  <si>
    <t>Prior-RP Claimed (kg)</t>
  </si>
  <si>
    <t>AECN→SOPOR (mi)</t>
  </si>
  <si>
    <t>Rail (mi)</t>
  </si>
  <si>
    <t>Opel→Basco (mi)</t>
  </si>
  <si>
    <t>Notes</t>
  </si>
  <si>
    <t>Round Trip (Opel→Basco)</t>
  </si>
  <si>
    <t>GPRX5188</t>
  </si>
  <si>
    <t>2353-R, 2354-R, 2355-R</t>
  </si>
  <si>
    <t>All 4 offloads complete. Prior-RP claimed: 0 kg. Total offloaded = Total loaded (77,520.00 kg). Loss = 0 kg.  |  Offload 4 note: BOL-cap rule applied: scale total 77,616.60 kg exceeded BOL total 77,520 kg by 96.60 kg; overage removed from offload 4 via Uncertainty Adjustment per May VVB Guidance.</t>
  </si>
  <si>
    <t>TIMX201060</t>
  </si>
  <si>
    <t>2362-R, 2363-R, 2364-R</t>
  </si>
  <si>
    <t>W4 loading (5.7.2026, BOLs 2362-R/2363-R/2364-R, 78.06 MT). 3 offloads this week; Loss suppressed until closed (&gt;=95%). NOTE: prior TIMX201060 lots (2.27.26 loading, BOLs 2314-R/2316-R/2317-R) were a separate trip; prior-RP claimed = 0 for this loading.</t>
  </si>
  <si>
    <t>SECTION 2 - ORIGINS LEDGER  (loading BOLs at SOPOR)</t>
  </si>
  <si>
    <t>Date</t>
  </si>
  <si>
    <t>BOL #</t>
  </si>
  <si>
    <t>BOL Mass (MT)</t>
  </si>
  <si>
    <t>BOL Mass (kg)</t>
  </si>
  <si>
    <t>SECTION 3 - SCALE TICKTS + OFFLOAD WEIGHTS</t>
  </si>
  <si>
    <t>Full Scale Ticket (lb)</t>
  </si>
  <si>
    <t>Empty Scale Ticket (lb)</t>
  </si>
  <si>
    <t>Net Scaled Mass (kg)</t>
  </si>
  <si>
    <t>pH</t>
  </si>
  <si>
    <t>Uncertainty Adjustment (kg)</t>
  </si>
  <si>
    <t>AECN→SOPOR (mi, allocated ×3)</t>
  </si>
  <si>
    <t>Rail (mi, allocated)</t>
  </si>
  <si>
    <t>Opel→Basco (mi, full ×2)</t>
  </si>
  <si>
    <t>Rail_GPRX5188_5.1.2026_offload_1</t>
  </si>
  <si>
    <t>Rail_GPRX5188_5.1.2026_offload_2</t>
  </si>
  <si>
    <t>Rail_GPRX5188_5.1.2026_offload_3</t>
  </si>
  <si>
    <t>Rail_GPRX5188_5.1.2026_offload_4</t>
  </si>
  <si>
    <t>Rail_TIMX201060_5.7.2026_offload_1</t>
  </si>
  <si>
    <t>Rail_TIMX201060_5.7.2026_offload_2</t>
  </si>
  <si>
    <t>Rail_TIMX201060_5.7.2026_offload_3</t>
  </si>
  <si>
    <t>SECTION 4 - ROLLUP  (Mass Used = Σ Deliveries – Uncertainty Adj)</t>
  </si>
  <si>
    <t>Σ Deliveries raw (kg)</t>
  </si>
  <si>
    <t>Mass Used (post-adj) (kg)</t>
  </si>
  <si>
    <t>C Content</t>
  </si>
  <si>
    <t>Origins list (BOLs)</t>
  </si>
  <si>
    <t>BATCH HEADER — AECN Truck (Direct from Fort Lupton)</t>
  </si>
  <si>
    <t>SECTION 1 - DELIVERIES LEDGER  (one row per direct truck; BOL &amp; scale ticket on same row)</t>
  </si>
  <si>
    <t>BOL # / SO #</t>
  </si>
  <si>
    <t>Scale Full (lb)</t>
  </si>
  <si>
    <t>Scale Empty (lb)</t>
  </si>
  <si>
    <t>Cargo (kg)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</si>
  <si>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</si>
  <si>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</si>
  <si>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</si>
  <si>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</si>
  <si>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BATCH HEADER — Charm WODO (IBC Totes)</t>
  </si>
  <si>
    <t>SECTION 1 - IBC LEDGER  (one row per IBC tote; tote tag mass is authoritative)</t>
  </si>
  <si>
    <t>Tote Tag #</t>
  </si>
  <si>
    <t>Tote Full (lb)</t>
  </si>
  <si>
    <t>Tote Empty (lb)</t>
  </si>
  <si>
    <t>Gross Mass (kg) — transport</t>
  </si>
  <si>
    <t>Net Oil (kg) — production</t>
  </si>
  <si>
    <t>Net Injected (kg) — MOBI</t>
  </si>
  <si>
    <t>SECTION 2 - ROLLUP</t>
  </si>
  <si>
    <t>Σ Net Injected (kg)</t>
  </si>
  <si>
    <t>Origins list (Tote tags)</t>
  </si>
  <si>
    <t>BATCH HEADER — Kerry (Calciner Waste Oil, IBC Totes)</t>
  </si>
  <si>
    <t>SECTION 1 - IBC LEDGER  (one row per Kerry tote; tote tag mass is authoritative)</t>
  </si>
  <si>
    <t>Tote Empty (kg)</t>
  </si>
  <si>
    <t>Mass Uncertainty (Scaling)</t>
  </si>
  <si>
    <t>BATCH HEADER — QOWV (Aqueous Bio-Oil, IBC Totes)</t>
  </si>
  <si>
    <t>SECTION 1 - IBC LEDGER  (one row per QOWV tote; tote tag mass is authoritative)</t>
  </si>
  <si>
    <t>Transport Emissions</t>
  </si>
  <si>
    <t>Pyrolysis Emissions Mass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</si>
  <si>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</si>
  <si>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</si>
  <si>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</si>
  <si>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</si>
  <si>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</si>
  <si>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</si>
  <si>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</si>
  <si>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</si>
  <si>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</si>
  <si>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</si>
  <si>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</si>
  <si>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MFO Lot 2812 (LOT00002812), PP#8</t>
  </si>
  <si>
    <t>MFO Lot 2816 (LOT00002816), PP#8</t>
  </si>
  <si>
    <t>MFO Lot 2818 (LOT00002818), PP#8</t>
  </si>
  <si>
    <t>MFO Lot 2820 (LOT00002820), PP#8</t>
  </si>
  <si>
    <t>MFO Lot 2910 (LOT00002910), PP#8</t>
  </si>
  <si>
    <t>MFO Lot 2980 (LOT00002980), PP#8</t>
  </si>
  <si>
    <t>MFO Lot 2982 (LOT00002982), PP#8</t>
  </si>
  <si>
    <t>MFO Lot 2984 (LOT00002984), PP#8</t>
  </si>
  <si>
    <t>MFO Lot 2988 (LOT00002988), PP#8</t>
  </si>
  <si>
    <t>MFO Lot 3032 (LOT00003032), PP#8</t>
  </si>
  <si>
    <t>MFO Lot 3034 (LOT00003034), PP#8</t>
  </si>
  <si>
    <t>MFO Lot 3036 (LOT00003036), PP#8</t>
  </si>
  <si>
    <t>MFO Lot 3044 (LOT00003044), PP#8</t>
  </si>
  <si>
    <t>MFO Lot 3048 (LOT00003048), PP#8</t>
  </si>
  <si>
    <t>MFO Lot 3054 (LOT00003054), PP#8</t>
  </si>
  <si>
    <t>MFO Lot 3066 (LOT00003066), PP#8</t>
  </si>
  <si>
    <t>MFO Lot 3068 (LOT00003068), PP#8</t>
  </si>
  <si>
    <t>MFO Lot 3336 (LOT00003336), August 2025</t>
  </si>
  <si>
    <t>MFO Lot 3388 (LOT00003388), August 2025</t>
  </si>
  <si>
    <t>MFO Lot 3440 (LOT00003440), August 2025</t>
  </si>
  <si>
    <t>MFO Lot 3442 (LOT00003442), August 2025</t>
  </si>
  <si>
    <t>MFO Lot 3592 (LOT00003592), August 2025</t>
  </si>
  <si>
    <t>MFO Lot 3594 (LOT00003594), August 2025</t>
  </si>
  <si>
    <t>MFO Lot 3624 (LOT00003624), August 2025</t>
  </si>
  <si>
    <t>MFO Lot 3628 (LOT00003628), August 2025</t>
  </si>
  <si>
    <t>MFO Lot 3658 (LOT00003658), August 2025</t>
  </si>
  <si>
    <t>MFO Lot 3660 (LOT00003660), August 2025</t>
  </si>
  <si>
    <t>MFO Lot 3954 (LOT00003954), October 2025</t>
  </si>
  <si>
    <t>MFO Lot 3974 (LOT00003974), September 2025</t>
  </si>
  <si>
    <t>MFO Lot 4026 (LOT00004026), October 2025</t>
  </si>
  <si>
    <t>MFO Lot 4028 (LOT00004028), October 2025</t>
  </si>
  <si>
    <t>MFO Lot 4030 (LOT00004030), October 2025</t>
  </si>
  <si>
    <t>MFO Lot 4034 (LOT00004034), October 2025</t>
  </si>
  <si>
    <t>MFO Lot 4038 (LOT00004038), October 2025</t>
  </si>
  <si>
    <t>MFO Lot 4044 (LOT00004044), October 2025</t>
  </si>
  <si>
    <t>MFO Lot 4108 (LOT00004108), October 2025</t>
  </si>
  <si>
    <t>MFO Lot 4118 (LOT00004118), October 2025</t>
  </si>
  <si>
    <t>MFO Lot 4120 (LOT00004120), October 2025</t>
  </si>
  <si>
    <t>MFO Lot 4124 (LOT00004124), October 2025</t>
  </si>
  <si>
    <t>MFO Lot 4126 (LOT00004126), October 2025</t>
  </si>
  <si>
    <t>MFO Lot 4138 (LOT00004138), October 2025</t>
  </si>
  <si>
    <t>INJ-05-2026-W4 — QOWV Shipments &amp; EE Mileage Allocation</t>
  </si>
  <si>
    <t>Batch</t>
  </si>
  <si>
    <t>Fraction</t>
  </si>
  <si>
    <t>Inj. Week</t>
  </si>
  <si>
    <t># Totes</t>
  </si>
  <si>
    <t>Ship Date(s)</t>
  </si>
  <si>
    <t>2026-05-23 to 2026-05-30</t>
  </si>
  <si>
    <t>2025-12-05 (10), 2025-12-09 (17), 2025-12-10 (14)</t>
  </si>
  <si>
    <t>Charm CO -&gt; Basco LA distance (one-way miles):</t>
  </si>
  <si>
    <t>EE ALLOCATION TABLE</t>
  </si>
  <si>
    <t>Truck (shipment)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</si>
  <si>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</si>
  <si>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</si>
  <si>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</si>
  <si>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</si>
  <si>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</si>
  <si>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</si>
  <si>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Shipment 12-05</t>
  </si>
  <si>
    <t>Shipment 12-09</t>
  </si>
  <si>
    <t>Shipment 12-10</t>
  </si>
  <si>
    <t>BATCH MILEAGE ALLOCATION</t>
  </si>
  <si>
    <t>Per-Truck Allocation (relevant/total)</t>
  </si>
  <si>
    <t>12-05 (10/36), 12-09 (17/36), 12-10 (14/35)</t>
  </si>
  <si>
    <t>--- Shipment 2025-12-05 --- (10 of 36 totes on this truck are W4-relevant)</t>
  </si>
  <si>
    <t>Metal Tag</t>
  </si>
  <si>
    <t>Date Loaded</t>
  </si>
  <si>
    <t>August 2025</t>
  </si>
  <si>
    <t>--- Shipment 2025-12-09 --- (17 of 36 totes on this truck are W4-relevant)</t>
  </si>
  <si>
    <t>PP#8</t>
  </si>
  <si>
    <t>--- Shipment 2025-12-10 --- (14 of 35 totes on this truck are W4-relevant)</t>
  </si>
  <si>
    <t>October 2025</t>
  </si>
  <si>
    <t>September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</si>
</sst>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0.0000%"/>
    <numFmt numFmtId="166" formatCode="m/d/yy"/>
    <numFmt numFmtId="167" formatCode="#,##0.000000"/>
    <numFmt numFmtId="168" formatCode="0.000000"/>
    <numFmt numFmtId="169" formatCode="yyyy-mm-dd"/>
  </numFmts>
  <fonts count="1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Font="1" applyNumberFormat="1"/>
    <xf borderId="0" fillId="3" fontId="2" numFmtId="4" xfId="0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Font="1" applyNumberForma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2" fontId="1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4" fontId="2" numFmtId="4" xfId="0" applyFont="1" applyNumberFormat="1"/>
    <xf borderId="0" fillId="0" fontId="9" numFmtId="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3" numFmtId="4" xfId="0" applyAlignment="1" applyFont="1" applyNumberFormat="1">
      <alignment readingOrder="0"/>
    </xf>
    <xf borderId="0" fillId="3" fontId="3" numFmtId="2" xfId="0" applyAlignment="1" applyFont="1" applyNumberFormat="1">
      <alignment readingOrder="0"/>
    </xf>
    <xf borderId="0" fillId="3" fontId="3" numFmtId="4" xfId="0" applyFont="1" applyNumberFormat="1"/>
    <xf borderId="0" fillId="6" fontId="3" numFmtId="0" xfId="0" applyAlignment="1" applyFill="1" applyFont="1">
      <alignment readingOrder="0"/>
    </xf>
    <xf borderId="0" fillId="6" fontId="3" numFmtId="4" xfId="0" applyAlignment="1" applyFont="1" applyNumberFormat="1">
      <alignment readingOrder="0"/>
    </xf>
    <xf borderId="0" fillId="6" fontId="3" numFmtId="2" xfId="0" applyAlignment="1" applyFont="1" applyNumberFormat="1">
      <alignment readingOrder="0"/>
    </xf>
    <xf borderId="0" fillId="0" fontId="2" numFmtId="2" xfId="0" applyFont="1" applyNumberFormat="1"/>
    <xf borderId="0" fillId="2" fontId="1" numFmtId="4" xfId="0" applyFont="1" applyNumberFormat="1"/>
    <xf borderId="0" fillId="2" fontId="1" numFmtId="2" xfId="0" applyFont="1" applyNumberFormat="1"/>
    <xf borderId="0" fillId="0" fontId="3" numFmtId="2" xfId="0" applyAlignment="1" applyFont="1" applyNumberFormat="1">
      <alignment readingOrder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vertical="bottom"/>
    </xf>
    <xf borderId="1" fillId="0" fontId="12" numFmtId="1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vertical="bottom"/>
    </xf>
    <xf borderId="1" fillId="0" fontId="12" numFmtId="0" xfId="0" applyAlignment="1" applyBorder="1" applyFont="1">
      <alignment horizontal="right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" fillId="0" fontId="12" numFmtId="0" xfId="0" applyAlignment="1" applyBorder="1" applyFont="1">
      <alignment horizontal="right" vertical="bottom"/>
    </xf>
    <xf borderId="1" fillId="0" fontId="12" numFmtId="2" xfId="0" applyAlignment="1" applyBorder="1" applyFont="1" applyNumberFormat="1">
      <alignment horizontal="right" vertical="bottom"/>
    </xf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67" xfId="0" applyFont="1" applyNumberFormat="1"/>
    <xf borderId="0" fillId="0" fontId="3" numFmtId="2" xfId="0" applyFont="1" applyNumberFormat="1"/>
    <xf borderId="0" fillId="0" fontId="2" numFmtId="168" xfId="0" applyFont="1" applyNumberFormat="1"/>
    <xf borderId="0" fillId="0" fontId="16" numFmtId="0" xfId="0" applyAlignment="1" applyFont="1">
      <alignment readingOrder="0"/>
    </xf>
    <xf borderId="0" fillId="0" fontId="16" numFmtId="0" xfId="0" applyFont="1"/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2e38b367-b684-498b-9435-47dcacbdd692}" providerId="google-sheets"/>
  <x18tc:person displayName="garrett.lutz@charmindustrial.com" id="{6a675a6a-9ba5-4270-aeca-6c44f7afca60}" userId="garrett.lutz@charmindustrial.com" providerId="google-sheets"/>
  <x18tc:person displayName="Max Lavine" id="{e52f579a-b4da-4614-b02e-477e70c1f13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" dT="2026-06-08T23:04:25.00" personId="{e52f579a-b4da-4614-b02e-477e70c1f13c}" id="{03e4f96c-efa2-4d79-ab97-eb1276e9b8a4}" done="1">
    <x18tc:text xml:space="preserve">@garrett.lutz@charmindustrial.com These should also be functions (B##-F##)</x18tc:text>
    <x18tc:mentions>
      <x18tc:mention mentionpersonId="{6a675a6a-9ba5-4270-aeca-6c44f7afca60}" mentionId="{3fc07545-c9e7-488e-b66e-9e14640d5c5e}" startIndex="0" length="33"/>
    </x18tc:mentions>
  </x18tc:threadedComment>
  <x18tc:threadedComment ref="A38" dT="2026-06-08T16:21:47.00" personId="{e52f579a-b4da-4614-b02e-477e70c1f13c}" id="{274cd644-73f5-4e99-8566-2f2ce22cc11b}" done="1">
    <x18tc:text xml:space="preserve">@garrett.lutz@charmindustrial.com What's up with these highlighted rows?</x18tc:text>
    <x18tc:mentions>
      <x18tc:mention mentionpersonId="{6a675a6a-9ba5-4270-aeca-6c44f7afca60}" mentionId="{0bf338df-af17-4c87-8ceb-060ad77ce28f}" startIndex="0" length="33"/>
    </x18tc:mentions>
  </x18tc:threadedComment>
  <x18tc:threadedComment ref="A38" dT="2026-06-08T16:22:56.00" personId="{2e38b367-b684-498b-9435-47dcacbdd692}" id="{1718b5e1-0d39-4b52-b6d0-1bab90f46aa5}" parentId="{274cd644-73f5-4e99-8566-2f2ce22cc11b}">
    <x18tc:text xml:space="preserve">They are the ones that are needing to be added in MG inventory but I cannot until the PP stuff is fixed</x18tc:text>
  </x18tc:threadedComment>
  <x18tc:threadedComment ref="A38" dT="2026-06-08T16:23:24.00" personId="{2e38b367-b684-498b-9435-47dcacbdd692}" id="{7bb678d8-3463-4a84-8c67-7187f0e918c4}" parentId="{274cd644-73f5-4e99-8566-2f2ce22cc11b}">
    <x18tc:text xml:space="preserve">My sense is we will circumvent this</x18tc:text>
  </x18tc:threadedComment>
  <x18tc:threadedComment ref="A38" dT="2026-06-08T16:27:09.00" personId="{e52f579a-b4da-4614-b02e-477e70c1f13c}" id="{6a4d9f7c-c3d6-4fdb-8636-bf208d712331}" parentId="{274cd644-73f5-4e99-8566-2f2ce22cc11b}">
    <x18tc:text xml:space="preserve">OK, same deal with the AECN offloads in that tab?</x18tc:text>
  </x18tc:threadedComment>
  <x18tc:threadedComment ref="A38" dT="2026-06-08T16:28:57.00" personId="{2e38b367-b684-498b-9435-47dcacbdd692}" id="{b846900b-bf07-4ccb-9b50-4cac93b5caab}" parentId="{274cd644-73f5-4e99-8566-2f2ce22cc11b}">
    <x18tc:text xml:space="preserve">That is actually just indicating the last load for a particular railcar
1 total reaction
Max Lavine reacted with 👍 at 2026-06-08 16:29 PM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JM6UjUYxOcnOnMzbeNXhaZaXtNnCuaL/view?usp=sharing" TargetMode="External"/><Relationship Id="rId2" Type="http://schemas.openxmlformats.org/officeDocument/2006/relationships/hyperlink" Target="https://drive.google.com/file/d/1XJM6UjUYxOcnOnMzbeNXhaZaXtNnCuaL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m5jsrWwRrL0kYnlyrztfBC5XRLclUwq4lz7dHfHlzE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46165.0</v>
      </c>
    </row>
    <row r="4">
      <c r="A4" s="3" t="s">
        <v>4</v>
      </c>
      <c r="B4" s="4">
        <v>46172.0</v>
      </c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6</v>
      </c>
      <c r="B7" s="5" t="s">
        <v>7</v>
      </c>
      <c r="C7" s="5" t="s">
        <v>8</v>
      </c>
      <c r="D7" s="6" t="s">
        <v>9</v>
      </c>
      <c r="E7" s="5" t="s">
        <v>10</v>
      </c>
      <c r="F7" s="6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7"/>
      <c r="L7" s="7"/>
      <c r="M7" s="7"/>
      <c r="N7" s="7"/>
    </row>
    <row r="8">
      <c r="A8" s="3" t="s">
        <v>16</v>
      </c>
      <c r="B8" s="8">
        <f>'AECN Rail'!A44</f>
        <v>146361.9475</v>
      </c>
      <c r="C8" s="8">
        <f>'AECN Rail'!B44</f>
        <v>86.416056</v>
      </c>
      <c r="D8" s="9">
        <f>'AECN Rail'!C44</f>
        <v>146275.5314</v>
      </c>
      <c r="E8" s="8">
        <f>'AECN Rail'!D44</f>
        <v>1886.954356</v>
      </c>
      <c r="F8" s="9">
        <f>'AECN Rail'!E44</f>
        <v>284.740026</v>
      </c>
      <c r="G8" s="8">
        <f>'AECN Rail'!F44</f>
        <v>144103.8371</v>
      </c>
      <c r="H8" s="8">
        <f>SUM('AECN Rail'!L28:L40)</f>
        <v>1213.118342</v>
      </c>
      <c r="I8" s="8">
        <f>SUM('AECN Rail'!M28:M40)</f>
        <v>8271.77437</v>
      </c>
      <c r="J8" s="8">
        <f>SUM('AECN Rail'!N28:N40)</f>
        <v>1201.2</v>
      </c>
    </row>
    <row r="9">
      <c r="A9" s="3" t="s">
        <v>17</v>
      </c>
      <c r="B9" s="8">
        <f>'AECN Truck'!B28</f>
        <v>0</v>
      </c>
      <c r="C9" s="8">
        <f>'AECN Truck'!F28</f>
        <v>0</v>
      </c>
      <c r="D9" s="9">
        <f>'AECN Truck'!C28</f>
        <v>0</v>
      </c>
      <c r="E9" s="8">
        <f>'AECN Truck'!D28</f>
        <v>0</v>
      </c>
      <c r="F9" s="9">
        <f>'AECN Truck'!E28</f>
        <v>0</v>
      </c>
      <c r="G9" s="8">
        <f>'AECN Truck'!G28</f>
        <v>0</v>
      </c>
    </row>
    <row r="10">
      <c r="A10" s="3" t="s">
        <v>18</v>
      </c>
      <c r="B10" s="8">
        <f>WODO!A33</f>
        <v>0</v>
      </c>
      <c r="C10" s="10">
        <v>0.0</v>
      </c>
      <c r="D10" s="11">
        <f>WODO!A33</f>
        <v>0</v>
      </c>
      <c r="E10" s="8">
        <f>WODO!B33</f>
        <v>0</v>
      </c>
      <c r="F10" s="11">
        <v>0.0</v>
      </c>
      <c r="G10" s="10">
        <f>WODO!C33</f>
        <v>0</v>
      </c>
    </row>
    <row r="11">
      <c r="A11" s="3" t="s">
        <v>19</v>
      </c>
      <c r="B11" s="8">
        <f>Kerry!A33</f>
        <v>0</v>
      </c>
      <c r="C11" s="10">
        <v>0.0</v>
      </c>
      <c r="D11" s="11">
        <f>Kerry!A33</f>
        <v>0</v>
      </c>
      <c r="E11" s="8">
        <f>Kerry!B33</f>
        <v>0</v>
      </c>
      <c r="F11" s="11">
        <v>0.0</v>
      </c>
      <c r="G11" s="12">
        <f>Kerry!C33</f>
        <v>0</v>
      </c>
    </row>
    <row r="12">
      <c r="A12" s="3" t="s">
        <v>20</v>
      </c>
      <c r="B12" s="10">
        <f>QOWV!B53</f>
        <v>42084</v>
      </c>
      <c r="C12" s="10">
        <v>0.0</v>
      </c>
      <c r="D12" s="11">
        <f>QOWV!D53</f>
        <v>39657.4</v>
      </c>
      <c r="E12" s="10">
        <v>0.0</v>
      </c>
      <c r="F12" s="11">
        <v>0.0</v>
      </c>
      <c r="G12" s="13">
        <f>QOWV!F53</f>
        <v>33977</v>
      </c>
      <c r="I12" s="5"/>
      <c r="J12" s="7"/>
      <c r="K12" s="7"/>
      <c r="L12" s="7"/>
      <c r="M12" s="7"/>
      <c r="N12" s="7"/>
    </row>
    <row r="13">
      <c r="A13" s="3" t="s">
        <v>21</v>
      </c>
      <c r="B13" s="8">
        <f t="shared" ref="B13:J13" si="1">SUM(B8:B12)</f>
        <v>188445.9475</v>
      </c>
      <c r="C13" s="8">
        <f t="shared" si="1"/>
        <v>86.416056</v>
      </c>
      <c r="D13" s="8">
        <f t="shared" si="1"/>
        <v>185932.9314</v>
      </c>
      <c r="E13" s="8">
        <f t="shared" si="1"/>
        <v>1886.954356</v>
      </c>
      <c r="F13" s="8">
        <f t="shared" si="1"/>
        <v>284.740026</v>
      </c>
      <c r="G13" s="8">
        <f t="shared" si="1"/>
        <v>178080.8371</v>
      </c>
      <c r="H13" s="8">
        <f t="shared" si="1"/>
        <v>1213.118342</v>
      </c>
      <c r="I13" s="8">
        <f t="shared" si="1"/>
        <v>8271.77437</v>
      </c>
      <c r="J13" s="8">
        <f t="shared" si="1"/>
        <v>1201.2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22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3" t="s">
        <v>23</v>
      </c>
      <c r="B16" s="10" t="s">
        <v>12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29</v>
      </c>
    </row>
    <row r="17">
      <c r="A17" s="3" t="s">
        <v>30</v>
      </c>
      <c r="B17" s="8">
        <f>G8+G9</f>
        <v>144103.8371</v>
      </c>
      <c r="C17" s="3" t="s">
        <v>31</v>
      </c>
      <c r="D17" s="4">
        <v>46171.0</v>
      </c>
      <c r="E17" s="14">
        <v>0.412</v>
      </c>
      <c r="F17" s="15" t="s">
        <v>32</v>
      </c>
      <c r="G17" s="16">
        <f>E17*H17</f>
        <v>0.001648</v>
      </c>
      <c r="H17" s="14">
        <v>0.004</v>
      </c>
    </row>
    <row r="18">
      <c r="A18" s="3" t="s">
        <v>33</v>
      </c>
      <c r="B18" s="8">
        <f t="shared" ref="B18:B20" si="2">G10</f>
        <v>0</v>
      </c>
      <c r="E18" s="17"/>
      <c r="H18" s="17"/>
    </row>
    <row r="19">
      <c r="A19" s="3" t="s">
        <v>19</v>
      </c>
      <c r="B19" s="8">
        <f t="shared" si="2"/>
        <v>0</v>
      </c>
      <c r="E19" s="17"/>
      <c r="H19" s="17"/>
    </row>
    <row r="20">
      <c r="A20" s="3" t="s">
        <v>20</v>
      </c>
      <c r="B20" s="8">
        <f t="shared" si="2"/>
        <v>33977</v>
      </c>
      <c r="C20" s="3" t="s">
        <v>31</v>
      </c>
      <c r="D20" s="4">
        <v>46171.0</v>
      </c>
      <c r="E20" s="14">
        <v>0.084</v>
      </c>
      <c r="F20" s="18" t="s">
        <v>32</v>
      </c>
      <c r="G20" s="16">
        <f>E20*H20</f>
        <v>0.000336</v>
      </c>
      <c r="H20" s="14">
        <v>0.004</v>
      </c>
      <c r="I20" s="7"/>
      <c r="J20" s="7"/>
      <c r="K20" s="7"/>
      <c r="L20" s="7"/>
      <c r="M20" s="7"/>
    </row>
    <row r="21">
      <c r="A21" s="3" t="s">
        <v>21</v>
      </c>
      <c r="B21" s="8">
        <f>SUM(B17:B20)</f>
        <v>178080.8371</v>
      </c>
      <c r="E21" s="1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34</v>
      </c>
      <c r="H23" s="7"/>
      <c r="I23" s="7"/>
      <c r="J23" s="7"/>
      <c r="K23" s="7"/>
      <c r="L23" s="7"/>
      <c r="M23" s="7"/>
      <c r="N23" s="7"/>
    </row>
  </sheetData>
  <hyperlinks>
    <hyperlink r:id="rId1" ref="F17"/>
    <hyperlink r:id="rId2" ref="F2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36</v>
      </c>
      <c r="B2" s="3" t="s">
        <v>2</v>
      </c>
      <c r="N2" s="5" t="s">
        <v>37</v>
      </c>
    </row>
    <row r="3">
      <c r="A3" s="3" t="s">
        <v>3</v>
      </c>
      <c r="B3" s="4">
        <v>46165.0</v>
      </c>
      <c r="N3" s="5" t="s">
        <v>38</v>
      </c>
      <c r="O3" s="12">
        <v>2.20462</v>
      </c>
    </row>
    <row r="4">
      <c r="A4" s="3" t="s">
        <v>4</v>
      </c>
      <c r="B4" s="4">
        <v>46172.0</v>
      </c>
      <c r="N4" s="5" t="s">
        <v>39</v>
      </c>
      <c r="O4" s="12">
        <v>0.453592</v>
      </c>
    </row>
    <row r="5">
      <c r="N5" s="5" t="s">
        <v>40</v>
      </c>
      <c r="O5" s="12">
        <v>0.0129</v>
      </c>
    </row>
    <row r="6">
      <c r="N6" s="5" t="s">
        <v>41</v>
      </c>
      <c r="O6" s="3" t="s">
        <v>42</v>
      </c>
    </row>
    <row r="7">
      <c r="N7" s="3" t="s">
        <v>43</v>
      </c>
      <c r="O7" s="19">
        <f>HYPERLINK("https://docs.google.com/spreadsheets/d/1XhIwfVwGTl2T04CAlA-qee03gfqxNWwBmSCAeiSW548/edit?usp=sharing", 0.00196)</f>
        <v>0.00196</v>
      </c>
    </row>
    <row r="8">
      <c r="A8" s="1" t="s">
        <v>44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45</v>
      </c>
      <c r="O8" s="20">
        <v>3.0</v>
      </c>
      <c r="P8" s="2"/>
      <c r="Q8" s="2"/>
      <c r="R8" s="2"/>
    </row>
    <row r="9">
      <c r="A9" s="5" t="s">
        <v>46</v>
      </c>
      <c r="B9" s="5" t="s">
        <v>47</v>
      </c>
      <c r="C9" s="5" t="s">
        <v>48</v>
      </c>
      <c r="D9" s="21" t="s">
        <v>49</v>
      </c>
      <c r="E9" s="21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55</v>
      </c>
      <c r="K9" s="5" t="s">
        <v>56</v>
      </c>
      <c r="L9" s="5" t="s">
        <v>57</v>
      </c>
      <c r="M9" s="5" t="s">
        <v>58</v>
      </c>
      <c r="N9" s="5" t="s">
        <v>59</v>
      </c>
      <c r="O9" s="22">
        <v>2.0</v>
      </c>
      <c r="P9" s="7"/>
      <c r="Q9" s="7"/>
      <c r="R9" s="7"/>
    </row>
    <row r="10">
      <c r="A10" s="3" t="s">
        <v>60</v>
      </c>
      <c r="B10" s="4">
        <v>46143.0</v>
      </c>
      <c r="C10" s="3" t="s">
        <v>61</v>
      </c>
      <c r="D10" s="23">
        <v>77.52</v>
      </c>
      <c r="E10" s="23">
        <v>77520.0</v>
      </c>
      <c r="F10" s="8">
        <f t="shared" ref="F10:F11" si="1">SUMIF($C$28:$C$41,A10,$F$28:$F$41)+H10</f>
        <v>77606.41606</v>
      </c>
      <c r="G10" s="8">
        <f t="shared" ref="G10:G14" si="2">IF(AND(E10&lt;&gt;"",F10&lt;&gt;"",F10&gt;=0.95*E10),E10-F10,"")</f>
        <v>-86.416056</v>
      </c>
      <c r="H10" s="12">
        <v>0.0</v>
      </c>
      <c r="I10" s="24">
        <v>0.0</v>
      </c>
      <c r="J10" s="24">
        <v>107.5</v>
      </c>
      <c r="K10" s="24">
        <v>2199.0</v>
      </c>
      <c r="L10" s="12">
        <v>42.9</v>
      </c>
      <c r="M10" s="3" t="s">
        <v>62</v>
      </c>
    </row>
    <row r="11">
      <c r="A11" s="3" t="s">
        <v>63</v>
      </c>
      <c r="B11" s="25">
        <v>46147.0</v>
      </c>
      <c r="C11" s="3" t="s">
        <v>64</v>
      </c>
      <c r="D11" s="23">
        <v>78.06</v>
      </c>
      <c r="E11" s="23">
        <v>78060.0</v>
      </c>
      <c r="F11" s="8">
        <f t="shared" si="1"/>
        <v>68755.53144</v>
      </c>
      <c r="G11" s="8" t="str">
        <f t="shared" si="2"/>
        <v/>
      </c>
      <c r="H11" s="24">
        <v>0.0</v>
      </c>
      <c r="I11" s="24">
        <v>0.0</v>
      </c>
      <c r="J11" s="24">
        <v>107.5</v>
      </c>
      <c r="K11" s="24">
        <v>2199.0</v>
      </c>
      <c r="L11" s="12">
        <v>42.9</v>
      </c>
      <c r="M11" s="3" t="s">
        <v>65</v>
      </c>
    </row>
    <row r="12">
      <c r="D12" s="26"/>
      <c r="E12" s="26"/>
      <c r="G12" s="27" t="str">
        <f t="shared" si="2"/>
        <v/>
      </c>
    </row>
    <row r="13">
      <c r="D13" s="26"/>
      <c r="E13" s="26"/>
      <c r="G13" s="27" t="str">
        <f t="shared" si="2"/>
        <v/>
      </c>
    </row>
    <row r="14">
      <c r="G14" s="27" t="str">
        <f t="shared" si="2"/>
        <v/>
      </c>
    </row>
    <row r="15">
      <c r="A15" s="1" t="s">
        <v>66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67</v>
      </c>
      <c r="B16" s="5" t="s">
        <v>68</v>
      </c>
      <c r="C16" s="5" t="s">
        <v>46</v>
      </c>
      <c r="D16" s="21" t="s">
        <v>69</v>
      </c>
      <c r="E16" s="21" t="s">
        <v>70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4">
        <v>46133.0</v>
      </c>
      <c r="B17" s="28" t="str">
        <f>HYPERLINK("https://drive.google.com/file/d/1M3O92rYavJukD4YRUM7PM8r7stXMl3XK/view","2353-R")</f>
        <v>2353-R</v>
      </c>
      <c r="C17" s="3" t="s">
        <v>60</v>
      </c>
      <c r="D17" s="23">
        <v>25.74</v>
      </c>
      <c r="E17" s="23">
        <v>25740.0</v>
      </c>
    </row>
    <row r="18">
      <c r="A18" s="4">
        <v>46141.0</v>
      </c>
      <c r="B18" s="28" t="str">
        <f>HYPERLINK("https://drive.google.com/file/d/1UsKW1xTYqeqwEtLGGNVNgmcugHd387R-/view","2354-R")</f>
        <v>2354-R</v>
      </c>
      <c r="C18" s="3" t="s">
        <v>60</v>
      </c>
      <c r="D18" s="23">
        <v>26.05</v>
      </c>
      <c r="E18" s="23">
        <v>26050.0</v>
      </c>
    </row>
    <row r="19">
      <c r="A19" s="4">
        <v>46141.0</v>
      </c>
      <c r="B19" s="28" t="str">
        <f>HYPERLINK("https://drive.google.com/file/d/1zRgT3mpEADUDO3pftEpfLNHJojDEiLaB/view","2355-R")</f>
        <v>2355-R</v>
      </c>
      <c r="C19" s="3" t="s">
        <v>60</v>
      </c>
      <c r="D19" s="23">
        <v>25.73</v>
      </c>
      <c r="E19" s="23">
        <v>25730.0</v>
      </c>
    </row>
    <row r="20">
      <c r="A20" s="4"/>
      <c r="D20" s="23"/>
      <c r="E20" s="23"/>
    </row>
    <row r="21">
      <c r="A21" s="4">
        <v>46149.0</v>
      </c>
      <c r="B21" s="29" t="str">
        <f>HYPERLINK("https://drive.google.com/file/d/1Um9E1NQews5Inm6ysaq30SFsT9zXFmz1/view","2362-R")</f>
        <v>2362-R</v>
      </c>
      <c r="C21" s="3" t="s">
        <v>63</v>
      </c>
      <c r="D21" s="23">
        <v>26.1</v>
      </c>
      <c r="E21" s="23">
        <v>26100.0</v>
      </c>
    </row>
    <row r="22">
      <c r="A22" s="4">
        <v>46149.0</v>
      </c>
      <c r="B22" s="29" t="str">
        <f>HYPERLINK("https://drive.google.com/file/d/1j7xFwzfyVz2daf4v_MtvZEPE3DLorOUN/view","2363-R")</f>
        <v>2363-R</v>
      </c>
      <c r="C22" s="3" t="s">
        <v>63</v>
      </c>
      <c r="D22" s="23">
        <v>25.86</v>
      </c>
      <c r="E22" s="23">
        <v>25860.0</v>
      </c>
    </row>
    <row r="23">
      <c r="A23" s="4">
        <v>46149.0</v>
      </c>
      <c r="B23" s="29" t="str">
        <f>HYPERLINK("https://drive.google.com/file/d/1UobR4PRCtoomUGWDxv9YTZ3m6UwiT9vN/view","2364-R")</f>
        <v>2364-R</v>
      </c>
      <c r="C23" s="3" t="s">
        <v>63</v>
      </c>
      <c r="D23" s="10">
        <v>26.1</v>
      </c>
      <c r="E23" s="10">
        <v>26100.0</v>
      </c>
    </row>
    <row r="24">
      <c r="A24" s="4"/>
      <c r="D24" s="10"/>
      <c r="E24" s="10"/>
    </row>
    <row r="25">
      <c r="A25" s="4"/>
      <c r="D25" s="10"/>
      <c r="E25" s="10"/>
    </row>
    <row r="26">
      <c r="A26" s="1" t="s">
        <v>71</v>
      </c>
      <c r="B26" s="1"/>
      <c r="C26" s="1"/>
      <c r="D26" s="30"/>
      <c r="E26" s="30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31" t="s">
        <v>72</v>
      </c>
      <c r="E27" s="31" t="s">
        <v>73</v>
      </c>
      <c r="F27" s="21" t="s">
        <v>74</v>
      </c>
      <c r="G27" s="5" t="s">
        <v>75</v>
      </c>
      <c r="H27" s="21" t="s">
        <v>10</v>
      </c>
      <c r="I27" s="21" t="s">
        <v>11</v>
      </c>
      <c r="J27" s="21" t="s">
        <v>76</v>
      </c>
      <c r="K27" s="21" t="s">
        <v>12</v>
      </c>
      <c r="L27" s="5" t="s">
        <v>77</v>
      </c>
      <c r="M27" s="5" t="s">
        <v>78</v>
      </c>
      <c r="N27" s="5" t="s">
        <v>79</v>
      </c>
      <c r="O27" s="5"/>
      <c r="P27" s="7"/>
      <c r="Q27" s="7"/>
      <c r="R27" s="7"/>
    </row>
    <row r="28">
      <c r="A28" s="32">
        <v>46169.0</v>
      </c>
      <c r="B28" s="33" t="s">
        <v>80</v>
      </c>
      <c r="C28" s="33" t="s">
        <v>60</v>
      </c>
      <c r="D28" s="34">
        <v>81140.0</v>
      </c>
      <c r="E28" s="34">
        <v>29780.0</v>
      </c>
      <c r="F28" s="34">
        <f>(D28-E28)*O4</f>
        <v>23296.48512</v>
      </c>
      <c r="G28" s="35">
        <v>2.99</v>
      </c>
      <c r="H28" s="36">
        <f t="shared" ref="H28:H31" si="3">IF(F28="","",(F28-J28)*$O$5)</f>
        <v>300.524658</v>
      </c>
      <c r="I28" s="36">
        <f t="shared" ref="I28:I31" si="4">IF(F28="","",(F28-J28)*(1-$O$5)*$O$7)</f>
        <v>45.07208251</v>
      </c>
      <c r="J28" s="34">
        <f t="array" ref="J28">IF(F28="","",IF(ROW()=MAX(IF($C$28:$C$41=C28,ROW($C$28:$C$41),0)),MAX(0,IFERROR(VLOOKUP(C28,$A$10:$L$14,6,FALSE)-VLOOKUP(C28,$A$10:$L$14,5,FALSE),0)),0))</f>
        <v>0</v>
      </c>
      <c r="K28" s="34">
        <f t="shared" ref="K28:K31" si="5">IF(F28="","",F28-H28-I28-J28)</f>
        <v>22950.88838</v>
      </c>
      <c r="L28" s="36">
        <f t="shared" ref="L28:L35" si="6">IF(F28="","",(F28-J28)/VLOOKUP(C28,$A$10:$L$14,5,FALSE)*VLOOKUP(C28,$A$10:$L$14,10,FALSE)*$O$8)</f>
        <v>96.91842687</v>
      </c>
      <c r="M28" s="36">
        <f t="shared" ref="M28:M35" si="7">IF(F28="","",(F28-J28)/VLOOKUP(C28,$A$10:$L$14,5,FALSE)*VLOOKUP(C28,$A$10:$L$14,11,FALSE))</f>
        <v>660.8484363</v>
      </c>
      <c r="N28" s="36">
        <f t="shared" ref="N28:N35" si="8">IF(F28="","",IFERROR(VLOOKUP(C28,$A$10:$L$14,12,FALSE),0)*$O$9)</f>
        <v>85.8</v>
      </c>
      <c r="O28" s="37"/>
    </row>
    <row r="29">
      <c r="A29" s="4">
        <v>46167.0</v>
      </c>
      <c r="B29" s="3" t="s">
        <v>81</v>
      </c>
      <c r="C29" s="3" t="s">
        <v>60</v>
      </c>
      <c r="D29" s="10">
        <v>80500.0</v>
      </c>
      <c r="E29" s="10">
        <v>29560.0</v>
      </c>
      <c r="F29" s="23">
        <f>(D29-E29)*O4</f>
        <v>23105.97648</v>
      </c>
      <c r="G29" s="38">
        <v>2.99</v>
      </c>
      <c r="H29" s="39">
        <f t="shared" si="3"/>
        <v>298.0670966</v>
      </c>
      <c r="I29" s="39">
        <f t="shared" si="4"/>
        <v>44.70350239</v>
      </c>
      <c r="J29" s="23">
        <v>0.0</v>
      </c>
      <c r="K29" s="39">
        <f t="shared" si="5"/>
        <v>22763.20588</v>
      </c>
      <c r="L29" s="8">
        <f t="shared" si="6"/>
        <v>96.12586964</v>
      </c>
      <c r="M29" s="8">
        <f t="shared" si="7"/>
        <v>655.4443019</v>
      </c>
      <c r="N29" s="8">
        <f t="shared" si="8"/>
        <v>85.8</v>
      </c>
      <c r="O29" s="37"/>
    </row>
    <row r="30">
      <c r="A30" s="4">
        <v>46167.0</v>
      </c>
      <c r="B30" s="3" t="s">
        <v>82</v>
      </c>
      <c r="C30" s="3" t="s">
        <v>60</v>
      </c>
      <c r="D30" s="10">
        <v>80320.0</v>
      </c>
      <c r="E30" s="40">
        <v>29767.0</v>
      </c>
      <c r="F30" s="23">
        <f>(D30-E30)*O4</f>
        <v>22930.43638</v>
      </c>
      <c r="G30" s="38">
        <v>2.99</v>
      </c>
      <c r="H30" s="39">
        <f t="shared" si="3"/>
        <v>295.8026293</v>
      </c>
      <c r="I30" s="39">
        <f t="shared" si="4"/>
        <v>44.36388214</v>
      </c>
      <c r="J30" s="23">
        <v>0.0</v>
      </c>
      <c r="K30" s="39">
        <f t="shared" si="5"/>
        <v>22590.26986</v>
      </c>
      <c r="L30" s="8">
        <f t="shared" si="6"/>
        <v>95.39558477</v>
      </c>
      <c r="M30" s="8">
        <f t="shared" si="7"/>
        <v>650.464778</v>
      </c>
      <c r="N30" s="8">
        <f t="shared" si="8"/>
        <v>85.8</v>
      </c>
      <c r="O30" s="37"/>
    </row>
    <row r="31">
      <c r="A31" s="41">
        <v>46167.0</v>
      </c>
      <c r="B31" s="6" t="s">
        <v>83</v>
      </c>
      <c r="C31" s="6" t="s">
        <v>60</v>
      </c>
      <c r="D31" s="42">
        <v>47700.0</v>
      </c>
      <c r="E31" s="42">
        <v>29460.0</v>
      </c>
      <c r="F31" s="42">
        <f>(D31-E31)*$O$4</f>
        <v>8273.51808</v>
      </c>
      <c r="G31" s="43">
        <v>2.99</v>
      </c>
      <c r="H31" s="44">
        <f t="shared" si="3"/>
        <v>105.6136161</v>
      </c>
      <c r="I31" s="44">
        <f t="shared" si="4"/>
        <v>15.83971728</v>
      </c>
      <c r="J31" s="42">
        <f>F10-E10</f>
        <v>86.416056</v>
      </c>
      <c r="K31" s="44">
        <f t="shared" si="5"/>
        <v>8065.648691</v>
      </c>
      <c r="L31" s="42">
        <f t="shared" si="6"/>
        <v>34.06011871</v>
      </c>
      <c r="M31" s="44">
        <f t="shared" si="7"/>
        <v>232.2424839</v>
      </c>
      <c r="N31" s="44">
        <f t="shared" si="8"/>
        <v>85.8</v>
      </c>
      <c r="O31" s="37"/>
    </row>
    <row r="32">
      <c r="A32" s="4">
        <v>46172.0</v>
      </c>
      <c r="B32" s="3" t="s">
        <v>84</v>
      </c>
      <c r="C32" s="3" t="s">
        <v>63</v>
      </c>
      <c r="D32" s="10">
        <v>79780.0</v>
      </c>
      <c r="E32" s="10">
        <v>29540.0</v>
      </c>
      <c r="F32" s="23">
        <v>22788.480668800003</v>
      </c>
      <c r="G32" s="38">
        <v>2.99</v>
      </c>
      <c r="H32" s="23">
        <v>293.97140062752004</v>
      </c>
      <c r="I32" s="23">
        <v>44.665422110848006</v>
      </c>
      <c r="J32" s="23">
        <v>0.0</v>
      </c>
      <c r="K32" s="23">
        <v>22449.843846061634</v>
      </c>
      <c r="L32" s="8">
        <f t="shared" si="6"/>
        <v>94.14918032</v>
      </c>
      <c r="M32" s="8">
        <f t="shared" si="7"/>
        <v>641.9660388</v>
      </c>
      <c r="N32" s="8">
        <f t="shared" si="8"/>
        <v>85.8</v>
      </c>
      <c r="O32" s="37"/>
    </row>
    <row r="33">
      <c r="A33" s="4">
        <v>46172.0</v>
      </c>
      <c r="B33" s="3" t="s">
        <v>85</v>
      </c>
      <c r="C33" s="3" t="s">
        <v>63</v>
      </c>
      <c r="D33" s="10">
        <v>81120.0</v>
      </c>
      <c r="E33" s="10">
        <v>29500.0</v>
      </c>
      <c r="F33" s="23">
        <v>23414.4381394</v>
      </c>
      <c r="G33" s="38">
        <v>2.99</v>
      </c>
      <c r="H33" s="23">
        <v>302.04625199826</v>
      </c>
      <c r="I33" s="23">
        <v>45.892298753224</v>
      </c>
      <c r="J33" s="23">
        <v>0.0</v>
      </c>
      <c r="K33" s="23">
        <v>23066.499588648516</v>
      </c>
      <c r="L33" s="8">
        <f t="shared" si="6"/>
        <v>96.7352844</v>
      </c>
      <c r="M33" s="8">
        <f t="shared" si="7"/>
        <v>659.5996601</v>
      </c>
      <c r="N33" s="8">
        <f t="shared" si="8"/>
        <v>85.8</v>
      </c>
      <c r="O33" s="37"/>
    </row>
    <row r="34">
      <c r="A34" s="41">
        <v>46172.0</v>
      </c>
      <c r="B34" s="45" t="s">
        <v>86</v>
      </c>
      <c r="C34" s="45" t="s">
        <v>63</v>
      </c>
      <c r="D34" s="46">
        <v>79100.0</v>
      </c>
      <c r="E34" s="46">
        <v>29380.0</v>
      </c>
      <c r="F34" s="46">
        <v>22552.6126364</v>
      </c>
      <c r="G34" s="47">
        <v>2.99</v>
      </c>
      <c r="H34" s="46">
        <v>290.92870300956</v>
      </c>
      <c r="I34" s="46">
        <v>44.203120767344004</v>
      </c>
      <c r="J34" s="46">
        <v>0.0</v>
      </c>
      <c r="K34" s="46">
        <v>22217.4808126231</v>
      </c>
      <c r="L34" s="8">
        <f t="shared" si="6"/>
        <v>93.17470632</v>
      </c>
      <c r="M34" s="8">
        <f t="shared" si="7"/>
        <v>635.3214859</v>
      </c>
      <c r="N34" s="8">
        <f t="shared" si="8"/>
        <v>85.8</v>
      </c>
      <c r="O34" s="37"/>
    </row>
    <row r="35">
      <c r="A35" s="4"/>
      <c r="D35" s="8"/>
      <c r="E35" s="8"/>
      <c r="F35" s="10"/>
      <c r="G35" s="48"/>
      <c r="H35" s="8"/>
      <c r="I35" s="8"/>
      <c r="J35" s="8"/>
      <c r="K35" s="8"/>
      <c r="L35" s="8" t="str">
        <f t="shared" si="6"/>
        <v/>
      </c>
      <c r="M35" s="8" t="str">
        <f t="shared" si="7"/>
        <v/>
      </c>
      <c r="N35" s="8" t="str">
        <f t="shared" si="8"/>
        <v/>
      </c>
    </row>
    <row r="36">
      <c r="A36" s="4"/>
      <c r="D36" s="8"/>
      <c r="E36" s="8"/>
      <c r="F36" s="10"/>
      <c r="G36" s="48"/>
      <c r="H36" s="8"/>
      <c r="I36" s="8"/>
      <c r="J36" s="8"/>
      <c r="K36" s="8"/>
      <c r="L36" s="8">
        <f t="shared" ref="L36:N36" si="9">SUM(L27:L34)</f>
        <v>606.559171</v>
      </c>
      <c r="M36" s="8">
        <f t="shared" si="9"/>
        <v>4135.887185</v>
      </c>
      <c r="N36" s="8">
        <f t="shared" si="9"/>
        <v>600.6</v>
      </c>
    </row>
    <row r="37">
      <c r="A37" s="4"/>
      <c r="D37" s="8"/>
      <c r="E37" s="8"/>
      <c r="F37" s="10"/>
      <c r="G37" s="48"/>
      <c r="H37" s="8"/>
      <c r="I37" s="8"/>
      <c r="J37" s="8"/>
      <c r="K37" s="8"/>
      <c r="L37" s="8" t="str">
        <f t="shared" ref="L37:L40" si="10">IF(F37="","",(F37-J37)/VLOOKUP(C37,$A$10:$L$14,5,FALSE)*VLOOKUP(C37,$A$10:$L$14,10,FALSE)*$O$8)</f>
        <v/>
      </c>
      <c r="M37" s="8" t="str">
        <f t="shared" ref="M37:M40" si="11">IF(F37="","",(F37-J37)/VLOOKUP(C37,$A$10:$L$14,5,FALSE)*VLOOKUP(C37,$A$10:$L$14,11,FALSE))</f>
        <v/>
      </c>
      <c r="N37" s="8" t="str">
        <f t="shared" ref="N37:N40" si="12">IF(F37="","",IFERROR(VLOOKUP(C37,$A$10:$L$14,12,FALSE),0)*$O$9)</f>
        <v/>
      </c>
    </row>
    <row r="38">
      <c r="A38" s="4"/>
      <c r="D38" s="8"/>
      <c r="E38" s="8"/>
      <c r="F38" s="10"/>
      <c r="G38" s="48"/>
      <c r="H38" s="8"/>
      <c r="I38" s="8"/>
      <c r="J38" s="8"/>
      <c r="K38" s="8"/>
      <c r="L38" s="8" t="str">
        <f t="shared" si="10"/>
        <v/>
      </c>
      <c r="M38" s="8" t="str">
        <f t="shared" si="11"/>
        <v/>
      </c>
      <c r="N38" s="8" t="str">
        <f t="shared" si="12"/>
        <v/>
      </c>
    </row>
    <row r="39">
      <c r="D39" s="8"/>
      <c r="E39" s="8"/>
      <c r="F39" s="8"/>
      <c r="G39" s="48"/>
      <c r="H39" s="8"/>
      <c r="I39" s="8"/>
      <c r="J39" s="8"/>
      <c r="K39" s="8"/>
      <c r="L39" s="8" t="str">
        <f t="shared" si="10"/>
        <v/>
      </c>
      <c r="M39" s="8" t="str">
        <f t="shared" si="11"/>
        <v/>
      </c>
      <c r="N39" s="8" t="str">
        <f t="shared" si="12"/>
        <v/>
      </c>
    </row>
    <row r="40">
      <c r="D40" s="8"/>
      <c r="E40" s="8"/>
      <c r="F40" s="8"/>
      <c r="G40" s="48"/>
      <c r="H40" s="8"/>
      <c r="I40" s="8"/>
      <c r="J40" s="8"/>
      <c r="K40" s="8"/>
      <c r="L40" s="8" t="str">
        <f t="shared" si="10"/>
        <v/>
      </c>
      <c r="M40" s="8" t="str">
        <f t="shared" si="11"/>
        <v/>
      </c>
      <c r="N40" s="8" t="str">
        <f t="shared" si="12"/>
        <v/>
      </c>
    </row>
    <row r="41">
      <c r="D41" s="8"/>
      <c r="E41" s="8"/>
      <c r="F41" s="8"/>
      <c r="G41" s="48"/>
    </row>
    <row r="42">
      <c r="A42" s="1" t="s">
        <v>87</v>
      </c>
      <c r="B42" s="2"/>
      <c r="C42" s="2"/>
      <c r="D42" s="49"/>
      <c r="E42" s="49"/>
      <c r="F42" s="49"/>
      <c r="G42" s="5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5" t="s">
        <v>88</v>
      </c>
      <c r="B43" s="5" t="s">
        <v>8</v>
      </c>
      <c r="C43" s="5" t="s">
        <v>89</v>
      </c>
      <c r="D43" s="31" t="s">
        <v>10</v>
      </c>
      <c r="E43" s="31" t="s">
        <v>11</v>
      </c>
      <c r="F43" s="31" t="s">
        <v>12</v>
      </c>
      <c r="G43" s="31" t="s">
        <v>75</v>
      </c>
      <c r="H43" s="51" t="s">
        <v>90</v>
      </c>
      <c r="I43" s="51"/>
      <c r="J43" s="51"/>
      <c r="K43" s="51"/>
      <c r="L43" s="5"/>
      <c r="M43" s="5" t="s">
        <v>91</v>
      </c>
      <c r="N43" s="7"/>
      <c r="O43" s="7"/>
      <c r="P43" s="7"/>
      <c r="Q43" s="7"/>
      <c r="R43" s="7"/>
    </row>
    <row r="44">
      <c r="A44" s="8">
        <f>SUM(F28:F40)</f>
        <v>146361.9475</v>
      </c>
      <c r="B44" s="8">
        <f>SUM(J28:J40)</f>
        <v>86.416056</v>
      </c>
      <c r="C44" s="9">
        <f>A44-B44</f>
        <v>146275.5314</v>
      </c>
      <c r="D44" s="8">
        <f t="shared" ref="D44:E44" si="13">SUM(H28:H40)</f>
        <v>1886.954356</v>
      </c>
      <c r="E44" s="8">
        <f t="shared" si="13"/>
        <v>284.740026</v>
      </c>
      <c r="F44" s="8">
        <f>SUM(K28:K40)</f>
        <v>144103.8371</v>
      </c>
      <c r="G44" s="48">
        <f>IFERROR(AVERAGE(G28:G40),"")</f>
        <v>2.99</v>
      </c>
      <c r="H44" s="17">
        <f>IFERROR(SUMPRODUCT(K28:K40,O28:O40)/SUM(K28:K40),"")</f>
        <v>0</v>
      </c>
      <c r="I44" s="48"/>
      <c r="J44" s="48"/>
      <c r="K44" s="48"/>
      <c r="L44" s="48"/>
      <c r="M44" s="27" t="str">
        <f>IFERROR(__xludf.DUMMYFUNCTION("TRIM(TEXTJOIN("", "",TRUE,IFERROR(FILTER(B17:B25,B17:B25&lt;&gt;""""),"""")))"),"2353-R, 2354-R, 2355-R, 2362-R, 2363-R, 2364-R")</f>
        <v>2353-R, 2354-R, 2355-R, 2362-R, 2363-R, 2364-R</v>
      </c>
    </row>
    <row r="45">
      <c r="D45" s="8"/>
      <c r="E45" s="8"/>
      <c r="F45" s="8"/>
      <c r="G45" s="48"/>
    </row>
    <row r="46">
      <c r="D46" s="8"/>
      <c r="E46" s="8"/>
      <c r="F46" s="8"/>
      <c r="G46" s="48"/>
    </row>
    <row r="47">
      <c r="D47" s="8"/>
      <c r="E47" s="8"/>
      <c r="F47" s="8"/>
      <c r="G47" s="48"/>
    </row>
    <row r="48">
      <c r="D48" s="8"/>
      <c r="E48" s="8"/>
      <c r="F48" s="8"/>
      <c r="G48" s="48"/>
    </row>
  </sheetData>
  <hyperlinks>
    <hyperlink r:id="rId1" ref="E3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36</v>
      </c>
      <c r="B2" s="3" t="s">
        <v>2</v>
      </c>
      <c r="K2" s="5" t="s">
        <v>37</v>
      </c>
    </row>
    <row r="3">
      <c r="A3" s="3" t="s">
        <v>3</v>
      </c>
      <c r="B3" s="4">
        <v>46165.0</v>
      </c>
      <c r="K3" s="5" t="s">
        <v>38</v>
      </c>
      <c r="L3" s="12">
        <v>2.20462</v>
      </c>
    </row>
    <row r="4">
      <c r="A4" s="3" t="s">
        <v>4</v>
      </c>
      <c r="B4" s="4">
        <v>46172.0</v>
      </c>
      <c r="K4" s="5" t="s">
        <v>39</v>
      </c>
      <c r="L4" s="12">
        <v>0.453592</v>
      </c>
    </row>
    <row r="5">
      <c r="K5" s="5" t="s">
        <v>40</v>
      </c>
      <c r="L5" s="12">
        <v>0.0129</v>
      </c>
    </row>
    <row r="6">
      <c r="K6" s="5" t="s">
        <v>41</v>
      </c>
      <c r="L6" s="3" t="s">
        <v>42</v>
      </c>
    </row>
    <row r="7">
      <c r="K7" s="3" t="s">
        <v>43</v>
      </c>
      <c r="L7" s="12">
        <v>0.00196</v>
      </c>
    </row>
    <row r="8">
      <c r="A8" s="1" t="s">
        <v>93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67</v>
      </c>
      <c r="B9" s="5" t="s">
        <v>94</v>
      </c>
      <c r="C9" s="21" t="s">
        <v>69</v>
      </c>
      <c r="D9" s="21" t="s">
        <v>70</v>
      </c>
      <c r="E9" s="5" t="s">
        <v>95</v>
      </c>
      <c r="F9" s="5" t="s">
        <v>96</v>
      </c>
      <c r="G9" s="21" t="s">
        <v>97</v>
      </c>
      <c r="H9" s="5" t="s">
        <v>75</v>
      </c>
      <c r="I9" s="5" t="s">
        <v>58</v>
      </c>
      <c r="J9" s="5" t="s">
        <v>10</v>
      </c>
      <c r="K9" s="5" t="s">
        <v>11</v>
      </c>
      <c r="L9" s="5" t="s">
        <v>12</v>
      </c>
      <c r="M9" s="5" t="s">
        <v>90</v>
      </c>
      <c r="N9" s="7"/>
    </row>
    <row r="10">
      <c r="A10" s="4"/>
      <c r="C10" s="23"/>
      <c r="D10" s="23" t="str">
        <f t="shared" ref="D10:D24" si="1">IF(C10="","",C10*1000)</f>
        <v/>
      </c>
      <c r="E10" s="8"/>
      <c r="F10" s="8"/>
      <c r="G10" s="23" t="str">
        <f t="shared" ref="G10:G24" si="2">IF(AND(E10&lt;&gt;"",F10&lt;&gt;""),(E10-F10)*$L$4,"")</f>
        <v/>
      </c>
      <c r="H10" s="48"/>
      <c r="J10" s="27" t="str">
        <f t="shared" ref="J10:J24" si="3">IF(D10="","",D10*$L$5)</f>
        <v/>
      </c>
      <c r="K10" s="27" t="str">
        <f t="shared" ref="K10:K24" si="4">IF(D10="","",(D10-J10)*$L$7)</f>
        <v/>
      </c>
      <c r="L10" s="27" t="str">
        <f t="shared" ref="L10:L24" si="5">IF(D10="","",D10-J10-K10)</f>
        <v/>
      </c>
    </row>
    <row r="11">
      <c r="A11" s="4"/>
      <c r="C11" s="23"/>
      <c r="D11" s="23" t="str">
        <f t="shared" si="1"/>
        <v/>
      </c>
      <c r="E11" s="8"/>
      <c r="F11" s="8"/>
      <c r="G11" s="23" t="str">
        <f t="shared" si="2"/>
        <v/>
      </c>
      <c r="H11" s="48"/>
      <c r="J11" s="27" t="str">
        <f t="shared" si="3"/>
        <v/>
      </c>
      <c r="K11" s="27" t="str">
        <f t="shared" si="4"/>
        <v/>
      </c>
      <c r="L11" s="27" t="str">
        <f t="shared" si="5"/>
        <v/>
      </c>
    </row>
    <row r="12">
      <c r="A12" s="4"/>
      <c r="C12" s="23"/>
      <c r="D12" s="23" t="str">
        <f t="shared" si="1"/>
        <v/>
      </c>
      <c r="E12" s="8"/>
      <c r="F12" s="8"/>
      <c r="G12" s="23" t="str">
        <f t="shared" si="2"/>
        <v/>
      </c>
      <c r="H12" s="48"/>
      <c r="J12" s="27" t="str">
        <f t="shared" si="3"/>
        <v/>
      </c>
      <c r="K12" s="27" t="str">
        <f t="shared" si="4"/>
        <v/>
      </c>
      <c r="L12" s="27" t="str">
        <f t="shared" si="5"/>
        <v/>
      </c>
    </row>
    <row r="13">
      <c r="A13" s="4"/>
      <c r="C13" s="23"/>
      <c r="D13" s="23" t="str">
        <f t="shared" si="1"/>
        <v/>
      </c>
      <c r="E13" s="8"/>
      <c r="F13" s="8"/>
      <c r="G13" s="23" t="str">
        <f t="shared" si="2"/>
        <v/>
      </c>
      <c r="H13" s="48"/>
      <c r="J13" s="27" t="str">
        <f t="shared" si="3"/>
        <v/>
      </c>
      <c r="K13" s="27" t="str">
        <f t="shared" si="4"/>
        <v/>
      </c>
      <c r="L13" s="27" t="str">
        <f t="shared" si="5"/>
        <v/>
      </c>
    </row>
    <row r="14">
      <c r="A14" s="4"/>
      <c r="C14" s="23"/>
      <c r="D14" s="23" t="str">
        <f t="shared" si="1"/>
        <v/>
      </c>
      <c r="E14" s="8"/>
      <c r="F14" s="8"/>
      <c r="G14" s="23" t="str">
        <f t="shared" si="2"/>
        <v/>
      </c>
      <c r="H14" s="48"/>
      <c r="J14" s="27" t="str">
        <f t="shared" si="3"/>
        <v/>
      </c>
      <c r="K14" s="27" t="str">
        <f t="shared" si="4"/>
        <v/>
      </c>
      <c r="L14" s="27" t="str">
        <f t="shared" si="5"/>
        <v/>
      </c>
    </row>
    <row r="15">
      <c r="A15" s="4"/>
      <c r="C15" s="23"/>
      <c r="D15" s="23" t="str">
        <f t="shared" si="1"/>
        <v/>
      </c>
      <c r="E15" s="8"/>
      <c r="F15" s="8"/>
      <c r="G15" s="23" t="str">
        <f t="shared" si="2"/>
        <v/>
      </c>
      <c r="H15" s="48"/>
      <c r="J15" s="27" t="str">
        <f t="shared" si="3"/>
        <v/>
      </c>
      <c r="K15" s="27" t="str">
        <f t="shared" si="4"/>
        <v/>
      </c>
      <c r="L15" s="27" t="str">
        <f t="shared" si="5"/>
        <v/>
      </c>
    </row>
    <row r="16">
      <c r="C16" s="39"/>
      <c r="D16" s="39" t="str">
        <f t="shared" si="1"/>
        <v/>
      </c>
      <c r="E16" s="8"/>
      <c r="F16" s="8"/>
      <c r="G16" s="39" t="str">
        <f t="shared" si="2"/>
        <v/>
      </c>
      <c r="H16" s="48"/>
      <c r="J16" s="27" t="str">
        <f t="shared" si="3"/>
        <v/>
      </c>
      <c r="K16" s="27" t="str">
        <f t="shared" si="4"/>
        <v/>
      </c>
      <c r="L16" s="27" t="str">
        <f t="shared" si="5"/>
        <v/>
      </c>
    </row>
    <row r="17">
      <c r="C17" s="39"/>
      <c r="D17" s="39" t="str">
        <f t="shared" si="1"/>
        <v/>
      </c>
      <c r="E17" s="8"/>
      <c r="F17" s="8"/>
      <c r="G17" s="39" t="str">
        <f t="shared" si="2"/>
        <v/>
      </c>
      <c r="H17" s="48"/>
      <c r="J17" s="27" t="str">
        <f t="shared" si="3"/>
        <v/>
      </c>
      <c r="K17" s="27" t="str">
        <f t="shared" si="4"/>
        <v/>
      </c>
      <c r="L17" s="27" t="str">
        <f t="shared" si="5"/>
        <v/>
      </c>
    </row>
    <row r="18">
      <c r="C18" s="39"/>
      <c r="D18" s="39" t="str">
        <f t="shared" si="1"/>
        <v/>
      </c>
      <c r="E18" s="8"/>
      <c r="F18" s="8"/>
      <c r="G18" s="39" t="str">
        <f t="shared" si="2"/>
        <v/>
      </c>
      <c r="H18" s="48"/>
      <c r="J18" s="27" t="str">
        <f t="shared" si="3"/>
        <v/>
      </c>
      <c r="K18" s="27" t="str">
        <f t="shared" si="4"/>
        <v/>
      </c>
      <c r="L18" s="27" t="str">
        <f t="shared" si="5"/>
        <v/>
      </c>
    </row>
    <row r="19">
      <c r="C19" s="39"/>
      <c r="D19" s="39" t="str">
        <f t="shared" si="1"/>
        <v/>
      </c>
      <c r="E19" s="8"/>
      <c r="F19" s="8"/>
      <c r="G19" s="39" t="str">
        <f t="shared" si="2"/>
        <v/>
      </c>
      <c r="H19" s="48"/>
      <c r="J19" s="27" t="str">
        <f t="shared" si="3"/>
        <v/>
      </c>
      <c r="K19" s="27" t="str">
        <f t="shared" si="4"/>
        <v/>
      </c>
      <c r="L19" s="27" t="str">
        <f t="shared" si="5"/>
        <v/>
      </c>
    </row>
    <row r="20">
      <c r="C20" s="39"/>
      <c r="D20" s="39" t="str">
        <f t="shared" si="1"/>
        <v/>
      </c>
      <c r="E20" s="8"/>
      <c r="F20" s="8"/>
      <c r="G20" s="39" t="str">
        <f t="shared" si="2"/>
        <v/>
      </c>
      <c r="H20" s="48"/>
      <c r="J20" s="27" t="str">
        <f t="shared" si="3"/>
        <v/>
      </c>
      <c r="K20" s="27" t="str">
        <f t="shared" si="4"/>
        <v/>
      </c>
      <c r="L20" s="27" t="str">
        <f t="shared" si="5"/>
        <v/>
      </c>
    </row>
    <row r="21">
      <c r="C21" s="39"/>
      <c r="D21" s="39" t="str">
        <f t="shared" si="1"/>
        <v/>
      </c>
      <c r="E21" s="8"/>
      <c r="F21" s="8"/>
      <c r="G21" s="39" t="str">
        <f t="shared" si="2"/>
        <v/>
      </c>
      <c r="H21" s="48"/>
      <c r="J21" s="27" t="str">
        <f t="shared" si="3"/>
        <v/>
      </c>
      <c r="K21" s="27" t="str">
        <f t="shared" si="4"/>
        <v/>
      </c>
      <c r="L21" s="27" t="str">
        <f t="shared" si="5"/>
        <v/>
      </c>
    </row>
    <row r="22">
      <c r="C22" s="39"/>
      <c r="D22" s="39" t="str">
        <f t="shared" si="1"/>
        <v/>
      </c>
      <c r="E22" s="8"/>
      <c r="F22" s="8"/>
      <c r="G22" s="39" t="str">
        <f t="shared" si="2"/>
        <v/>
      </c>
      <c r="H22" s="48"/>
      <c r="J22" s="27" t="str">
        <f t="shared" si="3"/>
        <v/>
      </c>
      <c r="K22" s="27" t="str">
        <f t="shared" si="4"/>
        <v/>
      </c>
      <c r="L22" s="27" t="str">
        <f t="shared" si="5"/>
        <v/>
      </c>
    </row>
    <row r="23">
      <c r="C23" s="39"/>
      <c r="D23" s="39" t="str">
        <f t="shared" si="1"/>
        <v/>
      </c>
      <c r="E23" s="8"/>
      <c r="F23" s="8"/>
      <c r="G23" s="39" t="str">
        <f t="shared" si="2"/>
        <v/>
      </c>
      <c r="H23" s="48"/>
      <c r="J23" s="27" t="str">
        <f t="shared" si="3"/>
        <v/>
      </c>
      <c r="K23" s="27" t="str">
        <f t="shared" si="4"/>
        <v/>
      </c>
      <c r="L23" s="27" t="str">
        <f t="shared" si="5"/>
        <v/>
      </c>
    </row>
    <row r="24">
      <c r="C24" s="39"/>
      <c r="D24" s="39" t="str">
        <f t="shared" si="1"/>
        <v/>
      </c>
      <c r="E24" s="8"/>
      <c r="F24" s="8"/>
      <c r="G24" s="39" t="str">
        <f t="shared" si="2"/>
        <v/>
      </c>
      <c r="H24" s="48"/>
      <c r="J24" s="27" t="str">
        <f t="shared" si="3"/>
        <v/>
      </c>
      <c r="K24" s="27" t="str">
        <f t="shared" si="4"/>
        <v/>
      </c>
      <c r="L24" s="27" t="str">
        <f t="shared" si="5"/>
        <v/>
      </c>
    </row>
    <row r="25">
      <c r="C25" s="8"/>
      <c r="D25" s="8"/>
      <c r="E25" s="8"/>
      <c r="F25" s="8"/>
      <c r="G25" s="8"/>
      <c r="H25" s="48"/>
    </row>
    <row r="26">
      <c r="A26" s="1" t="s">
        <v>98</v>
      </c>
      <c r="B26" s="2"/>
      <c r="C26" s="49"/>
      <c r="D26" s="49"/>
      <c r="E26" s="49"/>
      <c r="F26" s="49"/>
      <c r="G26" s="49"/>
      <c r="H26" s="50"/>
      <c r="I26" s="2"/>
      <c r="J26" s="2"/>
      <c r="K26" s="2"/>
      <c r="L26" s="2"/>
      <c r="M26" s="2"/>
      <c r="N26" s="2"/>
    </row>
    <row r="27">
      <c r="A27" s="5" t="s">
        <v>99</v>
      </c>
      <c r="B27" s="5" t="s">
        <v>100</v>
      </c>
      <c r="C27" s="31" t="s">
        <v>9</v>
      </c>
      <c r="D27" s="31" t="s">
        <v>10</v>
      </c>
      <c r="E27" s="31" t="s">
        <v>11</v>
      </c>
      <c r="F27" s="31" t="s">
        <v>76</v>
      </c>
      <c r="G27" s="31" t="s">
        <v>12</v>
      </c>
      <c r="H27" s="51" t="s">
        <v>75</v>
      </c>
      <c r="I27" s="5" t="s">
        <v>101</v>
      </c>
      <c r="J27" s="5"/>
      <c r="K27" s="5" t="s">
        <v>91</v>
      </c>
      <c r="L27" s="7"/>
      <c r="M27" s="7"/>
      <c r="N27" s="7"/>
    </row>
    <row r="28">
      <c r="A28" s="8">
        <f>SUMIFS(D10:D24,B10:B24,"&lt;&gt;")</f>
        <v>0</v>
      </c>
      <c r="B28" s="8">
        <f>SUMIFS(G10:G24,B10:B24,"&lt;&gt;")</f>
        <v>0</v>
      </c>
      <c r="C28" s="9">
        <f>A28</f>
        <v>0</v>
      </c>
      <c r="D28" s="8">
        <f>C28*$L$5</f>
        <v>0</v>
      </c>
      <c r="E28" s="10">
        <f>(C28-D28)*$L$7</f>
        <v>0</v>
      </c>
      <c r="F28" s="38">
        <v>0.0</v>
      </c>
      <c r="G28" s="48">
        <f>C28-D28-E28-F28</f>
        <v>0</v>
      </c>
      <c r="H28" s="48" t="str">
        <f>IFERROR(AVERAGE(H10:H24),"")</f>
        <v/>
      </c>
      <c r="I28" s="27" t="str">
        <f>IFERROR(SUMPRODUCT(L10:L24,M10:M24)/SUM(L10:L24),"")</f>
        <v/>
      </c>
      <c r="K28" s="27" t="str">
        <f>IFERROR(__xludf.DUMMYFUNCTION("TRIM(TEXTJOIN("", "",TRUE,IFERROR(FILTER(B10:B24,B10:B24&lt;&gt;""""),"""")))"),"")</f>
        <v/>
      </c>
    </row>
    <row r="29">
      <c r="C29" s="8"/>
      <c r="D29" s="8"/>
      <c r="E29" s="8"/>
      <c r="F29" s="8"/>
      <c r="G29" s="8"/>
      <c r="H29" s="48"/>
    </row>
    <row r="30">
      <c r="C30" s="8"/>
      <c r="D30" s="8"/>
      <c r="E30" s="8"/>
      <c r="F30" s="8"/>
      <c r="G30" s="8"/>
      <c r="H30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36</v>
      </c>
      <c r="B2" s="3" t="s">
        <v>2</v>
      </c>
      <c r="K2" s="5" t="s">
        <v>37</v>
      </c>
    </row>
    <row r="3">
      <c r="A3" s="3" t="s">
        <v>3</v>
      </c>
      <c r="B3" s="4">
        <v>46165.0</v>
      </c>
      <c r="K3" s="5" t="s">
        <v>38</v>
      </c>
      <c r="L3" s="12">
        <v>2.20462</v>
      </c>
    </row>
    <row r="4">
      <c r="A4" s="3" t="s">
        <v>4</v>
      </c>
      <c r="B4" s="4">
        <v>46172.0</v>
      </c>
      <c r="K4" s="5" t="s">
        <v>39</v>
      </c>
      <c r="L4" s="12">
        <v>0.453592</v>
      </c>
    </row>
    <row r="5">
      <c r="K5" s="5" t="s">
        <v>40</v>
      </c>
      <c r="L5" s="12">
        <v>0.0129</v>
      </c>
    </row>
    <row r="6">
      <c r="K6" s="5" t="s">
        <v>41</v>
      </c>
      <c r="L6" s="3" t="s">
        <v>42</v>
      </c>
    </row>
    <row r="8">
      <c r="A8" s="1" t="s">
        <v>103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67</v>
      </c>
      <c r="B9" s="5" t="s">
        <v>104</v>
      </c>
      <c r="C9" s="5" t="s">
        <v>105</v>
      </c>
      <c r="D9" s="5" t="s">
        <v>106</v>
      </c>
      <c r="E9" s="21" t="s">
        <v>107</v>
      </c>
      <c r="F9" s="5" t="s">
        <v>108</v>
      </c>
      <c r="G9" s="5" t="s">
        <v>109</v>
      </c>
      <c r="H9" s="5" t="s">
        <v>75</v>
      </c>
      <c r="I9" s="5" t="s">
        <v>58</v>
      </c>
      <c r="J9" s="7"/>
      <c r="K9" s="7"/>
      <c r="L9" s="7"/>
      <c r="M9" s="7"/>
    </row>
    <row r="10">
      <c r="A10" s="4"/>
      <c r="C10" s="8"/>
      <c r="D10" s="8"/>
      <c r="E10" s="23"/>
      <c r="F10" s="8"/>
      <c r="G10" s="8"/>
      <c r="H10" s="48"/>
    </row>
    <row r="11">
      <c r="A11" s="4"/>
      <c r="C11" s="8"/>
      <c r="D11" s="8"/>
      <c r="E11" s="23"/>
      <c r="F11" s="8"/>
      <c r="G11" s="8"/>
      <c r="H11" s="48"/>
    </row>
    <row r="12">
      <c r="A12" s="4"/>
      <c r="C12" s="8"/>
      <c r="D12" s="8"/>
      <c r="E12" s="23"/>
      <c r="F12" s="8"/>
      <c r="G12" s="8"/>
      <c r="H12" s="48"/>
    </row>
    <row r="13">
      <c r="A13" s="4"/>
      <c r="C13" s="8"/>
      <c r="D13" s="8"/>
      <c r="E13" s="23"/>
      <c r="F13" s="8"/>
      <c r="G13" s="8"/>
      <c r="H13" s="48"/>
    </row>
    <row r="14">
      <c r="A14" s="4"/>
      <c r="C14" s="8"/>
      <c r="D14" s="8"/>
      <c r="E14" s="23"/>
      <c r="F14" s="8"/>
      <c r="G14" s="8"/>
      <c r="H14" s="48"/>
    </row>
    <row r="15">
      <c r="A15" s="4"/>
      <c r="C15" s="8"/>
      <c r="D15" s="8"/>
      <c r="E15" s="23"/>
      <c r="F15" s="8"/>
      <c r="G15" s="8"/>
      <c r="H15" s="48"/>
    </row>
    <row r="16">
      <c r="C16" s="8"/>
      <c r="D16" s="8"/>
      <c r="E16" s="39"/>
      <c r="F16" s="8"/>
      <c r="G16" s="8"/>
      <c r="H16" s="48"/>
    </row>
    <row r="17">
      <c r="C17" s="8"/>
      <c r="D17" s="8"/>
      <c r="E17" s="39"/>
      <c r="F17" s="8"/>
      <c r="G17" s="8"/>
      <c r="H17" s="48"/>
    </row>
    <row r="18">
      <c r="C18" s="8"/>
      <c r="D18" s="8"/>
      <c r="E18" s="39"/>
      <c r="F18" s="8"/>
      <c r="G18" s="8"/>
      <c r="H18" s="48"/>
    </row>
    <row r="19">
      <c r="C19" s="8"/>
      <c r="D19" s="8"/>
      <c r="E19" s="39"/>
      <c r="F19" s="8"/>
      <c r="G19" s="8"/>
      <c r="H19" s="48"/>
    </row>
    <row r="20">
      <c r="C20" s="8"/>
      <c r="D20" s="8"/>
      <c r="E20" s="39"/>
      <c r="F20" s="8"/>
      <c r="G20" s="8"/>
      <c r="H20" s="48"/>
    </row>
    <row r="21">
      <c r="C21" s="8"/>
      <c r="D21" s="8"/>
      <c r="E21" s="39"/>
      <c r="F21" s="8"/>
      <c r="G21" s="8"/>
      <c r="H21" s="48"/>
    </row>
    <row r="22">
      <c r="C22" s="8"/>
      <c r="D22" s="8"/>
      <c r="E22" s="39"/>
      <c r="F22" s="8"/>
      <c r="G22" s="8"/>
      <c r="H22" s="48"/>
    </row>
    <row r="23">
      <c r="C23" s="8"/>
      <c r="D23" s="8"/>
      <c r="E23" s="39"/>
      <c r="F23" s="8"/>
      <c r="G23" s="8"/>
      <c r="H23" s="48"/>
    </row>
    <row r="24">
      <c r="C24" s="8"/>
      <c r="D24" s="8"/>
      <c r="E24" s="39"/>
      <c r="F24" s="8"/>
      <c r="G24" s="8"/>
      <c r="H24" s="48"/>
    </row>
    <row r="25">
      <c r="C25" s="8"/>
      <c r="D25" s="8"/>
      <c r="E25" s="39"/>
      <c r="F25" s="8"/>
      <c r="G25" s="8"/>
      <c r="H25" s="48"/>
    </row>
    <row r="26">
      <c r="C26" s="8"/>
      <c r="D26" s="8"/>
      <c r="E26" s="39"/>
      <c r="F26" s="8"/>
      <c r="G26" s="8"/>
      <c r="H26" s="48"/>
    </row>
    <row r="27">
      <c r="C27" s="8"/>
      <c r="D27" s="8"/>
      <c r="E27" s="39"/>
      <c r="F27" s="8"/>
      <c r="G27" s="8"/>
      <c r="H27" s="48"/>
    </row>
    <row r="28">
      <c r="C28" s="8"/>
      <c r="D28" s="8"/>
      <c r="E28" s="39"/>
      <c r="F28" s="8"/>
      <c r="G28" s="8"/>
      <c r="H28" s="48"/>
    </row>
    <row r="29">
      <c r="C29" s="8"/>
      <c r="D29" s="8"/>
      <c r="E29" s="39"/>
      <c r="F29" s="8"/>
      <c r="G29" s="8"/>
      <c r="H29" s="48"/>
    </row>
    <row r="30">
      <c r="C30" s="8"/>
      <c r="D30" s="8"/>
      <c r="E30" s="8"/>
      <c r="F30" s="8"/>
      <c r="G30" s="8"/>
      <c r="H30" s="48"/>
    </row>
    <row r="31">
      <c r="A31" s="1" t="s">
        <v>110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 t="s">
        <v>111</v>
      </c>
      <c r="B32" s="5" t="s">
        <v>10</v>
      </c>
      <c r="C32" s="5" t="s">
        <v>12</v>
      </c>
      <c r="D32" s="5" t="s">
        <v>75</v>
      </c>
      <c r="E32" s="5"/>
      <c r="F32" s="5"/>
      <c r="G32" s="5" t="s">
        <v>112</v>
      </c>
      <c r="H32" s="7"/>
      <c r="I32" s="7"/>
      <c r="J32" s="7"/>
      <c r="K32" s="7"/>
      <c r="L32" s="7"/>
      <c r="M32" s="7"/>
      <c r="N32" s="7"/>
    </row>
    <row r="33">
      <c r="A33" s="8">
        <f>SUMIFS(G10:G29,B10:B29,"&lt;&gt;")</f>
        <v>0</v>
      </c>
      <c r="B33" s="8">
        <f>A33*$L$5</f>
        <v>0</v>
      </c>
      <c r="C33" s="8">
        <f>A33-B33</f>
        <v>0</v>
      </c>
      <c r="D33" s="48" t="str">
        <f>IFERROR(AVERAGE(H10:H29),"")</f>
        <v/>
      </c>
      <c r="E33" s="48"/>
      <c r="F33" s="48"/>
      <c r="G33" s="27" t="str">
        <f>IFERROR(__xludf.DUMMYFUNCTION("TRIM(TEXTJOIN("", "",TRUE,IFERROR(FILTER(B10:B29,B10:B29&lt;&gt;""""),"""")))"),"")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36</v>
      </c>
      <c r="B2" s="3" t="s">
        <v>2</v>
      </c>
      <c r="J2" s="5"/>
      <c r="L2" s="3" t="s">
        <v>37</v>
      </c>
    </row>
    <row r="3">
      <c r="A3" s="3" t="s">
        <v>3</v>
      </c>
      <c r="B3" s="4">
        <v>46165.0</v>
      </c>
      <c r="J3" s="5"/>
      <c r="L3" s="3" t="s">
        <v>38</v>
      </c>
      <c r="M3" s="12">
        <v>2.20462</v>
      </c>
    </row>
    <row r="4">
      <c r="A4" s="3" t="s">
        <v>4</v>
      </c>
      <c r="B4" s="4">
        <v>46172.0</v>
      </c>
      <c r="J4" s="5"/>
      <c r="L4" s="3" t="s">
        <v>39</v>
      </c>
      <c r="M4" s="12">
        <v>0.453592</v>
      </c>
    </row>
    <row r="5">
      <c r="J5" s="5"/>
      <c r="L5" s="3" t="s">
        <v>40</v>
      </c>
      <c r="M5" s="12">
        <v>0.0129</v>
      </c>
    </row>
    <row r="6">
      <c r="J6" s="5"/>
      <c r="L6" s="3" t="s">
        <v>41</v>
      </c>
      <c r="M6" s="3" t="s">
        <v>42</v>
      </c>
    </row>
    <row r="7">
      <c r="L7" s="3" t="s">
        <v>29</v>
      </c>
      <c r="M7" s="12">
        <v>0.004</v>
      </c>
    </row>
    <row r="8">
      <c r="A8" s="1" t="s">
        <v>114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67</v>
      </c>
      <c r="B9" s="5" t="s">
        <v>104</v>
      </c>
      <c r="C9" s="21" t="s">
        <v>107</v>
      </c>
      <c r="D9" s="21" t="s">
        <v>115</v>
      </c>
      <c r="E9" s="5" t="s">
        <v>108</v>
      </c>
      <c r="F9" s="5" t="s">
        <v>109</v>
      </c>
      <c r="G9" s="21" t="s">
        <v>75</v>
      </c>
      <c r="H9" s="5" t="s">
        <v>58</v>
      </c>
      <c r="I9" s="5" t="s">
        <v>90</v>
      </c>
      <c r="J9" s="5" t="s">
        <v>28</v>
      </c>
      <c r="K9" s="5" t="s">
        <v>116</v>
      </c>
      <c r="L9" s="7"/>
      <c r="M9" s="7"/>
    </row>
    <row r="10">
      <c r="A10" s="4"/>
      <c r="C10" s="23"/>
      <c r="D10" s="23"/>
      <c r="E10" s="8"/>
      <c r="F10" s="8"/>
      <c r="G10" s="23"/>
    </row>
    <row r="11">
      <c r="A11" s="4"/>
      <c r="C11" s="23"/>
      <c r="D11" s="23"/>
      <c r="E11" s="8"/>
      <c r="F11" s="8"/>
      <c r="G11" s="23"/>
    </row>
    <row r="12">
      <c r="A12" s="4"/>
      <c r="C12" s="23"/>
      <c r="D12" s="23"/>
      <c r="E12" s="8"/>
      <c r="F12" s="8"/>
      <c r="G12" s="23"/>
    </row>
    <row r="13">
      <c r="A13" s="4"/>
      <c r="C13" s="23"/>
      <c r="D13" s="23"/>
      <c r="E13" s="8"/>
      <c r="F13" s="8"/>
      <c r="G13" s="23"/>
    </row>
    <row r="14">
      <c r="C14" s="39"/>
      <c r="D14" s="39"/>
      <c r="E14" s="8"/>
      <c r="F14" s="8"/>
      <c r="G14" s="39"/>
    </row>
    <row r="15">
      <c r="C15" s="39"/>
      <c r="D15" s="39"/>
      <c r="E15" s="8"/>
      <c r="F15" s="8"/>
      <c r="G15" s="39"/>
    </row>
    <row r="16">
      <c r="C16" s="39"/>
      <c r="D16" s="39"/>
      <c r="E16" s="8"/>
      <c r="F16" s="8"/>
      <c r="G16" s="39"/>
    </row>
    <row r="17">
      <c r="C17" s="39"/>
      <c r="D17" s="39"/>
      <c r="E17" s="8"/>
      <c r="F17" s="8"/>
      <c r="G17" s="39"/>
    </row>
    <row r="18">
      <c r="C18" s="39"/>
      <c r="D18" s="39"/>
      <c r="E18" s="8"/>
      <c r="F18" s="8"/>
      <c r="G18" s="39"/>
    </row>
    <row r="19">
      <c r="C19" s="39"/>
      <c r="D19" s="39"/>
      <c r="E19" s="8"/>
      <c r="F19" s="8"/>
      <c r="G19" s="39"/>
    </row>
    <row r="20">
      <c r="C20" s="39"/>
      <c r="D20" s="39"/>
      <c r="E20" s="8"/>
      <c r="F20" s="8"/>
      <c r="G20" s="39"/>
    </row>
    <row r="21">
      <c r="C21" s="39"/>
      <c r="D21" s="39"/>
      <c r="E21" s="8"/>
      <c r="F21" s="8"/>
      <c r="G21" s="39"/>
    </row>
    <row r="22">
      <c r="C22" s="39"/>
      <c r="D22" s="39"/>
      <c r="E22" s="8"/>
      <c r="F22" s="8"/>
      <c r="G22" s="39"/>
    </row>
    <row r="23">
      <c r="C23" s="39"/>
      <c r="D23" s="39"/>
      <c r="E23" s="8"/>
      <c r="F23" s="8"/>
      <c r="G23" s="39"/>
    </row>
    <row r="24">
      <c r="C24" s="39"/>
      <c r="D24" s="39"/>
      <c r="E24" s="8"/>
      <c r="F24" s="8"/>
      <c r="G24" s="39"/>
    </row>
    <row r="25">
      <c r="C25" s="8"/>
      <c r="D25" s="8"/>
      <c r="E25" s="8"/>
      <c r="F25" s="8"/>
      <c r="G25" s="8"/>
    </row>
    <row r="26">
      <c r="A26" s="1"/>
      <c r="B26" s="2"/>
      <c r="C26" s="49"/>
      <c r="D26" s="49"/>
      <c r="E26" s="49"/>
      <c r="F26" s="49"/>
      <c r="G26" s="49"/>
      <c r="H26" s="2"/>
      <c r="I26" s="2"/>
      <c r="J26" s="2"/>
      <c r="K26" s="2"/>
      <c r="L26" s="2"/>
      <c r="M26" s="2"/>
    </row>
    <row r="27">
      <c r="A27" s="5"/>
      <c r="B27" s="5"/>
      <c r="C27" s="31"/>
      <c r="D27" s="31"/>
      <c r="E27" s="31"/>
      <c r="F27" s="31"/>
      <c r="G27" s="31"/>
      <c r="H27" s="5"/>
      <c r="I27" s="7"/>
      <c r="J27" s="7"/>
      <c r="K27" s="7"/>
      <c r="L27" s="7"/>
      <c r="M27" s="7"/>
    </row>
    <row r="28">
      <c r="A28" s="8"/>
      <c r="B28" s="8"/>
      <c r="C28" s="9"/>
      <c r="D28" s="8"/>
      <c r="E28" s="10"/>
      <c r="F28" s="10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A31" s="3" t="s">
        <v>110</v>
      </c>
    </row>
    <row r="32">
      <c r="A32" s="3" t="s">
        <v>111</v>
      </c>
      <c r="B32" s="3" t="s">
        <v>10</v>
      </c>
      <c r="C32" s="3" t="s">
        <v>12</v>
      </c>
      <c r="D32" s="3" t="s">
        <v>75</v>
      </c>
      <c r="E32" s="3" t="s">
        <v>101</v>
      </c>
      <c r="F32" s="3"/>
      <c r="G32" s="3" t="s">
        <v>112</v>
      </c>
    </row>
    <row r="33">
      <c r="A33" s="27">
        <f>SUMIFS(F10:F29,B10:B29,"&lt;&gt;")</f>
        <v>0</v>
      </c>
      <c r="B33" s="27">
        <f>A33*$M$5</f>
        <v>0</v>
      </c>
      <c r="C33" s="27">
        <f>A33-B33</f>
        <v>0</v>
      </c>
      <c r="D33" s="27" t="str">
        <f>IFERROR(AVERAGE(G10:G29),"")</f>
        <v/>
      </c>
      <c r="E33" s="27" t="str">
        <f>IFERROR(__xludf.DUMMYFUNCTION("IFERROR(AVERAGE.WEIGHTED(I10:I29,F10:F29),"""")"),"")</f>
        <v/>
      </c>
      <c r="G33" s="27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36</v>
      </c>
      <c r="B2" s="3" t="s">
        <v>2</v>
      </c>
      <c r="K2" s="5" t="s">
        <v>37</v>
      </c>
    </row>
    <row r="3">
      <c r="A3" s="3" t="s">
        <v>3</v>
      </c>
      <c r="B3" s="4">
        <v>46165.0</v>
      </c>
      <c r="K3" s="5" t="s">
        <v>38</v>
      </c>
      <c r="L3" s="12">
        <v>2.20462</v>
      </c>
    </row>
    <row r="4">
      <c r="A4" s="3" t="s">
        <v>4</v>
      </c>
      <c r="B4" s="4">
        <v>46172.0</v>
      </c>
      <c r="K4" s="5" t="s">
        <v>39</v>
      </c>
      <c r="L4" s="12">
        <v>0.453592</v>
      </c>
    </row>
    <row r="5">
      <c r="K5" s="5" t="s">
        <v>40</v>
      </c>
      <c r="L5" s="12">
        <v>0.0129</v>
      </c>
    </row>
    <row r="6">
      <c r="K6" s="5" t="s">
        <v>41</v>
      </c>
      <c r="L6" s="3" t="s">
        <v>42</v>
      </c>
    </row>
    <row r="8">
      <c r="A8" s="1" t="s">
        <v>118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2"/>
      <c r="B9" s="53" t="s">
        <v>119</v>
      </c>
      <c r="C9" s="53"/>
      <c r="D9" s="53" t="s">
        <v>120</v>
      </c>
      <c r="E9" s="5"/>
      <c r="F9" s="5" t="s">
        <v>121</v>
      </c>
      <c r="G9" s="5"/>
      <c r="H9" s="5"/>
      <c r="I9" s="5"/>
    </row>
    <row r="10">
      <c r="A10" s="54" t="s">
        <v>122</v>
      </c>
      <c r="B10" s="55" t="s">
        <v>123</v>
      </c>
      <c r="C10" s="55" t="s">
        <v>124</v>
      </c>
      <c r="D10" s="55" t="s">
        <v>125</v>
      </c>
      <c r="E10" s="55" t="s">
        <v>126</v>
      </c>
      <c r="F10" s="55" t="s">
        <v>127</v>
      </c>
      <c r="G10" s="5" t="s">
        <v>128</v>
      </c>
      <c r="H10" s="5" t="s">
        <v>129</v>
      </c>
      <c r="I10" s="5" t="s">
        <v>130</v>
      </c>
      <c r="J10" s="5" t="s">
        <v>131</v>
      </c>
    </row>
    <row r="11">
      <c r="A11" s="56">
        <v>120591.0</v>
      </c>
      <c r="B11" s="57">
        <v>993.0</v>
      </c>
      <c r="C11" s="58">
        <v>57.6</v>
      </c>
      <c r="D11" s="57">
        <f>B11-C11</f>
        <v>935.4</v>
      </c>
      <c r="E11" s="57">
        <v>228.10000000000002</v>
      </c>
      <c r="F11" s="57">
        <f t="shared" ref="F11:F51" si="1">B11-E11</f>
        <v>764.9</v>
      </c>
      <c r="G11" s="3" t="s">
        <v>132</v>
      </c>
      <c r="H11" s="12">
        <v>0.1575553394801048</v>
      </c>
      <c r="I11" s="27">
        <f t="shared" ref="I11:I51" si="2">H11*D11</f>
        <v>147.3772645</v>
      </c>
      <c r="J11" s="27">
        <f t="shared" ref="J11:J51" si="3">2.5*$L$4</f>
        <v>1.13398</v>
      </c>
    </row>
    <row r="12">
      <c r="A12" s="56">
        <v>120548.0</v>
      </c>
      <c r="B12" s="57">
        <v>1024.0</v>
      </c>
      <c r="C12" s="58">
        <v>57.6</v>
      </c>
      <c r="D12" s="58">
        <v>901.4</v>
      </c>
      <c r="E12" s="59">
        <v>122.60000000000002</v>
      </c>
      <c r="F12" s="57">
        <f t="shared" si="1"/>
        <v>901.4</v>
      </c>
      <c r="G12" s="3" t="s">
        <v>133</v>
      </c>
      <c r="H12" s="12">
        <v>0.1575553394801048</v>
      </c>
      <c r="I12" s="27">
        <f t="shared" si="2"/>
        <v>142.020383</v>
      </c>
      <c r="J12" s="27">
        <f t="shared" si="3"/>
        <v>1.13398</v>
      </c>
    </row>
    <row r="13">
      <c r="A13" s="56">
        <v>120568.0</v>
      </c>
      <c r="B13" s="57">
        <v>1056.0</v>
      </c>
      <c r="C13" s="58">
        <v>57.6</v>
      </c>
      <c r="D13" s="57">
        <f t="shared" ref="D13:D51" si="4">B13-C13</f>
        <v>998.4</v>
      </c>
      <c r="E13" s="57">
        <v>576.1</v>
      </c>
      <c r="F13" s="57">
        <f t="shared" si="1"/>
        <v>479.9</v>
      </c>
      <c r="G13" s="3" t="s">
        <v>134</v>
      </c>
      <c r="H13" s="12">
        <v>0.1575553394801048</v>
      </c>
      <c r="I13" s="27">
        <f t="shared" si="2"/>
        <v>157.3032509</v>
      </c>
      <c r="J13" s="27">
        <f t="shared" si="3"/>
        <v>1.13398</v>
      </c>
    </row>
    <row r="14">
      <c r="A14" s="56">
        <v>120564.0</v>
      </c>
      <c r="B14" s="57">
        <v>1014.0</v>
      </c>
      <c r="C14" s="58">
        <v>57.6</v>
      </c>
      <c r="D14" s="57">
        <f t="shared" si="4"/>
        <v>956.4</v>
      </c>
      <c r="E14" s="57">
        <v>214.60000000000002</v>
      </c>
      <c r="F14" s="57">
        <f t="shared" si="1"/>
        <v>799.4</v>
      </c>
      <c r="G14" s="3" t="s">
        <v>135</v>
      </c>
      <c r="H14" s="12">
        <v>0.1575553394801048</v>
      </c>
      <c r="I14" s="27">
        <f t="shared" si="2"/>
        <v>150.6859267</v>
      </c>
      <c r="J14" s="27">
        <f t="shared" si="3"/>
        <v>1.13398</v>
      </c>
    </row>
    <row r="15">
      <c r="A15" s="56">
        <v>120528.0</v>
      </c>
      <c r="B15" s="57">
        <v>1082.0</v>
      </c>
      <c r="C15" s="58">
        <v>57.6</v>
      </c>
      <c r="D15" s="57">
        <f t="shared" si="4"/>
        <v>1024.4</v>
      </c>
      <c r="E15" s="57">
        <v>294.1</v>
      </c>
      <c r="F15" s="57">
        <f t="shared" si="1"/>
        <v>787.9</v>
      </c>
      <c r="G15" s="3" t="s">
        <v>136</v>
      </c>
      <c r="H15" s="12">
        <v>0.1575553394801048</v>
      </c>
      <c r="I15" s="27">
        <f t="shared" si="2"/>
        <v>161.3996898</v>
      </c>
      <c r="J15" s="27">
        <f t="shared" si="3"/>
        <v>1.13398</v>
      </c>
    </row>
    <row r="16">
      <c r="A16" s="56">
        <v>120531.0</v>
      </c>
      <c r="B16" s="57">
        <v>1015.0</v>
      </c>
      <c r="C16" s="58">
        <v>57.6</v>
      </c>
      <c r="D16" s="57">
        <f t="shared" si="4"/>
        <v>957.4</v>
      </c>
      <c r="E16" s="57">
        <v>149.60000000000002</v>
      </c>
      <c r="F16" s="57">
        <f t="shared" si="1"/>
        <v>865.4</v>
      </c>
      <c r="G16" s="3" t="s">
        <v>137</v>
      </c>
      <c r="H16" s="12">
        <v>0.1575553394801048</v>
      </c>
      <c r="I16" s="27">
        <f t="shared" si="2"/>
        <v>150.843482</v>
      </c>
      <c r="J16" s="27">
        <f t="shared" si="3"/>
        <v>1.13398</v>
      </c>
    </row>
    <row r="17">
      <c r="A17" s="56">
        <v>120513.0</v>
      </c>
      <c r="B17" s="57">
        <v>942.0</v>
      </c>
      <c r="C17" s="58">
        <v>57.6</v>
      </c>
      <c r="D17" s="57">
        <f t="shared" si="4"/>
        <v>884.4</v>
      </c>
      <c r="E17" s="57">
        <v>230.10000000000002</v>
      </c>
      <c r="F17" s="57">
        <f t="shared" si="1"/>
        <v>711.9</v>
      </c>
      <c r="G17" s="3" t="s">
        <v>138</v>
      </c>
      <c r="H17" s="12">
        <v>0.1575553394801048</v>
      </c>
      <c r="I17" s="27">
        <f t="shared" si="2"/>
        <v>139.3419422</v>
      </c>
      <c r="J17" s="27">
        <f t="shared" si="3"/>
        <v>1.13398</v>
      </c>
    </row>
    <row r="18">
      <c r="A18" s="56">
        <v>120576.0</v>
      </c>
      <c r="B18" s="57">
        <v>1010.0</v>
      </c>
      <c r="C18" s="58">
        <v>57.6</v>
      </c>
      <c r="D18" s="57">
        <f t="shared" si="4"/>
        <v>952.4</v>
      </c>
      <c r="E18" s="57">
        <v>181.60000000000002</v>
      </c>
      <c r="F18" s="57">
        <f t="shared" si="1"/>
        <v>828.4</v>
      </c>
      <c r="G18" s="3" t="s">
        <v>139</v>
      </c>
      <c r="H18" s="12">
        <v>0.1575553394801048</v>
      </c>
      <c r="I18" s="27">
        <f t="shared" si="2"/>
        <v>150.0557053</v>
      </c>
      <c r="J18" s="27">
        <f t="shared" si="3"/>
        <v>1.13398</v>
      </c>
    </row>
    <row r="19">
      <c r="A19" s="56">
        <v>120517.0</v>
      </c>
      <c r="B19" s="57">
        <v>977.0</v>
      </c>
      <c r="C19" s="58">
        <v>57.6</v>
      </c>
      <c r="D19" s="57">
        <f t="shared" si="4"/>
        <v>919.4</v>
      </c>
      <c r="E19" s="57">
        <v>219.10000000000002</v>
      </c>
      <c r="F19" s="57">
        <f t="shared" si="1"/>
        <v>757.9</v>
      </c>
      <c r="G19" s="3" t="s">
        <v>140</v>
      </c>
      <c r="H19" s="12">
        <v>0.1575553394801048</v>
      </c>
      <c r="I19" s="27">
        <f t="shared" si="2"/>
        <v>144.8563791</v>
      </c>
      <c r="J19" s="27">
        <f t="shared" si="3"/>
        <v>1.13398</v>
      </c>
    </row>
    <row r="20">
      <c r="A20" s="56">
        <v>120558.0</v>
      </c>
      <c r="B20" s="57">
        <v>993.0</v>
      </c>
      <c r="C20" s="58">
        <v>57.6</v>
      </c>
      <c r="D20" s="57">
        <f t="shared" si="4"/>
        <v>935.4</v>
      </c>
      <c r="E20" s="59">
        <v>122.60000000000002</v>
      </c>
      <c r="F20" s="57">
        <f t="shared" si="1"/>
        <v>870.4</v>
      </c>
      <c r="G20" s="3" t="s">
        <v>141</v>
      </c>
      <c r="H20" s="12">
        <v>0.1575553394801048</v>
      </c>
      <c r="I20" s="27">
        <f t="shared" si="2"/>
        <v>147.3772645</v>
      </c>
      <c r="J20" s="27">
        <f t="shared" si="3"/>
        <v>1.13398</v>
      </c>
    </row>
    <row r="21">
      <c r="A21" s="56">
        <v>120515.0</v>
      </c>
      <c r="B21" s="57">
        <v>1088.0</v>
      </c>
      <c r="C21" s="58">
        <v>57.6</v>
      </c>
      <c r="D21" s="57">
        <f t="shared" si="4"/>
        <v>1030.4</v>
      </c>
      <c r="E21" s="57">
        <v>257.6</v>
      </c>
      <c r="F21" s="57">
        <f t="shared" si="1"/>
        <v>830.4</v>
      </c>
      <c r="G21" s="3" t="s">
        <v>142</v>
      </c>
      <c r="H21" s="12">
        <v>0.1575553394801048</v>
      </c>
      <c r="I21" s="27">
        <f t="shared" si="2"/>
        <v>162.3450218</v>
      </c>
      <c r="J21" s="27">
        <f t="shared" si="3"/>
        <v>1.13398</v>
      </c>
    </row>
    <row r="22">
      <c r="A22" s="56">
        <v>120544.0</v>
      </c>
      <c r="B22" s="57">
        <v>1053.0</v>
      </c>
      <c r="C22" s="58">
        <v>57.6</v>
      </c>
      <c r="D22" s="57">
        <f t="shared" si="4"/>
        <v>995.4</v>
      </c>
      <c r="E22" s="57">
        <v>172.60000000000002</v>
      </c>
      <c r="F22" s="57">
        <f t="shared" si="1"/>
        <v>880.4</v>
      </c>
      <c r="G22" s="3" t="s">
        <v>143</v>
      </c>
      <c r="H22" s="12">
        <v>0.1575553394801048</v>
      </c>
      <c r="I22" s="27">
        <f t="shared" si="2"/>
        <v>156.8305849</v>
      </c>
      <c r="J22" s="27">
        <f t="shared" si="3"/>
        <v>1.13398</v>
      </c>
    </row>
    <row r="23">
      <c r="A23" s="56">
        <v>120573.0</v>
      </c>
      <c r="B23" s="57">
        <v>1015.0</v>
      </c>
      <c r="C23" s="58">
        <v>57.6</v>
      </c>
      <c r="D23" s="57">
        <f t="shared" si="4"/>
        <v>957.4</v>
      </c>
      <c r="E23" s="57">
        <v>200.10000000000002</v>
      </c>
      <c r="F23" s="57">
        <f t="shared" si="1"/>
        <v>814.9</v>
      </c>
      <c r="G23" s="3" t="s">
        <v>144</v>
      </c>
      <c r="H23" s="12">
        <v>0.1575553394801048</v>
      </c>
      <c r="I23" s="27">
        <f t="shared" si="2"/>
        <v>150.843482</v>
      </c>
      <c r="J23" s="27">
        <f t="shared" si="3"/>
        <v>1.13398</v>
      </c>
    </row>
    <row r="24">
      <c r="A24" s="56">
        <v>120561.0</v>
      </c>
      <c r="B24" s="57">
        <v>1055.0</v>
      </c>
      <c r="C24" s="58">
        <v>57.6</v>
      </c>
      <c r="D24" s="57">
        <f t="shared" si="4"/>
        <v>997.4</v>
      </c>
      <c r="E24" s="57">
        <v>146.10000000000002</v>
      </c>
      <c r="F24" s="57">
        <f t="shared" si="1"/>
        <v>908.9</v>
      </c>
      <c r="G24" s="3" t="s">
        <v>145</v>
      </c>
      <c r="H24" s="12">
        <v>0.1575553394801048</v>
      </c>
      <c r="I24" s="27">
        <f t="shared" si="2"/>
        <v>157.1456956</v>
      </c>
      <c r="J24" s="27">
        <f t="shared" si="3"/>
        <v>1.13398</v>
      </c>
    </row>
    <row r="25">
      <c r="A25" s="56">
        <v>120525.0</v>
      </c>
      <c r="B25" s="57">
        <v>1056.0</v>
      </c>
      <c r="C25" s="58">
        <v>57.6</v>
      </c>
      <c r="D25" s="57">
        <f t="shared" si="4"/>
        <v>998.4</v>
      </c>
      <c r="E25" s="57">
        <v>198.10000000000002</v>
      </c>
      <c r="F25" s="57">
        <f t="shared" si="1"/>
        <v>857.9</v>
      </c>
      <c r="G25" s="3" t="s">
        <v>146</v>
      </c>
      <c r="H25" s="12">
        <v>0.1575553394801048</v>
      </c>
      <c r="I25" s="27">
        <f t="shared" si="2"/>
        <v>157.3032509</v>
      </c>
      <c r="J25" s="27">
        <f t="shared" si="3"/>
        <v>1.13398</v>
      </c>
    </row>
    <row r="26">
      <c r="A26" s="56">
        <v>120502.0</v>
      </c>
      <c r="B26" s="57">
        <v>1034.0</v>
      </c>
      <c r="C26" s="58">
        <v>57.6</v>
      </c>
      <c r="D26" s="57">
        <f t="shared" si="4"/>
        <v>976.4</v>
      </c>
      <c r="E26" s="57">
        <v>168.60000000000002</v>
      </c>
      <c r="F26" s="57">
        <f t="shared" si="1"/>
        <v>865.4</v>
      </c>
      <c r="G26" s="3" t="s">
        <v>147</v>
      </c>
      <c r="H26" s="12">
        <v>0.1575553394801048</v>
      </c>
      <c r="I26" s="27">
        <f t="shared" si="2"/>
        <v>153.8370335</v>
      </c>
      <c r="J26" s="27">
        <f t="shared" si="3"/>
        <v>1.13398</v>
      </c>
    </row>
    <row r="27">
      <c r="A27" s="56">
        <v>120574.0</v>
      </c>
      <c r="B27" s="57">
        <v>973.0</v>
      </c>
      <c r="C27" s="58">
        <v>57.6</v>
      </c>
      <c r="D27" s="57">
        <f t="shared" si="4"/>
        <v>915.4</v>
      </c>
      <c r="E27" s="57">
        <v>145.10000000000002</v>
      </c>
      <c r="F27" s="57">
        <f t="shared" si="1"/>
        <v>827.9</v>
      </c>
      <c r="G27" s="3" t="s">
        <v>148</v>
      </c>
      <c r="H27" s="12">
        <v>0.1575553394801048</v>
      </c>
      <c r="I27" s="27">
        <f t="shared" si="2"/>
        <v>144.2261578</v>
      </c>
      <c r="J27" s="27">
        <f t="shared" si="3"/>
        <v>1.13398</v>
      </c>
    </row>
    <row r="28">
      <c r="A28" s="56">
        <v>15186.0</v>
      </c>
      <c r="B28" s="57">
        <v>1103.0</v>
      </c>
      <c r="C28" s="58">
        <v>57.6</v>
      </c>
      <c r="D28" s="57">
        <f t="shared" si="4"/>
        <v>1045.4</v>
      </c>
      <c r="E28" s="57">
        <v>151.60000000000002</v>
      </c>
      <c r="F28" s="57">
        <f t="shared" si="1"/>
        <v>951.4</v>
      </c>
      <c r="G28" s="3" t="s">
        <v>149</v>
      </c>
      <c r="H28" s="12">
        <v>0.11056982394624702</v>
      </c>
      <c r="I28" s="27">
        <f t="shared" si="2"/>
        <v>115.589694</v>
      </c>
      <c r="J28" s="27">
        <f t="shared" si="3"/>
        <v>1.13398</v>
      </c>
    </row>
    <row r="29">
      <c r="A29" s="56">
        <v>245123.0</v>
      </c>
      <c r="B29" s="57">
        <v>1047.0</v>
      </c>
      <c r="C29" s="58">
        <v>57.6</v>
      </c>
      <c r="D29" s="57">
        <f t="shared" si="4"/>
        <v>989.4</v>
      </c>
      <c r="E29" s="57">
        <v>167.10000000000002</v>
      </c>
      <c r="F29" s="57">
        <f t="shared" si="1"/>
        <v>879.9</v>
      </c>
      <c r="G29" s="3" t="s">
        <v>150</v>
      </c>
      <c r="H29" s="12">
        <v>0.11056982394624702</v>
      </c>
      <c r="I29" s="27">
        <f t="shared" si="2"/>
        <v>109.3977838</v>
      </c>
      <c r="J29" s="27">
        <f t="shared" si="3"/>
        <v>1.13398</v>
      </c>
    </row>
    <row r="30">
      <c r="A30" s="56">
        <v>245122.0</v>
      </c>
      <c r="B30" s="57">
        <v>890.0</v>
      </c>
      <c r="C30" s="58">
        <v>57.6</v>
      </c>
      <c r="D30" s="57">
        <f t="shared" si="4"/>
        <v>832.4</v>
      </c>
      <c r="E30" s="57">
        <v>141.60000000000002</v>
      </c>
      <c r="F30" s="57">
        <f t="shared" si="1"/>
        <v>748.4</v>
      </c>
      <c r="G30" s="3" t="s">
        <v>151</v>
      </c>
      <c r="H30" s="12">
        <v>0.11056982394624702</v>
      </c>
      <c r="I30" s="27">
        <f t="shared" si="2"/>
        <v>92.03832145</v>
      </c>
      <c r="J30" s="27">
        <f t="shared" si="3"/>
        <v>1.13398</v>
      </c>
    </row>
    <row r="31">
      <c r="A31" s="56">
        <v>245151.0</v>
      </c>
      <c r="B31" s="57">
        <v>1009.0</v>
      </c>
      <c r="C31" s="58">
        <v>57.6</v>
      </c>
      <c r="D31" s="57">
        <f t="shared" si="4"/>
        <v>951.4</v>
      </c>
      <c r="E31" s="57">
        <v>143.60000000000002</v>
      </c>
      <c r="F31" s="57">
        <f t="shared" si="1"/>
        <v>865.4</v>
      </c>
      <c r="G31" s="3" t="s">
        <v>152</v>
      </c>
      <c r="H31" s="12">
        <v>0.11056982394624702</v>
      </c>
      <c r="I31" s="27">
        <f t="shared" si="2"/>
        <v>105.1961305</v>
      </c>
      <c r="J31" s="27">
        <f t="shared" si="3"/>
        <v>1.13398</v>
      </c>
    </row>
    <row r="32">
      <c r="A32" s="56">
        <v>245181.0</v>
      </c>
      <c r="B32" s="60">
        <v>1014.0</v>
      </c>
      <c r="C32" s="58">
        <v>57.6</v>
      </c>
      <c r="D32" s="57">
        <f t="shared" si="4"/>
        <v>956.4</v>
      </c>
      <c r="E32" s="59">
        <v>114.60000000000002</v>
      </c>
      <c r="F32" s="57">
        <f t="shared" si="1"/>
        <v>899.4</v>
      </c>
      <c r="G32" s="61" t="s">
        <v>153</v>
      </c>
      <c r="H32" s="62">
        <v>0.11056982394624702</v>
      </c>
      <c r="I32" s="27">
        <f t="shared" si="2"/>
        <v>105.7489796</v>
      </c>
      <c r="J32" s="27">
        <f t="shared" si="3"/>
        <v>1.13398</v>
      </c>
    </row>
    <row r="33">
      <c r="A33" s="56">
        <v>245155.0</v>
      </c>
      <c r="B33" s="63">
        <v>909.0</v>
      </c>
      <c r="C33" s="58">
        <v>57.6</v>
      </c>
      <c r="D33" s="57">
        <f t="shared" si="4"/>
        <v>851.4</v>
      </c>
      <c r="E33" s="57">
        <v>145.60000000000002</v>
      </c>
      <c r="F33" s="57">
        <f t="shared" si="1"/>
        <v>763.4</v>
      </c>
      <c r="G33" s="3" t="s">
        <v>154</v>
      </c>
      <c r="H33" s="12">
        <v>0.11056982394624702</v>
      </c>
      <c r="I33" s="27">
        <f t="shared" si="2"/>
        <v>94.13914811</v>
      </c>
      <c r="J33" s="27">
        <f t="shared" si="3"/>
        <v>1.13398</v>
      </c>
    </row>
    <row r="34">
      <c r="A34" s="56">
        <v>245162.0</v>
      </c>
      <c r="B34" s="64">
        <v>1056.0</v>
      </c>
      <c r="C34" s="58">
        <v>57.6</v>
      </c>
      <c r="D34" s="57">
        <f t="shared" si="4"/>
        <v>998.4</v>
      </c>
      <c r="E34" s="64">
        <v>371.6</v>
      </c>
      <c r="F34" s="57">
        <f t="shared" si="1"/>
        <v>684.4</v>
      </c>
      <c r="G34" s="3" t="s">
        <v>155</v>
      </c>
      <c r="H34" s="12">
        <v>0.11056982394624702</v>
      </c>
      <c r="I34" s="27">
        <f t="shared" si="2"/>
        <v>110.3929122</v>
      </c>
      <c r="J34" s="27">
        <f t="shared" si="3"/>
        <v>1.13398</v>
      </c>
    </row>
    <row r="35">
      <c r="A35" s="56">
        <v>245170.0</v>
      </c>
      <c r="B35" s="60">
        <v>1000.0</v>
      </c>
      <c r="C35" s="58">
        <v>57.6</v>
      </c>
      <c r="D35" s="57">
        <f t="shared" si="4"/>
        <v>942.4</v>
      </c>
      <c r="E35" s="57">
        <v>161.60000000000002</v>
      </c>
      <c r="F35" s="57">
        <f t="shared" si="1"/>
        <v>838.4</v>
      </c>
      <c r="G35" s="3" t="s">
        <v>156</v>
      </c>
      <c r="H35" s="12">
        <v>0.11056982394624702</v>
      </c>
      <c r="I35" s="27">
        <f t="shared" si="2"/>
        <v>104.2010021</v>
      </c>
      <c r="J35" s="27">
        <f t="shared" si="3"/>
        <v>1.13398</v>
      </c>
    </row>
    <row r="36">
      <c r="A36" s="56">
        <v>245159.0</v>
      </c>
      <c r="B36" s="60">
        <v>1012.0</v>
      </c>
      <c r="C36" s="58">
        <v>57.6</v>
      </c>
      <c r="D36" s="57">
        <f t="shared" si="4"/>
        <v>954.4</v>
      </c>
      <c r="E36" s="57">
        <v>166.60000000000002</v>
      </c>
      <c r="F36" s="57">
        <f t="shared" si="1"/>
        <v>845.4</v>
      </c>
      <c r="G36" s="3" t="s">
        <v>157</v>
      </c>
      <c r="H36" s="12">
        <v>0.11056982394624702</v>
      </c>
      <c r="I36" s="27">
        <f t="shared" si="2"/>
        <v>105.52784</v>
      </c>
      <c r="J36" s="27">
        <f t="shared" si="3"/>
        <v>1.13398</v>
      </c>
    </row>
    <row r="37">
      <c r="A37" s="56">
        <v>245146.0</v>
      </c>
      <c r="B37" s="60">
        <v>869.0</v>
      </c>
      <c r="C37" s="58">
        <v>57.6</v>
      </c>
      <c r="D37" s="57">
        <f t="shared" si="4"/>
        <v>811.4</v>
      </c>
      <c r="E37" s="57">
        <v>151.60000000000002</v>
      </c>
      <c r="F37" s="57">
        <f t="shared" si="1"/>
        <v>717.4</v>
      </c>
      <c r="G37" s="3" t="s">
        <v>158</v>
      </c>
      <c r="H37" s="12">
        <v>0.11056982394624702</v>
      </c>
      <c r="I37" s="27">
        <f t="shared" si="2"/>
        <v>89.71635515</v>
      </c>
      <c r="J37" s="27">
        <f t="shared" si="3"/>
        <v>1.13398</v>
      </c>
    </row>
    <row r="38">
      <c r="A38" s="56">
        <v>228427.0</v>
      </c>
      <c r="B38" s="60">
        <v>954.0</v>
      </c>
      <c r="C38" s="58">
        <v>57.6</v>
      </c>
      <c r="D38" s="57">
        <f t="shared" si="4"/>
        <v>896.4</v>
      </c>
      <c r="E38" s="59">
        <v>99.60000000000002</v>
      </c>
      <c r="F38" s="57">
        <f t="shared" si="1"/>
        <v>854.4</v>
      </c>
      <c r="G38" s="3" t="s">
        <v>159</v>
      </c>
      <c r="H38" s="12">
        <v>0.1110176228550779</v>
      </c>
      <c r="I38" s="27">
        <f t="shared" si="2"/>
        <v>99.51619713</v>
      </c>
      <c r="J38" s="27">
        <f t="shared" si="3"/>
        <v>1.13398</v>
      </c>
    </row>
    <row r="39">
      <c r="A39" s="56">
        <v>228408.0</v>
      </c>
      <c r="B39" s="60">
        <v>1041.0</v>
      </c>
      <c r="C39" s="58">
        <v>57.6</v>
      </c>
      <c r="D39" s="57">
        <f t="shared" si="4"/>
        <v>983.4</v>
      </c>
      <c r="E39" s="57">
        <v>139.10000000000002</v>
      </c>
      <c r="F39" s="57">
        <f t="shared" si="1"/>
        <v>901.9</v>
      </c>
      <c r="G39" s="3" t="s">
        <v>160</v>
      </c>
      <c r="H39" s="12">
        <v>0.12868956697570233</v>
      </c>
      <c r="I39" s="27">
        <f t="shared" si="2"/>
        <v>126.5533202</v>
      </c>
      <c r="J39" s="27">
        <f t="shared" si="3"/>
        <v>1.13398</v>
      </c>
    </row>
    <row r="40">
      <c r="A40" s="56">
        <v>228465.0</v>
      </c>
      <c r="B40" s="60">
        <v>1170.0</v>
      </c>
      <c r="C40" s="58">
        <v>57.6</v>
      </c>
      <c r="D40" s="57">
        <f t="shared" si="4"/>
        <v>1112.4</v>
      </c>
      <c r="E40" s="57">
        <v>193.60000000000002</v>
      </c>
      <c r="F40" s="57">
        <f t="shared" si="1"/>
        <v>976.4</v>
      </c>
      <c r="G40" s="3" t="s">
        <v>161</v>
      </c>
      <c r="H40" s="12">
        <v>0.1110176228550779</v>
      </c>
      <c r="I40" s="27">
        <f t="shared" si="2"/>
        <v>123.4960037</v>
      </c>
      <c r="J40" s="27">
        <f t="shared" si="3"/>
        <v>1.13398</v>
      </c>
    </row>
    <row r="41">
      <c r="A41" s="56">
        <v>228496.0</v>
      </c>
      <c r="B41" s="60">
        <v>1102.0</v>
      </c>
      <c r="C41" s="58">
        <v>57.6</v>
      </c>
      <c r="D41" s="57">
        <f t="shared" si="4"/>
        <v>1044.4</v>
      </c>
      <c r="E41" s="57">
        <v>183.10000000000002</v>
      </c>
      <c r="F41" s="57">
        <f t="shared" si="1"/>
        <v>918.9</v>
      </c>
      <c r="G41" s="3" t="s">
        <v>162</v>
      </c>
      <c r="H41" s="12">
        <v>0.1110176228550779</v>
      </c>
      <c r="I41" s="27">
        <f t="shared" si="2"/>
        <v>115.9468053</v>
      </c>
      <c r="J41" s="27">
        <f t="shared" si="3"/>
        <v>1.13398</v>
      </c>
    </row>
    <row r="42">
      <c r="A42" s="56">
        <v>228431.0</v>
      </c>
      <c r="B42" s="60">
        <v>985.0</v>
      </c>
      <c r="C42" s="58">
        <v>57.6</v>
      </c>
      <c r="D42" s="57">
        <f t="shared" si="4"/>
        <v>927.4</v>
      </c>
      <c r="E42" s="59">
        <v>236.5</v>
      </c>
      <c r="F42" s="57">
        <f t="shared" si="1"/>
        <v>748.5</v>
      </c>
      <c r="G42" s="3" t="s">
        <v>163</v>
      </c>
      <c r="H42" s="12">
        <v>0.1110176228550779</v>
      </c>
      <c r="I42" s="27">
        <f t="shared" si="2"/>
        <v>102.9577434</v>
      </c>
      <c r="J42" s="27">
        <f t="shared" si="3"/>
        <v>1.13398</v>
      </c>
    </row>
    <row r="43">
      <c r="A43" s="56">
        <v>228455.0</v>
      </c>
      <c r="B43" s="60">
        <v>1136.0</v>
      </c>
      <c r="C43" s="58">
        <v>57.6</v>
      </c>
      <c r="D43" s="57">
        <f t="shared" si="4"/>
        <v>1078.4</v>
      </c>
      <c r="E43" s="57">
        <v>299.6</v>
      </c>
      <c r="F43" s="57">
        <f t="shared" si="1"/>
        <v>836.4</v>
      </c>
      <c r="G43" s="3" t="s">
        <v>164</v>
      </c>
      <c r="H43" s="12">
        <v>0.1110176228550779</v>
      </c>
      <c r="I43" s="27">
        <f t="shared" si="2"/>
        <v>119.7214045</v>
      </c>
      <c r="J43" s="27">
        <f t="shared" si="3"/>
        <v>1.13398</v>
      </c>
    </row>
    <row r="44">
      <c r="A44" s="56">
        <v>228458.0</v>
      </c>
      <c r="B44" s="60">
        <v>1133.0</v>
      </c>
      <c r="C44" s="58">
        <v>57.6</v>
      </c>
      <c r="D44" s="57">
        <f t="shared" si="4"/>
        <v>1075.4</v>
      </c>
      <c r="E44" s="57">
        <v>168.10000000000002</v>
      </c>
      <c r="F44" s="57">
        <f t="shared" si="1"/>
        <v>964.9</v>
      </c>
      <c r="G44" s="3" t="s">
        <v>165</v>
      </c>
      <c r="H44" s="12">
        <v>0.1110176228550779</v>
      </c>
      <c r="I44" s="27">
        <f t="shared" si="2"/>
        <v>119.3883516</v>
      </c>
      <c r="J44" s="27">
        <f t="shared" si="3"/>
        <v>1.13398</v>
      </c>
    </row>
    <row r="45">
      <c r="A45" s="56">
        <v>228422.0</v>
      </c>
      <c r="B45" s="60">
        <v>902.0</v>
      </c>
      <c r="C45" s="58">
        <v>57.6</v>
      </c>
      <c r="D45" s="57">
        <f t="shared" si="4"/>
        <v>844.4</v>
      </c>
      <c r="E45" s="57">
        <v>159.10000000000002</v>
      </c>
      <c r="F45" s="57">
        <f t="shared" si="1"/>
        <v>742.9</v>
      </c>
      <c r="G45" s="3" t="s">
        <v>166</v>
      </c>
      <c r="H45" s="12">
        <v>0.1110176228550779</v>
      </c>
      <c r="I45" s="27">
        <f t="shared" si="2"/>
        <v>93.74328074</v>
      </c>
      <c r="J45" s="27">
        <f t="shared" si="3"/>
        <v>1.13398</v>
      </c>
    </row>
    <row r="46">
      <c r="A46" s="56">
        <v>228466.0</v>
      </c>
      <c r="B46" s="60">
        <v>995.0</v>
      </c>
      <c r="C46" s="58">
        <v>57.6</v>
      </c>
      <c r="D46" s="57">
        <f t="shared" si="4"/>
        <v>937.4</v>
      </c>
      <c r="E46" s="57">
        <v>180.60000000000002</v>
      </c>
      <c r="F46" s="57">
        <f t="shared" si="1"/>
        <v>814.4</v>
      </c>
      <c r="G46" s="3" t="s">
        <v>167</v>
      </c>
      <c r="H46" s="12">
        <v>0.1110176228550779</v>
      </c>
      <c r="I46" s="27">
        <f t="shared" si="2"/>
        <v>104.0679197</v>
      </c>
      <c r="J46" s="27">
        <f t="shared" si="3"/>
        <v>1.13398</v>
      </c>
    </row>
    <row r="47">
      <c r="A47" s="56">
        <v>228462.0</v>
      </c>
      <c r="B47" s="60">
        <v>1111.0</v>
      </c>
      <c r="C47" s="58">
        <v>57.6</v>
      </c>
      <c r="D47" s="57">
        <f t="shared" si="4"/>
        <v>1053.4</v>
      </c>
      <c r="E47" s="57">
        <v>162.10000000000002</v>
      </c>
      <c r="F47" s="57">
        <f t="shared" si="1"/>
        <v>948.9</v>
      </c>
      <c r="G47" s="3" t="s">
        <v>168</v>
      </c>
      <c r="H47" s="12">
        <v>0.1110176228550779</v>
      </c>
      <c r="I47" s="27">
        <f t="shared" si="2"/>
        <v>116.9459639</v>
      </c>
      <c r="J47" s="27">
        <f t="shared" si="3"/>
        <v>1.13398</v>
      </c>
    </row>
    <row r="48">
      <c r="A48" s="56">
        <v>228494.0</v>
      </c>
      <c r="B48" s="60">
        <v>1027.0</v>
      </c>
      <c r="C48" s="58">
        <v>57.6</v>
      </c>
      <c r="D48" s="57">
        <f t="shared" si="4"/>
        <v>969.4</v>
      </c>
      <c r="E48" s="57">
        <v>247.60000000000002</v>
      </c>
      <c r="F48" s="57">
        <f t="shared" si="1"/>
        <v>779.4</v>
      </c>
      <c r="G48" s="3" t="s">
        <v>169</v>
      </c>
      <c r="H48" s="12">
        <v>0.1110176228550779</v>
      </c>
      <c r="I48" s="27">
        <f t="shared" si="2"/>
        <v>107.6204836</v>
      </c>
      <c r="J48" s="27">
        <f t="shared" si="3"/>
        <v>1.13398</v>
      </c>
    </row>
    <row r="49">
      <c r="A49" s="56">
        <v>228438.0</v>
      </c>
      <c r="B49" s="60">
        <v>1079.0</v>
      </c>
      <c r="C49" s="58">
        <v>57.6</v>
      </c>
      <c r="D49" s="57">
        <f t="shared" si="4"/>
        <v>1021.4</v>
      </c>
      <c r="E49" s="57">
        <v>250.10000000000002</v>
      </c>
      <c r="F49" s="57">
        <f t="shared" si="1"/>
        <v>828.9</v>
      </c>
      <c r="G49" s="3" t="s">
        <v>170</v>
      </c>
      <c r="H49" s="12">
        <v>0.1110176228550779</v>
      </c>
      <c r="I49" s="27">
        <f t="shared" si="2"/>
        <v>113.3934</v>
      </c>
      <c r="J49" s="27">
        <f t="shared" si="3"/>
        <v>1.13398</v>
      </c>
    </row>
    <row r="50">
      <c r="A50" s="56">
        <v>228476.0</v>
      </c>
      <c r="B50" s="60">
        <v>1098.0</v>
      </c>
      <c r="C50" s="58">
        <v>57.6</v>
      </c>
      <c r="D50" s="57">
        <f t="shared" si="4"/>
        <v>1040.4</v>
      </c>
      <c r="E50" s="57">
        <v>231.60000000000002</v>
      </c>
      <c r="F50" s="57">
        <f t="shared" si="1"/>
        <v>866.4</v>
      </c>
      <c r="G50" s="3" t="s">
        <v>171</v>
      </c>
      <c r="H50" s="12">
        <v>0.1110176228550779</v>
      </c>
      <c r="I50" s="27">
        <f t="shared" si="2"/>
        <v>115.5027348</v>
      </c>
      <c r="J50" s="27">
        <f t="shared" si="3"/>
        <v>1.13398</v>
      </c>
    </row>
    <row r="51">
      <c r="A51" s="56">
        <v>228403.0</v>
      </c>
      <c r="B51" s="60">
        <v>1062.0</v>
      </c>
      <c r="C51" s="58">
        <v>57.6</v>
      </c>
      <c r="D51" s="57">
        <f t="shared" si="4"/>
        <v>1004.4</v>
      </c>
      <c r="E51" s="57">
        <v>214.10000000000002</v>
      </c>
      <c r="F51" s="57">
        <f t="shared" si="1"/>
        <v>847.9</v>
      </c>
      <c r="G51" s="3" t="s">
        <v>172</v>
      </c>
      <c r="H51" s="12">
        <v>0.1110176228550779</v>
      </c>
      <c r="I51" s="27">
        <f t="shared" si="2"/>
        <v>111.5061004</v>
      </c>
      <c r="J51" s="27">
        <f t="shared" si="3"/>
        <v>1.13398</v>
      </c>
    </row>
    <row r="52">
      <c r="B52" s="65"/>
      <c r="C52" s="66"/>
      <c r="D52" s="8"/>
      <c r="E52" s="8"/>
      <c r="F52" s="8"/>
      <c r="G52" s="8" t="str">
        <f>IF(AND(D52&lt;&gt;"",F52&lt;&gt;""),(D52-F52)*$L$4,"")</f>
        <v/>
      </c>
      <c r="H52" s="8" t="str">
        <f>IF(G52="","",G52*(1-$L$5))</f>
        <v/>
      </c>
      <c r="I52" s="48"/>
    </row>
    <row r="53">
      <c r="B53" s="67">
        <f>SUM(B10:B51)</f>
        <v>42084</v>
      </c>
      <c r="C53" s="67"/>
      <c r="D53" s="67">
        <f>SUM(D10:D51)</f>
        <v>39657.4</v>
      </c>
      <c r="E53" s="67"/>
      <c r="F53" s="67">
        <f>SUM(F9:F51)</f>
        <v>33977</v>
      </c>
      <c r="G53" s="68"/>
      <c r="H53" s="69">
        <f>SUMPRODUCT(D11:D51,H11:H51)/SUM(D11:D51)</f>
        <v>0.1305204171</v>
      </c>
      <c r="I53" s="70">
        <f>sum(I11:I51)</f>
        <v>5176.10039</v>
      </c>
      <c r="J53" s="27">
        <f>SUM(J9:J51)</f>
        <v>46.49318</v>
      </c>
    </row>
    <row r="54">
      <c r="B54" s="65"/>
      <c r="D54" s="8"/>
      <c r="E54" s="8"/>
      <c r="F54" s="8"/>
      <c r="G54" s="8" t="str">
        <f t="shared" ref="G54:G73" si="5">IF(AND(D54&lt;&gt;"",F54&lt;&gt;""),(D54-F54)*$L$4,"")</f>
        <v/>
      </c>
      <c r="H54" s="8" t="str">
        <f t="shared" ref="H54:H73" si="6">IF(G54="","",G54*(1-$L$5))</f>
        <v/>
      </c>
      <c r="I54" s="48"/>
    </row>
    <row r="55">
      <c r="B55" s="65"/>
      <c r="D55" s="8"/>
      <c r="E55" s="8"/>
      <c r="F55" s="8"/>
      <c r="G55" s="8" t="str">
        <f t="shared" si="5"/>
        <v/>
      </c>
      <c r="H55" s="8" t="str">
        <f t="shared" si="6"/>
        <v/>
      </c>
      <c r="I55" s="71"/>
    </row>
    <row r="56">
      <c r="B56" s="65"/>
      <c r="D56" s="8"/>
      <c r="E56" s="8"/>
      <c r="F56" s="8"/>
      <c r="G56" s="8" t="str">
        <f t="shared" si="5"/>
        <v/>
      </c>
      <c r="H56" s="8" t="str">
        <f t="shared" si="6"/>
        <v/>
      </c>
      <c r="I56" s="48"/>
    </row>
    <row r="57">
      <c r="B57" s="65"/>
      <c r="D57" s="8"/>
      <c r="E57" s="8"/>
      <c r="F57" s="8"/>
      <c r="G57" s="8" t="str">
        <f t="shared" si="5"/>
        <v/>
      </c>
      <c r="H57" s="8" t="str">
        <f t="shared" si="6"/>
        <v/>
      </c>
      <c r="I57" s="48"/>
    </row>
    <row r="58">
      <c r="B58" s="65"/>
      <c r="D58" s="8"/>
      <c r="E58" s="8"/>
      <c r="F58" s="8"/>
      <c r="G58" s="8" t="str">
        <f t="shared" si="5"/>
        <v/>
      </c>
      <c r="H58" s="8" t="str">
        <f t="shared" si="6"/>
        <v/>
      </c>
      <c r="I58" s="48"/>
    </row>
    <row r="59">
      <c r="B59" s="65"/>
      <c r="D59" s="8"/>
      <c r="E59" s="8"/>
      <c r="F59" s="8"/>
      <c r="G59" s="8" t="str">
        <f t="shared" si="5"/>
        <v/>
      </c>
      <c r="H59" s="8" t="str">
        <f t="shared" si="6"/>
        <v/>
      </c>
      <c r="I59" s="48"/>
    </row>
    <row r="60">
      <c r="B60" s="65"/>
      <c r="D60" s="8"/>
      <c r="E60" s="8"/>
      <c r="F60" s="8"/>
      <c r="G60" s="8" t="str">
        <f t="shared" si="5"/>
        <v/>
      </c>
      <c r="H60" s="8" t="str">
        <f t="shared" si="6"/>
        <v/>
      </c>
      <c r="I60" s="48"/>
    </row>
    <row r="61">
      <c r="B61" s="65"/>
      <c r="D61" s="8"/>
      <c r="E61" s="8"/>
      <c r="F61" s="8"/>
      <c r="G61" s="8" t="str">
        <f t="shared" si="5"/>
        <v/>
      </c>
      <c r="H61" s="8" t="str">
        <f t="shared" si="6"/>
        <v/>
      </c>
      <c r="I61" s="48"/>
    </row>
    <row r="62">
      <c r="B62" s="65"/>
      <c r="D62" s="8"/>
      <c r="E62" s="8"/>
      <c r="F62" s="8"/>
      <c r="G62" s="8" t="str">
        <f t="shared" si="5"/>
        <v/>
      </c>
      <c r="H62" s="8" t="str">
        <f t="shared" si="6"/>
        <v/>
      </c>
      <c r="I62" s="48"/>
    </row>
    <row r="63">
      <c r="B63" s="65"/>
      <c r="D63" s="8"/>
      <c r="E63" s="8"/>
      <c r="F63" s="8"/>
      <c r="G63" s="8" t="str">
        <f t="shared" si="5"/>
        <v/>
      </c>
      <c r="H63" s="8" t="str">
        <f t="shared" si="6"/>
        <v/>
      </c>
      <c r="I63" s="48"/>
    </row>
    <row r="64">
      <c r="B64" s="65"/>
      <c r="D64" s="8"/>
      <c r="E64" s="8"/>
      <c r="F64" s="8"/>
      <c r="G64" s="8" t="str">
        <f t="shared" si="5"/>
        <v/>
      </c>
      <c r="H64" s="8" t="str">
        <f t="shared" si="6"/>
        <v/>
      </c>
      <c r="I64" s="48"/>
    </row>
    <row r="65">
      <c r="B65" s="65"/>
      <c r="D65" s="8"/>
      <c r="E65" s="8"/>
      <c r="F65" s="8"/>
      <c r="G65" s="8" t="str">
        <f t="shared" si="5"/>
        <v/>
      </c>
      <c r="H65" s="8" t="str">
        <f t="shared" si="6"/>
        <v/>
      </c>
      <c r="I65" s="48"/>
    </row>
    <row r="66">
      <c r="B66" s="65"/>
      <c r="D66" s="8"/>
      <c r="E66" s="8"/>
      <c r="F66" s="8"/>
      <c r="G66" s="8" t="str">
        <f t="shared" si="5"/>
        <v/>
      </c>
      <c r="H66" s="8" t="str">
        <f t="shared" si="6"/>
        <v/>
      </c>
      <c r="I66" s="48"/>
    </row>
    <row r="67">
      <c r="B67" s="65"/>
      <c r="D67" s="8"/>
      <c r="E67" s="8"/>
      <c r="F67" s="8"/>
      <c r="G67" s="8" t="str">
        <f t="shared" si="5"/>
        <v/>
      </c>
      <c r="H67" s="8" t="str">
        <f t="shared" si="6"/>
        <v/>
      </c>
      <c r="I67" s="48"/>
    </row>
    <row r="68">
      <c r="B68" s="65"/>
      <c r="D68" s="8"/>
      <c r="E68" s="8"/>
      <c r="F68" s="8"/>
      <c r="G68" s="8" t="str">
        <f t="shared" si="5"/>
        <v/>
      </c>
      <c r="H68" s="8" t="str">
        <f t="shared" si="6"/>
        <v/>
      </c>
      <c r="I68" s="48"/>
    </row>
    <row r="69">
      <c r="B69" s="65"/>
      <c r="D69" s="8"/>
      <c r="E69" s="8"/>
      <c r="F69" s="8"/>
      <c r="G69" s="8" t="str">
        <f t="shared" si="5"/>
        <v/>
      </c>
      <c r="H69" s="8" t="str">
        <f t="shared" si="6"/>
        <v/>
      </c>
      <c r="I69" s="48"/>
    </row>
    <row r="70">
      <c r="B70" s="65"/>
      <c r="D70" s="8"/>
      <c r="E70" s="8"/>
      <c r="F70" s="8"/>
      <c r="G70" s="8" t="str">
        <f t="shared" si="5"/>
        <v/>
      </c>
      <c r="H70" s="8" t="str">
        <f t="shared" si="6"/>
        <v/>
      </c>
      <c r="I70" s="48"/>
    </row>
    <row r="71">
      <c r="B71" s="65"/>
      <c r="D71" s="8"/>
      <c r="E71" s="8"/>
      <c r="F71" s="8"/>
      <c r="G71" s="8" t="str">
        <f t="shared" si="5"/>
        <v/>
      </c>
      <c r="H71" s="8" t="str">
        <f t="shared" si="6"/>
        <v/>
      </c>
      <c r="I71" s="48"/>
    </row>
    <row r="72">
      <c r="B72" s="65"/>
      <c r="D72" s="8"/>
      <c r="E72" s="8"/>
      <c r="F72" s="8"/>
      <c r="G72" s="8" t="str">
        <f t="shared" si="5"/>
        <v/>
      </c>
      <c r="H72" s="8" t="str">
        <f t="shared" si="6"/>
        <v/>
      </c>
      <c r="I72" s="48"/>
    </row>
    <row r="73">
      <c r="B73" s="65"/>
      <c r="D73" s="8"/>
      <c r="E73" s="8"/>
      <c r="F73" s="8"/>
      <c r="G73" s="8" t="str">
        <f t="shared" si="5"/>
        <v/>
      </c>
      <c r="H73" s="8" t="str">
        <f t="shared" si="6"/>
        <v/>
      </c>
      <c r="I73" s="48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2" t="s">
        <v>173</v>
      </c>
      <c r="B1" s="73"/>
      <c r="C1" s="73"/>
      <c r="D1" s="73"/>
      <c r="E1" s="73"/>
      <c r="F1" s="73"/>
      <c r="G1" s="73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174</v>
      </c>
      <c r="B5" s="5" t="s">
        <v>175</v>
      </c>
      <c r="C5" s="5" t="s">
        <v>176</v>
      </c>
      <c r="D5" s="5" t="s">
        <v>177</v>
      </c>
      <c r="E5" s="5" t="s">
        <v>178</v>
      </c>
      <c r="F5" s="7"/>
      <c r="G5" s="7"/>
    </row>
    <row r="6">
      <c r="A6" s="3" t="s">
        <v>2</v>
      </c>
      <c r="B6" s="3" t="s">
        <v>20</v>
      </c>
      <c r="C6" s="3" t="s">
        <v>179</v>
      </c>
      <c r="D6" s="12">
        <v>41.0</v>
      </c>
      <c r="E6" s="3" t="s">
        <v>180</v>
      </c>
    </row>
    <row r="8">
      <c r="A8" s="5" t="s">
        <v>181</v>
      </c>
      <c r="B8" s="22">
        <v>1201.0</v>
      </c>
      <c r="C8" s="7"/>
      <c r="D8" s="7"/>
      <c r="E8" s="7"/>
      <c r="F8" s="7"/>
      <c r="G8" s="7"/>
    </row>
    <row r="10">
      <c r="A10" s="5" t="s">
        <v>182</v>
      </c>
      <c r="B10" s="7"/>
      <c r="C10" s="7"/>
      <c r="D10" s="7"/>
      <c r="E10" s="7"/>
      <c r="F10" s="7"/>
      <c r="G10" s="7"/>
    </row>
    <row r="11">
      <c r="A11" s="5" t="s">
        <v>183</v>
      </c>
      <c r="B11" s="5" t="s">
        <v>184</v>
      </c>
      <c r="C11" s="5" t="s">
        <v>185</v>
      </c>
      <c r="D11" s="5" t="s">
        <v>186</v>
      </c>
      <c r="E11" s="5" t="s">
        <v>187</v>
      </c>
      <c r="F11" s="5" t="s">
        <v>188</v>
      </c>
      <c r="G11" s="5" t="s">
        <v>189</v>
      </c>
    </row>
    <row r="12">
      <c r="A12" s="3" t="s">
        <v>190</v>
      </c>
      <c r="B12" s="74">
        <v>45996.0</v>
      </c>
      <c r="C12" s="12">
        <v>36.0</v>
      </c>
      <c r="D12" s="12">
        <v>10.0</v>
      </c>
      <c r="E12" s="75">
        <f t="shared" ref="E12:E14" si="1">D12/C12</f>
        <v>0.2777777778</v>
      </c>
      <c r="F12" s="27">
        <f t="shared" ref="F12:F14" si="2">$B$8</f>
        <v>1201</v>
      </c>
      <c r="G12" s="48">
        <f t="shared" ref="G12:G14" si="3">E12*F12</f>
        <v>333.6111111</v>
      </c>
    </row>
    <row r="13">
      <c r="A13" s="3" t="s">
        <v>191</v>
      </c>
      <c r="B13" s="74">
        <v>46000.0</v>
      </c>
      <c r="C13" s="12">
        <v>36.0</v>
      </c>
      <c r="D13" s="12">
        <v>17.0</v>
      </c>
      <c r="E13" s="75">
        <f t="shared" si="1"/>
        <v>0.4722222222</v>
      </c>
      <c r="F13" s="27">
        <f t="shared" si="2"/>
        <v>1201</v>
      </c>
      <c r="G13" s="48">
        <f t="shared" si="3"/>
        <v>567.1388889</v>
      </c>
    </row>
    <row r="14">
      <c r="A14" s="3" t="s">
        <v>192</v>
      </c>
      <c r="B14" s="74">
        <v>46001.0</v>
      </c>
      <c r="C14" s="12">
        <v>35.0</v>
      </c>
      <c r="D14" s="12">
        <v>14.0</v>
      </c>
      <c r="E14" s="75">
        <f t="shared" si="1"/>
        <v>0.4</v>
      </c>
      <c r="F14" s="27">
        <f t="shared" si="2"/>
        <v>1201</v>
      </c>
      <c r="G14" s="48">
        <f t="shared" si="3"/>
        <v>480.4</v>
      </c>
    </row>
    <row r="15">
      <c r="A15" s="5" t="s">
        <v>21</v>
      </c>
      <c r="B15" s="7"/>
      <c r="C15" s="7">
        <f t="shared" ref="C15:D15" si="4">SUM(C12:C14)</f>
        <v>107</v>
      </c>
      <c r="D15" s="7">
        <f t="shared" si="4"/>
        <v>41</v>
      </c>
      <c r="E15" s="7"/>
      <c r="F15" s="7"/>
      <c r="G15" s="70">
        <f>SUM(G12:G14)</f>
        <v>1381.15</v>
      </c>
    </row>
    <row r="17">
      <c r="A17" s="5" t="s">
        <v>193</v>
      </c>
      <c r="B17" s="7"/>
      <c r="C17" s="7"/>
      <c r="D17" s="7"/>
      <c r="E17" s="7"/>
      <c r="F17" s="7"/>
      <c r="G17" s="7"/>
    </row>
    <row r="18">
      <c r="A18" s="5" t="s">
        <v>174</v>
      </c>
      <c r="B18" s="5" t="s">
        <v>194</v>
      </c>
      <c r="C18" s="5" t="s">
        <v>189</v>
      </c>
      <c r="D18" s="5" t="s">
        <v>177</v>
      </c>
      <c r="E18" s="7"/>
      <c r="F18" s="7"/>
      <c r="G18" s="7"/>
    </row>
    <row r="19">
      <c r="A19" s="3" t="s">
        <v>2</v>
      </c>
      <c r="B19" s="3" t="s">
        <v>195</v>
      </c>
      <c r="C19" s="48">
        <f>G15</f>
        <v>1381.15</v>
      </c>
      <c r="D19" s="27">
        <f>D15</f>
        <v>41</v>
      </c>
    </row>
    <row r="21">
      <c r="A21" s="5" t="s">
        <v>196</v>
      </c>
      <c r="B21" s="7"/>
      <c r="C21" s="7"/>
      <c r="D21" s="7"/>
      <c r="E21" s="7"/>
      <c r="F21" s="7"/>
      <c r="G21" s="7"/>
    </row>
    <row r="22">
      <c r="A22" s="5" t="s">
        <v>197</v>
      </c>
      <c r="B22" s="5" t="s">
        <v>175</v>
      </c>
      <c r="C22" s="5" t="s">
        <v>128</v>
      </c>
      <c r="D22" s="5" t="s">
        <v>198</v>
      </c>
      <c r="E22" s="5" t="s">
        <v>174</v>
      </c>
      <c r="F22" s="7"/>
    </row>
    <row r="23">
      <c r="A23" s="3">
        <v>15186.0</v>
      </c>
      <c r="B23" s="3" t="s">
        <v>20</v>
      </c>
      <c r="C23" s="76" t="s">
        <v>199</v>
      </c>
      <c r="D23" s="74">
        <v>45996.0</v>
      </c>
      <c r="E23" s="3" t="s">
        <v>2</v>
      </c>
    </row>
    <row r="24">
      <c r="A24" s="3">
        <v>245123.0</v>
      </c>
      <c r="B24" s="3" t="s">
        <v>20</v>
      </c>
      <c r="C24" s="76" t="s">
        <v>199</v>
      </c>
      <c r="D24" s="74">
        <v>45996.0</v>
      </c>
      <c r="E24" s="3" t="s">
        <v>2</v>
      </c>
    </row>
    <row r="25">
      <c r="A25" s="3">
        <v>245122.0</v>
      </c>
      <c r="B25" s="3" t="s">
        <v>20</v>
      </c>
      <c r="C25" s="76" t="s">
        <v>199</v>
      </c>
      <c r="D25" s="74">
        <v>45996.0</v>
      </c>
      <c r="E25" s="3" t="s">
        <v>2</v>
      </c>
    </row>
    <row r="26">
      <c r="A26" s="3">
        <v>245151.0</v>
      </c>
      <c r="B26" s="3" t="s">
        <v>20</v>
      </c>
      <c r="C26" s="76" t="s">
        <v>199</v>
      </c>
      <c r="D26" s="74">
        <v>45996.0</v>
      </c>
      <c r="E26" s="3" t="s">
        <v>2</v>
      </c>
    </row>
    <row r="27">
      <c r="A27" s="3">
        <v>245181.0</v>
      </c>
      <c r="B27" s="3" t="s">
        <v>20</v>
      </c>
      <c r="C27" s="76" t="s">
        <v>199</v>
      </c>
      <c r="D27" s="74">
        <v>45996.0</v>
      </c>
      <c r="E27" s="3" t="s">
        <v>2</v>
      </c>
    </row>
    <row r="28">
      <c r="A28" s="3">
        <v>245155.0</v>
      </c>
      <c r="B28" s="3" t="s">
        <v>20</v>
      </c>
      <c r="C28" s="76" t="s">
        <v>199</v>
      </c>
      <c r="D28" s="74">
        <v>45996.0</v>
      </c>
      <c r="E28" s="3" t="s">
        <v>2</v>
      </c>
    </row>
    <row r="29">
      <c r="A29" s="3">
        <v>245162.0</v>
      </c>
      <c r="B29" s="3" t="s">
        <v>20</v>
      </c>
      <c r="C29" s="76" t="s">
        <v>199</v>
      </c>
      <c r="D29" s="74">
        <v>45996.0</v>
      </c>
      <c r="E29" s="3" t="s">
        <v>2</v>
      </c>
    </row>
    <row r="30">
      <c r="A30" s="3">
        <v>245170.0</v>
      </c>
      <c r="B30" s="3" t="s">
        <v>20</v>
      </c>
      <c r="C30" s="76" t="s">
        <v>199</v>
      </c>
      <c r="D30" s="74">
        <v>45996.0</v>
      </c>
      <c r="E30" s="3" t="s">
        <v>2</v>
      </c>
    </row>
    <row r="31">
      <c r="A31" s="3">
        <v>245159.0</v>
      </c>
      <c r="B31" s="3" t="s">
        <v>20</v>
      </c>
      <c r="C31" s="76" t="s">
        <v>199</v>
      </c>
      <c r="D31" s="74">
        <v>45996.0</v>
      </c>
      <c r="E31" s="3" t="s">
        <v>2</v>
      </c>
    </row>
    <row r="32">
      <c r="A32" s="3">
        <v>245146.0</v>
      </c>
      <c r="B32" s="3" t="s">
        <v>20</v>
      </c>
      <c r="C32" s="76" t="s">
        <v>199</v>
      </c>
      <c r="D32" s="74">
        <v>45996.0</v>
      </c>
      <c r="E32" s="3" t="s">
        <v>2</v>
      </c>
    </row>
    <row r="33">
      <c r="A33" s="7"/>
      <c r="B33" s="7"/>
      <c r="C33" s="5"/>
      <c r="D33" s="7"/>
      <c r="E33" s="7"/>
      <c r="F33" s="7"/>
    </row>
    <row r="35">
      <c r="A35" s="5" t="s">
        <v>200</v>
      </c>
      <c r="B35" s="7"/>
      <c r="C35" s="7"/>
      <c r="D35" s="7"/>
      <c r="E35" s="7"/>
      <c r="F35" s="7"/>
    </row>
    <row r="36">
      <c r="A36" s="5" t="s">
        <v>197</v>
      </c>
      <c r="B36" s="5" t="s">
        <v>175</v>
      </c>
      <c r="C36" s="5" t="s">
        <v>128</v>
      </c>
      <c r="D36" s="5" t="s">
        <v>198</v>
      </c>
      <c r="E36" s="5" t="s">
        <v>174</v>
      </c>
      <c r="F36" s="7"/>
    </row>
    <row r="37">
      <c r="A37" s="3">
        <v>120591.0</v>
      </c>
      <c r="B37" s="3" t="s">
        <v>20</v>
      </c>
      <c r="C37" s="3" t="s">
        <v>201</v>
      </c>
      <c r="D37" s="74">
        <v>46000.0</v>
      </c>
      <c r="E37" s="3" t="s">
        <v>2</v>
      </c>
    </row>
    <row r="38">
      <c r="A38" s="3">
        <v>120548.0</v>
      </c>
      <c r="B38" s="3" t="s">
        <v>20</v>
      </c>
      <c r="C38" s="3" t="s">
        <v>201</v>
      </c>
      <c r="D38" s="74">
        <v>46000.0</v>
      </c>
      <c r="E38" s="3" t="s">
        <v>2</v>
      </c>
    </row>
    <row r="39">
      <c r="A39" s="3">
        <v>120568.0</v>
      </c>
      <c r="B39" s="3" t="s">
        <v>20</v>
      </c>
      <c r="C39" s="3" t="s">
        <v>201</v>
      </c>
      <c r="D39" s="74">
        <v>46000.0</v>
      </c>
      <c r="E39" s="3" t="s">
        <v>2</v>
      </c>
    </row>
    <row r="40">
      <c r="A40" s="3">
        <v>120564.0</v>
      </c>
      <c r="B40" s="3" t="s">
        <v>20</v>
      </c>
      <c r="C40" s="3" t="s">
        <v>201</v>
      </c>
      <c r="D40" s="74">
        <v>46000.0</v>
      </c>
      <c r="E40" s="3" t="s">
        <v>2</v>
      </c>
    </row>
    <row r="41">
      <c r="A41" s="3">
        <v>120528.0</v>
      </c>
      <c r="B41" s="3" t="s">
        <v>20</v>
      </c>
      <c r="C41" s="3" t="s">
        <v>201</v>
      </c>
      <c r="D41" s="74">
        <v>46000.0</v>
      </c>
      <c r="E41" s="3" t="s">
        <v>2</v>
      </c>
    </row>
    <row r="42">
      <c r="A42" s="3">
        <v>120531.0</v>
      </c>
      <c r="B42" s="3" t="s">
        <v>20</v>
      </c>
      <c r="C42" s="3" t="s">
        <v>201</v>
      </c>
      <c r="D42" s="74">
        <v>46000.0</v>
      </c>
      <c r="E42" s="3" t="s">
        <v>2</v>
      </c>
    </row>
    <row r="43">
      <c r="A43" s="3">
        <v>120513.0</v>
      </c>
      <c r="B43" s="3" t="s">
        <v>20</v>
      </c>
      <c r="C43" s="3" t="s">
        <v>201</v>
      </c>
      <c r="D43" s="74">
        <v>46000.0</v>
      </c>
      <c r="E43" s="3" t="s">
        <v>2</v>
      </c>
    </row>
    <row r="44">
      <c r="A44" s="3">
        <v>120576.0</v>
      </c>
      <c r="B44" s="3" t="s">
        <v>20</v>
      </c>
      <c r="C44" s="3" t="s">
        <v>201</v>
      </c>
      <c r="D44" s="74">
        <v>46000.0</v>
      </c>
      <c r="E44" s="3" t="s">
        <v>2</v>
      </c>
    </row>
    <row r="45">
      <c r="A45" s="3">
        <v>120517.0</v>
      </c>
      <c r="B45" s="3" t="s">
        <v>20</v>
      </c>
      <c r="C45" s="3" t="s">
        <v>201</v>
      </c>
      <c r="D45" s="74">
        <v>46000.0</v>
      </c>
      <c r="E45" s="3" t="s">
        <v>2</v>
      </c>
    </row>
    <row r="46">
      <c r="A46" s="3">
        <v>120558.0</v>
      </c>
      <c r="B46" s="3" t="s">
        <v>20</v>
      </c>
      <c r="C46" s="3" t="s">
        <v>201</v>
      </c>
      <c r="D46" s="74">
        <v>46000.0</v>
      </c>
      <c r="E46" s="3" t="s">
        <v>2</v>
      </c>
    </row>
    <row r="47">
      <c r="A47" s="3">
        <v>120515.0</v>
      </c>
      <c r="B47" s="3" t="s">
        <v>20</v>
      </c>
      <c r="C47" s="3" t="s">
        <v>201</v>
      </c>
      <c r="D47" s="74">
        <v>46000.0</v>
      </c>
      <c r="E47" s="3" t="s">
        <v>2</v>
      </c>
    </row>
    <row r="48">
      <c r="A48" s="3">
        <v>120544.0</v>
      </c>
      <c r="B48" s="3" t="s">
        <v>20</v>
      </c>
      <c r="C48" s="3" t="s">
        <v>201</v>
      </c>
      <c r="D48" s="74">
        <v>46000.0</v>
      </c>
      <c r="E48" s="3" t="s">
        <v>2</v>
      </c>
    </row>
    <row r="49">
      <c r="A49" s="3">
        <v>120573.0</v>
      </c>
      <c r="B49" s="3" t="s">
        <v>20</v>
      </c>
      <c r="C49" s="3" t="s">
        <v>201</v>
      </c>
      <c r="D49" s="74">
        <v>46000.0</v>
      </c>
      <c r="E49" s="3" t="s">
        <v>2</v>
      </c>
    </row>
    <row r="50">
      <c r="A50" s="3">
        <v>120561.0</v>
      </c>
      <c r="B50" s="3" t="s">
        <v>20</v>
      </c>
      <c r="C50" s="3" t="s">
        <v>201</v>
      </c>
      <c r="D50" s="74">
        <v>46000.0</v>
      </c>
      <c r="E50" s="3" t="s">
        <v>2</v>
      </c>
    </row>
    <row r="51">
      <c r="A51" s="3">
        <v>120525.0</v>
      </c>
      <c r="B51" s="3" t="s">
        <v>20</v>
      </c>
      <c r="C51" s="3" t="s">
        <v>201</v>
      </c>
      <c r="D51" s="74">
        <v>46000.0</v>
      </c>
      <c r="E51" s="3" t="s">
        <v>2</v>
      </c>
    </row>
    <row r="52">
      <c r="A52" s="3">
        <v>120502.0</v>
      </c>
      <c r="B52" s="3" t="s">
        <v>20</v>
      </c>
      <c r="C52" s="3" t="s">
        <v>201</v>
      </c>
      <c r="D52" s="74">
        <v>46000.0</v>
      </c>
      <c r="E52" s="3" t="s">
        <v>2</v>
      </c>
    </row>
    <row r="53">
      <c r="A53" s="3">
        <v>120574.0</v>
      </c>
      <c r="B53" s="3" t="s">
        <v>20</v>
      </c>
      <c r="C53" s="3" t="s">
        <v>201</v>
      </c>
      <c r="D53" s="74">
        <v>46000.0</v>
      </c>
      <c r="E53" s="3" t="s">
        <v>2</v>
      </c>
    </row>
    <row r="54">
      <c r="A54" s="7"/>
      <c r="B54" s="7"/>
      <c r="C54" s="5"/>
      <c r="D54" s="7"/>
      <c r="E54" s="7"/>
      <c r="F54" s="7"/>
    </row>
    <row r="56">
      <c r="A56" s="5" t="s">
        <v>202</v>
      </c>
      <c r="B56" s="7"/>
      <c r="C56" s="7"/>
      <c r="D56" s="7"/>
      <c r="E56" s="7"/>
      <c r="F56" s="7"/>
    </row>
    <row r="57">
      <c r="A57" s="5" t="s">
        <v>197</v>
      </c>
      <c r="B57" s="5" t="s">
        <v>175</v>
      </c>
      <c r="C57" s="5" t="s">
        <v>128</v>
      </c>
      <c r="D57" s="5" t="s">
        <v>198</v>
      </c>
      <c r="E57" s="5" t="s">
        <v>174</v>
      </c>
      <c r="F57" s="7"/>
    </row>
    <row r="58">
      <c r="A58" s="3">
        <v>228427.0</v>
      </c>
      <c r="B58" s="3" t="s">
        <v>20</v>
      </c>
      <c r="C58" s="76" t="s">
        <v>203</v>
      </c>
      <c r="D58" s="74">
        <v>46001.0</v>
      </c>
      <c r="E58" s="3" t="s">
        <v>2</v>
      </c>
    </row>
    <row r="59">
      <c r="A59" s="3">
        <v>228408.0</v>
      </c>
      <c r="B59" s="3" t="s">
        <v>20</v>
      </c>
      <c r="C59" s="76" t="s">
        <v>204</v>
      </c>
      <c r="D59" s="74">
        <v>46001.0</v>
      </c>
      <c r="E59" s="3" t="s">
        <v>2</v>
      </c>
    </row>
    <row r="60">
      <c r="A60" s="3">
        <v>228465.0</v>
      </c>
      <c r="B60" s="3" t="s">
        <v>20</v>
      </c>
      <c r="C60" s="76" t="s">
        <v>203</v>
      </c>
      <c r="D60" s="74">
        <v>46001.0</v>
      </c>
      <c r="E60" s="3" t="s">
        <v>2</v>
      </c>
    </row>
    <row r="61">
      <c r="A61" s="3">
        <v>228496.0</v>
      </c>
      <c r="B61" s="3" t="s">
        <v>20</v>
      </c>
      <c r="C61" s="76" t="s">
        <v>203</v>
      </c>
      <c r="D61" s="74">
        <v>46001.0</v>
      </c>
      <c r="E61" s="3" t="s">
        <v>2</v>
      </c>
    </row>
    <row r="62">
      <c r="A62" s="3">
        <v>228431.0</v>
      </c>
      <c r="B62" s="3" t="s">
        <v>20</v>
      </c>
      <c r="C62" s="76" t="s">
        <v>203</v>
      </c>
      <c r="D62" s="74">
        <v>46001.0</v>
      </c>
      <c r="E62" s="3" t="s">
        <v>2</v>
      </c>
    </row>
    <row r="63">
      <c r="A63" s="3">
        <v>228455.0</v>
      </c>
      <c r="B63" s="3" t="s">
        <v>20</v>
      </c>
      <c r="C63" s="76" t="s">
        <v>203</v>
      </c>
      <c r="D63" s="74">
        <v>46001.0</v>
      </c>
      <c r="E63" s="3" t="s">
        <v>2</v>
      </c>
    </row>
    <row r="64">
      <c r="A64" s="3">
        <v>228458.0</v>
      </c>
      <c r="B64" s="3" t="s">
        <v>20</v>
      </c>
      <c r="C64" s="76" t="s">
        <v>203</v>
      </c>
      <c r="D64" s="74">
        <v>46001.0</v>
      </c>
      <c r="E64" s="3" t="s">
        <v>2</v>
      </c>
    </row>
    <row r="65">
      <c r="A65" s="3">
        <v>228422.0</v>
      </c>
      <c r="B65" s="3" t="s">
        <v>20</v>
      </c>
      <c r="C65" s="76" t="s">
        <v>203</v>
      </c>
      <c r="D65" s="74">
        <v>46001.0</v>
      </c>
      <c r="E65" s="3" t="s">
        <v>2</v>
      </c>
    </row>
    <row r="66">
      <c r="A66" s="3">
        <v>228466.0</v>
      </c>
      <c r="B66" s="3" t="s">
        <v>20</v>
      </c>
      <c r="C66" s="76" t="s">
        <v>203</v>
      </c>
      <c r="D66" s="74">
        <v>46001.0</v>
      </c>
      <c r="E66" s="3" t="s">
        <v>2</v>
      </c>
    </row>
    <row r="67">
      <c r="A67" s="3">
        <v>228462.0</v>
      </c>
      <c r="B67" s="3" t="s">
        <v>20</v>
      </c>
      <c r="C67" s="76" t="s">
        <v>203</v>
      </c>
      <c r="D67" s="74">
        <v>46001.0</v>
      </c>
      <c r="E67" s="3" t="s">
        <v>2</v>
      </c>
    </row>
    <row r="68">
      <c r="A68" s="3">
        <v>228494.0</v>
      </c>
      <c r="B68" s="3" t="s">
        <v>20</v>
      </c>
      <c r="C68" s="76" t="s">
        <v>203</v>
      </c>
      <c r="D68" s="74">
        <v>46001.0</v>
      </c>
      <c r="E68" s="3" t="s">
        <v>2</v>
      </c>
    </row>
    <row r="69">
      <c r="A69" s="3">
        <v>228438.0</v>
      </c>
      <c r="B69" s="3" t="s">
        <v>20</v>
      </c>
      <c r="C69" s="76" t="s">
        <v>203</v>
      </c>
      <c r="D69" s="74">
        <v>46001.0</v>
      </c>
      <c r="E69" s="3" t="s">
        <v>2</v>
      </c>
    </row>
    <row r="70">
      <c r="A70" s="3">
        <v>228403.0</v>
      </c>
      <c r="B70" s="3" t="s">
        <v>20</v>
      </c>
      <c r="C70" s="76" t="s">
        <v>203</v>
      </c>
      <c r="D70" s="74">
        <v>46001.0</v>
      </c>
      <c r="E70" s="3" t="s">
        <v>2</v>
      </c>
    </row>
    <row r="71">
      <c r="A71" s="3">
        <v>228476.0</v>
      </c>
      <c r="B71" s="3" t="s">
        <v>20</v>
      </c>
      <c r="C71" s="76" t="s">
        <v>203</v>
      </c>
      <c r="D71" s="74">
        <v>46001.0</v>
      </c>
      <c r="E71" s="3" t="s">
        <v>2</v>
      </c>
    </row>
    <row r="72">
      <c r="A72" s="7"/>
      <c r="B72" s="7"/>
      <c r="C72" s="5"/>
      <c r="D72" s="7"/>
      <c r="E72" s="7"/>
      <c r="F72" s="7"/>
    </row>
  </sheetData>
  <drawing r:id="rId1"/>
</worksheet>
</file>