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WODO" sheetId="4" r:id="rId8"/>
    <sheet state="hidden" name="Kerry" sheetId="5" r:id="rId9"/>
    <sheet state="hidden" name="QOWV" sheetId="6" r:id="rId10"/>
    <sheet state="visible" name="WODO Shipments &amp; EE Allocation" sheetId="7" r:id="rId11"/>
  </sheets>
  <definedNames/>
  <calcPr/>
</workbook>
</file>

<file path=xl/sharedStrings.xml><?xml version="1.0" encoding="utf-8"?>
<sst xmlns="http://schemas.openxmlformats.org/spreadsheetml/2006/main" count="327" uniqueCount="175">
  <si>
    <t>BATCH SUMMARY</t>
  </si>
  <si>
    <t>Batch ID</t>
  </si>
  <si>
    <t>INJ-06-2026-W1</t>
  </si>
  <si>
    <t>Week Start (Sat)</t>
  </si>
  <si>
    <t>Week End (Sat)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</si>
  <si>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</si>
  <si>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</si>
  <si>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</si>
  <si>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</si>
  <si>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</si>
  <si>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</si>
  <si>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</si>
  <si>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</si>
  <si>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</si>
  <si>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</si>
  <si>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</si>
  <si>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AECN Rail</t>
  </si>
  <si>
    <t>AECN Truck</t>
  </si>
  <si>
    <t>Charm WODO</t>
  </si>
  <si>
    <t>Kerry</t>
  </si>
  <si>
    <t>QOWV</t>
  </si>
  <si>
    <t>TOTAL</t>
  </si>
  <si>
    <t>SECTION 2 - PER-OIL-TYPE ROLLUP  (composite C% per oil type per week)</t>
  </si>
  <si>
    <t>Oil Type</t>
  </si>
  <si>
    <t>Composite Sample ID</t>
  </si>
  <si>
    <t>C %</t>
  </si>
  <si>
    <t>Lab COA Link</t>
  </si>
  <si>
    <t>C Content Uncertainty</t>
  </si>
  <si>
    <t>Testing Uncertainty</t>
  </si>
  <si>
    <t>AECN</t>
  </si>
  <si>
    <t>6-2026-W1 AECN</t>
  </si>
  <si>
    <t>https://acrobat.adobe.com/id/urn:aaid:sc:US:44c9fb3a-51a1-486f-9220-231d0ebf1554</t>
  </si>
  <si>
    <t>WODO</t>
  </si>
  <si>
    <t>6-2026-W1 WODO</t>
  </si>
  <si>
    <t>CHARM INDUSTRIAL - 6-2026-W1 WODO.pdf</t>
  </si>
  <si>
    <t xml:space="preserve"> </t>
  </si>
  <si>
    <t>BATCH HEADER — AECN Rail</t>
  </si>
  <si>
    <t>Batch ID (INJ-YYYY-WXX)</t>
  </si>
  <si>
    <t>Constants</t>
  </si>
  <si>
    <t>Lbs/Kg</t>
  </si>
  <si>
    <t>Kg/Lbs</t>
  </si>
  <si>
    <t>Sparging Mass Loss</t>
  </si>
  <si>
    <t>pH range (target)</t>
  </si>
  <si>
    <t>2.0 - 4.0</t>
  </si>
  <si>
    <t>Filtration Solids Content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</si>
  <si>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</si>
  <si>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</si>
  <si>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</si>
  <si>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</si>
  <si>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</si>
  <si>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</si>
  <si>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</si>
  <si>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</si>
  <si>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</si>
  <si>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Prior Period Mass</t>
  </si>
  <si>
    <t>Prior-RP Claimed (kg)</t>
  </si>
  <si>
    <t>AECN→SOPOR (mi)</t>
  </si>
  <si>
    <t>Rail (mi)</t>
  </si>
  <si>
    <t>Opel→Basco (mi)</t>
  </si>
  <si>
    <t>Notes</t>
  </si>
  <si>
    <t>Round Trip (Opel→Basco)</t>
  </si>
  <si>
    <t>TIMX201060</t>
  </si>
  <si>
    <t>2362-R, 2363-R, 2364-R</t>
  </si>
  <si>
    <t>Prior-RP claimed: 68,755.48 kg (offloads 1-3 of 5.7.2026 loading, INJ-05-2026-W4)</t>
  </si>
  <si>
    <t>GPRX5102</t>
  </si>
  <si>
    <t>2359-R, 2360-R, 2361-R</t>
  </si>
  <si>
    <t>TILX200231</t>
  </si>
  <si>
    <t>2368-R, 2369-R, 2370-R</t>
  </si>
  <si>
    <t>SECTION 2 - ORIGINS LEDGER  (loading BOLs at SOPOR)</t>
  </si>
  <si>
    <t>Date</t>
  </si>
  <si>
    <t>BOL #</t>
  </si>
  <si>
    <t>BOL Mass (MT)</t>
  </si>
  <si>
    <t>BOL Mass (kg)</t>
  </si>
  <si>
    <t>SECTION 3 - SCALE TICKTS + OFFLOAD WEIGHTS</t>
  </si>
  <si>
    <t>Full Scale Ticket (lb)</t>
  </si>
  <si>
    <t>Empty Scale Ticket (lb)</t>
  </si>
  <si>
    <t>Net Scaled Mass (kg)</t>
  </si>
  <si>
    <t>pH</t>
  </si>
  <si>
    <t>Uncertainty Adjustment (kg)</t>
  </si>
  <si>
    <t>AECN→SOPOR (mi, allocated ×3)</t>
  </si>
  <si>
    <t>Rail (mi, allocated)</t>
  </si>
  <si>
    <t>Opel→Basco (mi, full ×2)</t>
  </si>
  <si>
    <t>Rail_TIMX201060_5.7.2026_offload_4</t>
  </si>
  <si>
    <t>Rail_GPRX5102_5.7.2026_offload_1</t>
  </si>
  <si>
    <t>Rail_GPRX5102_5.7.2026_offload_2</t>
  </si>
  <si>
    <t>Rail_GPRX5102_5.7.2026_offload_3</t>
  </si>
  <si>
    <t>Rail_GPRX5102_5.7.2026_offload_4</t>
  </si>
  <si>
    <t>Rail_TILX200231_5.11.2026_offload_1</t>
  </si>
  <si>
    <t>Rail_TILX200231_5.11.2026_offload_2</t>
  </si>
  <si>
    <t>Rail_TILX200231_5.11.2026_offload_3</t>
  </si>
  <si>
    <t>Rail_TILX200231_5.11.2026_offload_4</t>
  </si>
  <si>
    <t>SECTION 4 - ROLLUP  (Mass Used = Σ Deliveries – Uncertainty Adj)</t>
  </si>
  <si>
    <t>Σ Deliveries raw (kg)</t>
  </si>
  <si>
    <t>Mass Used (post-adj) (kg)</t>
  </si>
  <si>
    <t>C Content</t>
  </si>
  <si>
    <t>Origins list (BOLs)</t>
  </si>
  <si>
    <t>BATCH HEADER — AECN Truck (Direct from Fort Lupton)</t>
  </si>
  <si>
    <t>SECTION 1 - DELIVERIES LEDGER  (one row per direct truck; BOL &amp; scale ticket on same row)</t>
  </si>
  <si>
    <t>BOL # / SO #</t>
  </si>
  <si>
    <t>Scale Full (lb)</t>
  </si>
  <si>
    <t>Scale Empty (lb)</t>
  </si>
  <si>
    <t>Cargo (kg)</t>
  </si>
  <si>
    <t>SECTION 2 - ROLLUP  (Mass Used = Σ BOL kg; scale tickets no longer required for direct trucks per 2026-05-26)</t>
  </si>
  <si>
    <t>Σ BOL (kg)</t>
  </si>
  <si>
    <t>Σ Cargo (kg)</t>
  </si>
  <si>
    <t>C Content (MOBI-wtd)</t>
  </si>
  <si>
    <t>BATCH HEADER — Charm WODO (IBC Totes)</t>
  </si>
  <si>
    <t>SECTION 1 - IBC LEDGER  (one row per IBC tote; tote tag mass is authoritative)</t>
  </si>
  <si>
    <t>Transport Emissions</t>
  </si>
  <si>
    <t>Pyrolysis Emissions Mass</t>
  </si>
  <si>
    <t>MOBI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</si>
  <si>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</si>
  <si>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</si>
  <si>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</si>
  <si>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</si>
  <si>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</si>
  <si>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</si>
  <si>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</si>
  <si>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</si>
  <si>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</si>
  <si>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</si>
  <si>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MFO Lot 4384 (LOT00004384), November 2025 PP</t>
  </si>
  <si>
    <t>MFO Lot 4288 (LOT00004288), November 2025 PP</t>
  </si>
  <si>
    <t>MFO Lot 4386 (LOT00004386), November 2025 PP</t>
  </si>
  <si>
    <t>MFO Lot 4408 (LOT00004408), November 2025 PP</t>
  </si>
  <si>
    <t>MFO Lot 4430 (LOT00004430), November 2025 PP</t>
  </si>
  <si>
    <t>MFO Lot 4458 (LOT00004458), November 2025 PP</t>
  </si>
  <si>
    <t>MFO Lot 4462 (LOT00004462), November 2025 PP</t>
  </si>
  <si>
    <t>MFO Lot 4502 (LOT00004502), December 2025 PP</t>
  </si>
  <si>
    <t>MFO Lot 4518 (LOT00004518), December 2025 PP</t>
  </si>
  <si>
    <t>MFO Lot 4621 (LOT00004621), January 2026 PP</t>
  </si>
  <si>
    <t>SECTION 2 - ROLLUP</t>
  </si>
  <si>
    <t>Transport Mass</t>
  </si>
  <si>
    <t>Σ Net Oil Produced (kg)</t>
  </si>
  <si>
    <t>MOBI — Σ Net Oil Injected (kg)</t>
  </si>
  <si>
    <t>Σ Production Emissions (kg)</t>
  </si>
  <si>
    <t>BATCH HEADER — Kerry (Calciner Waste Oil, IBC Totes)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</si>
  <si>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</si>
  <si>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</si>
  <si>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</si>
  <si>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</si>
  <si>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</si>
  <si>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</si>
  <si>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</si>
  <si>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Σ Net Injected (kg)</t>
  </si>
  <si>
    <t>Origins list (Tote tags)</t>
  </si>
  <si>
    <t>BATCH HEADER — QOWV (Aqueous Bio-Oil, IBC Totes)</t>
  </si>
  <si>
    <t>SECTION 1 - IBC LEDGER  (one row per QOWV tote; tote tag mass is authoritative)</t>
  </si>
  <si>
    <t>INJ-06-2026-W1 — WODO Shipments &amp; EE Mileage Allocation</t>
  </si>
  <si>
    <t>Batch</t>
  </si>
  <si>
    <t>Fraction</t>
  </si>
  <si>
    <t>Inj. Week</t>
  </si>
  <si>
    <t># Totes</t>
  </si>
  <si>
    <t>Ship Date(s)</t>
  </si>
  <si>
    <t>2026-05-30 to 2026-06-06</t>
  </si>
  <si>
    <t>2026-03-20 (10 of 17 on truck)</t>
  </si>
  <si>
    <t>Charm CO -&gt; Basco LA distance (one-way miles):</t>
  </si>
  <si>
    <t>EE ALLOCATION TABLE</t>
  </si>
  <si>
    <t>Truck (shipment)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</si>
  <si>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</si>
  <si>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</si>
  <si>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</si>
  <si>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</si>
  <si>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</si>
  <si>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</si>
  <si>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Shipment 03-20</t>
  </si>
  <si>
    <t>BATCH MILEAGE ALLOCATION</t>
  </si>
  <si>
    <t>Per-Truck Allocation (relevant/total)</t>
  </si>
  <si>
    <t>03-20 (10/17)</t>
  </si>
  <si>
    <t>--- Shipment 2026-03-20 --- (10 of 17 totes on this truck are W1-relevant)</t>
  </si>
  <si>
    <t>Metal Tag</t>
  </si>
  <si>
    <t>Date Loaded</t>
  </si>
  <si>
    <t>Nov 2025 PP</t>
  </si>
  <si>
    <t>Dec 2025 PP</t>
  </si>
  <si>
    <t>Jan 2026 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</si>
</sst>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0.0000%"/>
    <numFmt numFmtId="166" formatCode="m/d/yyyy"/>
    <numFmt numFmtId="167" formatCode="0.0000000000"/>
    <numFmt numFmtId="168" formatCode="#,##0.00000"/>
    <numFmt numFmtId="169" formatCode="0.0000"/>
    <numFmt numFmtId="170" formatCode="#,##0.000000"/>
    <numFmt numFmtId="171" formatCode="0.000000"/>
  </numFmts>
  <fonts count="1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4" xfId="0" applyFont="1" applyNumberFormat="1"/>
    <xf borderId="0" fillId="3" fontId="2" numFmtId="4" xfId="0" applyFont="1" applyNumberFormat="1"/>
    <xf borderId="0" fillId="0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165" xfId="0" applyFont="1" applyNumberFormat="1"/>
    <xf borderId="0" fillId="0" fontId="2" numFmtId="10" xfId="0" applyFont="1" applyNumberFormat="1"/>
    <xf borderId="0" fillId="0" fontId="6" numFmtId="0" xfId="0" applyAlignment="1" applyFont="1">
      <alignment readingOrder="0"/>
    </xf>
    <xf borderId="0" fillId="2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4" fontId="2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0" fontId="2" numFmtId="0" xfId="0" applyFont="1"/>
    <xf borderId="0" fillId="0" fontId="2" numFmtId="166" xfId="0" applyFont="1" applyNumberFormat="1"/>
    <xf borderId="0" fillId="2" fontId="1" numFmtId="166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7" numFmtId="0" xfId="0" applyFont="1"/>
    <xf borderId="0" fillId="2" fontId="1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3" fontId="3" numFmtId="166" xfId="0" applyAlignment="1" applyFont="1" applyNumberFormat="1">
      <alignment readingOrder="0"/>
    </xf>
    <xf borderId="0" fillId="3" fontId="8" numFmtId="4" xfId="0" applyAlignment="1" applyFont="1" applyNumberFormat="1">
      <alignment readingOrder="0"/>
    </xf>
    <xf borderId="0" fillId="3" fontId="3" numFmtId="4" xfId="0" applyAlignment="1" applyFont="1" applyNumberFormat="1">
      <alignment readingOrder="0"/>
    </xf>
    <xf borderId="0" fillId="3" fontId="3" numFmtId="2" xfId="0" applyAlignment="1" applyFont="1" applyNumberFormat="1">
      <alignment readingOrder="0"/>
    </xf>
    <xf borderId="0" fillId="3" fontId="3" numFmtId="4" xfId="0" applyFont="1" applyNumberFormat="1"/>
    <xf borderId="0" fillId="0" fontId="2" numFmtId="10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4" fontId="2" numFmtId="4" xfId="0" applyFont="1" applyNumberFormat="1"/>
    <xf borderId="0" fillId="0" fontId="10" numFmtId="4" xfId="0" applyAlignment="1" applyFont="1" applyNumberFormat="1">
      <alignment readingOrder="0"/>
    </xf>
    <xf borderId="0" fillId="5" fontId="2" numFmtId="166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5" fontId="11" numFmtId="4" xfId="0" applyAlignment="1" applyFont="1" applyNumberFormat="1">
      <alignment readingOrder="0"/>
    </xf>
    <xf borderId="0" fillId="4" fontId="2" numFmtId="4" xfId="0" applyAlignment="1" applyFont="1" applyNumberFormat="1">
      <alignment readingOrder="0"/>
    </xf>
    <xf borderId="0" fillId="5" fontId="2" numFmtId="2" xfId="0" applyAlignment="1" applyFont="1" applyNumberFormat="1">
      <alignment readingOrder="0"/>
    </xf>
    <xf borderId="0" fillId="4" fontId="2" numFmtId="4" xfId="0" applyFont="1" applyNumberFormat="1"/>
    <xf borderId="0" fillId="5" fontId="2" numFmtId="4" xfId="0" applyAlignment="1" applyFont="1" applyNumberFormat="1">
      <alignment readingOrder="0"/>
    </xf>
    <xf borderId="0" fillId="5" fontId="2" numFmtId="4" xfId="0" applyFont="1" applyNumberFormat="1"/>
    <xf borderId="0" fillId="0" fontId="2" numFmtId="2" xfId="0" applyFont="1" applyNumberFormat="1"/>
    <xf borderId="0" fillId="2" fontId="1" numFmtId="4" xfId="0" applyFont="1" applyNumberFormat="1"/>
    <xf borderId="0" fillId="2" fontId="1" numFmtId="2" xfId="0" applyFont="1" applyNumberFormat="1"/>
    <xf borderId="0" fillId="0" fontId="3" numFmtId="2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3" numFmtId="0" xfId="0" applyAlignment="1" applyFont="1">
      <alignment horizontal="center" readingOrder="0"/>
    </xf>
    <xf borderId="0" fillId="5" fontId="3" numFmtId="4" xfId="0" applyAlignment="1" applyFont="1" applyNumberFormat="1">
      <alignment horizontal="center" readingOrder="0"/>
    </xf>
    <xf borderId="0" fillId="5" fontId="3" numFmtId="4" xfId="0" applyAlignment="1" applyFont="1" applyNumberFormat="1">
      <alignment readingOrder="0"/>
    </xf>
    <xf borderId="0" fillId="5" fontId="3" numFmtId="2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5" fontId="2" numFmtId="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Font="1" applyNumberFormat="1"/>
    <xf borderId="0" fillId="5" fontId="2" numFmtId="4" xfId="0" applyFont="1" applyNumberFormat="1"/>
    <xf borderId="0" fillId="0" fontId="3" numFmtId="167" xfId="0" applyFont="1" applyNumberFormat="1"/>
    <xf borderId="0" fillId="0" fontId="2" numFmtId="169" xfId="0" applyFont="1" applyNumberFormat="1"/>
    <xf borderId="0" fillId="0" fontId="2" numFmtId="166" xfId="0" applyAlignment="1" applyFont="1" applyNumberFormat="1">
      <alignment readingOrder="0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1" fillId="0" fontId="13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readingOrder="0" vertical="bottom"/>
    </xf>
    <xf borderId="1" fillId="0" fontId="15" numFmtId="1" xfId="0" applyAlignment="1" applyBorder="1" applyFont="1" applyNumberFormat="1">
      <alignment horizontal="right" vertical="bottom"/>
    </xf>
    <xf borderId="1" fillId="0" fontId="15" numFmtId="4" xfId="0" applyAlignment="1" applyBorder="1" applyFont="1" applyNumberFormat="1">
      <alignment horizontal="right" vertical="bottom"/>
    </xf>
    <xf borderId="1" fillId="0" fontId="16" numFmtId="4" xfId="0" applyAlignment="1" applyBorder="1" applyFont="1" applyNumberFormat="1">
      <alignment horizontal="right" readingOrder="0" vertical="bottom"/>
    </xf>
    <xf borderId="1" fillId="0" fontId="16" numFmtId="4" xfId="0" applyAlignment="1" applyBorder="1" applyFont="1" applyNumberFormat="1">
      <alignment horizontal="right" vertical="bottom"/>
    </xf>
    <xf borderId="1" fillId="0" fontId="15" numFmtId="0" xfId="0" applyAlignment="1" applyBorder="1" applyFont="1">
      <alignment horizontal="right" vertical="bottom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1" fillId="0" fontId="15" numFmtId="0" xfId="0" applyAlignment="1" applyBorder="1" applyFont="1">
      <alignment horizontal="right" vertical="bottom"/>
    </xf>
    <xf borderId="1" fillId="0" fontId="15" numFmtId="2" xfId="0" applyAlignment="1" applyBorder="1" applyFont="1" applyNumberFormat="1">
      <alignment horizontal="right" vertical="bottom"/>
    </xf>
    <xf borderId="0" fillId="0" fontId="2" numFmtId="1" xfId="0" applyFont="1" applyNumberFormat="1"/>
    <xf borderId="0" fillId="0" fontId="2" numFmtId="4" xfId="0" applyFont="1" applyNumberFormat="1"/>
    <xf borderId="0" fillId="0" fontId="3" numFmtId="4" xfId="0" applyFont="1" applyNumberFormat="1"/>
    <xf borderId="0" fillId="0" fontId="3" numFmtId="4" xfId="0" applyFont="1" applyNumberFormat="1"/>
    <xf borderId="0" fillId="0" fontId="3" numFmtId="170" xfId="0" applyFont="1" applyNumberFormat="1"/>
    <xf borderId="0" fillId="0" fontId="3" numFmtId="2" xfId="0" applyFont="1" applyNumberFormat="1"/>
    <xf borderId="0" fillId="0" fontId="2" numFmtId="171" xfId="0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robat.adobe.com/id/urn:aaid:sc:US:44c9fb3a-51a1-486f-9220-231d0ebf1554" TargetMode="External"/><Relationship Id="rId2" Type="http://schemas.openxmlformats.org/officeDocument/2006/relationships/hyperlink" Target="https://drive.google.com/file/d/1KeRf94gVFrR_fYRcSO0AhLmwg57mc96w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3" t="s">
        <v>2</v>
      </c>
    </row>
    <row r="3">
      <c r="A3" s="3" t="s">
        <v>3</v>
      </c>
      <c r="B3" s="4">
        <v>46172.0</v>
      </c>
    </row>
    <row r="4">
      <c r="A4" s="3" t="s">
        <v>4</v>
      </c>
      <c r="B4" s="4">
        <v>46179.0</v>
      </c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6</v>
      </c>
      <c r="B7" s="5" t="s">
        <v>7</v>
      </c>
      <c r="C7" s="5" t="s">
        <v>8</v>
      </c>
      <c r="D7" s="6" t="s">
        <v>9</v>
      </c>
      <c r="E7" s="5" t="s">
        <v>10</v>
      </c>
      <c r="F7" s="6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7"/>
      <c r="L7" s="7"/>
      <c r="M7" s="7"/>
      <c r="N7" s="7"/>
    </row>
    <row r="8">
      <c r="A8" s="3" t="s">
        <v>16</v>
      </c>
      <c r="B8" s="8">
        <f>'AECN Rail'!A44</f>
        <v>167965.1176</v>
      </c>
      <c r="C8" s="8">
        <f>'AECN Rail'!B44</f>
        <v>2160.593</v>
      </c>
      <c r="D8" s="9">
        <f>'AECN Rail'!C44</f>
        <v>165804.5246</v>
      </c>
      <c r="E8" s="8">
        <f>'AECN Rail'!D44</f>
        <v>2138.878367</v>
      </c>
      <c r="F8" s="9">
        <f>'AECN Rail'!E44</f>
        <v>319.1480102</v>
      </c>
      <c r="G8" s="8">
        <f>'AECN Rail'!F44</f>
        <v>163346.4982</v>
      </c>
      <c r="H8" s="8">
        <f>SUM('AECN Rail'!L28:L36)</f>
        <v>683.4410605</v>
      </c>
      <c r="I8" s="8">
        <f>SUM('AECN Rail'!M28:M36)</f>
        <v>4660.114394</v>
      </c>
      <c r="J8" s="8">
        <f>SUM('AECN Rail'!N28:N36)</f>
        <v>772.2</v>
      </c>
    </row>
    <row r="9">
      <c r="A9" s="3" t="s">
        <v>17</v>
      </c>
      <c r="B9" s="8">
        <f>'AECN Truck'!B28</f>
        <v>0</v>
      </c>
      <c r="C9" s="8">
        <f>'AECN Truck'!F28</f>
        <v>0</v>
      </c>
      <c r="D9" s="9">
        <f>'AECN Truck'!C28</f>
        <v>0</v>
      </c>
      <c r="E9" s="8">
        <f>'AECN Truck'!D28</f>
        <v>0</v>
      </c>
      <c r="F9" s="9">
        <f>'AECN Truck'!E28</f>
        <v>0</v>
      </c>
      <c r="G9" s="8">
        <f>'AECN Truck'!G28</f>
        <v>0</v>
      </c>
    </row>
    <row r="10">
      <c r="A10" s="3" t="s">
        <v>18</v>
      </c>
      <c r="B10" s="8">
        <f>WODO!B33</f>
        <v>11181</v>
      </c>
      <c r="C10" s="10">
        <v>0.0</v>
      </c>
      <c r="D10" s="11">
        <f>WODO!B33</f>
        <v>11181</v>
      </c>
      <c r="E10" s="8">
        <f>WODO!C33</f>
        <v>56.307248</v>
      </c>
      <c r="F10" s="11">
        <v>0.0</v>
      </c>
      <c r="G10" s="10">
        <f>WODO!D33</f>
        <v>11124.69275</v>
      </c>
    </row>
    <row r="11">
      <c r="A11" s="3" t="s">
        <v>19</v>
      </c>
      <c r="B11" s="8">
        <f>Kerry!A33</f>
        <v>0</v>
      </c>
      <c r="C11" s="10">
        <v>0.0</v>
      </c>
      <c r="D11" s="11">
        <f>Kerry!A33</f>
        <v>0</v>
      </c>
      <c r="E11" s="8">
        <f>Kerry!B33</f>
        <v>0</v>
      </c>
      <c r="F11" s="11">
        <v>0.0</v>
      </c>
      <c r="G11" s="12">
        <f>Kerry!C33</f>
        <v>0</v>
      </c>
    </row>
    <row r="12">
      <c r="A12" s="3" t="s">
        <v>20</v>
      </c>
      <c r="B12" s="10">
        <f>QOWV!B53</f>
        <v>0</v>
      </c>
      <c r="C12" s="10">
        <v>0.0</v>
      </c>
      <c r="D12" s="11">
        <f>QOWV!D53</f>
        <v>0</v>
      </c>
      <c r="E12" s="10">
        <v>0.0</v>
      </c>
      <c r="F12" s="11">
        <v>0.0</v>
      </c>
      <c r="G12" s="13">
        <f>QOWV!F53</f>
        <v>0</v>
      </c>
      <c r="I12" s="5"/>
      <c r="J12" s="7"/>
      <c r="K12" s="7"/>
      <c r="L12" s="7"/>
      <c r="M12" s="7"/>
      <c r="N12" s="7"/>
    </row>
    <row r="13">
      <c r="A13" s="3" t="s">
        <v>21</v>
      </c>
      <c r="B13" s="8">
        <f t="shared" ref="B13:J13" si="1">SUM(B8:B12)</f>
        <v>179146.1176</v>
      </c>
      <c r="C13" s="8">
        <f t="shared" si="1"/>
        <v>2160.593</v>
      </c>
      <c r="D13" s="8">
        <f t="shared" si="1"/>
        <v>176985.5246</v>
      </c>
      <c r="E13" s="8">
        <f t="shared" si="1"/>
        <v>2195.185615</v>
      </c>
      <c r="F13" s="8">
        <f t="shared" si="1"/>
        <v>319.1480102</v>
      </c>
      <c r="G13" s="8">
        <f t="shared" si="1"/>
        <v>174471.191</v>
      </c>
      <c r="H13" s="8">
        <f t="shared" si="1"/>
        <v>683.4410605</v>
      </c>
      <c r="I13" s="8">
        <f t="shared" si="1"/>
        <v>4660.114394</v>
      </c>
      <c r="J13" s="8">
        <f t="shared" si="1"/>
        <v>772.2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22</v>
      </c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</row>
    <row r="16">
      <c r="A16" s="3" t="s">
        <v>23</v>
      </c>
      <c r="B16" s="10" t="s">
        <v>12</v>
      </c>
      <c r="C16" s="3" t="s">
        <v>24</v>
      </c>
      <c r="D16" s="3" t="s">
        <v>25</v>
      </c>
      <c r="E16" s="3" t="s">
        <v>26</v>
      </c>
      <c r="F16" s="3" t="s">
        <v>27</v>
      </c>
      <c r="G16" s="3" t="s">
        <v>28</v>
      </c>
    </row>
    <row r="17">
      <c r="A17" s="3" t="s">
        <v>29</v>
      </c>
      <c r="B17" s="8">
        <f>G8+G9</f>
        <v>163346.4982</v>
      </c>
      <c r="C17" s="3" t="s">
        <v>30</v>
      </c>
      <c r="D17" s="14">
        <v>0.422</v>
      </c>
      <c r="E17" s="15" t="s">
        <v>31</v>
      </c>
      <c r="F17" s="16">
        <f t="shared" ref="F17:F18" si="2">D17*G17</f>
        <v>0.001688</v>
      </c>
      <c r="G17" s="14">
        <v>0.004</v>
      </c>
    </row>
    <row r="18">
      <c r="A18" s="3" t="s">
        <v>32</v>
      </c>
      <c r="B18" s="8">
        <f t="shared" ref="B18:B20" si="3">G10</f>
        <v>11124.69275</v>
      </c>
      <c r="C18" s="3" t="s">
        <v>33</v>
      </c>
      <c r="D18" s="14">
        <v>0.518</v>
      </c>
      <c r="E18" s="17" t="s">
        <v>34</v>
      </c>
      <c r="F18" s="18">
        <f t="shared" si="2"/>
        <v>0.002072</v>
      </c>
      <c r="G18" s="14">
        <v>0.004</v>
      </c>
    </row>
    <row r="19">
      <c r="A19" s="3" t="s">
        <v>19</v>
      </c>
      <c r="B19" s="8">
        <f t="shared" si="3"/>
        <v>0</v>
      </c>
      <c r="D19" s="19"/>
      <c r="G19" s="19"/>
    </row>
    <row r="20">
      <c r="A20" s="3" t="s">
        <v>20</v>
      </c>
      <c r="B20" s="8">
        <f t="shared" si="3"/>
        <v>0</v>
      </c>
      <c r="D20" s="14"/>
      <c r="E20" s="5"/>
      <c r="F20" s="16"/>
      <c r="G20" s="14"/>
      <c r="H20" s="7"/>
      <c r="I20" s="7"/>
      <c r="J20" s="7"/>
      <c r="K20" s="7"/>
      <c r="L20" s="7"/>
    </row>
    <row r="21">
      <c r="A21" s="3" t="s">
        <v>21</v>
      </c>
      <c r="B21" s="8">
        <f>SUM(B17:B20)</f>
        <v>174471.191</v>
      </c>
      <c r="D21" s="19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7"/>
      <c r="E23" s="7"/>
      <c r="F23" s="5"/>
      <c r="G23" s="5" t="s">
        <v>35</v>
      </c>
      <c r="H23" s="7"/>
      <c r="I23" s="7"/>
      <c r="J23" s="7"/>
      <c r="K23" s="7"/>
      <c r="L23" s="7"/>
      <c r="M23" s="7"/>
      <c r="N23" s="7"/>
    </row>
  </sheetData>
  <hyperlinks>
    <hyperlink r:id="rId1" ref="E17"/>
    <hyperlink r:id="rId2" ref="E1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8.2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37</v>
      </c>
      <c r="B2" s="3" t="s">
        <v>2</v>
      </c>
      <c r="N2" s="5" t="s">
        <v>38</v>
      </c>
    </row>
    <row r="3">
      <c r="A3" s="3" t="s">
        <v>3</v>
      </c>
      <c r="B3" s="4">
        <v>46172.0</v>
      </c>
      <c r="N3" s="5" t="s">
        <v>39</v>
      </c>
      <c r="O3" s="12">
        <v>2.20462</v>
      </c>
    </row>
    <row r="4">
      <c r="A4" s="3" t="s">
        <v>4</v>
      </c>
      <c r="B4" s="4">
        <v>46179.0</v>
      </c>
      <c r="N4" s="5" t="s">
        <v>40</v>
      </c>
      <c r="O4" s="12">
        <v>0.453592</v>
      </c>
    </row>
    <row r="5">
      <c r="N5" s="5" t="s">
        <v>41</v>
      </c>
      <c r="O5" s="12">
        <v>0.0129</v>
      </c>
    </row>
    <row r="6">
      <c r="N6" s="5" t="s">
        <v>42</v>
      </c>
      <c r="O6" s="3" t="s">
        <v>43</v>
      </c>
    </row>
    <row r="7">
      <c r="N7" s="3" t="s">
        <v>44</v>
      </c>
      <c r="O7" s="20">
        <f>HYPERLINK("https://docs.google.com/spreadsheets/d/16shKoa1KP34kQJyQvzclBejW9L5-ubNSqPsMOVB7zDY/edit?usp=sharing", 0.00195)</f>
        <v>0.00195</v>
      </c>
    </row>
    <row r="8">
      <c r="A8" s="1" t="s">
        <v>45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46</v>
      </c>
      <c r="O8" s="21">
        <v>3.0</v>
      </c>
      <c r="P8" s="2"/>
      <c r="Q8" s="2"/>
      <c r="R8" s="2"/>
    </row>
    <row r="9">
      <c r="A9" s="5" t="s">
        <v>47</v>
      </c>
      <c r="B9" s="5" t="s">
        <v>48</v>
      </c>
      <c r="C9" s="5" t="s">
        <v>49</v>
      </c>
      <c r="D9" s="22" t="s">
        <v>50</v>
      </c>
      <c r="E9" s="22" t="s">
        <v>51</v>
      </c>
      <c r="F9" s="5" t="s">
        <v>52</v>
      </c>
      <c r="G9" s="5" t="s">
        <v>53</v>
      </c>
      <c r="H9" s="5" t="s">
        <v>54</v>
      </c>
      <c r="I9" s="5" t="s">
        <v>55</v>
      </c>
      <c r="J9" s="5" t="s">
        <v>56</v>
      </c>
      <c r="K9" s="5" t="s">
        <v>57</v>
      </c>
      <c r="L9" s="5" t="s">
        <v>58</v>
      </c>
      <c r="M9" s="5" t="s">
        <v>59</v>
      </c>
      <c r="N9" s="5" t="s">
        <v>60</v>
      </c>
      <c r="O9" s="23">
        <v>2.0</v>
      </c>
      <c r="P9" s="7"/>
      <c r="Q9" s="7"/>
      <c r="R9" s="7"/>
    </row>
    <row r="10">
      <c r="A10" s="24" t="s">
        <v>61</v>
      </c>
      <c r="B10" s="24">
        <v>46164.0</v>
      </c>
      <c r="C10" s="3" t="s">
        <v>62</v>
      </c>
      <c r="D10" s="25">
        <v>78.06</v>
      </c>
      <c r="E10" s="25">
        <v>78060.0</v>
      </c>
      <c r="F10" s="8">
        <f t="shared" ref="F10:F12" si="1">SUMIF($C$28:$C$41,A10,$F$28:$F$41)+H10</f>
        <v>78099.4706</v>
      </c>
      <c r="G10" s="8">
        <f t="shared" ref="G10:G14" si="2">IF(AND(E10&lt;&gt;"",F10&lt;&gt;"",F10&gt;=0.95*E10),E10-F10,"")</f>
        <v>-39.4706</v>
      </c>
      <c r="H10" s="12">
        <v>68755.4754</v>
      </c>
      <c r="I10" s="26">
        <f t="shared" ref="I10:I12" si="3">E10-H10</f>
        <v>9304.5246</v>
      </c>
      <c r="J10" s="27">
        <v>107.5</v>
      </c>
      <c r="K10" s="27">
        <v>2199.0</v>
      </c>
      <c r="L10" s="12">
        <v>42.9</v>
      </c>
      <c r="M10" s="3" t="s">
        <v>63</v>
      </c>
    </row>
    <row r="11">
      <c r="A11" s="24" t="s">
        <v>64</v>
      </c>
      <c r="B11" s="24">
        <v>46164.0</v>
      </c>
      <c r="C11" s="3" t="s">
        <v>65</v>
      </c>
      <c r="D11" s="25">
        <v>78.25</v>
      </c>
      <c r="E11" s="25">
        <v>78250.0</v>
      </c>
      <c r="F11" s="8">
        <f t="shared" si="1"/>
        <v>79922.9104</v>
      </c>
      <c r="G11" s="8">
        <f t="shared" si="2"/>
        <v>-1672.9104</v>
      </c>
      <c r="H11" s="27">
        <v>0.0</v>
      </c>
      <c r="I11" s="26">
        <f t="shared" si="3"/>
        <v>78250</v>
      </c>
      <c r="J11" s="27">
        <v>107.5</v>
      </c>
      <c r="K11" s="27">
        <v>2199.0</v>
      </c>
      <c r="L11" s="12">
        <v>42.9</v>
      </c>
    </row>
    <row r="12">
      <c r="A12" s="24" t="s">
        <v>66</v>
      </c>
      <c r="B12" s="24">
        <v>46164.0</v>
      </c>
      <c r="C12" s="3" t="s">
        <v>67</v>
      </c>
      <c r="D12" s="28">
        <v>78.25</v>
      </c>
      <c r="E12" s="28">
        <v>78250.0</v>
      </c>
      <c r="F12" s="29">
        <f t="shared" si="1"/>
        <v>78698.212</v>
      </c>
      <c r="G12" s="29">
        <f t="shared" si="2"/>
        <v>-448.212</v>
      </c>
      <c r="H12" s="12">
        <v>0.0</v>
      </c>
      <c r="I12" s="29">
        <f t="shared" si="3"/>
        <v>78250</v>
      </c>
      <c r="J12" s="12">
        <v>107.5</v>
      </c>
      <c r="K12" s="12">
        <v>2199.0</v>
      </c>
      <c r="L12" s="12">
        <v>42.9</v>
      </c>
    </row>
    <row r="13">
      <c r="A13" s="30"/>
      <c r="B13" s="30"/>
      <c r="D13" s="28"/>
      <c r="E13" s="28"/>
      <c r="G13" s="29" t="str">
        <f t="shared" si="2"/>
        <v/>
      </c>
    </row>
    <row r="14">
      <c r="A14" s="30"/>
      <c r="B14" s="30"/>
      <c r="G14" s="29" t="str">
        <f t="shared" si="2"/>
        <v/>
      </c>
    </row>
    <row r="15">
      <c r="A15" s="31" t="s">
        <v>68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32" t="s">
        <v>69</v>
      </c>
      <c r="B16" s="5" t="s">
        <v>70</v>
      </c>
      <c r="C16" s="5" t="s">
        <v>47</v>
      </c>
      <c r="D16" s="22" t="s">
        <v>71</v>
      </c>
      <c r="E16" s="22" t="s">
        <v>72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24">
        <v>46149.0</v>
      </c>
      <c r="B17" s="33" t="str">
        <f>HYPERLINK("https://drive.google.com/file/d/1bEBOvdGCj3-GWgTHgwcotVPLXfDi3pzz/view","2362-R")</f>
        <v>2362-R</v>
      </c>
      <c r="C17" s="3" t="s">
        <v>61</v>
      </c>
      <c r="D17" s="25">
        <v>26.1</v>
      </c>
      <c r="E17" s="25">
        <v>26100.0</v>
      </c>
    </row>
    <row r="18">
      <c r="A18" s="24">
        <v>46149.0</v>
      </c>
      <c r="B18" s="33" t="str">
        <f>HYPERLINK("https://drive.google.com/file/d/1ezSVinao2J6bkk7m9OxMY4NQ064jq3bv/view","2363-R")</f>
        <v>2363-R</v>
      </c>
      <c r="C18" s="3" t="s">
        <v>61</v>
      </c>
      <c r="D18" s="25">
        <v>25.86</v>
      </c>
      <c r="E18" s="25">
        <v>25860.0</v>
      </c>
    </row>
    <row r="19">
      <c r="A19" s="24">
        <v>46149.0</v>
      </c>
      <c r="B19" s="33" t="str">
        <f>HYPERLINK("https://drive.google.com/file/d/15yGNk9MNwTtrU_ueQe948hpN-7ia7XeW/view","2364-R")</f>
        <v>2364-R</v>
      </c>
      <c r="C19" s="3" t="s">
        <v>61</v>
      </c>
      <c r="D19" s="25">
        <v>26.1</v>
      </c>
      <c r="E19" s="25">
        <v>26100.0</v>
      </c>
    </row>
    <row r="20">
      <c r="A20" s="24">
        <v>46149.0</v>
      </c>
      <c r="B20" s="33" t="str">
        <f>HYPERLINK("https://drive.google.com/file/d/19J0RSWnhj_VSL5B-OFYEgyh4-yJnQzWB/view","2359-R")</f>
        <v>2359-R</v>
      </c>
      <c r="C20" s="3" t="s">
        <v>64</v>
      </c>
      <c r="D20" s="25">
        <v>26.05</v>
      </c>
      <c r="E20" s="25">
        <v>26050.0</v>
      </c>
    </row>
    <row r="21">
      <c r="A21" s="24">
        <v>46149.0</v>
      </c>
      <c r="B21" s="33" t="str">
        <f>HYPERLINK("https://drive.google.com/file/d/1q-3ZtSvgD7VyYZ-Qtt_M_4sGT_3P9k40/view","2360-R")</f>
        <v>2360-R</v>
      </c>
      <c r="C21" s="3" t="s">
        <v>64</v>
      </c>
      <c r="D21" s="25">
        <v>26.09</v>
      </c>
      <c r="E21" s="25">
        <v>26090.0</v>
      </c>
    </row>
    <row r="22">
      <c r="A22" s="24">
        <v>46149.0</v>
      </c>
      <c r="B22" s="33" t="str">
        <f>HYPERLINK("https://drive.google.com/file/d/1zIVICZYdFQuTKbfG1kr6xlpqc8NedLVh/view","2361-R")</f>
        <v>2361-R</v>
      </c>
      <c r="C22" s="3" t="s">
        <v>64</v>
      </c>
      <c r="D22" s="25">
        <v>26.11</v>
      </c>
      <c r="E22" s="25">
        <v>26110.0</v>
      </c>
    </row>
    <row r="23">
      <c r="A23" s="24">
        <v>46153.0</v>
      </c>
      <c r="B23" s="33" t="str">
        <f>HYPERLINK("https://drive.google.com/file/d/1xLBYmWy3_voYvnNsgyjKWZ8kPdCPHU-5/view","2368-R")</f>
        <v>2368-R</v>
      </c>
      <c r="C23" s="3" t="s">
        <v>66</v>
      </c>
      <c r="D23" s="10">
        <v>26.16</v>
      </c>
      <c r="E23" s="10">
        <v>26160.0</v>
      </c>
    </row>
    <row r="24">
      <c r="A24" s="24">
        <v>46153.0</v>
      </c>
      <c r="B24" s="33" t="str">
        <f>HYPERLINK("https://drive.google.com/file/d/1VQGPK0De8SRCmCIVHagfl7eb6dO0gqc0/view","2369-R")</f>
        <v>2369-R</v>
      </c>
      <c r="C24" s="3" t="s">
        <v>66</v>
      </c>
      <c r="D24" s="10">
        <v>26.2</v>
      </c>
      <c r="E24" s="10">
        <v>26200.0</v>
      </c>
    </row>
    <row r="25">
      <c r="A25" s="24">
        <v>46153.0</v>
      </c>
      <c r="B25" s="33" t="str">
        <f>HYPERLINK("https://drive.google.com/file/d/15efXqZb399_NtTjiq817mVTqXjemPe6l/view","2370-R")</f>
        <v>2370-R</v>
      </c>
      <c r="C25" s="3" t="s">
        <v>66</v>
      </c>
      <c r="D25" s="10">
        <v>25.89</v>
      </c>
      <c r="E25" s="10">
        <v>25890.0</v>
      </c>
    </row>
    <row r="26">
      <c r="A26" s="31" t="s">
        <v>73</v>
      </c>
      <c r="B26" s="1"/>
      <c r="C26" s="1"/>
      <c r="D26" s="34"/>
      <c r="E26" s="34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32"/>
      <c r="B27" s="5"/>
      <c r="C27" s="5"/>
      <c r="D27" s="35" t="s">
        <v>74</v>
      </c>
      <c r="E27" s="35" t="s">
        <v>75</v>
      </c>
      <c r="F27" s="22" t="s">
        <v>76</v>
      </c>
      <c r="G27" s="5" t="s">
        <v>77</v>
      </c>
      <c r="H27" s="22" t="s">
        <v>10</v>
      </c>
      <c r="I27" s="22" t="s">
        <v>11</v>
      </c>
      <c r="J27" s="22" t="s">
        <v>78</v>
      </c>
      <c r="K27" s="22" t="s">
        <v>12</v>
      </c>
      <c r="L27" s="5" t="s">
        <v>79</v>
      </c>
      <c r="M27" s="5" t="s">
        <v>80</v>
      </c>
      <c r="N27" s="5" t="s">
        <v>81</v>
      </c>
      <c r="O27" s="5"/>
      <c r="P27" s="7"/>
      <c r="Q27" s="7"/>
      <c r="R27" s="7"/>
    </row>
    <row r="28">
      <c r="A28" s="36">
        <v>46178.0</v>
      </c>
      <c r="B28" s="6" t="s">
        <v>82</v>
      </c>
      <c r="C28" s="6" t="s">
        <v>61</v>
      </c>
      <c r="D28" s="37">
        <f>HYPERLINK("https://drive.google.com/file/d/1bwBajf7vbVhcs0WUHvsaaq-3ryFt5glt/view",53920)</f>
        <v>53920</v>
      </c>
      <c r="E28" s="37">
        <f>HYPERLINK("https://drive.google.com/file/d/1b_Hlhtl4QICSYEZIh9InZMOH5LawS6ss/view",33320)</f>
        <v>33320</v>
      </c>
      <c r="F28" s="38">
        <f t="shared" ref="F28:F36" si="4">(D28-E28)*$O$4</f>
        <v>9343.9952</v>
      </c>
      <c r="G28" s="39">
        <v>2.1</v>
      </c>
      <c r="H28" s="40">
        <f t="shared" ref="H28:H36" si="5">IF(F28="","",(F28-J28)*$O$5)</f>
        <v>120.0283673</v>
      </c>
      <c r="I28" s="40">
        <f t="shared" ref="I28:I36" si="6">IF(F28="","",(F28-J28)*(1-$O$5)*$O$7)</f>
        <v>17.90976765</v>
      </c>
      <c r="J28" s="38">
        <f t="array" ref="J28">IF(F28="","",IF(ROW()=MAX(IF($C$28:$C$41=C28,ROW($C$28:$C$41),0)),MAX(0,IFERROR(VLOOKUP(C28,$A$10:$L$14,6,FALSE)-VLOOKUP(C28,$A$10:$L$14,5,FALSE),0)),0))</f>
        <v>39.4706</v>
      </c>
      <c r="K28" s="38">
        <f t="shared" ref="K28:K36" si="7">IF(F28="","",F28-H28-I28-J28)</f>
        <v>9166.586465</v>
      </c>
      <c r="L28" s="40">
        <f t="shared" ref="L28:L36" si="8">IF(F28="","",(F28-J28)/VLOOKUP(C28,$A$10:$L$14,5,FALSE)*VLOOKUP(C28,$A$10:$L$14,10,FALSE)*$O$8)</f>
        <v>38.44106051</v>
      </c>
      <c r="M28" s="40">
        <f t="shared" ref="M28:M36" si="9">IF(F28="","",(F28-J28)/VLOOKUP(C28,$A$10:$L$14,5,FALSE)*VLOOKUP(C28,$A$10:$L$14,11,FALSE))</f>
        <v>262.114394</v>
      </c>
      <c r="N28" s="40">
        <f t="shared" ref="N28:N36" si="10">IF(F28="","",IFERROR(VLOOKUP(C28,$A$10:$L$14,12,FALSE),0)*$O$9)</f>
        <v>85.8</v>
      </c>
      <c r="O28" s="41"/>
    </row>
    <row r="29">
      <c r="A29" s="24">
        <v>46178.0</v>
      </c>
      <c r="B29" s="3" t="s">
        <v>83</v>
      </c>
      <c r="C29" s="3" t="s">
        <v>64</v>
      </c>
      <c r="D29" s="42">
        <f>HYPERLINK("https://drive.google.com/file/d/1BBXrICtrRUsOKUjJsMfheqfcb9aAWO6S/view",81420)</f>
        <v>81420</v>
      </c>
      <c r="E29" s="42">
        <f>HYPERLINK("https://drive.google.com/file/d/18b3o8jXQ5-VK7ZjXvnQqfZFfXaNnYCfO/view",29080)</f>
        <v>29080</v>
      </c>
      <c r="F29" s="25">
        <f t="shared" si="4"/>
        <v>23741.00528</v>
      </c>
      <c r="G29" s="43">
        <v>2.1</v>
      </c>
      <c r="H29" s="44">
        <f t="shared" si="5"/>
        <v>306.2589681</v>
      </c>
      <c r="I29" s="44">
        <f t="shared" si="6"/>
        <v>45.69775531</v>
      </c>
      <c r="J29" s="25">
        <f t="array" ref="J29">IF(F29="","",IF(ROW()=MAX(IF($C$28:$C$41=C29,ROW($C$28:$C$41),0)),MAX(0,IFERROR(VLOOKUP(C29,$A$10:$L$14,6,FALSE)-VLOOKUP(C29,$A$10:$L$14,5,FALSE),0)),0))</f>
        <v>0</v>
      </c>
      <c r="K29" s="44">
        <f t="shared" si="7"/>
        <v>23389.04856</v>
      </c>
      <c r="L29" s="8">
        <f t="shared" si="8"/>
        <v>97.84631569</v>
      </c>
      <c r="M29" s="8">
        <f t="shared" si="9"/>
        <v>667.1753433</v>
      </c>
      <c r="N29" s="8">
        <f t="shared" si="10"/>
        <v>85.8</v>
      </c>
      <c r="O29" s="41"/>
    </row>
    <row r="30">
      <c r="A30" s="24">
        <v>46178.0</v>
      </c>
      <c r="B30" s="3" t="s">
        <v>84</v>
      </c>
      <c r="C30" s="3" t="s">
        <v>64</v>
      </c>
      <c r="D30" s="42">
        <f>HYPERLINK("https://drive.google.com/file/d/1lGctwkG62h0mjtVul1LkBXPWvTWyP6xb/view",81560)</f>
        <v>81560</v>
      </c>
      <c r="E30" s="45">
        <f>HYPERLINK("https://drive.google.com/file/d/1KX8sizegDwGVTYLbteCL4CzVqsbivd0J/view",29400)</f>
        <v>29400</v>
      </c>
      <c r="F30" s="25">
        <f t="shared" si="4"/>
        <v>23659.35872</v>
      </c>
      <c r="G30" s="43">
        <v>2.1</v>
      </c>
      <c r="H30" s="44">
        <f t="shared" si="5"/>
        <v>305.2057275</v>
      </c>
      <c r="I30" s="44">
        <f t="shared" si="6"/>
        <v>45.54059834</v>
      </c>
      <c r="J30" s="25">
        <f t="array" ref="J30">IF(F30="","",IF(ROW()=MAX(IF($C$28:$C$41=C30,ROW($C$28:$C$41),0)),MAX(0,IFERROR(VLOOKUP(C30,$A$10:$L$14,6,FALSE)-VLOOKUP(C30,$A$10:$L$14,5,FALSE),0)),0))</f>
        <v>0</v>
      </c>
      <c r="K30" s="44">
        <f t="shared" si="7"/>
        <v>23308.61239</v>
      </c>
      <c r="L30" s="8">
        <f t="shared" si="8"/>
        <v>97.50981709</v>
      </c>
      <c r="M30" s="8">
        <f t="shared" si="9"/>
        <v>664.8808923</v>
      </c>
      <c r="N30" s="8">
        <f t="shared" si="10"/>
        <v>85.8</v>
      </c>
      <c r="O30" s="41"/>
    </row>
    <row r="31">
      <c r="A31" s="46">
        <v>46178.0</v>
      </c>
      <c r="B31" s="47" t="s">
        <v>85</v>
      </c>
      <c r="C31" s="47" t="s">
        <v>64</v>
      </c>
      <c r="D31" s="48">
        <f>HYPERLINK("https://drive.google.com/file/d/1vuoWfwOcKUdnnvzn3Jm5ABfpZJZ9qj44/view",79260)</f>
        <v>79260</v>
      </c>
      <c r="E31" s="48">
        <f>HYPERLINK("https://drive.google.com/file/d/1hEZGcVCUcVLzKGXKFWfn7a0K8LIjkFYw/view",29500)</f>
        <v>29500</v>
      </c>
      <c r="F31" s="49">
        <f t="shared" si="4"/>
        <v>22570.73792</v>
      </c>
      <c r="G31" s="50">
        <v>2.1</v>
      </c>
      <c r="H31" s="51">
        <f t="shared" si="5"/>
        <v>291.1625192</v>
      </c>
      <c r="I31" s="51">
        <f t="shared" si="6"/>
        <v>43.44517203</v>
      </c>
      <c r="J31" s="49">
        <f t="array" ref="J31">IF(F31="","",IF(ROW()=MAX(IF($C$28:$C$41=C31,ROW($C$28:$C$41),0)),MAX(0,IFERROR(VLOOKUP(C31,$A$10:$L$14,6,FALSE)-VLOOKUP(C31,$A$10:$L$14,5,FALSE),0)),0))</f>
        <v>0</v>
      </c>
      <c r="K31" s="51">
        <f t="shared" si="7"/>
        <v>22236.13023</v>
      </c>
      <c r="L31" s="52">
        <f t="shared" si="8"/>
        <v>93.02316906</v>
      </c>
      <c r="M31" s="53">
        <f t="shared" si="9"/>
        <v>634.2882132</v>
      </c>
      <c r="N31" s="53">
        <f t="shared" si="10"/>
        <v>85.8</v>
      </c>
      <c r="O31" s="41"/>
    </row>
    <row r="32">
      <c r="A32" s="36">
        <v>46178.0</v>
      </c>
      <c r="B32" s="6" t="s">
        <v>86</v>
      </c>
      <c r="C32" s="6" t="s">
        <v>64</v>
      </c>
      <c r="D32" s="37">
        <f>HYPERLINK("https://drive.google.com/file/d/11htviAi2RWokZcClkWUYZDFFRJvcM_d0/view",51240)</f>
        <v>51240</v>
      </c>
      <c r="E32" s="37">
        <f>HYPERLINK("https://drive.google.com/file/d/1bw-Ntk1fL4vut9Vqr3cUbb8p_tKumu7I/view",29300)</f>
        <v>29300</v>
      </c>
      <c r="F32" s="38">
        <f t="shared" si="4"/>
        <v>9951.80848</v>
      </c>
      <c r="G32" s="39">
        <v>2.1</v>
      </c>
      <c r="H32" s="38">
        <f t="shared" si="5"/>
        <v>106.7977852</v>
      </c>
      <c r="I32" s="38">
        <f t="shared" si="6"/>
        <v>15.93559557</v>
      </c>
      <c r="J32" s="38">
        <f t="array" ref="J32">IF(F32="","",IF(ROW()=MAX(IF($C$28:$C$41=C32,ROW($C$28:$C$41),0)),MAX(0,IFERROR(VLOOKUP(C32,$A$10:$L$14,6,FALSE)-VLOOKUP(C32,$A$10:$L$14,5,FALSE),0)),0))</f>
        <v>1672.9104</v>
      </c>
      <c r="K32" s="38">
        <f t="shared" si="7"/>
        <v>8156.164699</v>
      </c>
      <c r="L32" s="40">
        <f t="shared" si="8"/>
        <v>34.12069816</v>
      </c>
      <c r="M32" s="40">
        <f t="shared" si="9"/>
        <v>232.6555512</v>
      </c>
      <c r="N32" s="40">
        <f t="shared" si="10"/>
        <v>85.8</v>
      </c>
      <c r="O32" s="41"/>
    </row>
    <row r="33">
      <c r="A33" s="24">
        <v>46178.0</v>
      </c>
      <c r="B33" s="3" t="s">
        <v>87</v>
      </c>
      <c r="C33" s="3" t="s">
        <v>66</v>
      </c>
      <c r="D33" s="42">
        <f>HYPERLINK("https://drive.google.com/file/d/1rB6VmOih3azYzWasRheqUOZXWNmRAgBI/view",78660)</f>
        <v>78660</v>
      </c>
      <c r="E33" s="42">
        <f>HYPERLINK("https://drive.google.com/file/d/1djqJVTC9h0XSrM1GK60MvTbChWAEl4-L/view",29140)</f>
        <v>29140</v>
      </c>
      <c r="F33" s="25">
        <f t="shared" si="4"/>
        <v>22461.87584</v>
      </c>
      <c r="G33" s="43">
        <v>2.1</v>
      </c>
      <c r="H33" s="25">
        <f t="shared" si="5"/>
        <v>289.7581983</v>
      </c>
      <c r="I33" s="25">
        <f t="shared" si="6"/>
        <v>43.2356294</v>
      </c>
      <c r="J33" s="25">
        <f t="array" ref="J33">IF(F33="","",IF(ROW()=MAX(IF($C$28:$C$41=C33,ROW($C$28:$C$41),0)),MAX(0,IFERROR(VLOOKUP(C33,$A$10:$L$14,6,FALSE)-VLOOKUP(C33,$A$10:$L$14,5,FALSE),0)),0))</f>
        <v>0</v>
      </c>
      <c r="K33" s="25">
        <f t="shared" si="7"/>
        <v>22128.88201</v>
      </c>
      <c r="L33" s="8">
        <f t="shared" si="8"/>
        <v>92.57450426</v>
      </c>
      <c r="M33" s="8">
        <f t="shared" si="9"/>
        <v>631.2289453</v>
      </c>
      <c r="N33" s="8">
        <f t="shared" si="10"/>
        <v>85.8</v>
      </c>
      <c r="O33" s="41"/>
    </row>
    <row r="34">
      <c r="A34" s="46">
        <v>46178.0</v>
      </c>
      <c r="B34" s="47" t="s">
        <v>88</v>
      </c>
      <c r="C34" s="47" t="s">
        <v>66</v>
      </c>
      <c r="D34" s="48">
        <f>HYPERLINK("https://drive.google.com/file/d/1qPBc3I2XZG_rsyHOl_e96taBxJ1bJCyl/view",74820)</f>
        <v>74820</v>
      </c>
      <c r="E34" s="48">
        <f>HYPERLINK("https://drive.google.com/file/d/1UOQ2SqnlquaWQrXfK-iWLtTql1rMzCB4/view",29640)</f>
        <v>29640</v>
      </c>
      <c r="F34" s="49">
        <f t="shared" si="4"/>
        <v>20493.28656</v>
      </c>
      <c r="G34" s="50">
        <v>2.1</v>
      </c>
      <c r="H34" s="49">
        <f t="shared" si="5"/>
        <v>264.3633966</v>
      </c>
      <c r="I34" s="49">
        <f t="shared" si="6"/>
        <v>39.44640017</v>
      </c>
      <c r="J34" s="49">
        <f t="array" ref="J34">IF(F34="","",IF(ROW()=MAX(IF($C$28:$C$41=C34,ROW($C$28:$C$41),0)),MAX(0,IFERROR(VLOOKUP(C34,$A$10:$L$14,6,FALSE)-VLOOKUP(C34,$A$10:$L$14,5,FALSE),0)),0))</f>
        <v>0</v>
      </c>
      <c r="K34" s="49">
        <f t="shared" si="7"/>
        <v>20189.47676</v>
      </c>
      <c r="L34" s="53">
        <f t="shared" si="8"/>
        <v>84.46114908</v>
      </c>
      <c r="M34" s="53">
        <f t="shared" si="9"/>
        <v>575.907184</v>
      </c>
      <c r="N34" s="53">
        <f t="shared" si="10"/>
        <v>85.8</v>
      </c>
      <c r="O34" s="41"/>
    </row>
    <row r="35">
      <c r="A35" s="46">
        <v>46178.0</v>
      </c>
      <c r="B35" s="47" t="s">
        <v>89</v>
      </c>
      <c r="C35" s="47" t="s">
        <v>66</v>
      </c>
      <c r="D35" s="48">
        <f>HYPERLINK("https://drive.google.com/file/d/1KSJrJfqLcF275q28UZ35JkfoYG8UR6to/view",82020)</f>
        <v>82020</v>
      </c>
      <c r="E35" s="48">
        <f>HYPERLINK("https://drive.google.com/file/d/1Dlkd7BrKjwTBpV3MHh0Vqp1AFBXqJ8Ce/view",29220)</f>
        <v>29220</v>
      </c>
      <c r="F35" s="49">
        <f t="shared" si="4"/>
        <v>23949.6576</v>
      </c>
      <c r="G35" s="50">
        <v>2.1</v>
      </c>
      <c r="H35" s="51">
        <f t="shared" si="5"/>
        <v>308.950583</v>
      </c>
      <c r="I35" s="51">
        <f t="shared" si="6"/>
        <v>46.09937868</v>
      </c>
      <c r="J35" s="51">
        <f t="array" ref="J35">IF(F35="","",IF(ROW()=MAX(IF($C$28:$C$41=C35,ROW($C$28:$C$41),0)),MAX(0,IFERROR(VLOOKUP(C35,$A$10:$L$14,6,FALSE)-VLOOKUP(C35,$A$10:$L$14,5,FALSE),0)),0))</f>
        <v>0</v>
      </c>
      <c r="K35" s="51">
        <f t="shared" si="7"/>
        <v>23594.60764</v>
      </c>
      <c r="L35" s="53">
        <f t="shared" si="8"/>
        <v>98.70625656</v>
      </c>
      <c r="M35" s="53">
        <f t="shared" si="9"/>
        <v>673.0389401</v>
      </c>
      <c r="N35" s="53">
        <f t="shared" si="10"/>
        <v>85.8</v>
      </c>
    </row>
    <row r="36">
      <c r="A36" s="36">
        <v>46178.0</v>
      </c>
      <c r="B36" s="6" t="s">
        <v>90</v>
      </c>
      <c r="C36" s="6" t="s">
        <v>66</v>
      </c>
      <c r="D36" s="37">
        <f>HYPERLINK("https://drive.google.com/file/d/1R9IXRmgheLyiUtsztpBVmoznFjXPkBzI/view",58780)</f>
        <v>58780</v>
      </c>
      <c r="E36" s="37">
        <f>HYPERLINK("https://drive.google.com/file/d/1wqP_XPCZEmTlG_qwE2gCndEUJqn2ewJK/view",32780)</f>
        <v>32780</v>
      </c>
      <c r="F36" s="38">
        <f t="shared" si="4"/>
        <v>11793.392</v>
      </c>
      <c r="G36" s="39">
        <v>2.1</v>
      </c>
      <c r="H36" s="40">
        <f t="shared" si="5"/>
        <v>146.352822</v>
      </c>
      <c r="I36" s="40">
        <f t="shared" si="6"/>
        <v>21.837713</v>
      </c>
      <c r="J36" s="40">
        <f t="array" ref="J36">IF(F36="","",IF(ROW()=MAX(IF($C$28:$C$41=C36,ROW($C$28:$C$41),0)),MAX(0,IFERROR(VLOOKUP(C36,$A$10:$L$14,6,FALSE)-VLOOKUP(C36,$A$10:$L$14,5,FALSE),0)),0))</f>
        <v>448.212</v>
      </c>
      <c r="K36" s="40">
        <f t="shared" si="7"/>
        <v>11176.98947</v>
      </c>
      <c r="L36" s="40">
        <f t="shared" si="8"/>
        <v>46.7580901</v>
      </c>
      <c r="M36" s="40">
        <f t="shared" si="9"/>
        <v>318.8249306</v>
      </c>
      <c r="N36" s="40">
        <f t="shared" si="10"/>
        <v>85.8</v>
      </c>
    </row>
    <row r="37">
      <c r="A37" s="24"/>
      <c r="D37" s="8"/>
      <c r="E37" s="8"/>
      <c r="F37" s="10"/>
      <c r="G37" s="54"/>
      <c r="H37" s="8"/>
      <c r="I37" s="8"/>
      <c r="J37" s="8"/>
      <c r="K37" s="8"/>
      <c r="L37" s="8">
        <f t="shared" ref="L37:N37" si="11">SUM(L28:L36)</f>
        <v>683.4410605</v>
      </c>
      <c r="M37" s="8">
        <f t="shared" si="11"/>
        <v>4660.114394</v>
      </c>
      <c r="N37" s="8">
        <f t="shared" si="11"/>
        <v>772.2</v>
      </c>
    </row>
    <row r="38">
      <c r="A38" s="24"/>
      <c r="D38" s="8"/>
      <c r="E38" s="8"/>
      <c r="F38" s="10"/>
      <c r="G38" s="54"/>
      <c r="H38" s="8"/>
      <c r="I38" s="8"/>
      <c r="J38" s="8"/>
      <c r="K38" s="8"/>
      <c r="L38" s="8"/>
      <c r="M38" s="8" t="str">
        <f t="shared" ref="M38:M40" si="12">IF(F38="","",(F38-J38)/VLOOKUP(C38,$A$10:$L$14,5,FALSE)*VLOOKUP(C38,$A$10:$L$14,11,FALSE))</f>
        <v/>
      </c>
      <c r="N38" s="8" t="str">
        <f t="shared" ref="N38:N40" si="13">IF(F38="","",IFERROR(VLOOKUP(C38,$A$10:$L$14,12,FALSE),0)*$O$9)</f>
        <v/>
      </c>
    </row>
    <row r="39">
      <c r="A39" s="30"/>
      <c r="D39" s="8"/>
      <c r="E39" s="8"/>
      <c r="F39" s="8"/>
      <c r="G39" s="54"/>
      <c r="H39" s="8"/>
      <c r="I39" s="8"/>
      <c r="J39" s="8"/>
      <c r="K39" s="8"/>
      <c r="L39" s="8" t="str">
        <f t="shared" ref="L39:L40" si="14">IF(F39="","",(F39-J39)/VLOOKUP(C39,$A$10:$L$14,5,FALSE)*VLOOKUP(C39,$A$10:$L$14,10,FALSE)*$O$8)</f>
        <v/>
      </c>
      <c r="M39" s="8" t="str">
        <f t="shared" si="12"/>
        <v/>
      </c>
      <c r="N39" s="8" t="str">
        <f t="shared" si="13"/>
        <v/>
      </c>
    </row>
    <row r="40">
      <c r="A40" s="30"/>
      <c r="D40" s="8"/>
      <c r="E40" s="8"/>
      <c r="F40" s="8"/>
      <c r="G40" s="54"/>
      <c r="H40" s="8"/>
      <c r="I40" s="8"/>
      <c r="J40" s="8"/>
      <c r="K40" s="8"/>
      <c r="L40" s="8" t="str">
        <f t="shared" si="14"/>
        <v/>
      </c>
      <c r="M40" s="8" t="str">
        <f t="shared" si="12"/>
        <v/>
      </c>
      <c r="N40" s="8" t="str">
        <f t="shared" si="13"/>
        <v/>
      </c>
    </row>
    <row r="41">
      <c r="A41" s="30"/>
      <c r="D41" s="8"/>
      <c r="E41" s="8"/>
      <c r="F41" s="8"/>
      <c r="G41" s="54"/>
    </row>
    <row r="42">
      <c r="A42" s="31" t="s">
        <v>91</v>
      </c>
      <c r="B42" s="2"/>
      <c r="C42" s="2"/>
      <c r="D42" s="55"/>
      <c r="E42" s="55"/>
      <c r="F42" s="55"/>
      <c r="G42" s="5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32" t="s">
        <v>92</v>
      </c>
      <c r="B43" s="5" t="s">
        <v>8</v>
      </c>
      <c r="C43" s="5" t="s">
        <v>93</v>
      </c>
      <c r="D43" s="35" t="s">
        <v>10</v>
      </c>
      <c r="E43" s="35" t="s">
        <v>11</v>
      </c>
      <c r="F43" s="35" t="s">
        <v>12</v>
      </c>
      <c r="G43" s="35" t="s">
        <v>77</v>
      </c>
      <c r="H43" s="57" t="s">
        <v>94</v>
      </c>
      <c r="I43" s="57"/>
      <c r="J43" s="57"/>
      <c r="K43" s="57"/>
      <c r="L43" s="5"/>
      <c r="M43" s="5" t="s">
        <v>95</v>
      </c>
      <c r="N43" s="7"/>
      <c r="O43" s="7"/>
      <c r="P43" s="7"/>
      <c r="Q43" s="7"/>
      <c r="R43" s="7"/>
    </row>
    <row r="44">
      <c r="A44" s="30">
        <f>SUM(F28:F40)</f>
        <v>167965.1176</v>
      </c>
      <c r="B44" s="8">
        <f>SUM(J28:J40)</f>
        <v>2160.593</v>
      </c>
      <c r="C44" s="9">
        <f>A44-B44</f>
        <v>165804.5246</v>
      </c>
      <c r="D44" s="8">
        <f t="shared" ref="D44:E44" si="15">SUM(H28:H40)</f>
        <v>2138.878367</v>
      </c>
      <c r="E44" s="8">
        <f t="shared" si="15"/>
        <v>319.1480102</v>
      </c>
      <c r="F44" s="8">
        <f>SUM(K28:K40)</f>
        <v>163346.4982</v>
      </c>
      <c r="G44" s="54">
        <f>IFERROR(AVERAGE(G28:G40),"")</f>
        <v>2.1</v>
      </c>
      <c r="H44" s="14">
        <v>0.422</v>
      </c>
      <c r="I44" s="54"/>
      <c r="J44" s="54"/>
      <c r="K44" s="54"/>
      <c r="L44" s="54"/>
      <c r="M44" s="29" t="str">
        <f>IFERROR(__xludf.DUMMYFUNCTION("TRIM(TEXTJOIN("", "",TRUE,IFERROR(FILTER(B17:B25,B17:B25&lt;&gt;""""),"""")))"),"2362-R, 2363-R, 2364-R, 2359-R, 2360-R, 2361-R, 2368-R, 2369-R, 2370-R")</f>
        <v>2362-R, 2363-R, 2364-R, 2359-R, 2360-R, 2361-R, 2368-R, 2369-R, 2370-R</v>
      </c>
    </row>
    <row r="45">
      <c r="A45" s="30"/>
      <c r="D45" s="8"/>
      <c r="E45" s="8"/>
      <c r="F45" s="8"/>
      <c r="G45" s="54"/>
    </row>
    <row r="46">
      <c r="A46" s="30"/>
      <c r="D46" s="8"/>
      <c r="E46" s="8"/>
      <c r="F46" s="8"/>
      <c r="G46" s="54"/>
    </row>
    <row r="47">
      <c r="A47" s="30"/>
      <c r="D47" s="8"/>
      <c r="E47" s="8"/>
      <c r="F47" s="8"/>
      <c r="G47" s="54"/>
    </row>
    <row r="48">
      <c r="A48" s="30"/>
      <c r="D48" s="8"/>
      <c r="E48" s="8"/>
      <c r="F48" s="8"/>
      <c r="G48" s="54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37</v>
      </c>
      <c r="B2" s="3" t="s">
        <v>2</v>
      </c>
      <c r="K2" s="5" t="s">
        <v>38</v>
      </c>
    </row>
    <row r="3">
      <c r="A3" s="3" t="s">
        <v>3</v>
      </c>
      <c r="B3" s="4">
        <v>46172.0</v>
      </c>
      <c r="K3" s="5" t="s">
        <v>39</v>
      </c>
      <c r="L3" s="12">
        <v>2.20462</v>
      </c>
    </row>
    <row r="4">
      <c r="A4" s="3" t="s">
        <v>4</v>
      </c>
      <c r="B4" s="4">
        <v>46179.0</v>
      </c>
      <c r="K4" s="5" t="s">
        <v>40</v>
      </c>
      <c r="L4" s="12">
        <v>0.453592</v>
      </c>
    </row>
    <row r="5">
      <c r="K5" s="5" t="s">
        <v>41</v>
      </c>
      <c r="L5" s="12">
        <v>0.0129</v>
      </c>
    </row>
    <row r="6">
      <c r="K6" s="5" t="s">
        <v>42</v>
      </c>
      <c r="L6" s="3" t="s">
        <v>43</v>
      </c>
    </row>
    <row r="7">
      <c r="K7" s="3" t="s">
        <v>44</v>
      </c>
      <c r="L7" s="58">
        <f>HYPERLINK("https://docs.google.com/spreadsheets/d/16shKoa1KP34kQJyQvzclBejW9L5-ubNSqPsMOVB7zDY/edit?usp=sharing", 0.00195)</f>
        <v>0.00195</v>
      </c>
    </row>
    <row r="8">
      <c r="A8" s="1" t="s">
        <v>97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69</v>
      </c>
      <c r="B9" s="5" t="s">
        <v>98</v>
      </c>
      <c r="C9" s="22" t="s">
        <v>71</v>
      </c>
      <c r="D9" s="22" t="s">
        <v>72</v>
      </c>
      <c r="E9" s="5" t="s">
        <v>99</v>
      </c>
      <c r="F9" s="5" t="s">
        <v>100</v>
      </c>
      <c r="G9" s="22" t="s">
        <v>101</v>
      </c>
      <c r="H9" s="5" t="s">
        <v>77</v>
      </c>
      <c r="I9" s="5"/>
      <c r="J9" s="5" t="s">
        <v>10</v>
      </c>
      <c r="K9" s="5" t="s">
        <v>11</v>
      </c>
      <c r="L9" s="5" t="s">
        <v>12</v>
      </c>
      <c r="M9" s="5" t="s">
        <v>94</v>
      </c>
      <c r="N9" s="7"/>
    </row>
    <row r="10">
      <c r="A10" s="24"/>
      <c r="B10" s="30"/>
      <c r="C10" s="25"/>
      <c r="D10" s="25"/>
      <c r="E10" s="8"/>
      <c r="F10" s="8"/>
      <c r="G10" s="25"/>
      <c r="H10" s="54"/>
      <c r="J10" s="29" t="str">
        <f t="shared" ref="J10:J24" si="1">IF(D10="","",D10*$L$5)</f>
        <v/>
      </c>
      <c r="K10" s="29" t="str">
        <f t="shared" ref="K10:K24" si="2">IF(D10="","",(D10-J10)*$L$7)</f>
        <v/>
      </c>
      <c r="L10" s="29" t="str">
        <f t="shared" ref="L10:L24" si="3">IF(D10="","",D10-J10-K10)</f>
        <v/>
      </c>
    </row>
    <row r="11">
      <c r="A11" s="24"/>
      <c r="B11" s="30"/>
      <c r="C11" s="25"/>
      <c r="D11" s="25"/>
      <c r="E11" s="8"/>
      <c r="F11" s="8"/>
      <c r="G11" s="25"/>
      <c r="H11" s="54"/>
      <c r="J11" s="29" t="str">
        <f t="shared" si="1"/>
        <v/>
      </c>
      <c r="K11" s="29" t="str">
        <f t="shared" si="2"/>
        <v/>
      </c>
      <c r="L11" s="29" t="str">
        <f t="shared" si="3"/>
        <v/>
      </c>
    </row>
    <row r="12">
      <c r="A12" s="24"/>
      <c r="B12" s="30"/>
      <c r="C12" s="25"/>
      <c r="D12" s="25"/>
      <c r="E12" s="8"/>
      <c r="F12" s="8"/>
      <c r="G12" s="25"/>
      <c r="H12" s="54"/>
      <c r="J12" s="29" t="str">
        <f t="shared" si="1"/>
        <v/>
      </c>
      <c r="K12" s="29" t="str">
        <f t="shared" si="2"/>
        <v/>
      </c>
      <c r="L12" s="29" t="str">
        <f t="shared" si="3"/>
        <v/>
      </c>
    </row>
    <row r="13">
      <c r="A13" s="24"/>
      <c r="B13" s="30"/>
      <c r="C13" s="25"/>
      <c r="D13" s="25"/>
      <c r="E13" s="8"/>
      <c r="F13" s="8"/>
      <c r="G13" s="25"/>
      <c r="H13" s="54"/>
      <c r="J13" s="29" t="str">
        <f t="shared" si="1"/>
        <v/>
      </c>
      <c r="K13" s="29" t="str">
        <f t="shared" si="2"/>
        <v/>
      </c>
      <c r="L13" s="29" t="str">
        <f t="shared" si="3"/>
        <v/>
      </c>
    </row>
    <row r="14">
      <c r="A14" s="24"/>
      <c r="B14" s="30"/>
      <c r="C14" s="25"/>
      <c r="D14" s="25"/>
      <c r="E14" s="8"/>
      <c r="F14" s="8"/>
      <c r="G14" s="25"/>
      <c r="H14" s="54"/>
      <c r="J14" s="29" t="str">
        <f t="shared" si="1"/>
        <v/>
      </c>
      <c r="K14" s="29" t="str">
        <f t="shared" si="2"/>
        <v/>
      </c>
      <c r="L14" s="29" t="str">
        <f t="shared" si="3"/>
        <v/>
      </c>
    </row>
    <row r="15">
      <c r="A15" s="24"/>
      <c r="C15" s="25"/>
      <c r="D15" s="25"/>
      <c r="E15" s="8"/>
      <c r="F15" s="8"/>
      <c r="G15" s="25"/>
      <c r="H15" s="54"/>
      <c r="J15" s="29" t="str">
        <f t="shared" si="1"/>
        <v/>
      </c>
      <c r="K15" s="29" t="str">
        <f t="shared" si="2"/>
        <v/>
      </c>
      <c r="L15" s="29" t="str">
        <f t="shared" si="3"/>
        <v/>
      </c>
    </row>
    <row r="16">
      <c r="A16" s="30"/>
      <c r="C16" s="44"/>
      <c r="D16" s="44"/>
      <c r="E16" s="8"/>
      <c r="F16" s="8"/>
      <c r="G16" s="44"/>
      <c r="H16" s="54"/>
      <c r="J16" s="29" t="str">
        <f t="shared" si="1"/>
        <v/>
      </c>
      <c r="K16" s="29" t="str">
        <f t="shared" si="2"/>
        <v/>
      </c>
      <c r="L16" s="29" t="str">
        <f t="shared" si="3"/>
        <v/>
      </c>
    </row>
    <row r="17">
      <c r="A17" s="30"/>
      <c r="C17" s="44"/>
      <c r="D17" s="44"/>
      <c r="E17" s="8"/>
      <c r="F17" s="8"/>
      <c r="G17" s="44"/>
      <c r="H17" s="54"/>
      <c r="J17" s="29" t="str">
        <f t="shared" si="1"/>
        <v/>
      </c>
      <c r="K17" s="29" t="str">
        <f t="shared" si="2"/>
        <v/>
      </c>
      <c r="L17" s="29" t="str">
        <f t="shared" si="3"/>
        <v/>
      </c>
    </row>
    <row r="18">
      <c r="A18" s="30"/>
      <c r="C18" s="44"/>
      <c r="D18" s="44"/>
      <c r="E18" s="8"/>
      <c r="F18" s="8"/>
      <c r="G18" s="44"/>
      <c r="H18" s="54"/>
      <c r="J18" s="29" t="str">
        <f t="shared" si="1"/>
        <v/>
      </c>
      <c r="K18" s="29" t="str">
        <f t="shared" si="2"/>
        <v/>
      </c>
      <c r="L18" s="29" t="str">
        <f t="shared" si="3"/>
        <v/>
      </c>
    </row>
    <row r="19">
      <c r="A19" s="30"/>
      <c r="C19" s="44"/>
      <c r="D19" s="44"/>
      <c r="E19" s="8"/>
      <c r="F19" s="8"/>
      <c r="G19" s="44"/>
      <c r="H19" s="54"/>
      <c r="J19" s="29" t="str">
        <f t="shared" si="1"/>
        <v/>
      </c>
      <c r="K19" s="29" t="str">
        <f t="shared" si="2"/>
        <v/>
      </c>
      <c r="L19" s="29" t="str">
        <f t="shared" si="3"/>
        <v/>
      </c>
    </row>
    <row r="20">
      <c r="A20" s="30"/>
      <c r="C20" s="44"/>
      <c r="D20" s="44"/>
      <c r="E20" s="8"/>
      <c r="F20" s="8"/>
      <c r="G20" s="44"/>
      <c r="H20" s="54"/>
      <c r="J20" s="29" t="str">
        <f t="shared" si="1"/>
        <v/>
      </c>
      <c r="K20" s="29" t="str">
        <f t="shared" si="2"/>
        <v/>
      </c>
      <c r="L20" s="29" t="str">
        <f t="shared" si="3"/>
        <v/>
      </c>
    </row>
    <row r="21">
      <c r="A21" s="30"/>
      <c r="C21" s="44"/>
      <c r="D21" s="44"/>
      <c r="E21" s="8"/>
      <c r="F21" s="8"/>
      <c r="G21" s="44"/>
      <c r="H21" s="54"/>
      <c r="J21" s="29" t="str">
        <f t="shared" si="1"/>
        <v/>
      </c>
      <c r="K21" s="29" t="str">
        <f t="shared" si="2"/>
        <v/>
      </c>
      <c r="L21" s="29" t="str">
        <f t="shared" si="3"/>
        <v/>
      </c>
    </row>
    <row r="22">
      <c r="A22" s="30"/>
      <c r="C22" s="44"/>
      <c r="D22" s="44"/>
      <c r="E22" s="8"/>
      <c r="F22" s="8"/>
      <c r="G22" s="44"/>
      <c r="H22" s="54"/>
      <c r="J22" s="29" t="str">
        <f t="shared" si="1"/>
        <v/>
      </c>
      <c r="K22" s="29" t="str">
        <f t="shared" si="2"/>
        <v/>
      </c>
      <c r="L22" s="29" t="str">
        <f t="shared" si="3"/>
        <v/>
      </c>
    </row>
    <row r="23">
      <c r="A23" s="30"/>
      <c r="C23" s="44"/>
      <c r="D23" s="44"/>
      <c r="E23" s="8"/>
      <c r="F23" s="8"/>
      <c r="G23" s="44"/>
      <c r="H23" s="54"/>
      <c r="J23" s="29" t="str">
        <f t="shared" si="1"/>
        <v/>
      </c>
      <c r="K23" s="29" t="str">
        <f t="shared" si="2"/>
        <v/>
      </c>
      <c r="L23" s="29" t="str">
        <f t="shared" si="3"/>
        <v/>
      </c>
    </row>
    <row r="24">
      <c r="A24" s="30"/>
      <c r="C24" s="44"/>
      <c r="D24" s="44"/>
      <c r="E24" s="8"/>
      <c r="F24" s="8"/>
      <c r="G24" s="44"/>
      <c r="H24" s="54"/>
      <c r="J24" s="29" t="str">
        <f t="shared" si="1"/>
        <v/>
      </c>
      <c r="K24" s="29" t="str">
        <f t="shared" si="2"/>
        <v/>
      </c>
      <c r="L24" s="29" t="str">
        <f t="shared" si="3"/>
        <v/>
      </c>
    </row>
    <row r="25">
      <c r="A25" s="30"/>
      <c r="C25" s="8"/>
      <c r="D25" s="8"/>
      <c r="E25" s="8"/>
      <c r="F25" s="8"/>
      <c r="G25" s="8"/>
      <c r="H25" s="54"/>
    </row>
    <row r="26">
      <c r="A26" s="31" t="s">
        <v>102</v>
      </c>
      <c r="B26" s="2"/>
      <c r="C26" s="55"/>
      <c r="D26" s="55"/>
      <c r="E26" s="55"/>
      <c r="F26" s="55"/>
      <c r="G26" s="55"/>
      <c r="H26" s="56"/>
      <c r="I26" s="2"/>
      <c r="J26" s="2"/>
      <c r="K26" s="2"/>
      <c r="L26" s="2"/>
      <c r="M26" s="2"/>
      <c r="N26" s="2"/>
    </row>
    <row r="27">
      <c r="A27" s="32" t="s">
        <v>103</v>
      </c>
      <c r="B27" s="5" t="s">
        <v>104</v>
      </c>
      <c r="C27" s="35" t="s">
        <v>9</v>
      </c>
      <c r="D27" s="35" t="s">
        <v>10</v>
      </c>
      <c r="E27" s="35" t="s">
        <v>11</v>
      </c>
      <c r="F27" s="35" t="s">
        <v>78</v>
      </c>
      <c r="G27" s="35" t="s">
        <v>12</v>
      </c>
      <c r="H27" s="57" t="s">
        <v>77</v>
      </c>
      <c r="I27" s="5" t="s">
        <v>105</v>
      </c>
      <c r="J27" s="5"/>
      <c r="K27" s="5" t="s">
        <v>95</v>
      </c>
      <c r="L27" s="7"/>
      <c r="M27" s="7"/>
      <c r="N27" s="7"/>
    </row>
    <row r="28">
      <c r="A28" s="30">
        <f>SUMIFS(D10:D24,B10:B24,"&lt;&gt;")</f>
        <v>0</v>
      </c>
      <c r="B28" s="8">
        <f>SUMIFS(G10:G24,B10:B24,"&lt;&gt;")</f>
        <v>0</v>
      </c>
      <c r="C28" s="9">
        <f>A28</f>
        <v>0</v>
      </c>
      <c r="D28" s="8">
        <f>C28*$L$5</f>
        <v>0</v>
      </c>
      <c r="E28" s="10">
        <f>(C28-D28)*$L$7</f>
        <v>0</v>
      </c>
      <c r="F28" s="43">
        <v>0.0</v>
      </c>
      <c r="G28" s="54">
        <f>C28-D28-E28-F28</f>
        <v>0</v>
      </c>
      <c r="H28" s="54" t="str">
        <f>IFERROR(AVERAGE(H10:H24),"")</f>
        <v/>
      </c>
      <c r="I28" s="29" t="str">
        <f>IFERROR(SUMPRODUCT(L10:L24,M10:M24)/SUM(L10:L24),"")</f>
        <v/>
      </c>
      <c r="K28" s="29" t="str">
        <f>IFERROR(__xludf.DUMMYFUNCTION("TRIM(TEXTJOIN("", "",TRUE,IFERROR(FILTER(B10:B24,B10:B24&lt;&gt;""""),"""")))"),"")</f>
        <v/>
      </c>
    </row>
    <row r="29">
      <c r="A29" s="30"/>
      <c r="C29" s="8"/>
      <c r="D29" s="8"/>
      <c r="E29" s="8"/>
      <c r="F29" s="8"/>
      <c r="G29" s="8"/>
      <c r="H29" s="54"/>
    </row>
    <row r="30">
      <c r="A30" s="30"/>
      <c r="C30" s="8"/>
      <c r="D30" s="8"/>
      <c r="E30" s="8"/>
      <c r="F30" s="8"/>
      <c r="G30" s="8"/>
      <c r="H30" s="54"/>
    </row>
    <row r="31">
      <c r="A31" s="30"/>
    </row>
    <row r="32">
      <c r="A32" s="30"/>
    </row>
    <row r="33">
      <c r="A33" s="30"/>
    </row>
    <row r="34">
      <c r="A34" s="30"/>
    </row>
    <row r="35">
      <c r="A35" s="30"/>
    </row>
    <row r="36">
      <c r="A36" s="30"/>
    </row>
    <row r="37">
      <c r="A37" s="30"/>
    </row>
    <row r="38">
      <c r="A38" s="30"/>
    </row>
    <row r="39">
      <c r="A39" s="30"/>
    </row>
    <row r="40">
      <c r="A40" s="30"/>
    </row>
    <row r="41">
      <c r="A41" s="30"/>
    </row>
    <row r="42">
      <c r="A42" s="30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30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9.13"/>
    <col customWidth="1" min="8" max="8" width="20.88"/>
    <col customWidth="1" min="9" max="9" width="19.0"/>
    <col customWidth="1" min="10" max="15" width="16.38"/>
  </cols>
  <sheetData>
    <row r="1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37</v>
      </c>
      <c r="B2" s="3" t="s">
        <v>2</v>
      </c>
      <c r="K2" s="5" t="s">
        <v>38</v>
      </c>
    </row>
    <row r="3">
      <c r="A3" s="3" t="s">
        <v>3</v>
      </c>
      <c r="B3" s="4">
        <v>46172.0</v>
      </c>
      <c r="K3" s="5" t="s">
        <v>39</v>
      </c>
      <c r="L3" s="12">
        <v>2.20462</v>
      </c>
    </row>
    <row r="4">
      <c r="A4" s="3" t="s">
        <v>4</v>
      </c>
      <c r="B4" s="4">
        <v>46179.0</v>
      </c>
      <c r="K4" s="5" t="s">
        <v>40</v>
      </c>
      <c r="L4" s="12">
        <v>0.453592</v>
      </c>
    </row>
    <row r="5">
      <c r="K5" s="5" t="s">
        <v>41</v>
      </c>
      <c r="L5" s="12">
        <v>0.0129</v>
      </c>
    </row>
    <row r="6">
      <c r="K6" s="5" t="s">
        <v>42</v>
      </c>
      <c r="L6" s="3" t="s">
        <v>43</v>
      </c>
    </row>
    <row r="8">
      <c r="A8" s="1" t="s">
        <v>107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59"/>
      <c r="B9" s="60" t="s">
        <v>108</v>
      </c>
      <c r="D9" s="60" t="s">
        <v>109</v>
      </c>
      <c r="F9" s="60" t="s">
        <v>110</v>
      </c>
      <c r="G9" s="59"/>
      <c r="H9" s="59"/>
      <c r="I9" s="59"/>
      <c r="J9" s="59"/>
      <c r="K9" s="7"/>
      <c r="L9" s="7"/>
      <c r="M9" s="7"/>
    </row>
    <row r="10">
      <c r="A10" s="60" t="s">
        <v>111</v>
      </c>
      <c r="B10" s="60" t="s">
        <v>112</v>
      </c>
      <c r="C10" s="61" t="s">
        <v>113</v>
      </c>
      <c r="D10" s="61" t="s">
        <v>114</v>
      </c>
      <c r="E10" s="61" t="s">
        <v>115</v>
      </c>
      <c r="F10" s="61" t="s">
        <v>116</v>
      </c>
      <c r="G10" s="62" t="s">
        <v>117</v>
      </c>
      <c r="H10" s="62" t="s">
        <v>118</v>
      </c>
      <c r="I10" s="63" t="s">
        <v>119</v>
      </c>
      <c r="J10" s="59" t="s">
        <v>120</v>
      </c>
    </row>
    <row r="11">
      <c r="A11" s="64">
        <v>228026.0</v>
      </c>
      <c r="B11" s="10">
        <v>1178.0</v>
      </c>
      <c r="C11" s="10">
        <v>57.6</v>
      </c>
      <c r="D11" s="8">
        <f t="shared" ref="D11:D20" si="1">B11-C11</f>
        <v>1120.4</v>
      </c>
      <c r="E11" s="65">
        <f>134*L4</f>
        <v>60.781328</v>
      </c>
      <c r="F11" s="44">
        <f t="shared" ref="F11:F20" si="2">B11-E11</f>
        <v>1117.218672</v>
      </c>
      <c r="G11" s="10" t="s">
        <v>121</v>
      </c>
      <c r="H11" s="66">
        <v>0.9748408534875329</v>
      </c>
      <c r="I11" s="8">
        <f t="shared" ref="I11:I20" si="3">H11*D11</f>
        <v>1092.211692</v>
      </c>
      <c r="J11" s="67">
        <f t="shared" ref="J11:J20" si="4">2.5*$L$4</f>
        <v>1.13398</v>
      </c>
    </row>
    <row r="12">
      <c r="A12" s="64">
        <v>228459.0</v>
      </c>
      <c r="B12" s="10">
        <v>1201.0</v>
      </c>
      <c r="C12" s="10">
        <v>57.6</v>
      </c>
      <c r="D12" s="8">
        <f t="shared" si="1"/>
        <v>1143.4</v>
      </c>
      <c r="E12" s="65">
        <f>138*$L$4</f>
        <v>62.595696</v>
      </c>
      <c r="F12" s="44">
        <f t="shared" si="2"/>
        <v>1138.404304</v>
      </c>
      <c r="G12" s="10" t="s">
        <v>122</v>
      </c>
      <c r="H12" s="66">
        <v>0.9748408534875329</v>
      </c>
      <c r="I12" s="8">
        <f t="shared" si="3"/>
        <v>1114.633032</v>
      </c>
      <c r="J12" s="67">
        <f t="shared" si="4"/>
        <v>1.13398</v>
      </c>
    </row>
    <row r="13">
      <c r="A13" s="64">
        <v>228051.0</v>
      </c>
      <c r="B13" s="10">
        <v>1141.0</v>
      </c>
      <c r="C13" s="10">
        <v>57.6</v>
      </c>
      <c r="D13" s="8">
        <f t="shared" si="1"/>
        <v>1083.4</v>
      </c>
      <c r="E13" s="65">
        <f>130*$L$4</f>
        <v>58.96696</v>
      </c>
      <c r="F13" s="44">
        <f t="shared" si="2"/>
        <v>1082.03304</v>
      </c>
      <c r="G13" s="10" t="s">
        <v>123</v>
      </c>
      <c r="H13" s="66">
        <v>0.9748408534875329</v>
      </c>
      <c r="I13" s="8">
        <f t="shared" si="3"/>
        <v>1056.142581</v>
      </c>
      <c r="J13" s="67">
        <f t="shared" si="4"/>
        <v>1.13398</v>
      </c>
    </row>
    <row r="14">
      <c r="A14" s="64">
        <v>228065.0</v>
      </c>
      <c r="B14" s="10">
        <v>1233.0</v>
      </c>
      <c r="C14" s="10">
        <v>57.6</v>
      </c>
      <c r="D14" s="8">
        <f t="shared" si="1"/>
        <v>1175.4</v>
      </c>
      <c r="E14" s="65">
        <f>137*$L$4</f>
        <v>62.142104</v>
      </c>
      <c r="F14" s="44">
        <f t="shared" si="2"/>
        <v>1170.857896</v>
      </c>
      <c r="G14" s="10" t="s">
        <v>124</v>
      </c>
      <c r="H14" s="66">
        <v>0.9748408534875329</v>
      </c>
      <c r="I14" s="8">
        <f t="shared" si="3"/>
        <v>1145.827939</v>
      </c>
      <c r="J14" s="67">
        <f t="shared" si="4"/>
        <v>1.13398</v>
      </c>
    </row>
    <row r="15">
      <c r="A15" s="64">
        <v>228077.0</v>
      </c>
      <c r="B15" s="10">
        <v>1078.0</v>
      </c>
      <c r="C15" s="10">
        <v>57.6</v>
      </c>
      <c r="D15" s="8">
        <f t="shared" si="1"/>
        <v>1020.4</v>
      </c>
      <c r="E15" s="65">
        <f>141*$L$4</f>
        <v>63.956472</v>
      </c>
      <c r="F15" s="44">
        <f t="shared" si="2"/>
        <v>1014.043528</v>
      </c>
      <c r="G15" s="10" t="s">
        <v>125</v>
      </c>
      <c r="H15" s="66">
        <v>0.9748408534875329</v>
      </c>
      <c r="I15" s="8">
        <f t="shared" si="3"/>
        <v>994.7276069</v>
      </c>
      <c r="J15" s="67">
        <f t="shared" si="4"/>
        <v>1.13398</v>
      </c>
    </row>
    <row r="16">
      <c r="A16" s="64">
        <v>228021.0</v>
      </c>
      <c r="B16" s="10">
        <v>1120.0</v>
      </c>
      <c r="C16" s="10">
        <v>57.6</v>
      </c>
      <c r="D16" s="8">
        <f t="shared" si="1"/>
        <v>1062.4</v>
      </c>
      <c r="E16" s="65">
        <f>150*$L$4</f>
        <v>68.0388</v>
      </c>
      <c r="F16" s="44">
        <f t="shared" si="2"/>
        <v>1051.9612</v>
      </c>
      <c r="G16" s="10" t="s">
        <v>126</v>
      </c>
      <c r="H16" s="66">
        <v>0.9748408534875329</v>
      </c>
      <c r="I16" s="8">
        <f t="shared" si="3"/>
        <v>1035.670923</v>
      </c>
      <c r="J16" s="67">
        <f t="shared" si="4"/>
        <v>1.13398</v>
      </c>
    </row>
    <row r="17">
      <c r="A17" s="64">
        <v>228032.0</v>
      </c>
      <c r="B17" s="10">
        <v>1140.0</v>
      </c>
      <c r="C17" s="10">
        <v>57.6</v>
      </c>
      <c r="D17" s="8">
        <f t="shared" si="1"/>
        <v>1082.4</v>
      </c>
      <c r="E17" s="65">
        <f>134*$L$4</f>
        <v>60.781328</v>
      </c>
      <c r="F17" s="44">
        <f t="shared" si="2"/>
        <v>1079.218672</v>
      </c>
      <c r="G17" s="10" t="s">
        <v>127</v>
      </c>
      <c r="H17" s="66">
        <v>0.9748408534875329</v>
      </c>
      <c r="I17" s="8">
        <f t="shared" si="3"/>
        <v>1055.16774</v>
      </c>
      <c r="J17" s="67">
        <f t="shared" si="4"/>
        <v>1.13398</v>
      </c>
    </row>
    <row r="18">
      <c r="A18" s="64">
        <v>300018.0</v>
      </c>
      <c r="B18" s="10">
        <v>1244.0</v>
      </c>
      <c r="C18" s="10">
        <v>57.6</v>
      </c>
      <c r="D18" s="8">
        <f t="shared" si="1"/>
        <v>1186.4</v>
      </c>
      <c r="E18" s="65">
        <f>140*$L$4</f>
        <v>63.50288</v>
      </c>
      <c r="F18" s="44">
        <f t="shared" si="2"/>
        <v>1180.49712</v>
      </c>
      <c r="G18" s="10" t="s">
        <v>128</v>
      </c>
      <c r="H18" s="66">
        <v>0.9721828239230533</v>
      </c>
      <c r="I18" s="8">
        <f t="shared" si="3"/>
        <v>1153.397702</v>
      </c>
      <c r="J18" s="67">
        <f t="shared" si="4"/>
        <v>1.13398</v>
      </c>
    </row>
    <row r="19">
      <c r="A19" s="64">
        <v>300014.0</v>
      </c>
      <c r="B19" s="10">
        <v>1225.0</v>
      </c>
      <c r="C19" s="10">
        <v>57.6</v>
      </c>
      <c r="D19" s="8">
        <f t="shared" si="1"/>
        <v>1167.4</v>
      </c>
      <c r="E19" s="65">
        <f>142*$L$4</f>
        <v>64.410064</v>
      </c>
      <c r="F19" s="44">
        <f t="shared" si="2"/>
        <v>1160.589936</v>
      </c>
      <c r="G19" s="10" t="s">
        <v>129</v>
      </c>
      <c r="H19" s="66">
        <v>0.9721828239230533</v>
      </c>
      <c r="I19" s="8">
        <f t="shared" si="3"/>
        <v>1134.926229</v>
      </c>
      <c r="J19" s="67">
        <f t="shared" si="4"/>
        <v>1.13398</v>
      </c>
    </row>
    <row r="20">
      <c r="A20" s="64">
        <v>300010.0</v>
      </c>
      <c r="B20" s="10">
        <v>1197.0</v>
      </c>
      <c r="C20" s="10">
        <v>57.6</v>
      </c>
      <c r="D20" s="8">
        <f t="shared" si="1"/>
        <v>1139.4</v>
      </c>
      <c r="E20" s="65">
        <f>148*$L$4</f>
        <v>67.131616</v>
      </c>
      <c r="F20" s="44">
        <f t="shared" si="2"/>
        <v>1129.868384</v>
      </c>
      <c r="G20" s="10" t="s">
        <v>130</v>
      </c>
      <c r="H20" s="66">
        <v>0.9204637328204092</v>
      </c>
      <c r="I20" s="8">
        <f t="shared" si="3"/>
        <v>1048.776377</v>
      </c>
      <c r="J20" s="67">
        <f t="shared" si="4"/>
        <v>1.13398</v>
      </c>
    </row>
    <row r="21">
      <c r="C21" s="8"/>
      <c r="D21" s="8"/>
      <c r="E21" s="68"/>
      <c r="F21" s="8"/>
      <c r="G21" s="8"/>
      <c r="H21" s="8"/>
      <c r="I21" s="54"/>
    </row>
    <row r="22">
      <c r="B22" s="8">
        <f t="shared" ref="B22:F22" si="5">SUM(B11:B20)</f>
        <v>11757</v>
      </c>
      <c r="C22" s="8">
        <f t="shared" si="5"/>
        <v>576</v>
      </c>
      <c r="D22" s="8">
        <f t="shared" si="5"/>
        <v>11181</v>
      </c>
      <c r="E22" s="8">
        <f t="shared" si="5"/>
        <v>632.307248</v>
      </c>
      <c r="F22" s="8">
        <f t="shared" si="5"/>
        <v>11124.69275</v>
      </c>
      <c r="G22" s="8"/>
      <c r="H22" s="69">
        <f>I22/D22</f>
        <v>0.9687399894</v>
      </c>
      <c r="I22" s="8">
        <f t="shared" ref="I22:J22" si="6">SUM(I11:I20)</f>
        <v>10831.48182</v>
      </c>
      <c r="J22" s="67">
        <f t="shared" si="6"/>
        <v>11.3398</v>
      </c>
    </row>
    <row r="23">
      <c r="C23" s="8"/>
      <c r="D23" s="8"/>
      <c r="E23" s="68"/>
      <c r="F23" s="8"/>
      <c r="G23" s="8"/>
      <c r="H23" s="8"/>
      <c r="I23" s="54"/>
    </row>
    <row r="24">
      <c r="C24" s="8"/>
      <c r="D24" s="8"/>
      <c r="E24" s="68"/>
      <c r="F24" s="8"/>
      <c r="G24" s="8"/>
      <c r="H24" s="8"/>
      <c r="I24" s="54"/>
    </row>
    <row r="25">
      <c r="C25" s="8"/>
      <c r="D25" s="8"/>
      <c r="E25" s="68"/>
      <c r="F25" s="8"/>
      <c r="G25" s="8"/>
      <c r="H25" s="8"/>
      <c r="I25" s="54"/>
    </row>
    <row r="26">
      <c r="C26" s="8"/>
      <c r="D26" s="8"/>
      <c r="E26" s="68"/>
      <c r="F26" s="8"/>
      <c r="G26" s="8"/>
      <c r="H26" s="8"/>
      <c r="I26" s="54"/>
    </row>
    <row r="27">
      <c r="C27" s="8"/>
      <c r="D27" s="8"/>
      <c r="E27" s="68"/>
      <c r="F27" s="8"/>
      <c r="G27" s="8"/>
      <c r="H27" s="8"/>
      <c r="I27" s="54"/>
    </row>
    <row r="28">
      <c r="C28" s="8"/>
      <c r="D28" s="8"/>
      <c r="E28" s="68"/>
      <c r="F28" s="8"/>
      <c r="G28" s="8"/>
      <c r="H28" s="8"/>
      <c r="I28" s="54"/>
    </row>
    <row r="29">
      <c r="C29" s="8"/>
      <c r="D29" s="8"/>
      <c r="E29" s="68"/>
      <c r="F29" s="8"/>
      <c r="G29" s="8"/>
      <c r="H29" s="8"/>
      <c r="I29" s="54"/>
    </row>
    <row r="30">
      <c r="C30" s="8"/>
      <c r="D30" s="8"/>
      <c r="E30" s="8"/>
      <c r="F30" s="8"/>
      <c r="G30" s="8"/>
      <c r="H30" s="54"/>
    </row>
    <row r="31">
      <c r="A31" s="1" t="s">
        <v>131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132</v>
      </c>
      <c r="B32" s="5" t="s">
        <v>133</v>
      </c>
      <c r="C32" s="5" t="s">
        <v>53</v>
      </c>
      <c r="D32" s="5" t="s">
        <v>134</v>
      </c>
      <c r="E32" s="5" t="s">
        <v>135</v>
      </c>
      <c r="F32" s="5"/>
      <c r="G32" s="5"/>
      <c r="H32" s="5"/>
      <c r="I32" s="7"/>
      <c r="J32" s="7"/>
      <c r="K32" s="7"/>
      <c r="L32" s="7"/>
      <c r="M32" s="7"/>
      <c r="N32" s="7"/>
      <c r="O32" s="7"/>
    </row>
    <row r="33">
      <c r="A33" s="8">
        <f>SUM(B11:B20)</f>
        <v>11757</v>
      </c>
      <c r="B33" s="8">
        <f>SUM(D11:D20)</f>
        <v>11181</v>
      </c>
      <c r="C33" s="8">
        <f>B33-D33</f>
        <v>56.307248</v>
      </c>
      <c r="D33" s="8">
        <f>SUM(F11:F20)</f>
        <v>11124.69275</v>
      </c>
      <c r="E33" s="8">
        <f>SUM(I11:I20)</f>
        <v>10831.48182</v>
      </c>
      <c r="F33" s="70"/>
      <c r="G33" s="54"/>
    </row>
  </sheetData>
  <mergeCells count="2">
    <mergeCell ref="B9:C9"/>
    <mergeCell ref="D9:E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37</v>
      </c>
      <c r="B2" s="3" t="s">
        <v>2</v>
      </c>
      <c r="J2" s="5"/>
      <c r="L2" s="3" t="s">
        <v>38</v>
      </c>
    </row>
    <row r="3">
      <c r="A3" s="3" t="s">
        <v>3</v>
      </c>
      <c r="B3" s="4">
        <v>46172.0</v>
      </c>
      <c r="J3" s="5"/>
      <c r="L3" s="3" t="s">
        <v>39</v>
      </c>
      <c r="M3" s="12">
        <v>2.20462</v>
      </c>
    </row>
    <row r="4">
      <c r="A4" s="3" t="s">
        <v>4</v>
      </c>
      <c r="B4" s="4">
        <v>46179.0</v>
      </c>
      <c r="J4" s="5"/>
      <c r="L4" s="3" t="s">
        <v>40</v>
      </c>
      <c r="M4" s="12">
        <v>0.453592</v>
      </c>
    </row>
    <row r="5">
      <c r="J5" s="5"/>
      <c r="L5" s="3" t="s">
        <v>41</v>
      </c>
      <c r="M5" s="12">
        <v>0.0129</v>
      </c>
    </row>
    <row r="6">
      <c r="J6" s="5"/>
      <c r="L6" s="3" t="s">
        <v>42</v>
      </c>
      <c r="M6" s="3" t="s">
        <v>43</v>
      </c>
    </row>
    <row r="7">
      <c r="L7" s="3" t="s">
        <v>28</v>
      </c>
      <c r="M7" s="12">
        <v>0.004</v>
      </c>
    </row>
    <row r="8">
      <c r="A8" s="1" t="s">
        <v>137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69</v>
      </c>
      <c r="B9" s="5" t="s">
        <v>138</v>
      </c>
      <c r="C9" s="22" t="s">
        <v>139</v>
      </c>
      <c r="D9" s="22" t="s">
        <v>140</v>
      </c>
      <c r="E9" s="5" t="s">
        <v>141</v>
      </c>
      <c r="F9" s="5" t="s">
        <v>142</v>
      </c>
      <c r="G9" s="22" t="s">
        <v>77</v>
      </c>
      <c r="H9" s="5"/>
      <c r="I9" s="5" t="s">
        <v>94</v>
      </c>
      <c r="J9" s="5" t="s">
        <v>27</v>
      </c>
      <c r="K9" s="5" t="s">
        <v>143</v>
      </c>
      <c r="L9" s="7"/>
      <c r="M9" s="7"/>
    </row>
    <row r="10">
      <c r="A10" s="71"/>
      <c r="C10" s="25"/>
      <c r="D10" s="25"/>
      <c r="E10" s="8"/>
      <c r="F10" s="8"/>
      <c r="G10" s="25"/>
    </row>
    <row r="11">
      <c r="A11" s="71"/>
      <c r="C11" s="25"/>
      <c r="D11" s="25"/>
      <c r="E11" s="8"/>
      <c r="F11" s="8"/>
      <c r="G11" s="25"/>
    </row>
    <row r="12">
      <c r="A12" s="71"/>
      <c r="C12" s="25"/>
      <c r="D12" s="25"/>
      <c r="E12" s="8"/>
      <c r="F12" s="8"/>
      <c r="G12" s="25"/>
    </row>
    <row r="13">
      <c r="A13" s="71"/>
      <c r="C13" s="25"/>
      <c r="D13" s="25"/>
      <c r="E13" s="8"/>
      <c r="F13" s="8"/>
      <c r="G13" s="25"/>
    </row>
    <row r="14">
      <c r="C14" s="44"/>
      <c r="D14" s="44"/>
      <c r="E14" s="8"/>
      <c r="F14" s="8"/>
      <c r="G14" s="44"/>
    </row>
    <row r="15">
      <c r="C15" s="44"/>
      <c r="D15" s="44"/>
      <c r="E15" s="8"/>
      <c r="F15" s="8"/>
      <c r="G15" s="44"/>
    </row>
    <row r="16">
      <c r="C16" s="44"/>
      <c r="D16" s="44"/>
      <c r="E16" s="8"/>
      <c r="F16" s="8"/>
      <c r="G16" s="44"/>
    </row>
    <row r="17">
      <c r="C17" s="44"/>
      <c r="D17" s="44"/>
      <c r="E17" s="8"/>
      <c r="F17" s="8"/>
      <c r="G17" s="44"/>
    </row>
    <row r="18">
      <c r="C18" s="44"/>
      <c r="D18" s="44"/>
      <c r="E18" s="8"/>
      <c r="F18" s="8"/>
      <c r="G18" s="44"/>
    </row>
    <row r="19">
      <c r="C19" s="44"/>
      <c r="D19" s="44"/>
      <c r="E19" s="8"/>
      <c r="F19" s="8"/>
      <c r="G19" s="44"/>
    </row>
    <row r="20">
      <c r="C20" s="44"/>
      <c r="D20" s="44"/>
      <c r="E20" s="8"/>
      <c r="F20" s="8"/>
      <c r="G20" s="44"/>
    </row>
    <row r="21">
      <c r="C21" s="44"/>
      <c r="D21" s="44"/>
      <c r="E21" s="8"/>
      <c r="F21" s="8"/>
      <c r="G21" s="44"/>
    </row>
    <row r="22">
      <c r="C22" s="44"/>
      <c r="D22" s="44"/>
      <c r="E22" s="8"/>
      <c r="F22" s="8"/>
      <c r="G22" s="44"/>
    </row>
    <row r="23">
      <c r="C23" s="44"/>
      <c r="D23" s="44"/>
      <c r="E23" s="8"/>
      <c r="F23" s="8"/>
      <c r="G23" s="44"/>
    </row>
    <row r="24">
      <c r="C24" s="44"/>
      <c r="D24" s="44"/>
      <c r="E24" s="8"/>
      <c r="F24" s="8"/>
      <c r="G24" s="44"/>
    </row>
    <row r="25">
      <c r="C25" s="8"/>
      <c r="D25" s="8"/>
      <c r="E25" s="8"/>
      <c r="F25" s="8"/>
      <c r="G25" s="8"/>
    </row>
    <row r="26">
      <c r="A26" s="1"/>
      <c r="B26" s="2"/>
      <c r="C26" s="55"/>
      <c r="D26" s="55"/>
      <c r="E26" s="55"/>
      <c r="F26" s="55"/>
      <c r="G26" s="55"/>
      <c r="H26" s="2"/>
      <c r="I26" s="2"/>
      <c r="J26" s="2"/>
      <c r="K26" s="2"/>
      <c r="L26" s="2"/>
      <c r="M26" s="2"/>
    </row>
    <row r="27">
      <c r="A27" s="5"/>
      <c r="B27" s="5"/>
      <c r="C27" s="35"/>
      <c r="D27" s="35"/>
      <c r="E27" s="35"/>
      <c r="F27" s="35"/>
      <c r="G27" s="35"/>
      <c r="H27" s="5"/>
      <c r="I27" s="7"/>
      <c r="J27" s="7"/>
      <c r="K27" s="7"/>
      <c r="L27" s="7"/>
      <c r="M27" s="7"/>
    </row>
    <row r="28">
      <c r="A28" s="8"/>
      <c r="B28" s="8"/>
      <c r="C28" s="9"/>
      <c r="D28" s="8"/>
      <c r="E28" s="10"/>
      <c r="F28" s="10"/>
      <c r="G28" s="8"/>
    </row>
    <row r="29">
      <c r="C29" s="8"/>
      <c r="D29" s="8"/>
      <c r="E29" s="8"/>
      <c r="F29" s="8"/>
      <c r="G29" s="8"/>
    </row>
    <row r="30">
      <c r="C30" s="8"/>
      <c r="D30" s="8"/>
      <c r="E30" s="8"/>
      <c r="F30" s="8"/>
      <c r="G30" s="8"/>
    </row>
    <row r="31">
      <c r="A31" s="3" t="s">
        <v>131</v>
      </c>
    </row>
    <row r="32">
      <c r="A32" s="3" t="s">
        <v>144</v>
      </c>
      <c r="B32" s="3" t="s">
        <v>10</v>
      </c>
      <c r="C32" s="3" t="s">
        <v>12</v>
      </c>
      <c r="D32" s="3" t="s">
        <v>77</v>
      </c>
      <c r="E32" s="3" t="s">
        <v>105</v>
      </c>
      <c r="F32" s="3"/>
      <c r="G32" s="3" t="s">
        <v>145</v>
      </c>
    </row>
    <row r="33">
      <c r="A33" s="29">
        <f>SUMIFS(F10:F29,B10:B29,"&lt;&gt;")</f>
        <v>0</v>
      </c>
      <c r="B33" s="29">
        <f>A33*$M$5</f>
        <v>0</v>
      </c>
      <c r="C33" s="29">
        <f>A33-B33</f>
        <v>0</v>
      </c>
      <c r="D33" s="29" t="str">
        <f>IFERROR(AVERAGE(G10:G29),"")</f>
        <v/>
      </c>
      <c r="E33" s="29" t="str">
        <f>IFERROR(__xludf.DUMMYFUNCTION("IFERROR(AVERAGE.WEIGHTED(I10:I29,F10:F29),"""")"),"")</f>
        <v/>
      </c>
      <c r="G33" s="29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37</v>
      </c>
      <c r="B2" s="3" t="s">
        <v>2</v>
      </c>
      <c r="K2" s="5" t="s">
        <v>38</v>
      </c>
    </row>
    <row r="3">
      <c r="A3" s="3" t="s">
        <v>3</v>
      </c>
      <c r="B3" s="4">
        <v>46172.0</v>
      </c>
      <c r="K3" s="5" t="s">
        <v>39</v>
      </c>
      <c r="L3" s="12">
        <v>2.20462</v>
      </c>
    </row>
    <row r="4">
      <c r="A4" s="3" t="s">
        <v>4</v>
      </c>
      <c r="B4" s="4">
        <v>46179.0</v>
      </c>
      <c r="K4" s="5" t="s">
        <v>40</v>
      </c>
      <c r="L4" s="12">
        <v>0.453592</v>
      </c>
    </row>
    <row r="5">
      <c r="K5" s="5" t="s">
        <v>41</v>
      </c>
      <c r="L5" s="12">
        <v>0.0129</v>
      </c>
    </row>
    <row r="6">
      <c r="K6" s="5" t="s">
        <v>42</v>
      </c>
      <c r="L6" s="3" t="s">
        <v>43</v>
      </c>
    </row>
    <row r="8">
      <c r="A8" s="1" t="s">
        <v>147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72"/>
      <c r="B9" s="73" t="s">
        <v>108</v>
      </c>
      <c r="C9" s="73"/>
      <c r="D9" s="73" t="s">
        <v>109</v>
      </c>
      <c r="E9" s="5"/>
      <c r="F9" s="5" t="s">
        <v>110</v>
      </c>
      <c r="G9" s="5"/>
      <c r="H9" s="5"/>
      <c r="I9" s="5"/>
    </row>
    <row r="10">
      <c r="A10" s="74" t="s">
        <v>111</v>
      </c>
      <c r="B10" s="75" t="s">
        <v>112</v>
      </c>
      <c r="C10" s="75" t="s">
        <v>113</v>
      </c>
      <c r="D10" s="75" t="s">
        <v>114</v>
      </c>
      <c r="E10" s="75" t="s">
        <v>115</v>
      </c>
      <c r="F10" s="75" t="s">
        <v>116</v>
      </c>
      <c r="G10" s="5" t="s">
        <v>117</v>
      </c>
      <c r="H10" s="5" t="s">
        <v>118</v>
      </c>
      <c r="I10" s="5" t="s">
        <v>119</v>
      </c>
      <c r="J10" s="5" t="s">
        <v>120</v>
      </c>
    </row>
    <row r="11">
      <c r="A11" s="76"/>
      <c r="B11" s="77"/>
      <c r="C11" s="78"/>
      <c r="D11" s="77"/>
      <c r="E11" s="77"/>
      <c r="F11" s="77"/>
    </row>
    <row r="12">
      <c r="A12" s="76"/>
      <c r="B12" s="77"/>
      <c r="C12" s="78"/>
      <c r="D12" s="78"/>
      <c r="E12" s="79"/>
      <c r="F12" s="77"/>
    </row>
    <row r="13">
      <c r="A13" s="76"/>
      <c r="B13" s="77"/>
      <c r="C13" s="78"/>
      <c r="D13" s="77"/>
      <c r="E13" s="77"/>
      <c r="F13" s="77"/>
    </row>
    <row r="14">
      <c r="A14" s="76"/>
      <c r="B14" s="77"/>
      <c r="C14" s="78"/>
      <c r="D14" s="77"/>
      <c r="E14" s="77"/>
      <c r="F14" s="77"/>
    </row>
    <row r="15">
      <c r="A15" s="76"/>
      <c r="B15" s="77"/>
      <c r="C15" s="78"/>
      <c r="D15" s="77"/>
      <c r="E15" s="77"/>
      <c r="F15" s="77"/>
    </row>
    <row r="16">
      <c r="A16" s="76"/>
      <c r="B16" s="77"/>
      <c r="C16" s="78"/>
      <c r="D16" s="77"/>
      <c r="E16" s="77"/>
      <c r="F16" s="77"/>
    </row>
    <row r="17">
      <c r="A17" s="76"/>
      <c r="B17" s="77"/>
      <c r="C17" s="78"/>
      <c r="D17" s="77"/>
      <c r="E17" s="77"/>
      <c r="F17" s="77"/>
    </row>
    <row r="18">
      <c r="A18" s="76"/>
      <c r="B18" s="77"/>
      <c r="C18" s="78"/>
      <c r="D18" s="77"/>
      <c r="E18" s="77"/>
      <c r="F18" s="77"/>
    </row>
    <row r="19">
      <c r="A19" s="76"/>
      <c r="B19" s="77"/>
      <c r="C19" s="78"/>
      <c r="D19" s="77"/>
      <c r="E19" s="77"/>
      <c r="F19" s="77"/>
    </row>
    <row r="20">
      <c r="A20" s="76"/>
      <c r="B20" s="77"/>
      <c r="C20" s="78"/>
      <c r="D20" s="77"/>
      <c r="E20" s="79"/>
      <c r="F20" s="77"/>
    </row>
    <row r="21">
      <c r="A21" s="76"/>
      <c r="B21" s="77"/>
      <c r="C21" s="78"/>
      <c r="D21" s="77"/>
      <c r="E21" s="77"/>
      <c r="F21" s="77"/>
    </row>
    <row r="22">
      <c r="A22" s="76"/>
      <c r="B22" s="77"/>
      <c r="C22" s="78"/>
      <c r="D22" s="77"/>
      <c r="E22" s="77"/>
      <c r="F22" s="77"/>
    </row>
    <row r="23">
      <c r="A23" s="76"/>
      <c r="B23" s="77"/>
      <c r="C23" s="78"/>
      <c r="D23" s="77"/>
      <c r="E23" s="77"/>
      <c r="F23" s="77"/>
    </row>
    <row r="24">
      <c r="A24" s="76"/>
      <c r="B24" s="77"/>
      <c r="C24" s="78"/>
      <c r="D24" s="77"/>
      <c r="E24" s="77"/>
      <c r="F24" s="77"/>
    </row>
    <row r="25">
      <c r="A25" s="76"/>
      <c r="B25" s="77"/>
      <c r="C25" s="78"/>
      <c r="D25" s="77"/>
      <c r="E25" s="77"/>
      <c r="F25" s="77"/>
    </row>
    <row r="26">
      <c r="A26" s="76"/>
      <c r="B26" s="77"/>
      <c r="C26" s="78"/>
      <c r="D26" s="77"/>
      <c r="E26" s="77"/>
      <c r="F26" s="77"/>
    </row>
    <row r="27">
      <c r="A27" s="76"/>
      <c r="B27" s="77"/>
      <c r="C27" s="78"/>
      <c r="D27" s="77"/>
      <c r="E27" s="77"/>
      <c r="F27" s="77"/>
    </row>
    <row r="28">
      <c r="A28" s="76"/>
      <c r="B28" s="77"/>
      <c r="C28" s="78"/>
      <c r="D28" s="77"/>
      <c r="E28" s="77"/>
      <c r="F28" s="77"/>
    </row>
    <row r="29">
      <c r="A29" s="76"/>
      <c r="B29" s="77"/>
      <c r="C29" s="78"/>
      <c r="D29" s="77"/>
      <c r="E29" s="77"/>
      <c r="F29" s="77"/>
    </row>
    <row r="30">
      <c r="A30" s="76"/>
      <c r="B30" s="77"/>
      <c r="C30" s="78"/>
      <c r="D30" s="77"/>
      <c r="E30" s="77"/>
      <c r="F30" s="77"/>
    </row>
    <row r="31">
      <c r="A31" s="76"/>
      <c r="B31" s="77"/>
      <c r="C31" s="78"/>
      <c r="D31" s="77"/>
      <c r="E31" s="77"/>
      <c r="F31" s="77"/>
    </row>
    <row r="32">
      <c r="A32" s="76"/>
      <c r="B32" s="80"/>
      <c r="C32" s="78"/>
      <c r="D32" s="77"/>
      <c r="E32" s="79"/>
      <c r="F32" s="77"/>
      <c r="G32" s="81"/>
      <c r="H32" s="82"/>
    </row>
    <row r="33">
      <c r="A33" s="76"/>
      <c r="B33" s="83"/>
      <c r="C33" s="78"/>
      <c r="D33" s="77"/>
      <c r="E33" s="77"/>
      <c r="F33" s="77"/>
    </row>
    <row r="34">
      <c r="A34" s="76"/>
      <c r="B34" s="84"/>
      <c r="C34" s="78"/>
      <c r="D34" s="77"/>
      <c r="E34" s="84"/>
      <c r="F34" s="77"/>
    </row>
    <row r="35">
      <c r="A35" s="76"/>
      <c r="B35" s="80"/>
      <c r="C35" s="78"/>
      <c r="D35" s="77"/>
      <c r="E35" s="77"/>
      <c r="F35" s="77"/>
    </row>
    <row r="36">
      <c r="A36" s="76"/>
      <c r="B36" s="80"/>
      <c r="C36" s="78"/>
      <c r="D36" s="77"/>
      <c r="E36" s="77"/>
      <c r="F36" s="77"/>
    </row>
    <row r="37">
      <c r="A37" s="76"/>
      <c r="B37" s="80"/>
      <c r="C37" s="78"/>
      <c r="D37" s="77"/>
      <c r="E37" s="77"/>
      <c r="F37" s="77"/>
    </row>
    <row r="38">
      <c r="A38" s="76"/>
      <c r="B38" s="80"/>
      <c r="C38" s="78"/>
      <c r="D38" s="77"/>
      <c r="E38" s="79"/>
      <c r="F38" s="77"/>
    </row>
    <row r="39">
      <c r="A39" s="76"/>
      <c r="B39" s="80"/>
      <c r="C39" s="78"/>
      <c r="D39" s="77"/>
      <c r="E39" s="77"/>
      <c r="F39" s="77"/>
    </row>
    <row r="40">
      <c r="A40" s="76"/>
      <c r="B40" s="80"/>
      <c r="C40" s="78"/>
      <c r="D40" s="77"/>
      <c r="E40" s="77"/>
      <c r="F40" s="77"/>
    </row>
    <row r="41">
      <c r="A41" s="76"/>
      <c r="B41" s="80"/>
      <c r="C41" s="78"/>
      <c r="D41" s="77"/>
      <c r="E41" s="77"/>
      <c r="F41" s="77"/>
    </row>
    <row r="42">
      <c r="A42" s="76"/>
      <c r="B42" s="80"/>
      <c r="C42" s="78"/>
      <c r="D42" s="77"/>
      <c r="E42" s="79"/>
      <c r="F42" s="77"/>
    </row>
    <row r="43">
      <c r="A43" s="76"/>
      <c r="B43" s="80"/>
      <c r="C43" s="78"/>
      <c r="D43" s="77"/>
      <c r="E43" s="77"/>
      <c r="F43" s="77"/>
    </row>
    <row r="44">
      <c r="A44" s="76"/>
      <c r="B44" s="80"/>
      <c r="C44" s="78"/>
      <c r="D44" s="77"/>
      <c r="E44" s="77"/>
      <c r="F44" s="77"/>
    </row>
    <row r="45">
      <c r="A45" s="76"/>
      <c r="B45" s="80"/>
      <c r="C45" s="78"/>
      <c r="D45" s="77"/>
      <c r="E45" s="77"/>
      <c r="F45" s="77"/>
    </row>
    <row r="46">
      <c r="A46" s="76"/>
      <c r="B46" s="80"/>
      <c r="C46" s="78"/>
      <c r="D46" s="77"/>
      <c r="E46" s="77"/>
      <c r="F46" s="77"/>
    </row>
    <row r="47">
      <c r="A47" s="76"/>
      <c r="B47" s="80"/>
      <c r="C47" s="78"/>
      <c r="D47" s="77"/>
      <c r="E47" s="77"/>
      <c r="F47" s="77"/>
    </row>
    <row r="48">
      <c r="A48" s="76"/>
      <c r="B48" s="80"/>
      <c r="C48" s="78"/>
      <c r="D48" s="77"/>
      <c r="E48" s="77"/>
      <c r="F48" s="77"/>
    </row>
    <row r="49">
      <c r="A49" s="76"/>
      <c r="B49" s="80"/>
      <c r="C49" s="78"/>
      <c r="D49" s="77"/>
      <c r="E49" s="77"/>
      <c r="F49" s="77"/>
    </row>
    <row r="50">
      <c r="A50" s="76"/>
      <c r="B50" s="80"/>
      <c r="C50" s="78"/>
      <c r="D50" s="77"/>
      <c r="E50" s="77"/>
      <c r="F50" s="77"/>
    </row>
    <row r="51">
      <c r="A51" s="76"/>
      <c r="B51" s="80"/>
      <c r="C51" s="78"/>
      <c r="D51" s="77"/>
      <c r="E51" s="77"/>
      <c r="F51" s="77"/>
    </row>
    <row r="52">
      <c r="B52" s="85"/>
      <c r="C52" s="86"/>
      <c r="D52" s="8"/>
      <c r="E52" s="8"/>
      <c r="F52" s="8"/>
      <c r="G52" s="8" t="str">
        <f>IF(AND(D52&lt;&gt;"",F52&lt;&gt;""),(D52-F52)*$L$4,"")</f>
        <v/>
      </c>
      <c r="H52" s="8" t="str">
        <f>IF(G52="","",G52*(1-$L$5))</f>
        <v/>
      </c>
      <c r="I52" s="54"/>
    </row>
    <row r="53">
      <c r="B53" s="87">
        <f>SUM(B10:B51)</f>
        <v>0</v>
      </c>
      <c r="C53" s="87"/>
      <c r="D53" s="87">
        <f>SUM(D10:D51)</f>
        <v>0</v>
      </c>
      <c r="E53" s="87"/>
      <c r="F53" s="87">
        <f>SUM(F9:F51)</f>
        <v>0</v>
      </c>
      <c r="G53" s="88"/>
      <c r="H53" s="89" t="str">
        <f>SUMPRODUCT(D11:D51,H11:H51)/SUM(D11:D51)</f>
        <v>#DIV/0!</v>
      </c>
      <c r="I53" s="90">
        <f>sum(I11:I51)</f>
        <v>0</v>
      </c>
      <c r="J53" s="29">
        <f>SUM(J9:J51)</f>
        <v>0</v>
      </c>
    </row>
    <row r="54">
      <c r="B54" s="85"/>
      <c r="D54" s="8"/>
      <c r="E54" s="8"/>
      <c r="F54" s="8"/>
      <c r="G54" s="8" t="str">
        <f t="shared" ref="G54:G73" si="1">IF(AND(D54&lt;&gt;"",F54&lt;&gt;""),(D54-F54)*$L$4,"")</f>
        <v/>
      </c>
      <c r="H54" s="8" t="str">
        <f t="shared" ref="H54:H73" si="2">IF(G54="","",G54*(1-$L$5))</f>
        <v/>
      </c>
      <c r="I54" s="54"/>
    </row>
    <row r="55">
      <c r="B55" s="85"/>
      <c r="D55" s="8"/>
      <c r="E55" s="8"/>
      <c r="F55" s="8"/>
      <c r="G55" s="8" t="str">
        <f t="shared" si="1"/>
        <v/>
      </c>
      <c r="H55" s="8" t="str">
        <f t="shared" si="2"/>
        <v/>
      </c>
      <c r="I55" s="91"/>
    </row>
    <row r="56">
      <c r="B56" s="85"/>
      <c r="D56" s="8"/>
      <c r="E56" s="8"/>
      <c r="F56" s="8"/>
      <c r="G56" s="8" t="str">
        <f t="shared" si="1"/>
        <v/>
      </c>
      <c r="H56" s="8" t="str">
        <f t="shared" si="2"/>
        <v/>
      </c>
      <c r="I56" s="54"/>
    </row>
    <row r="57">
      <c r="B57" s="85"/>
      <c r="D57" s="8"/>
      <c r="E57" s="8"/>
      <c r="F57" s="8"/>
      <c r="G57" s="8" t="str">
        <f t="shared" si="1"/>
        <v/>
      </c>
      <c r="H57" s="8" t="str">
        <f t="shared" si="2"/>
        <v/>
      </c>
      <c r="I57" s="54"/>
    </row>
    <row r="58">
      <c r="B58" s="85"/>
      <c r="D58" s="8"/>
      <c r="E58" s="8"/>
      <c r="F58" s="8"/>
      <c r="G58" s="8" t="str">
        <f t="shared" si="1"/>
        <v/>
      </c>
      <c r="H58" s="8" t="str">
        <f t="shared" si="2"/>
        <v/>
      </c>
      <c r="I58" s="54"/>
    </row>
    <row r="59">
      <c r="B59" s="85"/>
      <c r="D59" s="8"/>
      <c r="E59" s="8"/>
      <c r="F59" s="8"/>
      <c r="G59" s="8" t="str">
        <f t="shared" si="1"/>
        <v/>
      </c>
      <c r="H59" s="8" t="str">
        <f t="shared" si="2"/>
        <v/>
      </c>
      <c r="I59" s="54"/>
    </row>
    <row r="60">
      <c r="B60" s="85"/>
      <c r="D60" s="8"/>
      <c r="E60" s="8"/>
      <c r="F60" s="8"/>
      <c r="G60" s="8" t="str">
        <f t="shared" si="1"/>
        <v/>
      </c>
      <c r="H60" s="8" t="str">
        <f t="shared" si="2"/>
        <v/>
      </c>
      <c r="I60" s="54"/>
    </row>
    <row r="61">
      <c r="B61" s="85"/>
      <c r="D61" s="8"/>
      <c r="E61" s="8"/>
      <c r="F61" s="8"/>
      <c r="G61" s="8" t="str">
        <f t="shared" si="1"/>
        <v/>
      </c>
      <c r="H61" s="8" t="str">
        <f t="shared" si="2"/>
        <v/>
      </c>
      <c r="I61" s="54"/>
    </row>
    <row r="62">
      <c r="B62" s="85"/>
      <c r="D62" s="8"/>
      <c r="E62" s="8"/>
      <c r="F62" s="8"/>
      <c r="G62" s="8" t="str">
        <f t="shared" si="1"/>
        <v/>
      </c>
      <c r="H62" s="8" t="str">
        <f t="shared" si="2"/>
        <v/>
      </c>
      <c r="I62" s="54"/>
    </row>
    <row r="63">
      <c r="B63" s="85"/>
      <c r="D63" s="8"/>
      <c r="E63" s="8"/>
      <c r="F63" s="8"/>
      <c r="G63" s="8" t="str">
        <f t="shared" si="1"/>
        <v/>
      </c>
      <c r="H63" s="8" t="str">
        <f t="shared" si="2"/>
        <v/>
      </c>
      <c r="I63" s="54"/>
    </row>
    <row r="64">
      <c r="B64" s="85"/>
      <c r="D64" s="8"/>
      <c r="E64" s="8"/>
      <c r="F64" s="8"/>
      <c r="G64" s="8" t="str">
        <f t="shared" si="1"/>
        <v/>
      </c>
      <c r="H64" s="8" t="str">
        <f t="shared" si="2"/>
        <v/>
      </c>
      <c r="I64" s="54"/>
    </row>
    <row r="65">
      <c r="B65" s="85"/>
      <c r="D65" s="8"/>
      <c r="E65" s="8"/>
      <c r="F65" s="8"/>
      <c r="G65" s="8" t="str">
        <f t="shared" si="1"/>
        <v/>
      </c>
      <c r="H65" s="8" t="str">
        <f t="shared" si="2"/>
        <v/>
      </c>
      <c r="I65" s="54"/>
    </row>
    <row r="66">
      <c r="B66" s="85"/>
      <c r="D66" s="8"/>
      <c r="E66" s="8"/>
      <c r="F66" s="8"/>
      <c r="G66" s="8" t="str">
        <f t="shared" si="1"/>
        <v/>
      </c>
      <c r="H66" s="8" t="str">
        <f t="shared" si="2"/>
        <v/>
      </c>
      <c r="I66" s="54"/>
    </row>
    <row r="67">
      <c r="B67" s="85"/>
      <c r="D67" s="8"/>
      <c r="E67" s="8"/>
      <c r="F67" s="8"/>
      <c r="G67" s="8" t="str">
        <f t="shared" si="1"/>
        <v/>
      </c>
      <c r="H67" s="8" t="str">
        <f t="shared" si="2"/>
        <v/>
      </c>
      <c r="I67" s="54"/>
    </row>
    <row r="68">
      <c r="B68" s="85"/>
      <c r="D68" s="8"/>
      <c r="E68" s="8"/>
      <c r="F68" s="8"/>
      <c r="G68" s="8" t="str">
        <f t="shared" si="1"/>
        <v/>
      </c>
      <c r="H68" s="8" t="str">
        <f t="shared" si="2"/>
        <v/>
      </c>
      <c r="I68" s="54"/>
    </row>
    <row r="69">
      <c r="B69" s="85"/>
      <c r="D69" s="8"/>
      <c r="E69" s="8"/>
      <c r="F69" s="8"/>
      <c r="G69" s="8" t="str">
        <f t="shared" si="1"/>
        <v/>
      </c>
      <c r="H69" s="8" t="str">
        <f t="shared" si="2"/>
        <v/>
      </c>
      <c r="I69" s="54"/>
    </row>
    <row r="70">
      <c r="B70" s="85"/>
      <c r="D70" s="8"/>
      <c r="E70" s="8"/>
      <c r="F70" s="8"/>
      <c r="G70" s="8" t="str">
        <f t="shared" si="1"/>
        <v/>
      </c>
      <c r="H70" s="8" t="str">
        <f t="shared" si="2"/>
        <v/>
      </c>
      <c r="I70" s="54"/>
    </row>
    <row r="71">
      <c r="B71" s="85"/>
      <c r="D71" s="8"/>
      <c r="E71" s="8"/>
      <c r="F71" s="8"/>
      <c r="G71" s="8" t="str">
        <f t="shared" si="1"/>
        <v/>
      </c>
      <c r="H71" s="8" t="str">
        <f t="shared" si="2"/>
        <v/>
      </c>
      <c r="I71" s="54"/>
    </row>
    <row r="72">
      <c r="B72" s="85"/>
      <c r="D72" s="8"/>
      <c r="E72" s="8"/>
      <c r="F72" s="8"/>
      <c r="G72" s="8" t="str">
        <f t="shared" si="1"/>
        <v/>
      </c>
      <c r="H72" s="8" t="str">
        <f t="shared" si="2"/>
        <v/>
      </c>
      <c r="I72" s="54"/>
    </row>
    <row r="73">
      <c r="B73" s="85"/>
      <c r="D73" s="8"/>
      <c r="E73" s="8"/>
      <c r="F73" s="8"/>
      <c r="G73" s="8" t="str">
        <f t="shared" si="1"/>
        <v/>
      </c>
      <c r="H73" s="8" t="str">
        <f t="shared" si="2"/>
        <v/>
      </c>
      <c r="I73" s="5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148</v>
      </c>
    </row>
    <row r="4">
      <c r="A4" s="5" t="s">
        <v>0</v>
      </c>
    </row>
    <row r="5">
      <c r="A5" s="5" t="s">
        <v>149</v>
      </c>
      <c r="B5" s="5" t="s">
        <v>150</v>
      </c>
      <c r="C5" s="5" t="s">
        <v>151</v>
      </c>
      <c r="D5" s="5" t="s">
        <v>152</v>
      </c>
      <c r="E5" s="5" t="s">
        <v>153</v>
      </c>
    </row>
    <row r="6">
      <c r="A6" s="3" t="s">
        <v>2</v>
      </c>
      <c r="B6" s="3" t="s">
        <v>32</v>
      </c>
      <c r="C6" s="3" t="s">
        <v>154</v>
      </c>
      <c r="D6" s="12">
        <v>10.0</v>
      </c>
      <c r="E6" s="3" t="s">
        <v>155</v>
      </c>
    </row>
    <row r="8">
      <c r="A8" s="3" t="s">
        <v>156</v>
      </c>
      <c r="B8" s="12">
        <v>1201.0</v>
      </c>
    </row>
    <row r="10">
      <c r="A10" s="5" t="s">
        <v>157</v>
      </c>
    </row>
    <row r="11">
      <c r="A11" s="5" t="s">
        <v>158</v>
      </c>
      <c r="B11" s="5" t="s">
        <v>159</v>
      </c>
      <c r="C11" s="5" t="s">
        <v>160</v>
      </c>
      <c r="D11" s="5" t="s">
        <v>161</v>
      </c>
      <c r="E11" s="5" t="s">
        <v>162</v>
      </c>
      <c r="F11" s="5" t="s">
        <v>163</v>
      </c>
      <c r="G11" s="5" t="s">
        <v>164</v>
      </c>
    </row>
    <row r="12">
      <c r="A12" s="3" t="s">
        <v>165</v>
      </c>
      <c r="B12" s="92">
        <v>46101.0</v>
      </c>
      <c r="C12" s="12">
        <v>17.0</v>
      </c>
      <c r="D12" s="12">
        <v>10.0</v>
      </c>
      <c r="E12" s="93">
        <f>D12/C12</f>
        <v>0.5882352941</v>
      </c>
      <c r="F12" s="29">
        <f>$B$8</f>
        <v>1201</v>
      </c>
      <c r="G12" s="8">
        <f>E12*F12</f>
        <v>706.4705882</v>
      </c>
    </row>
    <row r="13">
      <c r="A13" s="5" t="s">
        <v>21</v>
      </c>
      <c r="B13" s="7"/>
      <c r="C13" s="7">
        <f t="shared" ref="C13:D13" si="1">SUM(C12)</f>
        <v>17</v>
      </c>
      <c r="D13" s="7">
        <f t="shared" si="1"/>
        <v>10</v>
      </c>
      <c r="E13" s="94"/>
      <c r="F13" s="7"/>
      <c r="G13" s="88">
        <f>SUM(G12)</f>
        <v>706.4705882</v>
      </c>
    </row>
    <row r="15">
      <c r="A15" s="5" t="s">
        <v>166</v>
      </c>
    </row>
    <row r="16">
      <c r="A16" s="5" t="s">
        <v>149</v>
      </c>
      <c r="B16" s="5" t="s">
        <v>167</v>
      </c>
      <c r="C16" s="5" t="s">
        <v>164</v>
      </c>
      <c r="D16" s="5" t="s">
        <v>152</v>
      </c>
    </row>
    <row r="17">
      <c r="A17" s="3" t="s">
        <v>2</v>
      </c>
      <c r="B17" s="3" t="s">
        <v>168</v>
      </c>
      <c r="C17" s="8">
        <f>G13</f>
        <v>706.4705882</v>
      </c>
      <c r="D17" s="29">
        <f>D13</f>
        <v>10</v>
      </c>
    </row>
    <row r="19">
      <c r="A19" s="3" t="s">
        <v>169</v>
      </c>
    </row>
    <row r="20">
      <c r="A20" s="5" t="s">
        <v>170</v>
      </c>
      <c r="B20" s="5" t="s">
        <v>150</v>
      </c>
      <c r="C20" s="5" t="s">
        <v>117</v>
      </c>
      <c r="D20" s="5" t="s">
        <v>171</v>
      </c>
      <c r="E20" s="5" t="s">
        <v>149</v>
      </c>
    </row>
    <row r="21">
      <c r="A21" s="3">
        <v>228026.0</v>
      </c>
      <c r="B21" s="3" t="s">
        <v>32</v>
      </c>
      <c r="C21" s="3" t="s">
        <v>172</v>
      </c>
      <c r="D21" s="92">
        <v>46101.0</v>
      </c>
      <c r="E21" s="3" t="s">
        <v>2</v>
      </c>
    </row>
    <row r="22">
      <c r="A22" s="3">
        <v>228459.0</v>
      </c>
      <c r="B22" s="3" t="s">
        <v>32</v>
      </c>
      <c r="C22" s="3" t="s">
        <v>172</v>
      </c>
      <c r="D22" s="92">
        <v>46101.0</v>
      </c>
      <c r="E22" s="3" t="s">
        <v>2</v>
      </c>
    </row>
    <row r="23">
      <c r="A23" s="3">
        <v>228051.0</v>
      </c>
      <c r="B23" s="3" t="s">
        <v>32</v>
      </c>
      <c r="C23" s="3" t="s">
        <v>172</v>
      </c>
      <c r="D23" s="92">
        <v>46101.0</v>
      </c>
      <c r="E23" s="3" t="s">
        <v>2</v>
      </c>
    </row>
    <row r="24">
      <c r="A24" s="3">
        <v>228065.0</v>
      </c>
      <c r="B24" s="3" t="s">
        <v>32</v>
      </c>
      <c r="C24" s="3" t="s">
        <v>172</v>
      </c>
      <c r="D24" s="92">
        <v>46101.0</v>
      </c>
      <c r="E24" s="3" t="s">
        <v>2</v>
      </c>
    </row>
    <row r="25">
      <c r="A25" s="3">
        <v>228077.0</v>
      </c>
      <c r="B25" s="3" t="s">
        <v>32</v>
      </c>
      <c r="C25" s="3" t="s">
        <v>172</v>
      </c>
      <c r="D25" s="92">
        <v>46101.0</v>
      </c>
      <c r="E25" s="3" t="s">
        <v>2</v>
      </c>
    </row>
    <row r="26">
      <c r="A26" s="3">
        <v>228021.0</v>
      </c>
      <c r="B26" s="3" t="s">
        <v>32</v>
      </c>
      <c r="C26" s="3" t="s">
        <v>172</v>
      </c>
      <c r="D26" s="92">
        <v>46101.0</v>
      </c>
      <c r="E26" s="3" t="s">
        <v>2</v>
      </c>
    </row>
    <row r="27">
      <c r="A27" s="3">
        <v>228032.0</v>
      </c>
      <c r="B27" s="3" t="s">
        <v>32</v>
      </c>
      <c r="C27" s="3" t="s">
        <v>172</v>
      </c>
      <c r="D27" s="92">
        <v>46101.0</v>
      </c>
      <c r="E27" s="3" t="s">
        <v>2</v>
      </c>
    </row>
    <row r="28">
      <c r="A28" s="3">
        <v>300018.0</v>
      </c>
      <c r="B28" s="3" t="s">
        <v>32</v>
      </c>
      <c r="C28" s="3" t="s">
        <v>173</v>
      </c>
      <c r="D28" s="92">
        <v>46101.0</v>
      </c>
      <c r="E28" s="3" t="s">
        <v>2</v>
      </c>
    </row>
    <row r="29">
      <c r="A29" s="3">
        <v>300014.0</v>
      </c>
      <c r="B29" s="3" t="s">
        <v>32</v>
      </c>
      <c r="C29" s="3" t="s">
        <v>173</v>
      </c>
      <c r="D29" s="92">
        <v>46101.0</v>
      </c>
      <c r="E29" s="3" t="s">
        <v>2</v>
      </c>
    </row>
    <row r="30">
      <c r="A30" s="3">
        <v>300010.0</v>
      </c>
      <c r="B30" s="3" t="s">
        <v>32</v>
      </c>
      <c r="C30" s="3" t="s">
        <v>174</v>
      </c>
      <c r="D30" s="92">
        <v>46101.0</v>
      </c>
      <c r="E30" s="3" t="s">
        <v>2</v>
      </c>
    </row>
  </sheetData>
  <drawing r:id="rId1"/>
</worksheet>
</file>