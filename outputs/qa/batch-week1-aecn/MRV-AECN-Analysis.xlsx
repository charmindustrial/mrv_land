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Summary Statistics" sheetId="2" state="visible" r:id="rId4"/>
  </sheets>
  <definedNames>
    <definedName function="false" hidden="true" localSheetId="0" name="_xlnm._FilterDatabase" vbProcedure="false">Data!$A$1:$AJ$440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<sst xmlns="http://schemas.openxmlformats.org/spreadsheetml/2006/main" count="7928" uniqueCount="1622">
  <si>
    <t xml:space="preserve">Unique Sample ID</t>
  </si>
  <si>
    <t xml:space="preserve">Generation Date</t>
  </si>
  <si>
    <t xml:space="preserve">Function</t>
  </si>
  <si>
    <t xml:space="preserve">Client ID</t>
  </si>
  <si>
    <t xml:space="preserve">Sample Type</t>
  </si>
  <si>
    <t xml:space="preserve">Offtake</t>
  </si>
  <si>
    <t xml:space="preserve">Status</t>
  </si>
  <si>
    <t xml:space="preserve">Analysis Type(s)</t>
  </si>
  <si>
    <t xml:space="preserve">Lab</t>
  </si>
  <si>
    <t xml:space="preserve">Source Location</t>
  </si>
  <si>
    <t xml:space="preserve">System</t>
  </si>
  <si>
    <t xml:space="preserve">Collection Date &amp; Time</t>
  </si>
  <si>
    <t xml:space="preserve">Batch ID</t>
  </si>
  <si>
    <t xml:space="preserve">Feedstock</t>
  </si>
  <si>
    <t xml:space="preserve">Processing</t>
  </si>
  <si>
    <t xml:space="preserve">Report to</t>
  </si>
  <si>
    <t xml:space="preserve">Jira Ticket No.</t>
  </si>
  <si>
    <t xml:space="preserve">Jira</t>
  </si>
  <si>
    <t xml:space="preserve">Raw Data</t>
  </si>
  <si>
    <t xml:space="preserve">C (%)</t>
  </si>
  <si>
    <t xml:space="preserve">H (%)</t>
  </si>
  <si>
    <t xml:space="preserve">N (%)</t>
  </si>
  <si>
    <t xml:space="preserve">H2O (%)</t>
  </si>
  <si>
    <t xml:space="preserve">C [dry] (%)</t>
  </si>
  <si>
    <t xml:space="preserve">H [dry] (%)</t>
  </si>
  <si>
    <t xml:space="preserve">N [dry] (%)</t>
  </si>
  <si>
    <t xml:space="preserve">Moisture (%)</t>
  </si>
  <si>
    <t xml:space="preserve">Basis</t>
  </si>
  <si>
    <t xml:space="preserve">Ash (%)</t>
  </si>
  <si>
    <t xml:space="preserve">Volatile matter (%)</t>
  </si>
  <si>
    <t xml:space="preserve">Fixed carbon (%)</t>
  </si>
  <si>
    <t xml:space="preserve">Density (15C) (g/cm3)</t>
  </si>
  <si>
    <t xml:space="preserve">Viscosity, Kin. (40C) (cSt)</t>
  </si>
  <si>
    <t xml:space="preserve">Viscosity, Dyn. (40C) (cP)</t>
  </si>
  <si>
    <t xml:space="preserve">Solids (wt %)</t>
  </si>
  <si>
    <t xml:space="preserve">Note</t>
  </si>
  <si>
    <t xml:space="preserve">20251215-S03192</t>
  </si>
  <si>
    <t xml:space="preserve">2025-12-15</t>
  </si>
  <si>
    <t xml:space="preserve">MRV</t>
  </si>
  <si>
    <t xml:space="preserve">BATCH 2-122</t>
  </si>
  <si>
    <t xml:space="preserve">Bio-oil</t>
  </si>
  <si>
    <t xml:space="preserve">AECN</t>
  </si>
  <si>
    <t xml:space="preserve">Done</t>
  </si>
  <si>
    <t xml:space="preserve">CHN,TAN,Density,K. Viscosity</t>
  </si>
  <si>
    <t xml:space="preserve">SGS</t>
  </si>
  <si>
    <t xml:space="preserve">LA Basco</t>
  </si>
  <si>
    <t xml:space="preserve">2025-12-15 11:15</t>
  </si>
  <si>
    <t xml:space="preserve">200122</t>
  </si>
  <si>
    <t xml:space="preserve">Sawdust (AECN)</t>
  </si>
  <si>
    <t xml:space="preserve">Sparged</t>
  </si>
  <si>
    <t xml:space="preserve">Max,Garrett</t>
  </si>
  <si>
    <t xml:space="preserve">https://drive.google.com/drive/folders/1uWluJJmMt6niPk0DLCYO3C8PswtRdPOC?usp=drive_link</t>
  </si>
  <si>
    <t xml:space="preserve">&lt;0.75</t>
  </si>
  <si>
    <t xml:space="preserve">20251212-S03191</t>
  </si>
  <si>
    <t xml:space="preserve">2025-12-12</t>
  </si>
  <si>
    <t xml:space="preserve">BATCH 2-121</t>
  </si>
  <si>
    <t xml:space="preserve">2025-12-12 08:00</t>
  </si>
  <si>
    <t xml:space="preserve">200121</t>
  </si>
  <si>
    <t xml:space="preserve">20251209-S03190</t>
  </si>
  <si>
    <t xml:space="preserve">2025-12-09</t>
  </si>
  <si>
    <t xml:space="preserve">BATCH 2-120</t>
  </si>
  <si>
    <t xml:space="preserve">2025-12-09 09:45</t>
  </si>
  <si>
    <t xml:space="preserve">200120</t>
  </si>
  <si>
    <t xml:space="preserve">20251106-S03021</t>
  </si>
  <si>
    <t xml:space="preserve">2025-11-06</t>
  </si>
  <si>
    <t xml:space="preserve">BATCH 2-119</t>
  </si>
  <si>
    <t xml:space="preserve">2025-11-06 16:40</t>
  </si>
  <si>
    <t xml:space="preserve">200119</t>
  </si>
  <si>
    <t xml:space="preserve">https://drive.google.com/drive/folders/1IOLUv0PxfKQ3zdbnEhjj_sbEidjH3GsW?usp=drive_link</t>
  </si>
  <si>
    <t xml:space="preserve">20251030-S02905</t>
  </si>
  <si>
    <t xml:space="preserve">2025-10-30</t>
  </si>
  <si>
    <t xml:space="preserve">BATCH 2-118</t>
  </si>
  <si>
    <t xml:space="preserve">2025-10-30 06:15</t>
  </si>
  <si>
    <t xml:space="preserve">200118</t>
  </si>
  <si>
    <t xml:space="preserve">https://drive.google.com/drive/folders/1WbmcKqJnK8T7Y21u5kEcG7en3wOfXQ8l?usp=drive_link</t>
  </si>
  <si>
    <t xml:space="preserve">20251029-S02904</t>
  </si>
  <si>
    <t xml:space="preserve">2025-10-29</t>
  </si>
  <si>
    <t xml:space="preserve">BATCH 2-117</t>
  </si>
  <si>
    <t xml:space="preserve">2025-10-29 14:00</t>
  </si>
  <si>
    <t xml:space="preserve">200117</t>
  </si>
  <si>
    <t xml:space="preserve">20251028-S02903</t>
  </si>
  <si>
    <t xml:space="preserve">2025-10-28</t>
  </si>
  <si>
    <t xml:space="preserve">BATCH 2-116</t>
  </si>
  <si>
    <t xml:space="preserve">2025-10-28 08:30</t>
  </si>
  <si>
    <t xml:space="preserve">200116</t>
  </si>
  <si>
    <t xml:space="preserve">20251017-S02838</t>
  </si>
  <si>
    <t xml:space="preserve">2025-10-17</t>
  </si>
  <si>
    <t xml:space="preserve">BATCH 2-115</t>
  </si>
  <si>
    <t xml:space="preserve">2025-10-17 04:00</t>
  </si>
  <si>
    <t xml:space="preserve">200115</t>
  </si>
  <si>
    <t xml:space="preserve">https://drive.google.com/drive/folders/1rgxyXdHhIdpJV6o748WzBPs20Ukcne01?usp=drive_link</t>
  </si>
  <si>
    <t xml:space="preserve">20251016-S02837</t>
  </si>
  <si>
    <t xml:space="preserve">2025-10-16</t>
  </si>
  <si>
    <t xml:space="preserve">BATCH 2-114</t>
  </si>
  <si>
    <t xml:space="preserve">2025-10-16 07:00</t>
  </si>
  <si>
    <t xml:space="preserve">200114</t>
  </si>
  <si>
    <t xml:space="preserve">20250925-S02729</t>
  </si>
  <si>
    <t xml:space="preserve">2025-09-25</t>
  </si>
  <si>
    <t xml:space="preserve">BATCH 2-113</t>
  </si>
  <si>
    <t xml:space="preserve">2025-09-25 07:00</t>
  </si>
  <si>
    <t xml:space="preserve">200113</t>
  </si>
  <si>
    <t xml:space="preserve">https://drive.google.com/drive/folders/1n12Zuanab1iH0ViXyeUL87GOUAXFLOav?usp=drive_link</t>
  </si>
  <si>
    <t xml:space="preserve">20250923-S02728</t>
  </si>
  <si>
    <t xml:space="preserve">2025-09-23</t>
  </si>
  <si>
    <t xml:space="preserve">BATCH 2-112</t>
  </si>
  <si>
    <t xml:space="preserve">2025-09-23 12:30</t>
  </si>
  <si>
    <t xml:space="preserve">200112</t>
  </si>
  <si>
    <t xml:space="preserve">20250918-S02727</t>
  </si>
  <si>
    <t xml:space="preserve">2025-09-18</t>
  </si>
  <si>
    <t xml:space="preserve">BATCH 2-111</t>
  </si>
  <si>
    <t xml:space="preserve">2025-09-18 06:00</t>
  </si>
  <si>
    <t xml:space="preserve">200111</t>
  </si>
  <si>
    <t xml:space="preserve">https://drive.google.com/drive/folders/1ht9n0nxswJPfUboBWg5Ekfj8SeUG69Tw?usp=drive_link</t>
  </si>
  <si>
    <t xml:space="preserve">20250918-S02726</t>
  </si>
  <si>
    <t xml:space="preserve">BATCH 2-110</t>
  </si>
  <si>
    <t xml:space="preserve">200110</t>
  </si>
  <si>
    <t xml:space="preserve">20250915-S02725</t>
  </si>
  <si>
    <t xml:space="preserve">2025-09-15</t>
  </si>
  <si>
    <t xml:space="preserve">BATCH 2-109</t>
  </si>
  <si>
    <t xml:space="preserve">2025-09-15 11:30</t>
  </si>
  <si>
    <t xml:space="preserve">200109</t>
  </si>
  <si>
    <t xml:space="preserve">20250911-S02724</t>
  </si>
  <si>
    <t xml:space="preserve">2025-09-11</t>
  </si>
  <si>
    <t xml:space="preserve">BATCH 2-108</t>
  </si>
  <si>
    <t xml:space="preserve">2025-09-11 07:00</t>
  </si>
  <si>
    <t xml:space="preserve">200108</t>
  </si>
  <si>
    <t xml:space="preserve">20250908-S02695</t>
  </si>
  <si>
    <t xml:space="preserve">2025-09-08</t>
  </si>
  <si>
    <t xml:space="preserve">BATCH 2-107 AECN</t>
  </si>
  <si>
    <t xml:space="preserve">2025-09-08 00:00</t>
  </si>
  <si>
    <t xml:space="preserve">200107</t>
  </si>
  <si>
    <t xml:space="preserve">https://drive.google.com/drive/folders/1xceNicoNxjPqvCLCOuT7NylZRrK91VTl?usp=drive_link</t>
  </si>
  <si>
    <t xml:space="preserve">20250904-S02694</t>
  </si>
  <si>
    <t xml:space="preserve">2025-09-04</t>
  </si>
  <si>
    <t xml:space="preserve">BATCH 2-106 AECN</t>
  </si>
  <si>
    <t xml:space="preserve">2025-09-04 00:00</t>
  </si>
  <si>
    <t xml:space="preserve">200106</t>
  </si>
  <si>
    <t xml:space="preserve">20250903-S02693</t>
  </si>
  <si>
    <t xml:space="preserve">2025-09-03</t>
  </si>
  <si>
    <t xml:space="preserve">BATCH 2-105 AECN</t>
  </si>
  <si>
    <t xml:space="preserve">2025-09-03 00:00</t>
  </si>
  <si>
    <t xml:space="preserve">200105</t>
  </si>
  <si>
    <t xml:space="preserve">20250826-S02692</t>
  </si>
  <si>
    <t xml:space="preserve">2025-08-26</t>
  </si>
  <si>
    <t xml:space="preserve">BATCH 2-104 AECN</t>
  </si>
  <si>
    <t xml:space="preserve">2025-08-26 14:20</t>
  </si>
  <si>
    <t xml:space="preserve">200104</t>
  </si>
  <si>
    <t xml:space="preserve">https://drive.google.com/drive/folders/19Yc3d7xf0Y6u1KSVQaqZbu0SazRkag51?usp=drive_link</t>
  </si>
  <si>
    <t xml:space="preserve">20250812-S02651</t>
  </si>
  <si>
    <t xml:space="preserve">2025-08-12</t>
  </si>
  <si>
    <t xml:space="preserve">Batch 2-103</t>
  </si>
  <si>
    <t xml:space="preserve">2025-08-12 12:30</t>
  </si>
  <si>
    <t xml:space="preserve">200103</t>
  </si>
  <si>
    <t xml:space="preserve">CAR-382</t>
  </si>
  <si>
    <t xml:space="preserve">https://charmindustrial.atlassian.net/browse/CAR-382</t>
  </si>
  <si>
    <t xml:space="preserve">https://drive.google.com/drive/folders/1ofteVlEb86Ym_dCbaqsJY1z1buK46cK2?usp=drive_link</t>
  </si>
  <si>
    <t xml:space="preserve">20250708-S02529</t>
  </si>
  <si>
    <t xml:space="preserve">2025-07-08</t>
  </si>
  <si>
    <t xml:space="preserve">Final MRV #1 Batch 2-102</t>
  </si>
  <si>
    <t xml:space="preserve">TAN,Density</t>
  </si>
  <si>
    <t xml:space="preserve">KS</t>
  </si>
  <si>
    <t xml:space="preserve">2025-07-08 08:00</t>
  </si>
  <si>
    <t xml:space="preserve">200102</t>
  </si>
  <si>
    <t xml:space="preserve">Sparged,Salted,LCS</t>
  </si>
  <si>
    <t xml:space="preserve">CAR-360</t>
  </si>
  <si>
    <t xml:space="preserve">https://charmindustrial.atlassian.net/browse/CAR-360?atlOrigin=eyJpIjoiNWI5M2RjZGQ3MzQ2NDg2ZGIyOTI4MDc5ZjkzYmIwZTEiLCJwIjoiaiJ9</t>
  </si>
  <si>
    <t xml:space="preserve">https://drive.google.com/drive/folders/1-inaOvENXscZRbKTj1adTx3VPDYqmt0h?usp=drive_link</t>
  </si>
  <si>
    <t xml:space="preserve">20250707-S02527</t>
  </si>
  <si>
    <t xml:space="preserve">2025-07-07</t>
  </si>
  <si>
    <t xml:space="preserve">Final MRV #1 Batch 2-101-2</t>
  </si>
  <si>
    <t xml:space="preserve">2025-07-07 08:30</t>
  </si>
  <si>
    <t xml:space="preserve">200101-2</t>
  </si>
  <si>
    <t xml:space="preserve">20250706-S02526</t>
  </si>
  <si>
    <t xml:space="preserve">2025-07-06</t>
  </si>
  <si>
    <t xml:space="preserve">Post Sparged #1 Batch 2-101-2</t>
  </si>
  <si>
    <t xml:space="preserve">CHN,H2O</t>
  </si>
  <si>
    <t xml:space="preserve">2025-07-06 13:40</t>
  </si>
  <si>
    <t xml:space="preserve">20250703-S02528</t>
  </si>
  <si>
    <t xml:space="preserve">2025-07-03</t>
  </si>
  <si>
    <t xml:space="preserve">Post Sparged #1 Batch 2-102</t>
  </si>
  <si>
    <t xml:space="preserve">2025-07-03 07:21</t>
  </si>
  <si>
    <t xml:space="preserve">20250703-S02525</t>
  </si>
  <si>
    <t xml:space="preserve">Final MRV #1 Batch 2-101-1</t>
  </si>
  <si>
    <t xml:space="preserve">2025-07-03 08:16</t>
  </si>
  <si>
    <t xml:space="preserve">200101-1</t>
  </si>
  <si>
    <t xml:space="preserve">https://drive.google.com/drive/folders/1ZN9txe9dmn4ybApz_Vks2Zb0W0qVoceA?usp=drive_link</t>
  </si>
  <si>
    <t xml:space="preserve">20250702-S02524</t>
  </si>
  <si>
    <t xml:space="preserve">2025-07-02</t>
  </si>
  <si>
    <t xml:space="preserve">Post Sparged #1 Batch 2-101-1</t>
  </si>
  <si>
    <t xml:space="preserve">2025-07-02 11:42</t>
  </si>
  <si>
    <t xml:space="preserve">20250702-S02523</t>
  </si>
  <si>
    <t xml:space="preserve">Final MRV #1 Batch 2-100</t>
  </si>
  <si>
    <t xml:space="preserve">2025-07-02 08:20</t>
  </si>
  <si>
    <t xml:space="preserve">200100</t>
  </si>
  <si>
    <t xml:space="preserve">20250701-S02522</t>
  </si>
  <si>
    <t xml:space="preserve">2025-07-01</t>
  </si>
  <si>
    <t xml:space="preserve">Post Sparged #1 Batch 2-100</t>
  </si>
  <si>
    <t xml:space="preserve">2025-07-01 05:00</t>
  </si>
  <si>
    <t xml:space="preserve">20250701-S02478</t>
  </si>
  <si>
    <t xml:space="preserve">Final MRV #1 Batch 2-99</t>
  </si>
  <si>
    <t xml:space="preserve">2025-07-01 07:55</t>
  </si>
  <si>
    <t xml:space="preserve">200099</t>
  </si>
  <si>
    <t xml:space="preserve">CAR-355</t>
  </si>
  <si>
    <t xml:space="preserve">https://charmindustrial.atlassian.net/browse/CAR-355?atlOrigin=eyJpIjoiOTk3MWJiMjYyMzkwNDBkYzlhYjg4YmNkYTZlNTA5NDIiLCJwIjoiaiJ9</t>
  </si>
  <si>
    <t xml:space="preserve">https://drive.google.com/drive/folders/1a2JyJaoJL2WCFNnrEzYqUXGruvKQmGFd?usp=drive_link</t>
  </si>
  <si>
    <t xml:space="preserve">20250627-S02477</t>
  </si>
  <si>
    <t xml:space="preserve">2025-06-27</t>
  </si>
  <si>
    <t xml:space="preserve">Post Sparged #1 Batch 2-99</t>
  </si>
  <si>
    <t xml:space="preserve">2025-06-27 09:32</t>
  </si>
  <si>
    <t xml:space="preserve">20250522-S02413</t>
  </si>
  <si>
    <t xml:space="preserve">2025-05-22</t>
  </si>
  <si>
    <t xml:space="preserve">Final MRV #1 Batch 2-98</t>
  </si>
  <si>
    <t xml:space="preserve">2025-05-22 08:20</t>
  </si>
  <si>
    <t xml:space="preserve">200098</t>
  </si>
  <si>
    <t xml:space="preserve">CAR-338</t>
  </si>
  <si>
    <t xml:space="preserve">https://charmindustrial.atlassian.net/browse/CAR-338</t>
  </si>
  <si>
    <t xml:space="preserve">https://drive.google.com/drive/folders/1vWq0nVLqZ5-Z7kh0QtEK09Bz27ECzm3h?usp=drive_link</t>
  </si>
  <si>
    <t xml:space="preserve">20250520-S02412</t>
  </si>
  <si>
    <t xml:space="preserve">2025-05-20</t>
  </si>
  <si>
    <t xml:space="preserve">Post Sparged #1 Batch 2-98</t>
  </si>
  <si>
    <t xml:space="preserve">2025-05-20 13:30</t>
  </si>
  <si>
    <t xml:space="preserve">20250520-S02409</t>
  </si>
  <si>
    <t xml:space="preserve">Final MRV #1 Batch 2-97</t>
  </si>
  <si>
    <t xml:space="preserve">2025-05-20 08:05</t>
  </si>
  <si>
    <t xml:space="preserve">200097</t>
  </si>
  <si>
    <t xml:space="preserve">CAR-335</t>
  </si>
  <si>
    <t xml:space="preserve">https://charmindustrial.atlassian.net/browse/CAR-335</t>
  </si>
  <si>
    <t xml:space="preserve">https://drive.google.com/drive/folders/1LEAwG2jJaCmEzuGdnh2XDcJK9PMWwEPa?usp=drive_link</t>
  </si>
  <si>
    <t xml:space="preserve">20250518-S02408</t>
  </si>
  <si>
    <t xml:space="preserve">2025-05-18</t>
  </si>
  <si>
    <t xml:space="preserve">Final Sparge #1 Batch 2-97</t>
  </si>
  <si>
    <t xml:space="preserve">2025-05-18 12:17</t>
  </si>
  <si>
    <t xml:space="preserve">20250516-S02407</t>
  </si>
  <si>
    <t xml:space="preserve">2025-05-16</t>
  </si>
  <si>
    <t xml:space="preserve">Final MRV #1 Batch 2-96</t>
  </si>
  <si>
    <t xml:space="preserve">2025-05-16 08:53</t>
  </si>
  <si>
    <t xml:space="preserve">200096</t>
  </si>
  <si>
    <t xml:space="preserve">CAR-334</t>
  </si>
  <si>
    <t xml:space="preserve">https://charmindustrial.atlassian.net/browse/CAR-334</t>
  </si>
  <si>
    <t xml:space="preserve">20250515-S02405</t>
  </si>
  <si>
    <t xml:space="preserve">2025-05-15</t>
  </si>
  <si>
    <t xml:space="preserve">Final MRV #1 Batch 2-95</t>
  </si>
  <si>
    <t xml:space="preserve">2025-05-15 08:15</t>
  </si>
  <si>
    <t xml:space="preserve">200095</t>
  </si>
  <si>
    <t xml:space="preserve">20250514-S02406</t>
  </si>
  <si>
    <t xml:space="preserve">2025-05-14</t>
  </si>
  <si>
    <t xml:space="preserve">Final Sparge #1 Batch 2-96</t>
  </si>
  <si>
    <t xml:space="preserve">2025-05-14 22:45</t>
  </si>
  <si>
    <t xml:space="preserve">20250513-S02404</t>
  </si>
  <si>
    <t xml:space="preserve">2025-05-13</t>
  </si>
  <si>
    <t xml:space="preserve">Final Sparge #1 Batch 2-95</t>
  </si>
  <si>
    <t xml:space="preserve">2025-05-13 18:02</t>
  </si>
  <si>
    <t xml:space="preserve">20250508-S02378</t>
  </si>
  <si>
    <t xml:space="preserve">2025-05-08</t>
  </si>
  <si>
    <t xml:space="preserve">Final MRV #1 Batch 2-94</t>
  </si>
  <si>
    <t xml:space="preserve">2025-05-08 08:12</t>
  </si>
  <si>
    <t xml:space="preserve">200094</t>
  </si>
  <si>
    <t xml:space="preserve">CAR-322</t>
  </si>
  <si>
    <t xml:space="preserve">https://charmindustrial.atlassian.net/browse/CAR-322?atlOrigin=eyJpIjoiNDQzMTI5Mzc4YmYzNGMxZGJjNDE4ZjMzMGRiZjMxMTUiLCJwIjoiaiJ9</t>
  </si>
  <si>
    <t xml:space="preserve">https://drive.google.com/drive/folders/1opBi9Ud3u-2EsCyE-kyFa3BoKlcbdF3F?usp=drive_link</t>
  </si>
  <si>
    <t xml:space="preserve">20250504-S02377</t>
  </si>
  <si>
    <t xml:space="preserve">2025-05-04</t>
  </si>
  <si>
    <t xml:space="preserve">Final Sparge #1 Batch 2-94</t>
  </si>
  <si>
    <t xml:space="preserve">2025-05-04 21:30</t>
  </si>
  <si>
    <t xml:space="preserve">20250502-S02376</t>
  </si>
  <si>
    <t xml:space="preserve">2025-05-02</t>
  </si>
  <si>
    <t xml:space="preserve">Final MRV #1 Batch 2-93</t>
  </si>
  <si>
    <t xml:space="preserve">2025-05-02 08:52</t>
  </si>
  <si>
    <t xml:space="preserve">200093</t>
  </si>
  <si>
    <t xml:space="preserve">CAR-315</t>
  </si>
  <si>
    <t xml:space="preserve">https://charmindustrial.atlassian.net/browse/CAR-315?atlOrigin=eyJpIjoiNjcxOTM1NWU4MzgwNDQ3NWFmZGI5YzRjOWI1MjMyM2UiLCJwIjoiaiJ9</t>
  </si>
  <si>
    <t xml:space="preserve">https://drive.google.com/drive/folders/1ZqPQIFCsWl-H6tBobCj31CB9g2lsVt7X?usp=drive_link</t>
  </si>
  <si>
    <t xml:space="preserve">20250501-S02375</t>
  </si>
  <si>
    <t xml:space="preserve">2025-05-01</t>
  </si>
  <si>
    <t xml:space="preserve">Final Sparge #1 Batch 2-93</t>
  </si>
  <si>
    <t xml:space="preserve">2025-05-01 02:00</t>
  </si>
  <si>
    <t xml:space="preserve">20250501-S02374</t>
  </si>
  <si>
    <t xml:space="preserve">Final MRV #1 Batch 2-92</t>
  </si>
  <si>
    <t xml:space="preserve">2025-05-01 07:42</t>
  </si>
  <si>
    <t xml:space="preserve">200092</t>
  </si>
  <si>
    <t xml:space="preserve">20250429-S02373</t>
  </si>
  <si>
    <t xml:space="preserve">2025-04-29</t>
  </si>
  <si>
    <t xml:space="preserve">Final Sparge #1 Batch 2-92</t>
  </si>
  <si>
    <t xml:space="preserve">2025-04-29 19:30</t>
  </si>
  <si>
    <t xml:space="preserve">20250429-S02370</t>
  </si>
  <si>
    <t xml:space="preserve">Final MRV #1 Batch 2-91</t>
  </si>
  <si>
    <t xml:space="preserve">2025-04-29 08:15</t>
  </si>
  <si>
    <t xml:space="preserve">200091</t>
  </si>
  <si>
    <t xml:space="preserve">CAR-313</t>
  </si>
  <si>
    <t xml:space="preserve">https://charmindustrial.atlassian.net/browse/CAR-313?atlOrigin=eyJpIjoiMGE2YWQ0ZGJmZDMxNGZhYWI1ZGQ0MTk3NTNkN2VkYjQiLCJwIjoiaiJ9</t>
  </si>
  <si>
    <t xml:space="preserve">https://drive.google.com/drive/folders/1siW8NGNYZlLit3uemqXkGW8RJs3HNUv9?usp=drive_link</t>
  </si>
  <si>
    <t xml:space="preserve">20250427-S02369</t>
  </si>
  <si>
    <t xml:space="preserve">2025-04-27</t>
  </si>
  <si>
    <t xml:space="preserve">Final Sparged #1 Batch 2-91</t>
  </si>
  <si>
    <t xml:space="preserve">2025-04-27 17:30</t>
  </si>
  <si>
    <t xml:space="preserve">20250424-S02366</t>
  </si>
  <si>
    <t xml:space="preserve">2025-04-24</t>
  </si>
  <si>
    <t xml:space="preserve">Final MRV #1 Batch 2-90</t>
  </si>
  <si>
    <t xml:space="preserve">2025-04-24 08:04</t>
  </si>
  <si>
    <t xml:space="preserve">200090</t>
  </si>
  <si>
    <t xml:space="preserve">CAR-311</t>
  </si>
  <si>
    <t xml:space="preserve">https://charmindustrial.atlassian.net/browse/CAR-311?atlOrigin=eyJpIjoiMzA3ODk5NmE4ZmM0NGIzZmFjMTI5ZjFiZjc0ZTQ1ODYiLCJwIjoiaiJ9</t>
  </si>
  <si>
    <t xml:space="preserve">20250421-S02365</t>
  </si>
  <si>
    <t xml:space="preserve">2025-04-21</t>
  </si>
  <si>
    <t xml:space="preserve">Final Sparged #1 Batch 2-90</t>
  </si>
  <si>
    <t xml:space="preserve">2025-04-21 10:32</t>
  </si>
  <si>
    <t xml:space="preserve">20250418-S02362</t>
  </si>
  <si>
    <t xml:space="preserve">2025-04-18</t>
  </si>
  <si>
    <t xml:space="preserve">Final MRV #1 Batch 2-89</t>
  </si>
  <si>
    <t xml:space="preserve">2025-04-18 08:28</t>
  </si>
  <si>
    <t xml:space="preserve">200089</t>
  </si>
  <si>
    <t xml:space="preserve">CAR-307</t>
  </si>
  <si>
    <t xml:space="preserve">https://charmindustrial.atlassian.net/browse/CAR-307?atlOrigin=eyJpIjoiMWY1ZjdiNDNkNjc2NDA2Yjk5MzE5MTU2ZDBjMDFmZTYiLCJwIjoiaiJ9</t>
  </si>
  <si>
    <t xml:space="preserve">https://drive.google.com/drive/folders/1ZGU6M21hm5-9X1VPaNB3xTNaowaKBJTV?usp=drive_link</t>
  </si>
  <si>
    <t xml:space="preserve">20250417-S02361</t>
  </si>
  <si>
    <t xml:space="preserve">2025-04-17</t>
  </si>
  <si>
    <t xml:space="preserve">Final Sparged #1 Batch 2-89</t>
  </si>
  <si>
    <t xml:space="preserve">2025-04-17 15:30</t>
  </si>
  <si>
    <t xml:space="preserve">20250417-S02360</t>
  </si>
  <si>
    <t xml:space="preserve">Final MRV #1 Batch 2-88</t>
  </si>
  <si>
    <t xml:space="preserve">2025-04-17 08:44</t>
  </si>
  <si>
    <t xml:space="preserve">200088</t>
  </si>
  <si>
    <t xml:space="preserve">CAR-306</t>
  </si>
  <si>
    <t xml:space="preserve">https://charmindustrial.atlassian.net/browse/CAR-306?atlOrigin=eyJpIjoiMmEzZTNjMTk2NmVlNDY0ZDk3NTZkZTdkYjE3NTExMmUiLCJwIjoiaiJ9</t>
  </si>
  <si>
    <t xml:space="preserve">https://drive.google.com/drive/folders/1FrbqqKicqUdVv1D0gAmkWbJI1o9Hsl_H?usp=drive_link</t>
  </si>
  <si>
    <t xml:space="preserve">20250416-S02359</t>
  </si>
  <si>
    <t xml:space="preserve">2025-04-16</t>
  </si>
  <si>
    <t xml:space="preserve">Final Sparged #1 Batch 2-88</t>
  </si>
  <si>
    <t xml:space="preserve">2025-04-16 14:15</t>
  </si>
  <si>
    <t xml:space="preserve">20250415-S02358</t>
  </si>
  <si>
    <t xml:space="preserve">2025-04-15</t>
  </si>
  <si>
    <t xml:space="preserve">Final MRV #1 Batch 2-87</t>
  </si>
  <si>
    <t xml:space="preserve">2025-04-15 08:26</t>
  </si>
  <si>
    <t xml:space="preserve">200087</t>
  </si>
  <si>
    <t xml:space="preserve">20250414-S02357</t>
  </si>
  <si>
    <t xml:space="preserve">2025-04-14</t>
  </si>
  <si>
    <t xml:space="preserve">Final Sparged #1 Batch 2-87</t>
  </si>
  <si>
    <t xml:space="preserve">2025-04-14 13:55</t>
  </si>
  <si>
    <t xml:space="preserve">20250414-S02354</t>
  </si>
  <si>
    <t xml:space="preserve">Final MRV #1 Batch 2-86</t>
  </si>
  <si>
    <t xml:space="preserve">2025-04-14 09:14</t>
  </si>
  <si>
    <t xml:space="preserve">200086</t>
  </si>
  <si>
    <t xml:space="preserve">CAR-299</t>
  </si>
  <si>
    <t xml:space="preserve">https://charmindustrial.atlassian.net/browse/CAR-299?atlOrigin=eyJpIjoiYTdkMTY2Y2UzMjgzNDkxNGIzNzdiZTg3YTUzZGFkMmMiLCJwIjoiaiJ9</t>
  </si>
  <si>
    <t xml:space="preserve">https://drive.google.com/drive/folders/1vKZLt2YR-l9cLmmQJ1yalo14UVGNgYP5?usp=drive_link</t>
  </si>
  <si>
    <t xml:space="preserve">20250413-S02353</t>
  </si>
  <si>
    <t xml:space="preserve">2025-04-13</t>
  </si>
  <si>
    <t xml:space="preserve">Final Sparged #1 Batch 2-86</t>
  </si>
  <si>
    <t xml:space="preserve">2025-04-13 07:40</t>
  </si>
  <si>
    <t xml:space="preserve">20250401-S02238</t>
  </si>
  <si>
    <t xml:space="preserve">2025-04-01</t>
  </si>
  <si>
    <t xml:space="preserve"> Batch 2-85 Final MRV #1</t>
  </si>
  <si>
    <t xml:space="preserve">2025-04-01 08:11</t>
  </si>
  <si>
    <t xml:space="preserve">200085</t>
  </si>
  <si>
    <t xml:space="preserve">Max</t>
  </si>
  <si>
    <t xml:space="preserve">CAR-286</t>
  </si>
  <si>
    <t xml:space="preserve">https://charmindustrial.atlassian.net/browse/CAR-286?atlOrigin=eyJpIjoiMzQ0NGVjYmE5NjhhNDljMjljMGY3OGViOGE4NjI1MjciLCJwIjoiaiJ9</t>
  </si>
  <si>
    <t xml:space="preserve">https://drive.google.com/drive/folders/1GiyD5jHw9B43YeocEHteRcOH12MOnZg-?usp=drive_link</t>
  </si>
  <si>
    <t xml:space="preserve">20250331-S02237</t>
  </si>
  <si>
    <t xml:space="preserve">2025-03-31</t>
  </si>
  <si>
    <t xml:space="preserve"> Batch 2-85 Final Sparge #1</t>
  </si>
  <si>
    <t xml:space="preserve">2025-03-31 08:02</t>
  </si>
  <si>
    <t xml:space="preserve">20250325-S02230</t>
  </si>
  <si>
    <t xml:space="preserve">2025-03-25</t>
  </si>
  <si>
    <t xml:space="preserve">Batch 2-84 Final MRV #1</t>
  </si>
  <si>
    <t xml:space="preserve">2025-03-25 08:34</t>
  </si>
  <si>
    <t xml:space="preserve">200084</t>
  </si>
  <si>
    <t xml:space="preserve">CAR-280</t>
  </si>
  <si>
    <t xml:space="preserve">https://charmindustrial.atlassian.net/browse/CAR-280?atlOrigin=eyJpIjoiYmY3ZmI2YTdhZTk4NDVjZDhjODE1OWJlNjNhZTI4NGQiLCJwIjoiaiJ9</t>
  </si>
  <si>
    <t xml:space="preserve">https://drive.google.com/drive/folders/1hpGExOdnuNsTBykh1BSFW_gq7gvBIeFN?usp=drive_link</t>
  </si>
  <si>
    <t xml:space="preserve">20250324-S02229</t>
  </si>
  <si>
    <t xml:space="preserve">2025-03-24</t>
  </si>
  <si>
    <t xml:space="preserve">Batch 2-84 Final Sparge #1</t>
  </si>
  <si>
    <t xml:space="preserve">2025-03-24 06:50</t>
  </si>
  <si>
    <t xml:space="preserve">20250321-S02226</t>
  </si>
  <si>
    <t xml:space="preserve">2025-03-21</t>
  </si>
  <si>
    <t xml:space="preserve">Batch 2-83 Final MRV #1</t>
  </si>
  <si>
    <t xml:space="preserve">2025-03-21 08:25</t>
  </si>
  <si>
    <t xml:space="preserve">200083</t>
  </si>
  <si>
    <t xml:space="preserve">CAR-278</t>
  </si>
  <si>
    <t xml:space="preserve">https://charmindustrial.atlassian.net/browse/CAR-278?atlOrigin=eyJpIjoiN2RlMmZiMWU0MWFiNDczYmI3MGM0MmFiYzRkMGZmZWEiLCJwIjoiaiJ9</t>
  </si>
  <si>
    <t xml:space="preserve">https://drive.google.com/drive/folders/1vGXrY_wpLurpu7xZ6Yy8DNf5XCoF4d0f?usp=drive_link</t>
  </si>
  <si>
    <t xml:space="preserve">20250320-S02225</t>
  </si>
  <si>
    <t xml:space="preserve">2025-03-20</t>
  </si>
  <si>
    <t xml:space="preserve">Batch 2-83 Final Sparge #1</t>
  </si>
  <si>
    <t xml:space="preserve">2025-03-20 06:50</t>
  </si>
  <si>
    <t xml:space="preserve">20250317-S02222</t>
  </si>
  <si>
    <t xml:space="preserve">2025-03-17</t>
  </si>
  <si>
    <t xml:space="preserve">Batch 2-82 Final MRV #1</t>
  </si>
  <si>
    <t xml:space="preserve">2025-03-17 09:55</t>
  </si>
  <si>
    <t xml:space="preserve">200082</t>
  </si>
  <si>
    <t xml:space="preserve">CAR-275</t>
  </si>
  <si>
    <t xml:space="preserve">https://charmindustrial.atlassian.net/browse/CAR-275?atlOrigin=eyJpIjoiOTExMjBjMzZiNGI1NDE5Nzk2Nzc2ZDEzZGM0NDRlYWUiLCJwIjoiaiJ9</t>
  </si>
  <si>
    <t xml:space="preserve">https://drive.google.com/drive/folders/1IoY02rl379HJwXZjt7JMtOqr-IEuNxgV?usp=drive_link</t>
  </si>
  <si>
    <t xml:space="preserve">20250314-S02221</t>
  </si>
  <si>
    <t xml:space="preserve">2025-03-14</t>
  </si>
  <si>
    <t xml:space="preserve">Batch 2-82 Final Sparge #1</t>
  </si>
  <si>
    <t xml:space="preserve">2025-03-14 00:00</t>
  </si>
  <si>
    <t xml:space="preserve">20250314-S02218</t>
  </si>
  <si>
    <t xml:space="preserve">Batch 2-81 Final MRV #1</t>
  </si>
  <si>
    <t xml:space="preserve">2025-03-14 10:18</t>
  </si>
  <si>
    <t xml:space="preserve">200081</t>
  </si>
  <si>
    <t xml:space="preserve">CAR-269</t>
  </si>
  <si>
    <t xml:space="preserve">https://charmindustrial.atlassian.net/browse/CAR-269?atlOrigin=eyJpIjoiYTkzOTFkODkzMDRkNGI2YTk2MmExM2YzZjc4ZDFhYmQiLCJwIjoiaiJ9</t>
  </si>
  <si>
    <t xml:space="preserve">https://drive.google.com/drive/folders/1jAqNueLyGaX21OorTCm_hYmKR9a8Jz70?usp=drive_link</t>
  </si>
  <si>
    <t xml:space="preserve">20250313-S02217</t>
  </si>
  <si>
    <t xml:space="preserve">2025-03-13</t>
  </si>
  <si>
    <t xml:space="preserve">Batch 2-81 Final Sparge #1</t>
  </si>
  <si>
    <t xml:space="preserve">2025-03-13 11:55</t>
  </si>
  <si>
    <t xml:space="preserve">20250310-S02215</t>
  </si>
  <si>
    <t xml:space="preserve">2025-03-10</t>
  </si>
  <si>
    <t xml:space="preserve">Batch 2-80 Final MRV #1</t>
  </si>
  <si>
    <t xml:space="preserve">2025-03-10 10:08</t>
  </si>
  <si>
    <t xml:space="preserve">200080</t>
  </si>
  <si>
    <t xml:space="preserve">CAR-257</t>
  </si>
  <si>
    <t xml:space="preserve">https://charmindustrial.atlassian.net/browse/CAR-257?atlOrigin=eyJpIjoiYjRlMzEzOTQ4ZDQxNDZiODliNjAxMWJhNjg5NDI3YWIiLCJwIjoiaiJ9</t>
  </si>
  <si>
    <t xml:space="preserve">https://drive.google.com/drive/folders/1I-7jmnwAcxMaZqNS8PEpXFGx_RWO-6e8?usp=drive_link</t>
  </si>
  <si>
    <t xml:space="preserve">20250307-S02213</t>
  </si>
  <si>
    <t xml:space="preserve">2025-03-07</t>
  </si>
  <si>
    <t xml:space="preserve">Batch 2-80 Final Sparged #1</t>
  </si>
  <si>
    <t xml:space="preserve">2025-03-07 00:00</t>
  </si>
  <si>
    <t xml:space="preserve">20250305-S02205</t>
  </si>
  <si>
    <t xml:space="preserve">2025-03-05</t>
  </si>
  <si>
    <t xml:space="preserve">Batch 3-10 Final Sparged #1</t>
  </si>
  <si>
    <t xml:space="preserve">2025-03-05 03:20</t>
  </si>
  <si>
    <t xml:space="preserve">300010</t>
  </si>
  <si>
    <t xml:space="preserve">CAR-253</t>
  </si>
  <si>
    <t xml:space="preserve">https://charmindustrial.atlassian.net/browse/CAR-253?atlOrigin=eyJpIjoiNTFkZDA4MjRmNzAyNDE4OGExOTA3YWZkZmM4NmM1ZDUiLCJwIjoiaiJ9</t>
  </si>
  <si>
    <t xml:space="preserve">https://drive.google.com/drive/folders/1Aha55GqvNE2L_uCiWMT1zAMojl7vBorD?usp=drive_link</t>
  </si>
  <si>
    <t xml:space="preserve">20250305-S02204</t>
  </si>
  <si>
    <t xml:space="preserve">Batch 2-79 Final MRV #1</t>
  </si>
  <si>
    <t xml:space="preserve">2025-03-05 09:53</t>
  </si>
  <si>
    <t xml:space="preserve">200079</t>
  </si>
  <si>
    <t xml:space="preserve">20250301-S02203</t>
  </si>
  <si>
    <t xml:space="preserve">2025-03-01</t>
  </si>
  <si>
    <t xml:space="preserve">Batch 2-79 Final Sparged #1</t>
  </si>
  <si>
    <t xml:space="preserve">2025-03-01 21:04</t>
  </si>
  <si>
    <t xml:space="preserve">https://charmindustrial.atlassian.net/browse/CAR-253?atlOrigin=eyJpIjoiNTFkZDA4MjRmNzAyNDE4OGExOTA3YWZkZmM4NmM1ZDUiLCJwIjoiaiJ9https://charmindustrial.atlassian.net/browse/CAR-253?atlOrigin=eyJpIjoiNTFkZDA4MjRmNzAyNDE4OGExOTA3YWZkZmM4NmM1ZDUiLCJwIjoiaiJ9</t>
  </si>
  <si>
    <t xml:space="preserve">20250224-S02208</t>
  </si>
  <si>
    <t xml:space="preserve">2025-02-24</t>
  </si>
  <si>
    <t xml:space="preserve">Batch 2-78 Final MRV #1</t>
  </si>
  <si>
    <t xml:space="preserve">2025-02-24 10:00</t>
  </si>
  <si>
    <t xml:space="preserve">200078</t>
  </si>
  <si>
    <t xml:space="preserve">CAR-247</t>
  </si>
  <si>
    <t xml:space="preserve">https://charmindustrial.atlassian.net/browse/CAR-247?atlOrigin=eyJpIjoiZTBlMzAwNTQ0OWY1NDgxYTgyYjlmYzMyNGZjMzQ0NzQiLCJwIjoiaiJ9</t>
  </si>
  <si>
    <t xml:space="preserve">https://drive.google.com/drive/folders/1eOP9Ei0krLZWsfGx8IaUv3NRF0p9Rmf2?usp=drive_link</t>
  </si>
  <si>
    <t xml:space="preserve">20250222-S02211</t>
  </si>
  <si>
    <t xml:space="preserve">2025-02-22</t>
  </si>
  <si>
    <t xml:space="preserve">Batch 3-09 Final Sparged #1</t>
  </si>
  <si>
    <t xml:space="preserve">2025-02-22 06:00</t>
  </si>
  <si>
    <t xml:space="preserve">300009</t>
  </si>
  <si>
    <t xml:space="preserve">20250215-S02207</t>
  </si>
  <si>
    <t xml:space="preserve">2025-02-15</t>
  </si>
  <si>
    <t xml:space="preserve">Batch 2-78 Final Sparged #1</t>
  </si>
  <si>
    <t xml:space="preserve">2025-02-15 11:49</t>
  </si>
  <si>
    <t xml:space="preserve">20250215-S02127</t>
  </si>
  <si>
    <t xml:space="preserve">(CH14) RS3-250215-1-C</t>
  </si>
  <si>
    <t xml:space="preserve">CHN</t>
  </si>
  <si>
    <t xml:space="preserve">AECN (Port-Cartier)</t>
  </si>
  <si>
    <t xml:space="preserve">2025-02-15 18:10</t>
  </si>
  <si>
    <t xml:space="preserve">(14) AECN Production RS3-250215-1</t>
  </si>
  <si>
    <t xml:space="preserve">https://drive.google.com/drive/folders/1mGumEvrswPzvajTBlqFoOdK018jB4gYs?usp=drive_link</t>
  </si>
  <si>
    <t xml:space="preserve">20250215-S02126</t>
  </si>
  <si>
    <t xml:space="preserve">(CH14) RS3-250215-1-B</t>
  </si>
  <si>
    <t xml:space="preserve">20250215-S02125</t>
  </si>
  <si>
    <t xml:space="preserve">(CH14) RS3-250215-1-A</t>
  </si>
  <si>
    <t xml:space="preserve">20250214-S02124</t>
  </si>
  <si>
    <t xml:space="preserve">2025-02-14</t>
  </si>
  <si>
    <t xml:space="preserve">(CH13) RS1-250214-1-C</t>
  </si>
  <si>
    <t xml:space="preserve">2025-02-14 11:44</t>
  </si>
  <si>
    <t xml:space="preserve">(13) AECN Production RS1-250214-1</t>
  </si>
  <si>
    <t xml:space="preserve">20250214-S02123</t>
  </si>
  <si>
    <t xml:space="preserve">(CH13) RS1-250214-1-B</t>
  </si>
  <si>
    <t xml:space="preserve">20250214-S02122</t>
  </si>
  <si>
    <t xml:space="preserve">(CH13) RS1-250214-1-A</t>
  </si>
  <si>
    <t xml:space="preserve">20250213-S02121</t>
  </si>
  <si>
    <t xml:space="preserve">2025-02-13</t>
  </si>
  <si>
    <t xml:space="preserve">(CH12) RS3-250213-1-C</t>
  </si>
  <si>
    <t xml:space="preserve">2025-02-13 11:27</t>
  </si>
  <si>
    <t xml:space="preserve">(12) AECN Production RS3-250213-1</t>
  </si>
  <si>
    <t xml:space="preserve">20250213-S02120</t>
  </si>
  <si>
    <t xml:space="preserve">(CH12) RS3-250213-1-B</t>
  </si>
  <si>
    <t xml:space="preserve">20250213-S02119</t>
  </si>
  <si>
    <t xml:space="preserve">(CH12) RS3-250213-1-A</t>
  </si>
  <si>
    <t xml:space="preserve">20250212-S02118</t>
  </si>
  <si>
    <t xml:space="preserve">2025-02-12</t>
  </si>
  <si>
    <t xml:space="preserve">(CH11) RS2-250212-1-C</t>
  </si>
  <si>
    <t xml:space="preserve">2025-02-12 07:30</t>
  </si>
  <si>
    <t xml:space="preserve">(11) AECN Production RS2-250212-1</t>
  </si>
  <si>
    <t xml:space="preserve">20250212-S02117</t>
  </si>
  <si>
    <t xml:space="preserve">(CH11) RS2-250212-1-B</t>
  </si>
  <si>
    <t xml:space="preserve">20250212-S02116</t>
  </si>
  <si>
    <t xml:space="preserve">(CH11) RS2-250212-1-A</t>
  </si>
  <si>
    <t xml:space="preserve">20250211-S02209</t>
  </si>
  <si>
    <t xml:space="preserve">2025-02-11</t>
  </si>
  <si>
    <t xml:space="preserve">Batch 3-08 Final Sparged #1</t>
  </si>
  <si>
    <t xml:space="preserve">2025-02-11 06:42</t>
  </si>
  <si>
    <t xml:space="preserve">300008</t>
  </si>
  <si>
    <t xml:space="preserve">20250211-S02115</t>
  </si>
  <si>
    <t xml:space="preserve">(CH10) RS1-250211-1-C</t>
  </si>
  <si>
    <t xml:space="preserve">2025-02-11 04:58</t>
  </si>
  <si>
    <t xml:space="preserve">(10) AECN Production RS1-250211-1</t>
  </si>
  <si>
    <t xml:space="preserve">20250211-S02114</t>
  </si>
  <si>
    <t xml:space="preserve">(CH10) RS1-250211-1-B</t>
  </si>
  <si>
    <t xml:space="preserve">20250211-S02113</t>
  </si>
  <si>
    <t xml:space="preserve">(CH10) RS1-250211-1-A</t>
  </si>
  <si>
    <t xml:space="preserve">20250210-S02037</t>
  </si>
  <si>
    <t xml:space="preserve">2025-02-10</t>
  </si>
  <si>
    <t xml:space="preserve">Batch 200077 Final MRV #1</t>
  </si>
  <si>
    <t xml:space="preserve">2025-02-10 09:34</t>
  </si>
  <si>
    <t xml:space="preserve">200077</t>
  </si>
  <si>
    <t xml:space="preserve">CAR-234</t>
  </si>
  <si>
    <t xml:space="preserve">https://charmindustrial.atlassian.net/jira/servicedesk/projects/CAR/queues/custom/175/CAR-234</t>
  </si>
  <si>
    <t xml:space="preserve">https://drive.google.com/drive/folders/1CbwJ7j4cYtEJV0Rs6ZN4xoORiNa0d29X</t>
  </si>
  <si>
    <t xml:space="preserve">20250209-S02040</t>
  </si>
  <si>
    <t xml:space="preserve">2025-02-09</t>
  </si>
  <si>
    <t xml:space="preserve">Batch 200077 Final Sparged MRV #1</t>
  </si>
  <si>
    <t xml:space="preserve">2025-02-09 19:00</t>
  </si>
  <si>
    <t xml:space="preserve">20250208-S02112</t>
  </si>
  <si>
    <t xml:space="preserve">2025-02-08</t>
  </si>
  <si>
    <t xml:space="preserve">(CH9) RS3-250208-1-C</t>
  </si>
  <si>
    <t xml:space="preserve">2025-02-08 06:59</t>
  </si>
  <si>
    <t xml:space="preserve">(9) AECN Production RS3-250208-1</t>
  </si>
  <si>
    <t xml:space="preserve">20250208-S02111</t>
  </si>
  <si>
    <t xml:space="preserve">(CH9) RS3-250208-1-B</t>
  </si>
  <si>
    <t xml:space="preserve">20250208-S02110</t>
  </si>
  <si>
    <t xml:space="preserve">(CH9) RS3-250208-1-A</t>
  </si>
  <si>
    <t xml:space="preserve">20250207-S02036</t>
  </si>
  <si>
    <t xml:space="preserve">2025-02-07</t>
  </si>
  <si>
    <t xml:space="preserve">Batch 200076 Final MRV #1</t>
  </si>
  <si>
    <t xml:space="preserve">2025-02-07 09:55</t>
  </si>
  <si>
    <t xml:space="preserve">200076</t>
  </si>
  <si>
    <t xml:space="preserve">CAR-233</t>
  </si>
  <si>
    <t xml:space="preserve">https://charmindustrial.atlassian.net/jira/servicedesk/projects/CAR/queues/custom/175/CAR-233</t>
  </si>
  <si>
    <t xml:space="preserve">20250206-S02039</t>
  </si>
  <si>
    <t xml:space="preserve">2025-02-06</t>
  </si>
  <si>
    <t xml:space="preserve">Batch 200076 Final Sparged MRV #1</t>
  </si>
  <si>
    <t xml:space="preserve">2025-02-06 02:18</t>
  </si>
  <si>
    <t xml:space="preserve">20250205-S02109</t>
  </si>
  <si>
    <t xml:space="preserve">2025-02-05</t>
  </si>
  <si>
    <t xml:space="preserve">(CH8) RS1-250205-1-C</t>
  </si>
  <si>
    <t xml:space="preserve">2025-02-05 05:53</t>
  </si>
  <si>
    <t xml:space="preserve">(8) AECN Production RS1-250205-1</t>
  </si>
  <si>
    <t xml:space="preserve">20250205-S02108</t>
  </si>
  <si>
    <t xml:space="preserve">(CH8) RS1-250205-1-B</t>
  </si>
  <si>
    <t xml:space="preserve">20250205-S02107</t>
  </si>
  <si>
    <t xml:space="preserve">(CH8) RS1-250205-1-A</t>
  </si>
  <si>
    <t xml:space="preserve">20250203-S02041</t>
  </si>
  <si>
    <t xml:space="preserve">2025-02-03</t>
  </si>
  <si>
    <t xml:space="preserve">Batch 3-07 Final Sparged MRV #1</t>
  </si>
  <si>
    <t xml:space="preserve">2025-02-03 22:30</t>
  </si>
  <si>
    <t xml:space="preserve">300007</t>
  </si>
  <si>
    <t xml:space="preserve">20250203-S02005</t>
  </si>
  <si>
    <t xml:space="preserve">Batch 200075 Final Sparged MRV #1</t>
  </si>
  <si>
    <t xml:space="preserve">2025-02-03 22:36</t>
  </si>
  <si>
    <t xml:space="preserve">200075</t>
  </si>
  <si>
    <t xml:space="preserve">CAR-231</t>
  </si>
  <si>
    <t xml:space="preserve">https://charmindustrial.atlassian.net/jira/servicedesk/projects/CAR/queues/custom/175/CAR-231</t>
  </si>
  <si>
    <t xml:space="preserve">https://drive.google.com/drive/folders/1eBW2pesidm-oYNasUtIIVlODrgsONc7h</t>
  </si>
  <si>
    <t xml:space="preserve">20250203-S02004</t>
  </si>
  <si>
    <t xml:space="preserve">Batch 200074 Final Sparged MRV #1</t>
  </si>
  <si>
    <t xml:space="preserve">2025-02-03 10:40</t>
  </si>
  <si>
    <t xml:space="preserve">200074</t>
  </si>
  <si>
    <t xml:space="preserve">20250203-S02002</t>
  </si>
  <si>
    <t xml:space="preserve">Batch 200075 Final MRV #1</t>
  </si>
  <si>
    <t xml:space="preserve">2025-02-03 09:50</t>
  </si>
  <si>
    <t xml:space="preserve">20250202-S02106</t>
  </si>
  <si>
    <t xml:space="preserve">2025-02-02</t>
  </si>
  <si>
    <t xml:space="preserve">(CH7) RS3-241230-1-C</t>
  </si>
  <si>
    <t xml:space="preserve">2025-02-02 06:10</t>
  </si>
  <si>
    <t xml:space="preserve">(7) AECN Production RS2-250202-1</t>
  </si>
  <si>
    <t xml:space="preserve">20250202-S02105</t>
  </si>
  <si>
    <t xml:space="preserve">(CH7) RS3-241230-1-B</t>
  </si>
  <si>
    <t xml:space="preserve">20250202-S02104</t>
  </si>
  <si>
    <t xml:space="preserve">(Ch7) RS2-250202-1-A</t>
  </si>
  <si>
    <t xml:space="preserve">20250129-S02006</t>
  </si>
  <si>
    <t xml:space="preserve">2025-01-29</t>
  </si>
  <si>
    <t xml:space="preserve">Batch 3-06 Final Sparged MRV #1</t>
  </si>
  <si>
    <t xml:space="preserve">2025-01-29 11:45</t>
  </si>
  <si>
    <t xml:space="preserve">300006</t>
  </si>
  <si>
    <t xml:space="preserve">20250129-S02001</t>
  </si>
  <si>
    <t xml:space="preserve">Batch 200074 Final MRV #1</t>
  </si>
  <si>
    <t xml:space="preserve">2025-01-29 09:30</t>
  </si>
  <si>
    <t xml:space="preserve">20250127-S02103</t>
  </si>
  <si>
    <t xml:space="preserve">2025-01-27</t>
  </si>
  <si>
    <t xml:space="preserve">(CH6) RS1-250127-1-C</t>
  </si>
  <si>
    <t xml:space="preserve">2025-01-27 23:14</t>
  </si>
  <si>
    <t xml:space="preserve">(6) AECN Production RS1-250127-1</t>
  </si>
  <si>
    <t xml:space="preserve">20250127-S02102</t>
  </si>
  <si>
    <t xml:space="preserve">(CH6) RS1-250127-1-B</t>
  </si>
  <si>
    <t xml:space="preserve">20250127-S02101</t>
  </si>
  <si>
    <t xml:space="preserve">(CH6) RS1-250127-1-A</t>
  </si>
  <si>
    <t xml:space="preserve">20250124-S01998</t>
  </si>
  <si>
    <t xml:space="preserve">2025-01-24</t>
  </si>
  <si>
    <t xml:space="preserve">Batch 200073 Final MRV #1</t>
  </si>
  <si>
    <t xml:space="preserve">2025-01-24 09:41</t>
  </si>
  <si>
    <t xml:space="preserve">200073</t>
  </si>
  <si>
    <t xml:space="preserve">CAR-228</t>
  </si>
  <si>
    <t xml:space="preserve">https://charmindustrial.atlassian.net/jira/servicedesk/projects/CAR/queues/custom/273/CAR-228</t>
  </si>
  <si>
    <t xml:space="preserve">https://drive.google.com/drive/folders/1f3s4Ja4wF6YHbMn2dqKd9p-CPzOFtvr9</t>
  </si>
  <si>
    <t xml:space="preserve">20250123-S02100</t>
  </si>
  <si>
    <t xml:space="preserve">2025-01-23</t>
  </si>
  <si>
    <t xml:space="preserve">(CH5) RS3-250123-1-C</t>
  </si>
  <si>
    <t xml:space="preserve">2025-01-23 15:45</t>
  </si>
  <si>
    <t xml:space="preserve">(5) AECN Production RS3-250123-1</t>
  </si>
  <si>
    <t xml:space="preserve">20250123-S02099</t>
  </si>
  <si>
    <t xml:space="preserve">(CH5) RS3-250123-1-B</t>
  </si>
  <si>
    <t xml:space="preserve">20250123-S02098</t>
  </si>
  <si>
    <t xml:space="preserve">(CH5) RS3-250123-1-A</t>
  </si>
  <si>
    <t xml:space="preserve">20250123-S01996</t>
  </si>
  <si>
    <t xml:space="preserve">Batch 200073 Final Sparged #1</t>
  </si>
  <si>
    <t xml:space="preserve">2025-01-23 17:48</t>
  </si>
  <si>
    <t xml:space="preserve">20250122-S01999</t>
  </si>
  <si>
    <t xml:space="preserve">2025-01-22</t>
  </si>
  <si>
    <t xml:space="preserve">Batch 200072 Final MRV #1</t>
  </si>
  <si>
    <t xml:space="preserve">2025-01-22 09:30</t>
  </si>
  <si>
    <t xml:space="preserve">200072</t>
  </si>
  <si>
    <t xml:space="preserve">CAR-227</t>
  </si>
  <si>
    <t xml:space="preserve">https://charmindustrial.atlassian.net/jira/servicedesk/projects/CAR/queues/custom/273/CAR-227</t>
  </si>
  <si>
    <t xml:space="preserve">20250122-S01997</t>
  </si>
  <si>
    <t xml:space="preserve">Batch 3-05 Final Sparged #1</t>
  </si>
  <si>
    <t xml:space="preserve">2025-01-22 11:45</t>
  </si>
  <si>
    <t xml:space="preserve">300005</t>
  </si>
  <si>
    <t xml:space="preserve">20250119-S02097</t>
  </si>
  <si>
    <t xml:space="preserve">2025-01-19</t>
  </si>
  <si>
    <t xml:space="preserve">(CH4) RS2-250119-1-C</t>
  </si>
  <si>
    <t xml:space="preserve">2025-01-19 14:26</t>
  </si>
  <si>
    <t xml:space="preserve">(4) AECN Production RS2-250119-1</t>
  </si>
  <si>
    <t xml:space="preserve">20250119-S02096</t>
  </si>
  <si>
    <t xml:space="preserve">(CH4) RS2-250119-1-B</t>
  </si>
  <si>
    <t xml:space="preserve">20250119-S02095</t>
  </si>
  <si>
    <t xml:space="preserve">(CH4) RS2-250119-1-A</t>
  </si>
  <si>
    <t xml:space="preserve">20250117-S01995</t>
  </si>
  <si>
    <t xml:space="preserve">2025-01-17</t>
  </si>
  <si>
    <t xml:space="preserve">Batch 200072 Final Sparged #1</t>
  </si>
  <si>
    <t xml:space="preserve">2025-01-17 17:00</t>
  </si>
  <si>
    <t xml:space="preserve">20250115-S01970</t>
  </si>
  <si>
    <t xml:space="preserve">2025-01-15</t>
  </si>
  <si>
    <t xml:space="preserve">Batch 3-04 	
Final Sparged MRV #1</t>
  </si>
  <si>
    <t xml:space="preserve">2025-01-15 14:18</t>
  </si>
  <si>
    <t xml:space="preserve">300004</t>
  </si>
  <si>
    <t xml:space="preserve">CAR-219</t>
  </si>
  <si>
    <t xml:space="preserve">https://charmindustrial.atlassian.net/jira/servicedesk/projects/CAR/queues/custom/175/CAR-219</t>
  </si>
  <si>
    <t xml:space="preserve">https://drive.google.com/drive/folders/1cALaKXWcAsGxlGR96Q0xjoArF1GkBuzthttps://drive.google.com/drive/folders/1dV1q8Q0ZBUuMsH8VTB9P3G98MDAIaZ7w</t>
  </si>
  <si>
    <t xml:space="preserve">20250113-S01966</t>
  </si>
  <si>
    <t xml:space="preserve">2025-01-13</t>
  </si>
  <si>
    <t xml:space="preserve">Batch 200071	
Final  MRV #1</t>
  </si>
  <si>
    <t xml:space="preserve">2025-01-13 09:18</t>
  </si>
  <si>
    <t xml:space="preserve">200071</t>
  </si>
  <si>
    <t xml:space="preserve">CAR-215</t>
  </si>
  <si>
    <t xml:space="preserve">https://charmindustrial.atlassian.net/jira/servicedesk/projects/CAR/queues/custom/175/CAR-215</t>
  </si>
  <si>
    <t xml:space="preserve">https://drive.google.com/drive/folders/1cALaKXWcAsGxlGR96Q0xjoArF1GkBuzt</t>
  </si>
  <si>
    <t xml:space="preserve">20250113-S01945</t>
  </si>
  <si>
    <t xml:space="preserve">Batch 3-03 Final Sparge #1</t>
  </si>
  <si>
    <t xml:space="preserve">2025-01-13 11:26</t>
  </si>
  <si>
    <t xml:space="preserve">300003</t>
  </si>
  <si>
    <t xml:space="preserve">CAR-216</t>
  </si>
  <si>
    <t xml:space="preserve">https://charmindustrial.atlassian.net/jira/servicedesk/projects/CAR/queues/custom/175/CAR-216</t>
  </si>
  <si>
    <t xml:space="preserve">https://drive.google.com/drive/folders/1c5X4KrVjpNpM07FSzxXAFaO8l8QUKlBT</t>
  </si>
  <si>
    <t xml:space="preserve">20250111-S02094</t>
  </si>
  <si>
    <t xml:space="preserve">2025-01-11</t>
  </si>
  <si>
    <t xml:space="preserve">(CH3) RS3-250111-1-C</t>
  </si>
  <si>
    <t xml:space="preserve">2025-01-11 05:47</t>
  </si>
  <si>
    <t xml:space="preserve">(3) AECN Production RS3-250111-1</t>
  </si>
  <si>
    <t xml:space="preserve">20250111-S02093</t>
  </si>
  <si>
    <t xml:space="preserve">(CH3) RS3-250111-1-B</t>
  </si>
  <si>
    <t xml:space="preserve">20250111-S02092</t>
  </si>
  <si>
    <t xml:space="preserve">(CH3) RS3-250111-1-A</t>
  </si>
  <si>
    <t xml:space="preserve">20250108-S01938</t>
  </si>
  <si>
    <t xml:space="preserve">2025-01-08</t>
  </si>
  <si>
    <t xml:space="preserve">Batch 300002 	
Final Sparge MRV #1</t>
  </si>
  <si>
    <t xml:space="preserve">2025-01-08 10:30</t>
  </si>
  <si>
    <t xml:space="preserve">300002</t>
  </si>
  <si>
    <t xml:space="preserve">20250103-S02091</t>
  </si>
  <si>
    <t xml:space="preserve">2025-01-03</t>
  </si>
  <si>
    <t xml:space="preserve">(CH2) RS1-250103-1-C</t>
  </si>
  <si>
    <t xml:space="preserve">2025-01-03 11:50</t>
  </si>
  <si>
    <t xml:space="preserve">(2) AECN Production RS1-250103-1</t>
  </si>
  <si>
    <t xml:space="preserve">20250103-S02090</t>
  </si>
  <si>
    <t xml:space="preserve">(CH2) RS1-250103-1-B</t>
  </si>
  <si>
    <t xml:space="preserve">20250103-S02089</t>
  </si>
  <si>
    <t xml:space="preserve">(CH2) RS1-250103-1-A</t>
  </si>
  <si>
    <t xml:space="preserve">20250103-S01965</t>
  </si>
  <si>
    <t xml:space="preserve">Batch 200070	
Final MRV #1</t>
  </si>
  <si>
    <t xml:space="preserve">2025-01-03 10:21</t>
  </si>
  <si>
    <t xml:space="preserve">200070</t>
  </si>
  <si>
    <t xml:space="preserve">CAR-210</t>
  </si>
  <si>
    <t xml:space="preserve">https://charmindustrial.atlassian.net/jira/servicedesk/projects/CAR/queues/custom/175/CAR-210</t>
  </si>
  <si>
    <t xml:space="preserve">20250102-S01964</t>
  </si>
  <si>
    <t xml:space="preserve">2025-01-02</t>
  </si>
  <si>
    <t xml:space="preserve">Batch 200069 	
Final MRV #1</t>
  </si>
  <si>
    <t xml:space="preserve">2025-01-02 09:30</t>
  </si>
  <si>
    <t xml:space="preserve">200069</t>
  </si>
  <si>
    <t xml:space="preserve">20241230-S02088</t>
  </si>
  <si>
    <t xml:space="preserve">2024-12-30</t>
  </si>
  <si>
    <t xml:space="preserve">(CH1) RS3-241230-1-C</t>
  </si>
  <si>
    <t xml:space="preserve">2024-12-30 12:45</t>
  </si>
  <si>
    <t xml:space="preserve">(1) AECN Production RS3-241230-1</t>
  </si>
  <si>
    <t xml:space="preserve">20241230-S02087</t>
  </si>
  <si>
    <t xml:space="preserve">(CH1) RS3-241230-1-B</t>
  </si>
  <si>
    <t xml:space="preserve">20241230-S02086</t>
  </si>
  <si>
    <t xml:space="preserve">(CH1) RS3-241230-1-A</t>
  </si>
  <si>
    <t xml:space="preserve">20241228-S01968</t>
  </si>
  <si>
    <t xml:space="preserve">2024-12-28</t>
  </si>
  <si>
    <t xml:space="preserve">Batch 200068 	Final Sparge
MRV #1</t>
  </si>
  <si>
    <t xml:space="preserve">2024-12-28 17:48</t>
  </si>
  <si>
    <t xml:space="preserve">300001 (200068)</t>
  </si>
  <si>
    <t xml:space="preserve">CAR-208</t>
  </si>
  <si>
    <t xml:space="preserve">https://charmindustrial.atlassian.net/jira/servicedesk/projects/CAR/queues/custom/175/CAR-208</t>
  </si>
  <si>
    <t xml:space="preserve">https://drive.google.com/drive/folders/1FKZFHuvpTK2q-F_-5b8_U7sGWermp321</t>
  </si>
  <si>
    <t xml:space="preserve">20241227-S01906</t>
  </si>
  <si>
    <t xml:space="preserve">2024-12-27</t>
  </si>
  <si>
    <t xml:space="preserve">Batch 200067 	Final
MRV #1</t>
  </si>
  <si>
    <t xml:space="preserve">2024-12-27 10:30</t>
  </si>
  <si>
    <t xml:space="preserve">200067</t>
  </si>
  <si>
    <t xml:space="preserve">20241223-S01994</t>
  </si>
  <si>
    <t xml:space="preserve">2024-12-23</t>
  </si>
  <si>
    <t xml:space="preserve">Batch 200067 	
Final Sparge MRV #3</t>
  </si>
  <si>
    <t xml:space="preserve">2024-12-23 14:06</t>
  </si>
  <si>
    <t xml:space="preserve">CAR-224</t>
  </si>
  <si>
    <t xml:space="preserve">https://charmindustrial.atlassian.net/jira/servicedesk/projects/CAR/queues/custom/273/CAR-224</t>
  </si>
  <si>
    <t xml:space="preserve">https://drive.google.com/drive/folders/1c57eSL77kvUOKVRzQzOURYM-WE4Ds9M8</t>
  </si>
  <si>
    <t xml:space="preserve">20241223-S01993</t>
  </si>
  <si>
    <t xml:space="preserve">Batch 200067 	
Final Sparge MRV #2</t>
  </si>
  <si>
    <t xml:space="preserve">2024-12-23 14:04</t>
  </si>
  <si>
    <t xml:space="preserve">20241223-S01937</t>
  </si>
  <si>
    <t xml:space="preserve">Batch 200071	
Final Sparge MRV #1</t>
  </si>
  <si>
    <t xml:space="preserve">2025-01-08 16:30</t>
  </si>
  <si>
    <t xml:space="preserve">20241223-S01936</t>
  </si>
  <si>
    <t xml:space="preserve">Batch 200070	
Final Sparge MRV #1</t>
  </si>
  <si>
    <t xml:space="preserve">2025-01-02 07:04</t>
  </si>
  <si>
    <t xml:space="preserve">20241223-S01935</t>
  </si>
  <si>
    <t xml:space="preserve">Batch 200069 	
Final Sparge MRV #1</t>
  </si>
  <si>
    <t xml:space="preserve">2024-12-30 22:30</t>
  </si>
  <si>
    <t xml:space="preserve">20241223-S01910</t>
  </si>
  <si>
    <t xml:space="preserve">Batch 200067 	
Final Sparge MRV #1</t>
  </si>
  <si>
    <t xml:space="preserve">2024-12-23 14:02</t>
  </si>
  <si>
    <t xml:space="preserve">20241223-S01904</t>
  </si>
  <si>
    <t xml:space="preserve">Batch 200066 	Final
MRV #1</t>
  </si>
  <si>
    <t xml:space="preserve">2024-12-23 09:30</t>
  </si>
  <si>
    <t xml:space="preserve">200066</t>
  </si>
  <si>
    <t xml:space="preserve">20241220-S01909</t>
  </si>
  <si>
    <t xml:space="preserve">2024-12-20</t>
  </si>
  <si>
    <t xml:space="preserve">Batch 200066 	
Final Sparge MRV #1</t>
  </si>
  <si>
    <t xml:space="preserve">2024-12-20 10:00</t>
  </si>
  <si>
    <t xml:space="preserve">20241218-S01900</t>
  </si>
  <si>
    <t xml:space="preserve">2024-12-18</t>
  </si>
  <si>
    <t xml:space="preserve">Batch 200064 	
Final  MRV #1</t>
  </si>
  <si>
    <t xml:space="preserve">2024-12-18 11:30</t>
  </si>
  <si>
    <t xml:space="preserve">200064</t>
  </si>
  <si>
    <t xml:space="preserve">CAR-204</t>
  </si>
  <si>
    <t xml:space="preserve">https://charmindustrial.atlassian.net/jira/servicedesk/projects/CAR/queues/custom/175/CAR-204</t>
  </si>
  <si>
    <t xml:space="preserve">https://drive.google.com/drive/folders/1QlzT0EtNWUaqySzVolztXTvnc4EZNai1</t>
  </si>
  <si>
    <t xml:space="preserve">20241215-S01899</t>
  </si>
  <si>
    <t xml:space="preserve">2024-12-15</t>
  </si>
  <si>
    <t xml:space="preserve">Batch 200064 	
Final Sparge MRV #1</t>
  </si>
  <si>
    <t xml:space="preserve">2024-12-15 09:30</t>
  </si>
  <si>
    <t xml:space="preserve">20241206-S01881</t>
  </si>
  <si>
    <t xml:space="preserve">2024-12-06</t>
  </si>
  <si>
    <t xml:space="preserve">Batch 200061 	
Final MRV #1</t>
  </si>
  <si>
    <t xml:space="preserve">2024-12-06 11:26</t>
  </si>
  <si>
    <t xml:space="preserve">200061</t>
  </si>
  <si>
    <t xml:space="preserve">https://charmindustrial.atlassian.net/jira/servicedesk/projects/CAR/queues/custom/175/CAR-201</t>
  </si>
  <si>
    <t xml:space="preserve">https://drive.google.com/drive/folders/1yzYXY8u5JQKtVJHvk5fDOY6HbWe42caq</t>
  </si>
  <si>
    <t xml:space="preserve">20241206-S01880</t>
  </si>
  <si>
    <t xml:space="preserve">Batch 200060 	
Final MRV #1</t>
  </si>
  <si>
    <t xml:space="preserve">2024-12-05 10:24</t>
  </si>
  <si>
    <t xml:space="preserve">200060</t>
  </si>
  <si>
    <t xml:space="preserve">20241206-S01842</t>
  </si>
  <si>
    <t xml:space="preserve">BATCH 200057 #3</t>
  </si>
  <si>
    <t xml:space="preserve">200057</t>
  </si>
  <si>
    <t xml:space="preserve">https://charmindustrial.atlassian.net/jira/servicedesk/projects/CAR/queues/custom/175/CAR-184</t>
  </si>
  <si>
    <t xml:space="preserve">https://drive.google.com/drive/folders/1YZh0uWRyZugK1oXabuzBZ8IohXdbr_ZR</t>
  </si>
  <si>
    <t xml:space="preserve">20241206-S01841</t>
  </si>
  <si>
    <t xml:space="preserve">BATCH 200057 #2</t>
  </si>
  <si>
    <t xml:space="preserve">20241206-S01840</t>
  </si>
  <si>
    <t xml:space="preserve">BATCH 200057 #1</t>
  </si>
  <si>
    <t xml:space="preserve">20241206-S01839</t>
  </si>
  <si>
    <t xml:space="preserve">BATCH 200056 #3</t>
  </si>
  <si>
    <t xml:space="preserve">200056</t>
  </si>
  <si>
    <t xml:space="preserve">20241206-S01838</t>
  </si>
  <si>
    <t xml:space="preserve">BATCH 200056 #2</t>
  </si>
  <si>
    <t xml:space="preserve">20241206-S01837</t>
  </si>
  <si>
    <t xml:space="preserve">BATCH 200056 #1</t>
  </si>
  <si>
    <t xml:space="preserve">20241206-S01830</t>
  </si>
  <si>
    <t xml:space="preserve">20241206-S01829</t>
  </si>
  <si>
    <t xml:space="preserve">20241206-S01828</t>
  </si>
  <si>
    <t xml:space="preserve">20241206-S01827</t>
  </si>
  <si>
    <t xml:space="preserve">20241206-S01826</t>
  </si>
  <si>
    <t xml:space="preserve">20241206-S01825</t>
  </si>
  <si>
    <t xml:space="preserve">BATCH 200055 #3</t>
  </si>
  <si>
    <t xml:space="preserve">200055</t>
  </si>
  <si>
    <t xml:space="preserve">https://charmindustrial.atlassian.net/jira/servicedesk/projects/CAR/queues/custom/175/CAR-183</t>
  </si>
  <si>
    <t xml:space="preserve">20241206-S01824</t>
  </si>
  <si>
    <t xml:space="preserve">BATCH 200055 #2</t>
  </si>
  <si>
    <t xml:space="preserve">20241206-S01823</t>
  </si>
  <si>
    <t xml:space="preserve">BATCH 200055 #1</t>
  </si>
  <si>
    <t xml:space="preserve">20241206-S01822</t>
  </si>
  <si>
    <t xml:space="preserve">BATCH 200054 #2</t>
  </si>
  <si>
    <t xml:space="preserve">200054</t>
  </si>
  <si>
    <t xml:space="preserve">20241206-S01821</t>
  </si>
  <si>
    <t xml:space="preserve">BATCH 200054 #1</t>
  </si>
  <si>
    <t xml:space="preserve">20241204-S01879</t>
  </si>
  <si>
    <t xml:space="preserve">2024-12-04</t>
  </si>
  <si>
    <t xml:space="preserve">Batch 200059 	
Final MRV #1</t>
  </si>
  <si>
    <t xml:space="preserve">2024-12-04 10:42</t>
  </si>
  <si>
    <t xml:space="preserve">200059</t>
  </si>
  <si>
    <t xml:space="preserve">20241203-S01992</t>
  </si>
  <si>
    <t xml:space="preserve">2024-12-03</t>
  </si>
  <si>
    <t xml:space="preserve">Batch 200061 	
Final Sparge MRV #3</t>
  </si>
  <si>
    <t xml:space="preserve">2024-12-03 19:34</t>
  </si>
  <si>
    <t xml:space="preserve">20241203-S01991</t>
  </si>
  <si>
    <t xml:space="preserve">Batch 200061 	
Final Sparge MRV #2</t>
  </si>
  <si>
    <t xml:space="preserve">2024-12-03 19:32</t>
  </si>
  <si>
    <t xml:space="preserve">20241203-S01898</t>
  </si>
  <si>
    <t xml:space="preserve">Batch 200061 	
Final Sparge MRV #1</t>
  </si>
  <si>
    <t xml:space="preserve">2024-12-03 19:30</t>
  </si>
  <si>
    <t xml:space="preserve">CAR-201</t>
  </si>
  <si>
    <t xml:space="preserve">20241202-S01990</t>
  </si>
  <si>
    <t xml:space="preserve">2024-12-02</t>
  </si>
  <si>
    <t xml:space="preserve">Batch 200059 	
Final Sparge MRV #3</t>
  </si>
  <si>
    <t xml:space="preserve">2024-12-02 16:48</t>
  </si>
  <si>
    <t xml:space="preserve">20241202-S01989</t>
  </si>
  <si>
    <t xml:space="preserve">Batch 200059 	
Final Sparge MRV #2</t>
  </si>
  <si>
    <t xml:space="preserve">2024-12-02 16:46</t>
  </si>
  <si>
    <t xml:space="preserve">20241202-S01896</t>
  </si>
  <si>
    <t xml:space="preserve">Batch 200059 	
Final Sparge MRV #1</t>
  </si>
  <si>
    <t xml:space="preserve">2024-12-02 16:44</t>
  </si>
  <si>
    <t xml:space="preserve">20241130-S01897</t>
  </si>
  <si>
    <t xml:space="preserve">2024-11-30</t>
  </si>
  <si>
    <t xml:space="preserve">Batch 200060 	
Final Sparge MRV #1</t>
  </si>
  <si>
    <t xml:space="preserve">2024-11-30 16:04</t>
  </si>
  <si>
    <t xml:space="preserve">20241126-S01878</t>
  </si>
  <si>
    <t xml:space="preserve">2024-11-26</t>
  </si>
  <si>
    <t xml:space="preserve">Batch 200058 	
Final MRV #1</t>
  </si>
  <si>
    <t xml:space="preserve">2024-11-26 10:48</t>
  </si>
  <si>
    <t xml:space="preserve">200058</t>
  </si>
  <si>
    <t xml:space="preserve">20241125-S01895</t>
  </si>
  <si>
    <t xml:space="preserve">2024-11-25</t>
  </si>
  <si>
    <t xml:space="preserve">Batch 200058 	
Final Sparge MRV #1</t>
  </si>
  <si>
    <t xml:space="preserve">2024-11-25 13:52</t>
  </si>
  <si>
    <t xml:space="preserve">20241119-S01836</t>
  </si>
  <si>
    <t xml:space="preserve">2024-11-19</t>
  </si>
  <si>
    <t xml:space="preserve">2024-11-19 11:23</t>
  </si>
  <si>
    <t xml:space="preserve">20241119-S01835</t>
  </si>
  <si>
    <t xml:space="preserve">2024-11-19 11:21</t>
  </si>
  <si>
    <t xml:space="preserve">20241119-S01834</t>
  </si>
  <si>
    <t xml:space="preserve">2024-11-19 11:19</t>
  </si>
  <si>
    <t xml:space="preserve">20241112-S01833</t>
  </si>
  <si>
    <t xml:space="preserve">2024-11-12</t>
  </si>
  <si>
    <t xml:space="preserve">BATCH 200054 #3</t>
  </si>
  <si>
    <t xml:space="preserve">2024-11-12 15:36</t>
  </si>
  <si>
    <t xml:space="preserve">20241112-S01832</t>
  </si>
  <si>
    <t xml:space="preserve">2024-11-12 15:34</t>
  </si>
  <si>
    <t xml:space="preserve">20241112-S01831</t>
  </si>
  <si>
    <t xml:space="preserve">2024-11-12 15:30</t>
  </si>
  <si>
    <t xml:space="preserve">20241106-S01758</t>
  </si>
  <si>
    <t xml:space="preserve">2024-11-06</t>
  </si>
  <si>
    <t xml:space="preserve">Batch 200053  Final MRV #3  Final Product (1 L) - TAN &amp; Density</t>
  </si>
  <si>
    <t xml:space="preserve">200053</t>
  </si>
  <si>
    <t xml:space="preserve">CAR-173</t>
  </si>
  <si>
    <t xml:space="preserve">https://charmindustrial.atlassian.net/jira/servicedesk/projects/CAR/queues/custom/175/CAR-173</t>
  </si>
  <si>
    <t xml:space="preserve">https://drive.google.com/drive/folders/1Z-GN3IWCjSiAj4RNFHEItpzOnWZIi8Bg</t>
  </si>
  <si>
    <t xml:space="preserve">20241106-S01757</t>
  </si>
  <si>
    <t xml:space="preserve">Batch 200053  Final MRV #2  Final Product (1 L) - TAN &amp; Density</t>
  </si>
  <si>
    <t xml:space="preserve">20241106-S01756</t>
  </si>
  <si>
    <t xml:space="preserve">Batch 200053  Final MRV #1  Final Product (1 L) - TAN &amp; Density</t>
  </si>
  <si>
    <t xml:space="preserve">20241031-S01767</t>
  </si>
  <si>
    <t xml:space="preserve">2024-10-31</t>
  </si>
  <si>
    <t xml:space="preserve">Batch 200053 36 hr Sparge #5</t>
  </si>
  <si>
    <t xml:space="preserve">20241031-S01766</t>
  </si>
  <si>
    <t xml:space="preserve">Batch 200053 36 hr Sparge #4</t>
  </si>
  <si>
    <t xml:space="preserve">20241031-S01765</t>
  </si>
  <si>
    <t xml:space="preserve">Batch 200053 36 hr Sparge #3 </t>
  </si>
  <si>
    <t xml:space="preserve">20241017-S01874</t>
  </si>
  <si>
    <t xml:space="preserve">2024-10-17</t>
  </si>
  <si>
    <t xml:space="preserve">	
Batch 200051 Final MRV #3</t>
  </si>
  <si>
    <t xml:space="preserve">2024-10-17 10:52</t>
  </si>
  <si>
    <t xml:space="preserve">200051</t>
  </si>
  <si>
    <t xml:space="preserve">https://charmindustrial.atlassian.net/jira/servicedesk/projects/CAR/queues/custom/175/CAR-163</t>
  </si>
  <si>
    <t xml:space="preserve">https://drive.google.com/drive/folders/1V2kSOhhCRTprVGnCH4iWfR2KQ_yPh4rU</t>
  </si>
  <si>
    <t xml:space="preserve">20241017-S01873</t>
  </si>
  <si>
    <t xml:space="preserve">	
Batch 200051 Final MRV #2</t>
  </si>
  <si>
    <t xml:space="preserve">2024-10-17 10:50</t>
  </si>
  <si>
    <t xml:space="preserve">20241017-S01872</t>
  </si>
  <si>
    <t xml:space="preserve">	
Batch 200051 Final MRV #1 </t>
  </si>
  <si>
    <t xml:space="preserve">2024-10-17 10:48</t>
  </si>
  <si>
    <t xml:space="preserve">20241017-S01868</t>
  </si>
  <si>
    <t xml:space="preserve">	
Batch 200050 Final MRV #3</t>
  </si>
  <si>
    <t xml:space="preserve">2024-10-17 10:37</t>
  </si>
  <si>
    <t xml:space="preserve">200050</t>
  </si>
  <si>
    <t xml:space="preserve">20241017-S01867</t>
  </si>
  <si>
    <t xml:space="preserve">	
Batch 200050 Final MRV #2</t>
  </si>
  <si>
    <t xml:space="preserve">2024-10-17 10:35</t>
  </si>
  <si>
    <t xml:space="preserve">20241017-S01866</t>
  </si>
  <si>
    <t xml:space="preserve">	
Batch 200050 Final MRV #1 </t>
  </si>
  <si>
    <t xml:space="preserve">2024-10-17 10:33</t>
  </si>
  <si>
    <t xml:space="preserve">20241017-S01764</t>
  </si>
  <si>
    <t xml:space="preserve"> Batch 200051 Final Sparged #3</t>
  </si>
  <si>
    <t xml:space="preserve">CAR-163</t>
  </si>
  <si>
    <t xml:space="preserve">20241017-S01763</t>
  </si>
  <si>
    <t xml:space="preserve"> Batch 200051 Final Sparged #2</t>
  </si>
  <si>
    <t xml:space="preserve">20241017-S01762</t>
  </si>
  <si>
    <t xml:space="preserve"> Batch 200051 Final Sparged #1 </t>
  </si>
  <si>
    <t xml:space="preserve">20241017-S01761</t>
  </si>
  <si>
    <t xml:space="preserve">Batch 200050 Final Sparged #3</t>
  </si>
  <si>
    <t xml:space="preserve">20241017-S01760</t>
  </si>
  <si>
    <t xml:space="preserve">Batch 200050 Final Sparged #2</t>
  </si>
  <si>
    <t xml:space="preserve">20241017-S01759</t>
  </si>
  <si>
    <t xml:space="preserve">Batch 200050 Final Sparged #1</t>
  </si>
  <si>
    <t xml:space="preserve">20241017-S01712</t>
  </si>
  <si>
    <t xml:space="preserve">Batch 200051 Final MRV #3 Final Product (1 L) - TAN &amp; Density</t>
  </si>
  <si>
    <t xml:space="preserve">2024-10-17 00:00</t>
  </si>
  <si>
    <t xml:space="preserve">20241017-S01711</t>
  </si>
  <si>
    <t xml:space="preserve">Batch 200051 Final MRV #2 Final Product (1 L) - TAN &amp; Density</t>
  </si>
  <si>
    <t xml:space="preserve">20241017-S01710</t>
  </si>
  <si>
    <t xml:space="preserve">Batch 200051 Final MRV #1 Final Product (1 L) - TAN &amp; Density</t>
  </si>
  <si>
    <t xml:space="preserve">20241017-S01709</t>
  </si>
  <si>
    <t xml:space="preserve">Batch 200050 Final MRV #3 Final Product (1 L) - TAN &amp; Density</t>
  </si>
  <si>
    <t xml:space="preserve">20241017-S01708</t>
  </si>
  <si>
    <t xml:space="preserve">Batch 200050 Final MRV #2 Final Product (1 L) - TAN &amp; Density</t>
  </si>
  <si>
    <t xml:space="preserve">20241017-S01707</t>
  </si>
  <si>
    <t xml:space="preserve">Batch 200050 Final MRV #1 Final Product (1 L) - TAN &amp; Density</t>
  </si>
  <si>
    <t xml:space="preserve">20241015-S01706</t>
  </si>
  <si>
    <t xml:space="preserve">2024-10-15</t>
  </si>
  <si>
    <t xml:space="preserve">Batch 200049 Final MRV #3  Final Product (1 L) - TAN &amp; Density</t>
  </si>
  <si>
    <t xml:space="preserve">2024-10-15 00:00</t>
  </si>
  <si>
    <t xml:space="preserve">200049</t>
  </si>
  <si>
    <t xml:space="preserve">CAR-159</t>
  </si>
  <si>
    <t xml:space="preserve">https://charmindustrial.atlassian.net/jira/servicedesk/projects/CAR/queues/custom/175/CAR-159</t>
  </si>
  <si>
    <t xml:space="preserve">https://drive.google.com/drive/folders/167g1gj_QddmzCt8R7GkYN_kYY_HovkYu</t>
  </si>
  <si>
    <t xml:space="preserve">20241015-S01705</t>
  </si>
  <si>
    <t xml:space="preserve">Batch 200049 Final MRV #2  Final Product (1 L) - TAN &amp; Density</t>
  </si>
  <si>
    <t xml:space="preserve">20241015-S01704</t>
  </si>
  <si>
    <t xml:space="preserve">Batch 200049 Final MRV #1  Final Product (1 L) - TAN &amp; Density</t>
  </si>
  <si>
    <t xml:space="preserve">20241014-S01703</t>
  </si>
  <si>
    <t xml:space="preserve">2024-10-14</t>
  </si>
  <si>
    <t xml:space="preserve">Batch 200049  Final Sparged #3 Fully sparged - CHN &amp; H2O</t>
  </si>
  <si>
    <t xml:space="preserve">2024-10-14 00:00</t>
  </si>
  <si>
    <t xml:space="preserve">20241014-S01702</t>
  </si>
  <si>
    <t xml:space="preserve">Batch 200049  Final Sparged #2 Fully sparged - CHN &amp; H2O</t>
  </si>
  <si>
    <t xml:space="preserve">20241014-S01701</t>
  </si>
  <si>
    <t xml:space="preserve">Batch 200049  Final Sparged #1 Fully sparged - CHN &amp; H2O</t>
  </si>
  <si>
    <t xml:space="preserve">20241014-S01700</t>
  </si>
  <si>
    <t xml:space="preserve">Batch 200048 Final MRV #3  Final Product (1 L) - TAN &amp; Density</t>
  </si>
  <si>
    <t xml:space="preserve">200048</t>
  </si>
  <si>
    <t xml:space="preserve">20241014-S01699</t>
  </si>
  <si>
    <t xml:space="preserve">Batch 200048 Final MRV #2  Final Product (1 L) - TAN &amp; Density</t>
  </si>
  <si>
    <t xml:space="preserve">20241014-S01698</t>
  </si>
  <si>
    <t xml:space="preserve">Batch 200048 Final MRV #1  Final Product (1 L) - TAN &amp; Density</t>
  </si>
  <si>
    <t xml:space="preserve">20241013-S01697</t>
  </si>
  <si>
    <t xml:space="preserve">2024-10-13</t>
  </si>
  <si>
    <t xml:space="preserve">Batch 200048 Final Sparged #3 Fully sparged - CHN &amp; H2O</t>
  </si>
  <si>
    <t xml:space="preserve">2024-10-13 00:00</t>
  </si>
  <si>
    <t xml:space="preserve">20241013-S01696</t>
  </si>
  <si>
    <t xml:space="preserve">Batch 200048 Final Sparged #2 Fully sparged - CHN &amp; H2O</t>
  </si>
  <si>
    <t xml:space="preserve">20241013-S01695</t>
  </si>
  <si>
    <t xml:space="preserve">Batch 200048 Final Sparged #1 Fully sparged - CHN &amp; H2O</t>
  </si>
  <si>
    <t xml:space="preserve">20241011-S01694</t>
  </si>
  <si>
    <t xml:space="preserve">2024-10-11</t>
  </si>
  <si>
    <t xml:space="preserve">Batch 200047 Final MRV #3 Final Product (1 L) - TAN &amp; Density</t>
  </si>
  <si>
    <t xml:space="preserve">2024-10-11 00:00</t>
  </si>
  <si>
    <t xml:space="preserve">200047</t>
  </si>
  <si>
    <t xml:space="preserve">CAR-157</t>
  </si>
  <si>
    <t xml:space="preserve">https://charmindustrial.atlassian.net/jira/servicedesk/projects/CAR/queues/custom/175/CAR-157</t>
  </si>
  <si>
    <t xml:space="preserve">20241011-S01693</t>
  </si>
  <si>
    <t xml:space="preserve">Batch 200047 Final MRV #2 Final Product (1 L) - TAN &amp; Density</t>
  </si>
  <si>
    <t xml:space="preserve">20241011-S01692</t>
  </si>
  <si>
    <t xml:space="preserve">Batch 200047 Final MRV #1 Final Product (1 L) - TAN &amp; Density</t>
  </si>
  <si>
    <t xml:space="preserve">20241010-S01691</t>
  </si>
  <si>
    <t xml:space="preserve">2024-10-10</t>
  </si>
  <si>
    <t xml:space="preserve"> Batch 200047 Final Sparged #3 Fully sparged - CHN &amp; H2O</t>
  </si>
  <si>
    <t xml:space="preserve">2024-10-10 00:00</t>
  </si>
  <si>
    <t xml:space="preserve">20241010-S01690</t>
  </si>
  <si>
    <t xml:space="preserve"> Batch 200047 Final Sparged #2 Fully sparged - CHN &amp; H2O</t>
  </si>
  <si>
    <t xml:space="preserve">20241010-S01689</t>
  </si>
  <si>
    <t xml:space="preserve"> Batch 200047 Final Sparged #1 Fully sparged - CHN &amp; H2O</t>
  </si>
  <si>
    <t xml:space="preserve">20241010-S01688</t>
  </si>
  <si>
    <t xml:space="preserve"> Batch 200046 Final MRV #3 Final Product (1 L) - TAN &amp; Density</t>
  </si>
  <si>
    <t xml:space="preserve">200046</t>
  </si>
  <si>
    <t xml:space="preserve">20241010-S01687</t>
  </si>
  <si>
    <t xml:space="preserve"> Batch 200046 Final MRV #2 Final Product (1 L) - TAN &amp; Density</t>
  </si>
  <si>
    <t xml:space="preserve">20241010-S01686</t>
  </si>
  <si>
    <t xml:space="preserve"> Batch 200046 Final MRV #1 Final Product (1 L) - TAN &amp; Density</t>
  </si>
  <si>
    <t xml:space="preserve">20241008-S01685</t>
  </si>
  <si>
    <t xml:space="preserve">2024-10-08</t>
  </si>
  <si>
    <t xml:space="preserve">Batch 200046 Final Sparged #3 Fully sparged - CHN &amp; H2O</t>
  </si>
  <si>
    <t xml:space="preserve">2024-10-08 00:00</t>
  </si>
  <si>
    <t xml:space="preserve">20241008-S01684</t>
  </si>
  <si>
    <t xml:space="preserve">Batch 200046 Final Sparged #2 Fully sparged - CHN &amp; H2O</t>
  </si>
  <si>
    <t xml:space="preserve">20241008-S01683</t>
  </si>
  <si>
    <t xml:space="preserve">Batch 200046 Final Sparged #1 Fully sparged - CHN &amp; H2O</t>
  </si>
  <si>
    <t xml:space="preserve">20241008-S01682</t>
  </si>
  <si>
    <t xml:space="preserve">Batch 200045  Final MRV #3  Final Product (1 L) - TAN &amp; Density</t>
  </si>
  <si>
    <t xml:space="preserve">200045</t>
  </si>
  <si>
    <t xml:space="preserve">Alex</t>
  </si>
  <si>
    <t xml:space="preserve">CAR-156</t>
  </si>
  <si>
    <t xml:space="preserve">https://charmindustrial.atlassian.net/jira/servicedesk/projects/CAR/queues/custom/175/CAR-156</t>
  </si>
  <si>
    <t xml:space="preserve">https://drive.google.com/drive/folders/1A4oCWJzStk_NKLpt1bUcZBgxpMSNHhJf</t>
  </si>
  <si>
    <t xml:space="preserve">20241008-S01681</t>
  </si>
  <si>
    <t xml:space="preserve">Batch 200045  Final MRV #2  Final Product (1 L) - TAN &amp; Density</t>
  </si>
  <si>
    <t xml:space="preserve">20241008-S01680</t>
  </si>
  <si>
    <t xml:space="preserve">Batch 200045  Final MRV #1  Final Product (1 L) - TAN &amp; Density</t>
  </si>
  <si>
    <t xml:space="preserve">20241007-S01679</t>
  </si>
  <si>
    <t xml:space="preserve">2024-10-07</t>
  </si>
  <si>
    <t xml:space="preserve"> Batch 200044 Final MRV #3 Final Product (1 L) - TAN &amp; Density</t>
  </si>
  <si>
    <t xml:space="preserve">2024-10-07 00:00</t>
  </si>
  <si>
    <t xml:space="preserve">200044</t>
  </si>
  <si>
    <t xml:space="preserve">CAR-155</t>
  </si>
  <si>
    <t xml:space="preserve">https://charmindustrial.atlassian.net/jira/servicedesk/projects/CAR/queues/custom/175/CAR-155</t>
  </si>
  <si>
    <t xml:space="preserve">https://drive.google.com/drive/folders/1EvlLWx2rTWXao88ItveJUre-k49FLdwF</t>
  </si>
  <si>
    <t xml:space="preserve">20241007-S01678</t>
  </si>
  <si>
    <t xml:space="preserve"> Batch 200044 Final MRV #2 Final Product (1 L) - TAN &amp; Density</t>
  </si>
  <si>
    <t xml:space="preserve">20241007-S01677</t>
  </si>
  <si>
    <t xml:space="preserve"> Batch 200044 Final MRV #1 Final Product (1 L) - TAN &amp; Density</t>
  </si>
  <si>
    <t xml:space="preserve">20241007-S01676</t>
  </si>
  <si>
    <t xml:space="preserve">Batch 200045 Final Sparged #3  Fully sparged - CHN &amp; H2O</t>
  </si>
  <si>
    <t xml:space="preserve">20241007-S01675</t>
  </si>
  <si>
    <t xml:space="preserve">Batch 200045 Final Sparged #2  Fully sparged - CHN &amp; H2O</t>
  </si>
  <si>
    <t xml:space="preserve">20241007-S01674</t>
  </si>
  <si>
    <t xml:space="preserve">Batch 200045 Final Sparged #1  Fully sparged - CHN &amp; H2O</t>
  </si>
  <si>
    <t xml:space="preserve">20241006-S01673</t>
  </si>
  <si>
    <t xml:space="preserve">2024-10-06</t>
  </si>
  <si>
    <t xml:space="preserve">Batch 200044 Final Sparge #3  Fully sparged - CHN &amp; H2O</t>
  </si>
  <si>
    <t xml:space="preserve">2024-10-06 00:00</t>
  </si>
  <si>
    <t xml:space="preserve">20241006-S01672</t>
  </si>
  <si>
    <t xml:space="preserve">Batch 200044 Final Sparge #2  Fully sparged - CHN &amp; H2O</t>
  </si>
  <si>
    <t xml:space="preserve">20241006-S01671</t>
  </si>
  <si>
    <t xml:space="preserve">Batch 200044 Final Sparge #1  Fully sparged - CHN &amp; H2O</t>
  </si>
  <si>
    <t xml:space="preserve">20241001-S01640</t>
  </si>
  <si>
    <t xml:space="preserve">2024-10-01</t>
  </si>
  <si>
    <t xml:space="preserve">Batch 200043 Final MRV #3 Final Product (1 L) - TAN &amp; Density</t>
  </si>
  <si>
    <t xml:space="preserve">2024-10-01 00:00</t>
  </si>
  <si>
    <t xml:space="preserve">200043</t>
  </si>
  <si>
    <t xml:space="preserve">20241001-S01639</t>
  </si>
  <si>
    <t xml:space="preserve">Batch 200043 Final MRV #2  Final Product (1 L) - TAN &amp; Density</t>
  </si>
  <si>
    <t xml:space="preserve">20241001-S01638</t>
  </si>
  <si>
    <t xml:space="preserve">Batch 200043 Final MRV #1 Final Product (1 L) - TAN &amp; Density</t>
  </si>
  <si>
    <t xml:space="preserve">20240930-S01637</t>
  </si>
  <si>
    <t xml:space="preserve">2024-09-30</t>
  </si>
  <si>
    <t xml:space="preserve">Batch 200043  Final Sparge #1 Fully sparged - CHN &amp; H2O</t>
  </si>
  <si>
    <t xml:space="preserve">2024-09-30 00:00</t>
  </si>
  <si>
    <t xml:space="preserve">20240930-S01636</t>
  </si>
  <si>
    <t xml:space="preserve">20240930-S01635</t>
  </si>
  <si>
    <t xml:space="preserve">Batch 200043 Final Sparge #1 Fully sparged - CHN &amp; H2O</t>
  </si>
  <si>
    <t xml:space="preserve">20240927-S01634</t>
  </si>
  <si>
    <t xml:space="preserve">2024-09-27</t>
  </si>
  <si>
    <t xml:space="preserve">Batch 200042 Final MRV #3 Final Product (1 L) - TAN &amp; Density</t>
  </si>
  <si>
    <t xml:space="preserve">2024-09-27 00:00</t>
  </si>
  <si>
    <t xml:space="preserve">200042</t>
  </si>
  <si>
    <t xml:space="preserve">CAR-151</t>
  </si>
  <si>
    <t xml:space="preserve">https://charmindustrial.atlassian.net/jira/servicedesk/projects/CAR/queues/custom/175/CAR-151</t>
  </si>
  <si>
    <t xml:space="preserve">https://drive.google.com/drive/folders/1j1jW9yS4yW3y04slv62ZxeW2jGHP1MIH</t>
  </si>
  <si>
    <t xml:space="preserve">20240927-S01633</t>
  </si>
  <si>
    <t xml:space="preserve">Batch 200042 Final MRV #2 Final Product (1 L) - TAN &amp; Density</t>
  </si>
  <si>
    <t xml:space="preserve">20240927-S01632</t>
  </si>
  <si>
    <t xml:space="preserve">Batch 200042 Final MRV #1 Final Product (1 L) - TAN &amp; Density</t>
  </si>
  <si>
    <t xml:space="preserve">20240926-S01616</t>
  </si>
  <si>
    <t xml:space="preserve">2024-09-26</t>
  </si>
  <si>
    <t xml:space="preserve">Batch 200041 Final MRV #3 Final Product (1 L) - TAN &amp; Density</t>
  </si>
  <si>
    <t xml:space="preserve">2024-09-26 00:00</t>
  </si>
  <si>
    <t xml:space="preserve">200041</t>
  </si>
  <si>
    <t xml:space="preserve">20240926-S01615</t>
  </si>
  <si>
    <t xml:space="preserve">Batch 200041 Final MRV #2 Final Product (1 L) - TAN &amp; Density</t>
  </si>
  <si>
    <t xml:space="preserve">20240926-S01614</t>
  </si>
  <si>
    <t xml:space="preserve">Batch 200041 Final MRV #1 Final Product (1 L) - TAN &amp; Density</t>
  </si>
  <si>
    <t xml:space="preserve">20240926-S01613</t>
  </si>
  <si>
    <t xml:space="preserve">Batch 200042 Final Sparge #3 Fully Sparged - CHN &amp; H2O</t>
  </si>
  <si>
    <t xml:space="preserve">https://drive.google.com/drive/folders/1NU6sujWGW2vU83b1QsfKBQlMgsAHh8KL</t>
  </si>
  <si>
    <t xml:space="preserve">20240926-S01612</t>
  </si>
  <si>
    <t xml:space="preserve">Batch 200042 Final Sparge #2 Fully Sparged - CHN &amp; H2O</t>
  </si>
  <si>
    <t xml:space="preserve">20240926-S01611</t>
  </si>
  <si>
    <t xml:space="preserve">Batch 200042 Final Sparge #1 Fully Sparged - CHN &amp; H2O</t>
  </si>
  <si>
    <t xml:space="preserve">20240925-S01610</t>
  </si>
  <si>
    <t xml:space="preserve">2024-09-25</t>
  </si>
  <si>
    <t xml:space="preserve">Batch 200040 Final MRV #3  Final Product (1 L) - TAN &amp; Density</t>
  </si>
  <si>
    <t xml:space="preserve">2024-09-25 00:00</t>
  </si>
  <si>
    <t xml:space="preserve">200040</t>
  </si>
  <si>
    <t xml:space="preserve">CAR-152</t>
  </si>
  <si>
    <t xml:space="preserve">https://charmindustrial.atlassian.net/jira/servicedesk/projects/CAR/queues/custom/175/CAR-152</t>
  </si>
  <si>
    <t xml:space="preserve">20240925-S01609</t>
  </si>
  <si>
    <t xml:space="preserve">Batch 200040 Final MRV #2  Final Product (1 L) - TAN &amp; Density</t>
  </si>
  <si>
    <t xml:space="preserve">20240925-S01608</t>
  </si>
  <si>
    <t xml:space="preserve">Batch 200040 Final MRV #1  Final Product (1 L) - TAN &amp; Density</t>
  </si>
  <si>
    <t xml:space="preserve">20240925-S01607</t>
  </si>
  <si>
    <t xml:space="preserve">Batch 200041 Final Sparge #3 Fully Sparged - CHN &amp; H2O</t>
  </si>
  <si>
    <t xml:space="preserve">CAR-150</t>
  </si>
  <si>
    <t xml:space="preserve">https://charmindustrial.atlassian.net/jira/servicedesk/projects/CAR/queues/custom/175/CAR-150</t>
  </si>
  <si>
    <t xml:space="preserve">20240925-S01606</t>
  </si>
  <si>
    <t xml:space="preserve">Batch 200041 Final Sparge #2 Fully Sparged - CHN &amp; H2O</t>
  </si>
  <si>
    <t xml:space="preserve">20240925-S01605</t>
  </si>
  <si>
    <t xml:space="preserve">Batch 200041 Final Sparge #1 Fully Sparged - CHN &amp; H2O</t>
  </si>
  <si>
    <t xml:space="preserve">20240924-S01604</t>
  </si>
  <si>
    <t xml:space="preserve">2024-09-24</t>
  </si>
  <si>
    <t xml:space="preserve"> Batch 200040 Final Sparge #3 Fully Sparged - CHN &amp; H2O</t>
  </si>
  <si>
    <t xml:space="preserve">2024-09-24 00:00</t>
  </si>
  <si>
    <t xml:space="preserve">20240924-S01603</t>
  </si>
  <si>
    <t xml:space="preserve"> Batch 200040 Final Sparge #2 Fully Sparged - CHN &amp; H2O</t>
  </si>
  <si>
    <t xml:space="preserve">20240924-S01602</t>
  </si>
  <si>
    <t xml:space="preserve"> Batch 200040 Final Sparge #1 Fully Sparged - CHN &amp; H2O</t>
  </si>
  <si>
    <t xml:space="preserve">20240923-S01601</t>
  </si>
  <si>
    <t xml:space="preserve">2024-09-23</t>
  </si>
  <si>
    <t xml:space="preserve"> Batch 200039 Final MRV #3 Final Product (1 L) - TAN &amp; Density</t>
  </si>
  <si>
    <t xml:space="preserve">2024-09-23 00:00</t>
  </si>
  <si>
    <t xml:space="preserve">200039</t>
  </si>
  <si>
    <t xml:space="preserve">20240923-S01600</t>
  </si>
  <si>
    <t xml:space="preserve"> Batch 200039 Final MRV #2 Final Product (1 L) - TAN &amp; Density</t>
  </si>
  <si>
    <t xml:space="preserve">20240923-S01599</t>
  </si>
  <si>
    <t xml:space="preserve"> Batch 200039 Final MRV #1 Final Product (1 L) - TAN &amp; Density</t>
  </si>
  <si>
    <t xml:space="preserve">20240922-S01598</t>
  </si>
  <si>
    <t xml:space="preserve">2024-09-22</t>
  </si>
  <si>
    <t xml:space="preserve">Batch 200039 Final Sparged #3 Fully Sparged - CHN &amp; H2O</t>
  </si>
  <si>
    <t xml:space="preserve">2024-09-22 00:00</t>
  </si>
  <si>
    <t xml:space="preserve">20240922-S01597</t>
  </si>
  <si>
    <t xml:space="preserve">Batch 200039 Final Sparged #2 Fully Sparged - CHN &amp; H2O</t>
  </si>
  <si>
    <t xml:space="preserve">20240922-S01596</t>
  </si>
  <si>
    <t xml:space="preserve">Batch 200039 Final Sparged #1 Fully Sparged - CHN &amp; H2O</t>
  </si>
  <si>
    <t xml:space="preserve">20240920-S01583</t>
  </si>
  <si>
    <t xml:space="preserve">2024-09-20</t>
  </si>
  <si>
    <t xml:space="preserve">Batch 200038 Final MRV #3  Final Product (1 L) - TAN &amp; Density</t>
  </si>
  <si>
    <t xml:space="preserve">2024-09-20 00:00</t>
  </si>
  <si>
    <t xml:space="preserve">200038</t>
  </si>
  <si>
    <t xml:space="preserve">20240920-S01582</t>
  </si>
  <si>
    <t xml:space="preserve">Batch 200038 Final MRV #2  Final Product (1 L) - TAN &amp; Density</t>
  </si>
  <si>
    <t xml:space="preserve">20240920-S01581</t>
  </si>
  <si>
    <t xml:space="preserve">Batch 200038 Final MRV #1  Final Product (1 L) - TAN &amp; Density</t>
  </si>
  <si>
    <t xml:space="preserve">20240813-S01988</t>
  </si>
  <si>
    <t xml:space="preserve">2024-08-13</t>
  </si>
  <si>
    <t xml:space="preserve">Batch 200028 	Final Sparge
MRV #6</t>
  </si>
  <si>
    <t xml:space="preserve">2024-08-13 13:14</t>
  </si>
  <si>
    <t xml:space="preserve">200028</t>
  </si>
  <si>
    <t xml:space="preserve">20240813-S01987</t>
  </si>
  <si>
    <t xml:space="preserve">Batch 200028 	Final Sparge
MRV #5</t>
  </si>
  <si>
    <t xml:space="preserve">2024-08-13 13:18</t>
  </si>
  <si>
    <t xml:space="preserve">20240813-S01986</t>
  </si>
  <si>
    <t xml:space="preserve">Batch 200028 Final Sparge
MRV #4</t>
  </si>
  <si>
    <t xml:space="preserve">2024-08-13 13:16</t>
  </si>
  <si>
    <t xml:space="preserve">20240806-S02202</t>
  </si>
  <si>
    <t xml:space="preserve">2024-08-06</t>
  </si>
  <si>
    <t xml:space="preserve">BATCH 200026 MRV #3</t>
  </si>
  <si>
    <t xml:space="preserve">2024-08-06 11:19</t>
  </si>
  <si>
    <t xml:space="preserve">200026</t>
  </si>
  <si>
    <t xml:space="preserve">20240806-S02201</t>
  </si>
  <si>
    <t xml:space="preserve">BATCH 200026 MRV #2</t>
  </si>
  <si>
    <t xml:space="preserve">2024-08-06 11:18</t>
  </si>
  <si>
    <t xml:space="preserve">20240806-S02200</t>
  </si>
  <si>
    <t xml:space="preserve">BATCH 200026 MRV #1</t>
  </si>
  <si>
    <t xml:space="preserve">2024-08-06 11:17</t>
  </si>
  <si>
    <t xml:space="preserve">20240805-S02199</t>
  </si>
  <si>
    <t xml:space="preserve">2024-08-05</t>
  </si>
  <si>
    <t xml:space="preserve">200026 Final Sparged #3</t>
  </si>
  <si>
    <t xml:space="preserve">2024-08-05 11:00</t>
  </si>
  <si>
    <t xml:space="preserve">20240805-S02198</t>
  </si>
  <si>
    <t xml:space="preserve">200026 Final Sparged #2</t>
  </si>
  <si>
    <t xml:space="preserve">2024-08-05 10:59</t>
  </si>
  <si>
    <t xml:space="preserve">20240805-S02197</t>
  </si>
  <si>
    <t xml:space="preserve">200026 Final Sparged #1</t>
  </si>
  <si>
    <t xml:space="preserve">2024-08-05 10:58</t>
  </si>
  <si>
    <t xml:space="preserve">20240718-S01985</t>
  </si>
  <si>
    <t xml:space="preserve">2024-07-18</t>
  </si>
  <si>
    <t xml:space="preserve">Batch 200025 	Final Sparge
MRV #6</t>
  </si>
  <si>
    <t xml:space="preserve">2024-07-18 07:52</t>
  </si>
  <si>
    <t xml:space="preserve">200025</t>
  </si>
  <si>
    <t xml:space="preserve">20240718-S01984</t>
  </si>
  <si>
    <t xml:space="preserve">Batch 200025 	Final Sparge
MRV #5</t>
  </si>
  <si>
    <t xml:space="preserve">2024-07-18 07:58</t>
  </si>
  <si>
    <t xml:space="preserve">20240718-S01983</t>
  </si>
  <si>
    <t xml:space="preserve">Batch 200025 	Final Sparge
MRV #4</t>
  </si>
  <si>
    <t xml:space="preserve">2024-07-18 07:56</t>
  </si>
  <si>
    <t xml:space="preserve">20240709-S01903</t>
  </si>
  <si>
    <t xml:space="preserve">2024-07-09</t>
  </si>
  <si>
    <t xml:space="preserve">BATCH 200023 Final MRV #3</t>
  </si>
  <si>
    <t xml:space="preserve">2024-07-09 17:00</t>
  </si>
  <si>
    <t xml:space="preserve">200023</t>
  </si>
  <si>
    <t xml:space="preserve">https://charmindustrial.atlassian.net/jira/servicedesk/projects/CAR/queues/custom/175/CAR-112</t>
  </si>
  <si>
    <t xml:space="preserve">https://drive.google.com/drive/folders/1VOe57HKIayAss8gPan4ZSAlkqUcpwsOf</t>
  </si>
  <si>
    <t xml:space="preserve">20240709-S01902</t>
  </si>
  <si>
    <t xml:space="preserve">BATCH 200023 Final MRV #2</t>
  </si>
  <si>
    <t xml:space="preserve">20240709-S01901</t>
  </si>
  <si>
    <t xml:space="preserve">BATCH 200023 Final MRV #1</t>
  </si>
  <si>
    <t xml:space="preserve">20240709-S01877</t>
  </si>
  <si>
    <t xml:space="preserve">BATCH 200023 Final Sparge #3</t>
  </si>
  <si>
    <t xml:space="preserve">20240709-S01876</t>
  </si>
  <si>
    <t xml:space="preserve">BATCH 200023 Final Sparge #2</t>
  </si>
  <si>
    <t xml:space="preserve">20240709-S01875</t>
  </si>
  <si>
    <t xml:space="preserve">BATCH 200023 Final Sparge #1</t>
  </si>
  <si>
    <t xml:space="preserve">20240702-S01463</t>
  </si>
  <si>
    <t xml:space="preserve">2024-07-02</t>
  </si>
  <si>
    <t xml:space="preserve">BATCH 200022 MRV #4</t>
  </si>
  <si>
    <t xml:space="preserve">SF Lab</t>
  </si>
  <si>
    <t xml:space="preserve">2024-07-02 00:00</t>
  </si>
  <si>
    <t xml:space="preserve">200022</t>
  </si>
  <si>
    <t xml:space="preserve">CAR-170</t>
  </si>
  <si>
    <t xml:space="preserve">https://charmindustrial.atlassian.net/jira/servicedesk/projects/CAR/queues/custom/175/CAR-170</t>
  </si>
  <si>
    <t xml:space="preserve">https://drive.google.com/drive/folders/1XettapQNVHrOaMJL05M938T2rBXcTzeJ</t>
  </si>
  <si>
    <t xml:space="preserve">20240702-S01462</t>
  </si>
  <si>
    <t xml:space="preserve">BATCH 200022 - Final MRV #6</t>
  </si>
  <si>
    <t xml:space="preserve">CAR-168</t>
  </si>
  <si>
    <t xml:space="preserve">https://charmindustrial.atlassian.net/jira/servicedesk/projects/CAR/queues/custom/175/CAR-168</t>
  </si>
  <si>
    <t xml:space="preserve">20240702-S01461</t>
  </si>
  <si>
    <t xml:space="preserve">BATCH 200022 - Final MRV #5</t>
  </si>
  <si>
    <t xml:space="preserve">20240702-S01460</t>
  </si>
  <si>
    <t xml:space="preserve">BATCH 200022 - Final MRV #4</t>
  </si>
  <si>
    <t xml:space="preserve">20240702-S01459</t>
  </si>
  <si>
    <t xml:space="preserve">BATCH 200022 Final MRV #3 Final Product (1 L) - TAN &amp; Density</t>
  </si>
  <si>
    <t xml:space="preserve">CAR-107</t>
  </si>
  <si>
    <t xml:space="preserve">https://charmindustrial.atlassian.net/jira/servicedesk/projects/CAR/queues/custom/175/CAR-107</t>
  </si>
  <si>
    <t xml:space="preserve">https://drive.google.com/drive/folders/1E5GQNr6eU1TpiqvlrqVolmyghXQF9RD3</t>
  </si>
  <si>
    <t xml:space="preserve">20240702-S01458</t>
  </si>
  <si>
    <t xml:space="preserve">BATCH 200022 Final MRV #2 Final Product (1 L) - TAN &amp; Density</t>
  </si>
  <si>
    <t xml:space="preserve">20240702-S01457</t>
  </si>
  <si>
    <t xml:space="preserve">BATCH 200022 Final MRV #1 Final Product (1 L) - TAN &amp; Density</t>
  </si>
  <si>
    <t xml:space="preserve">20240628-S01456</t>
  </si>
  <si>
    <t xml:space="preserve">2024-06-28</t>
  </si>
  <si>
    <t xml:space="preserve">BATCH 200021 MRV #4</t>
  </si>
  <si>
    <t xml:space="preserve">2024-06-28 00:00</t>
  </si>
  <si>
    <t xml:space="preserve">200021</t>
  </si>
  <si>
    <t xml:space="preserve">20240628-S01455</t>
  </si>
  <si>
    <t xml:space="preserve">BATCH 200021 - Final MRV #6</t>
  </si>
  <si>
    <t xml:space="preserve">20240628-S01454</t>
  </si>
  <si>
    <t xml:space="preserve">BATCH 200021 - Final MRV #5</t>
  </si>
  <si>
    <t xml:space="preserve">20240628-S01453</t>
  </si>
  <si>
    <t xml:space="preserve">BATCH 200021 - Final MRV #4</t>
  </si>
  <si>
    <t xml:space="preserve">20240628-S01452</t>
  </si>
  <si>
    <t xml:space="preserve"> BATCH 200022 Final Sparged #3 Fully sparged - CHN &amp; H2O</t>
  </si>
  <si>
    <t xml:space="preserve">20240628-S01451</t>
  </si>
  <si>
    <t xml:space="preserve"> BATCH 200022 Final Sparged #2 Fully sparged - CHN &amp; H2O</t>
  </si>
  <si>
    <t xml:space="preserve">20240628-S01450</t>
  </si>
  <si>
    <t xml:space="preserve"> BATCH 200022 Final Sparged #1 Fully sparged - CHN &amp; H2O</t>
  </si>
  <si>
    <t xml:space="preserve">20240628-S01449</t>
  </si>
  <si>
    <t xml:space="preserve">BATCH 200021 Final MRV #3 Final Product (1 L) - TAN &amp; Density</t>
  </si>
  <si>
    <t xml:space="preserve">CAR-104</t>
  </si>
  <si>
    <t xml:space="preserve">https://charmindustrial.atlassian.net/jira/servicedesk/projects/CAR/queues/custom/175/CAR-104</t>
  </si>
  <si>
    <t xml:space="preserve">https://drive.google.com/drive/folders/1TItE-HXGHFlyzbRILXxJW0NC-qmnXS3H</t>
  </si>
  <si>
    <t xml:space="preserve">20240628-S01448</t>
  </si>
  <si>
    <t xml:space="preserve">BATCH 200021 Final MRV #2 Final Product (1 L) - TAN &amp; Density</t>
  </si>
  <si>
    <t xml:space="preserve">20240628-S01447</t>
  </si>
  <si>
    <t xml:space="preserve">BATCH 200021 Final MRV #1 Final Product (1 L) - TAN &amp; Density</t>
  </si>
  <si>
    <t xml:space="preserve">20240614-S01428</t>
  </si>
  <si>
    <t xml:space="preserve">2024-06-14</t>
  </si>
  <si>
    <t xml:space="preserve">BATCH 200020 MRV #4</t>
  </si>
  <si>
    <t xml:space="preserve">2024-06-14 00:00</t>
  </si>
  <si>
    <t xml:space="preserve">200020</t>
  </si>
  <si>
    <t xml:space="preserve">20240614-S01427</t>
  </si>
  <si>
    <t xml:space="preserve">BATCH 200020 - Final MRV #6</t>
  </si>
  <si>
    <t xml:space="preserve">CAR-167</t>
  </si>
  <si>
    <t xml:space="preserve">https://charmindustrial.atlassian.net/jira/servicedesk/projects/CAR/queues/custom/175/CAR-167</t>
  </si>
  <si>
    <t xml:space="preserve">20240614-S01426</t>
  </si>
  <si>
    <t xml:space="preserve">BATCH 200020 - Final MRV #5</t>
  </si>
  <si>
    <t xml:space="preserve">20240614-S01425</t>
  </si>
  <si>
    <t xml:space="preserve">BATCH 200020 - Final MRV #4</t>
  </si>
  <si>
    <t xml:space="preserve">20240614-S01424</t>
  </si>
  <si>
    <t xml:space="preserve">BATCH 200021 Final Sparged #3 Fully sparged - CHN &amp; H2O</t>
  </si>
  <si>
    <t xml:space="preserve">20240614-S01423</t>
  </si>
  <si>
    <t xml:space="preserve">BATCH 200021 Final Sparged #2 Fully sparged - CHN &amp; H2O</t>
  </si>
  <si>
    <t xml:space="preserve">20240614-S01422</t>
  </si>
  <si>
    <t xml:space="preserve">BATCH 200021 Final Sparged #1 Fully sparged - CHN &amp; H2O</t>
  </si>
  <si>
    <t xml:space="preserve">20240611-S01418</t>
  </si>
  <si>
    <t xml:space="preserve">2024-06-11</t>
  </si>
  <si>
    <t xml:space="preserve">BATCH 200019 MRV #4</t>
  </si>
  <si>
    <t xml:space="preserve">2024-06-11 00:00</t>
  </si>
  <si>
    <t xml:space="preserve">200019</t>
  </si>
  <si>
    <t xml:space="preserve">20240611-S01417</t>
  </si>
  <si>
    <t xml:space="preserve">BATCH 200019 - Final MRV #6</t>
  </si>
  <si>
    <t xml:space="preserve">20240611-S01416</t>
  </si>
  <si>
    <t xml:space="preserve">BATCH 200019 - Final MRV #5</t>
  </si>
  <si>
    <t xml:space="preserve">20240611-S01415</t>
  </si>
  <si>
    <t xml:space="preserve">BATCH 200019 - Final MRV #4</t>
  </si>
  <si>
    <t xml:space="preserve">20240611-S01411</t>
  </si>
  <si>
    <t xml:space="preserve">BATCH 200019 Final Product (1L) - TAN &amp; Density #3</t>
  </si>
  <si>
    <t xml:space="preserve">CAR-91</t>
  </si>
  <si>
    <t xml:space="preserve">https://charmindustrial.atlassian.net/browse/CAR-91?atlOrigin=eyJpIjoiMTczOGM4NTNhZDAwNDdmZWE3MjlkZDRmYWFkMDRiMDEiLCJwIjoiaiJ9</t>
  </si>
  <si>
    <t xml:space="preserve">https://drive.google.com/drive/folders/1pbqzyTYLvntnkNB5CfRiK4d-mv77hPlZ?usp=drive_link</t>
  </si>
  <si>
    <t xml:space="preserve">20240611-S01410</t>
  </si>
  <si>
    <t xml:space="preserve">BATCH 200019 Final Product (1L) - TAN &amp; Density #2</t>
  </si>
  <si>
    <t xml:space="preserve">20240611-S01409</t>
  </si>
  <si>
    <t xml:space="preserve">BATCH 200019 Final Product (1L) - TAN &amp; Density #1</t>
  </si>
  <si>
    <t xml:space="preserve">20240610-S01408</t>
  </si>
  <si>
    <t xml:space="preserve">2024-06-10</t>
  </si>
  <si>
    <t xml:space="preserve">BATCH 200019 Fully Sparged - CHN &amp; H2O #3</t>
  </si>
  <si>
    <t xml:space="preserve">2024-06-10 00:00</t>
  </si>
  <si>
    <t xml:space="preserve">20240610-S01407</t>
  </si>
  <si>
    <t xml:space="preserve">BATCH 200019 Fully Sparged - CHN &amp; H2O #2</t>
  </si>
  <si>
    <t xml:space="preserve">20240610-S01406</t>
  </si>
  <si>
    <t xml:space="preserve">BATCH 200019 Fully Sparged - CHN &amp; H2O #1</t>
  </si>
  <si>
    <t xml:space="preserve">20240606-S01397</t>
  </si>
  <si>
    <t xml:space="preserve">2024-06-06</t>
  </si>
  <si>
    <t xml:space="preserve">BATCH 200017 MRV #4</t>
  </si>
  <si>
    <t xml:space="preserve">2024-06-06 00:00</t>
  </si>
  <si>
    <t xml:space="preserve">200017</t>
  </si>
  <si>
    <t xml:space="preserve">20240606-S01396</t>
  </si>
  <si>
    <t xml:space="preserve">BATCH 200017 - Final MRV #6</t>
  </si>
  <si>
    <t xml:space="preserve">20240606-S01395</t>
  </si>
  <si>
    <t xml:space="preserve">BATCH 200017 - Final MRV #5</t>
  </si>
  <si>
    <t xml:space="preserve">20240606-S01394</t>
  </si>
  <si>
    <t xml:space="preserve">BATCH 200017 - Final MRV #4</t>
  </si>
  <si>
    <t xml:space="preserve">20240606-S01393</t>
  </si>
  <si>
    <t xml:space="preserve">BATCH 200017 Final Product (1L) - TAN &amp; Density #3</t>
  </si>
  <si>
    <t xml:space="preserve">CAR-88</t>
  </si>
  <si>
    <t xml:space="preserve">https://charmindustrial.atlassian.net/browse/CAR-88?atlOrigin=eyJpIjoiZTkwMmY4OTI5NDE4NGQ4MGJhZjFiMDViNjkxYThkNWQiLCJwIjoiaiJ9</t>
  </si>
  <si>
    <t xml:space="preserve">https://drive.google.com/drive/folders/1-zKau6lbIP00UM6NmUjQYsy4JptzgCOt?usp=drive_link</t>
  </si>
  <si>
    <t xml:space="preserve">20240606-S01392</t>
  </si>
  <si>
    <t xml:space="preserve">BATCH 200017 Final Product (1L) - TAN &amp; Density #2</t>
  </si>
  <si>
    <t xml:space="preserve">20240606-S01391</t>
  </si>
  <si>
    <t xml:space="preserve">BATCH 200017 Final Product (1L) - TAN &amp; Density #1</t>
  </si>
  <si>
    <t xml:space="preserve">20240604-S01387</t>
  </si>
  <si>
    <t xml:space="preserve">2024-06-04</t>
  </si>
  <si>
    <t xml:space="preserve">BATCH 200016 MRV #4</t>
  </si>
  <si>
    <t xml:space="preserve">2024-06-04 00:00</t>
  </si>
  <si>
    <t xml:space="preserve">200016</t>
  </si>
  <si>
    <t xml:space="preserve">20240604-S01386</t>
  </si>
  <si>
    <t xml:space="preserve">BATCH 200016 - Final MRV #6</t>
  </si>
  <si>
    <t xml:space="preserve">20240604-S01385</t>
  </si>
  <si>
    <t xml:space="preserve">BATCH 200016 - Final MRV #5</t>
  </si>
  <si>
    <t xml:space="preserve">20240604-S01384</t>
  </si>
  <si>
    <t xml:space="preserve">BATCH 200016 - Final MRV #4</t>
  </si>
  <si>
    <t xml:space="preserve">20240604-S01382</t>
  </si>
  <si>
    <t xml:space="preserve">BATCH 200017 Fully Sparged - CHN &amp; H2O #3</t>
  </si>
  <si>
    <t xml:space="preserve">20240604-S01381</t>
  </si>
  <si>
    <t xml:space="preserve">BATCH 200017 Fully Sparged - CHN &amp; H2O #2</t>
  </si>
  <si>
    <t xml:space="preserve">20240604-S01380</t>
  </si>
  <si>
    <t xml:space="preserve">BATCH 200017 Fully Sparged - CHN &amp; H2O #1</t>
  </si>
  <si>
    <t xml:space="preserve">20240604-S01379</t>
  </si>
  <si>
    <t xml:space="preserve">BATCH 200016 Final Product (1L) - TAN &amp; Density #3</t>
  </si>
  <si>
    <t xml:space="preserve">CAR-89</t>
  </si>
  <si>
    <t xml:space="preserve">https://charmindustrial.atlassian.net/browse/CAR-89?atlOrigin=eyJpIjoiNzg4MGNkYTdmZGJiNDMyNTk3YjQ1YWYwMDU0ZTMwYzIiLCJwIjoiaiJ9</t>
  </si>
  <si>
    <t xml:space="preserve">20240604-S01378</t>
  </si>
  <si>
    <t xml:space="preserve">BATCH 200016 Final Product (1L) - TAN &amp; Density #2</t>
  </si>
  <si>
    <t xml:space="preserve">20240604-S01377</t>
  </si>
  <si>
    <t xml:space="preserve">BATCH 200016 Final Product (1L) - TAN &amp; Density #1</t>
  </si>
  <si>
    <t xml:space="preserve">20240603-S01375</t>
  </si>
  <si>
    <t xml:space="preserve">2024-06-03</t>
  </si>
  <si>
    <t xml:space="preserve">BATCH 200016 Fully Sparged - CHN &amp; H2O #3</t>
  </si>
  <si>
    <t xml:space="preserve">2024-06-03 00:00</t>
  </si>
  <si>
    <t xml:space="preserve">20240603-S01374</t>
  </si>
  <si>
    <t xml:space="preserve">BATCH 200016 Fully Sparged - CHN &amp; H2O #2</t>
  </si>
  <si>
    <t xml:space="preserve">20240603-S01373</t>
  </si>
  <si>
    <t xml:space="preserve">BATCH  200016 Fully Sparged - CHN &amp; H2O #1</t>
  </si>
  <si>
    <t xml:space="preserve">20240531-S01372</t>
  </si>
  <si>
    <t xml:space="preserve">2024-05-31</t>
  </si>
  <si>
    <t xml:space="preserve">BATCH  200014 Final Product (1L) - TAN &amp; Density #3</t>
  </si>
  <si>
    <t xml:space="preserve">2024-05-31 00:00</t>
  </si>
  <si>
    <t xml:space="preserve">200014</t>
  </si>
  <si>
    <t xml:space="preserve">CAR-90</t>
  </si>
  <si>
    <t xml:space="preserve">https://charmindustrial.atlassian.net/browse/CAR-90?atlOrigin=eyJpIjoiNDZkMmNmNWIxOWQ2NGRmYjg3NGY0OTE0NGZiZmUwNWMiLCJwIjoiaiJ9</t>
  </si>
  <si>
    <t xml:space="preserve">20240531-S01371</t>
  </si>
  <si>
    <t xml:space="preserve">BATCH  200014 Final Product (1L) - TAN &amp; Density #2</t>
  </si>
  <si>
    <t xml:space="preserve">20240531-S01370</t>
  </si>
  <si>
    <t xml:space="preserve">BATCH 200014 Final Product (1L) - TAN &amp; Density #1</t>
  </si>
  <si>
    <t xml:space="preserve">20240530-S01369</t>
  </si>
  <si>
    <t xml:space="preserve">2024-05-30</t>
  </si>
  <si>
    <t xml:space="preserve">BATCH 200014 Fully Sparged - CHN &amp; H2O #3</t>
  </si>
  <si>
    <t xml:space="preserve">2024-05-30 00:00</t>
  </si>
  <si>
    <t xml:space="preserve">20240530-S01368</t>
  </si>
  <si>
    <t xml:space="preserve">BATCH  200014 Fully Sparged - CHN &amp; H2O #2</t>
  </si>
  <si>
    <t xml:space="preserve">20240530-S01367</t>
  </si>
  <si>
    <t xml:space="preserve">BATCH  200014 Fully Sparged - CHN &amp; H2O #1</t>
  </si>
  <si>
    <t xml:space="preserve">20240530-S01366</t>
  </si>
  <si>
    <t xml:space="preserve">BATCH  200013 Final Product (1L) - TAN &amp; Density #3</t>
  </si>
  <si>
    <t xml:space="preserve">200013</t>
  </si>
  <si>
    <t xml:space="preserve">CAR-79</t>
  </si>
  <si>
    <t xml:space="preserve">https://charmindustrial.atlassian.net/browse/CAR-79?atlOrigin=eyJpIjoiMWEwOGRmMWRiNzg1NGNjYzhiNzM2YTlhMTAyYzY4YzgiLCJwIjoiaiJ9</t>
  </si>
  <si>
    <t xml:space="preserve">https://drive.google.com/drive/folders/1ympH4GcBkehS0dCBukSglEF_9shmVRCC?usp=drive_link</t>
  </si>
  <si>
    <t xml:space="preserve">20240530-S01365</t>
  </si>
  <si>
    <t xml:space="preserve">BATCH  200013 Final Product (1L) - TAN &amp; Density #2</t>
  </si>
  <si>
    <t xml:space="preserve">20240530-S01364</t>
  </si>
  <si>
    <t xml:space="preserve">BATCH 200013 Final Product (1L) - TAN &amp; Density #1</t>
  </si>
  <si>
    <t xml:space="preserve">20240529-S01356</t>
  </si>
  <si>
    <t xml:space="preserve">2024-05-29</t>
  </si>
  <si>
    <t xml:space="preserve">200013 Fully Sparged - CHN &amp; H2O #3</t>
  </si>
  <si>
    <t xml:space="preserve">2024-05-29 00:00</t>
  </si>
  <si>
    <t xml:space="preserve">20240529-S01355</t>
  </si>
  <si>
    <t xml:space="preserve">200013 Fully Sparged - CHN &amp; H2O #2</t>
  </si>
  <si>
    <t xml:space="preserve">20240529-S01354</t>
  </si>
  <si>
    <t xml:space="preserve">200013 Fully Sparged - CHN &amp; H2O #1</t>
  </si>
  <si>
    <t xml:space="preserve">20240528-S01345</t>
  </si>
  <si>
    <t xml:space="preserve">2024-05-28</t>
  </si>
  <si>
    <t xml:space="preserve">BATCH 200012 Final Product (1L) - TAN &amp; Density #3</t>
  </si>
  <si>
    <t xml:space="preserve">2024-05-28 00:00</t>
  </si>
  <si>
    <t xml:space="preserve">200012</t>
  </si>
  <si>
    <t xml:space="preserve">CAR-78</t>
  </si>
  <si>
    <t xml:space="preserve">https://charmindustrial.atlassian.net/browse/CAR-78?atlOrigin=eyJpIjoiYjQxZmY3MGJjNGE1NGUwMDgyMDFjYjdkZTMxYzQ5Y2MiLCJwIjoiaiJ9</t>
  </si>
  <si>
    <t xml:space="preserve">https://drive.google.com/drive/folders/1Y7HkoHoI34ojRCCPnpr0L7m7ht9BgCZQ?usp=drive_link</t>
  </si>
  <si>
    <t xml:space="preserve">20240528-S01344</t>
  </si>
  <si>
    <t xml:space="preserve">BATCH 200012 Final Product (1L) - TAN &amp; Density #2</t>
  </si>
  <si>
    <t xml:space="preserve">20240528-S01343</t>
  </si>
  <si>
    <t xml:space="preserve">BATCH 200012 Final Product (1L) - TAN &amp; Density #1</t>
  </si>
  <si>
    <t xml:space="preserve">20240525-S01342</t>
  </si>
  <si>
    <t xml:space="preserve">2024-05-25</t>
  </si>
  <si>
    <t xml:space="preserve">BATCH 200012 Fully Sparged - CHN &amp; H2O #3</t>
  </si>
  <si>
    <t xml:space="preserve">2024-05-25 00:00</t>
  </si>
  <si>
    <t xml:space="preserve">20240525-S01341</t>
  </si>
  <si>
    <t xml:space="preserve">BATCH 200012 Fully Sparged - CHN &amp; H2O #2</t>
  </si>
  <si>
    <t xml:space="preserve">20240525-S01340</t>
  </si>
  <si>
    <t xml:space="preserve">BATCH 200012 Fully Sparged - CHN &amp; H2O #1</t>
  </si>
  <si>
    <t xml:space="preserve">20240525-S01339</t>
  </si>
  <si>
    <t xml:space="preserve">BATCH 200011 Final Product (1 L) - TAN &amp; Density #3</t>
  </si>
  <si>
    <t xml:space="preserve">200011</t>
  </si>
  <si>
    <t xml:space="preserve">CAR-71</t>
  </si>
  <si>
    <t xml:space="preserve">http://car-70/</t>
  </si>
  <si>
    <t xml:space="preserve">https://drive.google.com/drive/folders/10PHJFWklqQhDjfmbstcUwQQUhuK4Jbw6?usp=drive_link</t>
  </si>
  <si>
    <t xml:space="preserve">20240525-S01338</t>
  </si>
  <si>
    <t xml:space="preserve">BATCH 200011 Final Product (1 L) - TAN &amp; Density #2</t>
  </si>
  <si>
    <t xml:space="preserve">20240525-S01337</t>
  </si>
  <si>
    <t xml:space="preserve">BATCH 200011 Final Product (1 L) - TAN &amp; Density #1</t>
  </si>
  <si>
    <t xml:space="preserve">20240524-S01336</t>
  </si>
  <si>
    <t xml:space="preserve">2024-05-24</t>
  </si>
  <si>
    <t xml:space="preserve">BATCH 200011 Fully sparged - CHN &amp; H2O #2</t>
  </si>
  <si>
    <t xml:space="preserve">https://drive.google.com/drive/folders/1iG0_Ys1Urz8JEqQL-U16xpMmP21Gyr_y?usp=drive_link</t>
  </si>
  <si>
    <t xml:space="preserve">20240524-S01335</t>
  </si>
  <si>
    <t xml:space="preserve">20240524-S01334</t>
  </si>
  <si>
    <t xml:space="preserve">BATCH 200011 Fully sparged - CHN &amp; H2O #1</t>
  </si>
  <si>
    <t xml:space="preserve">20240524-S01333</t>
  </si>
  <si>
    <t xml:space="preserve">BATCH 200010 Final Product (1 L) - TAN &amp; Density #3</t>
  </si>
  <si>
    <t xml:space="preserve">200010</t>
  </si>
  <si>
    <t xml:space="preserve">CAR-70</t>
  </si>
  <si>
    <t xml:space="preserve">https://charmindustrial.atlassian.net/browse/CAR-71?atlOrigin=eyJpIjoiN2UyYWUyNDNmZDY2NGIyOWE5MmUxNWIzZTJlYWFjMGYiLCJwIjoiaiJ9</t>
  </si>
  <si>
    <t xml:space="preserve">20240524-S01332</t>
  </si>
  <si>
    <t xml:space="preserve">BATCH 200010 Final Product (1 L) - TAN &amp; Density #2</t>
  </si>
  <si>
    <t xml:space="preserve">20240524-S01331</t>
  </si>
  <si>
    <t xml:space="preserve">BATCH 200010 Final Product (1 L) - TAN &amp; Density #1</t>
  </si>
  <si>
    <t xml:space="preserve">20240523-S01330</t>
  </si>
  <si>
    <t xml:space="preserve">2024-05-23</t>
  </si>
  <si>
    <t xml:space="preserve">BATCH 200010 Fully sparged - CHN &amp; H2O #2</t>
  </si>
  <si>
    <t xml:space="preserve">20240523-S01329</t>
  </si>
  <si>
    <t xml:space="preserve">20240523-S01328</t>
  </si>
  <si>
    <t xml:space="preserve">BATCH 200010 Fully sparged - CHN &amp; H2O #1</t>
  </si>
  <si>
    <t xml:space="preserve">20240523-S01327</t>
  </si>
  <si>
    <t xml:space="preserve">BATCH 200009 Final Product (1 L) - TAN &amp; Density #3</t>
  </si>
  <si>
    <t xml:space="preserve">200009</t>
  </si>
  <si>
    <t xml:space="preserve">CAR-69</t>
  </si>
  <si>
    <t xml:space="preserve">https://charmindustrial.atlassian.net/browse/CAR-69?atlOrigin=eyJpIjoiYmQxZTBhYTYwM2Y5NDQ0ZDk0NWM1MjgxNTdlYTNhNjkiLCJwIjoiaiJ9</t>
  </si>
  <si>
    <t xml:space="preserve">20240523-S01326</t>
  </si>
  <si>
    <t xml:space="preserve">BATCH 200009 Final Product (1 L) - TAN &amp; Density #2</t>
  </si>
  <si>
    <t xml:space="preserve">20240523-S01325</t>
  </si>
  <si>
    <t xml:space="preserve">BATCH 200009 Final Product (1 L) - TAN &amp; Density #1</t>
  </si>
  <si>
    <t xml:space="preserve">20240522-S01324</t>
  </si>
  <si>
    <t xml:space="preserve">2024-05-22</t>
  </si>
  <si>
    <t xml:space="preserve">BATCH 200009 Fully sparged - CHN &amp; H2O #2</t>
  </si>
  <si>
    <t xml:space="preserve">20240522-S01323</t>
  </si>
  <si>
    <t xml:space="preserve">20240522-S01322</t>
  </si>
  <si>
    <t xml:space="preserve">BATCH 200009 Fully sparged - CHN &amp; H2O #1</t>
  </si>
  <si>
    <t xml:space="preserve">20240521-S01311</t>
  </si>
  <si>
    <t xml:space="preserve">2024-05-21</t>
  </si>
  <si>
    <t xml:space="preserve">BATCH 200008 Final Product (1 L) - TAN &amp; Density #3</t>
  </si>
  <si>
    <t xml:space="preserve">2024-05-21 00:00</t>
  </si>
  <si>
    <t xml:space="preserve">200008</t>
  </si>
  <si>
    <t xml:space="preserve">CAR-64</t>
  </si>
  <si>
    <t xml:space="preserve">https://charmindustrial.atlassian.net/browse/CAR-64?atlOrigin=eyJpIjoiNzFjOTA3MjRjZWVmNDBiYWI2NTEyOGJjMmZkYmFmZGQiLCJwIjoiaiJ9</t>
  </si>
  <si>
    <t xml:space="preserve">https://drive.google.com/drive/folders/1YfM5NlC9zUcimz8xYJhYX8_ItXRjS-k8?usp=drive_link</t>
  </si>
  <si>
    <t xml:space="preserve">20240521-S01310</t>
  </si>
  <si>
    <t xml:space="preserve">BATCH 200008 Final Product (1 L) - TAN &amp; Density #2</t>
  </si>
  <si>
    <t xml:space="preserve">20240521-S01309</t>
  </si>
  <si>
    <t xml:space="preserve">BATCH 200008 Final Product (1 L) - TAN &amp; Density #1</t>
  </si>
  <si>
    <t xml:space="preserve">20240517-S01307</t>
  </si>
  <si>
    <t xml:space="preserve">2024-05-17</t>
  </si>
  <si>
    <t xml:space="preserve">BATCH 200008 Fully sparged - CHN &amp; H2O #3</t>
  </si>
  <si>
    <t xml:space="preserve">2024-05-17 00:00</t>
  </si>
  <si>
    <t xml:space="preserve">20240517-S01306</t>
  </si>
  <si>
    <t xml:space="preserve">BATCH 200008 Fully sparged - CHN &amp; H2O #1</t>
  </si>
  <si>
    <t xml:space="preserve">20240517-S01305</t>
  </si>
  <si>
    <t xml:space="preserve">20240516-S01304</t>
  </si>
  <si>
    <t xml:space="preserve">2024-05-16</t>
  </si>
  <si>
    <t xml:space="preserve">BATCH 200007 Final Product (1 L) - TAN &amp; Density</t>
  </si>
  <si>
    <t xml:space="preserve">200007</t>
  </si>
  <si>
    <t xml:space="preserve">CAR-67</t>
  </si>
  <si>
    <t xml:space="preserve">https://charmindustrial.atlassian.net/browse/CAR-67?atlOrigin=eyJpIjoiZDU5NWQ4NDk4YTBjNGZmYWJlMjdiMGI5YzIwODI1YmIiLCJwIjoiaiJ9</t>
  </si>
  <si>
    <t xml:space="preserve">https://drive.google.com/drive/folders/1zLIaQd9JqBfplx6ph2Ks-DWy8ZkH65i5?usp=drive_link</t>
  </si>
  <si>
    <t xml:space="preserve">20240516-S01303</t>
  </si>
  <si>
    <t xml:space="preserve">BATCH  200007 Final Product (1 L) - TAN &amp; Density</t>
  </si>
  <si>
    <t xml:space="preserve">20240516-S01302</t>
  </si>
  <si>
    <t xml:space="preserve">20240515-S01287</t>
  </si>
  <si>
    <t xml:space="preserve">2024-05-15</t>
  </si>
  <si>
    <t xml:space="preserve">200007 Fully sparged - CHN &amp; H2O</t>
  </si>
  <si>
    <t xml:space="preserve">2024-05-15 00:00</t>
  </si>
  <si>
    <t xml:space="preserve">https://drive.google.com/drive/folders/1_OMby0ifXHEiz_AC523ojxdDGqyTAJSt?usp=drive_link</t>
  </si>
  <si>
    <t xml:space="preserve">20240515-S01286</t>
  </si>
  <si>
    <t xml:space="preserve">20240515-S01285</t>
  </si>
  <si>
    <t xml:space="preserve">20240511-S01273</t>
  </si>
  <si>
    <t xml:space="preserve">2024-05-11</t>
  </si>
  <si>
    <t xml:space="preserve">043/036/030T1R0 (200006) Final Product (1L) - TAN &amp; Density #3</t>
  </si>
  <si>
    <t xml:space="preserve">2024-05-11 00:00</t>
  </si>
  <si>
    <t xml:space="preserve">200006 (043/036/030T1R0) </t>
  </si>
  <si>
    <t xml:space="preserve">CAR-60</t>
  </si>
  <si>
    <t xml:space="preserve">https://charmindustrial.atlassian.net/browse/CAR-60?atlOrigin=eyJpIjoiMTRmODRhZmJkMjk4NDczY2I4OWFlMDFlYTUzNzliNTEiLCJwIjoiaiJ9</t>
  </si>
  <si>
    <t xml:space="preserve">https://drive.google.com/drive/folders/1hOKociXNYS3eyweBGfoEuSDmzDoyOPCY?usp=drive_link</t>
  </si>
  <si>
    <t xml:space="preserve">20240511-S01272</t>
  </si>
  <si>
    <t xml:space="preserve">043/036/030T1R0 (200006) Final Product (1L) - TAN &amp; Density #2</t>
  </si>
  <si>
    <t xml:space="preserve">20240511-S01271</t>
  </si>
  <si>
    <t xml:space="preserve">043/036/030T1R0 (200006) Final Product (1L) - TAN &amp; Density #1</t>
  </si>
  <si>
    <t xml:space="preserve">20240510-S01270</t>
  </si>
  <si>
    <t xml:space="preserve">2024-05-10</t>
  </si>
  <si>
    <t xml:space="preserve">043/036/030T1R0 (200006) Fully Sparged - CHN &amp; H2O #3</t>
  </si>
  <si>
    <t xml:space="preserve">2024-05-10 00:00</t>
  </si>
  <si>
    <t xml:space="preserve">20240510-S01269</t>
  </si>
  <si>
    <t xml:space="preserve">043/036/030T1R0 (200006) Fully Sparged - CHN &amp; H2O #2</t>
  </si>
  <si>
    <t xml:space="preserve">20240510-S01268</t>
  </si>
  <si>
    <t xml:space="preserve">043/036/030T1R0 (200006) Fully Sparged - CHN &amp; H2O #1</t>
  </si>
  <si>
    <t xml:space="preserve">20240510-S01267</t>
  </si>
  <si>
    <t xml:space="preserve">043/044T1R0  Final Product (1 L) - TAN &amp; Density #3 SAMPLE BROKEN, NO DATA</t>
  </si>
  <si>
    <t xml:space="preserve">Broken Sample</t>
  </si>
  <si>
    <t xml:space="preserve">043/044T1R0</t>
  </si>
  <si>
    <t xml:space="preserve">CAR-59</t>
  </si>
  <si>
    <t xml:space="preserve">https://charmindustrial.atlassian.net/browse/CAR-59?atlOrigin=eyJpIjoiZGQzZWY2MDViZWY4NDNlNDhkNWU3ODBmYzVjMWVhMGYiLCJwIjoiaiJ9</t>
  </si>
  <si>
    <t xml:space="preserve">20240510-S01266</t>
  </si>
  <si>
    <t xml:space="preserve">043/044T1R0  Final Product (1 L) - TAN &amp; Density #2</t>
  </si>
  <si>
    <t xml:space="preserve">20240510-S01265</t>
  </si>
  <si>
    <t xml:space="preserve">043/044T1R0  Final Product (1 L) - TAN &amp; Density #1</t>
  </si>
  <si>
    <t xml:space="preserve">20240509-S01264</t>
  </si>
  <si>
    <t xml:space="preserve">2024-05-09</t>
  </si>
  <si>
    <t xml:space="preserve">043/044T1R0 Fully sparged - CHN &amp; H2O #3</t>
  </si>
  <si>
    <t xml:space="preserve">20240509-S01263</t>
  </si>
  <si>
    <t xml:space="preserve">043/044T1R0 Fully sparged - CHN &amp; H2O #2</t>
  </si>
  <si>
    <t xml:space="preserve">20240509-S01262</t>
  </si>
  <si>
    <t xml:space="preserve">043/044T1R0 Fully sparged - CHN &amp; H2O #1</t>
  </si>
  <si>
    <t xml:space="preserve">20240417-S01223</t>
  </si>
  <si>
    <t xml:space="preserve">2024-04-17</t>
  </si>
  <si>
    <t xml:space="preserve">041/042T1R0, Sample #3</t>
  </si>
  <si>
    <t xml:space="preserve">CHN,H2O,TAN,Density</t>
  </si>
  <si>
    <t xml:space="preserve">2024-04-17 00:00</t>
  </si>
  <si>
    <t xml:space="preserve">041/042T1R0</t>
  </si>
  <si>
    <t xml:space="preserve">CAR-35</t>
  </si>
  <si>
    <t xml:space="preserve">https://charmindustrial.atlassian.net/browse/CAR-35?atlOrigin=eyJpIjoiZDMyMjRiZDU1NTZiNDc3NWI5ODY0YzNlMjE5OTBlOTQiLCJwIjoiaiJ9</t>
  </si>
  <si>
    <t xml:space="preserve">https://drive.google.com/drive/folders/1gao5of_8KYRuISJD1wxKKWJaXbuqF_HM?usp=drive_link</t>
  </si>
  <si>
    <t xml:space="preserve">20240417-S01222</t>
  </si>
  <si>
    <t xml:space="preserve">#3 MRV-C (LOT 041/042T1R0)</t>
  </si>
  <si>
    <t xml:space="preserve">CAR-49</t>
  </si>
  <si>
    <t xml:space="preserve">https://charmindustrial.atlassian.net/browse/CAR-49?atlOrigin=eyJpIjoiNzU4NmFmZWIzMDY5NGJkZThjYjZiZDIzYzAxOTcwY2MiLCJwIjoiaiJ9</t>
  </si>
  <si>
    <t xml:space="preserve">https://drive.google.com/drive/folders/1fZV7z8Vw6tLwJXMJJ4m78lEYqsDylHnN?usp=drive_link</t>
  </si>
  <si>
    <t xml:space="preserve">20240417-S01221</t>
  </si>
  <si>
    <t xml:space="preserve">041/042T1R0, Sample #2</t>
  </si>
  <si>
    <t xml:space="preserve">20240417-S01220</t>
  </si>
  <si>
    <t xml:space="preserve">#2 MRV-C (LOT 041/042T1R0)</t>
  </si>
  <si>
    <t xml:space="preserve">20240417-S01219</t>
  </si>
  <si>
    <t xml:space="preserve">#1 MRV-C (LOT 041/042T1R0)</t>
  </si>
  <si>
    <t xml:space="preserve">20240417-S01218</t>
  </si>
  <si>
    <t xml:space="preserve">041/042T1R0, Sample #1</t>
  </si>
  <si>
    <t xml:space="preserve">20240413-S01215</t>
  </si>
  <si>
    <t xml:space="preserve">2024-04-13</t>
  </si>
  <si>
    <t xml:space="preserve">036/037T1R0, Sample #3</t>
  </si>
  <si>
    <t xml:space="preserve">2024-04-13 00:00</t>
  </si>
  <si>
    <t xml:space="preserve">036/037T1R0</t>
  </si>
  <si>
    <t xml:space="preserve">CAR-31</t>
  </si>
  <si>
    <t xml:space="preserve">https://charmindustrial.atlassian.net/browse/CAR-31?atlOrigin=eyJpIjoiM2FlODJjMjgyOTUwNGI0N2JlZDFlOTcwYWI3OTE5NDciLCJwIjoiaiJ9</t>
  </si>
  <si>
    <t xml:space="preserve">https://drive.google.com/drive/folders/1-OwU_RhSi9rwGXWyB5uahr9Uvyo0ELwk?usp=drive_link</t>
  </si>
  <si>
    <t xml:space="preserve">20240413-S01214</t>
  </si>
  <si>
    <t xml:space="preserve">#3 MRV-C (LOT 036/037T1R0)</t>
  </si>
  <si>
    <t xml:space="preserve">CAR-47</t>
  </si>
  <si>
    <t xml:space="preserve">https://charmindustrial.atlassian.net/browse/CAR-47?atlOrigin=eyJpIjoiZDY0Nzc2YzYyNzAzNGU1Mjk5ZTE3YzJkZWNlYjgxMzUiLCJwIjoiaiJ9</t>
  </si>
  <si>
    <t xml:space="preserve">20240413-S01213</t>
  </si>
  <si>
    <t xml:space="preserve">036/037T1R0, Sample #2</t>
  </si>
  <si>
    <t xml:space="preserve">20240413-S01212</t>
  </si>
  <si>
    <t xml:space="preserve">#2 MRV-C (LOT 036/037T1R0)</t>
  </si>
  <si>
    <t xml:space="preserve">20240413-S01211</t>
  </si>
  <si>
    <t xml:space="preserve">036/037T1R0, Sample #1</t>
  </si>
  <si>
    <t xml:space="preserve">20240413-S01210</t>
  </si>
  <si>
    <t xml:space="preserve">#1 MRV-C (LOT 036/037T1R0)</t>
  </si>
  <si>
    <t xml:space="preserve">20240406-S01183</t>
  </si>
  <si>
    <t xml:space="preserve">2024-04-06</t>
  </si>
  <si>
    <t xml:space="preserve">035/036T1R0, Sample #3, 100% LCS</t>
  </si>
  <si>
    <t xml:space="preserve">2024-04-06 00:00</t>
  </si>
  <si>
    <t xml:space="preserve">035/036T1R0</t>
  </si>
  <si>
    <t xml:space="preserve">CAR-24</t>
  </si>
  <si>
    <t xml:space="preserve">https://charmindustrial.atlassian.net/browse/CAR-24?atlOrigin=eyJpIjoiMjRmYTJkYTUxNTE1NDUyYzliNGViYWY2MDkyMTY4Y2QiLCJwIjoiaiJ9</t>
  </si>
  <si>
    <t xml:space="preserve">https://drive.google.com/drive/folders/1op1wYPba_fiKg2kOFbNv9IxVSEO3wGg3?usp=drive_link</t>
  </si>
  <si>
    <t xml:space="preserve">20240406-S01182</t>
  </si>
  <si>
    <t xml:space="preserve">#3 MRV-C (LOT 035/036T1R0)</t>
  </si>
  <si>
    <t xml:space="preserve">CAR-48</t>
  </si>
  <si>
    <t xml:space="preserve">https://charmindustrial.atlassian.net/browse/CAR-48?atlOrigin=eyJpIjoiZWE1ZGUwOGUzYTBkNDI1NGFhNDhkMWEwYzg4ZDAyNWQiLCJwIjoiaiJ9</t>
  </si>
  <si>
    <t xml:space="preserve">20240406-S01181</t>
  </si>
  <si>
    <t xml:space="preserve">035/036T1R0, Sample #2, 100% LCS</t>
  </si>
  <si>
    <t xml:space="preserve">20240406-S01180</t>
  </si>
  <si>
    <t xml:space="preserve">#2 MRV-C (LOT 035/036T1R0)</t>
  </si>
  <si>
    <t xml:space="preserve">20240406-S01179</t>
  </si>
  <si>
    <t xml:space="preserve">035/036T1R0, Sample #1, 100% LCS</t>
  </si>
  <si>
    <t xml:space="preserve">20240406-S01178</t>
  </si>
  <si>
    <t xml:space="preserve">#1 MRV-C (LOT 035/036T1R0)</t>
  </si>
  <si>
    <t xml:space="preserve">20240330-S01166</t>
  </si>
  <si>
    <t xml:space="preserve">2024-03-30</t>
  </si>
  <si>
    <t xml:space="preserve">029/034T1R0, Sample #3, final buffered</t>
  </si>
  <si>
    <t xml:space="preserve">2024-03-30 00:00</t>
  </si>
  <si>
    <t xml:space="preserve">029/034T1R0</t>
  </si>
  <si>
    <t xml:space="preserve">CAR-16</t>
  </si>
  <si>
    <t xml:space="preserve">https://charmindustrial.atlassian.net/browse/CAR-16?atlOrigin=eyJpIjoiNDdmNGY2NDQyODk1NDE0YzlhNzJkNmMxZDJhZWQwZjUiLCJwIjoiaiJ9</t>
  </si>
  <si>
    <t xml:space="preserve">https://drive.google.com/drive/folders/1nxYYHq47RE2lK0xL5mBKVjseEv5iffzJ?usp=drive_link</t>
  </si>
  <si>
    <t xml:space="preserve">20240330-S01165</t>
  </si>
  <si>
    <t xml:space="preserve">#3 MRV-C (LOT 029/034T1R0)</t>
  </si>
  <si>
    <t xml:space="preserve">CAR-46</t>
  </si>
  <si>
    <t xml:space="preserve">https://charmindustrial.atlassian.net/browse/CAR-46?atlOrigin=eyJpIjoiZTU1MjY0ODNhYzg5NDA1NjhjZWQ0NzJlMThkNjFjN2UiLCJwIjoiaiJ9</t>
  </si>
  <si>
    <t xml:space="preserve">20240330-S01164</t>
  </si>
  <si>
    <t xml:space="preserve">#2 MRV-C (LOT 029/034T1R0)</t>
  </si>
  <si>
    <t xml:space="preserve">20240330-S01163</t>
  </si>
  <si>
    <t xml:space="preserve">029/034T1R0, Sample #2, final buffered</t>
  </si>
  <si>
    <t xml:space="preserve">20240330-S01162</t>
  </si>
  <si>
    <t xml:space="preserve">#1 MRV-C (LOT 029/034T1R0)</t>
  </si>
  <si>
    <t xml:space="preserve">20240330-S01161</t>
  </si>
  <si>
    <t xml:space="preserve">029/034T1R0, Sample #1 ,final buffered</t>
  </si>
  <si>
    <t xml:space="preserve">20240312-S01117</t>
  </si>
  <si>
    <t xml:space="preserve">2024-03-12</t>
  </si>
  <si>
    <t xml:space="preserve">033T1R0, Sample #3, 100% LCS</t>
  </si>
  <si>
    <t xml:space="preserve">2024-03-12 00:00</t>
  </si>
  <si>
    <t xml:space="preserve">033T1R0</t>
  </si>
  <si>
    <t xml:space="preserve">https://drive.google.com/drive/folders/1LfH9O-jN3xfQpd9l7wNZAFfcU9Cw5BFN?usp=drive_link</t>
  </si>
  <si>
    <t xml:space="preserve">20240312-S01116</t>
  </si>
  <si>
    <t xml:space="preserve">#3 MRV - C (LOT 033T1R0)</t>
  </si>
  <si>
    <t xml:space="preserve">CAR-45</t>
  </si>
  <si>
    <t xml:space="preserve">https://charmindustrial.atlassian.net/browse/CAR-45?atlOrigin=eyJpIjoiMjYyMGFkZTllZjVmNGM0OTg5YjU0ZWM5ZGJmY2U2MTIiLCJwIjoiaiJ9</t>
  </si>
  <si>
    <t xml:space="preserve">20240312-S01115</t>
  </si>
  <si>
    <t xml:space="preserve">033T1R0, Sample #2, 100% LCS</t>
  </si>
  <si>
    <t xml:space="preserve">20240312-S01114</t>
  </si>
  <si>
    <t xml:space="preserve">#2 MRV - C (LOT 033T1R0)</t>
  </si>
  <si>
    <t xml:space="preserve">20240312-S01113</t>
  </si>
  <si>
    <t xml:space="preserve">#1 MRV - C (LOT 033T1R0)</t>
  </si>
  <si>
    <t xml:space="preserve">20240312-S01112</t>
  </si>
  <si>
    <t xml:space="preserve">033T1R0, Sample #1, 100% LCS</t>
  </si>
  <si>
    <t xml:space="preserve">CHN Summary Statistics</t>
  </si>
  <si>
    <t xml:space="preserve">Filtered to Function = MRV, Offtake = AECN (439 samples)</t>
  </si>
  <si>
    <t xml:space="preserve">Statistic</t>
  </si>
  <si>
    <t xml:space="preserve">Mean</t>
  </si>
  <si>
    <t xml:space="preserve">Std Dev</t>
  </si>
  <si>
    <t xml:space="preserve">Count</t>
  </si>
  <si>
    <t xml:space="preserve">Note: Most N (%) values are below detection limit (e.g. "&lt;0.75"). Count and statistics reflect only numeric entries.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</si>
</sst>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88888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4472C4"/>
        <bgColor rgb="FF66666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88888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4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7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30"/>
    <col collapsed="false" customWidth="true" hidden="false" outlineLevel="0" max="9" min="9" style="0" width="5"/>
    <col collapsed="false" customWidth="true" hidden="false" outlineLevel="0" max="10" min="10" style="0" width="17"/>
    <col collapsed="false" customWidth="true" hidden="false" outlineLevel="0" max="11" min="11" style="0" width="8"/>
    <col collapsed="false" customWidth="true" hidden="false" outlineLevel="0" max="12" min="12" style="0" width="24"/>
    <col collapsed="false" customWidth="true" hidden="false" outlineLevel="0" max="13" min="13" style="0" width="10"/>
    <col collapsed="false" customWidth="true" hidden="false" outlineLevel="0" max="14" min="14" style="0" width="16"/>
    <col collapsed="false" customWidth="true" hidden="false" outlineLevel="0" max="15" min="15" style="0" width="12"/>
    <col collapsed="false" customWidth="true" hidden="false" outlineLevel="0" max="16" min="16" style="0" width="13"/>
    <col collapsed="false" customWidth="true" hidden="false" outlineLevel="0" max="17" min="17" style="0" width="17"/>
    <col collapsed="false" customWidth="true" hidden="false" outlineLevel="0" max="19" min="18" style="0" width="42"/>
    <col collapsed="false" customWidth="true" hidden="false" outlineLevel="0" max="22" min="20" style="0" width="7"/>
    <col collapsed="false" customWidth="true" hidden="false" outlineLevel="0" max="23" min="23" style="0" width="9"/>
    <col collapsed="false" customWidth="true" hidden="false" outlineLevel="0" max="26" min="24" style="0" width="13"/>
    <col collapsed="false" customWidth="true" hidden="false" outlineLevel="0" max="27" min="27" style="0" width="14"/>
    <col collapsed="false" customWidth="true" hidden="false" outlineLevel="0" max="28" min="28" style="0" width="7"/>
    <col collapsed="false" customWidth="true" hidden="false" outlineLevel="0" max="29" min="29" style="0" width="9"/>
    <col collapsed="false" customWidth="true" hidden="false" outlineLevel="0" max="30" min="30" style="0" width="21"/>
    <col collapsed="false" customWidth="true" hidden="false" outlineLevel="0" max="31" min="31" style="0" width="18"/>
    <col collapsed="false" customWidth="true" hidden="false" outlineLevel="0" max="32" min="32" style="0" width="23"/>
    <col collapsed="false" customWidth="true" hidden="false" outlineLevel="0" max="33" min="33" style="0" width="29"/>
    <col collapsed="false" customWidth="true" hidden="false" outlineLevel="0" max="34" min="34" style="0" width="28"/>
    <col collapsed="false" customWidth="true" hidden="false" outlineLevel="0" max="35" min="35" style="0" width="15"/>
    <col collapsed="false" customWidth="true" hidden="false" outlineLevel="0" max="36" min="36" style="0" width="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customFormat="false" ht="15" hidden="false" customHeight="false" outlineLevel="0" collapsed="false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45</v>
      </c>
      <c r="K2" s="2"/>
      <c r="L2" s="2" t="s">
        <v>46</v>
      </c>
      <c r="M2" s="2" t="s">
        <v>47</v>
      </c>
      <c r="N2" s="2" t="s">
        <v>48</v>
      </c>
      <c r="O2" s="2" t="s">
        <v>49</v>
      </c>
      <c r="P2" s="2" t="s">
        <v>50</v>
      </c>
      <c r="Q2" s="2"/>
      <c r="R2" s="2"/>
      <c r="S2" s="2" t="s">
        <v>51</v>
      </c>
      <c r="T2" s="2" t="n">
        <v>43.4</v>
      </c>
      <c r="U2" s="2" t="n">
        <v>7.3</v>
      </c>
      <c r="V2" s="2" t="s">
        <v>52</v>
      </c>
      <c r="W2" s="2"/>
      <c r="X2" s="2"/>
      <c r="Y2" s="2"/>
      <c r="Z2" s="2"/>
      <c r="AA2" s="2"/>
      <c r="AB2" s="2"/>
      <c r="AC2" s="2"/>
      <c r="AD2" s="2"/>
      <c r="AE2" s="2"/>
      <c r="AF2" s="2" t="n">
        <v>1.228</v>
      </c>
      <c r="AG2" s="2" t="n">
        <v>71.75</v>
      </c>
      <c r="AH2" s="2"/>
      <c r="AI2" s="2"/>
      <c r="AJ2" s="2"/>
    </row>
    <row r="3" customFormat="false" ht="15" hidden="false" customHeight="false" outlineLevel="0" collapsed="false">
      <c r="A3" s="2" t="s">
        <v>53</v>
      </c>
      <c r="B3" s="2" t="s">
        <v>54</v>
      </c>
      <c r="C3" s="2" t="s">
        <v>38</v>
      </c>
      <c r="D3" s="2" t="s">
        <v>55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44</v>
      </c>
      <c r="J3" s="2" t="s">
        <v>45</v>
      </c>
      <c r="K3" s="2"/>
      <c r="L3" s="2" t="s">
        <v>56</v>
      </c>
      <c r="M3" s="2" t="s">
        <v>57</v>
      </c>
      <c r="N3" s="2" t="s">
        <v>48</v>
      </c>
      <c r="O3" s="2" t="s">
        <v>49</v>
      </c>
      <c r="P3" s="2" t="s">
        <v>50</v>
      </c>
      <c r="Q3" s="2"/>
      <c r="R3" s="2"/>
      <c r="S3" s="2" t="s">
        <v>51</v>
      </c>
      <c r="T3" s="2" t="n">
        <v>43.4</v>
      </c>
      <c r="U3" s="2" t="n">
        <v>7.2</v>
      </c>
      <c r="V3" s="2" t="s">
        <v>52</v>
      </c>
      <c r="W3" s="2"/>
      <c r="X3" s="2"/>
      <c r="Y3" s="2"/>
      <c r="Z3" s="2"/>
      <c r="AA3" s="2"/>
      <c r="AB3" s="2"/>
      <c r="AC3" s="2"/>
      <c r="AD3" s="2"/>
      <c r="AE3" s="2"/>
      <c r="AF3" s="2" t="n">
        <v>1.232</v>
      </c>
      <c r="AG3" s="2" t="n">
        <v>72.45</v>
      </c>
      <c r="AH3" s="2"/>
      <c r="AI3" s="2"/>
      <c r="AJ3" s="2"/>
    </row>
    <row r="4" customFormat="false" ht="15" hidden="false" customHeight="false" outlineLevel="0" collapsed="false">
      <c r="A4" s="2" t="s">
        <v>58</v>
      </c>
      <c r="B4" s="2" t="s">
        <v>59</v>
      </c>
      <c r="C4" s="2" t="s">
        <v>38</v>
      </c>
      <c r="D4" s="2" t="s">
        <v>60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/>
      <c r="L4" s="2" t="s">
        <v>61</v>
      </c>
      <c r="M4" s="2" t="s">
        <v>62</v>
      </c>
      <c r="N4" s="2" t="s">
        <v>48</v>
      </c>
      <c r="O4" s="2" t="s">
        <v>49</v>
      </c>
      <c r="P4" s="2" t="s">
        <v>50</v>
      </c>
      <c r="Q4" s="2"/>
      <c r="R4" s="2"/>
      <c r="S4" s="2" t="s">
        <v>51</v>
      </c>
      <c r="T4" s="2" t="n">
        <v>43.9</v>
      </c>
      <c r="U4" s="2" t="n">
        <v>7.4</v>
      </c>
      <c r="V4" s="2" t="s">
        <v>52</v>
      </c>
      <c r="W4" s="2"/>
      <c r="X4" s="2"/>
      <c r="Y4" s="2"/>
      <c r="Z4" s="2"/>
      <c r="AA4" s="2"/>
      <c r="AB4" s="2"/>
      <c r="AC4" s="2"/>
      <c r="AD4" s="2"/>
      <c r="AE4" s="2"/>
      <c r="AF4" s="2" t="n">
        <v>1.226</v>
      </c>
      <c r="AG4" s="2" t="n">
        <v>59.18</v>
      </c>
      <c r="AH4" s="2"/>
      <c r="AI4" s="2"/>
      <c r="AJ4" s="2"/>
    </row>
    <row r="5" customFormat="false" ht="15" hidden="false" customHeight="false" outlineLevel="0" collapsed="false">
      <c r="A5" s="2" t="s">
        <v>63</v>
      </c>
      <c r="B5" s="2" t="s">
        <v>64</v>
      </c>
      <c r="C5" s="2" t="s">
        <v>38</v>
      </c>
      <c r="D5" s="2" t="s">
        <v>65</v>
      </c>
      <c r="E5" s="2" t="s">
        <v>40</v>
      </c>
      <c r="F5" s="2" t="s">
        <v>41</v>
      </c>
      <c r="G5" s="2"/>
      <c r="H5" s="2" t="s">
        <v>43</v>
      </c>
      <c r="I5" s="2" t="s">
        <v>44</v>
      </c>
      <c r="J5" s="2" t="s">
        <v>45</v>
      </c>
      <c r="K5" s="2"/>
      <c r="L5" s="2" t="s">
        <v>66</v>
      </c>
      <c r="M5" s="2" t="s">
        <v>67</v>
      </c>
      <c r="N5" s="2" t="s">
        <v>48</v>
      </c>
      <c r="O5" s="2" t="s">
        <v>49</v>
      </c>
      <c r="P5" s="2" t="s">
        <v>50</v>
      </c>
      <c r="Q5" s="2"/>
      <c r="R5" s="2"/>
      <c r="S5" s="2" t="s">
        <v>68</v>
      </c>
      <c r="T5" s="2" t="n">
        <v>42.2</v>
      </c>
      <c r="U5" s="2" t="n">
        <v>7.3</v>
      </c>
      <c r="V5" s="2" t="s">
        <v>52</v>
      </c>
      <c r="W5" s="2"/>
      <c r="X5" s="2"/>
      <c r="Y5" s="2"/>
      <c r="Z5" s="2"/>
      <c r="AA5" s="2"/>
      <c r="AB5" s="2"/>
      <c r="AC5" s="2"/>
      <c r="AD5" s="2"/>
      <c r="AE5" s="2"/>
      <c r="AF5" s="2" t="n">
        <v>1.222</v>
      </c>
      <c r="AG5" s="2" t="n">
        <v>15.32</v>
      </c>
      <c r="AH5" s="2"/>
      <c r="AI5" s="2"/>
      <c r="AJ5" s="2"/>
    </row>
    <row r="6" customFormat="false" ht="15" hidden="false" customHeight="false" outlineLevel="0" collapsed="false">
      <c r="A6" s="2" t="s">
        <v>69</v>
      </c>
      <c r="B6" s="2" t="s">
        <v>70</v>
      </c>
      <c r="C6" s="2" t="s">
        <v>38</v>
      </c>
      <c r="D6" s="2" t="s">
        <v>71</v>
      </c>
      <c r="E6" s="2" t="s">
        <v>40</v>
      </c>
      <c r="F6" s="2" t="s">
        <v>41</v>
      </c>
      <c r="G6" s="2"/>
      <c r="H6" s="2" t="s">
        <v>43</v>
      </c>
      <c r="I6" s="2" t="s">
        <v>44</v>
      </c>
      <c r="J6" s="2" t="s">
        <v>45</v>
      </c>
      <c r="K6" s="2"/>
      <c r="L6" s="2" t="s">
        <v>72</v>
      </c>
      <c r="M6" s="2" t="s">
        <v>73</v>
      </c>
      <c r="N6" s="2" t="s">
        <v>48</v>
      </c>
      <c r="O6" s="2" t="s">
        <v>49</v>
      </c>
      <c r="P6" s="2" t="s">
        <v>50</v>
      </c>
      <c r="Q6" s="2"/>
      <c r="R6" s="2"/>
      <c r="S6" s="2" t="s">
        <v>74</v>
      </c>
      <c r="T6" s="2" t="n">
        <v>43.6</v>
      </c>
      <c r="U6" s="2" t="n">
        <v>7.2</v>
      </c>
      <c r="V6" s="2" t="s">
        <v>52</v>
      </c>
      <c r="W6" s="2"/>
      <c r="X6" s="2"/>
      <c r="Y6" s="2"/>
      <c r="Z6" s="2"/>
      <c r="AA6" s="2"/>
      <c r="AB6" s="2"/>
      <c r="AC6" s="2"/>
      <c r="AD6" s="2"/>
      <c r="AE6" s="2"/>
      <c r="AF6" s="2" t="n">
        <v>1.223</v>
      </c>
      <c r="AG6" s="2" t="n">
        <v>37.04</v>
      </c>
      <c r="AH6" s="2"/>
      <c r="AI6" s="2"/>
      <c r="AJ6" s="2"/>
    </row>
    <row r="7" customFormat="false" ht="15" hidden="false" customHeight="false" outlineLevel="0" collapsed="false">
      <c r="A7" s="2" t="s">
        <v>75</v>
      </c>
      <c r="B7" s="2" t="s">
        <v>76</v>
      </c>
      <c r="C7" s="2" t="s">
        <v>38</v>
      </c>
      <c r="D7" s="2" t="s">
        <v>77</v>
      </c>
      <c r="E7" s="2" t="s">
        <v>40</v>
      </c>
      <c r="F7" s="2" t="s">
        <v>41</v>
      </c>
      <c r="G7" s="2"/>
      <c r="H7" s="2" t="s">
        <v>43</v>
      </c>
      <c r="I7" s="2" t="s">
        <v>44</v>
      </c>
      <c r="J7" s="2" t="s">
        <v>45</v>
      </c>
      <c r="K7" s="2"/>
      <c r="L7" s="2" t="s">
        <v>78</v>
      </c>
      <c r="M7" s="2" t="s">
        <v>79</v>
      </c>
      <c r="N7" s="2" t="s">
        <v>48</v>
      </c>
      <c r="O7" s="2" t="s">
        <v>49</v>
      </c>
      <c r="P7" s="2" t="s">
        <v>50</v>
      </c>
      <c r="Q7" s="2"/>
      <c r="R7" s="2"/>
      <c r="S7" s="2" t="s">
        <v>74</v>
      </c>
      <c r="T7" s="2" t="n">
        <v>44</v>
      </c>
      <c r="U7" s="2" t="n">
        <v>7.1</v>
      </c>
      <c r="V7" s="2" t="s">
        <v>52</v>
      </c>
      <c r="W7" s="2"/>
      <c r="X7" s="2"/>
      <c r="Y7" s="2"/>
      <c r="Z7" s="2"/>
      <c r="AA7" s="2"/>
      <c r="AB7" s="2"/>
      <c r="AC7" s="2"/>
      <c r="AD7" s="2"/>
      <c r="AE7" s="2"/>
      <c r="AF7" s="2" t="n">
        <v>1.224</v>
      </c>
      <c r="AG7" s="2" t="n">
        <v>46.27</v>
      </c>
      <c r="AH7" s="2"/>
      <c r="AI7" s="2"/>
      <c r="AJ7" s="2"/>
    </row>
    <row r="8" customFormat="false" ht="15" hidden="false" customHeight="false" outlineLevel="0" collapsed="false">
      <c r="A8" s="2" t="s">
        <v>80</v>
      </c>
      <c r="B8" s="2" t="s">
        <v>81</v>
      </c>
      <c r="C8" s="2" t="s">
        <v>38</v>
      </c>
      <c r="D8" s="2" t="s">
        <v>82</v>
      </c>
      <c r="E8" s="2" t="s">
        <v>40</v>
      </c>
      <c r="F8" s="2" t="s">
        <v>41</v>
      </c>
      <c r="G8" s="2"/>
      <c r="H8" s="2" t="s">
        <v>43</v>
      </c>
      <c r="I8" s="2" t="s">
        <v>44</v>
      </c>
      <c r="J8" s="2" t="s">
        <v>45</v>
      </c>
      <c r="K8" s="2"/>
      <c r="L8" s="2" t="s">
        <v>83</v>
      </c>
      <c r="M8" s="2" t="s">
        <v>84</v>
      </c>
      <c r="N8" s="2" t="s">
        <v>48</v>
      </c>
      <c r="O8" s="2" t="s">
        <v>49</v>
      </c>
      <c r="P8" s="2" t="s">
        <v>50</v>
      </c>
      <c r="Q8" s="2"/>
      <c r="R8" s="2"/>
      <c r="S8" s="2" t="s">
        <v>74</v>
      </c>
      <c r="T8" s="2" t="n">
        <v>45.2</v>
      </c>
      <c r="U8" s="2" t="n">
        <v>7.3</v>
      </c>
      <c r="V8" s="2" t="s">
        <v>52</v>
      </c>
      <c r="W8" s="2"/>
      <c r="X8" s="2"/>
      <c r="Y8" s="2"/>
      <c r="Z8" s="2"/>
      <c r="AA8" s="2"/>
      <c r="AB8" s="2"/>
      <c r="AC8" s="2"/>
      <c r="AD8" s="2"/>
      <c r="AE8" s="2"/>
      <c r="AF8" s="2" t="n">
        <v>1.228</v>
      </c>
      <c r="AG8" s="2" t="n">
        <v>60</v>
      </c>
      <c r="AH8" s="2"/>
      <c r="AI8" s="2"/>
      <c r="AJ8" s="2"/>
    </row>
    <row r="9" customFormat="false" ht="15" hidden="false" customHeight="false" outlineLevel="0" collapsed="false">
      <c r="A9" s="2" t="s">
        <v>85</v>
      </c>
      <c r="B9" s="2" t="s">
        <v>86</v>
      </c>
      <c r="C9" s="2" t="s">
        <v>38</v>
      </c>
      <c r="D9" s="2" t="s">
        <v>87</v>
      </c>
      <c r="E9" s="2" t="s">
        <v>40</v>
      </c>
      <c r="F9" s="2" t="s">
        <v>41</v>
      </c>
      <c r="G9" s="2" t="s">
        <v>42</v>
      </c>
      <c r="H9" s="2" t="s">
        <v>43</v>
      </c>
      <c r="I9" s="2" t="s">
        <v>44</v>
      </c>
      <c r="J9" s="2" t="s">
        <v>45</v>
      </c>
      <c r="K9" s="2"/>
      <c r="L9" s="2" t="s">
        <v>88</v>
      </c>
      <c r="M9" s="2" t="s">
        <v>89</v>
      </c>
      <c r="N9" s="2" t="s">
        <v>48</v>
      </c>
      <c r="O9" s="2" t="s">
        <v>49</v>
      </c>
      <c r="P9" s="2" t="s">
        <v>50</v>
      </c>
      <c r="Q9" s="2"/>
      <c r="R9" s="2"/>
      <c r="S9" s="2" t="s">
        <v>90</v>
      </c>
      <c r="T9" s="2" t="n">
        <v>42.8</v>
      </c>
      <c r="U9" s="2" t="n">
        <v>6.7</v>
      </c>
      <c r="V9" s="2" t="s">
        <v>52</v>
      </c>
      <c r="W9" s="2"/>
      <c r="X9" s="2"/>
      <c r="Y9" s="2"/>
      <c r="Z9" s="2"/>
      <c r="AA9" s="2"/>
      <c r="AB9" s="2"/>
      <c r="AC9" s="2"/>
      <c r="AD9" s="2"/>
      <c r="AE9" s="2"/>
      <c r="AF9" s="2" t="n">
        <v>1.225</v>
      </c>
      <c r="AG9" s="2" t="n">
        <v>39.51</v>
      </c>
      <c r="AH9" s="2"/>
      <c r="AI9" s="2"/>
      <c r="AJ9" s="2"/>
    </row>
    <row r="10" customFormat="false" ht="15" hidden="false" customHeight="false" outlineLevel="0" collapsed="false">
      <c r="A10" s="2" t="s">
        <v>91</v>
      </c>
      <c r="B10" s="2" t="s">
        <v>92</v>
      </c>
      <c r="C10" s="2" t="s">
        <v>38</v>
      </c>
      <c r="D10" s="2" t="s">
        <v>93</v>
      </c>
      <c r="E10" s="2" t="s">
        <v>40</v>
      </c>
      <c r="F10" s="2" t="s">
        <v>41</v>
      </c>
      <c r="G10" s="2" t="s">
        <v>42</v>
      </c>
      <c r="H10" s="2" t="s">
        <v>43</v>
      </c>
      <c r="I10" s="2" t="s">
        <v>44</v>
      </c>
      <c r="J10" s="2" t="s">
        <v>45</v>
      </c>
      <c r="K10" s="2"/>
      <c r="L10" s="2" t="s">
        <v>94</v>
      </c>
      <c r="M10" s="2" t="s">
        <v>95</v>
      </c>
      <c r="N10" s="2" t="s">
        <v>48</v>
      </c>
      <c r="O10" s="2" t="s">
        <v>49</v>
      </c>
      <c r="P10" s="2" t="s">
        <v>50</v>
      </c>
      <c r="Q10" s="2"/>
      <c r="R10" s="2"/>
      <c r="S10" s="2" t="s">
        <v>90</v>
      </c>
      <c r="T10" s="2" t="n">
        <v>42</v>
      </c>
      <c r="U10" s="2" t="n">
        <v>6.8</v>
      </c>
      <c r="V10" s="2" t="s">
        <v>52</v>
      </c>
      <c r="W10" s="2"/>
      <c r="X10" s="2"/>
      <c r="Y10" s="2"/>
      <c r="Z10" s="2"/>
      <c r="AA10" s="2"/>
      <c r="AB10" s="2"/>
      <c r="AC10" s="2"/>
      <c r="AD10" s="2"/>
      <c r="AE10" s="2"/>
      <c r="AF10" s="2" t="n">
        <v>1.226</v>
      </c>
      <c r="AG10" s="2" t="n">
        <v>33.88</v>
      </c>
      <c r="AH10" s="2"/>
      <c r="AI10" s="2"/>
      <c r="AJ10" s="2"/>
    </row>
    <row r="11" customFormat="false" ht="15" hidden="false" customHeight="false" outlineLevel="0" collapsed="false">
      <c r="A11" s="2" t="s">
        <v>96</v>
      </c>
      <c r="B11" s="2" t="s">
        <v>97</v>
      </c>
      <c r="C11" s="2" t="s">
        <v>38</v>
      </c>
      <c r="D11" s="2" t="s">
        <v>98</v>
      </c>
      <c r="E11" s="2" t="s">
        <v>40</v>
      </c>
      <c r="F11" s="2" t="s">
        <v>41</v>
      </c>
      <c r="G11" s="2" t="s">
        <v>42</v>
      </c>
      <c r="H11" s="2" t="s">
        <v>43</v>
      </c>
      <c r="I11" s="2" t="s">
        <v>44</v>
      </c>
      <c r="J11" s="2" t="s">
        <v>45</v>
      </c>
      <c r="K11" s="2"/>
      <c r="L11" s="2" t="s">
        <v>99</v>
      </c>
      <c r="M11" s="2" t="s">
        <v>100</v>
      </c>
      <c r="N11" s="2" t="s">
        <v>48</v>
      </c>
      <c r="O11" s="2" t="s">
        <v>49</v>
      </c>
      <c r="P11" s="2" t="s">
        <v>50</v>
      </c>
      <c r="Q11" s="2"/>
      <c r="R11" s="2"/>
      <c r="S11" s="2" t="s">
        <v>101</v>
      </c>
      <c r="T11" s="2" t="n">
        <v>43.3</v>
      </c>
      <c r="U11" s="2" t="n">
        <v>7.3</v>
      </c>
      <c r="V11" s="2" t="s">
        <v>52</v>
      </c>
      <c r="W11" s="2"/>
      <c r="X11" s="2"/>
      <c r="Y11" s="2"/>
      <c r="Z11" s="2"/>
      <c r="AA11" s="2"/>
      <c r="AB11" s="2"/>
      <c r="AC11" s="2"/>
      <c r="AD11" s="2"/>
      <c r="AE11" s="2"/>
      <c r="AF11" s="2" t="n">
        <v>1.229</v>
      </c>
      <c r="AG11" s="2" t="n">
        <v>40.77</v>
      </c>
      <c r="AH11" s="2"/>
      <c r="AI11" s="2"/>
      <c r="AJ11" s="2"/>
    </row>
    <row r="12" customFormat="false" ht="15" hidden="false" customHeight="false" outlineLevel="0" collapsed="false">
      <c r="A12" s="2" t="s">
        <v>102</v>
      </c>
      <c r="B12" s="2" t="s">
        <v>103</v>
      </c>
      <c r="C12" s="2" t="s">
        <v>38</v>
      </c>
      <c r="D12" s="2" t="s">
        <v>104</v>
      </c>
      <c r="E12" s="2" t="s">
        <v>40</v>
      </c>
      <c r="F12" s="2" t="s">
        <v>41</v>
      </c>
      <c r="G12" s="2" t="s">
        <v>42</v>
      </c>
      <c r="H12" s="2" t="s">
        <v>43</v>
      </c>
      <c r="I12" s="2" t="s">
        <v>44</v>
      </c>
      <c r="J12" s="2" t="s">
        <v>45</v>
      </c>
      <c r="K12" s="2"/>
      <c r="L12" s="2" t="s">
        <v>105</v>
      </c>
      <c r="M12" s="2" t="s">
        <v>106</v>
      </c>
      <c r="N12" s="2" t="s">
        <v>48</v>
      </c>
      <c r="O12" s="2" t="s">
        <v>49</v>
      </c>
      <c r="P12" s="2" t="s">
        <v>50</v>
      </c>
      <c r="Q12" s="2"/>
      <c r="R12" s="2"/>
      <c r="S12" s="2" t="s">
        <v>101</v>
      </c>
      <c r="T12" s="2" t="n">
        <v>43.1</v>
      </c>
      <c r="U12" s="2" t="n">
        <v>7.4</v>
      </c>
      <c r="V12" s="2" t="s">
        <v>52</v>
      </c>
      <c r="W12" s="2"/>
      <c r="X12" s="2"/>
      <c r="Y12" s="2"/>
      <c r="Z12" s="2"/>
      <c r="AA12" s="2"/>
      <c r="AB12" s="2"/>
      <c r="AC12" s="2"/>
      <c r="AD12" s="2"/>
      <c r="AE12" s="2"/>
      <c r="AF12" s="2" t="n">
        <v>1.229</v>
      </c>
      <c r="AG12" s="2" t="n">
        <v>40.27</v>
      </c>
      <c r="AH12" s="2"/>
      <c r="AI12" s="2"/>
      <c r="AJ12" s="2"/>
    </row>
    <row r="13" customFormat="false" ht="15" hidden="false" customHeight="false" outlineLevel="0" collapsed="false">
      <c r="A13" s="2" t="s">
        <v>107</v>
      </c>
      <c r="B13" s="2" t="s">
        <v>108</v>
      </c>
      <c r="C13" s="2" t="s">
        <v>38</v>
      </c>
      <c r="D13" s="2" t="s">
        <v>109</v>
      </c>
      <c r="E13" s="2" t="s">
        <v>40</v>
      </c>
      <c r="F13" s="2" t="s">
        <v>41</v>
      </c>
      <c r="G13" s="2" t="s">
        <v>42</v>
      </c>
      <c r="H13" s="2" t="s">
        <v>43</v>
      </c>
      <c r="I13" s="2" t="s">
        <v>44</v>
      </c>
      <c r="J13" s="2" t="s">
        <v>45</v>
      </c>
      <c r="K13" s="2"/>
      <c r="L13" s="2" t="s">
        <v>110</v>
      </c>
      <c r="M13" s="2" t="s">
        <v>111</v>
      </c>
      <c r="N13" s="2" t="s">
        <v>48</v>
      </c>
      <c r="O13" s="2" t="s">
        <v>49</v>
      </c>
      <c r="P13" s="2" t="s">
        <v>50</v>
      </c>
      <c r="Q13" s="2"/>
      <c r="R13" s="2"/>
      <c r="S13" s="2" t="s">
        <v>112</v>
      </c>
      <c r="T13" s="2" t="n">
        <v>42.4</v>
      </c>
      <c r="U13" s="2" t="n">
        <v>7.2</v>
      </c>
      <c r="V13" s="2" t="s">
        <v>52</v>
      </c>
      <c r="W13" s="2"/>
      <c r="X13" s="2"/>
      <c r="Y13" s="2"/>
      <c r="Z13" s="2"/>
      <c r="AA13" s="2"/>
      <c r="AB13" s="2"/>
      <c r="AC13" s="2"/>
      <c r="AD13" s="2"/>
      <c r="AE13" s="2"/>
      <c r="AF13" s="2" t="n">
        <v>1.233</v>
      </c>
      <c r="AG13" s="2" t="n">
        <v>62.37</v>
      </c>
      <c r="AH13" s="2"/>
      <c r="AI13" s="2"/>
      <c r="AJ13" s="2"/>
    </row>
    <row r="14" customFormat="false" ht="15" hidden="false" customHeight="false" outlineLevel="0" collapsed="false">
      <c r="A14" s="2" t="s">
        <v>113</v>
      </c>
      <c r="B14" s="2" t="s">
        <v>108</v>
      </c>
      <c r="C14" s="2" t="s">
        <v>38</v>
      </c>
      <c r="D14" s="2" t="s">
        <v>114</v>
      </c>
      <c r="E14" s="2" t="s">
        <v>40</v>
      </c>
      <c r="F14" s="2" t="s">
        <v>41</v>
      </c>
      <c r="G14" s="2" t="s">
        <v>42</v>
      </c>
      <c r="H14" s="2" t="s">
        <v>43</v>
      </c>
      <c r="I14" s="2" t="s">
        <v>44</v>
      </c>
      <c r="J14" s="2" t="s">
        <v>45</v>
      </c>
      <c r="K14" s="2"/>
      <c r="L14" s="2" t="s">
        <v>110</v>
      </c>
      <c r="M14" s="2" t="s">
        <v>115</v>
      </c>
      <c r="N14" s="2" t="s">
        <v>48</v>
      </c>
      <c r="O14" s="2" t="s">
        <v>49</v>
      </c>
      <c r="P14" s="2" t="s">
        <v>50</v>
      </c>
      <c r="Q14" s="2"/>
      <c r="R14" s="2"/>
      <c r="S14" s="2" t="s">
        <v>112</v>
      </c>
      <c r="T14" s="2" t="n">
        <v>42.2</v>
      </c>
      <c r="U14" s="2" t="n">
        <v>7.2</v>
      </c>
      <c r="V14" s="2" t="s">
        <v>52</v>
      </c>
      <c r="W14" s="2"/>
      <c r="X14" s="2"/>
      <c r="Y14" s="2"/>
      <c r="Z14" s="2"/>
      <c r="AA14" s="2"/>
      <c r="AB14" s="2"/>
      <c r="AC14" s="2"/>
      <c r="AD14" s="2"/>
      <c r="AE14" s="2"/>
      <c r="AF14" s="2" t="n">
        <v>1.232</v>
      </c>
      <c r="AG14" s="2" t="n">
        <v>59.63</v>
      </c>
      <c r="AH14" s="2"/>
      <c r="AI14" s="2"/>
      <c r="AJ14" s="2"/>
    </row>
    <row r="15" customFormat="false" ht="15" hidden="false" customHeight="false" outlineLevel="0" collapsed="false">
      <c r="A15" s="2" t="s">
        <v>116</v>
      </c>
      <c r="B15" s="2" t="s">
        <v>117</v>
      </c>
      <c r="C15" s="2" t="s">
        <v>38</v>
      </c>
      <c r="D15" s="2" t="s">
        <v>118</v>
      </c>
      <c r="E15" s="2" t="s">
        <v>40</v>
      </c>
      <c r="F15" s="2" t="s">
        <v>41</v>
      </c>
      <c r="G15" s="2" t="s">
        <v>42</v>
      </c>
      <c r="H15" s="2" t="s">
        <v>43</v>
      </c>
      <c r="I15" s="2" t="s">
        <v>44</v>
      </c>
      <c r="J15" s="2" t="s">
        <v>45</v>
      </c>
      <c r="K15" s="2"/>
      <c r="L15" s="2" t="s">
        <v>119</v>
      </c>
      <c r="M15" s="2" t="s">
        <v>120</v>
      </c>
      <c r="N15" s="2" t="s">
        <v>48</v>
      </c>
      <c r="O15" s="2" t="s">
        <v>49</v>
      </c>
      <c r="P15" s="2" t="s">
        <v>50</v>
      </c>
      <c r="Q15" s="2"/>
      <c r="R15" s="2"/>
      <c r="S15" s="2" t="s">
        <v>112</v>
      </c>
      <c r="T15" s="2" t="n">
        <v>42.5</v>
      </c>
      <c r="U15" s="2" t="n">
        <v>7.3</v>
      </c>
      <c r="V15" s="2" t="s">
        <v>52</v>
      </c>
      <c r="W15" s="2"/>
      <c r="X15" s="2"/>
      <c r="Y15" s="2"/>
      <c r="Z15" s="2"/>
      <c r="AA15" s="2"/>
      <c r="AB15" s="2"/>
      <c r="AC15" s="2"/>
      <c r="AD15" s="2"/>
      <c r="AE15" s="2"/>
      <c r="AF15" s="2" t="n">
        <v>1.23</v>
      </c>
      <c r="AG15" s="2" t="n">
        <v>41.17</v>
      </c>
      <c r="AH15" s="2"/>
      <c r="AI15" s="2"/>
      <c r="AJ15" s="2"/>
    </row>
    <row r="16" customFormat="false" ht="15" hidden="false" customHeight="false" outlineLevel="0" collapsed="false">
      <c r="A16" s="2" t="s">
        <v>121</v>
      </c>
      <c r="B16" s="2" t="s">
        <v>122</v>
      </c>
      <c r="C16" s="2" t="s">
        <v>38</v>
      </c>
      <c r="D16" s="2" t="s">
        <v>123</v>
      </c>
      <c r="E16" s="2" t="s">
        <v>40</v>
      </c>
      <c r="F16" s="2" t="s">
        <v>41</v>
      </c>
      <c r="G16" s="2" t="s">
        <v>42</v>
      </c>
      <c r="H16" s="2" t="s">
        <v>43</v>
      </c>
      <c r="I16" s="2" t="s">
        <v>44</v>
      </c>
      <c r="J16" s="2" t="s">
        <v>45</v>
      </c>
      <c r="K16" s="2"/>
      <c r="L16" s="2" t="s">
        <v>124</v>
      </c>
      <c r="M16" s="2" t="s">
        <v>125</v>
      </c>
      <c r="N16" s="2" t="s">
        <v>48</v>
      </c>
      <c r="O16" s="2" t="s">
        <v>49</v>
      </c>
      <c r="P16" s="2" t="s">
        <v>50</v>
      </c>
      <c r="Q16" s="2"/>
      <c r="R16" s="2"/>
      <c r="S16" s="2" t="s">
        <v>112</v>
      </c>
      <c r="T16" s="2" t="n">
        <v>40.8</v>
      </c>
      <c r="U16" s="2" t="n">
        <v>7.4</v>
      </c>
      <c r="V16" s="2" t="s">
        <v>52</v>
      </c>
      <c r="W16" s="2"/>
      <c r="X16" s="2"/>
      <c r="Y16" s="2"/>
      <c r="Z16" s="2"/>
      <c r="AA16" s="2"/>
      <c r="AB16" s="2"/>
      <c r="AC16" s="2"/>
      <c r="AD16" s="2"/>
      <c r="AE16" s="2"/>
      <c r="AF16" s="2" t="n">
        <v>1.229</v>
      </c>
      <c r="AG16" s="2" t="n">
        <v>36</v>
      </c>
      <c r="AH16" s="2"/>
      <c r="AI16" s="2"/>
      <c r="AJ16" s="2"/>
    </row>
    <row r="17" customFormat="false" ht="15" hidden="false" customHeight="false" outlineLevel="0" collapsed="false">
      <c r="A17" s="2" t="s">
        <v>126</v>
      </c>
      <c r="B17" s="2" t="s">
        <v>127</v>
      </c>
      <c r="C17" s="2" t="s">
        <v>38</v>
      </c>
      <c r="D17" s="2" t="s">
        <v>128</v>
      </c>
      <c r="E17" s="2" t="s">
        <v>40</v>
      </c>
      <c r="F17" s="2" t="s">
        <v>41</v>
      </c>
      <c r="G17" s="2" t="s">
        <v>42</v>
      </c>
      <c r="H17" s="2" t="s">
        <v>43</v>
      </c>
      <c r="I17" s="2" t="s">
        <v>44</v>
      </c>
      <c r="J17" s="2" t="s">
        <v>45</v>
      </c>
      <c r="K17" s="2"/>
      <c r="L17" s="2" t="s">
        <v>129</v>
      </c>
      <c r="M17" s="2" t="s">
        <v>130</v>
      </c>
      <c r="N17" s="2" t="s">
        <v>48</v>
      </c>
      <c r="O17" s="2" t="s">
        <v>49</v>
      </c>
      <c r="P17" s="2" t="s">
        <v>50</v>
      </c>
      <c r="Q17" s="2"/>
      <c r="R17" s="2"/>
      <c r="S17" s="2" t="s">
        <v>131</v>
      </c>
      <c r="T17" s="2" t="n">
        <v>41.3</v>
      </c>
      <c r="U17" s="2" t="n">
        <v>7.2</v>
      </c>
      <c r="V17" s="2" t="s">
        <v>52</v>
      </c>
      <c r="W17" s="2"/>
      <c r="X17" s="2"/>
      <c r="Y17" s="2"/>
      <c r="Z17" s="2"/>
      <c r="AA17" s="2"/>
      <c r="AB17" s="2"/>
      <c r="AC17" s="2"/>
      <c r="AD17" s="2"/>
      <c r="AE17" s="2"/>
      <c r="AF17" s="2" t="n">
        <v>1.229</v>
      </c>
      <c r="AG17" s="2" t="n">
        <v>22.79</v>
      </c>
      <c r="AH17" s="2"/>
      <c r="AI17" s="2"/>
      <c r="AJ17" s="2"/>
    </row>
    <row r="18" customFormat="false" ht="15" hidden="false" customHeight="false" outlineLevel="0" collapsed="false">
      <c r="A18" s="2" t="s">
        <v>132</v>
      </c>
      <c r="B18" s="2" t="s">
        <v>133</v>
      </c>
      <c r="C18" s="2" t="s">
        <v>38</v>
      </c>
      <c r="D18" s="2" t="s">
        <v>134</v>
      </c>
      <c r="E18" s="2" t="s">
        <v>40</v>
      </c>
      <c r="F18" s="2" t="s">
        <v>41</v>
      </c>
      <c r="G18" s="2" t="s">
        <v>42</v>
      </c>
      <c r="H18" s="2" t="s">
        <v>43</v>
      </c>
      <c r="I18" s="2" t="s">
        <v>44</v>
      </c>
      <c r="J18" s="2" t="s">
        <v>45</v>
      </c>
      <c r="K18" s="2"/>
      <c r="L18" s="2" t="s">
        <v>135</v>
      </c>
      <c r="M18" s="2" t="s">
        <v>136</v>
      </c>
      <c r="N18" s="2" t="s">
        <v>48</v>
      </c>
      <c r="O18" s="2" t="s">
        <v>49</v>
      </c>
      <c r="P18" s="2" t="s">
        <v>50</v>
      </c>
      <c r="Q18" s="2"/>
      <c r="R18" s="2"/>
      <c r="S18" s="2" t="s">
        <v>131</v>
      </c>
      <c r="T18" s="2" t="n">
        <v>38.8</v>
      </c>
      <c r="U18" s="2" t="n">
        <v>7.3</v>
      </c>
      <c r="V18" s="2" t="s">
        <v>52</v>
      </c>
      <c r="W18" s="2"/>
      <c r="X18" s="2"/>
      <c r="Y18" s="2"/>
      <c r="Z18" s="2"/>
      <c r="AA18" s="2"/>
      <c r="AB18" s="2"/>
      <c r="AC18" s="2"/>
      <c r="AD18" s="2"/>
      <c r="AE18" s="2"/>
      <c r="AF18" s="2" t="n">
        <v>1.22</v>
      </c>
      <c r="AG18" s="2" t="n">
        <v>26.19</v>
      </c>
      <c r="AH18" s="2"/>
      <c r="AI18" s="2"/>
      <c r="AJ18" s="2"/>
    </row>
    <row r="19" customFormat="false" ht="15" hidden="false" customHeight="false" outlineLevel="0" collapsed="false">
      <c r="A19" s="2" t="s">
        <v>137</v>
      </c>
      <c r="B19" s="2" t="s">
        <v>138</v>
      </c>
      <c r="C19" s="2" t="s">
        <v>38</v>
      </c>
      <c r="D19" s="2" t="s">
        <v>139</v>
      </c>
      <c r="E19" s="2" t="s">
        <v>40</v>
      </c>
      <c r="F19" s="2" t="s">
        <v>41</v>
      </c>
      <c r="G19" s="2" t="s">
        <v>42</v>
      </c>
      <c r="H19" s="2" t="s">
        <v>43</v>
      </c>
      <c r="I19" s="2" t="s">
        <v>44</v>
      </c>
      <c r="J19" s="2" t="s">
        <v>45</v>
      </c>
      <c r="K19" s="2"/>
      <c r="L19" s="2" t="s">
        <v>140</v>
      </c>
      <c r="M19" s="2" t="s">
        <v>141</v>
      </c>
      <c r="N19" s="2" t="s">
        <v>48</v>
      </c>
      <c r="O19" s="2" t="s">
        <v>49</v>
      </c>
      <c r="P19" s="2" t="s">
        <v>50</v>
      </c>
      <c r="Q19" s="2"/>
      <c r="R19" s="2"/>
      <c r="S19" s="2" t="s">
        <v>131</v>
      </c>
      <c r="T19" s="2" t="n">
        <v>36.3</v>
      </c>
      <c r="U19" s="2" t="n">
        <v>7.4</v>
      </c>
      <c r="V19" s="2" t="s">
        <v>52</v>
      </c>
      <c r="W19" s="2"/>
      <c r="X19" s="2"/>
      <c r="Y19" s="2"/>
      <c r="Z19" s="2"/>
      <c r="AA19" s="2"/>
      <c r="AB19" s="2"/>
      <c r="AC19" s="2"/>
      <c r="AD19" s="2"/>
      <c r="AE19" s="2"/>
      <c r="AF19" s="2" t="n">
        <v>1.217</v>
      </c>
      <c r="AG19" s="2" t="n">
        <v>15.25</v>
      </c>
      <c r="AH19" s="2"/>
      <c r="AI19" s="2"/>
      <c r="AJ19" s="2"/>
    </row>
    <row r="20" customFormat="false" ht="15" hidden="false" customHeight="false" outlineLevel="0" collapsed="false">
      <c r="A20" s="2" t="s">
        <v>142</v>
      </c>
      <c r="B20" s="2" t="s">
        <v>143</v>
      </c>
      <c r="C20" s="2" t="s">
        <v>38</v>
      </c>
      <c r="D20" s="2" t="s">
        <v>144</v>
      </c>
      <c r="E20" s="2" t="s">
        <v>40</v>
      </c>
      <c r="F20" s="2" t="s">
        <v>41</v>
      </c>
      <c r="G20" s="2" t="s">
        <v>42</v>
      </c>
      <c r="H20" s="2" t="s">
        <v>43</v>
      </c>
      <c r="I20" s="2" t="s">
        <v>44</v>
      </c>
      <c r="J20" s="2" t="s">
        <v>45</v>
      </c>
      <c r="K20" s="2"/>
      <c r="L20" s="2" t="s">
        <v>145</v>
      </c>
      <c r="M20" s="2" t="s">
        <v>146</v>
      </c>
      <c r="N20" s="2" t="s">
        <v>48</v>
      </c>
      <c r="O20" s="2" t="s">
        <v>49</v>
      </c>
      <c r="P20" s="2" t="s">
        <v>50</v>
      </c>
      <c r="Q20" s="2"/>
      <c r="R20" s="2"/>
      <c r="S20" s="2" t="s">
        <v>147</v>
      </c>
      <c r="T20" s="2" t="n">
        <v>39.8</v>
      </c>
      <c r="U20" s="2" t="n">
        <v>7.5</v>
      </c>
      <c r="V20" s="2" t="s">
        <v>52</v>
      </c>
      <c r="W20" s="2"/>
      <c r="X20" s="2"/>
      <c r="Y20" s="2"/>
      <c r="Z20" s="2"/>
      <c r="AA20" s="2"/>
      <c r="AB20" s="2"/>
      <c r="AC20" s="2"/>
      <c r="AD20" s="2"/>
      <c r="AE20" s="2"/>
      <c r="AF20" s="2" t="n">
        <v>1.222</v>
      </c>
      <c r="AG20" s="2" t="n">
        <v>24.72</v>
      </c>
      <c r="AH20" s="2"/>
      <c r="AI20" s="2"/>
      <c r="AJ20" s="2"/>
    </row>
    <row r="21" customFormat="false" ht="15" hidden="false" customHeight="false" outlineLevel="0" collapsed="false">
      <c r="A21" s="2" t="s">
        <v>148</v>
      </c>
      <c r="B21" s="2" t="s">
        <v>149</v>
      </c>
      <c r="C21" s="2" t="s">
        <v>38</v>
      </c>
      <c r="D21" s="2" t="s">
        <v>150</v>
      </c>
      <c r="E21" s="2" t="s">
        <v>40</v>
      </c>
      <c r="F21" s="2" t="s">
        <v>41</v>
      </c>
      <c r="G21" s="2" t="s">
        <v>42</v>
      </c>
      <c r="H21" s="2" t="s">
        <v>43</v>
      </c>
      <c r="I21" s="2" t="s">
        <v>44</v>
      </c>
      <c r="J21" s="2" t="s">
        <v>45</v>
      </c>
      <c r="K21" s="2"/>
      <c r="L21" s="2" t="s">
        <v>151</v>
      </c>
      <c r="M21" s="2" t="s">
        <v>152</v>
      </c>
      <c r="N21" s="2" t="s">
        <v>48</v>
      </c>
      <c r="O21" s="2" t="s">
        <v>49</v>
      </c>
      <c r="P21" s="2" t="s">
        <v>50</v>
      </c>
      <c r="Q21" s="2" t="s">
        <v>153</v>
      </c>
      <c r="R21" s="2" t="s">
        <v>154</v>
      </c>
      <c r="S21" s="2" t="s">
        <v>155</v>
      </c>
      <c r="T21" s="2" t="n">
        <v>34.3</v>
      </c>
      <c r="U21" s="2" t="n">
        <v>7.4</v>
      </c>
      <c r="V21" s="2" t="s">
        <v>52</v>
      </c>
      <c r="W21" s="2"/>
      <c r="X21" s="2"/>
      <c r="Y21" s="2"/>
      <c r="Z21" s="2"/>
      <c r="AA21" s="2"/>
      <c r="AB21" s="2"/>
      <c r="AC21" s="2"/>
      <c r="AD21" s="2"/>
      <c r="AE21" s="2"/>
      <c r="AF21" s="2" t="n">
        <v>1.238</v>
      </c>
      <c r="AG21" s="2" t="n">
        <v>15.96</v>
      </c>
      <c r="AH21" s="2"/>
      <c r="AI21" s="2"/>
      <c r="AJ21" s="2"/>
    </row>
    <row r="22" customFormat="false" ht="15" hidden="false" customHeight="false" outlineLevel="0" collapsed="false">
      <c r="A22" s="2" t="s">
        <v>156</v>
      </c>
      <c r="B22" s="2" t="s">
        <v>157</v>
      </c>
      <c r="C22" s="2" t="s">
        <v>38</v>
      </c>
      <c r="D22" s="2" t="s">
        <v>158</v>
      </c>
      <c r="E22" s="2" t="s">
        <v>40</v>
      </c>
      <c r="F22" s="2" t="s">
        <v>41</v>
      </c>
      <c r="G22" s="2" t="s">
        <v>42</v>
      </c>
      <c r="H22" s="2" t="s">
        <v>159</v>
      </c>
      <c r="I22" s="2" t="s">
        <v>44</v>
      </c>
      <c r="J22" s="2" t="s">
        <v>160</v>
      </c>
      <c r="K22" s="2"/>
      <c r="L22" s="2" t="s">
        <v>161</v>
      </c>
      <c r="M22" s="2" t="s">
        <v>162</v>
      </c>
      <c r="N22" s="2" t="s">
        <v>48</v>
      </c>
      <c r="O22" s="2" t="s">
        <v>163</v>
      </c>
      <c r="P22" s="2" t="s">
        <v>50</v>
      </c>
      <c r="Q22" s="2" t="s">
        <v>164</v>
      </c>
      <c r="R22" s="2" t="s">
        <v>165</v>
      </c>
      <c r="S22" s="2" t="s">
        <v>166</v>
      </c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 t="n">
        <v>1.2748</v>
      </c>
      <c r="AG22" s="2"/>
      <c r="AH22" s="2"/>
      <c r="AI22" s="2"/>
      <c r="AJ22" s="2"/>
    </row>
    <row r="23" customFormat="false" ht="15" hidden="false" customHeight="false" outlineLevel="0" collapsed="false">
      <c r="A23" s="2" t="s">
        <v>167</v>
      </c>
      <c r="B23" s="2" t="s">
        <v>168</v>
      </c>
      <c r="C23" s="2" t="s">
        <v>38</v>
      </c>
      <c r="D23" s="2" t="s">
        <v>169</v>
      </c>
      <c r="E23" s="2" t="s">
        <v>40</v>
      </c>
      <c r="F23" s="2" t="s">
        <v>41</v>
      </c>
      <c r="G23" s="2" t="s">
        <v>42</v>
      </c>
      <c r="H23" s="2" t="s">
        <v>159</v>
      </c>
      <c r="I23" s="2" t="s">
        <v>44</v>
      </c>
      <c r="J23" s="2" t="s">
        <v>160</v>
      </c>
      <c r="K23" s="2"/>
      <c r="L23" s="2" t="s">
        <v>170</v>
      </c>
      <c r="M23" s="2" t="s">
        <v>171</v>
      </c>
      <c r="N23" s="2" t="s">
        <v>48</v>
      </c>
      <c r="O23" s="2" t="s">
        <v>163</v>
      </c>
      <c r="P23" s="2" t="s">
        <v>50</v>
      </c>
      <c r="Q23" s="2" t="s">
        <v>164</v>
      </c>
      <c r="R23" s="2" t="s">
        <v>165</v>
      </c>
      <c r="S23" s="2" t="s">
        <v>166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 t="n">
        <v>1.2847</v>
      </c>
      <c r="AG23" s="2"/>
      <c r="AH23" s="2"/>
      <c r="AI23" s="2"/>
      <c r="AJ23" s="2"/>
    </row>
    <row r="24" customFormat="false" ht="15" hidden="false" customHeight="false" outlineLevel="0" collapsed="false">
      <c r="A24" s="2" t="s">
        <v>172</v>
      </c>
      <c r="B24" s="2" t="s">
        <v>173</v>
      </c>
      <c r="C24" s="2" t="s">
        <v>38</v>
      </c>
      <c r="D24" s="2" t="s">
        <v>174</v>
      </c>
      <c r="E24" s="2" t="s">
        <v>40</v>
      </c>
      <c r="F24" s="2" t="s">
        <v>41</v>
      </c>
      <c r="G24" s="2" t="s">
        <v>42</v>
      </c>
      <c r="H24" s="2" t="s">
        <v>175</v>
      </c>
      <c r="I24" s="2" t="s">
        <v>44</v>
      </c>
      <c r="J24" s="2" t="s">
        <v>160</v>
      </c>
      <c r="K24" s="2"/>
      <c r="L24" s="2" t="s">
        <v>176</v>
      </c>
      <c r="M24" s="2" t="s">
        <v>171</v>
      </c>
      <c r="N24" s="2" t="s">
        <v>48</v>
      </c>
      <c r="O24" s="2" t="s">
        <v>49</v>
      </c>
      <c r="P24" s="2" t="s">
        <v>50</v>
      </c>
      <c r="Q24" s="2" t="s">
        <v>164</v>
      </c>
      <c r="R24" s="2" t="s">
        <v>165</v>
      </c>
      <c r="S24" s="2" t="s">
        <v>166</v>
      </c>
      <c r="T24" s="2" t="n">
        <v>40.5</v>
      </c>
      <c r="U24" s="2" t="n">
        <v>6.7</v>
      </c>
      <c r="V24" s="2" t="s">
        <v>52</v>
      </c>
      <c r="W24" s="2" t="n">
        <v>42.63</v>
      </c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customFormat="false" ht="15" hidden="false" customHeight="false" outlineLevel="0" collapsed="false">
      <c r="A25" s="2" t="s">
        <v>177</v>
      </c>
      <c r="B25" s="2" t="s">
        <v>178</v>
      </c>
      <c r="C25" s="2" t="s">
        <v>38</v>
      </c>
      <c r="D25" s="2" t="s">
        <v>179</v>
      </c>
      <c r="E25" s="2" t="s">
        <v>40</v>
      </c>
      <c r="F25" s="2" t="s">
        <v>41</v>
      </c>
      <c r="G25" s="2" t="s">
        <v>42</v>
      </c>
      <c r="H25" s="2" t="s">
        <v>175</v>
      </c>
      <c r="I25" s="2" t="s">
        <v>44</v>
      </c>
      <c r="J25" s="2" t="s">
        <v>160</v>
      </c>
      <c r="K25" s="2"/>
      <c r="L25" s="2" t="s">
        <v>180</v>
      </c>
      <c r="M25" s="2" t="s">
        <v>162</v>
      </c>
      <c r="N25" s="2" t="s">
        <v>48</v>
      </c>
      <c r="O25" s="2" t="s">
        <v>49</v>
      </c>
      <c r="P25" s="2" t="s">
        <v>50</v>
      </c>
      <c r="Q25" s="2" t="s">
        <v>164</v>
      </c>
      <c r="R25" s="2" t="s">
        <v>165</v>
      </c>
      <c r="S25" s="2" t="s">
        <v>166</v>
      </c>
      <c r="T25" s="2" t="n">
        <v>42.2</v>
      </c>
      <c r="U25" s="2" t="n">
        <v>6.9</v>
      </c>
      <c r="V25" s="2" t="s">
        <v>52</v>
      </c>
      <c r="W25" s="2" t="n">
        <v>25.64</v>
      </c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customFormat="false" ht="15" hidden="false" customHeight="false" outlineLevel="0" collapsed="false">
      <c r="A26" s="2" t="s">
        <v>181</v>
      </c>
      <c r="B26" s="2" t="s">
        <v>178</v>
      </c>
      <c r="C26" s="2" t="s">
        <v>38</v>
      </c>
      <c r="D26" s="2" t="s">
        <v>182</v>
      </c>
      <c r="E26" s="2" t="s">
        <v>40</v>
      </c>
      <c r="F26" s="2" t="s">
        <v>41</v>
      </c>
      <c r="G26" s="2" t="s">
        <v>42</v>
      </c>
      <c r="H26" s="2" t="s">
        <v>159</v>
      </c>
      <c r="I26" s="2" t="s">
        <v>44</v>
      </c>
      <c r="J26" s="2" t="s">
        <v>160</v>
      </c>
      <c r="K26" s="2"/>
      <c r="L26" s="2" t="s">
        <v>183</v>
      </c>
      <c r="M26" s="2" t="s">
        <v>184</v>
      </c>
      <c r="N26" s="2" t="s">
        <v>48</v>
      </c>
      <c r="O26" s="2" t="s">
        <v>163</v>
      </c>
      <c r="P26" s="2" t="s">
        <v>50</v>
      </c>
      <c r="Q26" s="2" t="s">
        <v>164</v>
      </c>
      <c r="R26" s="2" t="s">
        <v>165</v>
      </c>
      <c r="S26" s="2" t="s">
        <v>185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 t="n">
        <v>1.2965</v>
      </c>
      <c r="AG26" s="2"/>
      <c r="AH26" s="2"/>
      <c r="AI26" s="2"/>
      <c r="AJ26" s="2"/>
    </row>
    <row r="27" customFormat="false" ht="15" hidden="false" customHeight="false" outlineLevel="0" collapsed="false">
      <c r="A27" s="2" t="s">
        <v>186</v>
      </c>
      <c r="B27" s="2" t="s">
        <v>187</v>
      </c>
      <c r="C27" s="2" t="s">
        <v>38</v>
      </c>
      <c r="D27" s="2" t="s">
        <v>188</v>
      </c>
      <c r="E27" s="2" t="s">
        <v>40</v>
      </c>
      <c r="F27" s="2" t="s">
        <v>41</v>
      </c>
      <c r="G27" s="2" t="s">
        <v>42</v>
      </c>
      <c r="H27" s="2" t="s">
        <v>175</v>
      </c>
      <c r="I27" s="2" t="s">
        <v>44</v>
      </c>
      <c r="J27" s="2" t="s">
        <v>160</v>
      </c>
      <c r="K27" s="2"/>
      <c r="L27" s="2" t="s">
        <v>189</v>
      </c>
      <c r="M27" s="2" t="s">
        <v>184</v>
      </c>
      <c r="N27" s="2" t="s">
        <v>48</v>
      </c>
      <c r="O27" s="2" t="s">
        <v>49</v>
      </c>
      <c r="P27" s="2" t="s">
        <v>50</v>
      </c>
      <c r="Q27" s="2" t="s">
        <v>164</v>
      </c>
      <c r="R27" s="2" t="s">
        <v>165</v>
      </c>
      <c r="S27" s="2" t="s">
        <v>185</v>
      </c>
      <c r="T27" s="2" t="n">
        <v>39.5</v>
      </c>
      <c r="U27" s="2" t="n">
        <v>7.4</v>
      </c>
      <c r="V27" s="2" t="s">
        <v>52</v>
      </c>
      <c r="W27" s="2" t="n">
        <v>32.27</v>
      </c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customFormat="false" ht="15" hidden="false" customHeight="false" outlineLevel="0" collapsed="false">
      <c r="A28" s="2" t="s">
        <v>190</v>
      </c>
      <c r="B28" s="2" t="s">
        <v>187</v>
      </c>
      <c r="C28" s="2" t="s">
        <v>38</v>
      </c>
      <c r="D28" s="2" t="s">
        <v>191</v>
      </c>
      <c r="E28" s="2" t="s">
        <v>40</v>
      </c>
      <c r="F28" s="2" t="s">
        <v>41</v>
      </c>
      <c r="G28" s="2" t="s">
        <v>42</v>
      </c>
      <c r="H28" s="2" t="s">
        <v>159</v>
      </c>
      <c r="I28" s="2" t="s">
        <v>44</v>
      </c>
      <c r="J28" s="2" t="s">
        <v>160</v>
      </c>
      <c r="K28" s="2"/>
      <c r="L28" s="2" t="s">
        <v>192</v>
      </c>
      <c r="M28" s="2" t="s">
        <v>193</v>
      </c>
      <c r="N28" s="2" t="s">
        <v>48</v>
      </c>
      <c r="O28" s="2" t="s">
        <v>163</v>
      </c>
      <c r="P28" s="2" t="s">
        <v>50</v>
      </c>
      <c r="Q28" s="2" t="s">
        <v>164</v>
      </c>
      <c r="R28" s="2" t="s">
        <v>165</v>
      </c>
      <c r="S28" s="2" t="s">
        <v>185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 t="n">
        <v>1.2985</v>
      </c>
      <c r="AG28" s="2"/>
      <c r="AH28" s="2"/>
      <c r="AI28" s="2"/>
      <c r="AJ28" s="2"/>
    </row>
    <row r="29" customFormat="false" ht="15" hidden="false" customHeight="false" outlineLevel="0" collapsed="false">
      <c r="A29" s="2" t="s">
        <v>194</v>
      </c>
      <c r="B29" s="2" t="s">
        <v>195</v>
      </c>
      <c r="C29" s="2" t="s">
        <v>38</v>
      </c>
      <c r="D29" s="2" t="s">
        <v>196</v>
      </c>
      <c r="E29" s="2" t="s">
        <v>40</v>
      </c>
      <c r="F29" s="2" t="s">
        <v>41</v>
      </c>
      <c r="G29" s="2" t="s">
        <v>42</v>
      </c>
      <c r="H29" s="2" t="s">
        <v>175</v>
      </c>
      <c r="I29" s="2" t="s">
        <v>44</v>
      </c>
      <c r="J29" s="2" t="s">
        <v>160</v>
      </c>
      <c r="K29" s="2"/>
      <c r="L29" s="2" t="s">
        <v>197</v>
      </c>
      <c r="M29" s="2" t="s">
        <v>193</v>
      </c>
      <c r="N29" s="2" t="s">
        <v>48</v>
      </c>
      <c r="O29" s="2" t="s">
        <v>49</v>
      </c>
      <c r="P29" s="2" t="s">
        <v>50</v>
      </c>
      <c r="Q29" s="2" t="s">
        <v>164</v>
      </c>
      <c r="R29" s="2" t="s">
        <v>165</v>
      </c>
      <c r="S29" s="2" t="s">
        <v>185</v>
      </c>
      <c r="T29" s="2" t="n">
        <v>42.9</v>
      </c>
      <c r="U29" s="2" t="n">
        <v>7.3</v>
      </c>
      <c r="V29" s="2" t="s">
        <v>52</v>
      </c>
      <c r="W29" s="2" t="n">
        <v>26.48</v>
      </c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customFormat="false" ht="15" hidden="false" customHeight="false" outlineLevel="0" collapsed="false">
      <c r="A30" s="2" t="s">
        <v>198</v>
      </c>
      <c r="B30" s="2" t="s">
        <v>195</v>
      </c>
      <c r="C30" s="2" t="s">
        <v>38</v>
      </c>
      <c r="D30" s="2" t="s">
        <v>199</v>
      </c>
      <c r="E30" s="2" t="s">
        <v>40</v>
      </c>
      <c r="F30" s="2" t="s">
        <v>41</v>
      </c>
      <c r="G30" s="2" t="s">
        <v>42</v>
      </c>
      <c r="H30" s="2" t="s">
        <v>159</v>
      </c>
      <c r="I30" s="2" t="s">
        <v>44</v>
      </c>
      <c r="J30" s="2" t="s">
        <v>160</v>
      </c>
      <c r="K30" s="2"/>
      <c r="L30" s="2" t="s">
        <v>200</v>
      </c>
      <c r="M30" s="2" t="s">
        <v>201</v>
      </c>
      <c r="N30" s="2" t="s">
        <v>48</v>
      </c>
      <c r="O30" s="2" t="s">
        <v>163</v>
      </c>
      <c r="P30" s="2" t="s">
        <v>50</v>
      </c>
      <c r="Q30" s="2" t="s">
        <v>202</v>
      </c>
      <c r="R30" s="2" t="s">
        <v>203</v>
      </c>
      <c r="S30" s="2" t="s">
        <v>204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 t="n">
        <v>1.2906</v>
      </c>
      <c r="AG30" s="2"/>
      <c r="AH30" s="2"/>
      <c r="AI30" s="2"/>
      <c r="AJ30" s="2"/>
    </row>
    <row r="31" customFormat="false" ht="15" hidden="false" customHeight="false" outlineLevel="0" collapsed="false">
      <c r="A31" s="2" t="s">
        <v>205</v>
      </c>
      <c r="B31" s="2" t="s">
        <v>206</v>
      </c>
      <c r="C31" s="2" t="s">
        <v>38</v>
      </c>
      <c r="D31" s="2" t="s">
        <v>207</v>
      </c>
      <c r="E31" s="2" t="s">
        <v>40</v>
      </c>
      <c r="F31" s="2" t="s">
        <v>41</v>
      </c>
      <c r="G31" s="2" t="s">
        <v>42</v>
      </c>
      <c r="H31" s="2" t="s">
        <v>175</v>
      </c>
      <c r="I31" s="2" t="s">
        <v>44</v>
      </c>
      <c r="J31" s="2" t="s">
        <v>160</v>
      </c>
      <c r="K31" s="2"/>
      <c r="L31" s="2" t="s">
        <v>208</v>
      </c>
      <c r="M31" s="2" t="s">
        <v>201</v>
      </c>
      <c r="N31" s="2" t="s">
        <v>48</v>
      </c>
      <c r="O31" s="2" t="s">
        <v>49</v>
      </c>
      <c r="P31" s="2" t="s">
        <v>50</v>
      </c>
      <c r="Q31" s="2" t="s">
        <v>202</v>
      </c>
      <c r="R31" s="2" t="s">
        <v>203</v>
      </c>
      <c r="S31" s="2" t="s">
        <v>204</v>
      </c>
      <c r="T31" s="2" t="n">
        <v>39.1</v>
      </c>
      <c r="U31" s="2" t="n">
        <v>6.9</v>
      </c>
      <c r="V31" s="2" t="s">
        <v>52</v>
      </c>
      <c r="W31" s="2" t="n">
        <v>25.05</v>
      </c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customFormat="false" ht="15" hidden="false" customHeight="false" outlineLevel="0" collapsed="false">
      <c r="A32" s="2" t="s">
        <v>209</v>
      </c>
      <c r="B32" s="2" t="s">
        <v>210</v>
      </c>
      <c r="C32" s="2" t="s">
        <v>38</v>
      </c>
      <c r="D32" s="2" t="s">
        <v>211</v>
      </c>
      <c r="E32" s="2" t="s">
        <v>40</v>
      </c>
      <c r="F32" s="2" t="s">
        <v>41</v>
      </c>
      <c r="G32" s="2" t="s">
        <v>42</v>
      </c>
      <c r="H32" s="2" t="s">
        <v>159</v>
      </c>
      <c r="I32" s="2" t="s">
        <v>44</v>
      </c>
      <c r="J32" s="2" t="s">
        <v>160</v>
      </c>
      <c r="K32" s="2"/>
      <c r="L32" s="2" t="s">
        <v>212</v>
      </c>
      <c r="M32" s="2" t="s">
        <v>213</v>
      </c>
      <c r="N32" s="2" t="s">
        <v>48</v>
      </c>
      <c r="O32" s="2" t="s">
        <v>163</v>
      </c>
      <c r="P32" s="2" t="s">
        <v>50</v>
      </c>
      <c r="Q32" s="2" t="s">
        <v>214</v>
      </c>
      <c r="R32" s="2" t="s">
        <v>215</v>
      </c>
      <c r="S32" s="2" t="s">
        <v>216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 t="n">
        <v>1.2729</v>
      </c>
      <c r="AG32" s="2"/>
      <c r="AH32" s="2"/>
      <c r="AI32" s="2"/>
      <c r="AJ32" s="2"/>
    </row>
    <row r="33" customFormat="false" ht="15" hidden="false" customHeight="false" outlineLevel="0" collapsed="false">
      <c r="A33" s="2" t="s">
        <v>217</v>
      </c>
      <c r="B33" s="2" t="s">
        <v>218</v>
      </c>
      <c r="C33" s="2" t="s">
        <v>38</v>
      </c>
      <c r="D33" s="2" t="s">
        <v>219</v>
      </c>
      <c r="E33" s="2" t="s">
        <v>40</v>
      </c>
      <c r="F33" s="2" t="s">
        <v>41</v>
      </c>
      <c r="G33" s="2" t="s">
        <v>42</v>
      </c>
      <c r="H33" s="2" t="s">
        <v>175</v>
      </c>
      <c r="I33" s="2" t="s">
        <v>44</v>
      </c>
      <c r="J33" s="2" t="s">
        <v>160</v>
      </c>
      <c r="K33" s="2"/>
      <c r="L33" s="2" t="s">
        <v>220</v>
      </c>
      <c r="M33" s="2" t="s">
        <v>213</v>
      </c>
      <c r="N33" s="2" t="s">
        <v>48</v>
      </c>
      <c r="O33" s="2" t="s">
        <v>49</v>
      </c>
      <c r="P33" s="2" t="s">
        <v>50</v>
      </c>
      <c r="Q33" s="2" t="s">
        <v>214</v>
      </c>
      <c r="R33" s="2" t="s">
        <v>215</v>
      </c>
      <c r="S33" s="2" t="s">
        <v>216</v>
      </c>
      <c r="T33" s="2" t="n">
        <v>41.3</v>
      </c>
      <c r="U33" s="2" t="n">
        <v>7.2</v>
      </c>
      <c r="V33" s="2" t="s">
        <v>52</v>
      </c>
      <c r="W33" s="2" t="n">
        <v>27.93</v>
      </c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customFormat="false" ht="15" hidden="false" customHeight="false" outlineLevel="0" collapsed="false">
      <c r="A34" s="2" t="s">
        <v>221</v>
      </c>
      <c r="B34" s="2" t="s">
        <v>218</v>
      </c>
      <c r="C34" s="2" t="s">
        <v>38</v>
      </c>
      <c r="D34" s="2" t="s">
        <v>222</v>
      </c>
      <c r="E34" s="2" t="s">
        <v>40</v>
      </c>
      <c r="F34" s="2" t="s">
        <v>41</v>
      </c>
      <c r="G34" s="2" t="s">
        <v>42</v>
      </c>
      <c r="H34" s="2" t="s">
        <v>159</v>
      </c>
      <c r="I34" s="2" t="s">
        <v>44</v>
      </c>
      <c r="J34" s="2" t="s">
        <v>160</v>
      </c>
      <c r="K34" s="2"/>
      <c r="L34" s="2" t="s">
        <v>223</v>
      </c>
      <c r="M34" s="2" t="s">
        <v>224</v>
      </c>
      <c r="N34" s="2" t="s">
        <v>48</v>
      </c>
      <c r="O34" s="2" t="s">
        <v>163</v>
      </c>
      <c r="P34" s="2" t="s">
        <v>50</v>
      </c>
      <c r="Q34" s="2" t="s">
        <v>225</v>
      </c>
      <c r="R34" s="2" t="s">
        <v>226</v>
      </c>
      <c r="S34" s="2" t="s">
        <v>227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 t="n">
        <v>1.2669</v>
      </c>
      <c r="AG34" s="2"/>
      <c r="AH34" s="2"/>
      <c r="AI34" s="2"/>
      <c r="AJ34" s="2"/>
    </row>
    <row r="35" customFormat="false" ht="15" hidden="false" customHeight="false" outlineLevel="0" collapsed="false">
      <c r="A35" s="2" t="s">
        <v>228</v>
      </c>
      <c r="B35" s="2" t="s">
        <v>229</v>
      </c>
      <c r="C35" s="2" t="s">
        <v>38</v>
      </c>
      <c r="D35" s="2" t="s">
        <v>230</v>
      </c>
      <c r="E35" s="2" t="s">
        <v>40</v>
      </c>
      <c r="F35" s="2" t="s">
        <v>41</v>
      </c>
      <c r="G35" s="2" t="s">
        <v>42</v>
      </c>
      <c r="H35" s="2" t="s">
        <v>175</v>
      </c>
      <c r="I35" s="2" t="s">
        <v>44</v>
      </c>
      <c r="J35" s="2" t="s">
        <v>160</v>
      </c>
      <c r="K35" s="2"/>
      <c r="L35" s="2" t="s">
        <v>231</v>
      </c>
      <c r="M35" s="2" t="s">
        <v>224</v>
      </c>
      <c r="N35" s="2" t="s">
        <v>48</v>
      </c>
      <c r="O35" s="2" t="s">
        <v>49</v>
      </c>
      <c r="P35" s="2" t="s">
        <v>50</v>
      </c>
      <c r="Q35" s="2" t="s">
        <v>225</v>
      </c>
      <c r="R35" s="2" t="s">
        <v>226</v>
      </c>
      <c r="S35" s="2" t="s">
        <v>227</v>
      </c>
      <c r="T35" s="2" t="n">
        <v>43.1</v>
      </c>
      <c r="U35" s="2" t="n">
        <v>7.4</v>
      </c>
      <c r="V35" s="2" t="s">
        <v>52</v>
      </c>
      <c r="W35" s="2" t="n">
        <v>24.18</v>
      </c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customFormat="false" ht="15" hidden="false" customHeight="false" outlineLevel="0" collapsed="false">
      <c r="A36" s="2" t="s">
        <v>232</v>
      </c>
      <c r="B36" s="2" t="s">
        <v>233</v>
      </c>
      <c r="C36" s="2" t="s">
        <v>38</v>
      </c>
      <c r="D36" s="2" t="s">
        <v>234</v>
      </c>
      <c r="E36" s="2" t="s">
        <v>40</v>
      </c>
      <c r="F36" s="2" t="s">
        <v>41</v>
      </c>
      <c r="G36" s="2" t="s">
        <v>42</v>
      </c>
      <c r="H36" s="2" t="s">
        <v>159</v>
      </c>
      <c r="I36" s="2" t="s">
        <v>44</v>
      </c>
      <c r="J36" s="2" t="s">
        <v>160</v>
      </c>
      <c r="K36" s="2"/>
      <c r="L36" s="2" t="s">
        <v>235</v>
      </c>
      <c r="M36" s="2" t="s">
        <v>236</v>
      </c>
      <c r="N36" s="2" t="s">
        <v>48</v>
      </c>
      <c r="O36" s="2" t="s">
        <v>163</v>
      </c>
      <c r="P36" s="2" t="s">
        <v>50</v>
      </c>
      <c r="Q36" s="2" t="s">
        <v>237</v>
      </c>
      <c r="R36" s="2" t="s">
        <v>238</v>
      </c>
      <c r="S36" s="2" t="s">
        <v>227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 t="n">
        <v>1.2808</v>
      </c>
      <c r="AG36" s="2"/>
      <c r="AH36" s="2"/>
      <c r="AI36" s="2"/>
      <c r="AJ36" s="2"/>
    </row>
    <row r="37" customFormat="false" ht="15" hidden="false" customHeight="false" outlineLevel="0" collapsed="false">
      <c r="A37" s="2" t="s">
        <v>239</v>
      </c>
      <c r="B37" s="2" t="s">
        <v>240</v>
      </c>
      <c r="C37" s="2" t="s">
        <v>38</v>
      </c>
      <c r="D37" s="2" t="s">
        <v>241</v>
      </c>
      <c r="E37" s="2" t="s">
        <v>40</v>
      </c>
      <c r="F37" s="2" t="s">
        <v>41</v>
      </c>
      <c r="G37" s="2" t="s">
        <v>42</v>
      </c>
      <c r="H37" s="2" t="s">
        <v>159</v>
      </c>
      <c r="I37" s="2" t="s">
        <v>44</v>
      </c>
      <c r="J37" s="2" t="s">
        <v>160</v>
      </c>
      <c r="K37" s="2"/>
      <c r="L37" s="2" t="s">
        <v>242</v>
      </c>
      <c r="M37" s="2" t="s">
        <v>243</v>
      </c>
      <c r="N37" s="2" t="s">
        <v>48</v>
      </c>
      <c r="O37" s="2" t="s">
        <v>163</v>
      </c>
      <c r="P37" s="2" t="s">
        <v>50</v>
      </c>
      <c r="Q37" s="2" t="s">
        <v>237</v>
      </c>
      <c r="R37" s="2" t="s">
        <v>238</v>
      </c>
      <c r="S37" s="2" t="s">
        <v>227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 t="n">
        <v>1.2728</v>
      </c>
      <c r="AG37" s="2"/>
      <c r="AH37" s="2"/>
      <c r="AI37" s="2"/>
      <c r="AJ37" s="2"/>
    </row>
    <row r="38" customFormat="false" ht="15" hidden="false" customHeight="false" outlineLevel="0" collapsed="false">
      <c r="A38" s="2" t="s">
        <v>244</v>
      </c>
      <c r="B38" s="2" t="s">
        <v>245</v>
      </c>
      <c r="C38" s="2" t="s">
        <v>38</v>
      </c>
      <c r="D38" s="2" t="s">
        <v>246</v>
      </c>
      <c r="E38" s="2" t="s">
        <v>40</v>
      </c>
      <c r="F38" s="2" t="s">
        <v>41</v>
      </c>
      <c r="G38" s="2" t="s">
        <v>42</v>
      </c>
      <c r="H38" s="2" t="s">
        <v>175</v>
      </c>
      <c r="I38" s="2" t="s">
        <v>44</v>
      </c>
      <c r="J38" s="2" t="s">
        <v>160</v>
      </c>
      <c r="K38" s="2"/>
      <c r="L38" s="2" t="s">
        <v>247</v>
      </c>
      <c r="M38" s="2" t="s">
        <v>236</v>
      </c>
      <c r="N38" s="2" t="s">
        <v>48</v>
      </c>
      <c r="O38" s="2" t="s">
        <v>49</v>
      </c>
      <c r="P38" s="2" t="s">
        <v>50</v>
      </c>
      <c r="Q38" s="2" t="s">
        <v>237</v>
      </c>
      <c r="R38" s="2" t="s">
        <v>238</v>
      </c>
      <c r="S38" s="2" t="s">
        <v>227</v>
      </c>
      <c r="T38" s="2" t="n">
        <v>42.3</v>
      </c>
      <c r="U38" s="2" t="n">
        <v>6.8</v>
      </c>
      <c r="V38" s="2" t="s">
        <v>52</v>
      </c>
      <c r="W38" s="2" t="n">
        <v>24.03</v>
      </c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customFormat="false" ht="15" hidden="false" customHeight="false" outlineLevel="0" collapsed="false">
      <c r="A39" s="2" t="s">
        <v>248</v>
      </c>
      <c r="B39" s="2" t="s">
        <v>249</v>
      </c>
      <c r="C39" s="2" t="s">
        <v>38</v>
      </c>
      <c r="D39" s="2" t="s">
        <v>250</v>
      </c>
      <c r="E39" s="2" t="s">
        <v>40</v>
      </c>
      <c r="F39" s="2" t="s">
        <v>41</v>
      </c>
      <c r="G39" s="2" t="s">
        <v>42</v>
      </c>
      <c r="H39" s="2" t="s">
        <v>175</v>
      </c>
      <c r="I39" s="2" t="s">
        <v>44</v>
      </c>
      <c r="J39" s="2" t="s">
        <v>160</v>
      </c>
      <c r="K39" s="2"/>
      <c r="L39" s="2" t="s">
        <v>251</v>
      </c>
      <c r="M39" s="2" t="s">
        <v>243</v>
      </c>
      <c r="N39" s="2" t="s">
        <v>48</v>
      </c>
      <c r="O39" s="2" t="s">
        <v>49</v>
      </c>
      <c r="P39" s="2" t="s">
        <v>50</v>
      </c>
      <c r="Q39" s="2" t="s">
        <v>237</v>
      </c>
      <c r="R39" s="2" t="s">
        <v>238</v>
      </c>
      <c r="S39" s="2" t="s">
        <v>227</v>
      </c>
      <c r="T39" s="2" t="n">
        <v>36.6</v>
      </c>
      <c r="U39" s="2" t="n">
        <v>7</v>
      </c>
      <c r="V39" s="2" t="s">
        <v>52</v>
      </c>
      <c r="W39" s="2" t="n">
        <v>28.73</v>
      </c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customFormat="false" ht="15" hidden="false" customHeight="false" outlineLevel="0" collapsed="false">
      <c r="A40" s="2" t="s">
        <v>252</v>
      </c>
      <c r="B40" s="2" t="s">
        <v>253</v>
      </c>
      <c r="C40" s="2" t="s">
        <v>38</v>
      </c>
      <c r="D40" s="2" t="s">
        <v>254</v>
      </c>
      <c r="E40" s="2" t="s">
        <v>40</v>
      </c>
      <c r="F40" s="2" t="s">
        <v>41</v>
      </c>
      <c r="G40" s="2" t="s">
        <v>42</v>
      </c>
      <c r="H40" s="2" t="s">
        <v>159</v>
      </c>
      <c r="I40" s="2" t="s">
        <v>44</v>
      </c>
      <c r="J40" s="2" t="s">
        <v>160</v>
      </c>
      <c r="K40" s="2"/>
      <c r="L40" s="2" t="s">
        <v>255</v>
      </c>
      <c r="M40" s="2" t="s">
        <v>256</v>
      </c>
      <c r="N40" s="2" t="s">
        <v>48</v>
      </c>
      <c r="O40" s="2" t="s">
        <v>163</v>
      </c>
      <c r="P40" s="2" t="s">
        <v>50</v>
      </c>
      <c r="Q40" s="2" t="s">
        <v>257</v>
      </c>
      <c r="R40" s="2" t="s">
        <v>258</v>
      </c>
      <c r="S40" s="2" t="s">
        <v>259</v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 t="n">
        <v>1.2709</v>
      </c>
      <c r="AG40" s="2"/>
      <c r="AH40" s="2"/>
      <c r="AI40" s="2"/>
      <c r="AJ40" s="2"/>
    </row>
    <row r="41" customFormat="false" ht="15" hidden="false" customHeight="false" outlineLevel="0" collapsed="false">
      <c r="A41" s="2" t="s">
        <v>260</v>
      </c>
      <c r="B41" s="2" t="s">
        <v>261</v>
      </c>
      <c r="C41" s="2" t="s">
        <v>38</v>
      </c>
      <c r="D41" s="2" t="s">
        <v>262</v>
      </c>
      <c r="E41" s="2" t="s">
        <v>40</v>
      </c>
      <c r="F41" s="2" t="s">
        <v>41</v>
      </c>
      <c r="G41" s="2" t="s">
        <v>42</v>
      </c>
      <c r="H41" s="2" t="s">
        <v>175</v>
      </c>
      <c r="I41" s="2" t="s">
        <v>44</v>
      </c>
      <c r="J41" s="2" t="s">
        <v>160</v>
      </c>
      <c r="K41" s="2"/>
      <c r="L41" s="2" t="s">
        <v>263</v>
      </c>
      <c r="M41" s="2" t="s">
        <v>256</v>
      </c>
      <c r="N41" s="2" t="s">
        <v>48</v>
      </c>
      <c r="O41" s="2" t="s">
        <v>49</v>
      </c>
      <c r="P41" s="2" t="s">
        <v>50</v>
      </c>
      <c r="Q41" s="2" t="s">
        <v>257</v>
      </c>
      <c r="R41" s="2" t="s">
        <v>258</v>
      </c>
      <c r="S41" s="2" t="s">
        <v>259</v>
      </c>
      <c r="T41" s="2" t="n">
        <v>36.4</v>
      </c>
      <c r="U41" s="2" t="n">
        <v>7.7</v>
      </c>
      <c r="V41" s="2" t="s">
        <v>52</v>
      </c>
      <c r="W41" s="2" t="n">
        <v>33.62</v>
      </c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customFormat="false" ht="15" hidden="false" customHeight="false" outlineLevel="0" collapsed="false">
      <c r="A42" s="2" t="s">
        <v>264</v>
      </c>
      <c r="B42" s="2" t="s">
        <v>265</v>
      </c>
      <c r="C42" s="2" t="s">
        <v>38</v>
      </c>
      <c r="D42" s="2" t="s">
        <v>266</v>
      </c>
      <c r="E42" s="2" t="s">
        <v>40</v>
      </c>
      <c r="F42" s="2" t="s">
        <v>41</v>
      </c>
      <c r="G42" s="2" t="s">
        <v>42</v>
      </c>
      <c r="H42" s="2" t="s">
        <v>159</v>
      </c>
      <c r="I42" s="2" t="s">
        <v>44</v>
      </c>
      <c r="J42" s="2" t="s">
        <v>160</v>
      </c>
      <c r="K42" s="2"/>
      <c r="L42" s="2" t="s">
        <v>267</v>
      </c>
      <c r="M42" s="2" t="s">
        <v>268</v>
      </c>
      <c r="N42" s="2" t="s">
        <v>48</v>
      </c>
      <c r="O42" s="2" t="s">
        <v>163</v>
      </c>
      <c r="P42" s="2" t="s">
        <v>50</v>
      </c>
      <c r="Q42" s="2" t="s">
        <v>269</v>
      </c>
      <c r="R42" s="2" t="s">
        <v>270</v>
      </c>
      <c r="S42" s="2" t="s">
        <v>271</v>
      </c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 t="n">
        <v>1.2768</v>
      </c>
      <c r="AG42" s="2"/>
      <c r="AH42" s="2"/>
      <c r="AI42" s="2"/>
      <c r="AJ42" s="2"/>
    </row>
    <row r="43" customFormat="false" ht="15" hidden="false" customHeight="false" outlineLevel="0" collapsed="false">
      <c r="A43" s="2" t="s">
        <v>272</v>
      </c>
      <c r="B43" s="2" t="s">
        <v>273</v>
      </c>
      <c r="C43" s="2" t="s">
        <v>38</v>
      </c>
      <c r="D43" s="2" t="s">
        <v>274</v>
      </c>
      <c r="E43" s="2" t="s">
        <v>40</v>
      </c>
      <c r="F43" s="2" t="s">
        <v>41</v>
      </c>
      <c r="G43" s="2" t="s">
        <v>42</v>
      </c>
      <c r="H43" s="2" t="s">
        <v>175</v>
      </c>
      <c r="I43" s="2" t="s">
        <v>44</v>
      </c>
      <c r="J43" s="2" t="s">
        <v>160</v>
      </c>
      <c r="K43" s="2"/>
      <c r="L43" s="2" t="s">
        <v>275</v>
      </c>
      <c r="M43" s="2" t="s">
        <v>268</v>
      </c>
      <c r="N43" s="2" t="s">
        <v>48</v>
      </c>
      <c r="O43" s="2" t="s">
        <v>49</v>
      </c>
      <c r="P43" s="2" t="s">
        <v>50</v>
      </c>
      <c r="Q43" s="2" t="s">
        <v>269</v>
      </c>
      <c r="R43" s="2" t="s">
        <v>270</v>
      </c>
      <c r="S43" s="2" t="s">
        <v>271</v>
      </c>
      <c r="T43" s="2" t="n">
        <v>43.9</v>
      </c>
      <c r="U43" s="2" t="n">
        <v>7.3</v>
      </c>
      <c r="V43" s="2" t="s">
        <v>52</v>
      </c>
      <c r="W43" s="2" t="n">
        <v>25.74</v>
      </c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customFormat="false" ht="15" hidden="false" customHeight="false" outlineLevel="0" collapsed="false">
      <c r="A44" s="2" t="s">
        <v>276</v>
      </c>
      <c r="B44" s="2" t="s">
        <v>273</v>
      </c>
      <c r="C44" s="2" t="s">
        <v>38</v>
      </c>
      <c r="D44" s="2" t="s">
        <v>277</v>
      </c>
      <c r="E44" s="2" t="s">
        <v>40</v>
      </c>
      <c r="F44" s="2" t="s">
        <v>41</v>
      </c>
      <c r="G44" s="2" t="s">
        <v>42</v>
      </c>
      <c r="H44" s="2" t="s">
        <v>159</v>
      </c>
      <c r="I44" s="2" t="s">
        <v>44</v>
      </c>
      <c r="J44" s="2" t="s">
        <v>160</v>
      </c>
      <c r="K44" s="2"/>
      <c r="L44" s="2" t="s">
        <v>278</v>
      </c>
      <c r="M44" s="2" t="s">
        <v>279</v>
      </c>
      <c r="N44" s="2" t="s">
        <v>48</v>
      </c>
      <c r="O44" s="2" t="s">
        <v>163</v>
      </c>
      <c r="P44" s="2" t="s">
        <v>50</v>
      </c>
      <c r="Q44" s="2" t="s">
        <v>269</v>
      </c>
      <c r="R44" s="2" t="s">
        <v>270</v>
      </c>
      <c r="S44" s="2" t="s">
        <v>271</v>
      </c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 t="n">
        <v>1.2906</v>
      </c>
      <c r="AG44" s="2"/>
      <c r="AH44" s="2"/>
      <c r="AI44" s="2"/>
      <c r="AJ44" s="2"/>
    </row>
    <row r="45" customFormat="false" ht="15" hidden="false" customHeight="false" outlineLevel="0" collapsed="false">
      <c r="A45" s="2" t="s">
        <v>280</v>
      </c>
      <c r="B45" s="2" t="s">
        <v>281</v>
      </c>
      <c r="C45" s="2" t="s">
        <v>38</v>
      </c>
      <c r="D45" s="2" t="s">
        <v>282</v>
      </c>
      <c r="E45" s="2" t="s">
        <v>40</v>
      </c>
      <c r="F45" s="2" t="s">
        <v>41</v>
      </c>
      <c r="G45" s="2" t="s">
        <v>42</v>
      </c>
      <c r="H45" s="2" t="s">
        <v>175</v>
      </c>
      <c r="I45" s="2" t="s">
        <v>44</v>
      </c>
      <c r="J45" s="2" t="s">
        <v>160</v>
      </c>
      <c r="K45" s="2"/>
      <c r="L45" s="2" t="s">
        <v>283</v>
      </c>
      <c r="M45" s="2" t="s">
        <v>279</v>
      </c>
      <c r="N45" s="2" t="s">
        <v>48</v>
      </c>
      <c r="O45" s="2" t="s">
        <v>49</v>
      </c>
      <c r="P45" s="2" t="s">
        <v>50</v>
      </c>
      <c r="Q45" s="2" t="s">
        <v>269</v>
      </c>
      <c r="R45" s="2" t="s">
        <v>270</v>
      </c>
      <c r="S45" s="2" t="s">
        <v>271</v>
      </c>
      <c r="T45" s="2" t="n">
        <v>44.7</v>
      </c>
      <c r="U45" s="2" t="n">
        <v>7.6</v>
      </c>
      <c r="V45" s="2" t="s">
        <v>52</v>
      </c>
      <c r="W45" s="2" t="n">
        <v>23.86</v>
      </c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customFormat="false" ht="15" hidden="false" customHeight="false" outlineLevel="0" collapsed="false">
      <c r="A46" s="2" t="s">
        <v>284</v>
      </c>
      <c r="B46" s="2" t="s">
        <v>281</v>
      </c>
      <c r="C46" s="2" t="s">
        <v>38</v>
      </c>
      <c r="D46" s="2" t="s">
        <v>285</v>
      </c>
      <c r="E46" s="2" t="s">
        <v>40</v>
      </c>
      <c r="F46" s="2" t="s">
        <v>41</v>
      </c>
      <c r="G46" s="2" t="s">
        <v>42</v>
      </c>
      <c r="H46" s="2" t="s">
        <v>159</v>
      </c>
      <c r="I46" s="2" t="s">
        <v>44</v>
      </c>
      <c r="J46" s="2" t="s">
        <v>160</v>
      </c>
      <c r="K46" s="2"/>
      <c r="L46" s="2" t="s">
        <v>286</v>
      </c>
      <c r="M46" s="2" t="s">
        <v>287</v>
      </c>
      <c r="N46" s="2" t="s">
        <v>48</v>
      </c>
      <c r="O46" s="2" t="s">
        <v>163</v>
      </c>
      <c r="P46" s="2" t="s">
        <v>50</v>
      </c>
      <c r="Q46" s="2" t="s">
        <v>288</v>
      </c>
      <c r="R46" s="2" t="s">
        <v>289</v>
      </c>
      <c r="S46" s="2" t="s">
        <v>290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 t="n">
        <v>1.2729</v>
      </c>
      <c r="AG46" s="2"/>
      <c r="AH46" s="2"/>
      <c r="AI46" s="2"/>
      <c r="AJ46" s="2"/>
    </row>
    <row r="47" customFormat="false" ht="15" hidden="false" customHeight="false" outlineLevel="0" collapsed="false">
      <c r="A47" s="2" t="s">
        <v>291</v>
      </c>
      <c r="B47" s="2" t="s">
        <v>292</v>
      </c>
      <c r="C47" s="2" t="s">
        <v>38</v>
      </c>
      <c r="D47" s="2" t="s">
        <v>293</v>
      </c>
      <c r="E47" s="2" t="s">
        <v>40</v>
      </c>
      <c r="F47" s="2" t="s">
        <v>41</v>
      </c>
      <c r="G47" s="2" t="s">
        <v>42</v>
      </c>
      <c r="H47" s="2" t="s">
        <v>175</v>
      </c>
      <c r="I47" s="2" t="s">
        <v>44</v>
      </c>
      <c r="J47" s="2" t="s">
        <v>160</v>
      </c>
      <c r="K47" s="2"/>
      <c r="L47" s="2" t="s">
        <v>294</v>
      </c>
      <c r="M47" s="2" t="s">
        <v>287</v>
      </c>
      <c r="N47" s="2" t="s">
        <v>48</v>
      </c>
      <c r="O47" s="2" t="s">
        <v>49</v>
      </c>
      <c r="P47" s="2" t="s">
        <v>50</v>
      </c>
      <c r="Q47" s="2" t="s">
        <v>288</v>
      </c>
      <c r="R47" s="2" t="s">
        <v>289</v>
      </c>
      <c r="S47" s="2" t="s">
        <v>290</v>
      </c>
      <c r="T47" s="2" t="n">
        <v>42.5</v>
      </c>
      <c r="U47" s="2" t="n">
        <v>7.3</v>
      </c>
      <c r="V47" s="2" t="s">
        <v>52</v>
      </c>
      <c r="W47" s="2" t="n">
        <v>23.39</v>
      </c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customFormat="false" ht="15" hidden="false" customHeight="false" outlineLevel="0" collapsed="false">
      <c r="A48" s="2" t="s">
        <v>295</v>
      </c>
      <c r="B48" s="2" t="s">
        <v>296</v>
      </c>
      <c r="C48" s="2" t="s">
        <v>38</v>
      </c>
      <c r="D48" s="2" t="s">
        <v>297</v>
      </c>
      <c r="E48" s="2" t="s">
        <v>40</v>
      </c>
      <c r="F48" s="2" t="s">
        <v>41</v>
      </c>
      <c r="G48" s="2" t="s">
        <v>42</v>
      </c>
      <c r="H48" s="2" t="s">
        <v>159</v>
      </c>
      <c r="I48" s="2" t="s">
        <v>44</v>
      </c>
      <c r="J48" s="2" t="s">
        <v>160</v>
      </c>
      <c r="K48" s="2"/>
      <c r="L48" s="2" t="s">
        <v>298</v>
      </c>
      <c r="M48" s="2" t="s">
        <v>299</v>
      </c>
      <c r="N48" s="2" t="s">
        <v>48</v>
      </c>
      <c r="O48" s="2" t="s">
        <v>163</v>
      </c>
      <c r="P48" s="2" t="s">
        <v>50</v>
      </c>
      <c r="Q48" s="2" t="s">
        <v>300</v>
      </c>
      <c r="R48" s="2" t="s">
        <v>301</v>
      </c>
      <c r="S48" s="2" t="s">
        <v>290</v>
      </c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 t="n">
        <v>1.2728</v>
      </c>
      <c r="AG48" s="2"/>
      <c r="AH48" s="2"/>
      <c r="AI48" s="2"/>
      <c r="AJ48" s="2"/>
    </row>
    <row r="49" customFormat="false" ht="15" hidden="false" customHeight="false" outlineLevel="0" collapsed="false">
      <c r="A49" s="2" t="s">
        <v>302</v>
      </c>
      <c r="B49" s="2" t="s">
        <v>303</v>
      </c>
      <c r="C49" s="2" t="s">
        <v>38</v>
      </c>
      <c r="D49" s="2" t="s">
        <v>304</v>
      </c>
      <c r="E49" s="2" t="s">
        <v>40</v>
      </c>
      <c r="F49" s="2" t="s">
        <v>41</v>
      </c>
      <c r="G49" s="2" t="s">
        <v>42</v>
      </c>
      <c r="H49" s="2" t="s">
        <v>175</v>
      </c>
      <c r="I49" s="2" t="s">
        <v>44</v>
      </c>
      <c r="J49" s="2" t="s">
        <v>160</v>
      </c>
      <c r="K49" s="2"/>
      <c r="L49" s="2" t="s">
        <v>305</v>
      </c>
      <c r="M49" s="2" t="s">
        <v>299</v>
      </c>
      <c r="N49" s="2" t="s">
        <v>48</v>
      </c>
      <c r="O49" s="2" t="s">
        <v>49</v>
      </c>
      <c r="P49" s="2" t="s">
        <v>50</v>
      </c>
      <c r="Q49" s="2" t="s">
        <v>300</v>
      </c>
      <c r="R49" s="2" t="s">
        <v>301</v>
      </c>
      <c r="S49" s="2" t="s">
        <v>290</v>
      </c>
      <c r="T49" s="2" t="n">
        <v>42.5</v>
      </c>
      <c r="U49" s="2" t="n">
        <v>7.3</v>
      </c>
      <c r="V49" s="2" t="s">
        <v>52</v>
      </c>
      <c r="W49" s="2" t="n">
        <v>23.39</v>
      </c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customFormat="false" ht="15" hidden="false" customHeight="false" outlineLevel="0" collapsed="false">
      <c r="A50" s="2" t="s">
        <v>306</v>
      </c>
      <c r="B50" s="2" t="s">
        <v>307</v>
      </c>
      <c r="C50" s="2" t="s">
        <v>38</v>
      </c>
      <c r="D50" s="2" t="s">
        <v>308</v>
      </c>
      <c r="E50" s="2" t="s">
        <v>40</v>
      </c>
      <c r="F50" s="2" t="s">
        <v>41</v>
      </c>
      <c r="G50" s="2" t="s">
        <v>42</v>
      </c>
      <c r="H50" s="2" t="s">
        <v>159</v>
      </c>
      <c r="I50" s="2" t="s">
        <v>44</v>
      </c>
      <c r="J50" s="2" t="s">
        <v>160</v>
      </c>
      <c r="K50" s="2"/>
      <c r="L50" s="2" t="s">
        <v>309</v>
      </c>
      <c r="M50" s="2" t="s">
        <v>310</v>
      </c>
      <c r="N50" s="2" t="s">
        <v>48</v>
      </c>
      <c r="O50" s="2" t="s">
        <v>163</v>
      </c>
      <c r="P50" s="2" t="s">
        <v>50</v>
      </c>
      <c r="Q50" s="2" t="s">
        <v>311</v>
      </c>
      <c r="R50" s="2" t="s">
        <v>312</v>
      </c>
      <c r="S50" s="2" t="s">
        <v>313</v>
      </c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 t="n">
        <v>1.3281</v>
      </c>
      <c r="AG50" s="2"/>
      <c r="AH50" s="2"/>
      <c r="AI50" s="2"/>
      <c r="AJ50" s="2"/>
    </row>
    <row r="51" customFormat="false" ht="15" hidden="false" customHeight="false" outlineLevel="0" collapsed="false">
      <c r="A51" s="2" t="s">
        <v>314</v>
      </c>
      <c r="B51" s="2" t="s">
        <v>315</v>
      </c>
      <c r="C51" s="2" t="s">
        <v>38</v>
      </c>
      <c r="D51" s="2" t="s">
        <v>316</v>
      </c>
      <c r="E51" s="2" t="s">
        <v>40</v>
      </c>
      <c r="F51" s="2" t="s">
        <v>41</v>
      </c>
      <c r="G51" s="2" t="s">
        <v>42</v>
      </c>
      <c r="H51" s="2" t="s">
        <v>175</v>
      </c>
      <c r="I51" s="2" t="s">
        <v>44</v>
      </c>
      <c r="J51" s="2" t="s">
        <v>160</v>
      </c>
      <c r="K51" s="2"/>
      <c r="L51" s="2" t="s">
        <v>317</v>
      </c>
      <c r="M51" s="2" t="s">
        <v>310</v>
      </c>
      <c r="N51" s="2" t="s">
        <v>48</v>
      </c>
      <c r="O51" s="2" t="s">
        <v>49</v>
      </c>
      <c r="P51" s="2" t="s">
        <v>50</v>
      </c>
      <c r="Q51" s="2" t="s">
        <v>311</v>
      </c>
      <c r="R51" s="2" t="s">
        <v>312</v>
      </c>
      <c r="S51" s="2" t="s">
        <v>313</v>
      </c>
      <c r="T51" s="2" t="n">
        <v>43.9</v>
      </c>
      <c r="U51" s="2" t="n">
        <v>7.3</v>
      </c>
      <c r="V51" s="2" t="s">
        <v>52</v>
      </c>
      <c r="W51" s="2" t="n">
        <v>22.46</v>
      </c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customFormat="false" ht="15" hidden="false" customHeight="false" outlineLevel="0" collapsed="false">
      <c r="A52" s="2" t="s">
        <v>318</v>
      </c>
      <c r="B52" s="2" t="s">
        <v>315</v>
      </c>
      <c r="C52" s="2" t="s">
        <v>38</v>
      </c>
      <c r="D52" s="2" t="s">
        <v>319</v>
      </c>
      <c r="E52" s="2" t="s">
        <v>40</v>
      </c>
      <c r="F52" s="2" t="s">
        <v>41</v>
      </c>
      <c r="G52" s="2" t="s">
        <v>42</v>
      </c>
      <c r="H52" s="2" t="s">
        <v>159</v>
      </c>
      <c r="I52" s="2" t="s">
        <v>44</v>
      </c>
      <c r="J52" s="2" t="s">
        <v>160</v>
      </c>
      <c r="K52" s="2"/>
      <c r="L52" s="2" t="s">
        <v>320</v>
      </c>
      <c r="M52" s="2" t="s">
        <v>321</v>
      </c>
      <c r="N52" s="2" t="s">
        <v>48</v>
      </c>
      <c r="O52" s="2" t="s">
        <v>163</v>
      </c>
      <c r="P52" s="2" t="s">
        <v>50</v>
      </c>
      <c r="Q52" s="2" t="s">
        <v>322</v>
      </c>
      <c r="R52" s="2" t="s">
        <v>323</v>
      </c>
      <c r="S52" s="2" t="s">
        <v>324</v>
      </c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 t="n">
        <v>1.3104</v>
      </c>
      <c r="AG52" s="2"/>
      <c r="AH52" s="2"/>
      <c r="AI52" s="2"/>
      <c r="AJ52" s="2"/>
    </row>
    <row r="53" customFormat="false" ht="15" hidden="false" customHeight="false" outlineLevel="0" collapsed="false">
      <c r="A53" s="2" t="s">
        <v>325</v>
      </c>
      <c r="B53" s="2" t="s">
        <v>326</v>
      </c>
      <c r="C53" s="2" t="s">
        <v>38</v>
      </c>
      <c r="D53" s="2" t="s">
        <v>327</v>
      </c>
      <c r="E53" s="2" t="s">
        <v>40</v>
      </c>
      <c r="F53" s="2" t="s">
        <v>41</v>
      </c>
      <c r="G53" s="2" t="s">
        <v>42</v>
      </c>
      <c r="H53" s="2" t="s">
        <v>175</v>
      </c>
      <c r="I53" s="2" t="s">
        <v>44</v>
      </c>
      <c r="J53" s="2" t="s">
        <v>160</v>
      </c>
      <c r="K53" s="2"/>
      <c r="L53" s="2" t="s">
        <v>328</v>
      </c>
      <c r="M53" s="2" t="s">
        <v>321</v>
      </c>
      <c r="N53" s="2" t="s">
        <v>48</v>
      </c>
      <c r="O53" s="2" t="s">
        <v>49</v>
      </c>
      <c r="P53" s="2" t="s">
        <v>50</v>
      </c>
      <c r="Q53" s="2" t="s">
        <v>322</v>
      </c>
      <c r="R53" s="2" t="s">
        <v>323</v>
      </c>
      <c r="S53" s="2" t="s">
        <v>324</v>
      </c>
      <c r="T53" s="2" t="n">
        <v>38.9</v>
      </c>
      <c r="U53" s="2" t="n">
        <v>7.3</v>
      </c>
      <c r="V53" s="2" t="s">
        <v>52</v>
      </c>
      <c r="W53" s="2" t="n">
        <v>23.8</v>
      </c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customFormat="false" ht="15" hidden="false" customHeight="false" outlineLevel="0" collapsed="false">
      <c r="A54" s="2" t="s">
        <v>329</v>
      </c>
      <c r="B54" s="2" t="s">
        <v>330</v>
      </c>
      <c r="C54" s="2" t="s">
        <v>38</v>
      </c>
      <c r="D54" s="2" t="s">
        <v>331</v>
      </c>
      <c r="E54" s="2" t="s">
        <v>40</v>
      </c>
      <c r="F54" s="2" t="s">
        <v>41</v>
      </c>
      <c r="G54" s="2" t="s">
        <v>42</v>
      </c>
      <c r="H54" s="2" t="s">
        <v>159</v>
      </c>
      <c r="I54" s="2" t="s">
        <v>44</v>
      </c>
      <c r="J54" s="2" t="s">
        <v>160</v>
      </c>
      <c r="K54" s="2"/>
      <c r="L54" s="2" t="s">
        <v>332</v>
      </c>
      <c r="M54" s="2" t="s">
        <v>333</v>
      </c>
      <c r="N54" s="2" t="s">
        <v>48</v>
      </c>
      <c r="O54" s="2" t="s">
        <v>163</v>
      </c>
      <c r="P54" s="2" t="s">
        <v>50</v>
      </c>
      <c r="Q54" s="2" t="s">
        <v>322</v>
      </c>
      <c r="R54" s="2" t="s">
        <v>323</v>
      </c>
      <c r="S54" s="2" t="s">
        <v>324</v>
      </c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 t="n">
        <v>1.2828</v>
      </c>
      <c r="AG54" s="2"/>
      <c r="AH54" s="2"/>
      <c r="AI54" s="2"/>
      <c r="AJ54" s="2"/>
    </row>
    <row r="55" customFormat="false" ht="15" hidden="false" customHeight="false" outlineLevel="0" collapsed="false">
      <c r="A55" s="2" t="s">
        <v>334</v>
      </c>
      <c r="B55" s="2" t="s">
        <v>335</v>
      </c>
      <c r="C55" s="2" t="s">
        <v>38</v>
      </c>
      <c r="D55" s="2" t="s">
        <v>336</v>
      </c>
      <c r="E55" s="2" t="s">
        <v>40</v>
      </c>
      <c r="F55" s="2" t="s">
        <v>41</v>
      </c>
      <c r="G55" s="2" t="s">
        <v>42</v>
      </c>
      <c r="H55" s="2" t="s">
        <v>175</v>
      </c>
      <c r="I55" s="2" t="s">
        <v>44</v>
      </c>
      <c r="J55" s="2" t="s">
        <v>160</v>
      </c>
      <c r="K55" s="2"/>
      <c r="L55" s="2" t="s">
        <v>337</v>
      </c>
      <c r="M55" s="2" t="s">
        <v>333</v>
      </c>
      <c r="N55" s="2" t="s">
        <v>48</v>
      </c>
      <c r="O55" s="2" t="s">
        <v>49</v>
      </c>
      <c r="P55" s="2" t="s">
        <v>50</v>
      </c>
      <c r="Q55" s="2" t="s">
        <v>322</v>
      </c>
      <c r="R55" s="2" t="s">
        <v>323</v>
      </c>
      <c r="S55" s="2" t="s">
        <v>324</v>
      </c>
      <c r="T55" s="2" t="n">
        <v>46.1</v>
      </c>
      <c r="U55" s="2" t="n">
        <v>7.7</v>
      </c>
      <c r="V55" s="2" t="s">
        <v>52</v>
      </c>
      <c r="W55" s="2" t="n">
        <v>24.42</v>
      </c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customFormat="false" ht="15" hidden="false" customHeight="false" outlineLevel="0" collapsed="false">
      <c r="A56" s="2" t="s">
        <v>338</v>
      </c>
      <c r="B56" s="2" t="s">
        <v>335</v>
      </c>
      <c r="C56" s="2" t="s">
        <v>38</v>
      </c>
      <c r="D56" s="2" t="s">
        <v>339</v>
      </c>
      <c r="E56" s="2" t="s">
        <v>40</v>
      </c>
      <c r="F56" s="2" t="s">
        <v>41</v>
      </c>
      <c r="G56" s="2" t="s">
        <v>42</v>
      </c>
      <c r="H56" s="2" t="s">
        <v>159</v>
      </c>
      <c r="I56" s="2" t="s">
        <v>44</v>
      </c>
      <c r="J56" s="2" t="s">
        <v>160</v>
      </c>
      <c r="K56" s="2"/>
      <c r="L56" s="2" t="s">
        <v>340</v>
      </c>
      <c r="M56" s="2" t="s">
        <v>341</v>
      </c>
      <c r="N56" s="2" t="s">
        <v>48</v>
      </c>
      <c r="O56" s="2" t="s">
        <v>163</v>
      </c>
      <c r="P56" s="2" t="s">
        <v>50</v>
      </c>
      <c r="Q56" s="2" t="s">
        <v>342</v>
      </c>
      <c r="R56" s="2" t="s">
        <v>343</v>
      </c>
      <c r="S56" s="2" t="s">
        <v>344</v>
      </c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 t="n">
        <v>1.2709</v>
      </c>
      <c r="AG56" s="2"/>
      <c r="AH56" s="2"/>
      <c r="AI56" s="2"/>
      <c r="AJ56" s="2"/>
    </row>
    <row r="57" customFormat="false" ht="15" hidden="false" customHeight="false" outlineLevel="0" collapsed="false">
      <c r="A57" s="2" t="s">
        <v>345</v>
      </c>
      <c r="B57" s="2" t="s">
        <v>346</v>
      </c>
      <c r="C57" s="2" t="s">
        <v>38</v>
      </c>
      <c r="D57" s="2" t="s">
        <v>347</v>
      </c>
      <c r="E57" s="2" t="s">
        <v>40</v>
      </c>
      <c r="F57" s="2" t="s">
        <v>41</v>
      </c>
      <c r="G57" s="2" t="s">
        <v>42</v>
      </c>
      <c r="H57" s="2" t="s">
        <v>175</v>
      </c>
      <c r="I57" s="2" t="s">
        <v>44</v>
      </c>
      <c r="J57" s="2" t="s">
        <v>160</v>
      </c>
      <c r="K57" s="2"/>
      <c r="L57" s="2" t="s">
        <v>348</v>
      </c>
      <c r="M57" s="2" t="s">
        <v>341</v>
      </c>
      <c r="N57" s="2" t="s">
        <v>48</v>
      </c>
      <c r="O57" s="2" t="s">
        <v>49</v>
      </c>
      <c r="P57" s="2" t="s">
        <v>50</v>
      </c>
      <c r="Q57" s="2" t="s">
        <v>342</v>
      </c>
      <c r="R57" s="2" t="s">
        <v>343</v>
      </c>
      <c r="S57" s="2" t="s">
        <v>344</v>
      </c>
      <c r="T57" s="2" t="n">
        <v>43.2</v>
      </c>
      <c r="U57" s="2" t="n">
        <v>7.3</v>
      </c>
      <c r="V57" s="2" t="s">
        <v>52</v>
      </c>
      <c r="W57" s="2" t="n">
        <v>23.25</v>
      </c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customFormat="false" ht="15" hidden="false" customHeight="false" outlineLevel="0" collapsed="false">
      <c r="A58" s="2" t="s">
        <v>349</v>
      </c>
      <c r="B58" s="2" t="s">
        <v>350</v>
      </c>
      <c r="C58" s="2" t="s">
        <v>38</v>
      </c>
      <c r="D58" s="2" t="s">
        <v>351</v>
      </c>
      <c r="E58" s="2" t="s">
        <v>40</v>
      </c>
      <c r="F58" s="2" t="s">
        <v>41</v>
      </c>
      <c r="G58" s="2" t="s">
        <v>42</v>
      </c>
      <c r="H58" s="2" t="s">
        <v>159</v>
      </c>
      <c r="I58" s="2" t="s">
        <v>44</v>
      </c>
      <c r="J58" s="2" t="s">
        <v>160</v>
      </c>
      <c r="K58" s="2"/>
      <c r="L58" s="2" t="s">
        <v>352</v>
      </c>
      <c r="M58" s="2" t="s">
        <v>353</v>
      </c>
      <c r="N58" s="2" t="s">
        <v>48</v>
      </c>
      <c r="O58" s="2" t="s">
        <v>163</v>
      </c>
      <c r="P58" s="2" t="s">
        <v>354</v>
      </c>
      <c r="Q58" s="2" t="s">
        <v>355</v>
      </c>
      <c r="R58" s="2" t="s">
        <v>356</v>
      </c>
      <c r="S58" s="2" t="s">
        <v>357</v>
      </c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 t="n">
        <v>1.2906</v>
      </c>
      <c r="AG58" s="2"/>
      <c r="AH58" s="2"/>
      <c r="AI58" s="2"/>
      <c r="AJ58" s="2"/>
    </row>
    <row r="59" customFormat="false" ht="15" hidden="false" customHeight="false" outlineLevel="0" collapsed="false">
      <c r="A59" s="2" t="s">
        <v>358</v>
      </c>
      <c r="B59" s="2" t="s">
        <v>359</v>
      </c>
      <c r="C59" s="2" t="s">
        <v>38</v>
      </c>
      <c r="D59" s="2" t="s">
        <v>360</v>
      </c>
      <c r="E59" s="2" t="s">
        <v>40</v>
      </c>
      <c r="F59" s="2" t="s">
        <v>41</v>
      </c>
      <c r="G59" s="2" t="s">
        <v>42</v>
      </c>
      <c r="H59" s="2" t="s">
        <v>175</v>
      </c>
      <c r="I59" s="2" t="s">
        <v>44</v>
      </c>
      <c r="J59" s="2" t="s">
        <v>160</v>
      </c>
      <c r="K59" s="2"/>
      <c r="L59" s="2" t="s">
        <v>361</v>
      </c>
      <c r="M59" s="2" t="s">
        <v>353</v>
      </c>
      <c r="N59" s="2" t="s">
        <v>48</v>
      </c>
      <c r="O59" s="2" t="s">
        <v>49</v>
      </c>
      <c r="P59" s="2" t="s">
        <v>354</v>
      </c>
      <c r="Q59" s="2" t="s">
        <v>355</v>
      </c>
      <c r="R59" s="2" t="s">
        <v>356</v>
      </c>
      <c r="S59" s="2" t="s">
        <v>357</v>
      </c>
      <c r="T59" s="2" t="n">
        <v>42.9</v>
      </c>
      <c r="U59" s="2" t="n">
        <v>6.9</v>
      </c>
      <c r="V59" s="2" t="s">
        <v>52</v>
      </c>
      <c r="W59" s="2" t="n">
        <v>18.96</v>
      </c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customFormat="false" ht="15" hidden="false" customHeight="false" outlineLevel="0" collapsed="false">
      <c r="A60" s="2" t="s">
        <v>362</v>
      </c>
      <c r="B60" s="2" t="s">
        <v>363</v>
      </c>
      <c r="C60" s="2" t="s">
        <v>38</v>
      </c>
      <c r="D60" s="2" t="s">
        <v>364</v>
      </c>
      <c r="E60" s="2" t="s">
        <v>40</v>
      </c>
      <c r="F60" s="2" t="s">
        <v>41</v>
      </c>
      <c r="G60" s="2" t="s">
        <v>42</v>
      </c>
      <c r="H60" s="2" t="s">
        <v>159</v>
      </c>
      <c r="I60" s="2" t="s">
        <v>44</v>
      </c>
      <c r="J60" s="2" t="s">
        <v>160</v>
      </c>
      <c r="K60" s="2"/>
      <c r="L60" s="2" t="s">
        <v>365</v>
      </c>
      <c r="M60" s="2" t="s">
        <v>366</v>
      </c>
      <c r="N60" s="2" t="s">
        <v>48</v>
      </c>
      <c r="O60" s="2" t="s">
        <v>163</v>
      </c>
      <c r="P60" s="2" t="s">
        <v>354</v>
      </c>
      <c r="Q60" s="2" t="s">
        <v>367</v>
      </c>
      <c r="R60" s="2" t="s">
        <v>368</v>
      </c>
      <c r="S60" s="2" t="s">
        <v>369</v>
      </c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 t="n">
        <v>1.2729</v>
      </c>
      <c r="AG60" s="2"/>
      <c r="AH60" s="2"/>
      <c r="AI60" s="2"/>
      <c r="AJ60" s="2"/>
    </row>
    <row r="61" customFormat="false" ht="15" hidden="false" customHeight="false" outlineLevel="0" collapsed="false">
      <c r="A61" s="2" t="s">
        <v>370</v>
      </c>
      <c r="B61" s="2" t="s">
        <v>371</v>
      </c>
      <c r="C61" s="2" t="s">
        <v>38</v>
      </c>
      <c r="D61" s="2" t="s">
        <v>372</v>
      </c>
      <c r="E61" s="2" t="s">
        <v>40</v>
      </c>
      <c r="F61" s="2" t="s">
        <v>41</v>
      </c>
      <c r="G61" s="2" t="s">
        <v>42</v>
      </c>
      <c r="H61" s="2" t="s">
        <v>175</v>
      </c>
      <c r="I61" s="2" t="s">
        <v>44</v>
      </c>
      <c r="J61" s="2" t="s">
        <v>160</v>
      </c>
      <c r="K61" s="2"/>
      <c r="L61" s="2" t="s">
        <v>373</v>
      </c>
      <c r="M61" s="2" t="s">
        <v>366</v>
      </c>
      <c r="N61" s="2" t="s">
        <v>48</v>
      </c>
      <c r="O61" s="2" t="s">
        <v>49</v>
      </c>
      <c r="P61" s="2" t="s">
        <v>354</v>
      </c>
      <c r="Q61" s="2" t="s">
        <v>367</v>
      </c>
      <c r="R61" s="2" t="s">
        <v>368</v>
      </c>
      <c r="S61" s="2" t="s">
        <v>369</v>
      </c>
      <c r="T61" s="2" t="n">
        <v>43</v>
      </c>
      <c r="U61" s="2" t="n">
        <v>7.4</v>
      </c>
      <c r="V61" s="2" t="s">
        <v>52</v>
      </c>
      <c r="W61" s="2" t="n">
        <v>27.42</v>
      </c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customFormat="false" ht="15" hidden="false" customHeight="false" outlineLevel="0" collapsed="false">
      <c r="A62" s="2" t="s">
        <v>374</v>
      </c>
      <c r="B62" s="2" t="s">
        <v>375</v>
      </c>
      <c r="C62" s="2" t="s">
        <v>38</v>
      </c>
      <c r="D62" s="2" t="s">
        <v>376</v>
      </c>
      <c r="E62" s="2" t="s">
        <v>40</v>
      </c>
      <c r="F62" s="2" t="s">
        <v>41</v>
      </c>
      <c r="G62" s="2" t="s">
        <v>42</v>
      </c>
      <c r="H62" s="2" t="s">
        <v>159</v>
      </c>
      <c r="I62" s="2" t="s">
        <v>44</v>
      </c>
      <c r="J62" s="2" t="s">
        <v>160</v>
      </c>
      <c r="K62" s="2"/>
      <c r="L62" s="2" t="s">
        <v>377</v>
      </c>
      <c r="M62" s="2" t="s">
        <v>378</v>
      </c>
      <c r="N62" s="2" t="s">
        <v>48</v>
      </c>
      <c r="O62" s="2" t="s">
        <v>163</v>
      </c>
      <c r="P62" s="2" t="s">
        <v>354</v>
      </c>
      <c r="Q62" s="2" t="s">
        <v>379</v>
      </c>
      <c r="R62" s="2" t="s">
        <v>380</v>
      </c>
      <c r="S62" s="2" t="s">
        <v>381</v>
      </c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 t="n">
        <v>1.2709</v>
      </c>
      <c r="AG62" s="2"/>
      <c r="AH62" s="2"/>
      <c r="AI62" s="2"/>
      <c r="AJ62" s="2"/>
    </row>
    <row r="63" customFormat="false" ht="15" hidden="false" customHeight="false" outlineLevel="0" collapsed="false">
      <c r="A63" s="2" t="s">
        <v>382</v>
      </c>
      <c r="B63" s="2" t="s">
        <v>383</v>
      </c>
      <c r="C63" s="2" t="s">
        <v>38</v>
      </c>
      <c r="D63" s="2" t="s">
        <v>384</v>
      </c>
      <c r="E63" s="2" t="s">
        <v>40</v>
      </c>
      <c r="F63" s="2" t="s">
        <v>41</v>
      </c>
      <c r="G63" s="2" t="s">
        <v>42</v>
      </c>
      <c r="H63" s="2" t="s">
        <v>175</v>
      </c>
      <c r="I63" s="2" t="s">
        <v>44</v>
      </c>
      <c r="J63" s="2" t="s">
        <v>160</v>
      </c>
      <c r="K63" s="2"/>
      <c r="L63" s="2" t="s">
        <v>385</v>
      </c>
      <c r="M63" s="2" t="s">
        <v>378</v>
      </c>
      <c r="N63" s="2" t="s">
        <v>48</v>
      </c>
      <c r="O63" s="2" t="s">
        <v>49</v>
      </c>
      <c r="P63" s="2" t="s">
        <v>354</v>
      </c>
      <c r="Q63" s="2" t="s">
        <v>379</v>
      </c>
      <c r="R63" s="2" t="s">
        <v>380</v>
      </c>
      <c r="S63" s="2" t="s">
        <v>381</v>
      </c>
      <c r="T63" s="2" t="n">
        <v>43.1</v>
      </c>
      <c r="U63" s="2" t="n">
        <v>7.4</v>
      </c>
      <c r="V63" s="2" t="s">
        <v>52</v>
      </c>
      <c r="W63" s="2" t="n">
        <v>22.95</v>
      </c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customFormat="false" ht="15" hidden="false" customHeight="false" outlineLevel="0" collapsed="false">
      <c r="A64" s="2" t="s">
        <v>386</v>
      </c>
      <c r="B64" s="2" t="s">
        <v>387</v>
      </c>
      <c r="C64" s="2" t="s">
        <v>38</v>
      </c>
      <c r="D64" s="2" t="s">
        <v>388</v>
      </c>
      <c r="E64" s="2" t="s">
        <v>40</v>
      </c>
      <c r="F64" s="2" t="s">
        <v>41</v>
      </c>
      <c r="G64" s="2" t="s">
        <v>42</v>
      </c>
      <c r="H64" s="2" t="s">
        <v>159</v>
      </c>
      <c r="I64" s="2" t="s">
        <v>44</v>
      </c>
      <c r="J64" s="2" t="s">
        <v>160</v>
      </c>
      <c r="K64" s="2"/>
      <c r="L64" s="2" t="s">
        <v>389</v>
      </c>
      <c r="M64" s="2" t="s">
        <v>390</v>
      </c>
      <c r="N64" s="2" t="s">
        <v>48</v>
      </c>
      <c r="O64" s="2" t="s">
        <v>163</v>
      </c>
      <c r="P64" s="2" t="s">
        <v>354</v>
      </c>
      <c r="Q64" s="2" t="s">
        <v>391</v>
      </c>
      <c r="R64" s="2" t="s">
        <v>392</v>
      </c>
      <c r="S64" s="2" t="s">
        <v>393</v>
      </c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 t="n">
        <v>1.2768</v>
      </c>
      <c r="AG64" s="2"/>
      <c r="AH64" s="2"/>
      <c r="AI64" s="2"/>
      <c r="AJ64" s="2"/>
    </row>
    <row r="65" customFormat="false" ht="15" hidden="false" customHeight="false" outlineLevel="0" collapsed="false">
      <c r="A65" s="2" t="s">
        <v>394</v>
      </c>
      <c r="B65" s="2" t="s">
        <v>395</v>
      </c>
      <c r="C65" s="2" t="s">
        <v>38</v>
      </c>
      <c r="D65" s="2" t="s">
        <v>396</v>
      </c>
      <c r="E65" s="2" t="s">
        <v>40</v>
      </c>
      <c r="F65" s="2" t="s">
        <v>41</v>
      </c>
      <c r="G65" s="2" t="s">
        <v>42</v>
      </c>
      <c r="H65" s="2" t="s">
        <v>175</v>
      </c>
      <c r="I65" s="2" t="s">
        <v>44</v>
      </c>
      <c r="J65" s="2" t="s">
        <v>160</v>
      </c>
      <c r="K65" s="2"/>
      <c r="L65" s="2" t="s">
        <v>397</v>
      </c>
      <c r="M65" s="2" t="s">
        <v>390</v>
      </c>
      <c r="N65" s="2" t="s">
        <v>48</v>
      </c>
      <c r="O65" s="2" t="s">
        <v>49</v>
      </c>
      <c r="P65" s="2" t="s">
        <v>354</v>
      </c>
      <c r="Q65" s="2" t="s">
        <v>391</v>
      </c>
      <c r="R65" s="2" t="s">
        <v>392</v>
      </c>
      <c r="S65" s="2" t="s">
        <v>393</v>
      </c>
      <c r="T65" s="2" t="n">
        <v>42.6</v>
      </c>
      <c r="U65" s="2" t="n">
        <v>7.1</v>
      </c>
      <c r="V65" s="2" t="s">
        <v>52</v>
      </c>
      <c r="W65" s="2" t="n">
        <v>27.1</v>
      </c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customFormat="false" ht="15" hidden="false" customHeight="false" outlineLevel="0" collapsed="false">
      <c r="A66" s="2" t="s">
        <v>398</v>
      </c>
      <c r="B66" s="2" t="s">
        <v>395</v>
      </c>
      <c r="C66" s="2" t="s">
        <v>38</v>
      </c>
      <c r="D66" s="2" t="s">
        <v>399</v>
      </c>
      <c r="E66" s="2" t="s">
        <v>40</v>
      </c>
      <c r="F66" s="2" t="s">
        <v>41</v>
      </c>
      <c r="G66" s="2" t="s">
        <v>42</v>
      </c>
      <c r="H66" s="2" t="s">
        <v>159</v>
      </c>
      <c r="I66" s="2" t="s">
        <v>44</v>
      </c>
      <c r="J66" s="2" t="s">
        <v>160</v>
      </c>
      <c r="K66" s="2"/>
      <c r="L66" s="2" t="s">
        <v>400</v>
      </c>
      <c r="M66" s="2" t="s">
        <v>401</v>
      </c>
      <c r="N66" s="2" t="s">
        <v>48</v>
      </c>
      <c r="O66" s="2" t="s">
        <v>163</v>
      </c>
      <c r="P66" s="2" t="s">
        <v>354</v>
      </c>
      <c r="Q66" s="2" t="s">
        <v>402</v>
      </c>
      <c r="R66" s="2" t="s">
        <v>403</v>
      </c>
      <c r="S66" s="2" t="s">
        <v>404</v>
      </c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 t="n">
        <v>1.2768</v>
      </c>
      <c r="AG66" s="2"/>
      <c r="AH66" s="2"/>
      <c r="AI66" s="2"/>
      <c r="AJ66" s="2"/>
    </row>
    <row r="67" customFormat="false" ht="15" hidden="false" customHeight="false" outlineLevel="0" collapsed="false">
      <c r="A67" s="2" t="s">
        <v>405</v>
      </c>
      <c r="B67" s="2" t="s">
        <v>406</v>
      </c>
      <c r="C67" s="2" t="s">
        <v>38</v>
      </c>
      <c r="D67" s="2" t="s">
        <v>407</v>
      </c>
      <c r="E67" s="2" t="s">
        <v>40</v>
      </c>
      <c r="F67" s="2" t="s">
        <v>41</v>
      </c>
      <c r="G67" s="2" t="s">
        <v>42</v>
      </c>
      <c r="H67" s="2" t="s">
        <v>175</v>
      </c>
      <c r="I67" s="2" t="s">
        <v>44</v>
      </c>
      <c r="J67" s="2" t="s">
        <v>160</v>
      </c>
      <c r="K67" s="2"/>
      <c r="L67" s="2" t="s">
        <v>408</v>
      </c>
      <c r="M67" s="2" t="s">
        <v>401</v>
      </c>
      <c r="N67" s="2" t="s">
        <v>48</v>
      </c>
      <c r="O67" s="2" t="s">
        <v>49</v>
      </c>
      <c r="P67" s="2" t="s">
        <v>354</v>
      </c>
      <c r="Q67" s="2" t="s">
        <v>402</v>
      </c>
      <c r="R67" s="2" t="s">
        <v>403</v>
      </c>
      <c r="S67" s="2" t="s">
        <v>404</v>
      </c>
      <c r="T67" s="2" t="n">
        <v>42.2</v>
      </c>
      <c r="U67" s="2" t="n">
        <v>7.4</v>
      </c>
      <c r="V67" s="2" t="s">
        <v>52</v>
      </c>
      <c r="W67" s="2" t="n">
        <v>27.66</v>
      </c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customFormat="false" ht="15" hidden="false" customHeight="false" outlineLevel="0" collapsed="false">
      <c r="A68" s="2" t="s">
        <v>409</v>
      </c>
      <c r="B68" s="2" t="s">
        <v>410</v>
      </c>
      <c r="C68" s="2" t="s">
        <v>38</v>
      </c>
      <c r="D68" s="2" t="s">
        <v>411</v>
      </c>
      <c r="E68" s="2" t="s">
        <v>40</v>
      </c>
      <c r="F68" s="2" t="s">
        <v>41</v>
      </c>
      <c r="G68" s="2" t="s">
        <v>42</v>
      </c>
      <c r="H68" s="2" t="s">
        <v>159</v>
      </c>
      <c r="I68" s="2" t="s">
        <v>44</v>
      </c>
      <c r="J68" s="2" t="s">
        <v>160</v>
      </c>
      <c r="K68" s="2"/>
      <c r="L68" s="2" t="s">
        <v>412</v>
      </c>
      <c r="M68" s="2" t="s">
        <v>413</v>
      </c>
      <c r="N68" s="2" t="s">
        <v>48</v>
      </c>
      <c r="O68" s="2" t="s">
        <v>163</v>
      </c>
      <c r="P68" s="2" t="s">
        <v>354</v>
      </c>
      <c r="Q68" s="2" t="s">
        <v>414</v>
      </c>
      <c r="R68" s="2" t="s">
        <v>415</v>
      </c>
      <c r="S68" s="2" t="s">
        <v>416</v>
      </c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 t="n">
        <v>1.2689</v>
      </c>
      <c r="AG68" s="2"/>
      <c r="AH68" s="2"/>
      <c r="AI68" s="2"/>
      <c r="AJ68" s="2"/>
    </row>
    <row r="69" customFormat="false" ht="15" hidden="false" customHeight="false" outlineLevel="0" collapsed="false">
      <c r="A69" s="2" t="s">
        <v>417</v>
      </c>
      <c r="B69" s="2" t="s">
        <v>418</v>
      </c>
      <c r="C69" s="2" t="s">
        <v>38</v>
      </c>
      <c r="D69" s="2" t="s">
        <v>419</v>
      </c>
      <c r="E69" s="2" t="s">
        <v>40</v>
      </c>
      <c r="F69" s="2" t="s">
        <v>41</v>
      </c>
      <c r="G69" s="2" t="s">
        <v>42</v>
      </c>
      <c r="H69" s="2" t="s">
        <v>175</v>
      </c>
      <c r="I69" s="2" t="s">
        <v>44</v>
      </c>
      <c r="J69" s="2" t="s">
        <v>160</v>
      </c>
      <c r="K69" s="2"/>
      <c r="L69" s="2" t="s">
        <v>420</v>
      </c>
      <c r="M69" s="2" t="s">
        <v>413</v>
      </c>
      <c r="N69" s="2" t="s">
        <v>48</v>
      </c>
      <c r="O69" s="2" t="s">
        <v>49</v>
      </c>
      <c r="P69" s="2" t="s">
        <v>354</v>
      </c>
      <c r="Q69" s="2" t="s">
        <v>414</v>
      </c>
      <c r="R69" s="2" t="s">
        <v>415</v>
      </c>
      <c r="S69" s="2" t="s">
        <v>416</v>
      </c>
      <c r="T69" s="2" t="n">
        <v>42.4</v>
      </c>
      <c r="U69" s="2" t="n">
        <v>7.2</v>
      </c>
      <c r="V69" s="2" t="s">
        <v>52</v>
      </c>
      <c r="W69" s="2" t="n">
        <v>24.22</v>
      </c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customFormat="false" ht="15" hidden="false" customHeight="false" outlineLevel="0" collapsed="false">
      <c r="A70" s="2" t="s">
        <v>421</v>
      </c>
      <c r="B70" s="2" t="s">
        <v>422</v>
      </c>
      <c r="C70" s="2" t="s">
        <v>38</v>
      </c>
      <c r="D70" s="2" t="s">
        <v>423</v>
      </c>
      <c r="E70" s="2" t="s">
        <v>40</v>
      </c>
      <c r="F70" s="2" t="s">
        <v>41</v>
      </c>
      <c r="G70" s="2" t="s">
        <v>42</v>
      </c>
      <c r="H70" s="2" t="s">
        <v>175</v>
      </c>
      <c r="I70" s="2" t="s">
        <v>44</v>
      </c>
      <c r="J70" s="2" t="s">
        <v>160</v>
      </c>
      <c r="K70" s="2"/>
      <c r="L70" s="2" t="s">
        <v>424</v>
      </c>
      <c r="M70" s="2" t="s">
        <v>425</v>
      </c>
      <c r="N70" s="2" t="s">
        <v>48</v>
      </c>
      <c r="O70" s="2" t="s">
        <v>49</v>
      </c>
      <c r="P70" s="2" t="s">
        <v>354</v>
      </c>
      <c r="Q70" s="2" t="s">
        <v>426</v>
      </c>
      <c r="R70" s="2" t="s">
        <v>427</v>
      </c>
      <c r="S70" s="2" t="s">
        <v>428</v>
      </c>
      <c r="T70" s="2" t="n">
        <v>43</v>
      </c>
      <c r="U70" s="2" t="n">
        <v>7</v>
      </c>
      <c r="V70" s="2" t="s">
        <v>52</v>
      </c>
      <c r="W70" s="2" t="n">
        <v>26.32</v>
      </c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customFormat="false" ht="15" hidden="false" customHeight="false" outlineLevel="0" collapsed="false">
      <c r="A71" s="2" t="s">
        <v>429</v>
      </c>
      <c r="B71" s="2" t="s">
        <v>422</v>
      </c>
      <c r="C71" s="2" t="s">
        <v>38</v>
      </c>
      <c r="D71" s="2" t="s">
        <v>430</v>
      </c>
      <c r="E71" s="2" t="s">
        <v>40</v>
      </c>
      <c r="F71" s="2" t="s">
        <v>41</v>
      </c>
      <c r="G71" s="2" t="s">
        <v>42</v>
      </c>
      <c r="H71" s="2" t="s">
        <v>159</v>
      </c>
      <c r="I71" s="2" t="s">
        <v>44</v>
      </c>
      <c r="J71" s="2" t="s">
        <v>160</v>
      </c>
      <c r="K71" s="2"/>
      <c r="L71" s="2" t="s">
        <v>431</v>
      </c>
      <c r="M71" s="2" t="s">
        <v>432</v>
      </c>
      <c r="N71" s="2" t="s">
        <v>48</v>
      </c>
      <c r="O71" s="2" t="s">
        <v>163</v>
      </c>
      <c r="P71" s="2" t="s">
        <v>354</v>
      </c>
      <c r="Q71" s="2" t="s">
        <v>426</v>
      </c>
      <c r="R71" s="2" t="s">
        <v>427</v>
      </c>
      <c r="S71" s="2" t="s">
        <v>428</v>
      </c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 t="n">
        <v>1.3005</v>
      </c>
      <c r="AG71" s="2"/>
      <c r="AH71" s="2"/>
      <c r="AI71" s="2"/>
      <c r="AJ71" s="2"/>
    </row>
    <row r="72" customFormat="false" ht="15" hidden="false" customHeight="false" outlineLevel="0" collapsed="false">
      <c r="A72" s="2" t="s">
        <v>433</v>
      </c>
      <c r="B72" s="2" t="s">
        <v>434</v>
      </c>
      <c r="C72" s="2" t="s">
        <v>38</v>
      </c>
      <c r="D72" s="2" t="s">
        <v>435</v>
      </c>
      <c r="E72" s="2" t="s">
        <v>40</v>
      </c>
      <c r="F72" s="2" t="s">
        <v>41</v>
      </c>
      <c r="G72" s="2" t="s">
        <v>42</v>
      </c>
      <c r="H72" s="2" t="s">
        <v>175</v>
      </c>
      <c r="I72" s="2" t="s">
        <v>44</v>
      </c>
      <c r="J72" s="2" t="s">
        <v>160</v>
      </c>
      <c r="K72" s="2"/>
      <c r="L72" s="2" t="s">
        <v>436</v>
      </c>
      <c r="M72" s="2" t="s">
        <v>432</v>
      </c>
      <c r="N72" s="2" t="s">
        <v>48</v>
      </c>
      <c r="O72" s="2" t="s">
        <v>49</v>
      </c>
      <c r="P72" s="2" t="s">
        <v>354</v>
      </c>
      <c r="Q72" s="2" t="s">
        <v>426</v>
      </c>
      <c r="R72" s="2" t="s">
        <v>437</v>
      </c>
      <c r="S72" s="2" t="s">
        <v>428</v>
      </c>
      <c r="T72" s="2" t="n">
        <v>43.6</v>
      </c>
      <c r="U72" s="2" t="n">
        <v>7.2</v>
      </c>
      <c r="V72" s="2" t="s">
        <v>52</v>
      </c>
      <c r="W72" s="2" t="n">
        <v>29.85</v>
      </c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customFormat="false" ht="15" hidden="false" customHeight="false" outlineLevel="0" collapsed="false">
      <c r="A73" s="2" t="s">
        <v>438</v>
      </c>
      <c r="B73" s="2" t="s">
        <v>439</v>
      </c>
      <c r="C73" s="2" t="s">
        <v>38</v>
      </c>
      <c r="D73" s="2" t="s">
        <v>440</v>
      </c>
      <c r="E73" s="2" t="s">
        <v>40</v>
      </c>
      <c r="F73" s="2" t="s">
        <v>41</v>
      </c>
      <c r="G73" s="2" t="s">
        <v>42</v>
      </c>
      <c r="H73" s="2" t="s">
        <v>159</v>
      </c>
      <c r="I73" s="2" t="s">
        <v>44</v>
      </c>
      <c r="J73" s="2" t="s">
        <v>160</v>
      </c>
      <c r="K73" s="2"/>
      <c r="L73" s="2" t="s">
        <v>441</v>
      </c>
      <c r="M73" s="2" t="s">
        <v>442</v>
      </c>
      <c r="N73" s="2" t="s">
        <v>48</v>
      </c>
      <c r="O73" s="2" t="s">
        <v>163</v>
      </c>
      <c r="P73" s="2" t="s">
        <v>354</v>
      </c>
      <c r="Q73" s="2" t="s">
        <v>443</v>
      </c>
      <c r="R73" s="2" t="s">
        <v>444</v>
      </c>
      <c r="S73" s="2" t="s">
        <v>445</v>
      </c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 t="n">
        <v>1.2926</v>
      </c>
      <c r="AG73" s="2"/>
      <c r="AH73" s="2"/>
      <c r="AI73" s="2"/>
      <c r="AJ73" s="2"/>
    </row>
    <row r="74" customFormat="false" ht="15" hidden="false" customHeight="false" outlineLevel="0" collapsed="false">
      <c r="A74" s="2" t="s">
        <v>446</v>
      </c>
      <c r="B74" s="2" t="s">
        <v>447</v>
      </c>
      <c r="C74" s="2" t="s">
        <v>38</v>
      </c>
      <c r="D74" s="2" t="s">
        <v>448</v>
      </c>
      <c r="E74" s="2" t="s">
        <v>40</v>
      </c>
      <c r="F74" s="2" t="s">
        <v>41</v>
      </c>
      <c r="G74" s="2" t="s">
        <v>42</v>
      </c>
      <c r="H74" s="2" t="s">
        <v>175</v>
      </c>
      <c r="I74" s="2" t="s">
        <v>44</v>
      </c>
      <c r="J74" s="2" t="s">
        <v>160</v>
      </c>
      <c r="K74" s="2"/>
      <c r="L74" s="2" t="s">
        <v>449</v>
      </c>
      <c r="M74" s="2" t="s">
        <v>450</v>
      </c>
      <c r="N74" s="2" t="s">
        <v>48</v>
      </c>
      <c r="O74" s="2" t="s">
        <v>49</v>
      </c>
      <c r="P74" s="2" t="s">
        <v>354</v>
      </c>
      <c r="Q74" s="2" t="s">
        <v>443</v>
      </c>
      <c r="R74" s="2" t="s">
        <v>444</v>
      </c>
      <c r="S74" s="2" t="s">
        <v>445</v>
      </c>
      <c r="T74" s="2" t="n">
        <v>43.6</v>
      </c>
      <c r="U74" s="2" t="n">
        <v>6.9</v>
      </c>
      <c r="V74" s="2" t="s">
        <v>52</v>
      </c>
      <c r="W74" s="2" t="n">
        <v>28.81</v>
      </c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customFormat="false" ht="15" hidden="false" customHeight="false" outlineLevel="0" collapsed="false">
      <c r="A75" s="2" t="s">
        <v>451</v>
      </c>
      <c r="B75" s="2" t="s">
        <v>452</v>
      </c>
      <c r="C75" s="2" t="s">
        <v>38</v>
      </c>
      <c r="D75" s="2" t="s">
        <v>453</v>
      </c>
      <c r="E75" s="2" t="s">
        <v>40</v>
      </c>
      <c r="F75" s="2" t="s">
        <v>41</v>
      </c>
      <c r="G75" s="2" t="s">
        <v>42</v>
      </c>
      <c r="H75" s="2" t="s">
        <v>175</v>
      </c>
      <c r="I75" s="2" t="s">
        <v>44</v>
      </c>
      <c r="J75" s="2" t="s">
        <v>160</v>
      </c>
      <c r="K75" s="2"/>
      <c r="L75" s="2" t="s">
        <v>454</v>
      </c>
      <c r="M75" s="2" t="s">
        <v>442</v>
      </c>
      <c r="N75" s="2" t="s">
        <v>48</v>
      </c>
      <c r="O75" s="2" t="s">
        <v>49</v>
      </c>
      <c r="P75" s="2" t="s">
        <v>354</v>
      </c>
      <c r="Q75" s="2" t="s">
        <v>443</v>
      </c>
      <c r="R75" s="2" t="s">
        <v>444</v>
      </c>
      <c r="S75" s="2" t="s">
        <v>445</v>
      </c>
      <c r="T75" s="2" t="n">
        <v>43.8</v>
      </c>
      <c r="U75" s="2" t="n">
        <v>7</v>
      </c>
      <c r="V75" s="2" t="s">
        <v>52</v>
      </c>
      <c r="W75" s="2" t="n">
        <v>26.98</v>
      </c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customFormat="false" ht="15" hidden="false" customHeight="false" outlineLevel="0" collapsed="false">
      <c r="A76" s="2" t="s">
        <v>455</v>
      </c>
      <c r="B76" s="2" t="s">
        <v>452</v>
      </c>
      <c r="C76" s="2" t="s">
        <v>38</v>
      </c>
      <c r="D76" s="2" t="s">
        <v>456</v>
      </c>
      <c r="E76" s="2" t="s">
        <v>40</v>
      </c>
      <c r="F76" s="2" t="s">
        <v>41</v>
      </c>
      <c r="G76" s="2" t="s">
        <v>42</v>
      </c>
      <c r="H76" s="2" t="s">
        <v>457</v>
      </c>
      <c r="I76" s="2" t="s">
        <v>44</v>
      </c>
      <c r="J76" s="2" t="s">
        <v>458</v>
      </c>
      <c r="K76" s="2"/>
      <c r="L76" s="2" t="s">
        <v>459</v>
      </c>
      <c r="M76" s="2" t="s">
        <v>460</v>
      </c>
      <c r="N76" s="2" t="s">
        <v>48</v>
      </c>
      <c r="O76" s="2"/>
      <c r="P76" s="2" t="s">
        <v>354</v>
      </c>
      <c r="Q76" s="2"/>
      <c r="R76" s="2"/>
      <c r="S76" s="2" t="s">
        <v>461</v>
      </c>
      <c r="T76" s="2" t="n">
        <v>42.2</v>
      </c>
      <c r="U76" s="2" t="n">
        <v>5.5</v>
      </c>
      <c r="V76" s="2" t="s">
        <v>52</v>
      </c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customFormat="false" ht="15" hidden="false" customHeight="false" outlineLevel="0" collapsed="false">
      <c r="A77" s="2" t="s">
        <v>462</v>
      </c>
      <c r="B77" s="2" t="s">
        <v>452</v>
      </c>
      <c r="C77" s="2" t="s">
        <v>38</v>
      </c>
      <c r="D77" s="2" t="s">
        <v>463</v>
      </c>
      <c r="E77" s="2" t="s">
        <v>40</v>
      </c>
      <c r="F77" s="2" t="s">
        <v>41</v>
      </c>
      <c r="G77" s="2" t="s">
        <v>42</v>
      </c>
      <c r="H77" s="2" t="s">
        <v>457</v>
      </c>
      <c r="I77" s="2" t="s">
        <v>44</v>
      </c>
      <c r="J77" s="2" t="s">
        <v>458</v>
      </c>
      <c r="K77" s="2"/>
      <c r="L77" s="2" t="s">
        <v>459</v>
      </c>
      <c r="M77" s="2" t="s">
        <v>460</v>
      </c>
      <c r="N77" s="2" t="s">
        <v>48</v>
      </c>
      <c r="O77" s="2"/>
      <c r="P77" s="2" t="s">
        <v>354</v>
      </c>
      <c r="Q77" s="2"/>
      <c r="R77" s="2"/>
      <c r="S77" s="2" t="s">
        <v>461</v>
      </c>
      <c r="T77" s="2" t="n">
        <v>42.5</v>
      </c>
      <c r="U77" s="2" t="n">
        <v>6.2</v>
      </c>
      <c r="V77" s="2" t="s">
        <v>52</v>
      </c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customFormat="false" ht="15" hidden="false" customHeight="false" outlineLevel="0" collapsed="false">
      <c r="A78" s="2" t="s">
        <v>464</v>
      </c>
      <c r="B78" s="2" t="s">
        <v>452</v>
      </c>
      <c r="C78" s="2" t="s">
        <v>38</v>
      </c>
      <c r="D78" s="2" t="s">
        <v>465</v>
      </c>
      <c r="E78" s="2" t="s">
        <v>40</v>
      </c>
      <c r="F78" s="2" t="s">
        <v>41</v>
      </c>
      <c r="G78" s="2" t="s">
        <v>42</v>
      </c>
      <c r="H78" s="2" t="s">
        <v>457</v>
      </c>
      <c r="I78" s="2" t="s">
        <v>44</v>
      </c>
      <c r="J78" s="2" t="s">
        <v>458</v>
      </c>
      <c r="K78" s="2"/>
      <c r="L78" s="2" t="s">
        <v>459</v>
      </c>
      <c r="M78" s="2" t="s">
        <v>460</v>
      </c>
      <c r="N78" s="2" t="s">
        <v>48</v>
      </c>
      <c r="O78" s="2"/>
      <c r="P78" s="2" t="s">
        <v>354</v>
      </c>
      <c r="Q78" s="2"/>
      <c r="R78" s="2"/>
      <c r="S78" s="2" t="s">
        <v>461</v>
      </c>
      <c r="T78" s="2" t="n">
        <v>42.4</v>
      </c>
      <c r="U78" s="2" t="n">
        <v>6</v>
      </c>
      <c r="V78" s="2" t="s">
        <v>52</v>
      </c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customFormat="false" ht="15" hidden="false" customHeight="false" outlineLevel="0" collapsed="false">
      <c r="A79" s="2" t="s">
        <v>466</v>
      </c>
      <c r="B79" s="2" t="s">
        <v>467</v>
      </c>
      <c r="C79" s="2" t="s">
        <v>38</v>
      </c>
      <c r="D79" s="2" t="s">
        <v>468</v>
      </c>
      <c r="E79" s="2" t="s">
        <v>40</v>
      </c>
      <c r="F79" s="2" t="s">
        <v>41</v>
      </c>
      <c r="G79" s="2" t="s">
        <v>42</v>
      </c>
      <c r="H79" s="2" t="s">
        <v>457</v>
      </c>
      <c r="I79" s="2" t="s">
        <v>44</v>
      </c>
      <c r="J79" s="2" t="s">
        <v>458</v>
      </c>
      <c r="K79" s="2"/>
      <c r="L79" s="2" t="s">
        <v>469</v>
      </c>
      <c r="M79" s="2" t="s">
        <v>470</v>
      </c>
      <c r="N79" s="2" t="s">
        <v>48</v>
      </c>
      <c r="O79" s="2"/>
      <c r="P79" s="2" t="s">
        <v>354</v>
      </c>
      <c r="Q79" s="2"/>
      <c r="R79" s="2"/>
      <c r="S79" s="2" t="s">
        <v>461</v>
      </c>
      <c r="T79" s="2" t="n">
        <v>42.6</v>
      </c>
      <c r="U79" s="2" t="n">
        <v>6.3</v>
      </c>
      <c r="V79" s="2" t="s">
        <v>52</v>
      </c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customFormat="false" ht="15" hidden="false" customHeight="false" outlineLevel="0" collapsed="false">
      <c r="A80" s="2" t="s">
        <v>471</v>
      </c>
      <c r="B80" s="2" t="s">
        <v>467</v>
      </c>
      <c r="C80" s="2" t="s">
        <v>38</v>
      </c>
      <c r="D80" s="2" t="s">
        <v>472</v>
      </c>
      <c r="E80" s="2" t="s">
        <v>40</v>
      </c>
      <c r="F80" s="2" t="s">
        <v>41</v>
      </c>
      <c r="G80" s="2" t="s">
        <v>42</v>
      </c>
      <c r="H80" s="2" t="s">
        <v>457</v>
      </c>
      <c r="I80" s="2" t="s">
        <v>44</v>
      </c>
      <c r="J80" s="2" t="s">
        <v>458</v>
      </c>
      <c r="K80" s="2"/>
      <c r="L80" s="2" t="s">
        <v>469</v>
      </c>
      <c r="M80" s="2" t="s">
        <v>470</v>
      </c>
      <c r="N80" s="2" t="s">
        <v>48</v>
      </c>
      <c r="O80" s="2"/>
      <c r="P80" s="2" t="s">
        <v>354</v>
      </c>
      <c r="Q80" s="2"/>
      <c r="R80" s="2"/>
      <c r="S80" s="2" t="s">
        <v>461</v>
      </c>
      <c r="T80" s="2" t="n">
        <v>42.5</v>
      </c>
      <c r="U80" s="2" t="n">
        <v>6</v>
      </c>
      <c r="V80" s="2" t="s">
        <v>52</v>
      </c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customFormat="false" ht="15" hidden="false" customHeight="false" outlineLevel="0" collapsed="false">
      <c r="A81" s="2" t="s">
        <v>473</v>
      </c>
      <c r="B81" s="2" t="s">
        <v>467</v>
      </c>
      <c r="C81" s="2" t="s">
        <v>38</v>
      </c>
      <c r="D81" s="2" t="s">
        <v>474</v>
      </c>
      <c r="E81" s="2" t="s">
        <v>40</v>
      </c>
      <c r="F81" s="2" t="s">
        <v>41</v>
      </c>
      <c r="G81" s="2" t="s">
        <v>42</v>
      </c>
      <c r="H81" s="2" t="s">
        <v>457</v>
      </c>
      <c r="I81" s="2" t="s">
        <v>44</v>
      </c>
      <c r="J81" s="2" t="s">
        <v>458</v>
      </c>
      <c r="K81" s="2"/>
      <c r="L81" s="2" t="s">
        <v>469</v>
      </c>
      <c r="M81" s="2" t="s">
        <v>470</v>
      </c>
      <c r="N81" s="2" t="s">
        <v>48</v>
      </c>
      <c r="O81" s="2"/>
      <c r="P81" s="2" t="s">
        <v>354</v>
      </c>
      <c r="Q81" s="2"/>
      <c r="R81" s="2"/>
      <c r="S81" s="2" t="s">
        <v>461</v>
      </c>
      <c r="T81" s="2" t="n">
        <v>42.3</v>
      </c>
      <c r="U81" s="2" t="n">
        <v>6.2</v>
      </c>
      <c r="V81" s="2" t="s">
        <v>52</v>
      </c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customFormat="false" ht="15" hidden="false" customHeight="false" outlineLevel="0" collapsed="false">
      <c r="A82" s="2" t="s">
        <v>475</v>
      </c>
      <c r="B82" s="2" t="s">
        <v>476</v>
      </c>
      <c r="C82" s="2" t="s">
        <v>38</v>
      </c>
      <c r="D82" s="2" t="s">
        <v>477</v>
      </c>
      <c r="E82" s="2" t="s">
        <v>40</v>
      </c>
      <c r="F82" s="2" t="s">
        <v>41</v>
      </c>
      <c r="G82" s="2" t="s">
        <v>42</v>
      </c>
      <c r="H82" s="2" t="s">
        <v>457</v>
      </c>
      <c r="I82" s="2" t="s">
        <v>44</v>
      </c>
      <c r="J82" s="2" t="s">
        <v>458</v>
      </c>
      <c r="K82" s="2"/>
      <c r="L82" s="2" t="s">
        <v>478</v>
      </c>
      <c r="M82" s="2" t="s">
        <v>479</v>
      </c>
      <c r="N82" s="2" t="s">
        <v>48</v>
      </c>
      <c r="O82" s="2"/>
      <c r="P82" s="2" t="s">
        <v>354</v>
      </c>
      <c r="Q82" s="2"/>
      <c r="R82" s="2"/>
      <c r="S82" s="2" t="s">
        <v>461</v>
      </c>
      <c r="T82" s="2" t="n">
        <v>42.6</v>
      </c>
      <c r="U82" s="2" t="n">
        <v>6.5</v>
      </c>
      <c r="V82" s="2" t="s">
        <v>52</v>
      </c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customFormat="false" ht="15" hidden="false" customHeight="false" outlineLevel="0" collapsed="false">
      <c r="A83" s="2" t="s">
        <v>480</v>
      </c>
      <c r="B83" s="2" t="s">
        <v>476</v>
      </c>
      <c r="C83" s="2" t="s">
        <v>38</v>
      </c>
      <c r="D83" s="2" t="s">
        <v>481</v>
      </c>
      <c r="E83" s="2" t="s">
        <v>40</v>
      </c>
      <c r="F83" s="2" t="s">
        <v>41</v>
      </c>
      <c r="G83" s="2" t="s">
        <v>42</v>
      </c>
      <c r="H83" s="2" t="s">
        <v>457</v>
      </c>
      <c r="I83" s="2" t="s">
        <v>44</v>
      </c>
      <c r="J83" s="2" t="s">
        <v>458</v>
      </c>
      <c r="K83" s="2"/>
      <c r="L83" s="2" t="s">
        <v>478</v>
      </c>
      <c r="M83" s="2" t="s">
        <v>479</v>
      </c>
      <c r="N83" s="2" t="s">
        <v>48</v>
      </c>
      <c r="O83" s="2"/>
      <c r="P83" s="2" t="s">
        <v>354</v>
      </c>
      <c r="Q83" s="2"/>
      <c r="R83" s="2"/>
      <c r="S83" s="2" t="s">
        <v>461</v>
      </c>
      <c r="T83" s="2" t="n">
        <v>42.8</v>
      </c>
      <c r="U83" s="2" t="n">
        <v>6.8</v>
      </c>
      <c r="V83" s="2" t="s">
        <v>52</v>
      </c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customFormat="false" ht="15" hidden="false" customHeight="false" outlineLevel="0" collapsed="false">
      <c r="A84" s="2" t="s">
        <v>482</v>
      </c>
      <c r="B84" s="2" t="s">
        <v>476</v>
      </c>
      <c r="C84" s="2" t="s">
        <v>38</v>
      </c>
      <c r="D84" s="2" t="s">
        <v>483</v>
      </c>
      <c r="E84" s="2" t="s">
        <v>40</v>
      </c>
      <c r="F84" s="2" t="s">
        <v>41</v>
      </c>
      <c r="G84" s="2" t="s">
        <v>42</v>
      </c>
      <c r="H84" s="2" t="s">
        <v>457</v>
      </c>
      <c r="I84" s="2" t="s">
        <v>44</v>
      </c>
      <c r="J84" s="2" t="s">
        <v>458</v>
      </c>
      <c r="K84" s="2"/>
      <c r="L84" s="2" t="s">
        <v>478</v>
      </c>
      <c r="M84" s="2" t="s">
        <v>479</v>
      </c>
      <c r="N84" s="2" t="s">
        <v>48</v>
      </c>
      <c r="O84" s="2"/>
      <c r="P84" s="2" t="s">
        <v>354</v>
      </c>
      <c r="Q84" s="2"/>
      <c r="R84" s="2"/>
      <c r="S84" s="2" t="s">
        <v>461</v>
      </c>
      <c r="T84" s="2" t="n">
        <v>42.7</v>
      </c>
      <c r="U84" s="2" t="n">
        <v>6.8</v>
      </c>
      <c r="V84" s="2" t="s">
        <v>52</v>
      </c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customFormat="false" ht="15" hidden="false" customHeight="false" outlineLevel="0" collapsed="false">
      <c r="A85" s="2" t="s">
        <v>484</v>
      </c>
      <c r="B85" s="2" t="s">
        <v>485</v>
      </c>
      <c r="C85" s="2" t="s">
        <v>38</v>
      </c>
      <c r="D85" s="2" t="s">
        <v>486</v>
      </c>
      <c r="E85" s="2" t="s">
        <v>40</v>
      </c>
      <c r="F85" s="2" t="s">
        <v>41</v>
      </c>
      <c r="G85" s="2" t="s">
        <v>42</v>
      </c>
      <c r="H85" s="2" t="s">
        <v>457</v>
      </c>
      <c r="I85" s="2" t="s">
        <v>44</v>
      </c>
      <c r="J85" s="2" t="s">
        <v>458</v>
      </c>
      <c r="K85" s="2"/>
      <c r="L85" s="2" t="s">
        <v>487</v>
      </c>
      <c r="M85" s="2" t="s">
        <v>488</v>
      </c>
      <c r="N85" s="2" t="s">
        <v>48</v>
      </c>
      <c r="O85" s="2"/>
      <c r="P85" s="2" t="s">
        <v>354</v>
      </c>
      <c r="Q85" s="2"/>
      <c r="R85" s="2"/>
      <c r="S85" s="2" t="s">
        <v>461</v>
      </c>
      <c r="T85" s="2" t="n">
        <v>43.1</v>
      </c>
      <c r="U85" s="2" t="n">
        <v>6.8</v>
      </c>
      <c r="V85" s="2" t="s">
        <v>52</v>
      </c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customFormat="false" ht="15" hidden="false" customHeight="false" outlineLevel="0" collapsed="false">
      <c r="A86" s="2" t="s">
        <v>489</v>
      </c>
      <c r="B86" s="2" t="s">
        <v>485</v>
      </c>
      <c r="C86" s="2" t="s">
        <v>38</v>
      </c>
      <c r="D86" s="2" t="s">
        <v>490</v>
      </c>
      <c r="E86" s="2" t="s">
        <v>40</v>
      </c>
      <c r="F86" s="2" t="s">
        <v>41</v>
      </c>
      <c r="G86" s="2" t="s">
        <v>42</v>
      </c>
      <c r="H86" s="2" t="s">
        <v>457</v>
      </c>
      <c r="I86" s="2" t="s">
        <v>44</v>
      </c>
      <c r="J86" s="2" t="s">
        <v>458</v>
      </c>
      <c r="K86" s="2"/>
      <c r="L86" s="2" t="s">
        <v>487</v>
      </c>
      <c r="M86" s="2" t="s">
        <v>488</v>
      </c>
      <c r="N86" s="2" t="s">
        <v>48</v>
      </c>
      <c r="O86" s="2"/>
      <c r="P86" s="2" t="s">
        <v>354</v>
      </c>
      <c r="Q86" s="2"/>
      <c r="R86" s="2"/>
      <c r="S86" s="2" t="s">
        <v>461</v>
      </c>
      <c r="T86" s="2" t="n">
        <v>43.2</v>
      </c>
      <c r="U86" s="2" t="n">
        <v>6.5</v>
      </c>
      <c r="V86" s="2" t="s">
        <v>52</v>
      </c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customFormat="false" ht="15" hidden="false" customHeight="false" outlineLevel="0" collapsed="false">
      <c r="A87" s="2" t="s">
        <v>491</v>
      </c>
      <c r="B87" s="2" t="s">
        <v>485</v>
      </c>
      <c r="C87" s="2" t="s">
        <v>38</v>
      </c>
      <c r="D87" s="2" t="s">
        <v>492</v>
      </c>
      <c r="E87" s="2" t="s">
        <v>40</v>
      </c>
      <c r="F87" s="2" t="s">
        <v>41</v>
      </c>
      <c r="G87" s="2" t="s">
        <v>42</v>
      </c>
      <c r="H87" s="2" t="s">
        <v>457</v>
      </c>
      <c r="I87" s="2" t="s">
        <v>44</v>
      </c>
      <c r="J87" s="2" t="s">
        <v>458</v>
      </c>
      <c r="K87" s="2"/>
      <c r="L87" s="2" t="s">
        <v>487</v>
      </c>
      <c r="M87" s="2" t="s">
        <v>488</v>
      </c>
      <c r="N87" s="2" t="s">
        <v>48</v>
      </c>
      <c r="O87" s="2"/>
      <c r="P87" s="2" t="s">
        <v>354</v>
      </c>
      <c r="Q87" s="2"/>
      <c r="R87" s="2"/>
      <c r="S87" s="2" t="s">
        <v>461</v>
      </c>
      <c r="T87" s="2" t="n">
        <v>42.8</v>
      </c>
      <c r="U87" s="2" t="n">
        <v>6.5</v>
      </c>
      <c r="V87" s="2" t="s">
        <v>52</v>
      </c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customFormat="false" ht="15" hidden="false" customHeight="false" outlineLevel="0" collapsed="false">
      <c r="A88" s="2" t="s">
        <v>493</v>
      </c>
      <c r="B88" s="2" t="s">
        <v>494</v>
      </c>
      <c r="C88" s="2" t="s">
        <v>38</v>
      </c>
      <c r="D88" s="2" t="s">
        <v>495</v>
      </c>
      <c r="E88" s="2" t="s">
        <v>40</v>
      </c>
      <c r="F88" s="2" t="s">
        <v>41</v>
      </c>
      <c r="G88" s="2" t="s">
        <v>42</v>
      </c>
      <c r="H88" s="2" t="s">
        <v>175</v>
      </c>
      <c r="I88" s="2" t="s">
        <v>44</v>
      </c>
      <c r="J88" s="2" t="s">
        <v>160</v>
      </c>
      <c r="K88" s="2"/>
      <c r="L88" s="2" t="s">
        <v>496</v>
      </c>
      <c r="M88" s="2" t="s">
        <v>497</v>
      </c>
      <c r="N88" s="2" t="s">
        <v>48</v>
      </c>
      <c r="O88" s="2" t="s">
        <v>49</v>
      </c>
      <c r="P88" s="2" t="s">
        <v>354</v>
      </c>
      <c r="Q88" s="2" t="s">
        <v>443</v>
      </c>
      <c r="R88" s="2" t="s">
        <v>444</v>
      </c>
      <c r="S88" s="2" t="s">
        <v>445</v>
      </c>
      <c r="T88" s="2" t="n">
        <v>43.6</v>
      </c>
      <c r="U88" s="2" t="n">
        <v>6.9</v>
      </c>
      <c r="V88" s="2" t="s">
        <v>52</v>
      </c>
      <c r="W88" s="2" t="n">
        <v>29.66</v>
      </c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customFormat="false" ht="15" hidden="false" customHeight="false" outlineLevel="0" collapsed="false">
      <c r="A89" s="2" t="s">
        <v>498</v>
      </c>
      <c r="B89" s="2" t="s">
        <v>494</v>
      </c>
      <c r="C89" s="2" t="s">
        <v>38</v>
      </c>
      <c r="D89" s="2" t="s">
        <v>499</v>
      </c>
      <c r="E89" s="2" t="s">
        <v>40</v>
      </c>
      <c r="F89" s="2" t="s">
        <v>41</v>
      </c>
      <c r="G89" s="2" t="s">
        <v>42</v>
      </c>
      <c r="H89" s="2" t="s">
        <v>457</v>
      </c>
      <c r="I89" s="2" t="s">
        <v>44</v>
      </c>
      <c r="J89" s="2" t="s">
        <v>458</v>
      </c>
      <c r="K89" s="2"/>
      <c r="L89" s="2" t="s">
        <v>500</v>
      </c>
      <c r="M89" s="2" t="s">
        <v>501</v>
      </c>
      <c r="N89" s="2" t="s">
        <v>48</v>
      </c>
      <c r="O89" s="2"/>
      <c r="P89" s="2" t="s">
        <v>354</v>
      </c>
      <c r="Q89" s="2"/>
      <c r="R89" s="2"/>
      <c r="S89" s="2" t="s">
        <v>461</v>
      </c>
      <c r="T89" s="2" t="n">
        <v>42.8</v>
      </c>
      <c r="U89" s="2" t="n">
        <v>6</v>
      </c>
      <c r="V89" s="2" t="s">
        <v>52</v>
      </c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customFormat="false" ht="15" hidden="false" customHeight="false" outlineLevel="0" collapsed="false">
      <c r="A90" s="2" t="s">
        <v>502</v>
      </c>
      <c r="B90" s="2" t="s">
        <v>494</v>
      </c>
      <c r="C90" s="2" t="s">
        <v>38</v>
      </c>
      <c r="D90" s="2" t="s">
        <v>503</v>
      </c>
      <c r="E90" s="2" t="s">
        <v>40</v>
      </c>
      <c r="F90" s="2" t="s">
        <v>41</v>
      </c>
      <c r="G90" s="2" t="s">
        <v>42</v>
      </c>
      <c r="H90" s="2" t="s">
        <v>457</v>
      </c>
      <c r="I90" s="2" t="s">
        <v>44</v>
      </c>
      <c r="J90" s="2" t="s">
        <v>458</v>
      </c>
      <c r="K90" s="2"/>
      <c r="L90" s="2" t="s">
        <v>500</v>
      </c>
      <c r="M90" s="2" t="s">
        <v>501</v>
      </c>
      <c r="N90" s="2" t="s">
        <v>48</v>
      </c>
      <c r="O90" s="2"/>
      <c r="P90" s="2" t="s">
        <v>354</v>
      </c>
      <c r="Q90" s="2"/>
      <c r="R90" s="2"/>
      <c r="S90" s="2" t="s">
        <v>461</v>
      </c>
      <c r="T90" s="2" t="n">
        <v>42.7</v>
      </c>
      <c r="U90" s="2" t="n">
        <v>6.1</v>
      </c>
      <c r="V90" s="2" t="s">
        <v>52</v>
      </c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customFormat="false" ht="15" hidden="false" customHeight="false" outlineLevel="0" collapsed="false">
      <c r="A91" s="2" t="s">
        <v>504</v>
      </c>
      <c r="B91" s="2" t="s">
        <v>494</v>
      </c>
      <c r="C91" s="2" t="s">
        <v>38</v>
      </c>
      <c r="D91" s="2" t="s">
        <v>505</v>
      </c>
      <c r="E91" s="2" t="s">
        <v>40</v>
      </c>
      <c r="F91" s="2" t="s">
        <v>41</v>
      </c>
      <c r="G91" s="2" t="s">
        <v>42</v>
      </c>
      <c r="H91" s="2" t="s">
        <v>457</v>
      </c>
      <c r="I91" s="2" t="s">
        <v>44</v>
      </c>
      <c r="J91" s="2" t="s">
        <v>458</v>
      </c>
      <c r="K91" s="2"/>
      <c r="L91" s="2" t="s">
        <v>500</v>
      </c>
      <c r="M91" s="2" t="s">
        <v>501</v>
      </c>
      <c r="N91" s="2" t="s">
        <v>48</v>
      </c>
      <c r="O91" s="2"/>
      <c r="P91" s="2" t="s">
        <v>354</v>
      </c>
      <c r="Q91" s="2"/>
      <c r="R91" s="2"/>
      <c r="S91" s="2" t="s">
        <v>461</v>
      </c>
      <c r="T91" s="2" t="n">
        <v>43.1</v>
      </c>
      <c r="U91" s="2" t="n">
        <v>6.2</v>
      </c>
      <c r="V91" s="2" t="s">
        <v>52</v>
      </c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customFormat="false" ht="15" hidden="false" customHeight="false" outlineLevel="0" collapsed="false">
      <c r="A92" s="2" t="s">
        <v>506</v>
      </c>
      <c r="B92" s="2" t="s">
        <v>507</v>
      </c>
      <c r="C92" s="2" t="s">
        <v>38</v>
      </c>
      <c r="D92" s="2" t="s">
        <v>508</v>
      </c>
      <c r="E92" s="2" t="s">
        <v>40</v>
      </c>
      <c r="F92" s="2" t="s">
        <v>41</v>
      </c>
      <c r="G92" s="2" t="s">
        <v>42</v>
      </c>
      <c r="H92" s="2" t="s">
        <v>159</v>
      </c>
      <c r="I92" s="2" t="s">
        <v>44</v>
      </c>
      <c r="J92" s="2" t="s">
        <v>160</v>
      </c>
      <c r="K92" s="2"/>
      <c r="L92" s="2" t="s">
        <v>509</v>
      </c>
      <c r="M92" s="2" t="s">
        <v>510</v>
      </c>
      <c r="N92" s="2" t="s">
        <v>48</v>
      </c>
      <c r="O92" s="2" t="s">
        <v>163</v>
      </c>
      <c r="P92" s="2" t="s">
        <v>354</v>
      </c>
      <c r="Q92" s="2" t="s">
        <v>511</v>
      </c>
      <c r="R92" s="2" t="s">
        <v>512</v>
      </c>
      <c r="S92" s="2" t="s">
        <v>513</v>
      </c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 t="n">
        <v>1.2689</v>
      </c>
      <c r="AG92" s="2"/>
      <c r="AH92" s="2"/>
      <c r="AI92" s="2"/>
      <c r="AJ92" s="2"/>
    </row>
    <row r="93" customFormat="false" ht="15" hidden="false" customHeight="false" outlineLevel="0" collapsed="false">
      <c r="A93" s="2" t="s">
        <v>514</v>
      </c>
      <c r="B93" s="2" t="s">
        <v>515</v>
      </c>
      <c r="C93" s="2" t="s">
        <v>38</v>
      </c>
      <c r="D93" s="2" t="s">
        <v>516</v>
      </c>
      <c r="E93" s="2" t="s">
        <v>40</v>
      </c>
      <c r="F93" s="2" t="s">
        <v>41</v>
      </c>
      <c r="G93" s="2" t="s">
        <v>42</v>
      </c>
      <c r="H93" s="2" t="s">
        <v>175</v>
      </c>
      <c r="I93" s="2" t="s">
        <v>44</v>
      </c>
      <c r="J93" s="2" t="s">
        <v>160</v>
      </c>
      <c r="K93" s="2"/>
      <c r="L93" s="2" t="s">
        <v>517</v>
      </c>
      <c r="M93" s="2" t="s">
        <v>510</v>
      </c>
      <c r="N93" s="2" t="s">
        <v>48</v>
      </c>
      <c r="O93" s="2" t="s">
        <v>49</v>
      </c>
      <c r="P93" s="2" t="s">
        <v>354</v>
      </c>
      <c r="Q93" s="2" t="s">
        <v>511</v>
      </c>
      <c r="R93" s="2" t="s">
        <v>512</v>
      </c>
      <c r="S93" s="2" t="s">
        <v>513</v>
      </c>
      <c r="T93" s="2" t="n">
        <v>43.8</v>
      </c>
      <c r="U93" s="2" t="n">
        <v>7</v>
      </c>
      <c r="V93" s="2" t="s">
        <v>52</v>
      </c>
      <c r="W93" s="2" t="n">
        <v>25.58</v>
      </c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customFormat="false" ht="15" hidden="false" customHeight="false" outlineLevel="0" collapsed="false">
      <c r="A94" s="2" t="s">
        <v>518</v>
      </c>
      <c r="B94" s="2" t="s">
        <v>519</v>
      </c>
      <c r="C94" s="2" t="s">
        <v>38</v>
      </c>
      <c r="D94" s="2" t="s">
        <v>520</v>
      </c>
      <c r="E94" s="2" t="s">
        <v>40</v>
      </c>
      <c r="F94" s="2" t="s">
        <v>41</v>
      </c>
      <c r="G94" s="2" t="s">
        <v>42</v>
      </c>
      <c r="H94" s="2" t="s">
        <v>457</v>
      </c>
      <c r="I94" s="2" t="s">
        <v>44</v>
      </c>
      <c r="J94" s="2" t="s">
        <v>458</v>
      </c>
      <c r="K94" s="2"/>
      <c r="L94" s="2" t="s">
        <v>521</v>
      </c>
      <c r="M94" s="2" t="s">
        <v>522</v>
      </c>
      <c r="N94" s="2" t="s">
        <v>48</v>
      </c>
      <c r="O94" s="2"/>
      <c r="P94" s="2" t="s">
        <v>354</v>
      </c>
      <c r="Q94" s="2"/>
      <c r="R94" s="2"/>
      <c r="S94" s="2" t="s">
        <v>461</v>
      </c>
      <c r="T94" s="2" t="n">
        <v>42.6</v>
      </c>
      <c r="U94" s="2" t="n">
        <v>6.4</v>
      </c>
      <c r="V94" s="2" t="s">
        <v>52</v>
      </c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customFormat="false" ht="15" hidden="false" customHeight="false" outlineLevel="0" collapsed="false">
      <c r="A95" s="2" t="s">
        <v>523</v>
      </c>
      <c r="B95" s="2" t="s">
        <v>519</v>
      </c>
      <c r="C95" s="2" t="s">
        <v>38</v>
      </c>
      <c r="D95" s="2" t="s">
        <v>524</v>
      </c>
      <c r="E95" s="2" t="s">
        <v>40</v>
      </c>
      <c r="F95" s="2" t="s">
        <v>41</v>
      </c>
      <c r="G95" s="2" t="s">
        <v>42</v>
      </c>
      <c r="H95" s="2" t="s">
        <v>457</v>
      </c>
      <c r="I95" s="2" t="s">
        <v>44</v>
      </c>
      <c r="J95" s="2" t="s">
        <v>458</v>
      </c>
      <c r="K95" s="2"/>
      <c r="L95" s="2" t="s">
        <v>521</v>
      </c>
      <c r="M95" s="2" t="s">
        <v>522</v>
      </c>
      <c r="N95" s="2" t="s">
        <v>48</v>
      </c>
      <c r="O95" s="2"/>
      <c r="P95" s="2" t="s">
        <v>354</v>
      </c>
      <c r="Q95" s="2"/>
      <c r="R95" s="2"/>
      <c r="S95" s="2" t="s">
        <v>461</v>
      </c>
      <c r="T95" s="2" t="n">
        <v>43.1</v>
      </c>
      <c r="U95" s="2" t="n">
        <v>7</v>
      </c>
      <c r="V95" s="2" t="s">
        <v>52</v>
      </c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customFormat="false" ht="15" hidden="false" customHeight="false" outlineLevel="0" collapsed="false">
      <c r="A96" s="2" t="s">
        <v>525</v>
      </c>
      <c r="B96" s="2" t="s">
        <v>519</v>
      </c>
      <c r="C96" s="2" t="s">
        <v>38</v>
      </c>
      <c r="D96" s="2" t="s">
        <v>526</v>
      </c>
      <c r="E96" s="2" t="s">
        <v>40</v>
      </c>
      <c r="F96" s="2" t="s">
        <v>41</v>
      </c>
      <c r="G96" s="2" t="s">
        <v>42</v>
      </c>
      <c r="H96" s="2" t="s">
        <v>457</v>
      </c>
      <c r="I96" s="2" t="s">
        <v>44</v>
      </c>
      <c r="J96" s="2" t="s">
        <v>458</v>
      </c>
      <c r="K96" s="2"/>
      <c r="L96" s="2" t="s">
        <v>521</v>
      </c>
      <c r="M96" s="2" t="s">
        <v>522</v>
      </c>
      <c r="N96" s="2" t="s">
        <v>48</v>
      </c>
      <c r="O96" s="2"/>
      <c r="P96" s="2" t="s">
        <v>354</v>
      </c>
      <c r="Q96" s="2"/>
      <c r="R96" s="2"/>
      <c r="S96" s="2" t="s">
        <v>461</v>
      </c>
      <c r="T96" s="2" t="n">
        <v>43.2</v>
      </c>
      <c r="U96" s="2" t="n">
        <v>6.9</v>
      </c>
      <c r="V96" s="2" t="s">
        <v>52</v>
      </c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customFormat="false" ht="15" hidden="false" customHeight="false" outlineLevel="0" collapsed="false">
      <c r="A97" s="2" t="s">
        <v>527</v>
      </c>
      <c r="B97" s="2" t="s">
        <v>528</v>
      </c>
      <c r="C97" s="2" t="s">
        <v>38</v>
      </c>
      <c r="D97" s="2" t="s">
        <v>529</v>
      </c>
      <c r="E97" s="2" t="s">
        <v>40</v>
      </c>
      <c r="F97" s="2" t="s">
        <v>41</v>
      </c>
      <c r="G97" s="2" t="s">
        <v>42</v>
      </c>
      <c r="H97" s="2" t="s">
        <v>159</v>
      </c>
      <c r="I97" s="2" t="s">
        <v>44</v>
      </c>
      <c r="J97" s="2" t="s">
        <v>160</v>
      </c>
      <c r="K97" s="2"/>
      <c r="L97" s="2" t="s">
        <v>530</v>
      </c>
      <c r="M97" s="2" t="s">
        <v>531</v>
      </c>
      <c r="N97" s="2" t="s">
        <v>48</v>
      </c>
      <c r="O97" s="2" t="s">
        <v>163</v>
      </c>
      <c r="P97" s="2" t="s">
        <v>354</v>
      </c>
      <c r="Q97" s="2" t="s">
        <v>532</v>
      </c>
      <c r="R97" s="2" t="s">
        <v>533</v>
      </c>
      <c r="S97" s="2" t="s">
        <v>513</v>
      </c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 t="n">
        <v>1.2708</v>
      </c>
      <c r="AG97" s="2"/>
      <c r="AH97" s="2"/>
      <c r="AI97" s="2"/>
      <c r="AJ97" s="2"/>
    </row>
    <row r="98" customFormat="false" ht="15" hidden="false" customHeight="false" outlineLevel="0" collapsed="false">
      <c r="A98" s="2" t="s">
        <v>534</v>
      </c>
      <c r="B98" s="2" t="s">
        <v>535</v>
      </c>
      <c r="C98" s="2" t="s">
        <v>38</v>
      </c>
      <c r="D98" s="2" t="s">
        <v>536</v>
      </c>
      <c r="E98" s="2" t="s">
        <v>40</v>
      </c>
      <c r="F98" s="2" t="s">
        <v>41</v>
      </c>
      <c r="G98" s="2" t="s">
        <v>42</v>
      </c>
      <c r="H98" s="2" t="s">
        <v>175</v>
      </c>
      <c r="I98" s="2" t="s">
        <v>44</v>
      </c>
      <c r="J98" s="2" t="s">
        <v>160</v>
      </c>
      <c r="K98" s="2"/>
      <c r="L98" s="2" t="s">
        <v>537</v>
      </c>
      <c r="M98" s="2" t="s">
        <v>531</v>
      </c>
      <c r="N98" s="2" t="s">
        <v>48</v>
      </c>
      <c r="O98" s="2" t="s">
        <v>49</v>
      </c>
      <c r="P98" s="2" t="s">
        <v>354</v>
      </c>
      <c r="Q98" s="2" t="s">
        <v>532</v>
      </c>
      <c r="R98" s="2" t="s">
        <v>533</v>
      </c>
      <c r="S98" s="2" t="s">
        <v>513</v>
      </c>
      <c r="T98" s="2" t="n">
        <v>44.1</v>
      </c>
      <c r="U98" s="2" t="n">
        <v>7.4</v>
      </c>
      <c r="V98" s="2" t="s">
        <v>52</v>
      </c>
      <c r="W98" s="2" t="n">
        <v>24.21</v>
      </c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customFormat="false" ht="15" hidden="false" customHeight="false" outlineLevel="0" collapsed="false">
      <c r="A99" s="2" t="s">
        <v>538</v>
      </c>
      <c r="B99" s="2" t="s">
        <v>539</v>
      </c>
      <c r="C99" s="2" t="s">
        <v>38</v>
      </c>
      <c r="D99" s="2" t="s">
        <v>540</v>
      </c>
      <c r="E99" s="2" t="s">
        <v>40</v>
      </c>
      <c r="F99" s="2" t="s">
        <v>41</v>
      </c>
      <c r="G99" s="2" t="s">
        <v>42</v>
      </c>
      <c r="H99" s="2" t="s">
        <v>457</v>
      </c>
      <c r="I99" s="2" t="s">
        <v>44</v>
      </c>
      <c r="J99" s="2" t="s">
        <v>458</v>
      </c>
      <c r="K99" s="2"/>
      <c r="L99" s="2" t="s">
        <v>541</v>
      </c>
      <c r="M99" s="2" t="s">
        <v>542</v>
      </c>
      <c r="N99" s="2" t="s">
        <v>48</v>
      </c>
      <c r="O99" s="2"/>
      <c r="P99" s="2" t="s">
        <v>354</v>
      </c>
      <c r="Q99" s="2"/>
      <c r="R99" s="2"/>
      <c r="S99" s="2" t="s">
        <v>461</v>
      </c>
      <c r="T99" s="2" t="n">
        <v>41.8</v>
      </c>
      <c r="U99" s="2" t="n">
        <v>5.9</v>
      </c>
      <c r="V99" s="2" t="s">
        <v>52</v>
      </c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customFormat="false" ht="15" hidden="false" customHeight="false" outlineLevel="0" collapsed="false">
      <c r="A100" s="2" t="s">
        <v>543</v>
      </c>
      <c r="B100" s="2" t="s">
        <v>539</v>
      </c>
      <c r="C100" s="2" t="s">
        <v>38</v>
      </c>
      <c r="D100" s="2" t="s">
        <v>544</v>
      </c>
      <c r="E100" s="2" t="s">
        <v>40</v>
      </c>
      <c r="F100" s="2" t="s">
        <v>41</v>
      </c>
      <c r="G100" s="2" t="s">
        <v>42</v>
      </c>
      <c r="H100" s="2" t="s">
        <v>457</v>
      </c>
      <c r="I100" s="2" t="s">
        <v>44</v>
      </c>
      <c r="J100" s="2" t="s">
        <v>458</v>
      </c>
      <c r="K100" s="2"/>
      <c r="L100" s="2" t="s">
        <v>541</v>
      </c>
      <c r="M100" s="2" t="s">
        <v>542</v>
      </c>
      <c r="N100" s="2" t="s">
        <v>48</v>
      </c>
      <c r="O100" s="2"/>
      <c r="P100" s="2" t="s">
        <v>354</v>
      </c>
      <c r="Q100" s="2"/>
      <c r="R100" s="2"/>
      <c r="S100" s="2" t="s">
        <v>461</v>
      </c>
      <c r="T100" s="2" t="n">
        <v>41.8</v>
      </c>
      <c r="U100" s="2" t="n">
        <v>5.9</v>
      </c>
      <c r="V100" s="2" t="s">
        <v>52</v>
      </c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customFormat="false" ht="15" hidden="false" customHeight="false" outlineLevel="0" collapsed="false">
      <c r="A101" s="2" t="s">
        <v>545</v>
      </c>
      <c r="B101" s="2" t="s">
        <v>539</v>
      </c>
      <c r="C101" s="2" t="s">
        <v>38</v>
      </c>
      <c r="D101" s="2" t="s">
        <v>546</v>
      </c>
      <c r="E101" s="2" t="s">
        <v>40</v>
      </c>
      <c r="F101" s="2" t="s">
        <v>41</v>
      </c>
      <c r="G101" s="2" t="s">
        <v>42</v>
      </c>
      <c r="H101" s="2" t="s">
        <v>457</v>
      </c>
      <c r="I101" s="2" t="s">
        <v>44</v>
      </c>
      <c r="J101" s="2" t="s">
        <v>458</v>
      </c>
      <c r="K101" s="2"/>
      <c r="L101" s="2" t="s">
        <v>541</v>
      </c>
      <c r="M101" s="2" t="s">
        <v>542</v>
      </c>
      <c r="N101" s="2" t="s">
        <v>48</v>
      </c>
      <c r="O101" s="2"/>
      <c r="P101" s="2" t="s">
        <v>354</v>
      </c>
      <c r="Q101" s="2"/>
      <c r="R101" s="2"/>
      <c r="S101" s="2" t="s">
        <v>461</v>
      </c>
      <c r="T101" s="2" t="n">
        <v>41.8</v>
      </c>
      <c r="U101" s="2" t="n">
        <v>6</v>
      </c>
      <c r="V101" s="2" t="s">
        <v>52</v>
      </c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customFormat="false" ht="15" hidden="false" customHeight="false" outlineLevel="0" collapsed="false">
      <c r="A102" s="2" t="s">
        <v>547</v>
      </c>
      <c r="B102" s="2" t="s">
        <v>548</v>
      </c>
      <c r="C102" s="2" t="s">
        <v>38</v>
      </c>
      <c r="D102" s="2" t="s">
        <v>549</v>
      </c>
      <c r="E102" s="2" t="s">
        <v>40</v>
      </c>
      <c r="F102" s="2" t="s">
        <v>41</v>
      </c>
      <c r="G102" s="2" t="s">
        <v>42</v>
      </c>
      <c r="H102" s="2" t="s">
        <v>175</v>
      </c>
      <c r="I102" s="2" t="s">
        <v>44</v>
      </c>
      <c r="J102" s="2" t="s">
        <v>160</v>
      </c>
      <c r="K102" s="2"/>
      <c r="L102" s="2" t="s">
        <v>550</v>
      </c>
      <c r="M102" s="2" t="s">
        <v>551</v>
      </c>
      <c r="N102" s="2" t="s">
        <v>48</v>
      </c>
      <c r="O102" s="2" t="s">
        <v>49</v>
      </c>
      <c r="P102" s="2" t="s">
        <v>354</v>
      </c>
      <c r="Q102" s="2" t="s">
        <v>532</v>
      </c>
      <c r="R102" s="2" t="s">
        <v>533</v>
      </c>
      <c r="S102" s="2" t="s">
        <v>513</v>
      </c>
      <c r="T102" s="2" t="n">
        <v>43.5</v>
      </c>
      <c r="U102" s="2" t="n">
        <v>7.2</v>
      </c>
      <c r="V102" s="2" t="s">
        <v>52</v>
      </c>
      <c r="W102" s="2" t="n">
        <v>23.79</v>
      </c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customFormat="false" ht="15" hidden="false" customHeight="false" outlineLevel="0" collapsed="false">
      <c r="A103" s="2" t="s">
        <v>552</v>
      </c>
      <c r="B103" s="2" t="s">
        <v>548</v>
      </c>
      <c r="C103" s="2" t="s">
        <v>38</v>
      </c>
      <c r="D103" s="2" t="s">
        <v>553</v>
      </c>
      <c r="E103" s="2" t="s">
        <v>40</v>
      </c>
      <c r="F103" s="2" t="s">
        <v>41</v>
      </c>
      <c r="G103" s="2" t="s">
        <v>42</v>
      </c>
      <c r="H103" s="2" t="s">
        <v>175</v>
      </c>
      <c r="I103" s="2" t="s">
        <v>44</v>
      </c>
      <c r="J103" s="2" t="s">
        <v>160</v>
      </c>
      <c r="K103" s="2"/>
      <c r="L103" s="2" t="s">
        <v>554</v>
      </c>
      <c r="M103" s="2" t="s">
        <v>555</v>
      </c>
      <c r="N103" s="2" t="s">
        <v>48</v>
      </c>
      <c r="O103" s="2" t="s">
        <v>49</v>
      </c>
      <c r="P103" s="2" t="s">
        <v>354</v>
      </c>
      <c r="Q103" s="2" t="s">
        <v>556</v>
      </c>
      <c r="R103" s="2" t="s">
        <v>557</v>
      </c>
      <c r="S103" s="2" t="s">
        <v>558</v>
      </c>
      <c r="T103" s="2" t="n">
        <v>44</v>
      </c>
      <c r="U103" s="2" t="n">
        <v>7.2</v>
      </c>
      <c r="V103" s="2" t="s">
        <v>52</v>
      </c>
      <c r="W103" s="2" t="n">
        <v>20.03</v>
      </c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customFormat="false" ht="15" hidden="false" customHeight="false" outlineLevel="0" collapsed="false">
      <c r="A104" s="2" t="s">
        <v>559</v>
      </c>
      <c r="B104" s="2" t="s">
        <v>548</v>
      </c>
      <c r="C104" s="2" t="s">
        <v>38</v>
      </c>
      <c r="D104" s="2" t="s">
        <v>560</v>
      </c>
      <c r="E104" s="2" t="s">
        <v>40</v>
      </c>
      <c r="F104" s="2" t="s">
        <v>41</v>
      </c>
      <c r="G104" s="2" t="s">
        <v>42</v>
      </c>
      <c r="H104" s="2" t="s">
        <v>175</v>
      </c>
      <c r="I104" s="2" t="s">
        <v>44</v>
      </c>
      <c r="J104" s="2" t="s">
        <v>160</v>
      </c>
      <c r="K104" s="2"/>
      <c r="L104" s="2" t="s">
        <v>561</v>
      </c>
      <c r="M104" s="2" t="s">
        <v>562</v>
      </c>
      <c r="N104" s="2" t="s">
        <v>48</v>
      </c>
      <c r="O104" s="2" t="s">
        <v>49</v>
      </c>
      <c r="P104" s="2" t="s">
        <v>354</v>
      </c>
      <c r="Q104" s="2" t="s">
        <v>556</v>
      </c>
      <c r="R104" s="2" t="s">
        <v>557</v>
      </c>
      <c r="S104" s="2" t="s">
        <v>558</v>
      </c>
      <c r="T104" s="2" t="n">
        <v>44</v>
      </c>
      <c r="U104" s="2" t="n">
        <v>7.3</v>
      </c>
      <c r="V104" s="2" t="s">
        <v>52</v>
      </c>
      <c r="W104" s="2" t="n">
        <v>24.21</v>
      </c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customFormat="false" ht="15" hidden="false" customHeight="false" outlineLevel="0" collapsed="false">
      <c r="A105" s="2" t="s">
        <v>563</v>
      </c>
      <c r="B105" s="2" t="s">
        <v>548</v>
      </c>
      <c r="C105" s="2" t="s">
        <v>38</v>
      </c>
      <c r="D105" s="2" t="s">
        <v>564</v>
      </c>
      <c r="E105" s="2" t="s">
        <v>40</v>
      </c>
      <c r="F105" s="2" t="s">
        <v>41</v>
      </c>
      <c r="G105" s="2" t="s">
        <v>42</v>
      </c>
      <c r="H105" s="2" t="s">
        <v>159</v>
      </c>
      <c r="I105" s="2" t="s">
        <v>44</v>
      </c>
      <c r="J105" s="2" t="s">
        <v>160</v>
      </c>
      <c r="K105" s="2"/>
      <c r="L105" s="2" t="s">
        <v>565</v>
      </c>
      <c r="M105" s="2" t="s">
        <v>555</v>
      </c>
      <c r="N105" s="2" t="s">
        <v>48</v>
      </c>
      <c r="O105" s="2" t="s">
        <v>163</v>
      </c>
      <c r="P105" s="2" t="s">
        <v>354</v>
      </c>
      <c r="Q105" s="2" t="s">
        <v>556</v>
      </c>
      <c r="R105" s="2" t="s">
        <v>557</v>
      </c>
      <c r="S105" s="2" t="s">
        <v>558</v>
      </c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 t="n">
        <v>1.3313</v>
      </c>
      <c r="AG105" s="2"/>
      <c r="AH105" s="2"/>
      <c r="AI105" s="2"/>
      <c r="AJ105" s="2"/>
    </row>
    <row r="106" customFormat="false" ht="15" hidden="false" customHeight="false" outlineLevel="0" collapsed="false">
      <c r="A106" s="2" t="s">
        <v>566</v>
      </c>
      <c r="B106" s="2" t="s">
        <v>567</v>
      </c>
      <c r="C106" s="2" t="s">
        <v>38</v>
      </c>
      <c r="D106" s="2" t="s">
        <v>568</v>
      </c>
      <c r="E106" s="2" t="s">
        <v>40</v>
      </c>
      <c r="F106" s="2" t="s">
        <v>41</v>
      </c>
      <c r="G106" s="2" t="s">
        <v>42</v>
      </c>
      <c r="H106" s="2" t="s">
        <v>457</v>
      </c>
      <c r="I106" s="2" t="s">
        <v>44</v>
      </c>
      <c r="J106" s="2" t="s">
        <v>458</v>
      </c>
      <c r="K106" s="2"/>
      <c r="L106" s="2" t="s">
        <v>569</v>
      </c>
      <c r="M106" s="2" t="s">
        <v>570</v>
      </c>
      <c r="N106" s="2" t="s">
        <v>48</v>
      </c>
      <c r="O106" s="2"/>
      <c r="P106" s="2" t="s">
        <v>354</v>
      </c>
      <c r="Q106" s="2"/>
      <c r="R106" s="2"/>
      <c r="S106" s="2" t="s">
        <v>461</v>
      </c>
      <c r="T106" s="2" t="n">
        <v>42.6</v>
      </c>
      <c r="U106" s="2" t="n">
        <v>6.8</v>
      </c>
      <c r="V106" s="2" t="s">
        <v>52</v>
      </c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customFormat="false" ht="15" hidden="false" customHeight="false" outlineLevel="0" collapsed="false">
      <c r="A107" s="2" t="s">
        <v>571</v>
      </c>
      <c r="B107" s="2" t="s">
        <v>567</v>
      </c>
      <c r="C107" s="2" t="s">
        <v>38</v>
      </c>
      <c r="D107" s="2" t="s">
        <v>572</v>
      </c>
      <c r="E107" s="2" t="s">
        <v>40</v>
      </c>
      <c r="F107" s="2" t="s">
        <v>41</v>
      </c>
      <c r="G107" s="2" t="s">
        <v>42</v>
      </c>
      <c r="H107" s="2" t="s">
        <v>457</v>
      </c>
      <c r="I107" s="2" t="s">
        <v>44</v>
      </c>
      <c r="J107" s="2" t="s">
        <v>458</v>
      </c>
      <c r="K107" s="2"/>
      <c r="L107" s="2" t="s">
        <v>569</v>
      </c>
      <c r="M107" s="2" t="s">
        <v>570</v>
      </c>
      <c r="N107" s="2" t="s">
        <v>48</v>
      </c>
      <c r="O107" s="2"/>
      <c r="P107" s="2" t="s">
        <v>354</v>
      </c>
      <c r="Q107" s="2"/>
      <c r="R107" s="2"/>
      <c r="S107" s="2" t="s">
        <v>461</v>
      </c>
      <c r="T107" s="2" t="n">
        <v>42.2</v>
      </c>
      <c r="U107" s="2" t="n">
        <v>6.4</v>
      </c>
      <c r="V107" s="2" t="s">
        <v>52</v>
      </c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customFormat="false" ht="15" hidden="false" customHeight="false" outlineLevel="0" collapsed="false">
      <c r="A108" s="2" t="s">
        <v>573</v>
      </c>
      <c r="B108" s="2" t="s">
        <v>567</v>
      </c>
      <c r="C108" s="2" t="s">
        <v>38</v>
      </c>
      <c r="D108" s="2" t="s">
        <v>574</v>
      </c>
      <c r="E108" s="2" t="s">
        <v>40</v>
      </c>
      <c r="F108" s="2" t="s">
        <v>41</v>
      </c>
      <c r="G108" s="2" t="s">
        <v>42</v>
      </c>
      <c r="H108" s="2" t="s">
        <v>457</v>
      </c>
      <c r="I108" s="2" t="s">
        <v>44</v>
      </c>
      <c r="J108" s="2" t="s">
        <v>458</v>
      </c>
      <c r="K108" s="2"/>
      <c r="L108" s="2" t="s">
        <v>569</v>
      </c>
      <c r="M108" s="2" t="s">
        <v>570</v>
      </c>
      <c r="N108" s="2" t="s">
        <v>48</v>
      </c>
      <c r="O108" s="2"/>
      <c r="P108" s="2" t="s">
        <v>354</v>
      </c>
      <c r="Q108" s="2"/>
      <c r="R108" s="2"/>
      <c r="S108" s="2" t="s">
        <v>461</v>
      </c>
      <c r="T108" s="2" t="n">
        <v>42.4</v>
      </c>
      <c r="U108" s="2" t="n">
        <v>6.4</v>
      </c>
      <c r="V108" s="2" t="s">
        <v>52</v>
      </c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customFormat="false" ht="15" hidden="false" customHeight="false" outlineLevel="0" collapsed="false">
      <c r="A109" s="2" t="s">
        <v>575</v>
      </c>
      <c r="B109" s="2" t="s">
        <v>576</v>
      </c>
      <c r="C109" s="2" t="s">
        <v>38</v>
      </c>
      <c r="D109" s="2" t="s">
        <v>577</v>
      </c>
      <c r="E109" s="2" t="s">
        <v>40</v>
      </c>
      <c r="F109" s="2" t="s">
        <v>41</v>
      </c>
      <c r="G109" s="2" t="s">
        <v>42</v>
      </c>
      <c r="H109" s="2" t="s">
        <v>175</v>
      </c>
      <c r="I109" s="2" t="s">
        <v>44</v>
      </c>
      <c r="J109" s="2" t="s">
        <v>160</v>
      </c>
      <c r="K109" s="2"/>
      <c r="L109" s="2" t="s">
        <v>578</v>
      </c>
      <c r="M109" s="2" t="s">
        <v>579</v>
      </c>
      <c r="N109" s="2" t="s">
        <v>48</v>
      </c>
      <c r="O109" s="2" t="s">
        <v>49</v>
      </c>
      <c r="P109" s="2" t="s">
        <v>354</v>
      </c>
      <c r="Q109" s="2" t="s">
        <v>556</v>
      </c>
      <c r="R109" s="2" t="s">
        <v>557</v>
      </c>
      <c r="S109" s="2" t="s">
        <v>558</v>
      </c>
      <c r="T109" s="2" t="n">
        <v>43.2</v>
      </c>
      <c r="U109" s="2" t="n">
        <v>7.1</v>
      </c>
      <c r="V109" s="2" t="s">
        <v>52</v>
      </c>
      <c r="W109" s="2" t="n">
        <v>22.91</v>
      </c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customFormat="false" ht="15" hidden="false" customHeight="false" outlineLevel="0" collapsed="false">
      <c r="A110" s="2" t="s">
        <v>580</v>
      </c>
      <c r="B110" s="2" t="s">
        <v>576</v>
      </c>
      <c r="C110" s="2" t="s">
        <v>38</v>
      </c>
      <c r="D110" s="2" t="s">
        <v>581</v>
      </c>
      <c r="E110" s="2" t="s">
        <v>40</v>
      </c>
      <c r="F110" s="2" t="s">
        <v>41</v>
      </c>
      <c r="G110" s="2" t="s">
        <v>42</v>
      </c>
      <c r="H110" s="2" t="s">
        <v>159</v>
      </c>
      <c r="I110" s="2" t="s">
        <v>44</v>
      </c>
      <c r="J110" s="2" t="s">
        <v>160</v>
      </c>
      <c r="K110" s="2"/>
      <c r="L110" s="2" t="s">
        <v>582</v>
      </c>
      <c r="M110" s="2" t="s">
        <v>562</v>
      </c>
      <c r="N110" s="2" t="s">
        <v>48</v>
      </c>
      <c r="O110" s="2" t="s">
        <v>163</v>
      </c>
      <c r="P110" s="2" t="s">
        <v>354</v>
      </c>
      <c r="Q110" s="2" t="s">
        <v>556</v>
      </c>
      <c r="R110" s="2" t="s">
        <v>557</v>
      </c>
      <c r="S110" s="2" t="s">
        <v>558</v>
      </c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 t="n">
        <v>1.3095</v>
      </c>
      <c r="AG110" s="2"/>
      <c r="AH110" s="2"/>
      <c r="AI110" s="2"/>
      <c r="AJ110" s="2"/>
    </row>
    <row r="111" customFormat="false" ht="15" hidden="false" customHeight="false" outlineLevel="0" collapsed="false">
      <c r="A111" s="2" t="s">
        <v>583</v>
      </c>
      <c r="B111" s="2" t="s">
        <v>584</v>
      </c>
      <c r="C111" s="2" t="s">
        <v>38</v>
      </c>
      <c r="D111" s="2" t="s">
        <v>585</v>
      </c>
      <c r="E111" s="2" t="s">
        <v>40</v>
      </c>
      <c r="F111" s="2" t="s">
        <v>41</v>
      </c>
      <c r="G111" s="2" t="s">
        <v>42</v>
      </c>
      <c r="H111" s="2" t="s">
        <v>457</v>
      </c>
      <c r="I111" s="2" t="s">
        <v>44</v>
      </c>
      <c r="J111" s="2" t="s">
        <v>458</v>
      </c>
      <c r="K111" s="2"/>
      <c r="L111" s="2" t="s">
        <v>586</v>
      </c>
      <c r="M111" s="2" t="s">
        <v>587</v>
      </c>
      <c r="N111" s="2" t="s">
        <v>48</v>
      </c>
      <c r="O111" s="2"/>
      <c r="P111" s="2" t="s">
        <v>354</v>
      </c>
      <c r="Q111" s="2"/>
      <c r="R111" s="2"/>
      <c r="S111" s="2" t="s">
        <v>461</v>
      </c>
      <c r="T111" s="2" t="n">
        <v>42.1</v>
      </c>
      <c r="U111" s="2" t="n">
        <v>6.5</v>
      </c>
      <c r="V111" s="2" t="s">
        <v>52</v>
      </c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customFormat="false" ht="15" hidden="false" customHeight="false" outlineLevel="0" collapsed="false">
      <c r="A112" s="2" t="s">
        <v>588</v>
      </c>
      <c r="B112" s="2" t="s">
        <v>584</v>
      </c>
      <c r="C112" s="2" t="s">
        <v>38</v>
      </c>
      <c r="D112" s="2" t="s">
        <v>589</v>
      </c>
      <c r="E112" s="2" t="s">
        <v>40</v>
      </c>
      <c r="F112" s="2" t="s">
        <v>41</v>
      </c>
      <c r="G112" s="2" t="s">
        <v>42</v>
      </c>
      <c r="H112" s="2" t="s">
        <v>457</v>
      </c>
      <c r="I112" s="2" t="s">
        <v>44</v>
      </c>
      <c r="J112" s="2" t="s">
        <v>458</v>
      </c>
      <c r="K112" s="2"/>
      <c r="L112" s="2" t="s">
        <v>586</v>
      </c>
      <c r="M112" s="2" t="s">
        <v>587</v>
      </c>
      <c r="N112" s="2" t="s">
        <v>48</v>
      </c>
      <c r="O112" s="2"/>
      <c r="P112" s="2" t="s">
        <v>354</v>
      </c>
      <c r="Q112" s="2"/>
      <c r="R112" s="2"/>
      <c r="S112" s="2" t="s">
        <v>461</v>
      </c>
      <c r="T112" s="2" t="n">
        <v>42.5</v>
      </c>
      <c r="U112" s="2" t="n">
        <v>6.8</v>
      </c>
      <c r="V112" s="2" t="s">
        <v>52</v>
      </c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customFormat="false" ht="15" hidden="false" customHeight="false" outlineLevel="0" collapsed="false">
      <c r="A113" s="2" t="s">
        <v>590</v>
      </c>
      <c r="B113" s="2" t="s">
        <v>584</v>
      </c>
      <c r="C113" s="2" t="s">
        <v>38</v>
      </c>
      <c r="D113" s="2" t="s">
        <v>591</v>
      </c>
      <c r="E113" s="2" t="s">
        <v>40</v>
      </c>
      <c r="F113" s="2" t="s">
        <v>41</v>
      </c>
      <c r="G113" s="2" t="s">
        <v>42</v>
      </c>
      <c r="H113" s="2" t="s">
        <v>457</v>
      </c>
      <c r="I113" s="2" t="s">
        <v>44</v>
      </c>
      <c r="J113" s="2" t="s">
        <v>458</v>
      </c>
      <c r="K113" s="2"/>
      <c r="L113" s="2" t="s">
        <v>586</v>
      </c>
      <c r="M113" s="2" t="s">
        <v>587</v>
      </c>
      <c r="N113" s="2" t="s">
        <v>48</v>
      </c>
      <c r="O113" s="2"/>
      <c r="P113" s="2" t="s">
        <v>354</v>
      </c>
      <c r="Q113" s="2"/>
      <c r="R113" s="2"/>
      <c r="S113" s="2" t="s">
        <v>461</v>
      </c>
      <c r="T113" s="2" t="n">
        <v>41.6</v>
      </c>
      <c r="U113" s="2" t="n">
        <v>6.1</v>
      </c>
      <c r="V113" s="2" t="s">
        <v>52</v>
      </c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customFormat="false" ht="15" hidden="false" customHeight="false" outlineLevel="0" collapsed="false">
      <c r="A114" s="2" t="s">
        <v>592</v>
      </c>
      <c r="B114" s="2" t="s">
        <v>593</v>
      </c>
      <c r="C114" s="2" t="s">
        <v>38</v>
      </c>
      <c r="D114" s="2" t="s">
        <v>594</v>
      </c>
      <c r="E114" s="2" t="s">
        <v>40</v>
      </c>
      <c r="F114" s="2" t="s">
        <v>41</v>
      </c>
      <c r="G114" s="2" t="s">
        <v>42</v>
      </c>
      <c r="H114" s="2" t="s">
        <v>159</v>
      </c>
      <c r="I114" s="2" t="s">
        <v>44</v>
      </c>
      <c r="J114" s="2" t="s">
        <v>160</v>
      </c>
      <c r="K114" s="2"/>
      <c r="L114" s="2" t="s">
        <v>595</v>
      </c>
      <c r="M114" s="2" t="s">
        <v>596</v>
      </c>
      <c r="N114" s="2" t="s">
        <v>48</v>
      </c>
      <c r="O114" s="2" t="s">
        <v>163</v>
      </c>
      <c r="P114" s="2" t="s">
        <v>354</v>
      </c>
      <c r="Q114" s="2" t="s">
        <v>597</v>
      </c>
      <c r="R114" s="2" t="s">
        <v>598</v>
      </c>
      <c r="S114" s="2" t="s">
        <v>599</v>
      </c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 t="n">
        <v>1.3089</v>
      </c>
      <c r="AG114" s="2"/>
      <c r="AH114" s="2"/>
      <c r="AI114" s="2"/>
      <c r="AJ114" s="2"/>
    </row>
    <row r="115" customFormat="false" ht="15" hidden="false" customHeight="false" outlineLevel="0" collapsed="false">
      <c r="A115" s="2" t="s">
        <v>600</v>
      </c>
      <c r="B115" s="2" t="s">
        <v>601</v>
      </c>
      <c r="C115" s="2" t="s">
        <v>38</v>
      </c>
      <c r="D115" s="2" t="s">
        <v>602</v>
      </c>
      <c r="E115" s="2" t="s">
        <v>40</v>
      </c>
      <c r="F115" s="2" t="s">
        <v>41</v>
      </c>
      <c r="G115" s="2" t="s">
        <v>42</v>
      </c>
      <c r="H115" s="2" t="s">
        <v>457</v>
      </c>
      <c r="I115" s="2" t="s">
        <v>44</v>
      </c>
      <c r="J115" s="2" t="s">
        <v>458</v>
      </c>
      <c r="K115" s="2"/>
      <c r="L115" s="2" t="s">
        <v>603</v>
      </c>
      <c r="M115" s="2" t="s">
        <v>604</v>
      </c>
      <c r="N115" s="2" t="s">
        <v>48</v>
      </c>
      <c r="O115" s="2"/>
      <c r="P115" s="2" t="s">
        <v>354</v>
      </c>
      <c r="Q115" s="2"/>
      <c r="R115" s="2"/>
      <c r="S115" s="2" t="s">
        <v>461</v>
      </c>
      <c r="T115" s="2" t="n">
        <v>42.2</v>
      </c>
      <c r="U115" s="2" t="n">
        <v>6</v>
      </c>
      <c r="V115" s="2" t="s">
        <v>52</v>
      </c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customFormat="false" ht="15" hidden="false" customHeight="false" outlineLevel="0" collapsed="false">
      <c r="A116" s="2" t="s">
        <v>605</v>
      </c>
      <c r="B116" s="2" t="s">
        <v>601</v>
      </c>
      <c r="C116" s="2" t="s">
        <v>38</v>
      </c>
      <c r="D116" s="2" t="s">
        <v>606</v>
      </c>
      <c r="E116" s="2" t="s">
        <v>40</v>
      </c>
      <c r="F116" s="2" t="s">
        <v>41</v>
      </c>
      <c r="G116" s="2" t="s">
        <v>42</v>
      </c>
      <c r="H116" s="2" t="s">
        <v>457</v>
      </c>
      <c r="I116" s="2" t="s">
        <v>44</v>
      </c>
      <c r="J116" s="2" t="s">
        <v>458</v>
      </c>
      <c r="K116" s="2"/>
      <c r="L116" s="2" t="s">
        <v>603</v>
      </c>
      <c r="M116" s="2" t="s">
        <v>604</v>
      </c>
      <c r="N116" s="2" t="s">
        <v>48</v>
      </c>
      <c r="O116" s="2"/>
      <c r="P116" s="2" t="s">
        <v>354</v>
      </c>
      <c r="Q116" s="2"/>
      <c r="R116" s="2"/>
      <c r="S116" s="2" t="s">
        <v>461</v>
      </c>
      <c r="T116" s="2" t="n">
        <v>42.7</v>
      </c>
      <c r="U116" s="2" t="n">
        <v>6.9</v>
      </c>
      <c r="V116" s="2" t="s">
        <v>52</v>
      </c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customFormat="false" ht="15" hidden="false" customHeight="false" outlineLevel="0" collapsed="false">
      <c r="A117" s="2" t="s">
        <v>607</v>
      </c>
      <c r="B117" s="2" t="s">
        <v>601</v>
      </c>
      <c r="C117" s="2" t="s">
        <v>38</v>
      </c>
      <c r="D117" s="2" t="s">
        <v>608</v>
      </c>
      <c r="E117" s="2" t="s">
        <v>40</v>
      </c>
      <c r="F117" s="2" t="s">
        <v>41</v>
      </c>
      <c r="G117" s="2" t="s">
        <v>42</v>
      </c>
      <c r="H117" s="2" t="s">
        <v>457</v>
      </c>
      <c r="I117" s="2" t="s">
        <v>44</v>
      </c>
      <c r="J117" s="2" t="s">
        <v>458</v>
      </c>
      <c r="K117" s="2"/>
      <c r="L117" s="2" t="s">
        <v>603</v>
      </c>
      <c r="M117" s="2" t="s">
        <v>604</v>
      </c>
      <c r="N117" s="2" t="s">
        <v>48</v>
      </c>
      <c r="O117" s="2"/>
      <c r="P117" s="2" t="s">
        <v>354</v>
      </c>
      <c r="Q117" s="2"/>
      <c r="R117" s="2"/>
      <c r="S117" s="2" t="s">
        <v>461</v>
      </c>
      <c r="T117" s="2" t="n">
        <v>42.5</v>
      </c>
      <c r="U117" s="2" t="n">
        <v>6.3</v>
      </c>
      <c r="V117" s="2" t="s">
        <v>52</v>
      </c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customFormat="false" ht="15" hidden="false" customHeight="false" outlineLevel="0" collapsed="false">
      <c r="A118" s="2" t="s">
        <v>609</v>
      </c>
      <c r="B118" s="2" t="s">
        <v>601</v>
      </c>
      <c r="C118" s="2" t="s">
        <v>38</v>
      </c>
      <c r="D118" s="2" t="s">
        <v>610</v>
      </c>
      <c r="E118" s="2" t="s">
        <v>40</v>
      </c>
      <c r="F118" s="2" t="s">
        <v>41</v>
      </c>
      <c r="G118" s="2" t="s">
        <v>42</v>
      </c>
      <c r="H118" s="2" t="s">
        <v>175</v>
      </c>
      <c r="I118" s="2" t="s">
        <v>44</v>
      </c>
      <c r="J118" s="2" t="s">
        <v>160</v>
      </c>
      <c r="K118" s="2"/>
      <c r="L118" s="2" t="s">
        <v>611</v>
      </c>
      <c r="M118" s="2" t="s">
        <v>596</v>
      </c>
      <c r="N118" s="2" t="s">
        <v>48</v>
      </c>
      <c r="O118" s="2" t="s">
        <v>49</v>
      </c>
      <c r="P118" s="2" t="s">
        <v>354</v>
      </c>
      <c r="Q118" s="2" t="s">
        <v>597</v>
      </c>
      <c r="R118" s="2" t="s">
        <v>598</v>
      </c>
      <c r="S118" s="2" t="s">
        <v>599</v>
      </c>
      <c r="T118" s="2" t="n">
        <v>43.1</v>
      </c>
      <c r="U118" s="2" t="n">
        <v>6.8</v>
      </c>
      <c r="V118" s="2" t="s">
        <v>52</v>
      </c>
      <c r="W118" s="2" t="n">
        <v>17.9</v>
      </c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customFormat="false" ht="15" hidden="false" customHeight="false" outlineLevel="0" collapsed="false">
      <c r="A119" s="2" t="s">
        <v>612</v>
      </c>
      <c r="B119" s="2" t="s">
        <v>613</v>
      </c>
      <c r="C119" s="2" t="s">
        <v>38</v>
      </c>
      <c r="D119" s="2" t="s">
        <v>614</v>
      </c>
      <c r="E119" s="2" t="s">
        <v>40</v>
      </c>
      <c r="F119" s="2" t="s">
        <v>41</v>
      </c>
      <c r="G119" s="2" t="s">
        <v>42</v>
      </c>
      <c r="H119" s="2" t="s">
        <v>159</v>
      </c>
      <c r="I119" s="2" t="s">
        <v>44</v>
      </c>
      <c r="J119" s="2" t="s">
        <v>160</v>
      </c>
      <c r="K119" s="2"/>
      <c r="L119" s="2" t="s">
        <v>615</v>
      </c>
      <c r="M119" s="2" t="s">
        <v>616</v>
      </c>
      <c r="N119" s="2" t="s">
        <v>48</v>
      </c>
      <c r="O119" s="2" t="s">
        <v>163</v>
      </c>
      <c r="P119" s="2" t="s">
        <v>354</v>
      </c>
      <c r="Q119" s="2" t="s">
        <v>617</v>
      </c>
      <c r="R119" s="2" t="s">
        <v>618</v>
      </c>
      <c r="S119" s="2" t="s">
        <v>599</v>
      </c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 t="n">
        <v>1.3011</v>
      </c>
      <c r="AG119" s="2"/>
      <c r="AH119" s="2"/>
      <c r="AI119" s="2"/>
      <c r="AJ119" s="2"/>
    </row>
    <row r="120" customFormat="false" ht="15" hidden="false" customHeight="false" outlineLevel="0" collapsed="false">
      <c r="A120" s="2" t="s">
        <v>619</v>
      </c>
      <c r="B120" s="2" t="s">
        <v>613</v>
      </c>
      <c r="C120" s="2" t="s">
        <v>38</v>
      </c>
      <c r="D120" s="2" t="s">
        <v>620</v>
      </c>
      <c r="E120" s="2" t="s">
        <v>40</v>
      </c>
      <c r="F120" s="2" t="s">
        <v>41</v>
      </c>
      <c r="G120" s="2" t="s">
        <v>42</v>
      </c>
      <c r="H120" s="2" t="s">
        <v>175</v>
      </c>
      <c r="I120" s="2" t="s">
        <v>44</v>
      </c>
      <c r="J120" s="2" t="s">
        <v>160</v>
      </c>
      <c r="K120" s="2"/>
      <c r="L120" s="2" t="s">
        <v>621</v>
      </c>
      <c r="M120" s="2" t="s">
        <v>622</v>
      </c>
      <c r="N120" s="2" t="s">
        <v>48</v>
      </c>
      <c r="O120" s="2" t="s">
        <v>49</v>
      </c>
      <c r="P120" s="2" t="s">
        <v>354</v>
      </c>
      <c r="Q120" s="2" t="s">
        <v>617</v>
      </c>
      <c r="R120" s="2" t="s">
        <v>618</v>
      </c>
      <c r="S120" s="2" t="s">
        <v>599</v>
      </c>
      <c r="T120" s="2" t="n">
        <v>43.5</v>
      </c>
      <c r="U120" s="2" t="n">
        <v>7.1</v>
      </c>
      <c r="V120" s="2" t="s">
        <v>52</v>
      </c>
      <c r="W120" s="2" t="n">
        <v>18.69</v>
      </c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customFormat="false" ht="15" hidden="false" customHeight="false" outlineLevel="0" collapsed="false">
      <c r="A121" s="2" t="s">
        <v>623</v>
      </c>
      <c r="B121" s="2" t="s">
        <v>624</v>
      </c>
      <c r="C121" s="2" t="s">
        <v>38</v>
      </c>
      <c r="D121" s="2" t="s">
        <v>625</v>
      </c>
      <c r="E121" s="2" t="s">
        <v>40</v>
      </c>
      <c r="F121" s="2" t="s">
        <v>41</v>
      </c>
      <c r="G121" s="2" t="s">
        <v>42</v>
      </c>
      <c r="H121" s="2" t="s">
        <v>457</v>
      </c>
      <c r="I121" s="2" t="s">
        <v>44</v>
      </c>
      <c r="J121" s="2" t="s">
        <v>458</v>
      </c>
      <c r="K121" s="2"/>
      <c r="L121" s="2" t="s">
        <v>626</v>
      </c>
      <c r="M121" s="2" t="s">
        <v>627</v>
      </c>
      <c r="N121" s="2" t="s">
        <v>48</v>
      </c>
      <c r="O121" s="2"/>
      <c r="P121" s="2" t="s">
        <v>354</v>
      </c>
      <c r="Q121" s="2"/>
      <c r="R121" s="2"/>
      <c r="S121" s="2" t="s">
        <v>461</v>
      </c>
      <c r="T121" s="2" t="n">
        <v>42.4</v>
      </c>
      <c r="U121" s="2" t="n">
        <v>6.9</v>
      </c>
      <c r="V121" s="2" t="s">
        <v>52</v>
      </c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customFormat="false" ht="15" hidden="false" customHeight="false" outlineLevel="0" collapsed="false">
      <c r="A122" s="2" t="s">
        <v>628</v>
      </c>
      <c r="B122" s="2" t="s">
        <v>624</v>
      </c>
      <c r="C122" s="2" t="s">
        <v>38</v>
      </c>
      <c r="D122" s="2" t="s">
        <v>629</v>
      </c>
      <c r="E122" s="2" t="s">
        <v>40</v>
      </c>
      <c r="F122" s="2" t="s">
        <v>41</v>
      </c>
      <c r="G122" s="2" t="s">
        <v>42</v>
      </c>
      <c r="H122" s="2" t="s">
        <v>457</v>
      </c>
      <c r="I122" s="2" t="s">
        <v>44</v>
      </c>
      <c r="J122" s="2" t="s">
        <v>458</v>
      </c>
      <c r="K122" s="2"/>
      <c r="L122" s="2" t="s">
        <v>626</v>
      </c>
      <c r="M122" s="2" t="s">
        <v>627</v>
      </c>
      <c r="N122" s="2" t="s">
        <v>48</v>
      </c>
      <c r="O122" s="2"/>
      <c r="P122" s="2" t="s">
        <v>354</v>
      </c>
      <c r="Q122" s="2"/>
      <c r="R122" s="2"/>
      <c r="S122" s="2" t="s">
        <v>461</v>
      </c>
      <c r="T122" s="2" t="n">
        <v>42.5</v>
      </c>
      <c r="U122" s="2" t="n">
        <v>6.6</v>
      </c>
      <c r="V122" s="2" t="s">
        <v>52</v>
      </c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customFormat="false" ht="15" hidden="false" customHeight="false" outlineLevel="0" collapsed="false">
      <c r="A123" s="2" t="s">
        <v>630</v>
      </c>
      <c r="B123" s="2" t="s">
        <v>624</v>
      </c>
      <c r="C123" s="2" t="s">
        <v>38</v>
      </c>
      <c r="D123" s="2" t="s">
        <v>631</v>
      </c>
      <c r="E123" s="2" t="s">
        <v>40</v>
      </c>
      <c r="F123" s="2" t="s">
        <v>41</v>
      </c>
      <c r="G123" s="2" t="s">
        <v>42</v>
      </c>
      <c r="H123" s="2" t="s">
        <v>457</v>
      </c>
      <c r="I123" s="2" t="s">
        <v>44</v>
      </c>
      <c r="J123" s="2" t="s">
        <v>458</v>
      </c>
      <c r="K123" s="2"/>
      <c r="L123" s="2" t="s">
        <v>626</v>
      </c>
      <c r="M123" s="2" t="s">
        <v>627</v>
      </c>
      <c r="N123" s="2" t="s">
        <v>48</v>
      </c>
      <c r="O123" s="2"/>
      <c r="P123" s="2" t="s">
        <v>354</v>
      </c>
      <c r="Q123" s="2"/>
      <c r="R123" s="2"/>
      <c r="S123" s="2" t="s">
        <v>461</v>
      </c>
      <c r="T123" s="2" t="n">
        <v>42.6</v>
      </c>
      <c r="U123" s="2" t="n">
        <v>6.9</v>
      </c>
      <c r="V123" s="2" t="s">
        <v>52</v>
      </c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customFormat="false" ht="15" hidden="false" customHeight="false" outlineLevel="0" collapsed="false">
      <c r="A124" s="2" t="s">
        <v>632</v>
      </c>
      <c r="B124" s="2" t="s">
        <v>633</v>
      </c>
      <c r="C124" s="2" t="s">
        <v>38</v>
      </c>
      <c r="D124" s="2" t="s">
        <v>634</v>
      </c>
      <c r="E124" s="2" t="s">
        <v>40</v>
      </c>
      <c r="F124" s="2" t="s">
        <v>41</v>
      </c>
      <c r="G124" s="2" t="s">
        <v>42</v>
      </c>
      <c r="H124" s="2" t="s">
        <v>175</v>
      </c>
      <c r="I124" s="2" t="s">
        <v>44</v>
      </c>
      <c r="J124" s="2" t="s">
        <v>160</v>
      </c>
      <c r="K124" s="2"/>
      <c r="L124" s="2" t="s">
        <v>635</v>
      </c>
      <c r="M124" s="2" t="s">
        <v>616</v>
      </c>
      <c r="N124" s="2" t="s">
        <v>48</v>
      </c>
      <c r="O124" s="2" t="s">
        <v>49</v>
      </c>
      <c r="P124" s="2" t="s">
        <v>354</v>
      </c>
      <c r="Q124" s="2" t="s">
        <v>617</v>
      </c>
      <c r="R124" s="2" t="s">
        <v>618</v>
      </c>
      <c r="S124" s="2" t="s">
        <v>599</v>
      </c>
      <c r="T124" s="2" t="n">
        <v>43.6</v>
      </c>
      <c r="U124" s="2" t="n">
        <v>7.1</v>
      </c>
      <c r="V124" s="2" t="s">
        <v>52</v>
      </c>
      <c r="W124" s="2" t="n">
        <v>20.01</v>
      </c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customFormat="false" ht="15" hidden="false" customHeight="false" outlineLevel="0" collapsed="false">
      <c r="A125" s="2" t="s">
        <v>636</v>
      </c>
      <c r="B125" s="2" t="s">
        <v>637</v>
      </c>
      <c r="C125" s="2" t="s">
        <v>38</v>
      </c>
      <c r="D125" s="2" t="s">
        <v>638</v>
      </c>
      <c r="E125" s="2" t="s">
        <v>40</v>
      </c>
      <c r="F125" s="2" t="s">
        <v>41</v>
      </c>
      <c r="G125" s="2" t="s">
        <v>42</v>
      </c>
      <c r="H125" s="2" t="s">
        <v>175</v>
      </c>
      <c r="I125" s="2" t="s">
        <v>44</v>
      </c>
      <c r="J125" s="2" t="s">
        <v>160</v>
      </c>
      <c r="K125" s="2"/>
      <c r="L125" s="2" t="s">
        <v>639</v>
      </c>
      <c r="M125" s="2" t="s">
        <v>640</v>
      </c>
      <c r="N125" s="2" t="s">
        <v>48</v>
      </c>
      <c r="O125" s="2" t="s">
        <v>49</v>
      </c>
      <c r="P125" s="2" t="s">
        <v>354</v>
      </c>
      <c r="Q125" s="2" t="s">
        <v>641</v>
      </c>
      <c r="R125" s="2" t="s">
        <v>642</v>
      </c>
      <c r="S125" s="2" t="s">
        <v>643</v>
      </c>
      <c r="T125" s="2" t="n">
        <v>42.9</v>
      </c>
      <c r="U125" s="2" t="n">
        <v>7.2</v>
      </c>
      <c r="V125" s="2" t="s">
        <v>52</v>
      </c>
      <c r="W125" s="2" t="n">
        <v>22.76</v>
      </c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customFormat="false" ht="15" hidden="false" customHeight="false" outlineLevel="0" collapsed="false">
      <c r="A126" s="2" t="s">
        <v>644</v>
      </c>
      <c r="B126" s="2" t="s">
        <v>645</v>
      </c>
      <c r="C126" s="2" t="s">
        <v>38</v>
      </c>
      <c r="D126" s="2" t="s">
        <v>646</v>
      </c>
      <c r="E126" s="2" t="s">
        <v>40</v>
      </c>
      <c r="F126" s="2" t="s">
        <v>41</v>
      </c>
      <c r="G126" s="2" t="s">
        <v>42</v>
      </c>
      <c r="H126" s="2" t="s">
        <v>159</v>
      </c>
      <c r="I126" s="2" t="s">
        <v>44</v>
      </c>
      <c r="J126" s="2" t="s">
        <v>160</v>
      </c>
      <c r="K126" s="2"/>
      <c r="L126" s="2" t="s">
        <v>647</v>
      </c>
      <c r="M126" s="2" t="s">
        <v>648</v>
      </c>
      <c r="N126" s="2" t="s">
        <v>48</v>
      </c>
      <c r="O126" s="2" t="s">
        <v>163</v>
      </c>
      <c r="P126" s="2" t="s">
        <v>354</v>
      </c>
      <c r="Q126" s="2" t="s">
        <v>649</v>
      </c>
      <c r="R126" s="2" t="s">
        <v>650</v>
      </c>
      <c r="S126" s="2" t="s">
        <v>651</v>
      </c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 t="n">
        <v>1.2728</v>
      </c>
      <c r="AG126" s="2"/>
      <c r="AH126" s="2"/>
      <c r="AI126" s="2"/>
      <c r="AJ126" s="2"/>
    </row>
    <row r="127" customFormat="false" ht="15" hidden="false" customHeight="false" outlineLevel="0" collapsed="false">
      <c r="A127" s="2" t="s">
        <v>652</v>
      </c>
      <c r="B127" s="2" t="s">
        <v>645</v>
      </c>
      <c r="C127" s="2" t="s">
        <v>38</v>
      </c>
      <c r="D127" s="2" t="s">
        <v>653</v>
      </c>
      <c r="E127" s="2" t="s">
        <v>40</v>
      </c>
      <c r="F127" s="2" t="s">
        <v>41</v>
      </c>
      <c r="G127" s="2" t="s">
        <v>42</v>
      </c>
      <c r="H127" s="2" t="s">
        <v>175</v>
      </c>
      <c r="I127" s="2" t="s">
        <v>44</v>
      </c>
      <c r="J127" s="2" t="s">
        <v>160</v>
      </c>
      <c r="K127" s="2"/>
      <c r="L127" s="2" t="s">
        <v>654</v>
      </c>
      <c r="M127" s="2" t="s">
        <v>655</v>
      </c>
      <c r="N127" s="2" t="s">
        <v>48</v>
      </c>
      <c r="O127" s="2" t="s">
        <v>49</v>
      </c>
      <c r="P127" s="2" t="s">
        <v>354</v>
      </c>
      <c r="Q127" s="2" t="s">
        <v>656</v>
      </c>
      <c r="R127" s="2" t="s">
        <v>657</v>
      </c>
      <c r="S127" s="2" t="s">
        <v>658</v>
      </c>
      <c r="T127" s="2" t="n">
        <v>43.7</v>
      </c>
      <c r="U127" s="2" t="n">
        <v>7</v>
      </c>
      <c r="V127" s="2" t="s">
        <v>52</v>
      </c>
      <c r="W127" s="2" t="n">
        <v>25.48</v>
      </c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customFormat="false" ht="15" hidden="false" customHeight="false" outlineLevel="0" collapsed="false">
      <c r="A128" s="2" t="s">
        <v>659</v>
      </c>
      <c r="B128" s="2" t="s">
        <v>660</v>
      </c>
      <c r="C128" s="2" t="s">
        <v>38</v>
      </c>
      <c r="D128" s="2" t="s">
        <v>661</v>
      </c>
      <c r="E128" s="2" t="s">
        <v>40</v>
      </c>
      <c r="F128" s="2" t="s">
        <v>41</v>
      </c>
      <c r="G128" s="2" t="s">
        <v>42</v>
      </c>
      <c r="H128" s="2" t="s">
        <v>457</v>
      </c>
      <c r="I128" s="2" t="s">
        <v>44</v>
      </c>
      <c r="J128" s="2" t="s">
        <v>458</v>
      </c>
      <c r="K128" s="2"/>
      <c r="L128" s="2" t="s">
        <v>662</v>
      </c>
      <c r="M128" s="2" t="s">
        <v>663</v>
      </c>
      <c r="N128" s="2" t="s">
        <v>48</v>
      </c>
      <c r="O128" s="2"/>
      <c r="P128" s="2" t="s">
        <v>354</v>
      </c>
      <c r="Q128" s="2"/>
      <c r="R128" s="2"/>
      <c r="S128" s="2" t="s">
        <v>461</v>
      </c>
      <c r="T128" s="2" t="n">
        <v>42.7</v>
      </c>
      <c r="U128" s="2" t="n">
        <v>6.8</v>
      </c>
      <c r="V128" s="2" t="s">
        <v>52</v>
      </c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customFormat="false" ht="15" hidden="false" customHeight="false" outlineLevel="0" collapsed="false">
      <c r="A129" s="2" t="s">
        <v>664</v>
      </c>
      <c r="B129" s="2" t="s">
        <v>660</v>
      </c>
      <c r="C129" s="2" t="s">
        <v>38</v>
      </c>
      <c r="D129" s="2" t="s">
        <v>665</v>
      </c>
      <c r="E129" s="2" t="s">
        <v>40</v>
      </c>
      <c r="F129" s="2" t="s">
        <v>41</v>
      </c>
      <c r="G129" s="2" t="s">
        <v>42</v>
      </c>
      <c r="H129" s="2" t="s">
        <v>457</v>
      </c>
      <c r="I129" s="2" t="s">
        <v>44</v>
      </c>
      <c r="J129" s="2" t="s">
        <v>458</v>
      </c>
      <c r="K129" s="2"/>
      <c r="L129" s="2" t="s">
        <v>662</v>
      </c>
      <c r="M129" s="2" t="s">
        <v>663</v>
      </c>
      <c r="N129" s="2" t="s">
        <v>48</v>
      </c>
      <c r="O129" s="2"/>
      <c r="P129" s="2" t="s">
        <v>354</v>
      </c>
      <c r="Q129" s="2"/>
      <c r="R129" s="2"/>
      <c r="S129" s="2" t="s">
        <v>461</v>
      </c>
      <c r="T129" s="2" t="n">
        <v>42.8</v>
      </c>
      <c r="U129" s="2" t="n">
        <v>6.7</v>
      </c>
      <c r="V129" s="2" t="s">
        <v>52</v>
      </c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customFormat="false" ht="15" hidden="false" customHeight="false" outlineLevel="0" collapsed="false">
      <c r="A130" s="2" t="s">
        <v>666</v>
      </c>
      <c r="B130" s="2" t="s">
        <v>660</v>
      </c>
      <c r="C130" s="2" t="s">
        <v>38</v>
      </c>
      <c r="D130" s="2" t="s">
        <v>667</v>
      </c>
      <c r="E130" s="2" t="s">
        <v>40</v>
      </c>
      <c r="F130" s="2" t="s">
        <v>41</v>
      </c>
      <c r="G130" s="2" t="s">
        <v>42</v>
      </c>
      <c r="H130" s="2" t="s">
        <v>457</v>
      </c>
      <c r="I130" s="2" t="s">
        <v>44</v>
      </c>
      <c r="J130" s="2" t="s">
        <v>458</v>
      </c>
      <c r="K130" s="2"/>
      <c r="L130" s="2" t="s">
        <v>662</v>
      </c>
      <c r="M130" s="2" t="s">
        <v>663</v>
      </c>
      <c r="N130" s="2" t="s">
        <v>48</v>
      </c>
      <c r="O130" s="2"/>
      <c r="P130" s="2" t="s">
        <v>354</v>
      </c>
      <c r="Q130" s="2"/>
      <c r="R130" s="2"/>
      <c r="S130" s="2" t="s">
        <v>461</v>
      </c>
      <c r="T130" s="2" t="n">
        <v>42.5</v>
      </c>
      <c r="U130" s="2" t="n">
        <v>5.9</v>
      </c>
      <c r="V130" s="2" t="s">
        <v>52</v>
      </c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customFormat="false" ht="15" hidden="false" customHeight="false" outlineLevel="0" collapsed="false">
      <c r="A131" s="2" t="s">
        <v>668</v>
      </c>
      <c r="B131" s="2" t="s">
        <v>669</v>
      </c>
      <c r="C131" s="2" t="s">
        <v>38</v>
      </c>
      <c r="D131" s="2" t="s">
        <v>670</v>
      </c>
      <c r="E131" s="2" t="s">
        <v>40</v>
      </c>
      <c r="F131" s="2" t="s">
        <v>41</v>
      </c>
      <c r="G131" s="2" t="s">
        <v>42</v>
      </c>
      <c r="H131" s="2" t="s">
        <v>175</v>
      </c>
      <c r="I131" s="2" t="s">
        <v>44</v>
      </c>
      <c r="J131" s="2" t="s">
        <v>160</v>
      </c>
      <c r="K131" s="2"/>
      <c r="L131" s="2" t="s">
        <v>671</v>
      </c>
      <c r="M131" s="2" t="s">
        <v>672</v>
      </c>
      <c r="N131" s="2" t="s">
        <v>48</v>
      </c>
      <c r="O131" s="2" t="s">
        <v>49</v>
      </c>
      <c r="P131" s="2" t="s">
        <v>354</v>
      </c>
      <c r="Q131" s="2" t="s">
        <v>649</v>
      </c>
      <c r="R131" s="2" t="s">
        <v>650</v>
      </c>
      <c r="S131" s="2" t="s">
        <v>651</v>
      </c>
      <c r="T131" s="2" t="n">
        <v>26.3</v>
      </c>
      <c r="U131" s="2" t="n">
        <v>7</v>
      </c>
      <c r="V131" s="2" t="s">
        <v>52</v>
      </c>
      <c r="W131" s="2" t="n">
        <v>32.72</v>
      </c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customFormat="false" ht="15" hidden="false" customHeight="false" outlineLevel="0" collapsed="false">
      <c r="A132" s="2" t="s">
        <v>673</v>
      </c>
      <c r="B132" s="2" t="s">
        <v>674</v>
      </c>
      <c r="C132" s="2" t="s">
        <v>38</v>
      </c>
      <c r="D132" s="2" t="s">
        <v>675</v>
      </c>
      <c r="E132" s="2" t="s">
        <v>40</v>
      </c>
      <c r="F132" s="2" t="s">
        <v>41</v>
      </c>
      <c r="G132" s="2" t="s">
        <v>42</v>
      </c>
      <c r="H132" s="2" t="s">
        <v>457</v>
      </c>
      <c r="I132" s="2" t="s">
        <v>44</v>
      </c>
      <c r="J132" s="2" t="s">
        <v>458</v>
      </c>
      <c r="K132" s="2"/>
      <c r="L132" s="2" t="s">
        <v>676</v>
      </c>
      <c r="M132" s="2" t="s">
        <v>677</v>
      </c>
      <c r="N132" s="2" t="s">
        <v>48</v>
      </c>
      <c r="O132" s="2"/>
      <c r="P132" s="2" t="s">
        <v>354</v>
      </c>
      <c r="Q132" s="2"/>
      <c r="R132" s="2"/>
      <c r="S132" s="2" t="s">
        <v>461</v>
      </c>
      <c r="T132" s="2" t="n">
        <v>43.4</v>
      </c>
      <c r="U132" s="2" t="n">
        <v>6.9</v>
      </c>
      <c r="V132" s="2" t="s">
        <v>52</v>
      </c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customFormat="false" ht="15" hidden="false" customHeight="false" outlineLevel="0" collapsed="false">
      <c r="A133" s="2" t="s">
        <v>678</v>
      </c>
      <c r="B133" s="2" t="s">
        <v>674</v>
      </c>
      <c r="C133" s="2" t="s">
        <v>38</v>
      </c>
      <c r="D133" s="2" t="s">
        <v>679</v>
      </c>
      <c r="E133" s="2" t="s">
        <v>40</v>
      </c>
      <c r="F133" s="2" t="s">
        <v>41</v>
      </c>
      <c r="G133" s="2" t="s">
        <v>42</v>
      </c>
      <c r="H133" s="2" t="s">
        <v>457</v>
      </c>
      <c r="I133" s="2" t="s">
        <v>44</v>
      </c>
      <c r="J133" s="2" t="s">
        <v>458</v>
      </c>
      <c r="K133" s="2"/>
      <c r="L133" s="2" t="s">
        <v>676</v>
      </c>
      <c r="M133" s="2" t="s">
        <v>677</v>
      </c>
      <c r="N133" s="2" t="s">
        <v>48</v>
      </c>
      <c r="O133" s="2"/>
      <c r="P133" s="2" t="s">
        <v>354</v>
      </c>
      <c r="Q133" s="2"/>
      <c r="R133" s="2"/>
      <c r="S133" s="2" t="s">
        <v>461</v>
      </c>
      <c r="T133" s="2" t="n">
        <v>43.2</v>
      </c>
      <c r="U133" s="2" t="n">
        <v>7.1</v>
      </c>
      <c r="V133" s="2" t="s">
        <v>52</v>
      </c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customFormat="false" ht="15" hidden="false" customHeight="false" outlineLevel="0" collapsed="false">
      <c r="A134" s="2" t="s">
        <v>680</v>
      </c>
      <c r="B134" s="2" t="s">
        <v>674</v>
      </c>
      <c r="C134" s="2" t="s">
        <v>38</v>
      </c>
      <c r="D134" s="2" t="s">
        <v>681</v>
      </c>
      <c r="E134" s="2" t="s">
        <v>40</v>
      </c>
      <c r="F134" s="2" t="s">
        <v>41</v>
      </c>
      <c r="G134" s="2" t="s">
        <v>42</v>
      </c>
      <c r="H134" s="2" t="s">
        <v>457</v>
      </c>
      <c r="I134" s="2" t="s">
        <v>44</v>
      </c>
      <c r="J134" s="2" t="s">
        <v>458</v>
      </c>
      <c r="K134" s="2"/>
      <c r="L134" s="2" t="s">
        <v>676</v>
      </c>
      <c r="M134" s="2" t="s">
        <v>677</v>
      </c>
      <c r="N134" s="2" t="s">
        <v>48</v>
      </c>
      <c r="O134" s="2"/>
      <c r="P134" s="2" t="s">
        <v>354</v>
      </c>
      <c r="Q134" s="2"/>
      <c r="R134" s="2"/>
      <c r="S134" s="2" t="s">
        <v>461</v>
      </c>
      <c r="T134" s="2" t="n">
        <v>43.2</v>
      </c>
      <c r="U134" s="2" t="n">
        <v>6.9</v>
      </c>
      <c r="V134" s="2" t="s">
        <v>52</v>
      </c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customFormat="false" ht="15" hidden="false" customHeight="false" outlineLevel="0" collapsed="false">
      <c r="A135" s="2" t="s">
        <v>682</v>
      </c>
      <c r="B135" s="2" t="s">
        <v>674</v>
      </c>
      <c r="C135" s="2" t="s">
        <v>38</v>
      </c>
      <c r="D135" s="2" t="s">
        <v>683</v>
      </c>
      <c r="E135" s="2" t="s">
        <v>40</v>
      </c>
      <c r="F135" s="2" t="s">
        <v>41</v>
      </c>
      <c r="G135" s="2" t="s">
        <v>42</v>
      </c>
      <c r="H135" s="2" t="s">
        <v>159</v>
      </c>
      <c r="I135" s="2" t="s">
        <v>44</v>
      </c>
      <c r="J135" s="2" t="s">
        <v>160</v>
      </c>
      <c r="K135" s="2"/>
      <c r="L135" s="2" t="s">
        <v>684</v>
      </c>
      <c r="M135" s="2" t="s">
        <v>685</v>
      </c>
      <c r="N135" s="2" t="s">
        <v>48</v>
      </c>
      <c r="O135" s="2" t="s">
        <v>163</v>
      </c>
      <c r="P135" s="2" t="s">
        <v>354</v>
      </c>
      <c r="Q135" s="2" t="s">
        <v>686</v>
      </c>
      <c r="R135" s="2" t="s">
        <v>687</v>
      </c>
      <c r="S135" s="2" t="s">
        <v>651</v>
      </c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 t="n">
        <v>1.2768</v>
      </c>
      <c r="AG135" s="2"/>
      <c r="AH135" s="2"/>
      <c r="AI135" s="2"/>
      <c r="AJ135" s="2"/>
    </row>
    <row r="136" customFormat="false" ht="15" hidden="false" customHeight="false" outlineLevel="0" collapsed="false">
      <c r="A136" s="2" t="s">
        <v>688</v>
      </c>
      <c r="B136" s="2" t="s">
        <v>689</v>
      </c>
      <c r="C136" s="2" t="s">
        <v>38</v>
      </c>
      <c r="D136" s="2" t="s">
        <v>690</v>
      </c>
      <c r="E136" s="2" t="s">
        <v>40</v>
      </c>
      <c r="F136" s="2" t="s">
        <v>41</v>
      </c>
      <c r="G136" s="2" t="s">
        <v>42</v>
      </c>
      <c r="H136" s="2" t="s">
        <v>159</v>
      </c>
      <c r="I136" s="2" t="s">
        <v>44</v>
      </c>
      <c r="J136" s="2" t="s">
        <v>160</v>
      </c>
      <c r="K136" s="2"/>
      <c r="L136" s="2" t="s">
        <v>691</v>
      </c>
      <c r="M136" s="2" t="s">
        <v>692</v>
      </c>
      <c r="N136" s="2" t="s">
        <v>48</v>
      </c>
      <c r="O136" s="2" t="s">
        <v>163</v>
      </c>
      <c r="P136" s="2" t="s">
        <v>354</v>
      </c>
      <c r="Q136" s="2" t="s">
        <v>686</v>
      </c>
      <c r="R136" s="2" t="s">
        <v>687</v>
      </c>
      <c r="S136" s="2" t="s">
        <v>651</v>
      </c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 t="n">
        <v>1.2997</v>
      </c>
      <c r="AG136" s="2"/>
      <c r="AH136" s="2"/>
      <c r="AI136" s="2"/>
      <c r="AJ136" s="2"/>
    </row>
    <row r="137" customFormat="false" ht="15" hidden="false" customHeight="false" outlineLevel="0" collapsed="false">
      <c r="A137" s="2" t="s">
        <v>693</v>
      </c>
      <c r="B137" s="2" t="s">
        <v>694</v>
      </c>
      <c r="C137" s="2" t="s">
        <v>38</v>
      </c>
      <c r="D137" s="2" t="s">
        <v>695</v>
      </c>
      <c r="E137" s="2" t="s">
        <v>40</v>
      </c>
      <c r="F137" s="2" t="s">
        <v>41</v>
      </c>
      <c r="G137" s="2" t="s">
        <v>42</v>
      </c>
      <c r="H137" s="2" t="s">
        <v>457</v>
      </c>
      <c r="I137" s="2" t="s">
        <v>44</v>
      </c>
      <c r="J137" s="2" t="s">
        <v>458</v>
      </c>
      <c r="K137" s="2"/>
      <c r="L137" s="2" t="s">
        <v>696</v>
      </c>
      <c r="M137" s="2" t="s">
        <v>697</v>
      </c>
      <c r="N137" s="2" t="s">
        <v>48</v>
      </c>
      <c r="O137" s="2"/>
      <c r="P137" s="2" t="s">
        <v>354</v>
      </c>
      <c r="Q137" s="2"/>
      <c r="R137" s="2"/>
      <c r="S137" s="2" t="s">
        <v>461</v>
      </c>
      <c r="T137" s="2" t="n">
        <v>42.7</v>
      </c>
      <c r="U137" s="2" t="n">
        <v>7</v>
      </c>
      <c r="V137" s="2" t="s">
        <v>52</v>
      </c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customFormat="false" ht="15" hidden="false" customHeight="false" outlineLevel="0" collapsed="false">
      <c r="A138" s="2" t="s">
        <v>698</v>
      </c>
      <c r="B138" s="2" t="s">
        <v>694</v>
      </c>
      <c r="C138" s="2" t="s">
        <v>38</v>
      </c>
      <c r="D138" s="2" t="s">
        <v>699</v>
      </c>
      <c r="E138" s="2" t="s">
        <v>40</v>
      </c>
      <c r="F138" s="2" t="s">
        <v>41</v>
      </c>
      <c r="G138" s="2" t="s">
        <v>42</v>
      </c>
      <c r="H138" s="2" t="s">
        <v>457</v>
      </c>
      <c r="I138" s="2" t="s">
        <v>44</v>
      </c>
      <c r="J138" s="2" t="s">
        <v>458</v>
      </c>
      <c r="K138" s="2"/>
      <c r="L138" s="2" t="s">
        <v>696</v>
      </c>
      <c r="M138" s="2" t="s">
        <v>697</v>
      </c>
      <c r="N138" s="2" t="s">
        <v>48</v>
      </c>
      <c r="O138" s="2"/>
      <c r="P138" s="2" t="s">
        <v>354</v>
      </c>
      <c r="Q138" s="2"/>
      <c r="R138" s="2"/>
      <c r="S138" s="2" t="s">
        <v>461</v>
      </c>
      <c r="T138" s="2" t="n">
        <v>42.8</v>
      </c>
      <c r="U138" s="2" t="n">
        <v>7.3</v>
      </c>
      <c r="V138" s="2" t="s">
        <v>52</v>
      </c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customFormat="false" ht="15" hidden="false" customHeight="false" outlineLevel="0" collapsed="false">
      <c r="A139" s="2" t="s">
        <v>700</v>
      </c>
      <c r="B139" s="2" t="s">
        <v>694</v>
      </c>
      <c r="C139" s="2" t="s">
        <v>38</v>
      </c>
      <c r="D139" s="2" t="s">
        <v>701</v>
      </c>
      <c r="E139" s="2" t="s">
        <v>40</v>
      </c>
      <c r="F139" s="2" t="s">
        <v>41</v>
      </c>
      <c r="G139" s="2" t="s">
        <v>42</v>
      </c>
      <c r="H139" s="2" t="s">
        <v>457</v>
      </c>
      <c r="I139" s="2" t="s">
        <v>44</v>
      </c>
      <c r="J139" s="2" t="s">
        <v>458</v>
      </c>
      <c r="K139" s="2"/>
      <c r="L139" s="2" t="s">
        <v>696</v>
      </c>
      <c r="M139" s="2" t="s">
        <v>697</v>
      </c>
      <c r="N139" s="2" t="s">
        <v>48</v>
      </c>
      <c r="O139" s="2"/>
      <c r="P139" s="2" t="s">
        <v>354</v>
      </c>
      <c r="Q139" s="2"/>
      <c r="R139" s="2"/>
      <c r="S139" s="2" t="s">
        <v>461</v>
      </c>
      <c r="T139" s="2" t="n">
        <v>43</v>
      </c>
      <c r="U139" s="2" t="n">
        <v>7.2</v>
      </c>
      <c r="V139" s="2" t="s">
        <v>52</v>
      </c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customFormat="false" ht="15" hidden="false" customHeight="false" outlineLevel="0" collapsed="false">
      <c r="A140" s="2" t="s">
        <v>702</v>
      </c>
      <c r="B140" s="2" t="s">
        <v>703</v>
      </c>
      <c r="C140" s="2" t="s">
        <v>38</v>
      </c>
      <c r="D140" s="2" t="s">
        <v>704</v>
      </c>
      <c r="E140" s="2" t="s">
        <v>40</v>
      </c>
      <c r="F140" s="2" t="s">
        <v>41</v>
      </c>
      <c r="G140" s="2" t="s">
        <v>42</v>
      </c>
      <c r="H140" s="2" t="s">
        <v>175</v>
      </c>
      <c r="I140" s="2" t="s">
        <v>44</v>
      </c>
      <c r="J140" s="2" t="s">
        <v>160</v>
      </c>
      <c r="K140" s="2"/>
      <c r="L140" s="2" t="s">
        <v>705</v>
      </c>
      <c r="M140" s="2" t="s">
        <v>706</v>
      </c>
      <c r="N140" s="2" t="s">
        <v>48</v>
      </c>
      <c r="O140" s="2" t="s">
        <v>49</v>
      </c>
      <c r="P140" s="2" t="s">
        <v>354</v>
      </c>
      <c r="Q140" s="2" t="s">
        <v>707</v>
      </c>
      <c r="R140" s="2" t="s">
        <v>708</v>
      </c>
      <c r="S140" s="2" t="s">
        <v>709</v>
      </c>
      <c r="T140" s="2" t="n">
        <v>41.6</v>
      </c>
      <c r="U140" s="2" t="n">
        <v>6.7</v>
      </c>
      <c r="V140" s="2" t="s">
        <v>52</v>
      </c>
      <c r="W140" s="2" t="n">
        <v>26.59</v>
      </c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customFormat="false" ht="15" hidden="false" customHeight="false" outlineLevel="0" collapsed="false">
      <c r="A141" s="2" t="s">
        <v>710</v>
      </c>
      <c r="B141" s="2" t="s">
        <v>711</v>
      </c>
      <c r="C141" s="2" t="s">
        <v>38</v>
      </c>
      <c r="D141" s="2" t="s">
        <v>712</v>
      </c>
      <c r="E141" s="2" t="s">
        <v>40</v>
      </c>
      <c r="F141" s="2" t="s">
        <v>41</v>
      </c>
      <c r="G141" s="2" t="s">
        <v>42</v>
      </c>
      <c r="H141" s="2" t="s">
        <v>159</v>
      </c>
      <c r="I141" s="2" t="s">
        <v>44</v>
      </c>
      <c r="J141" s="2" t="s">
        <v>160</v>
      </c>
      <c r="K141" s="2"/>
      <c r="L141" s="2" t="s">
        <v>713</v>
      </c>
      <c r="M141" s="2" t="s">
        <v>714</v>
      </c>
      <c r="N141" s="2" t="s">
        <v>48</v>
      </c>
      <c r="O141" s="2" t="s">
        <v>163</v>
      </c>
      <c r="P141" s="2" t="s">
        <v>354</v>
      </c>
      <c r="Q141" s="2" t="s">
        <v>707</v>
      </c>
      <c r="R141" s="2" t="s">
        <v>708</v>
      </c>
      <c r="S141" s="2" t="s">
        <v>709</v>
      </c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 t="n">
        <v>1.3164</v>
      </c>
      <c r="AG141" s="2"/>
      <c r="AH141" s="2"/>
      <c r="AI141" s="2"/>
      <c r="AJ141" s="2"/>
    </row>
    <row r="142" customFormat="false" ht="15" hidden="false" customHeight="false" outlineLevel="0" collapsed="false">
      <c r="A142" s="2" t="s">
        <v>715</v>
      </c>
      <c r="B142" s="2" t="s">
        <v>716</v>
      </c>
      <c r="C142" s="2" t="s">
        <v>38</v>
      </c>
      <c r="D142" s="2" t="s">
        <v>717</v>
      </c>
      <c r="E142" s="2" t="s">
        <v>40</v>
      </c>
      <c r="F142" s="2" t="s">
        <v>41</v>
      </c>
      <c r="G142" s="2" t="s">
        <v>42</v>
      </c>
      <c r="H142" s="2" t="s">
        <v>457</v>
      </c>
      <c r="I142" s="2" t="s">
        <v>44</v>
      </c>
      <c r="J142" s="2" t="s">
        <v>160</v>
      </c>
      <c r="K142" s="2"/>
      <c r="L142" s="2" t="s">
        <v>718</v>
      </c>
      <c r="M142" s="2" t="s">
        <v>714</v>
      </c>
      <c r="N142" s="2" t="s">
        <v>48</v>
      </c>
      <c r="O142" s="2" t="s">
        <v>49</v>
      </c>
      <c r="P142" s="2" t="s">
        <v>354</v>
      </c>
      <c r="Q142" s="2" t="s">
        <v>719</v>
      </c>
      <c r="R142" s="2" t="s">
        <v>720</v>
      </c>
      <c r="S142" s="2" t="s">
        <v>721</v>
      </c>
      <c r="T142" s="2" t="n">
        <v>41.1</v>
      </c>
      <c r="U142" s="2" t="n">
        <v>6</v>
      </c>
      <c r="V142" s="2" t="s">
        <v>52</v>
      </c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customFormat="false" ht="15" hidden="false" customHeight="false" outlineLevel="0" collapsed="false">
      <c r="A143" s="2" t="s">
        <v>722</v>
      </c>
      <c r="B143" s="2" t="s">
        <v>716</v>
      </c>
      <c r="C143" s="2" t="s">
        <v>38</v>
      </c>
      <c r="D143" s="2" t="s">
        <v>723</v>
      </c>
      <c r="E143" s="2" t="s">
        <v>40</v>
      </c>
      <c r="F143" s="2" t="s">
        <v>41</v>
      </c>
      <c r="G143" s="2" t="s">
        <v>42</v>
      </c>
      <c r="H143" s="2" t="s">
        <v>457</v>
      </c>
      <c r="I143" s="2" t="s">
        <v>44</v>
      </c>
      <c r="J143" s="2" t="s">
        <v>160</v>
      </c>
      <c r="K143" s="2"/>
      <c r="L143" s="2" t="s">
        <v>724</v>
      </c>
      <c r="M143" s="2" t="s">
        <v>714</v>
      </c>
      <c r="N143" s="2" t="s">
        <v>48</v>
      </c>
      <c r="O143" s="2" t="s">
        <v>49</v>
      </c>
      <c r="P143" s="2" t="s">
        <v>354</v>
      </c>
      <c r="Q143" s="2" t="s">
        <v>719</v>
      </c>
      <c r="R143" s="2" t="s">
        <v>720</v>
      </c>
      <c r="S143" s="2" t="s">
        <v>721</v>
      </c>
      <c r="T143" s="2" t="n">
        <v>42.4</v>
      </c>
      <c r="U143" s="2" t="n">
        <v>5.6</v>
      </c>
      <c r="V143" s="2" t="s">
        <v>52</v>
      </c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customFormat="false" ht="15" hidden="false" customHeight="false" outlineLevel="0" collapsed="false">
      <c r="A144" s="2" t="s">
        <v>725</v>
      </c>
      <c r="B144" s="2" t="s">
        <v>716</v>
      </c>
      <c r="C144" s="2" t="s">
        <v>38</v>
      </c>
      <c r="D144" s="2" t="s">
        <v>726</v>
      </c>
      <c r="E144" s="2" t="s">
        <v>40</v>
      </c>
      <c r="F144" s="2" t="s">
        <v>41</v>
      </c>
      <c r="G144" s="2" t="s">
        <v>42</v>
      </c>
      <c r="H144" s="2" t="s">
        <v>175</v>
      </c>
      <c r="I144" s="2" t="s">
        <v>44</v>
      </c>
      <c r="J144" s="2" t="s">
        <v>160</v>
      </c>
      <c r="K144" s="2"/>
      <c r="L144" s="2" t="s">
        <v>727</v>
      </c>
      <c r="M144" s="2" t="s">
        <v>648</v>
      </c>
      <c r="N144" s="2" t="s">
        <v>48</v>
      </c>
      <c r="O144" s="2" t="s">
        <v>49</v>
      </c>
      <c r="P144" s="2" t="s">
        <v>354</v>
      </c>
      <c r="Q144" s="2" t="s">
        <v>649</v>
      </c>
      <c r="R144" s="2" t="s">
        <v>650</v>
      </c>
      <c r="S144" s="2" t="s">
        <v>651</v>
      </c>
      <c r="T144" s="2" t="n">
        <v>43.2</v>
      </c>
      <c r="U144" s="2" t="n">
        <v>6.9</v>
      </c>
      <c r="V144" s="2" t="s">
        <v>52</v>
      </c>
      <c r="W144" s="2" t="n">
        <v>25.9</v>
      </c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customFormat="false" ht="15" hidden="false" customHeight="false" outlineLevel="0" collapsed="false">
      <c r="A145" s="2" t="s">
        <v>728</v>
      </c>
      <c r="B145" s="2" t="s">
        <v>716</v>
      </c>
      <c r="C145" s="2" t="s">
        <v>38</v>
      </c>
      <c r="D145" s="2" t="s">
        <v>729</v>
      </c>
      <c r="E145" s="2" t="s">
        <v>40</v>
      </c>
      <c r="F145" s="2" t="s">
        <v>41</v>
      </c>
      <c r="G145" s="2" t="s">
        <v>42</v>
      </c>
      <c r="H145" s="2" t="s">
        <v>175</v>
      </c>
      <c r="I145" s="2" t="s">
        <v>44</v>
      </c>
      <c r="J145" s="2" t="s">
        <v>160</v>
      </c>
      <c r="K145" s="2"/>
      <c r="L145" s="2" t="s">
        <v>730</v>
      </c>
      <c r="M145" s="2" t="s">
        <v>685</v>
      </c>
      <c r="N145" s="2" t="s">
        <v>48</v>
      </c>
      <c r="O145" s="2" t="s">
        <v>49</v>
      </c>
      <c r="P145" s="2" t="s">
        <v>354</v>
      </c>
      <c r="Q145" s="2" t="s">
        <v>686</v>
      </c>
      <c r="R145" s="2" t="s">
        <v>687</v>
      </c>
      <c r="S145" s="2" t="s">
        <v>651</v>
      </c>
      <c r="T145" s="2" t="n">
        <v>42.7</v>
      </c>
      <c r="U145" s="2" t="n">
        <v>7.3</v>
      </c>
      <c r="V145" s="2" t="s">
        <v>52</v>
      </c>
      <c r="W145" s="2" t="n">
        <v>25.88</v>
      </c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customFormat="false" ht="15" hidden="false" customHeight="false" outlineLevel="0" collapsed="false">
      <c r="A146" s="2" t="s">
        <v>731</v>
      </c>
      <c r="B146" s="2" t="s">
        <v>716</v>
      </c>
      <c r="C146" s="2" t="s">
        <v>38</v>
      </c>
      <c r="D146" s="2" t="s">
        <v>732</v>
      </c>
      <c r="E146" s="2" t="s">
        <v>40</v>
      </c>
      <c r="F146" s="2" t="s">
        <v>41</v>
      </c>
      <c r="G146" s="2" t="s">
        <v>42</v>
      </c>
      <c r="H146" s="2" t="s">
        <v>175</v>
      </c>
      <c r="I146" s="2" t="s">
        <v>44</v>
      </c>
      <c r="J146" s="2" t="s">
        <v>160</v>
      </c>
      <c r="K146" s="2"/>
      <c r="L146" s="2" t="s">
        <v>733</v>
      </c>
      <c r="M146" s="2" t="s">
        <v>692</v>
      </c>
      <c r="N146" s="2" t="s">
        <v>48</v>
      </c>
      <c r="O146" s="2" t="s">
        <v>49</v>
      </c>
      <c r="P146" s="2" t="s">
        <v>354</v>
      </c>
      <c r="Q146" s="2" t="s">
        <v>686</v>
      </c>
      <c r="R146" s="2" t="s">
        <v>687</v>
      </c>
      <c r="S146" s="2" t="s">
        <v>651</v>
      </c>
      <c r="T146" s="2" t="n">
        <v>42.4</v>
      </c>
      <c r="U146" s="2" t="n">
        <v>7.2</v>
      </c>
      <c r="V146" s="2" t="s">
        <v>52</v>
      </c>
      <c r="W146" s="2" t="n">
        <v>27.07</v>
      </c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customFormat="false" ht="15" hidden="false" customHeight="false" outlineLevel="0" collapsed="false">
      <c r="A147" s="2" t="s">
        <v>734</v>
      </c>
      <c r="B147" s="2" t="s">
        <v>716</v>
      </c>
      <c r="C147" s="2" t="s">
        <v>38</v>
      </c>
      <c r="D147" s="2" t="s">
        <v>735</v>
      </c>
      <c r="E147" s="2" t="s">
        <v>40</v>
      </c>
      <c r="F147" s="2" t="s">
        <v>41</v>
      </c>
      <c r="G147" s="2" t="s">
        <v>42</v>
      </c>
      <c r="H147" s="2" t="s">
        <v>175</v>
      </c>
      <c r="I147" s="2" t="s">
        <v>44</v>
      </c>
      <c r="J147" s="2" t="s">
        <v>160</v>
      </c>
      <c r="K147" s="2"/>
      <c r="L147" s="2" t="s">
        <v>736</v>
      </c>
      <c r="M147" s="2" t="s">
        <v>714</v>
      </c>
      <c r="N147" s="2" t="s">
        <v>48</v>
      </c>
      <c r="O147" s="2" t="s">
        <v>49</v>
      </c>
      <c r="P147" s="2" t="s">
        <v>354</v>
      </c>
      <c r="Q147" s="2" t="s">
        <v>707</v>
      </c>
      <c r="R147" s="2" t="s">
        <v>708</v>
      </c>
      <c r="S147" s="2" t="s">
        <v>709</v>
      </c>
      <c r="T147" s="2" t="n">
        <v>42.5</v>
      </c>
      <c r="U147" s="2" t="n">
        <v>7</v>
      </c>
      <c r="V147" s="2" t="s">
        <v>52</v>
      </c>
      <c r="W147" s="2" t="n">
        <v>27.18</v>
      </c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customFormat="false" ht="15" hidden="false" customHeight="false" outlineLevel="0" collapsed="false">
      <c r="A148" s="2" t="s">
        <v>737</v>
      </c>
      <c r="B148" s="2" t="s">
        <v>716</v>
      </c>
      <c r="C148" s="2" t="s">
        <v>38</v>
      </c>
      <c r="D148" s="2" t="s">
        <v>738</v>
      </c>
      <c r="E148" s="2" t="s">
        <v>40</v>
      </c>
      <c r="F148" s="2" t="s">
        <v>41</v>
      </c>
      <c r="G148" s="2" t="s">
        <v>42</v>
      </c>
      <c r="H148" s="2" t="s">
        <v>159</v>
      </c>
      <c r="I148" s="2" t="s">
        <v>44</v>
      </c>
      <c r="J148" s="2" t="s">
        <v>160</v>
      </c>
      <c r="K148" s="2"/>
      <c r="L148" s="2" t="s">
        <v>739</v>
      </c>
      <c r="M148" s="2" t="s">
        <v>740</v>
      </c>
      <c r="N148" s="2" t="s">
        <v>48</v>
      </c>
      <c r="O148" s="2" t="s">
        <v>163</v>
      </c>
      <c r="P148" s="2" t="s">
        <v>354</v>
      </c>
      <c r="Q148" s="2" t="s">
        <v>707</v>
      </c>
      <c r="R148" s="2" t="s">
        <v>708</v>
      </c>
      <c r="S148" s="2" t="s">
        <v>709</v>
      </c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 t="n">
        <v>1.3245</v>
      </c>
      <c r="AG148" s="2"/>
      <c r="AH148" s="2"/>
      <c r="AI148" s="2"/>
      <c r="AJ148" s="2"/>
    </row>
    <row r="149" customFormat="false" ht="15" hidden="false" customHeight="false" outlineLevel="0" collapsed="false">
      <c r="A149" s="2" t="s">
        <v>741</v>
      </c>
      <c r="B149" s="2" t="s">
        <v>742</v>
      </c>
      <c r="C149" s="2" t="s">
        <v>38</v>
      </c>
      <c r="D149" s="2" t="s">
        <v>743</v>
      </c>
      <c r="E149" s="2" t="s">
        <v>40</v>
      </c>
      <c r="F149" s="2" t="s">
        <v>41</v>
      </c>
      <c r="G149" s="2" t="s">
        <v>42</v>
      </c>
      <c r="H149" s="2" t="s">
        <v>175</v>
      </c>
      <c r="I149" s="2" t="s">
        <v>44</v>
      </c>
      <c r="J149" s="2" t="s">
        <v>160</v>
      </c>
      <c r="K149" s="2"/>
      <c r="L149" s="2" t="s">
        <v>744</v>
      </c>
      <c r="M149" s="2" t="s">
        <v>740</v>
      </c>
      <c r="N149" s="2" t="s">
        <v>48</v>
      </c>
      <c r="O149" s="2" t="s">
        <v>49</v>
      </c>
      <c r="P149" s="2" t="s">
        <v>354</v>
      </c>
      <c r="Q149" s="2" t="s">
        <v>707</v>
      </c>
      <c r="R149" s="2" t="s">
        <v>708</v>
      </c>
      <c r="S149" s="2" t="s">
        <v>709</v>
      </c>
      <c r="T149" s="2" t="n">
        <v>25.1</v>
      </c>
      <c r="U149" s="2" t="n">
        <v>7</v>
      </c>
      <c r="V149" s="2" t="s">
        <v>52</v>
      </c>
      <c r="W149" s="2" t="n">
        <v>37.81</v>
      </c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customFormat="false" ht="15" hidden="false" customHeight="false" outlineLevel="0" collapsed="false">
      <c r="A150" s="2" t="s">
        <v>745</v>
      </c>
      <c r="B150" s="2" t="s">
        <v>746</v>
      </c>
      <c r="C150" s="2" t="s">
        <v>38</v>
      </c>
      <c r="D150" s="2" t="s">
        <v>747</v>
      </c>
      <c r="E150" s="2" t="s">
        <v>40</v>
      </c>
      <c r="F150" s="2" t="s">
        <v>41</v>
      </c>
      <c r="G150" s="2" t="s">
        <v>42</v>
      </c>
      <c r="H150" s="2" t="s">
        <v>159</v>
      </c>
      <c r="I150" s="2" t="s">
        <v>44</v>
      </c>
      <c r="J150" s="2" t="s">
        <v>160</v>
      </c>
      <c r="K150" s="2"/>
      <c r="L150" s="2" t="s">
        <v>748</v>
      </c>
      <c r="M150" s="2" t="s">
        <v>749</v>
      </c>
      <c r="N150" s="2" t="s">
        <v>48</v>
      </c>
      <c r="O150" s="2" t="s">
        <v>163</v>
      </c>
      <c r="P150" s="2" t="s">
        <v>354</v>
      </c>
      <c r="Q150" s="2" t="s">
        <v>750</v>
      </c>
      <c r="R150" s="2" t="s">
        <v>751</v>
      </c>
      <c r="S150" s="2" t="s">
        <v>752</v>
      </c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 t="n">
        <v>1.3</v>
      </c>
      <c r="AG150" s="2"/>
      <c r="AH150" s="2"/>
      <c r="AI150" s="2"/>
      <c r="AJ150" s="2"/>
    </row>
    <row r="151" customFormat="false" ht="15" hidden="false" customHeight="false" outlineLevel="0" collapsed="false">
      <c r="A151" s="2" t="s">
        <v>753</v>
      </c>
      <c r="B151" s="2" t="s">
        <v>754</v>
      </c>
      <c r="C151" s="2" t="s">
        <v>38</v>
      </c>
      <c r="D151" s="2" t="s">
        <v>755</v>
      </c>
      <c r="E151" s="2" t="s">
        <v>40</v>
      </c>
      <c r="F151" s="2" t="s">
        <v>41</v>
      </c>
      <c r="G151" s="2" t="s">
        <v>42</v>
      </c>
      <c r="H151" s="2" t="s">
        <v>175</v>
      </c>
      <c r="I151" s="2" t="s">
        <v>44</v>
      </c>
      <c r="J151" s="2" t="s">
        <v>160</v>
      </c>
      <c r="K151" s="2"/>
      <c r="L151" s="2" t="s">
        <v>756</v>
      </c>
      <c r="M151" s="2" t="s">
        <v>749</v>
      </c>
      <c r="N151" s="2" t="s">
        <v>48</v>
      </c>
      <c r="O151" s="2" t="s">
        <v>49</v>
      </c>
      <c r="P151" s="2" t="s">
        <v>354</v>
      </c>
      <c r="Q151" s="2" t="s">
        <v>750</v>
      </c>
      <c r="R151" s="2" t="s">
        <v>751</v>
      </c>
      <c r="S151" s="2" t="s">
        <v>752</v>
      </c>
      <c r="T151" s="2" t="n">
        <v>39.5</v>
      </c>
      <c r="U151" s="2" t="n">
        <v>7.3</v>
      </c>
      <c r="V151" s="2" t="s">
        <v>52</v>
      </c>
      <c r="W151" s="2" t="n">
        <v>30.54</v>
      </c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customFormat="false" ht="15" hidden="false" customHeight="false" outlineLevel="0" collapsed="false">
      <c r="A152" s="2" t="s">
        <v>757</v>
      </c>
      <c r="B152" s="2" t="s">
        <v>758</v>
      </c>
      <c r="C152" s="2" t="s">
        <v>38</v>
      </c>
      <c r="D152" s="2" t="s">
        <v>759</v>
      </c>
      <c r="E152" s="2" t="s">
        <v>40</v>
      </c>
      <c r="F152" s="2" t="s">
        <v>41</v>
      </c>
      <c r="G152" s="2" t="s">
        <v>42</v>
      </c>
      <c r="H152" s="2" t="s">
        <v>159</v>
      </c>
      <c r="I152" s="2" t="s">
        <v>44</v>
      </c>
      <c r="J152" s="2" t="s">
        <v>160</v>
      </c>
      <c r="K152" s="2"/>
      <c r="L152" s="2" t="s">
        <v>760</v>
      </c>
      <c r="M152" s="2" t="s">
        <v>761</v>
      </c>
      <c r="N152" s="2" t="s">
        <v>48</v>
      </c>
      <c r="O152" s="2" t="s">
        <v>163</v>
      </c>
      <c r="P152" s="2" t="s">
        <v>354</v>
      </c>
      <c r="Q152" s="2"/>
      <c r="R152" s="2" t="s">
        <v>762</v>
      </c>
      <c r="S152" s="2" t="s">
        <v>763</v>
      </c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 t="n">
        <v>1.3</v>
      </c>
      <c r="AG152" s="2"/>
      <c r="AH152" s="2"/>
      <c r="AI152" s="2"/>
      <c r="AJ152" s="2"/>
    </row>
    <row r="153" customFormat="false" ht="15" hidden="false" customHeight="false" outlineLevel="0" collapsed="false">
      <c r="A153" s="2" t="s">
        <v>764</v>
      </c>
      <c r="B153" s="2" t="s">
        <v>758</v>
      </c>
      <c r="C153" s="2" t="s">
        <v>38</v>
      </c>
      <c r="D153" s="2" t="s">
        <v>765</v>
      </c>
      <c r="E153" s="2" t="s">
        <v>40</v>
      </c>
      <c r="F153" s="2" t="s">
        <v>41</v>
      </c>
      <c r="G153" s="2" t="s">
        <v>42</v>
      </c>
      <c r="H153" s="2" t="s">
        <v>159</v>
      </c>
      <c r="I153" s="2" t="s">
        <v>44</v>
      </c>
      <c r="J153" s="2" t="s">
        <v>160</v>
      </c>
      <c r="K153" s="2"/>
      <c r="L153" s="2" t="s">
        <v>766</v>
      </c>
      <c r="M153" s="2" t="s">
        <v>767</v>
      </c>
      <c r="N153" s="2" t="s">
        <v>48</v>
      </c>
      <c r="O153" s="2" t="s">
        <v>163</v>
      </c>
      <c r="P153" s="2" t="s">
        <v>354</v>
      </c>
      <c r="Q153" s="2"/>
      <c r="R153" s="2" t="s">
        <v>762</v>
      </c>
      <c r="S153" s="2" t="s">
        <v>763</v>
      </c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 t="n">
        <v>1.3</v>
      </c>
      <c r="AG153" s="2"/>
      <c r="AH153" s="2"/>
      <c r="AI153" s="2"/>
      <c r="AJ153" s="2"/>
    </row>
    <row r="154" customFormat="false" ht="15" hidden="false" customHeight="false" outlineLevel="0" collapsed="false">
      <c r="A154" s="2" t="s">
        <v>768</v>
      </c>
      <c r="B154" s="2" t="s">
        <v>758</v>
      </c>
      <c r="C154" s="2" t="s">
        <v>38</v>
      </c>
      <c r="D154" s="2" t="s">
        <v>769</v>
      </c>
      <c r="E154" s="2" t="s">
        <v>40</v>
      </c>
      <c r="F154" s="2" t="s">
        <v>41</v>
      </c>
      <c r="G154" s="2" t="s">
        <v>42</v>
      </c>
      <c r="H154" s="2" t="s">
        <v>175</v>
      </c>
      <c r="I154" s="2" t="s">
        <v>44</v>
      </c>
      <c r="J154" s="2" t="s">
        <v>160</v>
      </c>
      <c r="K154" s="2"/>
      <c r="L154" s="2"/>
      <c r="M154" s="2" t="s">
        <v>770</v>
      </c>
      <c r="N154" s="2" t="s">
        <v>48</v>
      </c>
      <c r="O154" s="2" t="s">
        <v>49</v>
      </c>
      <c r="P154" s="2" t="s">
        <v>354</v>
      </c>
      <c r="Q154" s="2"/>
      <c r="R154" s="2" t="s">
        <v>771</v>
      </c>
      <c r="S154" s="2" t="s">
        <v>772</v>
      </c>
      <c r="T154" s="2" t="n">
        <v>41.6</v>
      </c>
      <c r="U154" s="2" t="n">
        <v>5.9</v>
      </c>
      <c r="V154" s="2" t="s">
        <v>52</v>
      </c>
      <c r="W154" s="2" t="n">
        <v>23.12</v>
      </c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customFormat="false" ht="15" hidden="false" customHeight="false" outlineLevel="0" collapsed="false">
      <c r="A155" s="2" t="s">
        <v>773</v>
      </c>
      <c r="B155" s="2" t="s">
        <v>758</v>
      </c>
      <c r="C155" s="2" t="s">
        <v>38</v>
      </c>
      <c r="D155" s="2" t="s">
        <v>774</v>
      </c>
      <c r="E155" s="2" t="s">
        <v>40</v>
      </c>
      <c r="F155" s="2" t="s">
        <v>41</v>
      </c>
      <c r="G155" s="2" t="s">
        <v>42</v>
      </c>
      <c r="H155" s="2" t="s">
        <v>175</v>
      </c>
      <c r="I155" s="2" t="s">
        <v>44</v>
      </c>
      <c r="J155" s="2" t="s">
        <v>160</v>
      </c>
      <c r="K155" s="2"/>
      <c r="L155" s="2"/>
      <c r="M155" s="2" t="s">
        <v>770</v>
      </c>
      <c r="N155" s="2" t="s">
        <v>48</v>
      </c>
      <c r="O155" s="2" t="s">
        <v>49</v>
      </c>
      <c r="P155" s="2" t="s">
        <v>354</v>
      </c>
      <c r="Q155" s="2"/>
      <c r="R155" s="2" t="s">
        <v>771</v>
      </c>
      <c r="S155" s="2" t="s">
        <v>772</v>
      </c>
      <c r="T155" s="2" t="n">
        <v>42.3</v>
      </c>
      <c r="U155" s="2" t="n">
        <v>6.2</v>
      </c>
      <c r="V155" s="2" t="s">
        <v>52</v>
      </c>
      <c r="W155" s="2" t="n">
        <v>24.79</v>
      </c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customFormat="false" ht="15" hidden="false" customHeight="false" outlineLevel="0" collapsed="false">
      <c r="A156" s="2" t="s">
        <v>775</v>
      </c>
      <c r="B156" s="2" t="s">
        <v>758</v>
      </c>
      <c r="C156" s="2" t="s">
        <v>38</v>
      </c>
      <c r="D156" s="2" t="s">
        <v>776</v>
      </c>
      <c r="E156" s="2" t="s">
        <v>40</v>
      </c>
      <c r="F156" s="2" t="s">
        <v>41</v>
      </c>
      <c r="G156" s="2" t="s">
        <v>42</v>
      </c>
      <c r="H156" s="2" t="s">
        <v>175</v>
      </c>
      <c r="I156" s="2" t="s">
        <v>44</v>
      </c>
      <c r="J156" s="2" t="s">
        <v>160</v>
      </c>
      <c r="K156" s="2"/>
      <c r="L156" s="2"/>
      <c r="M156" s="2" t="s">
        <v>770</v>
      </c>
      <c r="N156" s="2" t="s">
        <v>48</v>
      </c>
      <c r="O156" s="2" t="s">
        <v>49</v>
      </c>
      <c r="P156" s="2" t="s">
        <v>354</v>
      </c>
      <c r="Q156" s="2"/>
      <c r="R156" s="2" t="s">
        <v>771</v>
      </c>
      <c r="S156" s="2" t="s">
        <v>772</v>
      </c>
      <c r="T156" s="2" t="n">
        <v>41.9</v>
      </c>
      <c r="U156" s="2" t="n">
        <v>6.5</v>
      </c>
      <c r="V156" s="2" t="s">
        <v>52</v>
      </c>
      <c r="W156" s="2" t="n">
        <v>24.98</v>
      </c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customFormat="false" ht="15" hidden="false" customHeight="false" outlineLevel="0" collapsed="false">
      <c r="A157" s="2" t="s">
        <v>777</v>
      </c>
      <c r="B157" s="2" t="s">
        <v>758</v>
      </c>
      <c r="C157" s="2" t="s">
        <v>38</v>
      </c>
      <c r="D157" s="2" t="s">
        <v>778</v>
      </c>
      <c r="E157" s="2" t="s">
        <v>40</v>
      </c>
      <c r="F157" s="2" t="s">
        <v>41</v>
      </c>
      <c r="G157" s="2" t="s">
        <v>42</v>
      </c>
      <c r="H157" s="2" t="s">
        <v>175</v>
      </c>
      <c r="I157" s="2" t="s">
        <v>44</v>
      </c>
      <c r="J157" s="2" t="s">
        <v>160</v>
      </c>
      <c r="K157" s="2"/>
      <c r="L157" s="2"/>
      <c r="M157" s="2" t="s">
        <v>779</v>
      </c>
      <c r="N157" s="2" t="s">
        <v>48</v>
      </c>
      <c r="O157" s="2" t="s">
        <v>49</v>
      </c>
      <c r="P157" s="2" t="s">
        <v>354</v>
      </c>
      <c r="Q157" s="2"/>
      <c r="R157" s="2" t="s">
        <v>771</v>
      </c>
      <c r="S157" s="2" t="s">
        <v>772</v>
      </c>
      <c r="T157" s="2" t="n">
        <v>41.2</v>
      </c>
      <c r="U157" s="2" t="n">
        <v>5.8</v>
      </c>
      <c r="V157" s="2" t="s">
        <v>52</v>
      </c>
      <c r="W157" s="2" t="n">
        <v>24.5</v>
      </c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customFormat="false" ht="15" hidden="false" customHeight="false" outlineLevel="0" collapsed="false">
      <c r="A158" s="2" t="s">
        <v>780</v>
      </c>
      <c r="B158" s="2" t="s">
        <v>758</v>
      </c>
      <c r="C158" s="2" t="s">
        <v>38</v>
      </c>
      <c r="D158" s="2" t="s">
        <v>781</v>
      </c>
      <c r="E158" s="2" t="s">
        <v>40</v>
      </c>
      <c r="F158" s="2" t="s">
        <v>41</v>
      </c>
      <c r="G158" s="2" t="s">
        <v>42</v>
      </c>
      <c r="H158" s="2" t="s">
        <v>175</v>
      </c>
      <c r="I158" s="2" t="s">
        <v>44</v>
      </c>
      <c r="J158" s="2" t="s">
        <v>160</v>
      </c>
      <c r="K158" s="2"/>
      <c r="L158" s="2"/>
      <c r="M158" s="2" t="s">
        <v>779</v>
      </c>
      <c r="N158" s="2" t="s">
        <v>48</v>
      </c>
      <c r="O158" s="2" t="s">
        <v>49</v>
      </c>
      <c r="P158" s="2" t="s">
        <v>354</v>
      </c>
      <c r="Q158" s="2"/>
      <c r="R158" s="2" t="s">
        <v>771</v>
      </c>
      <c r="S158" s="2" t="s">
        <v>772</v>
      </c>
      <c r="T158" s="2" t="n">
        <v>41.4</v>
      </c>
      <c r="U158" s="2" t="n">
        <v>6.6</v>
      </c>
      <c r="V158" s="2" t="s">
        <v>52</v>
      </c>
      <c r="W158" s="2" t="n">
        <v>25.22</v>
      </c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customFormat="false" ht="15" hidden="false" customHeight="false" outlineLevel="0" collapsed="false">
      <c r="A159" s="2" t="s">
        <v>782</v>
      </c>
      <c r="B159" s="2" t="s">
        <v>758</v>
      </c>
      <c r="C159" s="2" t="s">
        <v>38</v>
      </c>
      <c r="D159" s="2" t="s">
        <v>783</v>
      </c>
      <c r="E159" s="2" t="s">
        <v>40</v>
      </c>
      <c r="F159" s="2" t="s">
        <v>41</v>
      </c>
      <c r="G159" s="2" t="s">
        <v>42</v>
      </c>
      <c r="H159" s="2" t="s">
        <v>175</v>
      </c>
      <c r="I159" s="2" t="s">
        <v>44</v>
      </c>
      <c r="J159" s="2" t="s">
        <v>160</v>
      </c>
      <c r="K159" s="2"/>
      <c r="L159" s="2"/>
      <c r="M159" s="2" t="s">
        <v>779</v>
      </c>
      <c r="N159" s="2" t="s">
        <v>48</v>
      </c>
      <c r="O159" s="2" t="s">
        <v>49</v>
      </c>
      <c r="P159" s="2" t="s">
        <v>354</v>
      </c>
      <c r="Q159" s="2"/>
      <c r="R159" s="2" t="s">
        <v>771</v>
      </c>
      <c r="S159" s="2" t="s">
        <v>772</v>
      </c>
      <c r="T159" s="2" t="n">
        <v>41.2</v>
      </c>
      <c r="U159" s="2" t="n">
        <v>6.3</v>
      </c>
      <c r="V159" s="2" t="s">
        <v>52</v>
      </c>
      <c r="W159" s="2" t="n">
        <v>24.28</v>
      </c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customFormat="false" ht="15" hidden="false" customHeight="false" outlineLevel="0" collapsed="false">
      <c r="A160" s="2" t="s">
        <v>784</v>
      </c>
      <c r="B160" s="2" t="s">
        <v>758</v>
      </c>
      <c r="C160" s="2" t="s">
        <v>38</v>
      </c>
      <c r="D160" s="2" t="s">
        <v>774</v>
      </c>
      <c r="E160" s="2" t="s">
        <v>40</v>
      </c>
      <c r="F160" s="2" t="s">
        <v>41</v>
      </c>
      <c r="G160" s="2" t="s">
        <v>42</v>
      </c>
      <c r="H160" s="2" t="s">
        <v>159</v>
      </c>
      <c r="I160" s="2" t="s">
        <v>44</v>
      </c>
      <c r="J160" s="2" t="s">
        <v>160</v>
      </c>
      <c r="K160" s="2"/>
      <c r="L160" s="2"/>
      <c r="M160" s="2" t="s">
        <v>770</v>
      </c>
      <c r="N160" s="2" t="s">
        <v>48</v>
      </c>
      <c r="O160" s="2" t="s">
        <v>163</v>
      </c>
      <c r="P160" s="2" t="s">
        <v>354</v>
      </c>
      <c r="Q160" s="2"/>
      <c r="R160" s="2" t="s">
        <v>771</v>
      </c>
      <c r="S160" s="2" t="s">
        <v>772</v>
      </c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 t="n">
        <v>1.252</v>
      </c>
      <c r="AG160" s="2"/>
      <c r="AH160" s="2"/>
      <c r="AI160" s="2"/>
      <c r="AJ160" s="2"/>
    </row>
    <row r="161" customFormat="false" ht="15" hidden="false" customHeight="false" outlineLevel="0" collapsed="false">
      <c r="A161" s="2" t="s">
        <v>785</v>
      </c>
      <c r="B161" s="2" t="s">
        <v>758</v>
      </c>
      <c r="C161" s="2" t="s">
        <v>38</v>
      </c>
      <c r="D161" s="2" t="s">
        <v>776</v>
      </c>
      <c r="E161" s="2" t="s">
        <v>40</v>
      </c>
      <c r="F161" s="2" t="s">
        <v>41</v>
      </c>
      <c r="G161" s="2" t="s">
        <v>42</v>
      </c>
      <c r="H161" s="2" t="s">
        <v>159</v>
      </c>
      <c r="I161" s="2" t="s">
        <v>44</v>
      </c>
      <c r="J161" s="2" t="s">
        <v>160</v>
      </c>
      <c r="K161" s="2"/>
      <c r="L161" s="2"/>
      <c r="M161" s="2" t="s">
        <v>770</v>
      </c>
      <c r="N161" s="2" t="s">
        <v>48</v>
      </c>
      <c r="O161" s="2" t="s">
        <v>163</v>
      </c>
      <c r="P161" s="2" t="s">
        <v>354</v>
      </c>
      <c r="Q161" s="2"/>
      <c r="R161" s="2" t="s">
        <v>771</v>
      </c>
      <c r="S161" s="2" t="s">
        <v>772</v>
      </c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 t="n">
        <v>1.2674</v>
      </c>
      <c r="AG161" s="2"/>
      <c r="AH161" s="2"/>
      <c r="AI161" s="2"/>
      <c r="AJ161" s="2"/>
    </row>
    <row r="162" customFormat="false" ht="15" hidden="false" customHeight="false" outlineLevel="0" collapsed="false">
      <c r="A162" s="2" t="s">
        <v>786</v>
      </c>
      <c r="B162" s="2" t="s">
        <v>758</v>
      </c>
      <c r="C162" s="2" t="s">
        <v>38</v>
      </c>
      <c r="D162" s="2" t="s">
        <v>778</v>
      </c>
      <c r="E162" s="2" t="s">
        <v>40</v>
      </c>
      <c r="F162" s="2" t="s">
        <v>41</v>
      </c>
      <c r="G162" s="2" t="s">
        <v>42</v>
      </c>
      <c r="H162" s="2" t="s">
        <v>159</v>
      </c>
      <c r="I162" s="2" t="s">
        <v>44</v>
      </c>
      <c r="J162" s="2" t="s">
        <v>160</v>
      </c>
      <c r="K162" s="2"/>
      <c r="L162" s="2"/>
      <c r="M162" s="2" t="s">
        <v>779</v>
      </c>
      <c r="N162" s="2" t="s">
        <v>48</v>
      </c>
      <c r="O162" s="2" t="s">
        <v>163</v>
      </c>
      <c r="P162" s="2" t="s">
        <v>354</v>
      </c>
      <c r="Q162" s="2"/>
      <c r="R162" s="2" t="s">
        <v>771</v>
      </c>
      <c r="S162" s="2" t="s">
        <v>772</v>
      </c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 t="n">
        <v>1.2616</v>
      </c>
      <c r="AG162" s="2"/>
      <c r="AH162" s="2"/>
      <c r="AI162" s="2"/>
      <c r="AJ162" s="2"/>
    </row>
    <row r="163" customFormat="false" ht="15" hidden="false" customHeight="false" outlineLevel="0" collapsed="false">
      <c r="A163" s="2" t="s">
        <v>787</v>
      </c>
      <c r="B163" s="2" t="s">
        <v>758</v>
      </c>
      <c r="C163" s="2" t="s">
        <v>38</v>
      </c>
      <c r="D163" s="2" t="s">
        <v>781</v>
      </c>
      <c r="E163" s="2" t="s">
        <v>40</v>
      </c>
      <c r="F163" s="2" t="s">
        <v>41</v>
      </c>
      <c r="G163" s="2" t="s">
        <v>42</v>
      </c>
      <c r="H163" s="2" t="s">
        <v>159</v>
      </c>
      <c r="I163" s="2" t="s">
        <v>44</v>
      </c>
      <c r="J163" s="2" t="s">
        <v>160</v>
      </c>
      <c r="K163" s="2"/>
      <c r="L163" s="2"/>
      <c r="M163" s="2" t="s">
        <v>779</v>
      </c>
      <c r="N163" s="2" t="s">
        <v>48</v>
      </c>
      <c r="O163" s="2" t="s">
        <v>163</v>
      </c>
      <c r="P163" s="2" t="s">
        <v>354</v>
      </c>
      <c r="Q163" s="2"/>
      <c r="R163" s="2" t="s">
        <v>771</v>
      </c>
      <c r="S163" s="2" t="s">
        <v>772</v>
      </c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 t="n">
        <v>1.2823</v>
      </c>
      <c r="AG163" s="2"/>
      <c r="AH163" s="2"/>
      <c r="AI163" s="2"/>
      <c r="AJ163" s="2"/>
    </row>
    <row r="164" customFormat="false" ht="15" hidden="false" customHeight="false" outlineLevel="0" collapsed="false">
      <c r="A164" s="2" t="s">
        <v>788</v>
      </c>
      <c r="B164" s="2" t="s">
        <v>758</v>
      </c>
      <c r="C164" s="2" t="s">
        <v>38</v>
      </c>
      <c r="D164" s="2" t="s">
        <v>783</v>
      </c>
      <c r="E164" s="2" t="s">
        <v>40</v>
      </c>
      <c r="F164" s="2" t="s">
        <v>41</v>
      </c>
      <c r="G164" s="2" t="s">
        <v>42</v>
      </c>
      <c r="H164" s="2" t="s">
        <v>159</v>
      </c>
      <c r="I164" s="2" t="s">
        <v>44</v>
      </c>
      <c r="J164" s="2" t="s">
        <v>160</v>
      </c>
      <c r="K164" s="2"/>
      <c r="L164" s="2"/>
      <c r="M164" s="2" t="s">
        <v>779</v>
      </c>
      <c r="N164" s="2" t="s">
        <v>48</v>
      </c>
      <c r="O164" s="2" t="s">
        <v>163</v>
      </c>
      <c r="P164" s="2" t="s">
        <v>354</v>
      </c>
      <c r="Q164" s="2"/>
      <c r="R164" s="2" t="s">
        <v>771</v>
      </c>
      <c r="S164" s="2" t="s">
        <v>772</v>
      </c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 t="n">
        <v>1.2646</v>
      </c>
      <c r="AG164" s="2"/>
      <c r="AH164" s="2"/>
      <c r="AI164" s="2"/>
      <c r="AJ164" s="2"/>
    </row>
    <row r="165" customFormat="false" ht="15" hidden="false" customHeight="false" outlineLevel="0" collapsed="false">
      <c r="A165" s="2" t="s">
        <v>789</v>
      </c>
      <c r="B165" s="2" t="s">
        <v>758</v>
      </c>
      <c r="C165" s="2" t="s">
        <v>38</v>
      </c>
      <c r="D165" s="2" t="s">
        <v>790</v>
      </c>
      <c r="E165" s="2" t="s">
        <v>40</v>
      </c>
      <c r="F165" s="2" t="s">
        <v>41</v>
      </c>
      <c r="G165" s="2" t="s">
        <v>42</v>
      </c>
      <c r="H165" s="2" t="s">
        <v>159</v>
      </c>
      <c r="I165" s="2" t="s">
        <v>44</v>
      </c>
      <c r="J165" s="2" t="s">
        <v>160</v>
      </c>
      <c r="K165" s="2"/>
      <c r="L165" s="2"/>
      <c r="M165" s="2" t="s">
        <v>791</v>
      </c>
      <c r="N165" s="2" t="s">
        <v>48</v>
      </c>
      <c r="O165" s="2" t="s">
        <v>163</v>
      </c>
      <c r="P165" s="2" t="s">
        <v>354</v>
      </c>
      <c r="Q165" s="2"/>
      <c r="R165" s="2" t="s">
        <v>792</v>
      </c>
      <c r="S165" s="2" t="s">
        <v>772</v>
      </c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 t="n">
        <v>1.2633</v>
      </c>
      <c r="AG165" s="2"/>
      <c r="AH165" s="2"/>
      <c r="AI165" s="2"/>
      <c r="AJ165" s="2"/>
    </row>
    <row r="166" customFormat="false" ht="15" hidden="false" customHeight="false" outlineLevel="0" collapsed="false">
      <c r="A166" s="2" t="s">
        <v>793</v>
      </c>
      <c r="B166" s="2" t="s">
        <v>758</v>
      </c>
      <c r="C166" s="2" t="s">
        <v>38</v>
      </c>
      <c r="D166" s="2" t="s">
        <v>794</v>
      </c>
      <c r="E166" s="2" t="s">
        <v>40</v>
      </c>
      <c r="F166" s="2" t="s">
        <v>41</v>
      </c>
      <c r="G166" s="2" t="s">
        <v>42</v>
      </c>
      <c r="H166" s="2" t="s">
        <v>159</v>
      </c>
      <c r="I166" s="2" t="s">
        <v>44</v>
      </c>
      <c r="J166" s="2" t="s">
        <v>160</v>
      </c>
      <c r="K166" s="2"/>
      <c r="L166" s="2"/>
      <c r="M166" s="2" t="s">
        <v>791</v>
      </c>
      <c r="N166" s="2" t="s">
        <v>48</v>
      </c>
      <c r="O166" s="2" t="s">
        <v>163</v>
      </c>
      <c r="P166" s="2" t="s">
        <v>354</v>
      </c>
      <c r="Q166" s="2"/>
      <c r="R166" s="2" t="s">
        <v>792</v>
      </c>
      <c r="S166" s="2" t="s">
        <v>772</v>
      </c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 t="n">
        <v>1.281</v>
      </c>
      <c r="AG166" s="2"/>
      <c r="AH166" s="2"/>
      <c r="AI166" s="2"/>
      <c r="AJ166" s="2"/>
    </row>
    <row r="167" customFormat="false" ht="15" hidden="false" customHeight="false" outlineLevel="0" collapsed="false">
      <c r="A167" s="2" t="s">
        <v>795</v>
      </c>
      <c r="B167" s="2" t="s">
        <v>758</v>
      </c>
      <c r="C167" s="2" t="s">
        <v>38</v>
      </c>
      <c r="D167" s="2" t="s">
        <v>796</v>
      </c>
      <c r="E167" s="2" t="s">
        <v>40</v>
      </c>
      <c r="F167" s="2" t="s">
        <v>41</v>
      </c>
      <c r="G167" s="2" t="s">
        <v>42</v>
      </c>
      <c r="H167" s="2" t="s">
        <v>159</v>
      </c>
      <c r="I167" s="2" t="s">
        <v>44</v>
      </c>
      <c r="J167" s="2" t="s">
        <v>160</v>
      </c>
      <c r="K167" s="2"/>
      <c r="L167" s="2"/>
      <c r="M167" s="2" t="s">
        <v>791</v>
      </c>
      <c r="N167" s="2" t="s">
        <v>48</v>
      </c>
      <c r="O167" s="2" t="s">
        <v>163</v>
      </c>
      <c r="P167" s="2" t="s">
        <v>354</v>
      </c>
      <c r="Q167" s="2"/>
      <c r="R167" s="2" t="s">
        <v>792</v>
      </c>
      <c r="S167" s="2" t="s">
        <v>772</v>
      </c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 t="n">
        <v>1.2903</v>
      </c>
      <c r="AG167" s="2"/>
      <c r="AH167" s="2"/>
      <c r="AI167" s="2"/>
      <c r="AJ167" s="2"/>
    </row>
    <row r="168" customFormat="false" ht="15" hidden="false" customHeight="false" outlineLevel="0" collapsed="false">
      <c r="A168" s="2" t="s">
        <v>797</v>
      </c>
      <c r="B168" s="2" t="s">
        <v>758</v>
      </c>
      <c r="C168" s="2" t="s">
        <v>38</v>
      </c>
      <c r="D168" s="2" t="s">
        <v>798</v>
      </c>
      <c r="E168" s="2" t="s">
        <v>40</v>
      </c>
      <c r="F168" s="2" t="s">
        <v>41</v>
      </c>
      <c r="G168" s="2" t="s">
        <v>42</v>
      </c>
      <c r="H168" s="2" t="s">
        <v>159</v>
      </c>
      <c r="I168" s="2" t="s">
        <v>44</v>
      </c>
      <c r="J168" s="2" t="s">
        <v>160</v>
      </c>
      <c r="K168" s="2"/>
      <c r="L168" s="2"/>
      <c r="M168" s="2" t="s">
        <v>799</v>
      </c>
      <c r="N168" s="2" t="s">
        <v>48</v>
      </c>
      <c r="O168" s="2" t="s">
        <v>163</v>
      </c>
      <c r="P168" s="2" t="s">
        <v>354</v>
      </c>
      <c r="Q168" s="2"/>
      <c r="R168" s="2" t="s">
        <v>792</v>
      </c>
      <c r="S168" s="2" t="s">
        <v>772</v>
      </c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 t="n">
        <v>1.2615</v>
      </c>
      <c r="AG168" s="2"/>
      <c r="AH168" s="2"/>
      <c r="AI168" s="2"/>
      <c r="AJ168" s="2"/>
    </row>
    <row r="169" customFormat="false" ht="15" hidden="false" customHeight="false" outlineLevel="0" collapsed="false">
      <c r="A169" s="2" t="s">
        <v>800</v>
      </c>
      <c r="B169" s="2" t="s">
        <v>758</v>
      </c>
      <c r="C169" s="2" t="s">
        <v>38</v>
      </c>
      <c r="D169" s="2" t="s">
        <v>801</v>
      </c>
      <c r="E169" s="2" t="s">
        <v>40</v>
      </c>
      <c r="F169" s="2" t="s">
        <v>41</v>
      </c>
      <c r="G169" s="2" t="s">
        <v>42</v>
      </c>
      <c r="H169" s="2" t="s">
        <v>159</v>
      </c>
      <c r="I169" s="2" t="s">
        <v>44</v>
      </c>
      <c r="J169" s="2" t="s">
        <v>160</v>
      </c>
      <c r="K169" s="2"/>
      <c r="L169" s="2"/>
      <c r="M169" s="2" t="s">
        <v>799</v>
      </c>
      <c r="N169" s="2" t="s">
        <v>48</v>
      </c>
      <c r="O169" s="2" t="s">
        <v>163</v>
      </c>
      <c r="P169" s="2" t="s">
        <v>354</v>
      </c>
      <c r="Q169" s="2"/>
      <c r="R169" s="2" t="s">
        <v>792</v>
      </c>
      <c r="S169" s="2" t="s">
        <v>772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 t="n">
        <v>1.2487</v>
      </c>
      <c r="AG169" s="2"/>
      <c r="AH169" s="2"/>
      <c r="AI169" s="2"/>
      <c r="AJ169" s="2"/>
    </row>
    <row r="170" customFormat="false" ht="15" hidden="false" customHeight="false" outlineLevel="0" collapsed="false">
      <c r="A170" s="2" t="s">
        <v>802</v>
      </c>
      <c r="B170" s="2" t="s">
        <v>803</v>
      </c>
      <c r="C170" s="2" t="s">
        <v>38</v>
      </c>
      <c r="D170" s="2" t="s">
        <v>804</v>
      </c>
      <c r="E170" s="2" t="s">
        <v>40</v>
      </c>
      <c r="F170" s="2" t="s">
        <v>41</v>
      </c>
      <c r="G170" s="2" t="s">
        <v>42</v>
      </c>
      <c r="H170" s="2" t="s">
        <v>159</v>
      </c>
      <c r="I170" s="2" t="s">
        <v>44</v>
      </c>
      <c r="J170" s="2" t="s">
        <v>160</v>
      </c>
      <c r="K170" s="2"/>
      <c r="L170" s="2" t="s">
        <v>805</v>
      </c>
      <c r="M170" s="2" t="s">
        <v>806</v>
      </c>
      <c r="N170" s="2" t="s">
        <v>48</v>
      </c>
      <c r="O170" s="2" t="s">
        <v>163</v>
      </c>
      <c r="P170" s="2" t="s">
        <v>354</v>
      </c>
      <c r="Q170" s="2"/>
      <c r="R170" s="2" t="s">
        <v>762</v>
      </c>
      <c r="S170" s="2" t="s">
        <v>763</v>
      </c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 t="n">
        <v>1.3</v>
      </c>
      <c r="AG170" s="2"/>
      <c r="AH170" s="2"/>
      <c r="AI170" s="2"/>
      <c r="AJ170" s="2"/>
    </row>
    <row r="171" customFormat="false" ht="15" hidden="false" customHeight="false" outlineLevel="0" collapsed="false">
      <c r="A171" s="2" t="s">
        <v>807</v>
      </c>
      <c r="B171" s="2" t="s">
        <v>808</v>
      </c>
      <c r="C171" s="2" t="s">
        <v>38</v>
      </c>
      <c r="D171" s="2" t="s">
        <v>809</v>
      </c>
      <c r="E171" s="2" t="s">
        <v>40</v>
      </c>
      <c r="F171" s="2" t="s">
        <v>41</v>
      </c>
      <c r="G171" s="2" t="s">
        <v>42</v>
      </c>
      <c r="H171" s="2" t="s">
        <v>457</v>
      </c>
      <c r="I171" s="2" t="s">
        <v>44</v>
      </c>
      <c r="J171" s="2" t="s">
        <v>160</v>
      </c>
      <c r="K171" s="2"/>
      <c r="L171" s="2" t="s">
        <v>810</v>
      </c>
      <c r="M171" s="2" t="s">
        <v>761</v>
      </c>
      <c r="N171" s="2" t="s">
        <v>48</v>
      </c>
      <c r="O171" s="2" t="s">
        <v>49</v>
      </c>
      <c r="P171" s="2" t="s">
        <v>354</v>
      </c>
      <c r="Q171" s="2" t="s">
        <v>719</v>
      </c>
      <c r="R171" s="2" t="s">
        <v>720</v>
      </c>
      <c r="S171" s="2" t="s">
        <v>721</v>
      </c>
      <c r="T171" s="2" t="n">
        <v>38.2</v>
      </c>
      <c r="U171" s="2" t="n">
        <v>5.6</v>
      </c>
      <c r="V171" s="2" t="s">
        <v>52</v>
      </c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customFormat="false" ht="15" hidden="false" customHeight="false" outlineLevel="0" collapsed="false">
      <c r="A172" s="2" t="s">
        <v>811</v>
      </c>
      <c r="B172" s="2" t="s">
        <v>808</v>
      </c>
      <c r="C172" s="2" t="s">
        <v>38</v>
      </c>
      <c r="D172" s="2" t="s">
        <v>812</v>
      </c>
      <c r="E172" s="2" t="s">
        <v>40</v>
      </c>
      <c r="F172" s="2" t="s">
        <v>41</v>
      </c>
      <c r="G172" s="2" t="s">
        <v>42</v>
      </c>
      <c r="H172" s="2" t="s">
        <v>457</v>
      </c>
      <c r="I172" s="2" t="s">
        <v>44</v>
      </c>
      <c r="J172" s="2" t="s">
        <v>160</v>
      </c>
      <c r="K172" s="2"/>
      <c r="L172" s="2" t="s">
        <v>813</v>
      </c>
      <c r="M172" s="2" t="s">
        <v>761</v>
      </c>
      <c r="N172" s="2" t="s">
        <v>48</v>
      </c>
      <c r="O172" s="2" t="s">
        <v>49</v>
      </c>
      <c r="P172" s="2" t="s">
        <v>354</v>
      </c>
      <c r="Q172" s="2" t="s">
        <v>719</v>
      </c>
      <c r="R172" s="2" t="s">
        <v>720</v>
      </c>
      <c r="S172" s="2" t="s">
        <v>721</v>
      </c>
      <c r="T172" s="2" t="n">
        <v>40.7</v>
      </c>
      <c r="U172" s="2" t="n">
        <v>6.3</v>
      </c>
      <c r="V172" s="2" t="s">
        <v>52</v>
      </c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customFormat="false" ht="15" hidden="false" customHeight="false" outlineLevel="0" collapsed="false">
      <c r="A173" s="2" t="s">
        <v>814</v>
      </c>
      <c r="B173" s="2" t="s">
        <v>808</v>
      </c>
      <c r="C173" s="2" t="s">
        <v>38</v>
      </c>
      <c r="D173" s="2" t="s">
        <v>815</v>
      </c>
      <c r="E173" s="2" t="s">
        <v>40</v>
      </c>
      <c r="F173" s="2" t="s">
        <v>41</v>
      </c>
      <c r="G173" s="2" t="s">
        <v>42</v>
      </c>
      <c r="H173" s="2" t="s">
        <v>175</v>
      </c>
      <c r="I173" s="2" t="s">
        <v>44</v>
      </c>
      <c r="J173" s="2" t="s">
        <v>160</v>
      </c>
      <c r="K173" s="2"/>
      <c r="L173" s="2" t="s">
        <v>816</v>
      </c>
      <c r="M173" s="2" t="s">
        <v>761</v>
      </c>
      <c r="N173" s="2" t="s">
        <v>48</v>
      </c>
      <c r="O173" s="2" t="s">
        <v>49</v>
      </c>
      <c r="P173" s="2" t="s">
        <v>354</v>
      </c>
      <c r="Q173" s="2" t="s">
        <v>817</v>
      </c>
      <c r="R173" s="2" t="s">
        <v>762</v>
      </c>
      <c r="S173" s="2" t="s">
        <v>763</v>
      </c>
      <c r="T173" s="2" t="n">
        <v>41.6</v>
      </c>
      <c r="U173" s="2" t="n">
        <v>6.9</v>
      </c>
      <c r="V173" s="2" t="s">
        <v>52</v>
      </c>
      <c r="W173" s="2" t="n">
        <v>28.05</v>
      </c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customFormat="false" ht="15" hidden="false" customHeight="false" outlineLevel="0" collapsed="false">
      <c r="A174" s="2" t="s">
        <v>818</v>
      </c>
      <c r="B174" s="2" t="s">
        <v>819</v>
      </c>
      <c r="C174" s="2" t="s">
        <v>38</v>
      </c>
      <c r="D174" s="2" t="s">
        <v>820</v>
      </c>
      <c r="E174" s="2" t="s">
        <v>40</v>
      </c>
      <c r="F174" s="2" t="s">
        <v>41</v>
      </c>
      <c r="G174" s="2" t="s">
        <v>42</v>
      </c>
      <c r="H174" s="2" t="s">
        <v>457</v>
      </c>
      <c r="I174" s="2" t="s">
        <v>44</v>
      </c>
      <c r="J174" s="2" t="s">
        <v>160</v>
      </c>
      <c r="K174" s="2"/>
      <c r="L174" s="2" t="s">
        <v>821</v>
      </c>
      <c r="M174" s="2" t="s">
        <v>806</v>
      </c>
      <c r="N174" s="2" t="s">
        <v>48</v>
      </c>
      <c r="O174" s="2" t="s">
        <v>49</v>
      </c>
      <c r="P174" s="2" t="s">
        <v>354</v>
      </c>
      <c r="Q174" s="2" t="s">
        <v>719</v>
      </c>
      <c r="R174" s="2" t="s">
        <v>720</v>
      </c>
      <c r="S174" s="2" t="s">
        <v>721</v>
      </c>
      <c r="T174" s="2" t="n">
        <v>39.6</v>
      </c>
      <c r="U174" s="2" t="n">
        <v>7.2</v>
      </c>
      <c r="V174" s="2" t="s">
        <v>52</v>
      </c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customFormat="false" ht="15" hidden="false" customHeight="false" outlineLevel="0" collapsed="false">
      <c r="A175" s="2" t="s">
        <v>822</v>
      </c>
      <c r="B175" s="2" t="s">
        <v>819</v>
      </c>
      <c r="C175" s="2" t="s">
        <v>38</v>
      </c>
      <c r="D175" s="2" t="s">
        <v>823</v>
      </c>
      <c r="E175" s="2" t="s">
        <v>40</v>
      </c>
      <c r="F175" s="2" t="s">
        <v>41</v>
      </c>
      <c r="G175" s="2" t="s">
        <v>42</v>
      </c>
      <c r="H175" s="2" t="s">
        <v>457</v>
      </c>
      <c r="I175" s="2" t="s">
        <v>44</v>
      </c>
      <c r="J175" s="2" t="s">
        <v>160</v>
      </c>
      <c r="K175" s="2"/>
      <c r="L175" s="2" t="s">
        <v>824</v>
      </c>
      <c r="M175" s="2" t="s">
        <v>806</v>
      </c>
      <c r="N175" s="2" t="s">
        <v>48</v>
      </c>
      <c r="O175" s="2" t="s">
        <v>49</v>
      </c>
      <c r="P175" s="2" t="s">
        <v>354</v>
      </c>
      <c r="Q175" s="2" t="s">
        <v>719</v>
      </c>
      <c r="R175" s="2" t="s">
        <v>720</v>
      </c>
      <c r="S175" s="2" t="s">
        <v>721</v>
      </c>
      <c r="T175" s="2" t="n">
        <v>39.3</v>
      </c>
      <c r="U175" s="2" t="n">
        <v>7.1</v>
      </c>
      <c r="V175" s="2" t="s">
        <v>52</v>
      </c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customFormat="false" ht="15" hidden="false" customHeight="false" outlineLevel="0" collapsed="false">
      <c r="A176" s="2" t="s">
        <v>825</v>
      </c>
      <c r="B176" s="2" t="s">
        <v>819</v>
      </c>
      <c r="C176" s="2" t="s">
        <v>38</v>
      </c>
      <c r="D176" s="2" t="s">
        <v>826</v>
      </c>
      <c r="E176" s="2" t="s">
        <v>40</v>
      </c>
      <c r="F176" s="2" t="s">
        <v>41</v>
      </c>
      <c r="G176" s="2" t="s">
        <v>42</v>
      </c>
      <c r="H176" s="2" t="s">
        <v>175</v>
      </c>
      <c r="I176" s="2" t="s">
        <v>44</v>
      </c>
      <c r="J176" s="2" t="s">
        <v>160</v>
      </c>
      <c r="K176" s="2"/>
      <c r="L176" s="2" t="s">
        <v>827</v>
      </c>
      <c r="M176" s="2" t="s">
        <v>806</v>
      </c>
      <c r="N176" s="2" t="s">
        <v>48</v>
      </c>
      <c r="O176" s="2" t="s">
        <v>49</v>
      </c>
      <c r="P176" s="2" t="s">
        <v>354</v>
      </c>
      <c r="Q176" s="2" t="s">
        <v>817</v>
      </c>
      <c r="R176" s="2" t="s">
        <v>762</v>
      </c>
      <c r="S176" s="2" t="s">
        <v>763</v>
      </c>
      <c r="T176" s="2" t="n">
        <v>39</v>
      </c>
      <c r="U176" s="2" t="n">
        <v>7.3</v>
      </c>
      <c r="V176" s="2" t="s">
        <v>52</v>
      </c>
      <c r="W176" s="2" t="n">
        <v>23.68</v>
      </c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customFormat="false" ht="15" hidden="false" customHeight="false" outlineLevel="0" collapsed="false">
      <c r="A177" s="2" t="s">
        <v>828</v>
      </c>
      <c r="B177" s="2" t="s">
        <v>829</v>
      </c>
      <c r="C177" s="2" t="s">
        <v>38</v>
      </c>
      <c r="D177" s="2" t="s">
        <v>830</v>
      </c>
      <c r="E177" s="2" t="s">
        <v>40</v>
      </c>
      <c r="F177" s="2" t="s">
        <v>41</v>
      </c>
      <c r="G177" s="2" t="s">
        <v>42</v>
      </c>
      <c r="H177" s="2" t="s">
        <v>175</v>
      </c>
      <c r="I177" s="2" t="s">
        <v>44</v>
      </c>
      <c r="J177" s="2" t="s">
        <v>160</v>
      </c>
      <c r="K177" s="2"/>
      <c r="L177" s="2" t="s">
        <v>831</v>
      </c>
      <c r="M177" s="2" t="s">
        <v>767</v>
      </c>
      <c r="N177" s="2" t="s">
        <v>48</v>
      </c>
      <c r="O177" s="2" t="s">
        <v>49</v>
      </c>
      <c r="P177" s="2" t="s">
        <v>354</v>
      </c>
      <c r="Q177" s="2" t="s">
        <v>817</v>
      </c>
      <c r="R177" s="2" t="s">
        <v>762</v>
      </c>
      <c r="S177" s="2" t="s">
        <v>763</v>
      </c>
      <c r="T177" s="2" t="n">
        <v>41.6</v>
      </c>
      <c r="U177" s="2" t="n">
        <v>7.1</v>
      </c>
      <c r="V177" s="2" t="s">
        <v>52</v>
      </c>
      <c r="W177" s="2" t="n">
        <v>28.04</v>
      </c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customFormat="false" ht="15" hidden="false" customHeight="false" outlineLevel="0" collapsed="false">
      <c r="A178" s="2" t="s">
        <v>832</v>
      </c>
      <c r="B178" s="2" t="s">
        <v>833</v>
      </c>
      <c r="C178" s="2" t="s">
        <v>38</v>
      </c>
      <c r="D178" s="2" t="s">
        <v>834</v>
      </c>
      <c r="E178" s="2" t="s">
        <v>40</v>
      </c>
      <c r="F178" s="2" t="s">
        <v>41</v>
      </c>
      <c r="G178" s="2" t="s">
        <v>42</v>
      </c>
      <c r="H178" s="2" t="s">
        <v>159</v>
      </c>
      <c r="I178" s="2" t="s">
        <v>44</v>
      </c>
      <c r="J178" s="2" t="s">
        <v>160</v>
      </c>
      <c r="K178" s="2"/>
      <c r="L178" s="2" t="s">
        <v>835</v>
      </c>
      <c r="M178" s="2" t="s">
        <v>836</v>
      </c>
      <c r="N178" s="2" t="s">
        <v>48</v>
      </c>
      <c r="O178" s="2" t="s">
        <v>163</v>
      </c>
      <c r="P178" s="2" t="s">
        <v>354</v>
      </c>
      <c r="Q178" s="2"/>
      <c r="R178" s="2" t="s">
        <v>762</v>
      </c>
      <c r="S178" s="2" t="s">
        <v>763</v>
      </c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 t="n">
        <v>1.3</v>
      </c>
      <c r="AG178" s="2"/>
      <c r="AH178" s="2"/>
      <c r="AI178" s="2"/>
      <c r="AJ178" s="2"/>
    </row>
    <row r="179" customFormat="false" ht="15" hidden="false" customHeight="false" outlineLevel="0" collapsed="false">
      <c r="A179" s="2" t="s">
        <v>837</v>
      </c>
      <c r="B179" s="2" t="s">
        <v>838</v>
      </c>
      <c r="C179" s="2" t="s">
        <v>38</v>
      </c>
      <c r="D179" s="2" t="s">
        <v>839</v>
      </c>
      <c r="E179" s="2" t="s">
        <v>40</v>
      </c>
      <c r="F179" s="2" t="s">
        <v>41</v>
      </c>
      <c r="G179" s="2" t="s">
        <v>42</v>
      </c>
      <c r="H179" s="2" t="s">
        <v>175</v>
      </c>
      <c r="I179" s="2" t="s">
        <v>44</v>
      </c>
      <c r="J179" s="2" t="s">
        <v>160</v>
      </c>
      <c r="K179" s="2"/>
      <c r="L179" s="2" t="s">
        <v>840</v>
      </c>
      <c r="M179" s="2" t="s">
        <v>836</v>
      </c>
      <c r="N179" s="2" t="s">
        <v>48</v>
      </c>
      <c r="O179" s="2" t="s">
        <v>49</v>
      </c>
      <c r="P179" s="2" t="s">
        <v>354</v>
      </c>
      <c r="Q179" s="2" t="s">
        <v>817</v>
      </c>
      <c r="R179" s="2" t="s">
        <v>762</v>
      </c>
      <c r="S179" s="2" t="s">
        <v>763</v>
      </c>
      <c r="T179" s="2" t="n">
        <v>42.8</v>
      </c>
      <c r="U179" s="2" t="n">
        <v>7.2</v>
      </c>
      <c r="V179" s="2" t="s">
        <v>52</v>
      </c>
      <c r="W179" s="2" t="n">
        <v>24.29</v>
      </c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customFormat="false" ht="15" hidden="false" customHeight="false" outlineLevel="0" collapsed="false">
      <c r="A180" s="2" t="s">
        <v>841</v>
      </c>
      <c r="B180" s="2" t="s">
        <v>842</v>
      </c>
      <c r="C180" s="2" t="s">
        <v>38</v>
      </c>
      <c r="D180" s="2" t="s">
        <v>790</v>
      </c>
      <c r="E180" s="2" t="s">
        <v>40</v>
      </c>
      <c r="F180" s="2" t="s">
        <v>41</v>
      </c>
      <c r="G180" s="2" t="s">
        <v>42</v>
      </c>
      <c r="H180" s="2" t="s">
        <v>175</v>
      </c>
      <c r="I180" s="2" t="s">
        <v>44</v>
      </c>
      <c r="J180" s="2" t="s">
        <v>160</v>
      </c>
      <c r="K180" s="2"/>
      <c r="L180" s="2" t="s">
        <v>843</v>
      </c>
      <c r="M180" s="2" t="s">
        <v>791</v>
      </c>
      <c r="N180" s="2" t="s">
        <v>48</v>
      </c>
      <c r="O180" s="2" t="s">
        <v>49</v>
      </c>
      <c r="P180" s="2" t="s">
        <v>354</v>
      </c>
      <c r="Q180" s="2"/>
      <c r="R180" s="2" t="s">
        <v>792</v>
      </c>
      <c r="S180" s="2" t="s">
        <v>772</v>
      </c>
      <c r="T180" s="2" t="n">
        <v>48.7</v>
      </c>
      <c r="U180" s="2" t="n">
        <v>6.5</v>
      </c>
      <c r="V180" s="2" t="s">
        <v>52</v>
      </c>
      <c r="W180" s="2" t="n">
        <v>14.53</v>
      </c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customFormat="false" ht="15" hidden="false" customHeight="false" outlineLevel="0" collapsed="false">
      <c r="A181" s="2" t="s">
        <v>844</v>
      </c>
      <c r="B181" s="2" t="s">
        <v>842</v>
      </c>
      <c r="C181" s="2" t="s">
        <v>38</v>
      </c>
      <c r="D181" s="2" t="s">
        <v>794</v>
      </c>
      <c r="E181" s="2" t="s">
        <v>40</v>
      </c>
      <c r="F181" s="2" t="s">
        <v>41</v>
      </c>
      <c r="G181" s="2" t="s">
        <v>42</v>
      </c>
      <c r="H181" s="2" t="s">
        <v>175</v>
      </c>
      <c r="I181" s="2" t="s">
        <v>44</v>
      </c>
      <c r="J181" s="2" t="s">
        <v>160</v>
      </c>
      <c r="K181" s="2"/>
      <c r="L181" s="2" t="s">
        <v>845</v>
      </c>
      <c r="M181" s="2" t="s">
        <v>791</v>
      </c>
      <c r="N181" s="2" t="s">
        <v>48</v>
      </c>
      <c r="O181" s="2" t="s">
        <v>49</v>
      </c>
      <c r="P181" s="2" t="s">
        <v>354</v>
      </c>
      <c r="Q181" s="2"/>
      <c r="R181" s="2" t="s">
        <v>792</v>
      </c>
      <c r="S181" s="2" t="s">
        <v>772</v>
      </c>
      <c r="T181" s="2" t="n">
        <v>40.9</v>
      </c>
      <c r="U181" s="2" t="n">
        <v>6.8</v>
      </c>
      <c r="V181" s="2" t="s">
        <v>52</v>
      </c>
      <c r="W181" s="2" t="n">
        <v>26.42</v>
      </c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customFormat="false" ht="15" hidden="false" customHeight="false" outlineLevel="0" collapsed="false">
      <c r="A182" s="2" t="s">
        <v>846</v>
      </c>
      <c r="B182" s="2" t="s">
        <v>842</v>
      </c>
      <c r="C182" s="2" t="s">
        <v>38</v>
      </c>
      <c r="D182" s="2" t="s">
        <v>796</v>
      </c>
      <c r="E182" s="2" t="s">
        <v>40</v>
      </c>
      <c r="F182" s="2" t="s">
        <v>41</v>
      </c>
      <c r="G182" s="2" t="s">
        <v>42</v>
      </c>
      <c r="H182" s="2" t="s">
        <v>175</v>
      </c>
      <c r="I182" s="2" t="s">
        <v>44</v>
      </c>
      <c r="J182" s="2" t="s">
        <v>160</v>
      </c>
      <c r="K182" s="2"/>
      <c r="L182" s="2" t="s">
        <v>847</v>
      </c>
      <c r="M182" s="2" t="s">
        <v>791</v>
      </c>
      <c r="N182" s="2" t="s">
        <v>48</v>
      </c>
      <c r="O182" s="2" t="s">
        <v>49</v>
      </c>
      <c r="P182" s="2" t="s">
        <v>354</v>
      </c>
      <c r="Q182" s="2"/>
      <c r="R182" s="2" t="s">
        <v>792</v>
      </c>
      <c r="S182" s="2" t="s">
        <v>772</v>
      </c>
      <c r="T182" s="2" t="n">
        <v>37.8</v>
      </c>
      <c r="U182" s="2" t="n">
        <v>6.8</v>
      </c>
      <c r="V182" s="2" t="s">
        <v>52</v>
      </c>
      <c r="W182" s="2" t="n">
        <v>21.16</v>
      </c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customFormat="false" ht="15" hidden="false" customHeight="false" outlineLevel="0" collapsed="false">
      <c r="A183" s="2" t="s">
        <v>848</v>
      </c>
      <c r="B183" s="2" t="s">
        <v>849</v>
      </c>
      <c r="C183" s="2" t="s">
        <v>38</v>
      </c>
      <c r="D183" s="2" t="s">
        <v>850</v>
      </c>
      <c r="E183" s="2" t="s">
        <v>40</v>
      </c>
      <c r="F183" s="2" t="s">
        <v>41</v>
      </c>
      <c r="G183" s="2" t="s">
        <v>42</v>
      </c>
      <c r="H183" s="2" t="s">
        <v>175</v>
      </c>
      <c r="I183" s="2" t="s">
        <v>44</v>
      </c>
      <c r="J183" s="2" t="s">
        <v>160</v>
      </c>
      <c r="K183" s="2"/>
      <c r="L183" s="2" t="s">
        <v>851</v>
      </c>
      <c r="M183" s="2" t="s">
        <v>799</v>
      </c>
      <c r="N183" s="2" t="s">
        <v>48</v>
      </c>
      <c r="O183" s="2" t="s">
        <v>49</v>
      </c>
      <c r="P183" s="2" t="s">
        <v>354</v>
      </c>
      <c r="Q183" s="2"/>
      <c r="R183" s="2" t="s">
        <v>792</v>
      </c>
      <c r="S183" s="2" t="s">
        <v>772</v>
      </c>
      <c r="T183" s="2" t="n">
        <v>42.6</v>
      </c>
      <c r="U183" s="2" t="n">
        <v>7.2</v>
      </c>
      <c r="V183" s="2" t="s">
        <v>52</v>
      </c>
      <c r="W183" s="2" t="n">
        <v>25.81</v>
      </c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customFormat="false" ht="15" hidden="false" customHeight="false" outlineLevel="0" collapsed="false">
      <c r="A184" s="2" t="s">
        <v>852</v>
      </c>
      <c r="B184" s="2" t="s">
        <v>849</v>
      </c>
      <c r="C184" s="2" t="s">
        <v>38</v>
      </c>
      <c r="D184" s="2" t="s">
        <v>798</v>
      </c>
      <c r="E184" s="2" t="s">
        <v>40</v>
      </c>
      <c r="F184" s="2" t="s">
        <v>41</v>
      </c>
      <c r="G184" s="2" t="s">
        <v>42</v>
      </c>
      <c r="H184" s="2" t="s">
        <v>175</v>
      </c>
      <c r="I184" s="2" t="s">
        <v>44</v>
      </c>
      <c r="J184" s="2" t="s">
        <v>160</v>
      </c>
      <c r="K184" s="2"/>
      <c r="L184" s="2" t="s">
        <v>853</v>
      </c>
      <c r="M184" s="2" t="s">
        <v>799</v>
      </c>
      <c r="N184" s="2" t="s">
        <v>48</v>
      </c>
      <c r="O184" s="2" t="s">
        <v>49</v>
      </c>
      <c r="P184" s="2" t="s">
        <v>354</v>
      </c>
      <c r="Q184" s="2"/>
      <c r="R184" s="2" t="s">
        <v>792</v>
      </c>
      <c r="S184" s="2" t="s">
        <v>772</v>
      </c>
      <c r="T184" s="2" t="n">
        <v>42.8</v>
      </c>
      <c r="U184" s="2" t="n">
        <v>7.3</v>
      </c>
      <c r="V184" s="2" t="s">
        <v>52</v>
      </c>
      <c r="W184" s="2" t="n">
        <v>24.69</v>
      </c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customFormat="false" ht="15" hidden="false" customHeight="false" outlineLevel="0" collapsed="false">
      <c r="A185" s="2" t="s">
        <v>854</v>
      </c>
      <c r="B185" s="2" t="s">
        <v>849</v>
      </c>
      <c r="C185" s="2" t="s">
        <v>38</v>
      </c>
      <c r="D185" s="2" t="s">
        <v>801</v>
      </c>
      <c r="E185" s="2" t="s">
        <v>40</v>
      </c>
      <c r="F185" s="2" t="s">
        <v>41</v>
      </c>
      <c r="G185" s="2" t="s">
        <v>42</v>
      </c>
      <c r="H185" s="2" t="s">
        <v>175</v>
      </c>
      <c r="I185" s="2" t="s">
        <v>44</v>
      </c>
      <c r="J185" s="2" t="s">
        <v>160</v>
      </c>
      <c r="K185" s="2"/>
      <c r="L185" s="2" t="s">
        <v>855</v>
      </c>
      <c r="M185" s="2" t="s">
        <v>799</v>
      </c>
      <c r="N185" s="2" t="s">
        <v>48</v>
      </c>
      <c r="O185" s="2" t="s">
        <v>49</v>
      </c>
      <c r="P185" s="2" t="s">
        <v>354</v>
      </c>
      <c r="Q185" s="2"/>
      <c r="R185" s="2" t="s">
        <v>792</v>
      </c>
      <c r="S185" s="2" t="s">
        <v>772</v>
      </c>
      <c r="T185" s="2" t="n">
        <v>42.8</v>
      </c>
      <c r="U185" s="2" t="n">
        <v>7.4</v>
      </c>
      <c r="V185" s="2" t="s">
        <v>52</v>
      </c>
      <c r="W185" s="2" t="n">
        <v>26.08</v>
      </c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customFormat="false" ht="15" hidden="false" customHeight="false" outlineLevel="0" collapsed="false">
      <c r="A186" s="2" t="s">
        <v>856</v>
      </c>
      <c r="B186" s="2" t="s">
        <v>857</v>
      </c>
      <c r="C186" s="2" t="s">
        <v>38</v>
      </c>
      <c r="D186" s="2" t="s">
        <v>858</v>
      </c>
      <c r="E186" s="2" t="s">
        <v>40</v>
      </c>
      <c r="F186" s="2" t="s">
        <v>41</v>
      </c>
      <c r="G186" s="2"/>
      <c r="H186" s="2" t="s">
        <v>159</v>
      </c>
      <c r="I186" s="2" t="s">
        <v>44</v>
      </c>
      <c r="J186" s="2" t="s">
        <v>160</v>
      </c>
      <c r="K186" s="2"/>
      <c r="L186" s="2"/>
      <c r="M186" s="2" t="s">
        <v>859</v>
      </c>
      <c r="N186" s="2" t="s">
        <v>48</v>
      </c>
      <c r="O186" s="2" t="s">
        <v>163</v>
      </c>
      <c r="P186" s="2" t="s">
        <v>354</v>
      </c>
      <c r="Q186" s="2" t="s">
        <v>860</v>
      </c>
      <c r="R186" s="2" t="s">
        <v>861</v>
      </c>
      <c r="S186" s="2" t="s">
        <v>862</v>
      </c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 t="n">
        <v>1.2876</v>
      </c>
      <c r="AG186" s="2"/>
      <c r="AH186" s="2"/>
      <c r="AI186" s="2"/>
      <c r="AJ186" s="2"/>
    </row>
    <row r="187" customFormat="false" ht="15" hidden="false" customHeight="false" outlineLevel="0" collapsed="false">
      <c r="A187" s="2" t="s">
        <v>863</v>
      </c>
      <c r="B187" s="2" t="s">
        <v>857</v>
      </c>
      <c r="C187" s="2" t="s">
        <v>38</v>
      </c>
      <c r="D187" s="2" t="s">
        <v>864</v>
      </c>
      <c r="E187" s="2" t="s">
        <v>40</v>
      </c>
      <c r="F187" s="2" t="s">
        <v>41</v>
      </c>
      <c r="G187" s="2"/>
      <c r="H187" s="2" t="s">
        <v>159</v>
      </c>
      <c r="I187" s="2" t="s">
        <v>44</v>
      </c>
      <c r="J187" s="2" t="s">
        <v>160</v>
      </c>
      <c r="K187" s="2"/>
      <c r="L187" s="2"/>
      <c r="M187" s="2" t="s">
        <v>859</v>
      </c>
      <c r="N187" s="2" t="s">
        <v>48</v>
      </c>
      <c r="O187" s="2" t="s">
        <v>163</v>
      </c>
      <c r="P187" s="2" t="s">
        <v>354</v>
      </c>
      <c r="Q187" s="2" t="s">
        <v>860</v>
      </c>
      <c r="R187" s="2" t="s">
        <v>861</v>
      </c>
      <c r="S187" s="2" t="s">
        <v>862</v>
      </c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 t="n">
        <v>1.2773</v>
      </c>
      <c r="AG187" s="2"/>
      <c r="AH187" s="2"/>
      <c r="AI187" s="2"/>
      <c r="AJ187" s="2"/>
    </row>
    <row r="188" customFormat="false" ht="15" hidden="false" customHeight="false" outlineLevel="0" collapsed="false">
      <c r="A188" s="2" t="s">
        <v>865</v>
      </c>
      <c r="B188" s="2" t="s">
        <v>857</v>
      </c>
      <c r="C188" s="2" t="s">
        <v>38</v>
      </c>
      <c r="D188" s="2" t="s">
        <v>866</v>
      </c>
      <c r="E188" s="2" t="s">
        <v>40</v>
      </c>
      <c r="F188" s="2" t="s">
        <v>41</v>
      </c>
      <c r="G188" s="2"/>
      <c r="H188" s="2" t="s">
        <v>159</v>
      </c>
      <c r="I188" s="2" t="s">
        <v>44</v>
      </c>
      <c r="J188" s="2" t="s">
        <v>160</v>
      </c>
      <c r="K188" s="2"/>
      <c r="L188" s="2"/>
      <c r="M188" s="2" t="s">
        <v>859</v>
      </c>
      <c r="N188" s="2" t="s">
        <v>48</v>
      </c>
      <c r="O188" s="2" t="s">
        <v>163</v>
      </c>
      <c r="P188" s="2" t="s">
        <v>354</v>
      </c>
      <c r="Q188" s="2" t="s">
        <v>860</v>
      </c>
      <c r="R188" s="2" t="s">
        <v>861</v>
      </c>
      <c r="S188" s="2" t="s">
        <v>862</v>
      </c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 t="n">
        <v>1.2881</v>
      </c>
      <c r="AG188" s="2"/>
      <c r="AH188" s="2"/>
      <c r="AI188" s="2"/>
      <c r="AJ188" s="2"/>
    </row>
    <row r="189" customFormat="false" ht="15" hidden="false" customHeight="false" outlineLevel="0" collapsed="false">
      <c r="A189" s="2" t="s">
        <v>867</v>
      </c>
      <c r="B189" s="2" t="s">
        <v>868</v>
      </c>
      <c r="C189" s="2" t="s">
        <v>38</v>
      </c>
      <c r="D189" s="2" t="s">
        <v>869</v>
      </c>
      <c r="E189" s="2" t="s">
        <v>40</v>
      </c>
      <c r="F189" s="2" t="s">
        <v>41</v>
      </c>
      <c r="G189" s="2" t="s">
        <v>42</v>
      </c>
      <c r="H189" s="2" t="s">
        <v>175</v>
      </c>
      <c r="I189" s="2" t="s">
        <v>44</v>
      </c>
      <c r="J189" s="2" t="s">
        <v>160</v>
      </c>
      <c r="K189" s="2"/>
      <c r="L189" s="2"/>
      <c r="M189" s="2" t="s">
        <v>859</v>
      </c>
      <c r="N189" s="2" t="s">
        <v>48</v>
      </c>
      <c r="O189" s="2" t="s">
        <v>49</v>
      </c>
      <c r="P189" s="2" t="s">
        <v>354</v>
      </c>
      <c r="Q189" s="2" t="s">
        <v>860</v>
      </c>
      <c r="R189" s="2" t="s">
        <v>861</v>
      </c>
      <c r="S189" s="2" t="s">
        <v>862</v>
      </c>
      <c r="T189" s="2" t="n">
        <v>42.8</v>
      </c>
      <c r="U189" s="2" t="n">
        <v>7.1</v>
      </c>
      <c r="V189" s="2" t="s">
        <v>52</v>
      </c>
      <c r="W189" s="2" t="n">
        <v>22.48</v>
      </c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customFormat="false" ht="15" hidden="false" customHeight="false" outlineLevel="0" collapsed="false">
      <c r="A190" s="2" t="s">
        <v>870</v>
      </c>
      <c r="B190" s="2" t="s">
        <v>868</v>
      </c>
      <c r="C190" s="2" t="s">
        <v>38</v>
      </c>
      <c r="D190" s="2" t="s">
        <v>871</v>
      </c>
      <c r="E190" s="2" t="s">
        <v>40</v>
      </c>
      <c r="F190" s="2" t="s">
        <v>41</v>
      </c>
      <c r="G190" s="2" t="s">
        <v>42</v>
      </c>
      <c r="H190" s="2" t="s">
        <v>175</v>
      </c>
      <c r="I190" s="2" t="s">
        <v>44</v>
      </c>
      <c r="J190" s="2" t="s">
        <v>160</v>
      </c>
      <c r="K190" s="2"/>
      <c r="L190" s="2"/>
      <c r="M190" s="2" t="s">
        <v>859</v>
      </c>
      <c r="N190" s="2" t="s">
        <v>48</v>
      </c>
      <c r="O190" s="2" t="s">
        <v>49</v>
      </c>
      <c r="P190" s="2" t="s">
        <v>354</v>
      </c>
      <c r="Q190" s="2" t="s">
        <v>860</v>
      </c>
      <c r="R190" s="2" t="s">
        <v>861</v>
      </c>
      <c r="S190" s="2" t="s">
        <v>862</v>
      </c>
      <c r="T190" s="2" t="n">
        <v>43.3</v>
      </c>
      <c r="U190" s="2" t="n">
        <v>7.3</v>
      </c>
      <c r="V190" s="2" t="s">
        <v>52</v>
      </c>
      <c r="W190" s="2" t="n">
        <v>22.16</v>
      </c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customFormat="false" ht="15" hidden="false" customHeight="false" outlineLevel="0" collapsed="false">
      <c r="A191" s="2" t="s">
        <v>872</v>
      </c>
      <c r="B191" s="2" t="s">
        <v>868</v>
      </c>
      <c r="C191" s="2" t="s">
        <v>38</v>
      </c>
      <c r="D191" s="2" t="s">
        <v>873</v>
      </c>
      <c r="E191" s="2" t="s">
        <v>40</v>
      </c>
      <c r="F191" s="2" t="s">
        <v>41</v>
      </c>
      <c r="G191" s="2" t="s">
        <v>42</v>
      </c>
      <c r="H191" s="2" t="s">
        <v>175</v>
      </c>
      <c r="I191" s="2" t="s">
        <v>44</v>
      </c>
      <c r="J191" s="2" t="s">
        <v>160</v>
      </c>
      <c r="K191" s="2"/>
      <c r="L191" s="2"/>
      <c r="M191" s="2" t="s">
        <v>859</v>
      </c>
      <c r="N191" s="2" t="s">
        <v>48</v>
      </c>
      <c r="O191" s="2" t="s">
        <v>49</v>
      </c>
      <c r="P191" s="2" t="s">
        <v>354</v>
      </c>
      <c r="Q191" s="2" t="s">
        <v>860</v>
      </c>
      <c r="R191" s="2" t="s">
        <v>861</v>
      </c>
      <c r="S191" s="2" t="s">
        <v>862</v>
      </c>
      <c r="T191" s="2" t="n">
        <v>43.3</v>
      </c>
      <c r="U191" s="2" t="n">
        <v>7.3</v>
      </c>
      <c r="V191" s="2" t="s">
        <v>52</v>
      </c>
      <c r="W191" s="2" t="n">
        <v>21.92</v>
      </c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customFormat="false" ht="15" hidden="false" customHeight="false" outlineLevel="0" collapsed="false">
      <c r="A192" s="2" t="s">
        <v>874</v>
      </c>
      <c r="B192" s="2" t="s">
        <v>875</v>
      </c>
      <c r="C192" s="2" t="s">
        <v>38</v>
      </c>
      <c r="D192" s="2" t="s">
        <v>876</v>
      </c>
      <c r="E192" s="2" t="s">
        <v>40</v>
      </c>
      <c r="F192" s="2" t="s">
        <v>41</v>
      </c>
      <c r="G192" s="2" t="s">
        <v>42</v>
      </c>
      <c r="H192" s="2" t="s">
        <v>159</v>
      </c>
      <c r="I192" s="2" t="s">
        <v>44</v>
      </c>
      <c r="J192" s="2" t="s">
        <v>160</v>
      </c>
      <c r="K192" s="2"/>
      <c r="L192" s="2" t="s">
        <v>877</v>
      </c>
      <c r="M192" s="2" t="s">
        <v>878</v>
      </c>
      <c r="N192" s="2" t="s">
        <v>48</v>
      </c>
      <c r="O192" s="2" t="s">
        <v>163</v>
      </c>
      <c r="P192" s="2" t="s">
        <v>354</v>
      </c>
      <c r="Q192" s="2"/>
      <c r="R192" s="2" t="s">
        <v>879</v>
      </c>
      <c r="S192" s="2" t="s">
        <v>880</v>
      </c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 t="n">
        <v>1.2904</v>
      </c>
      <c r="AG192" s="2"/>
      <c r="AH192" s="2"/>
      <c r="AI192" s="2"/>
      <c r="AJ192" s="2"/>
    </row>
    <row r="193" customFormat="false" ht="15" hidden="false" customHeight="false" outlineLevel="0" collapsed="false">
      <c r="A193" s="2" t="s">
        <v>881</v>
      </c>
      <c r="B193" s="2" t="s">
        <v>875</v>
      </c>
      <c r="C193" s="2" t="s">
        <v>38</v>
      </c>
      <c r="D193" s="2" t="s">
        <v>882</v>
      </c>
      <c r="E193" s="2" t="s">
        <v>40</v>
      </c>
      <c r="F193" s="2" t="s">
        <v>41</v>
      </c>
      <c r="G193" s="2" t="s">
        <v>42</v>
      </c>
      <c r="H193" s="2" t="s">
        <v>159</v>
      </c>
      <c r="I193" s="2" t="s">
        <v>44</v>
      </c>
      <c r="J193" s="2" t="s">
        <v>160</v>
      </c>
      <c r="K193" s="2"/>
      <c r="L193" s="2" t="s">
        <v>883</v>
      </c>
      <c r="M193" s="2" t="s">
        <v>878</v>
      </c>
      <c r="N193" s="2" t="s">
        <v>48</v>
      </c>
      <c r="O193" s="2" t="s">
        <v>163</v>
      </c>
      <c r="P193" s="2" t="s">
        <v>354</v>
      </c>
      <c r="Q193" s="2"/>
      <c r="R193" s="2" t="s">
        <v>879</v>
      </c>
      <c r="S193" s="2" t="s">
        <v>880</v>
      </c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 t="n">
        <v>1.2905</v>
      </c>
      <c r="AG193" s="2"/>
      <c r="AH193" s="2"/>
      <c r="AI193" s="2"/>
      <c r="AJ193" s="2"/>
    </row>
    <row r="194" customFormat="false" ht="15" hidden="false" customHeight="false" outlineLevel="0" collapsed="false">
      <c r="A194" s="2" t="s">
        <v>884</v>
      </c>
      <c r="B194" s="2" t="s">
        <v>875</v>
      </c>
      <c r="C194" s="2" t="s">
        <v>38</v>
      </c>
      <c r="D194" s="2" t="s">
        <v>885</v>
      </c>
      <c r="E194" s="2" t="s">
        <v>40</v>
      </c>
      <c r="F194" s="2" t="s">
        <v>41</v>
      </c>
      <c r="G194" s="2" t="s">
        <v>42</v>
      </c>
      <c r="H194" s="2" t="s">
        <v>159</v>
      </c>
      <c r="I194" s="2" t="s">
        <v>44</v>
      </c>
      <c r="J194" s="2" t="s">
        <v>160</v>
      </c>
      <c r="K194" s="2"/>
      <c r="L194" s="2" t="s">
        <v>886</v>
      </c>
      <c r="M194" s="2" t="s">
        <v>878</v>
      </c>
      <c r="N194" s="2" t="s">
        <v>48</v>
      </c>
      <c r="O194" s="2" t="s">
        <v>163</v>
      </c>
      <c r="P194" s="2" t="s">
        <v>354</v>
      </c>
      <c r="Q194" s="2"/>
      <c r="R194" s="2" t="s">
        <v>879</v>
      </c>
      <c r="S194" s="2" t="s">
        <v>880</v>
      </c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 t="n">
        <v>1.2901</v>
      </c>
      <c r="AG194" s="2"/>
      <c r="AH194" s="2"/>
      <c r="AI194" s="2"/>
      <c r="AJ194" s="2"/>
    </row>
    <row r="195" customFormat="false" ht="15" hidden="false" customHeight="false" outlineLevel="0" collapsed="false">
      <c r="A195" s="2" t="s">
        <v>887</v>
      </c>
      <c r="B195" s="2" t="s">
        <v>875</v>
      </c>
      <c r="C195" s="2" t="s">
        <v>38</v>
      </c>
      <c r="D195" s="2" t="s">
        <v>888</v>
      </c>
      <c r="E195" s="2" t="s">
        <v>40</v>
      </c>
      <c r="F195" s="2" t="s">
        <v>41</v>
      </c>
      <c r="G195" s="2" t="s">
        <v>42</v>
      </c>
      <c r="H195" s="2" t="s">
        <v>159</v>
      </c>
      <c r="I195" s="2" t="s">
        <v>44</v>
      </c>
      <c r="J195" s="2" t="s">
        <v>160</v>
      </c>
      <c r="K195" s="2"/>
      <c r="L195" s="2" t="s">
        <v>889</v>
      </c>
      <c r="M195" s="2" t="s">
        <v>890</v>
      </c>
      <c r="N195" s="2" t="s">
        <v>48</v>
      </c>
      <c r="O195" s="2" t="s">
        <v>163</v>
      </c>
      <c r="P195" s="2" t="s">
        <v>354</v>
      </c>
      <c r="Q195" s="2"/>
      <c r="R195" s="2" t="s">
        <v>879</v>
      </c>
      <c r="S195" s="2" t="s">
        <v>880</v>
      </c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 t="n">
        <v>1.2901</v>
      </c>
      <c r="AG195" s="2"/>
      <c r="AH195" s="2"/>
      <c r="AI195" s="2"/>
      <c r="AJ195" s="2"/>
    </row>
    <row r="196" customFormat="false" ht="15" hidden="false" customHeight="false" outlineLevel="0" collapsed="false">
      <c r="A196" s="2" t="s">
        <v>891</v>
      </c>
      <c r="B196" s="2" t="s">
        <v>875</v>
      </c>
      <c r="C196" s="2" t="s">
        <v>38</v>
      </c>
      <c r="D196" s="2" t="s">
        <v>892</v>
      </c>
      <c r="E196" s="2" t="s">
        <v>40</v>
      </c>
      <c r="F196" s="2" t="s">
        <v>41</v>
      </c>
      <c r="G196" s="2" t="s">
        <v>42</v>
      </c>
      <c r="H196" s="2" t="s">
        <v>159</v>
      </c>
      <c r="I196" s="2" t="s">
        <v>44</v>
      </c>
      <c r="J196" s="2" t="s">
        <v>160</v>
      </c>
      <c r="K196" s="2"/>
      <c r="L196" s="2" t="s">
        <v>893</v>
      </c>
      <c r="M196" s="2" t="s">
        <v>890</v>
      </c>
      <c r="N196" s="2" t="s">
        <v>48</v>
      </c>
      <c r="O196" s="2" t="s">
        <v>163</v>
      </c>
      <c r="P196" s="2" t="s">
        <v>354</v>
      </c>
      <c r="Q196" s="2"/>
      <c r="R196" s="2" t="s">
        <v>879</v>
      </c>
      <c r="S196" s="2" t="s">
        <v>880</v>
      </c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 t="n">
        <v>1.2901</v>
      </c>
      <c r="AG196" s="2"/>
      <c r="AH196" s="2"/>
      <c r="AI196" s="2"/>
      <c r="AJ196" s="2"/>
    </row>
    <row r="197" customFormat="false" ht="15" hidden="false" customHeight="false" outlineLevel="0" collapsed="false">
      <c r="A197" s="2" t="s">
        <v>894</v>
      </c>
      <c r="B197" s="2" t="s">
        <v>875</v>
      </c>
      <c r="C197" s="2" t="s">
        <v>38</v>
      </c>
      <c r="D197" s="2" t="s">
        <v>895</v>
      </c>
      <c r="E197" s="2" t="s">
        <v>40</v>
      </c>
      <c r="F197" s="2" t="s">
        <v>41</v>
      </c>
      <c r="G197" s="2" t="s">
        <v>42</v>
      </c>
      <c r="H197" s="2" t="s">
        <v>159</v>
      </c>
      <c r="I197" s="2" t="s">
        <v>44</v>
      </c>
      <c r="J197" s="2" t="s">
        <v>160</v>
      </c>
      <c r="K197" s="2"/>
      <c r="L197" s="2" t="s">
        <v>896</v>
      </c>
      <c r="M197" s="2" t="s">
        <v>890</v>
      </c>
      <c r="N197" s="2" t="s">
        <v>48</v>
      </c>
      <c r="O197" s="2" t="s">
        <v>163</v>
      </c>
      <c r="P197" s="2" t="s">
        <v>354</v>
      </c>
      <c r="Q197" s="2"/>
      <c r="R197" s="2" t="s">
        <v>879</v>
      </c>
      <c r="S197" s="2" t="s">
        <v>880</v>
      </c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 t="n">
        <v>1.29</v>
      </c>
      <c r="AG197" s="2"/>
      <c r="AH197" s="2"/>
      <c r="AI197" s="2"/>
      <c r="AJ197" s="2"/>
    </row>
    <row r="198" customFormat="false" ht="15" hidden="false" customHeight="false" outlineLevel="0" collapsed="false">
      <c r="A198" s="2" t="s">
        <v>897</v>
      </c>
      <c r="B198" s="2" t="s">
        <v>875</v>
      </c>
      <c r="C198" s="2" t="s">
        <v>38</v>
      </c>
      <c r="D198" s="2" t="s">
        <v>898</v>
      </c>
      <c r="E198" s="2" t="s">
        <v>40</v>
      </c>
      <c r="F198" s="2" t="s">
        <v>41</v>
      </c>
      <c r="G198" s="2"/>
      <c r="H198" s="2" t="s">
        <v>175</v>
      </c>
      <c r="I198" s="2" t="s">
        <v>44</v>
      </c>
      <c r="J198" s="2" t="s">
        <v>160</v>
      </c>
      <c r="K198" s="2"/>
      <c r="L198" s="2"/>
      <c r="M198" s="2" t="s">
        <v>878</v>
      </c>
      <c r="N198" s="2" t="s">
        <v>48</v>
      </c>
      <c r="O198" s="2" t="s">
        <v>49</v>
      </c>
      <c r="P198" s="2" t="s">
        <v>354</v>
      </c>
      <c r="Q198" s="2" t="s">
        <v>899</v>
      </c>
      <c r="R198" s="2" t="s">
        <v>879</v>
      </c>
      <c r="S198" s="2" t="s">
        <v>880</v>
      </c>
      <c r="T198" s="2" t="n">
        <v>38.9</v>
      </c>
      <c r="U198" s="2" t="n">
        <v>7.5</v>
      </c>
      <c r="V198" s="2" t="s">
        <v>52</v>
      </c>
      <c r="W198" s="2" t="n">
        <v>31.2</v>
      </c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customFormat="false" ht="15" hidden="false" customHeight="false" outlineLevel="0" collapsed="false">
      <c r="A199" s="2" t="s">
        <v>900</v>
      </c>
      <c r="B199" s="2" t="s">
        <v>875</v>
      </c>
      <c r="C199" s="2" t="s">
        <v>38</v>
      </c>
      <c r="D199" s="2" t="s">
        <v>901</v>
      </c>
      <c r="E199" s="2" t="s">
        <v>40</v>
      </c>
      <c r="F199" s="2" t="s">
        <v>41</v>
      </c>
      <c r="G199" s="2"/>
      <c r="H199" s="2" t="s">
        <v>175</v>
      </c>
      <c r="I199" s="2" t="s">
        <v>44</v>
      </c>
      <c r="J199" s="2" t="s">
        <v>160</v>
      </c>
      <c r="K199" s="2"/>
      <c r="L199" s="2"/>
      <c r="M199" s="2" t="s">
        <v>878</v>
      </c>
      <c r="N199" s="2" t="s">
        <v>48</v>
      </c>
      <c r="O199" s="2" t="s">
        <v>49</v>
      </c>
      <c r="P199" s="2" t="s">
        <v>354</v>
      </c>
      <c r="Q199" s="2" t="s">
        <v>899</v>
      </c>
      <c r="R199" s="2" t="s">
        <v>879</v>
      </c>
      <c r="S199" s="2" t="s">
        <v>880</v>
      </c>
      <c r="T199" s="2" t="n">
        <v>38.1</v>
      </c>
      <c r="U199" s="2" t="n">
        <v>7.3</v>
      </c>
      <c r="V199" s="2" t="s">
        <v>52</v>
      </c>
      <c r="W199" s="2" t="n">
        <v>31.1</v>
      </c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customFormat="false" ht="15" hidden="false" customHeight="false" outlineLevel="0" collapsed="false">
      <c r="A200" s="2" t="s">
        <v>902</v>
      </c>
      <c r="B200" s="2" t="s">
        <v>875</v>
      </c>
      <c r="C200" s="2" t="s">
        <v>38</v>
      </c>
      <c r="D200" s="2" t="s">
        <v>903</v>
      </c>
      <c r="E200" s="2" t="s">
        <v>40</v>
      </c>
      <c r="F200" s="2" t="s">
        <v>41</v>
      </c>
      <c r="G200" s="2"/>
      <c r="H200" s="2" t="s">
        <v>175</v>
      </c>
      <c r="I200" s="2" t="s">
        <v>44</v>
      </c>
      <c r="J200" s="2" t="s">
        <v>160</v>
      </c>
      <c r="K200" s="2"/>
      <c r="L200" s="2"/>
      <c r="M200" s="2" t="s">
        <v>878</v>
      </c>
      <c r="N200" s="2" t="s">
        <v>48</v>
      </c>
      <c r="O200" s="2" t="s">
        <v>49</v>
      </c>
      <c r="P200" s="2" t="s">
        <v>354</v>
      </c>
      <c r="Q200" s="2" t="s">
        <v>899</v>
      </c>
      <c r="R200" s="2" t="s">
        <v>879</v>
      </c>
      <c r="S200" s="2" t="s">
        <v>880</v>
      </c>
      <c r="T200" s="2" t="n">
        <v>38.8</v>
      </c>
      <c r="U200" s="2" t="n">
        <v>7.5</v>
      </c>
      <c r="V200" s="2" t="s">
        <v>52</v>
      </c>
      <c r="W200" s="2" t="n">
        <v>28.93</v>
      </c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customFormat="false" ht="15" hidden="false" customHeight="false" outlineLevel="0" collapsed="false">
      <c r="A201" s="2" t="s">
        <v>904</v>
      </c>
      <c r="B201" s="2" t="s">
        <v>875</v>
      </c>
      <c r="C201" s="2" t="s">
        <v>38</v>
      </c>
      <c r="D201" s="2" t="s">
        <v>905</v>
      </c>
      <c r="E201" s="2" t="s">
        <v>40</v>
      </c>
      <c r="F201" s="2" t="s">
        <v>41</v>
      </c>
      <c r="G201" s="2" t="s">
        <v>42</v>
      </c>
      <c r="H201" s="2" t="s">
        <v>175</v>
      </c>
      <c r="I201" s="2" t="s">
        <v>44</v>
      </c>
      <c r="J201" s="2" t="s">
        <v>160</v>
      </c>
      <c r="K201" s="2"/>
      <c r="L201" s="2"/>
      <c r="M201" s="2" t="s">
        <v>890</v>
      </c>
      <c r="N201" s="2" t="s">
        <v>48</v>
      </c>
      <c r="O201" s="2" t="s">
        <v>49</v>
      </c>
      <c r="P201" s="2" t="s">
        <v>354</v>
      </c>
      <c r="Q201" s="2" t="s">
        <v>899</v>
      </c>
      <c r="R201" s="2" t="s">
        <v>879</v>
      </c>
      <c r="S201" s="2" t="s">
        <v>880</v>
      </c>
      <c r="T201" s="2" t="n">
        <v>46.7</v>
      </c>
      <c r="U201" s="2" t="n">
        <v>7.6</v>
      </c>
      <c r="V201" s="2" t="s">
        <v>52</v>
      </c>
      <c r="W201" s="2" t="n">
        <v>19.39</v>
      </c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customFormat="false" ht="15" hidden="false" customHeight="false" outlineLevel="0" collapsed="false">
      <c r="A202" s="2" t="s">
        <v>906</v>
      </c>
      <c r="B202" s="2" t="s">
        <v>875</v>
      </c>
      <c r="C202" s="2" t="s">
        <v>38</v>
      </c>
      <c r="D202" s="2" t="s">
        <v>907</v>
      </c>
      <c r="E202" s="2" t="s">
        <v>40</v>
      </c>
      <c r="F202" s="2" t="s">
        <v>41</v>
      </c>
      <c r="G202" s="2" t="s">
        <v>42</v>
      </c>
      <c r="H202" s="2" t="s">
        <v>175</v>
      </c>
      <c r="I202" s="2" t="s">
        <v>44</v>
      </c>
      <c r="J202" s="2" t="s">
        <v>160</v>
      </c>
      <c r="K202" s="2"/>
      <c r="L202" s="2"/>
      <c r="M202" s="2" t="s">
        <v>890</v>
      </c>
      <c r="N202" s="2" t="s">
        <v>48</v>
      </c>
      <c r="O202" s="2" t="s">
        <v>49</v>
      </c>
      <c r="P202" s="2" t="s">
        <v>354</v>
      </c>
      <c r="Q202" s="2" t="s">
        <v>899</v>
      </c>
      <c r="R202" s="2" t="s">
        <v>879</v>
      </c>
      <c r="S202" s="2" t="s">
        <v>880</v>
      </c>
      <c r="T202" s="2" t="n">
        <v>47.7</v>
      </c>
      <c r="U202" s="2" t="n">
        <v>7.4</v>
      </c>
      <c r="V202" s="2" t="s">
        <v>52</v>
      </c>
      <c r="W202" s="2" t="n">
        <v>19.18</v>
      </c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customFormat="false" ht="15" hidden="false" customHeight="false" outlineLevel="0" collapsed="false">
      <c r="A203" s="2" t="s">
        <v>908</v>
      </c>
      <c r="B203" s="2" t="s">
        <v>875</v>
      </c>
      <c r="C203" s="2" t="s">
        <v>38</v>
      </c>
      <c r="D203" s="2" t="s">
        <v>909</v>
      </c>
      <c r="E203" s="2" t="s">
        <v>40</v>
      </c>
      <c r="F203" s="2" t="s">
        <v>41</v>
      </c>
      <c r="G203" s="2" t="s">
        <v>42</v>
      </c>
      <c r="H203" s="2" t="s">
        <v>175</v>
      </c>
      <c r="I203" s="2" t="s">
        <v>44</v>
      </c>
      <c r="J203" s="2" t="s">
        <v>160</v>
      </c>
      <c r="K203" s="2"/>
      <c r="L203" s="2"/>
      <c r="M203" s="2" t="s">
        <v>890</v>
      </c>
      <c r="N203" s="2" t="s">
        <v>48</v>
      </c>
      <c r="O203" s="2" t="s">
        <v>49</v>
      </c>
      <c r="P203" s="2" t="s">
        <v>354</v>
      </c>
      <c r="Q203" s="2" t="s">
        <v>899</v>
      </c>
      <c r="R203" s="2" t="s">
        <v>879</v>
      </c>
      <c r="S203" s="2" t="s">
        <v>880</v>
      </c>
      <c r="T203" s="2" t="n">
        <v>48</v>
      </c>
      <c r="U203" s="2" t="n">
        <v>7.2</v>
      </c>
      <c r="V203" s="2" t="s">
        <v>52</v>
      </c>
      <c r="W203" s="2" t="n">
        <v>19.75</v>
      </c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customFormat="false" ht="15" hidden="false" customHeight="false" outlineLevel="0" collapsed="false">
      <c r="A204" s="2" t="s">
        <v>910</v>
      </c>
      <c r="B204" s="2" t="s">
        <v>875</v>
      </c>
      <c r="C204" s="2" t="s">
        <v>38</v>
      </c>
      <c r="D204" s="2" t="s">
        <v>911</v>
      </c>
      <c r="E204" s="2" t="s">
        <v>40</v>
      </c>
      <c r="F204" s="2" t="s">
        <v>41</v>
      </c>
      <c r="G204" s="2" t="s">
        <v>42</v>
      </c>
      <c r="H204" s="2" t="s">
        <v>159</v>
      </c>
      <c r="I204" s="2" t="s">
        <v>44</v>
      </c>
      <c r="J204" s="2" t="s">
        <v>160</v>
      </c>
      <c r="K204" s="2"/>
      <c r="L204" s="2" t="s">
        <v>912</v>
      </c>
      <c r="M204" s="2" t="s">
        <v>878</v>
      </c>
      <c r="N204" s="2" t="s">
        <v>48</v>
      </c>
      <c r="O204" s="2" t="s">
        <v>163</v>
      </c>
      <c r="P204" s="2" t="s">
        <v>354</v>
      </c>
      <c r="Q204" s="2" t="s">
        <v>899</v>
      </c>
      <c r="R204" s="2" t="s">
        <v>879</v>
      </c>
      <c r="S204" s="2" t="s">
        <v>880</v>
      </c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 t="n">
        <v>1.2904</v>
      </c>
      <c r="AG204" s="2"/>
      <c r="AH204" s="2"/>
      <c r="AI204" s="2"/>
      <c r="AJ204" s="2"/>
    </row>
    <row r="205" customFormat="false" ht="15" hidden="false" customHeight="false" outlineLevel="0" collapsed="false">
      <c r="A205" s="2" t="s">
        <v>913</v>
      </c>
      <c r="B205" s="2" t="s">
        <v>875</v>
      </c>
      <c r="C205" s="2" t="s">
        <v>38</v>
      </c>
      <c r="D205" s="2" t="s">
        <v>914</v>
      </c>
      <c r="E205" s="2" t="s">
        <v>40</v>
      </c>
      <c r="F205" s="2" t="s">
        <v>41</v>
      </c>
      <c r="G205" s="2" t="s">
        <v>42</v>
      </c>
      <c r="H205" s="2" t="s">
        <v>159</v>
      </c>
      <c r="I205" s="2" t="s">
        <v>44</v>
      </c>
      <c r="J205" s="2" t="s">
        <v>160</v>
      </c>
      <c r="K205" s="2"/>
      <c r="L205" s="2" t="s">
        <v>912</v>
      </c>
      <c r="M205" s="2" t="s">
        <v>878</v>
      </c>
      <c r="N205" s="2" t="s">
        <v>48</v>
      </c>
      <c r="O205" s="2" t="s">
        <v>163</v>
      </c>
      <c r="P205" s="2" t="s">
        <v>354</v>
      </c>
      <c r="Q205" s="2" t="s">
        <v>899</v>
      </c>
      <c r="R205" s="2" t="s">
        <v>879</v>
      </c>
      <c r="S205" s="2" t="s">
        <v>880</v>
      </c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 t="n">
        <v>1.2905</v>
      </c>
      <c r="AG205" s="2"/>
      <c r="AH205" s="2"/>
      <c r="AI205" s="2"/>
      <c r="AJ205" s="2"/>
    </row>
    <row r="206" customFormat="false" ht="15" hidden="false" customHeight="false" outlineLevel="0" collapsed="false">
      <c r="A206" s="2" t="s">
        <v>915</v>
      </c>
      <c r="B206" s="2" t="s">
        <v>875</v>
      </c>
      <c r="C206" s="2" t="s">
        <v>38</v>
      </c>
      <c r="D206" s="2" t="s">
        <v>916</v>
      </c>
      <c r="E206" s="2" t="s">
        <v>40</v>
      </c>
      <c r="F206" s="2" t="s">
        <v>41</v>
      </c>
      <c r="G206" s="2" t="s">
        <v>42</v>
      </c>
      <c r="H206" s="2" t="s">
        <v>159</v>
      </c>
      <c r="I206" s="2" t="s">
        <v>44</v>
      </c>
      <c r="J206" s="2" t="s">
        <v>160</v>
      </c>
      <c r="K206" s="2"/>
      <c r="L206" s="2" t="s">
        <v>912</v>
      </c>
      <c r="M206" s="2" t="s">
        <v>878</v>
      </c>
      <c r="N206" s="2" t="s">
        <v>48</v>
      </c>
      <c r="O206" s="2" t="s">
        <v>163</v>
      </c>
      <c r="P206" s="2" t="s">
        <v>354</v>
      </c>
      <c r="Q206" s="2" t="s">
        <v>899</v>
      </c>
      <c r="R206" s="2" t="s">
        <v>879</v>
      </c>
      <c r="S206" s="2" t="s">
        <v>880</v>
      </c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 t="n">
        <v>1.2901</v>
      </c>
      <c r="AG206" s="2"/>
      <c r="AH206" s="2"/>
      <c r="AI206" s="2"/>
      <c r="AJ206" s="2"/>
    </row>
    <row r="207" customFormat="false" ht="15" hidden="false" customHeight="false" outlineLevel="0" collapsed="false">
      <c r="A207" s="2" t="s">
        <v>917</v>
      </c>
      <c r="B207" s="2" t="s">
        <v>875</v>
      </c>
      <c r="C207" s="2" t="s">
        <v>38</v>
      </c>
      <c r="D207" s="2" t="s">
        <v>918</v>
      </c>
      <c r="E207" s="2" t="s">
        <v>40</v>
      </c>
      <c r="F207" s="2" t="s">
        <v>41</v>
      </c>
      <c r="G207" s="2" t="s">
        <v>42</v>
      </c>
      <c r="H207" s="2" t="s">
        <v>159</v>
      </c>
      <c r="I207" s="2" t="s">
        <v>44</v>
      </c>
      <c r="J207" s="2" t="s">
        <v>160</v>
      </c>
      <c r="K207" s="2"/>
      <c r="L207" s="2" t="s">
        <v>912</v>
      </c>
      <c r="M207" s="2" t="s">
        <v>890</v>
      </c>
      <c r="N207" s="2" t="s">
        <v>48</v>
      </c>
      <c r="O207" s="2" t="s">
        <v>163</v>
      </c>
      <c r="P207" s="2" t="s">
        <v>354</v>
      </c>
      <c r="Q207" s="2" t="s">
        <v>899</v>
      </c>
      <c r="R207" s="2" t="s">
        <v>879</v>
      </c>
      <c r="S207" s="2" t="s">
        <v>880</v>
      </c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 t="n">
        <v>1.2901</v>
      </c>
      <c r="AG207" s="2"/>
      <c r="AH207" s="2"/>
      <c r="AI207" s="2"/>
      <c r="AJ207" s="2"/>
    </row>
    <row r="208" customFormat="false" ht="15" hidden="false" customHeight="false" outlineLevel="0" collapsed="false">
      <c r="A208" s="2" t="s">
        <v>919</v>
      </c>
      <c r="B208" s="2" t="s">
        <v>875</v>
      </c>
      <c r="C208" s="2" t="s">
        <v>38</v>
      </c>
      <c r="D208" s="2" t="s">
        <v>920</v>
      </c>
      <c r="E208" s="2" t="s">
        <v>40</v>
      </c>
      <c r="F208" s="2" t="s">
        <v>41</v>
      </c>
      <c r="G208" s="2" t="s">
        <v>42</v>
      </c>
      <c r="H208" s="2" t="s">
        <v>159</v>
      </c>
      <c r="I208" s="2" t="s">
        <v>44</v>
      </c>
      <c r="J208" s="2" t="s">
        <v>160</v>
      </c>
      <c r="K208" s="2"/>
      <c r="L208" s="2" t="s">
        <v>912</v>
      </c>
      <c r="M208" s="2" t="s">
        <v>890</v>
      </c>
      <c r="N208" s="2" t="s">
        <v>48</v>
      </c>
      <c r="O208" s="2" t="s">
        <v>163</v>
      </c>
      <c r="P208" s="2" t="s">
        <v>354</v>
      </c>
      <c r="Q208" s="2" t="s">
        <v>899</v>
      </c>
      <c r="R208" s="2" t="s">
        <v>879</v>
      </c>
      <c r="S208" s="2" t="s">
        <v>880</v>
      </c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 t="n">
        <v>1.2901</v>
      </c>
      <c r="AG208" s="2"/>
      <c r="AH208" s="2"/>
      <c r="AI208" s="2"/>
      <c r="AJ208" s="2"/>
    </row>
    <row r="209" customFormat="false" ht="15" hidden="false" customHeight="false" outlineLevel="0" collapsed="false">
      <c r="A209" s="2" t="s">
        <v>921</v>
      </c>
      <c r="B209" s="2" t="s">
        <v>875</v>
      </c>
      <c r="C209" s="2" t="s">
        <v>38</v>
      </c>
      <c r="D209" s="2" t="s">
        <v>922</v>
      </c>
      <c r="E209" s="2" t="s">
        <v>40</v>
      </c>
      <c r="F209" s="2" t="s">
        <v>41</v>
      </c>
      <c r="G209" s="2" t="s">
        <v>42</v>
      </c>
      <c r="H209" s="2" t="s">
        <v>159</v>
      </c>
      <c r="I209" s="2" t="s">
        <v>44</v>
      </c>
      <c r="J209" s="2" t="s">
        <v>160</v>
      </c>
      <c r="K209" s="2"/>
      <c r="L209" s="2" t="s">
        <v>912</v>
      </c>
      <c r="M209" s="2" t="s">
        <v>890</v>
      </c>
      <c r="N209" s="2" t="s">
        <v>48</v>
      </c>
      <c r="O209" s="2" t="s">
        <v>163</v>
      </c>
      <c r="P209" s="2" t="s">
        <v>354</v>
      </c>
      <c r="Q209" s="2" t="s">
        <v>899</v>
      </c>
      <c r="R209" s="2" t="s">
        <v>879</v>
      </c>
      <c r="S209" s="2" t="s">
        <v>880</v>
      </c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 t="n">
        <v>1.29</v>
      </c>
      <c r="AG209" s="2"/>
      <c r="AH209" s="2"/>
      <c r="AI209" s="2"/>
      <c r="AJ209" s="2"/>
    </row>
    <row r="210" customFormat="false" ht="15" hidden="false" customHeight="false" outlineLevel="0" collapsed="false">
      <c r="A210" s="2" t="s">
        <v>923</v>
      </c>
      <c r="B210" s="2" t="s">
        <v>924</v>
      </c>
      <c r="C210" s="2" t="s">
        <v>38</v>
      </c>
      <c r="D210" s="2" t="s">
        <v>925</v>
      </c>
      <c r="E210" s="2" t="s">
        <v>40</v>
      </c>
      <c r="F210" s="2" t="s">
        <v>41</v>
      </c>
      <c r="G210" s="2" t="s">
        <v>42</v>
      </c>
      <c r="H210" s="2" t="s">
        <v>159</v>
      </c>
      <c r="I210" s="2" t="s">
        <v>44</v>
      </c>
      <c r="J210" s="2" t="s">
        <v>160</v>
      </c>
      <c r="K210" s="2"/>
      <c r="L210" s="2" t="s">
        <v>926</v>
      </c>
      <c r="M210" s="2" t="s">
        <v>927</v>
      </c>
      <c r="N210" s="2" t="s">
        <v>48</v>
      </c>
      <c r="O210" s="2" t="s">
        <v>163</v>
      </c>
      <c r="P210" s="2" t="s">
        <v>354</v>
      </c>
      <c r="Q210" s="2" t="s">
        <v>928</v>
      </c>
      <c r="R210" s="2" t="s">
        <v>929</v>
      </c>
      <c r="S210" s="2" t="s">
        <v>930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 t="n">
        <v>1.2882</v>
      </c>
      <c r="AG210" s="2"/>
      <c r="AH210" s="2"/>
      <c r="AI210" s="2"/>
      <c r="AJ210" s="2"/>
    </row>
    <row r="211" customFormat="false" ht="15" hidden="false" customHeight="false" outlineLevel="0" collapsed="false">
      <c r="A211" s="2" t="s">
        <v>931</v>
      </c>
      <c r="B211" s="2" t="s">
        <v>924</v>
      </c>
      <c r="C211" s="2" t="s">
        <v>38</v>
      </c>
      <c r="D211" s="2" t="s">
        <v>932</v>
      </c>
      <c r="E211" s="2" t="s">
        <v>40</v>
      </c>
      <c r="F211" s="2" t="s">
        <v>41</v>
      </c>
      <c r="G211" s="2" t="s">
        <v>42</v>
      </c>
      <c r="H211" s="2" t="s">
        <v>159</v>
      </c>
      <c r="I211" s="2" t="s">
        <v>44</v>
      </c>
      <c r="J211" s="2" t="s">
        <v>160</v>
      </c>
      <c r="K211" s="2"/>
      <c r="L211" s="2" t="s">
        <v>926</v>
      </c>
      <c r="M211" s="2" t="s">
        <v>927</v>
      </c>
      <c r="N211" s="2" t="s">
        <v>48</v>
      </c>
      <c r="O211" s="2" t="s">
        <v>163</v>
      </c>
      <c r="P211" s="2" t="s">
        <v>354</v>
      </c>
      <c r="Q211" s="2" t="s">
        <v>928</v>
      </c>
      <c r="R211" s="2" t="s">
        <v>929</v>
      </c>
      <c r="S211" s="2" t="s">
        <v>930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 t="n">
        <v>1.2882</v>
      </c>
      <c r="AG211" s="2"/>
      <c r="AH211" s="2"/>
      <c r="AI211" s="2"/>
      <c r="AJ211" s="2"/>
    </row>
    <row r="212" customFormat="false" ht="15" hidden="false" customHeight="false" outlineLevel="0" collapsed="false">
      <c r="A212" s="2" t="s">
        <v>933</v>
      </c>
      <c r="B212" s="2" t="s">
        <v>924</v>
      </c>
      <c r="C212" s="2" t="s">
        <v>38</v>
      </c>
      <c r="D212" s="2" t="s">
        <v>934</v>
      </c>
      <c r="E212" s="2" t="s">
        <v>40</v>
      </c>
      <c r="F212" s="2" t="s">
        <v>41</v>
      </c>
      <c r="G212" s="2" t="s">
        <v>42</v>
      </c>
      <c r="H212" s="2" t="s">
        <v>159</v>
      </c>
      <c r="I212" s="2" t="s">
        <v>44</v>
      </c>
      <c r="J212" s="2" t="s">
        <v>160</v>
      </c>
      <c r="K212" s="2"/>
      <c r="L212" s="2" t="s">
        <v>926</v>
      </c>
      <c r="M212" s="2" t="s">
        <v>927</v>
      </c>
      <c r="N212" s="2" t="s">
        <v>48</v>
      </c>
      <c r="O212" s="2" t="s">
        <v>163</v>
      </c>
      <c r="P212" s="2" t="s">
        <v>354</v>
      </c>
      <c r="Q212" s="2" t="s">
        <v>928</v>
      </c>
      <c r="R212" s="2" t="s">
        <v>929</v>
      </c>
      <c r="S212" s="2" t="s">
        <v>930</v>
      </c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 t="n">
        <v>1.288</v>
      </c>
      <c r="AG212" s="2"/>
      <c r="AH212" s="2"/>
      <c r="AI212" s="2"/>
      <c r="AJ212" s="2"/>
    </row>
    <row r="213" customFormat="false" ht="15" hidden="false" customHeight="false" outlineLevel="0" collapsed="false">
      <c r="A213" s="2" t="s">
        <v>935</v>
      </c>
      <c r="B213" s="2" t="s">
        <v>936</v>
      </c>
      <c r="C213" s="2" t="s">
        <v>38</v>
      </c>
      <c r="D213" s="2" t="s">
        <v>937</v>
      </c>
      <c r="E213" s="2" t="s">
        <v>40</v>
      </c>
      <c r="F213" s="2" t="s">
        <v>41</v>
      </c>
      <c r="G213" s="2" t="s">
        <v>42</v>
      </c>
      <c r="H213" s="2" t="s">
        <v>175</v>
      </c>
      <c r="I213" s="2" t="s">
        <v>44</v>
      </c>
      <c r="J213" s="2" t="s">
        <v>160</v>
      </c>
      <c r="K213" s="2"/>
      <c r="L213" s="2" t="s">
        <v>938</v>
      </c>
      <c r="M213" s="2" t="s">
        <v>927</v>
      </c>
      <c r="N213" s="2" t="s">
        <v>48</v>
      </c>
      <c r="O213" s="2" t="s">
        <v>49</v>
      </c>
      <c r="P213" s="2" t="s">
        <v>354</v>
      </c>
      <c r="Q213" s="2" t="s">
        <v>928</v>
      </c>
      <c r="R213" s="2" t="s">
        <v>929</v>
      </c>
      <c r="S213" s="2" t="s">
        <v>930</v>
      </c>
      <c r="T213" s="2" t="n">
        <v>39.3</v>
      </c>
      <c r="U213" s="2" t="n">
        <v>7.1</v>
      </c>
      <c r="V213" s="2" t="s">
        <v>52</v>
      </c>
      <c r="W213" s="2" t="n">
        <v>26.16</v>
      </c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customFormat="false" ht="15" hidden="false" customHeight="false" outlineLevel="0" collapsed="false">
      <c r="A214" s="2" t="s">
        <v>939</v>
      </c>
      <c r="B214" s="2" t="s">
        <v>936</v>
      </c>
      <c r="C214" s="2" t="s">
        <v>38</v>
      </c>
      <c r="D214" s="2" t="s">
        <v>940</v>
      </c>
      <c r="E214" s="2" t="s">
        <v>40</v>
      </c>
      <c r="F214" s="2" t="s">
        <v>41</v>
      </c>
      <c r="G214" s="2" t="s">
        <v>42</v>
      </c>
      <c r="H214" s="2" t="s">
        <v>175</v>
      </c>
      <c r="I214" s="2" t="s">
        <v>44</v>
      </c>
      <c r="J214" s="2" t="s">
        <v>160</v>
      </c>
      <c r="K214" s="2"/>
      <c r="L214" s="2" t="s">
        <v>938</v>
      </c>
      <c r="M214" s="2" t="s">
        <v>927</v>
      </c>
      <c r="N214" s="2" t="s">
        <v>48</v>
      </c>
      <c r="O214" s="2" t="s">
        <v>49</v>
      </c>
      <c r="P214" s="2" t="s">
        <v>354</v>
      </c>
      <c r="Q214" s="2" t="s">
        <v>928</v>
      </c>
      <c r="R214" s="2" t="s">
        <v>929</v>
      </c>
      <c r="S214" s="2" t="s">
        <v>930</v>
      </c>
      <c r="T214" s="2" t="n">
        <v>38.7</v>
      </c>
      <c r="U214" s="2" t="n">
        <v>6.9</v>
      </c>
      <c r="V214" s="2" t="s">
        <v>52</v>
      </c>
      <c r="W214" s="2" t="n">
        <v>26.86</v>
      </c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customFormat="false" ht="15" hidden="false" customHeight="false" outlineLevel="0" collapsed="false">
      <c r="A215" s="2" t="s">
        <v>941</v>
      </c>
      <c r="B215" s="2" t="s">
        <v>936</v>
      </c>
      <c r="C215" s="2" t="s">
        <v>38</v>
      </c>
      <c r="D215" s="2" t="s">
        <v>942</v>
      </c>
      <c r="E215" s="2" t="s">
        <v>40</v>
      </c>
      <c r="F215" s="2" t="s">
        <v>41</v>
      </c>
      <c r="G215" s="2" t="s">
        <v>42</v>
      </c>
      <c r="H215" s="2" t="s">
        <v>175</v>
      </c>
      <c r="I215" s="2" t="s">
        <v>44</v>
      </c>
      <c r="J215" s="2" t="s">
        <v>160</v>
      </c>
      <c r="K215" s="2"/>
      <c r="L215" s="2" t="s">
        <v>938</v>
      </c>
      <c r="M215" s="2" t="s">
        <v>927</v>
      </c>
      <c r="N215" s="2" t="s">
        <v>48</v>
      </c>
      <c r="O215" s="2" t="s">
        <v>49</v>
      </c>
      <c r="P215" s="2" t="s">
        <v>354</v>
      </c>
      <c r="Q215" s="2" t="s">
        <v>928</v>
      </c>
      <c r="R215" s="2" t="s">
        <v>929</v>
      </c>
      <c r="S215" s="2" t="s">
        <v>930</v>
      </c>
      <c r="T215" s="2" t="n">
        <v>39.2</v>
      </c>
      <c r="U215" s="2" t="n">
        <v>7.1</v>
      </c>
      <c r="V215" s="2" t="s">
        <v>52</v>
      </c>
      <c r="W215" s="2" t="n">
        <v>26.87</v>
      </c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customFormat="false" ht="15" hidden="false" customHeight="false" outlineLevel="0" collapsed="false">
      <c r="A216" s="2" t="s">
        <v>943</v>
      </c>
      <c r="B216" s="2" t="s">
        <v>936</v>
      </c>
      <c r="C216" s="2" t="s">
        <v>38</v>
      </c>
      <c r="D216" s="2" t="s">
        <v>944</v>
      </c>
      <c r="E216" s="2" t="s">
        <v>40</v>
      </c>
      <c r="F216" s="2" t="s">
        <v>41</v>
      </c>
      <c r="G216" s="2" t="s">
        <v>42</v>
      </c>
      <c r="H216" s="2" t="s">
        <v>159</v>
      </c>
      <c r="I216" s="2" t="s">
        <v>44</v>
      </c>
      <c r="J216" s="2" t="s">
        <v>160</v>
      </c>
      <c r="K216" s="2"/>
      <c r="L216" s="2" t="s">
        <v>938</v>
      </c>
      <c r="M216" s="2" t="s">
        <v>945</v>
      </c>
      <c r="N216" s="2" t="s">
        <v>48</v>
      </c>
      <c r="O216" s="2" t="s">
        <v>163</v>
      </c>
      <c r="P216" s="2" t="s">
        <v>354</v>
      </c>
      <c r="Q216" s="2" t="s">
        <v>928</v>
      </c>
      <c r="R216" s="2" t="s">
        <v>929</v>
      </c>
      <c r="S216" s="2" t="s">
        <v>930</v>
      </c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 t="n">
        <v>1.2859</v>
      </c>
      <c r="AG216" s="2"/>
      <c r="AH216" s="2"/>
      <c r="AI216" s="2"/>
      <c r="AJ216" s="2"/>
    </row>
    <row r="217" customFormat="false" ht="15" hidden="false" customHeight="false" outlineLevel="0" collapsed="false">
      <c r="A217" s="2" t="s">
        <v>946</v>
      </c>
      <c r="B217" s="2" t="s">
        <v>936</v>
      </c>
      <c r="C217" s="2" t="s">
        <v>38</v>
      </c>
      <c r="D217" s="2" t="s">
        <v>947</v>
      </c>
      <c r="E217" s="2" t="s">
        <v>40</v>
      </c>
      <c r="F217" s="2" t="s">
        <v>41</v>
      </c>
      <c r="G217" s="2" t="s">
        <v>42</v>
      </c>
      <c r="H217" s="2" t="s">
        <v>159</v>
      </c>
      <c r="I217" s="2" t="s">
        <v>44</v>
      </c>
      <c r="J217" s="2" t="s">
        <v>160</v>
      </c>
      <c r="K217" s="2"/>
      <c r="L217" s="2" t="s">
        <v>938</v>
      </c>
      <c r="M217" s="2" t="s">
        <v>945</v>
      </c>
      <c r="N217" s="2" t="s">
        <v>48</v>
      </c>
      <c r="O217" s="2" t="s">
        <v>163</v>
      </c>
      <c r="P217" s="2" t="s">
        <v>354</v>
      </c>
      <c r="Q217" s="2" t="s">
        <v>928</v>
      </c>
      <c r="R217" s="2" t="s">
        <v>929</v>
      </c>
      <c r="S217" s="2" t="s">
        <v>930</v>
      </c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 t="n">
        <v>1.2863</v>
      </c>
      <c r="AG217" s="2"/>
      <c r="AH217" s="2"/>
      <c r="AI217" s="2"/>
      <c r="AJ217" s="2"/>
    </row>
    <row r="218" customFormat="false" ht="15" hidden="false" customHeight="false" outlineLevel="0" collapsed="false">
      <c r="A218" s="2" t="s">
        <v>948</v>
      </c>
      <c r="B218" s="2" t="s">
        <v>936</v>
      </c>
      <c r="C218" s="2" t="s">
        <v>38</v>
      </c>
      <c r="D218" s="2" t="s">
        <v>949</v>
      </c>
      <c r="E218" s="2" t="s">
        <v>40</v>
      </c>
      <c r="F218" s="2" t="s">
        <v>41</v>
      </c>
      <c r="G218" s="2" t="s">
        <v>42</v>
      </c>
      <c r="H218" s="2" t="s">
        <v>159</v>
      </c>
      <c r="I218" s="2" t="s">
        <v>44</v>
      </c>
      <c r="J218" s="2" t="s">
        <v>160</v>
      </c>
      <c r="K218" s="2"/>
      <c r="L218" s="2" t="s">
        <v>938</v>
      </c>
      <c r="M218" s="2" t="s">
        <v>945</v>
      </c>
      <c r="N218" s="2" t="s">
        <v>48</v>
      </c>
      <c r="O218" s="2" t="s">
        <v>163</v>
      </c>
      <c r="P218" s="2" t="s">
        <v>354</v>
      </c>
      <c r="Q218" s="2" t="s">
        <v>928</v>
      </c>
      <c r="R218" s="2" t="s">
        <v>929</v>
      </c>
      <c r="S218" s="2" t="s">
        <v>930</v>
      </c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 t="n">
        <v>1.2662</v>
      </c>
      <c r="AG218" s="2"/>
      <c r="AH218" s="2"/>
      <c r="AI218" s="2"/>
      <c r="AJ218" s="2"/>
    </row>
    <row r="219" customFormat="false" ht="15" hidden="false" customHeight="false" outlineLevel="0" collapsed="false">
      <c r="A219" s="2" t="s">
        <v>950</v>
      </c>
      <c r="B219" s="2" t="s">
        <v>951</v>
      </c>
      <c r="C219" s="2" t="s">
        <v>38</v>
      </c>
      <c r="D219" s="2" t="s">
        <v>952</v>
      </c>
      <c r="E219" s="2" t="s">
        <v>40</v>
      </c>
      <c r="F219" s="2" t="s">
        <v>41</v>
      </c>
      <c r="G219" s="2" t="s">
        <v>42</v>
      </c>
      <c r="H219" s="2" t="s">
        <v>175</v>
      </c>
      <c r="I219" s="2" t="s">
        <v>44</v>
      </c>
      <c r="J219" s="2" t="s">
        <v>160</v>
      </c>
      <c r="K219" s="2"/>
      <c r="L219" s="2" t="s">
        <v>953</v>
      </c>
      <c r="M219" s="2" t="s">
        <v>945</v>
      </c>
      <c r="N219" s="2" t="s">
        <v>48</v>
      </c>
      <c r="O219" s="2" t="s">
        <v>49</v>
      </c>
      <c r="P219" s="2" t="s">
        <v>354</v>
      </c>
      <c r="Q219" s="2" t="s">
        <v>928</v>
      </c>
      <c r="R219" s="2" t="s">
        <v>929</v>
      </c>
      <c r="S219" s="2" t="s">
        <v>930</v>
      </c>
      <c r="T219" s="2" t="n">
        <v>39.2</v>
      </c>
      <c r="U219" s="2" t="n">
        <v>7.2</v>
      </c>
      <c r="V219" s="2" t="s">
        <v>52</v>
      </c>
      <c r="W219" s="2" t="n">
        <v>32.45</v>
      </c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customFormat="false" ht="15" hidden="false" customHeight="false" outlineLevel="0" collapsed="false">
      <c r="A220" s="2" t="s">
        <v>954</v>
      </c>
      <c r="B220" s="2" t="s">
        <v>951</v>
      </c>
      <c r="C220" s="2" t="s">
        <v>38</v>
      </c>
      <c r="D220" s="2" t="s">
        <v>955</v>
      </c>
      <c r="E220" s="2" t="s">
        <v>40</v>
      </c>
      <c r="F220" s="2" t="s">
        <v>41</v>
      </c>
      <c r="G220" s="2" t="s">
        <v>42</v>
      </c>
      <c r="H220" s="2" t="s">
        <v>175</v>
      </c>
      <c r="I220" s="2" t="s">
        <v>44</v>
      </c>
      <c r="J220" s="2" t="s">
        <v>160</v>
      </c>
      <c r="K220" s="2"/>
      <c r="L220" s="2" t="s">
        <v>953</v>
      </c>
      <c r="M220" s="2" t="s">
        <v>945</v>
      </c>
      <c r="N220" s="2" t="s">
        <v>48</v>
      </c>
      <c r="O220" s="2" t="s">
        <v>49</v>
      </c>
      <c r="P220" s="2" t="s">
        <v>354</v>
      </c>
      <c r="Q220" s="2" t="s">
        <v>928</v>
      </c>
      <c r="R220" s="2" t="s">
        <v>929</v>
      </c>
      <c r="S220" s="2" t="s">
        <v>930</v>
      </c>
      <c r="T220" s="2" t="n">
        <v>37.3</v>
      </c>
      <c r="U220" s="2" t="n">
        <v>7.3</v>
      </c>
      <c r="V220" s="2" t="s">
        <v>52</v>
      </c>
      <c r="W220" s="2" t="n">
        <v>32.05</v>
      </c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customFormat="false" ht="15" hidden="false" customHeight="false" outlineLevel="0" collapsed="false">
      <c r="A221" s="2" t="s">
        <v>956</v>
      </c>
      <c r="B221" s="2" t="s">
        <v>951</v>
      </c>
      <c r="C221" s="2" t="s">
        <v>38</v>
      </c>
      <c r="D221" s="2" t="s">
        <v>957</v>
      </c>
      <c r="E221" s="2" t="s">
        <v>40</v>
      </c>
      <c r="F221" s="2" t="s">
        <v>41</v>
      </c>
      <c r="G221" s="2" t="s">
        <v>42</v>
      </c>
      <c r="H221" s="2" t="s">
        <v>175</v>
      </c>
      <c r="I221" s="2" t="s">
        <v>44</v>
      </c>
      <c r="J221" s="2" t="s">
        <v>160</v>
      </c>
      <c r="K221" s="2"/>
      <c r="L221" s="2" t="s">
        <v>953</v>
      </c>
      <c r="M221" s="2" t="s">
        <v>945</v>
      </c>
      <c r="N221" s="2" t="s">
        <v>48</v>
      </c>
      <c r="O221" s="2" t="s">
        <v>49</v>
      </c>
      <c r="P221" s="2" t="s">
        <v>354</v>
      </c>
      <c r="Q221" s="2" t="s">
        <v>928</v>
      </c>
      <c r="R221" s="2" t="s">
        <v>929</v>
      </c>
      <c r="S221" s="2" t="s">
        <v>930</v>
      </c>
      <c r="T221" s="2" t="n">
        <v>37.8</v>
      </c>
      <c r="U221" s="2" t="n">
        <v>7.1</v>
      </c>
      <c r="V221" s="2" t="s">
        <v>52</v>
      </c>
      <c r="W221" s="2" t="n">
        <v>30.86</v>
      </c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customFormat="false" ht="15" hidden="false" customHeight="false" outlineLevel="0" collapsed="false">
      <c r="A222" s="2" t="s">
        <v>958</v>
      </c>
      <c r="B222" s="2" t="s">
        <v>959</v>
      </c>
      <c r="C222" s="2" t="s">
        <v>38</v>
      </c>
      <c r="D222" s="2" t="s">
        <v>960</v>
      </c>
      <c r="E222" s="2" t="s">
        <v>40</v>
      </c>
      <c r="F222" s="2" t="s">
        <v>41</v>
      </c>
      <c r="G222" s="2" t="s">
        <v>42</v>
      </c>
      <c r="H222" s="2" t="s">
        <v>159</v>
      </c>
      <c r="I222" s="2" t="s">
        <v>44</v>
      </c>
      <c r="J222" s="2" t="s">
        <v>160</v>
      </c>
      <c r="K222" s="2"/>
      <c r="L222" s="2" t="s">
        <v>961</v>
      </c>
      <c r="M222" s="2" t="s">
        <v>962</v>
      </c>
      <c r="N222" s="2" t="s">
        <v>48</v>
      </c>
      <c r="O222" s="2" t="s">
        <v>163</v>
      </c>
      <c r="P222" s="2" t="s">
        <v>354</v>
      </c>
      <c r="Q222" s="2" t="s">
        <v>963</v>
      </c>
      <c r="R222" s="2" t="s">
        <v>964</v>
      </c>
      <c r="S222" s="2" t="s">
        <v>930</v>
      </c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 t="n">
        <v>1.2811</v>
      </c>
      <c r="AG222" s="2"/>
      <c r="AH222" s="2"/>
      <c r="AI222" s="2"/>
      <c r="AJ222" s="2"/>
    </row>
    <row r="223" customFormat="false" ht="15" hidden="false" customHeight="false" outlineLevel="0" collapsed="false">
      <c r="A223" s="2" t="s">
        <v>965</v>
      </c>
      <c r="B223" s="2" t="s">
        <v>959</v>
      </c>
      <c r="C223" s="2" t="s">
        <v>38</v>
      </c>
      <c r="D223" s="2" t="s">
        <v>966</v>
      </c>
      <c r="E223" s="2" t="s">
        <v>40</v>
      </c>
      <c r="F223" s="2" t="s">
        <v>41</v>
      </c>
      <c r="G223" s="2" t="s">
        <v>42</v>
      </c>
      <c r="H223" s="2" t="s">
        <v>159</v>
      </c>
      <c r="I223" s="2" t="s">
        <v>44</v>
      </c>
      <c r="J223" s="2" t="s">
        <v>160</v>
      </c>
      <c r="K223" s="2"/>
      <c r="L223" s="2" t="s">
        <v>961</v>
      </c>
      <c r="M223" s="2" t="s">
        <v>962</v>
      </c>
      <c r="N223" s="2" t="s">
        <v>48</v>
      </c>
      <c r="O223" s="2" t="s">
        <v>163</v>
      </c>
      <c r="P223" s="2" t="s">
        <v>354</v>
      </c>
      <c r="Q223" s="2" t="s">
        <v>963</v>
      </c>
      <c r="R223" s="2" t="s">
        <v>964</v>
      </c>
      <c r="S223" s="2" t="s">
        <v>930</v>
      </c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 t="n">
        <v>1.2864</v>
      </c>
      <c r="AG223" s="2"/>
      <c r="AH223" s="2"/>
      <c r="AI223" s="2"/>
      <c r="AJ223" s="2"/>
    </row>
    <row r="224" customFormat="false" ht="15" hidden="false" customHeight="false" outlineLevel="0" collapsed="false">
      <c r="A224" s="2" t="s">
        <v>967</v>
      </c>
      <c r="B224" s="2" t="s">
        <v>959</v>
      </c>
      <c r="C224" s="2" t="s">
        <v>38</v>
      </c>
      <c r="D224" s="2" t="s">
        <v>968</v>
      </c>
      <c r="E224" s="2" t="s">
        <v>40</v>
      </c>
      <c r="F224" s="2" t="s">
        <v>41</v>
      </c>
      <c r="G224" s="2" t="s">
        <v>42</v>
      </c>
      <c r="H224" s="2" t="s">
        <v>159</v>
      </c>
      <c r="I224" s="2" t="s">
        <v>44</v>
      </c>
      <c r="J224" s="2" t="s">
        <v>160</v>
      </c>
      <c r="K224" s="2"/>
      <c r="L224" s="2" t="s">
        <v>961</v>
      </c>
      <c r="M224" s="2" t="s">
        <v>962</v>
      </c>
      <c r="N224" s="2" t="s">
        <v>48</v>
      </c>
      <c r="O224" s="2" t="s">
        <v>163</v>
      </c>
      <c r="P224" s="2" t="s">
        <v>354</v>
      </c>
      <c r="Q224" s="2" t="s">
        <v>963</v>
      </c>
      <c r="R224" s="2" t="s">
        <v>964</v>
      </c>
      <c r="S224" s="2" t="s">
        <v>930</v>
      </c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 t="n">
        <v>1.2872</v>
      </c>
      <c r="AG224" s="2"/>
      <c r="AH224" s="2"/>
      <c r="AI224" s="2"/>
      <c r="AJ224" s="2"/>
    </row>
    <row r="225" customFormat="false" ht="15" hidden="false" customHeight="false" outlineLevel="0" collapsed="false">
      <c r="A225" s="2" t="s">
        <v>969</v>
      </c>
      <c r="B225" s="2" t="s">
        <v>970</v>
      </c>
      <c r="C225" s="2" t="s">
        <v>38</v>
      </c>
      <c r="D225" s="2" t="s">
        <v>971</v>
      </c>
      <c r="E225" s="2" t="s">
        <v>40</v>
      </c>
      <c r="F225" s="2" t="s">
        <v>41</v>
      </c>
      <c r="G225" s="2" t="s">
        <v>42</v>
      </c>
      <c r="H225" s="2" t="s">
        <v>175</v>
      </c>
      <c r="I225" s="2" t="s">
        <v>44</v>
      </c>
      <c r="J225" s="2" t="s">
        <v>160</v>
      </c>
      <c r="K225" s="2"/>
      <c r="L225" s="2" t="s">
        <v>972</v>
      </c>
      <c r="M225" s="2" t="s">
        <v>962</v>
      </c>
      <c r="N225" s="2" t="s">
        <v>48</v>
      </c>
      <c r="O225" s="2" t="s">
        <v>49</v>
      </c>
      <c r="P225" s="2" t="s">
        <v>354</v>
      </c>
      <c r="Q225" s="2" t="s">
        <v>963</v>
      </c>
      <c r="R225" s="2" t="s">
        <v>964</v>
      </c>
      <c r="S225" s="2" t="s">
        <v>930</v>
      </c>
      <c r="T225" s="2" t="n">
        <v>38.6</v>
      </c>
      <c r="U225" s="2" t="n">
        <v>7.3</v>
      </c>
      <c r="V225" s="2" t="s">
        <v>52</v>
      </c>
      <c r="W225" s="2" t="n">
        <v>29.28</v>
      </c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customFormat="false" ht="15" hidden="false" customHeight="false" outlineLevel="0" collapsed="false">
      <c r="A226" s="2" t="s">
        <v>973</v>
      </c>
      <c r="B226" s="2" t="s">
        <v>970</v>
      </c>
      <c r="C226" s="2" t="s">
        <v>38</v>
      </c>
      <c r="D226" s="2" t="s">
        <v>974</v>
      </c>
      <c r="E226" s="2" t="s">
        <v>40</v>
      </c>
      <c r="F226" s="2" t="s">
        <v>41</v>
      </c>
      <c r="G226" s="2" t="s">
        <v>42</v>
      </c>
      <c r="H226" s="2" t="s">
        <v>175</v>
      </c>
      <c r="I226" s="2" t="s">
        <v>44</v>
      </c>
      <c r="J226" s="2" t="s">
        <v>160</v>
      </c>
      <c r="K226" s="2"/>
      <c r="L226" s="2" t="s">
        <v>972</v>
      </c>
      <c r="M226" s="2" t="s">
        <v>962</v>
      </c>
      <c r="N226" s="2" t="s">
        <v>48</v>
      </c>
      <c r="O226" s="2" t="s">
        <v>49</v>
      </c>
      <c r="P226" s="2" t="s">
        <v>354</v>
      </c>
      <c r="Q226" s="2" t="s">
        <v>963</v>
      </c>
      <c r="R226" s="2" t="s">
        <v>964</v>
      </c>
      <c r="S226" s="2" t="s">
        <v>930</v>
      </c>
      <c r="T226" s="2" t="n">
        <v>38.8</v>
      </c>
      <c r="U226" s="2" t="n">
        <v>7.4</v>
      </c>
      <c r="V226" s="2" t="s">
        <v>52</v>
      </c>
      <c r="W226" s="2" t="n">
        <v>29</v>
      </c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customFormat="false" ht="15" hidden="false" customHeight="false" outlineLevel="0" collapsed="false">
      <c r="A227" s="2" t="s">
        <v>975</v>
      </c>
      <c r="B227" s="2" t="s">
        <v>970</v>
      </c>
      <c r="C227" s="2" t="s">
        <v>38</v>
      </c>
      <c r="D227" s="2" t="s">
        <v>976</v>
      </c>
      <c r="E227" s="2" t="s">
        <v>40</v>
      </c>
      <c r="F227" s="2" t="s">
        <v>41</v>
      </c>
      <c r="G227" s="2" t="s">
        <v>42</v>
      </c>
      <c r="H227" s="2" t="s">
        <v>175</v>
      </c>
      <c r="I227" s="2" t="s">
        <v>44</v>
      </c>
      <c r="J227" s="2" t="s">
        <v>160</v>
      </c>
      <c r="K227" s="2"/>
      <c r="L227" s="2" t="s">
        <v>972</v>
      </c>
      <c r="M227" s="2" t="s">
        <v>962</v>
      </c>
      <c r="N227" s="2" t="s">
        <v>48</v>
      </c>
      <c r="O227" s="2" t="s">
        <v>49</v>
      </c>
      <c r="P227" s="2" t="s">
        <v>354</v>
      </c>
      <c r="Q227" s="2" t="s">
        <v>963</v>
      </c>
      <c r="R227" s="2" t="s">
        <v>964</v>
      </c>
      <c r="S227" s="2" t="s">
        <v>930</v>
      </c>
      <c r="T227" s="2" t="n">
        <v>38.8</v>
      </c>
      <c r="U227" s="2" t="n">
        <v>7.5</v>
      </c>
      <c r="V227" s="2" t="s">
        <v>52</v>
      </c>
      <c r="W227" s="2" t="n">
        <v>30.52</v>
      </c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customFormat="false" ht="15" hidden="false" customHeight="false" outlineLevel="0" collapsed="false">
      <c r="A228" s="2" t="s">
        <v>977</v>
      </c>
      <c r="B228" s="2" t="s">
        <v>970</v>
      </c>
      <c r="C228" s="2" t="s">
        <v>38</v>
      </c>
      <c r="D228" s="2" t="s">
        <v>978</v>
      </c>
      <c r="E228" s="2" t="s">
        <v>40</v>
      </c>
      <c r="F228" s="2" t="s">
        <v>41</v>
      </c>
      <c r="G228" s="2" t="s">
        <v>42</v>
      </c>
      <c r="H228" s="2" t="s">
        <v>159</v>
      </c>
      <c r="I228" s="2" t="s">
        <v>44</v>
      </c>
      <c r="J228" s="2" t="s">
        <v>160</v>
      </c>
      <c r="K228" s="2"/>
      <c r="L228" s="2" t="s">
        <v>972</v>
      </c>
      <c r="M228" s="2" t="s">
        <v>979</v>
      </c>
      <c r="N228" s="2" t="s">
        <v>48</v>
      </c>
      <c r="O228" s="2" t="s">
        <v>163</v>
      </c>
      <c r="P228" s="2" t="s">
        <v>354</v>
      </c>
      <c r="Q228" s="2" t="s">
        <v>963</v>
      </c>
      <c r="R228" s="2" t="s">
        <v>964</v>
      </c>
      <c r="S228" s="2" t="s">
        <v>930</v>
      </c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 t="n">
        <v>1.2872</v>
      </c>
      <c r="AG228" s="2"/>
      <c r="AH228" s="2"/>
      <c r="AI228" s="2"/>
      <c r="AJ228" s="2"/>
    </row>
    <row r="229" customFormat="false" ht="15" hidden="false" customHeight="false" outlineLevel="0" collapsed="false">
      <c r="A229" s="2" t="s">
        <v>980</v>
      </c>
      <c r="B229" s="2" t="s">
        <v>970</v>
      </c>
      <c r="C229" s="2" t="s">
        <v>38</v>
      </c>
      <c r="D229" s="2" t="s">
        <v>981</v>
      </c>
      <c r="E229" s="2" t="s">
        <v>40</v>
      </c>
      <c r="F229" s="2" t="s">
        <v>41</v>
      </c>
      <c r="G229" s="2" t="s">
        <v>42</v>
      </c>
      <c r="H229" s="2" t="s">
        <v>159</v>
      </c>
      <c r="I229" s="2" t="s">
        <v>44</v>
      </c>
      <c r="J229" s="2" t="s">
        <v>160</v>
      </c>
      <c r="K229" s="2"/>
      <c r="L229" s="2" t="s">
        <v>972</v>
      </c>
      <c r="M229" s="2" t="s">
        <v>979</v>
      </c>
      <c r="N229" s="2" t="s">
        <v>48</v>
      </c>
      <c r="O229" s="2" t="s">
        <v>163</v>
      </c>
      <c r="P229" s="2" t="s">
        <v>354</v>
      </c>
      <c r="Q229" s="2" t="s">
        <v>963</v>
      </c>
      <c r="R229" s="2" t="s">
        <v>964</v>
      </c>
      <c r="S229" s="2" t="s">
        <v>930</v>
      </c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 t="n">
        <v>1.2858</v>
      </c>
      <c r="AG229" s="2"/>
      <c r="AH229" s="2"/>
      <c r="AI229" s="2"/>
      <c r="AJ229" s="2"/>
    </row>
    <row r="230" customFormat="false" ht="15" hidden="false" customHeight="false" outlineLevel="0" collapsed="false">
      <c r="A230" s="2" t="s">
        <v>982</v>
      </c>
      <c r="B230" s="2" t="s">
        <v>970</v>
      </c>
      <c r="C230" s="2" t="s">
        <v>38</v>
      </c>
      <c r="D230" s="2" t="s">
        <v>983</v>
      </c>
      <c r="E230" s="2" t="s">
        <v>40</v>
      </c>
      <c r="F230" s="2" t="s">
        <v>41</v>
      </c>
      <c r="G230" s="2" t="s">
        <v>42</v>
      </c>
      <c r="H230" s="2" t="s">
        <v>159</v>
      </c>
      <c r="I230" s="2" t="s">
        <v>44</v>
      </c>
      <c r="J230" s="2" t="s">
        <v>160</v>
      </c>
      <c r="K230" s="2"/>
      <c r="L230" s="2" t="s">
        <v>972</v>
      </c>
      <c r="M230" s="2" t="s">
        <v>979</v>
      </c>
      <c r="N230" s="2" t="s">
        <v>48</v>
      </c>
      <c r="O230" s="2" t="s">
        <v>163</v>
      </c>
      <c r="P230" s="2" t="s">
        <v>354</v>
      </c>
      <c r="Q230" s="2" t="s">
        <v>963</v>
      </c>
      <c r="R230" s="2" t="s">
        <v>964</v>
      </c>
      <c r="S230" s="2" t="s">
        <v>930</v>
      </c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 t="n">
        <v>1.2873</v>
      </c>
      <c r="AG230" s="2"/>
      <c r="AH230" s="2"/>
      <c r="AI230" s="2"/>
      <c r="AJ230" s="2"/>
    </row>
    <row r="231" customFormat="false" ht="15" hidden="false" customHeight="false" outlineLevel="0" collapsed="false">
      <c r="A231" s="2" t="s">
        <v>984</v>
      </c>
      <c r="B231" s="2" t="s">
        <v>985</v>
      </c>
      <c r="C231" s="2" t="s">
        <v>38</v>
      </c>
      <c r="D231" s="2" t="s">
        <v>986</v>
      </c>
      <c r="E231" s="2" t="s">
        <v>40</v>
      </c>
      <c r="F231" s="2" t="s">
        <v>41</v>
      </c>
      <c r="G231" s="2" t="s">
        <v>42</v>
      </c>
      <c r="H231" s="2" t="s">
        <v>175</v>
      </c>
      <c r="I231" s="2" t="s">
        <v>44</v>
      </c>
      <c r="J231" s="2" t="s">
        <v>160</v>
      </c>
      <c r="K231" s="2"/>
      <c r="L231" s="2" t="s">
        <v>987</v>
      </c>
      <c r="M231" s="2" t="s">
        <v>979</v>
      </c>
      <c r="N231" s="2" t="s">
        <v>48</v>
      </c>
      <c r="O231" s="2" t="s">
        <v>49</v>
      </c>
      <c r="P231" s="2" t="s">
        <v>354</v>
      </c>
      <c r="Q231" s="2" t="s">
        <v>963</v>
      </c>
      <c r="R231" s="2" t="s">
        <v>964</v>
      </c>
      <c r="S231" s="2" t="s">
        <v>930</v>
      </c>
      <c r="T231" s="2" t="n">
        <v>38.7</v>
      </c>
      <c r="U231" s="2" t="n">
        <v>7.4</v>
      </c>
      <c r="V231" s="2" t="s">
        <v>52</v>
      </c>
      <c r="W231" s="2" t="n">
        <v>31.09</v>
      </c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customFormat="false" ht="15" hidden="false" customHeight="false" outlineLevel="0" collapsed="false">
      <c r="A232" s="2" t="s">
        <v>988</v>
      </c>
      <c r="B232" s="2" t="s">
        <v>985</v>
      </c>
      <c r="C232" s="2" t="s">
        <v>38</v>
      </c>
      <c r="D232" s="2" t="s">
        <v>989</v>
      </c>
      <c r="E232" s="2" t="s">
        <v>40</v>
      </c>
      <c r="F232" s="2" t="s">
        <v>41</v>
      </c>
      <c r="G232" s="2" t="s">
        <v>42</v>
      </c>
      <c r="H232" s="2" t="s">
        <v>175</v>
      </c>
      <c r="I232" s="2" t="s">
        <v>44</v>
      </c>
      <c r="J232" s="2" t="s">
        <v>160</v>
      </c>
      <c r="K232" s="2"/>
      <c r="L232" s="2" t="s">
        <v>987</v>
      </c>
      <c r="M232" s="2" t="s">
        <v>979</v>
      </c>
      <c r="N232" s="2" t="s">
        <v>48</v>
      </c>
      <c r="O232" s="2" t="s">
        <v>49</v>
      </c>
      <c r="P232" s="2" t="s">
        <v>354</v>
      </c>
      <c r="Q232" s="2" t="s">
        <v>963</v>
      </c>
      <c r="R232" s="2" t="s">
        <v>964</v>
      </c>
      <c r="S232" s="2" t="s">
        <v>930</v>
      </c>
      <c r="T232" s="2" t="n">
        <v>41.2</v>
      </c>
      <c r="U232" s="2" t="n">
        <v>7.4</v>
      </c>
      <c r="V232" s="2" t="s">
        <v>52</v>
      </c>
      <c r="W232" s="2" t="n">
        <v>27.87</v>
      </c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customFormat="false" ht="15" hidden="false" customHeight="false" outlineLevel="0" collapsed="false">
      <c r="A233" s="2" t="s">
        <v>990</v>
      </c>
      <c r="B233" s="2" t="s">
        <v>985</v>
      </c>
      <c r="C233" s="2" t="s">
        <v>38</v>
      </c>
      <c r="D233" s="2" t="s">
        <v>991</v>
      </c>
      <c r="E233" s="2" t="s">
        <v>40</v>
      </c>
      <c r="F233" s="2" t="s">
        <v>41</v>
      </c>
      <c r="G233" s="2" t="s">
        <v>42</v>
      </c>
      <c r="H233" s="2" t="s">
        <v>175</v>
      </c>
      <c r="I233" s="2" t="s">
        <v>44</v>
      </c>
      <c r="J233" s="2" t="s">
        <v>160</v>
      </c>
      <c r="K233" s="2"/>
      <c r="L233" s="2" t="s">
        <v>987</v>
      </c>
      <c r="M233" s="2" t="s">
        <v>979</v>
      </c>
      <c r="N233" s="2" t="s">
        <v>48</v>
      </c>
      <c r="O233" s="2" t="s">
        <v>49</v>
      </c>
      <c r="P233" s="2" t="s">
        <v>354</v>
      </c>
      <c r="Q233" s="2" t="s">
        <v>963</v>
      </c>
      <c r="R233" s="2" t="s">
        <v>964</v>
      </c>
      <c r="S233" s="2" t="s">
        <v>930</v>
      </c>
      <c r="T233" s="2" t="n">
        <v>39.7</v>
      </c>
      <c r="U233" s="2" t="n">
        <v>7.5</v>
      </c>
      <c r="V233" s="2" t="s">
        <v>52</v>
      </c>
      <c r="W233" s="2" t="n">
        <v>26.17</v>
      </c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customFormat="false" ht="15" hidden="false" customHeight="false" outlineLevel="0" collapsed="false">
      <c r="A234" s="2" t="s">
        <v>992</v>
      </c>
      <c r="B234" s="2" t="s">
        <v>985</v>
      </c>
      <c r="C234" s="2" t="s">
        <v>38</v>
      </c>
      <c r="D234" s="2" t="s">
        <v>993</v>
      </c>
      <c r="E234" s="2" t="s">
        <v>40</v>
      </c>
      <c r="F234" s="2" t="s">
        <v>41</v>
      </c>
      <c r="G234" s="2" t="s">
        <v>42</v>
      </c>
      <c r="H234" s="2" t="s">
        <v>159</v>
      </c>
      <c r="I234" s="2" t="s">
        <v>44</v>
      </c>
      <c r="J234" s="2" t="s">
        <v>160</v>
      </c>
      <c r="K234" s="2"/>
      <c r="L234" s="2" t="s">
        <v>987</v>
      </c>
      <c r="M234" s="2" t="s">
        <v>994</v>
      </c>
      <c r="N234" s="2" t="s">
        <v>48</v>
      </c>
      <c r="O234" s="2" t="s">
        <v>163</v>
      </c>
      <c r="P234" s="2" t="s">
        <v>995</v>
      </c>
      <c r="Q234" s="2" t="s">
        <v>996</v>
      </c>
      <c r="R234" s="2" t="s">
        <v>997</v>
      </c>
      <c r="S234" s="2" t="s">
        <v>998</v>
      </c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 t="n">
        <v>1.2645</v>
      </c>
      <c r="AG234" s="2"/>
      <c r="AH234" s="2"/>
      <c r="AI234" s="2"/>
      <c r="AJ234" s="2"/>
    </row>
    <row r="235" customFormat="false" ht="15" hidden="false" customHeight="false" outlineLevel="0" collapsed="false">
      <c r="A235" s="2" t="s">
        <v>999</v>
      </c>
      <c r="B235" s="2" t="s">
        <v>985</v>
      </c>
      <c r="C235" s="2" t="s">
        <v>38</v>
      </c>
      <c r="D235" s="2" t="s">
        <v>1000</v>
      </c>
      <c r="E235" s="2" t="s">
        <v>40</v>
      </c>
      <c r="F235" s="2" t="s">
        <v>41</v>
      </c>
      <c r="G235" s="2" t="s">
        <v>42</v>
      </c>
      <c r="H235" s="2" t="s">
        <v>159</v>
      </c>
      <c r="I235" s="2" t="s">
        <v>44</v>
      </c>
      <c r="J235" s="2" t="s">
        <v>160</v>
      </c>
      <c r="K235" s="2"/>
      <c r="L235" s="2" t="s">
        <v>987</v>
      </c>
      <c r="M235" s="2" t="s">
        <v>994</v>
      </c>
      <c r="N235" s="2" t="s">
        <v>48</v>
      </c>
      <c r="O235" s="2" t="s">
        <v>163</v>
      </c>
      <c r="P235" s="2" t="s">
        <v>995</v>
      </c>
      <c r="Q235" s="2" t="s">
        <v>996</v>
      </c>
      <c r="R235" s="2" t="s">
        <v>997</v>
      </c>
      <c r="S235" s="2" t="s">
        <v>998</v>
      </c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 t="n">
        <v>1.2645</v>
      </c>
      <c r="AG235" s="2"/>
      <c r="AH235" s="2"/>
      <c r="AI235" s="2"/>
      <c r="AJ235" s="2"/>
    </row>
    <row r="236" customFormat="false" ht="15" hidden="false" customHeight="false" outlineLevel="0" collapsed="false">
      <c r="A236" s="2" t="s">
        <v>1001</v>
      </c>
      <c r="B236" s="2" t="s">
        <v>985</v>
      </c>
      <c r="C236" s="2" t="s">
        <v>38</v>
      </c>
      <c r="D236" s="2" t="s">
        <v>1002</v>
      </c>
      <c r="E236" s="2" t="s">
        <v>40</v>
      </c>
      <c r="F236" s="2" t="s">
        <v>41</v>
      </c>
      <c r="G236" s="2" t="s">
        <v>42</v>
      </c>
      <c r="H236" s="2" t="s">
        <v>159</v>
      </c>
      <c r="I236" s="2" t="s">
        <v>44</v>
      </c>
      <c r="J236" s="2" t="s">
        <v>160</v>
      </c>
      <c r="K236" s="2"/>
      <c r="L236" s="2" t="s">
        <v>987</v>
      </c>
      <c r="M236" s="2" t="s">
        <v>994</v>
      </c>
      <c r="N236" s="2" t="s">
        <v>48</v>
      </c>
      <c r="O236" s="2" t="s">
        <v>163</v>
      </c>
      <c r="P236" s="2" t="s">
        <v>995</v>
      </c>
      <c r="Q236" s="2" t="s">
        <v>996</v>
      </c>
      <c r="R236" s="2" t="s">
        <v>997</v>
      </c>
      <c r="S236" s="2" t="s">
        <v>998</v>
      </c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 t="n">
        <v>1.2642</v>
      </c>
      <c r="AG236" s="2"/>
      <c r="AH236" s="2"/>
      <c r="AI236" s="2"/>
      <c r="AJ236" s="2"/>
    </row>
    <row r="237" customFormat="false" ht="15" hidden="false" customHeight="false" outlineLevel="0" collapsed="false">
      <c r="A237" s="2" t="s">
        <v>1003</v>
      </c>
      <c r="B237" s="2" t="s">
        <v>1004</v>
      </c>
      <c r="C237" s="2" t="s">
        <v>38</v>
      </c>
      <c r="D237" s="2" t="s">
        <v>1005</v>
      </c>
      <c r="E237" s="2" t="s">
        <v>40</v>
      </c>
      <c r="F237" s="2" t="s">
        <v>41</v>
      </c>
      <c r="G237" s="2" t="s">
        <v>42</v>
      </c>
      <c r="H237" s="2" t="s">
        <v>159</v>
      </c>
      <c r="I237" s="2" t="s">
        <v>44</v>
      </c>
      <c r="J237" s="2" t="s">
        <v>160</v>
      </c>
      <c r="K237" s="2"/>
      <c r="L237" s="2" t="s">
        <v>1006</v>
      </c>
      <c r="M237" s="2" t="s">
        <v>1007</v>
      </c>
      <c r="N237" s="2" t="s">
        <v>48</v>
      </c>
      <c r="O237" s="2" t="s">
        <v>163</v>
      </c>
      <c r="P237" s="2" t="s">
        <v>995</v>
      </c>
      <c r="Q237" s="2" t="s">
        <v>1008</v>
      </c>
      <c r="R237" s="2" t="s">
        <v>1009</v>
      </c>
      <c r="S237" s="2" t="s">
        <v>1010</v>
      </c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 t="n">
        <v>0.0013</v>
      </c>
      <c r="AG237" s="2"/>
      <c r="AH237" s="2"/>
      <c r="AI237" s="2"/>
      <c r="AJ237" s="2"/>
    </row>
    <row r="238" customFormat="false" ht="15" hidden="false" customHeight="false" outlineLevel="0" collapsed="false">
      <c r="A238" s="2" t="s">
        <v>1011</v>
      </c>
      <c r="B238" s="2" t="s">
        <v>1004</v>
      </c>
      <c r="C238" s="2" t="s">
        <v>38</v>
      </c>
      <c r="D238" s="2" t="s">
        <v>1012</v>
      </c>
      <c r="E238" s="2" t="s">
        <v>40</v>
      </c>
      <c r="F238" s="2" t="s">
        <v>41</v>
      </c>
      <c r="G238" s="2" t="s">
        <v>42</v>
      </c>
      <c r="H238" s="2" t="s">
        <v>159</v>
      </c>
      <c r="I238" s="2" t="s">
        <v>44</v>
      </c>
      <c r="J238" s="2" t="s">
        <v>160</v>
      </c>
      <c r="K238" s="2"/>
      <c r="L238" s="2" t="s">
        <v>1006</v>
      </c>
      <c r="M238" s="2" t="s">
        <v>1007</v>
      </c>
      <c r="N238" s="2" t="s">
        <v>48</v>
      </c>
      <c r="O238" s="2" t="s">
        <v>163</v>
      </c>
      <c r="P238" s="2" t="s">
        <v>995</v>
      </c>
      <c r="Q238" s="2" t="s">
        <v>1008</v>
      </c>
      <c r="R238" s="2" t="s">
        <v>1009</v>
      </c>
      <c r="S238" s="2" t="s">
        <v>1010</v>
      </c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 t="n">
        <v>0.0013</v>
      </c>
      <c r="AG238" s="2"/>
      <c r="AH238" s="2"/>
      <c r="AI238" s="2"/>
      <c r="AJ238" s="2"/>
    </row>
    <row r="239" customFormat="false" ht="15" hidden="false" customHeight="false" outlineLevel="0" collapsed="false">
      <c r="A239" s="2" t="s">
        <v>1013</v>
      </c>
      <c r="B239" s="2" t="s">
        <v>1004</v>
      </c>
      <c r="C239" s="2" t="s">
        <v>38</v>
      </c>
      <c r="D239" s="2" t="s">
        <v>1014</v>
      </c>
      <c r="E239" s="2" t="s">
        <v>40</v>
      </c>
      <c r="F239" s="2" t="s">
        <v>41</v>
      </c>
      <c r="G239" s="2" t="s">
        <v>42</v>
      </c>
      <c r="H239" s="2" t="s">
        <v>159</v>
      </c>
      <c r="I239" s="2" t="s">
        <v>44</v>
      </c>
      <c r="J239" s="2" t="s">
        <v>160</v>
      </c>
      <c r="K239" s="2"/>
      <c r="L239" s="2" t="s">
        <v>1006</v>
      </c>
      <c r="M239" s="2" t="s">
        <v>1007</v>
      </c>
      <c r="N239" s="2" t="s">
        <v>48</v>
      </c>
      <c r="O239" s="2" t="s">
        <v>163</v>
      </c>
      <c r="P239" s="2" t="s">
        <v>995</v>
      </c>
      <c r="Q239" s="2" t="s">
        <v>1008</v>
      </c>
      <c r="R239" s="2" t="s">
        <v>1009</v>
      </c>
      <c r="S239" s="2" t="s">
        <v>1010</v>
      </c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 t="n">
        <v>0.0013</v>
      </c>
      <c r="AG239" s="2"/>
      <c r="AH239" s="2"/>
      <c r="AI239" s="2"/>
      <c r="AJ239" s="2"/>
    </row>
    <row r="240" customFormat="false" ht="15" hidden="false" customHeight="false" outlineLevel="0" collapsed="false">
      <c r="A240" s="2" t="s">
        <v>1015</v>
      </c>
      <c r="B240" s="2" t="s">
        <v>1004</v>
      </c>
      <c r="C240" s="2" t="s">
        <v>38</v>
      </c>
      <c r="D240" s="2" t="s">
        <v>1016</v>
      </c>
      <c r="E240" s="2" t="s">
        <v>40</v>
      </c>
      <c r="F240" s="2" t="s">
        <v>41</v>
      </c>
      <c r="G240" s="2" t="s">
        <v>42</v>
      </c>
      <c r="H240" s="2" t="s">
        <v>175</v>
      </c>
      <c r="I240" s="2" t="s">
        <v>44</v>
      </c>
      <c r="J240" s="2" t="s">
        <v>160</v>
      </c>
      <c r="K240" s="2"/>
      <c r="L240" s="2" t="s">
        <v>1006</v>
      </c>
      <c r="M240" s="2" t="s">
        <v>994</v>
      </c>
      <c r="N240" s="2" t="s">
        <v>48</v>
      </c>
      <c r="O240" s="2" t="s">
        <v>49</v>
      </c>
      <c r="P240" s="2" t="s">
        <v>995</v>
      </c>
      <c r="Q240" s="2" t="s">
        <v>996</v>
      </c>
      <c r="R240" s="2" t="s">
        <v>997</v>
      </c>
      <c r="S240" s="2" t="s">
        <v>998</v>
      </c>
      <c r="T240" s="2" t="n">
        <v>40.6</v>
      </c>
      <c r="U240" s="2" t="n">
        <v>6.9</v>
      </c>
      <c r="V240" s="2" t="s">
        <v>52</v>
      </c>
      <c r="W240" s="2" t="n">
        <v>30.21</v>
      </c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customFormat="false" ht="15" hidden="false" customHeight="false" outlineLevel="0" collapsed="false">
      <c r="A241" s="2" t="s">
        <v>1017</v>
      </c>
      <c r="B241" s="2" t="s">
        <v>1004</v>
      </c>
      <c r="C241" s="2" t="s">
        <v>38</v>
      </c>
      <c r="D241" s="2" t="s">
        <v>1018</v>
      </c>
      <c r="E241" s="2" t="s">
        <v>40</v>
      </c>
      <c r="F241" s="2" t="s">
        <v>41</v>
      </c>
      <c r="G241" s="2" t="s">
        <v>42</v>
      </c>
      <c r="H241" s="2" t="s">
        <v>175</v>
      </c>
      <c r="I241" s="2" t="s">
        <v>44</v>
      </c>
      <c r="J241" s="2" t="s">
        <v>160</v>
      </c>
      <c r="K241" s="2"/>
      <c r="L241" s="2" t="s">
        <v>1006</v>
      </c>
      <c r="M241" s="2" t="s">
        <v>994</v>
      </c>
      <c r="N241" s="2" t="s">
        <v>48</v>
      </c>
      <c r="O241" s="2" t="s">
        <v>49</v>
      </c>
      <c r="P241" s="2" t="s">
        <v>995</v>
      </c>
      <c r="Q241" s="2" t="s">
        <v>996</v>
      </c>
      <c r="R241" s="2" t="s">
        <v>997</v>
      </c>
      <c r="S241" s="2" t="s">
        <v>998</v>
      </c>
      <c r="T241" s="2" t="n">
        <v>39.6</v>
      </c>
      <c r="U241" s="2" t="n">
        <v>6.9</v>
      </c>
      <c r="V241" s="2" t="s">
        <v>52</v>
      </c>
      <c r="W241" s="2" t="n">
        <v>27.59</v>
      </c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customFormat="false" ht="15" hidden="false" customHeight="false" outlineLevel="0" collapsed="false">
      <c r="A242" s="2" t="s">
        <v>1019</v>
      </c>
      <c r="B242" s="2" t="s">
        <v>1004</v>
      </c>
      <c r="C242" s="2" t="s">
        <v>38</v>
      </c>
      <c r="D242" s="2" t="s">
        <v>1020</v>
      </c>
      <c r="E242" s="2" t="s">
        <v>40</v>
      </c>
      <c r="F242" s="2" t="s">
        <v>41</v>
      </c>
      <c r="G242" s="2" t="s">
        <v>42</v>
      </c>
      <c r="H242" s="2" t="s">
        <v>175</v>
      </c>
      <c r="I242" s="2" t="s">
        <v>44</v>
      </c>
      <c r="J242" s="2" t="s">
        <v>160</v>
      </c>
      <c r="K242" s="2"/>
      <c r="L242" s="2" t="s">
        <v>1006</v>
      </c>
      <c r="M242" s="2" t="s">
        <v>994</v>
      </c>
      <c r="N242" s="2" t="s">
        <v>48</v>
      </c>
      <c r="O242" s="2" t="s">
        <v>49</v>
      </c>
      <c r="P242" s="2" t="s">
        <v>995</v>
      </c>
      <c r="Q242" s="2" t="s">
        <v>996</v>
      </c>
      <c r="R242" s="2" t="s">
        <v>997</v>
      </c>
      <c r="S242" s="2" t="s">
        <v>998</v>
      </c>
      <c r="T242" s="2" t="n">
        <v>37.8</v>
      </c>
      <c r="U242" s="2" t="n">
        <v>6.9</v>
      </c>
      <c r="V242" s="2" t="s">
        <v>52</v>
      </c>
      <c r="W242" s="2" t="n">
        <v>26.56</v>
      </c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customFormat="false" ht="15" hidden="false" customHeight="false" outlineLevel="0" collapsed="false">
      <c r="A243" s="2" t="s">
        <v>1021</v>
      </c>
      <c r="B243" s="2" t="s">
        <v>1022</v>
      </c>
      <c r="C243" s="2" t="s">
        <v>38</v>
      </c>
      <c r="D243" s="2" t="s">
        <v>1023</v>
      </c>
      <c r="E243" s="2" t="s">
        <v>40</v>
      </c>
      <c r="F243" s="2" t="s">
        <v>41</v>
      </c>
      <c r="G243" s="2" t="s">
        <v>42</v>
      </c>
      <c r="H243" s="2" t="s">
        <v>175</v>
      </c>
      <c r="I243" s="2" t="s">
        <v>44</v>
      </c>
      <c r="J243" s="2" t="s">
        <v>160</v>
      </c>
      <c r="K243" s="2"/>
      <c r="L243" s="2" t="s">
        <v>1024</v>
      </c>
      <c r="M243" s="2" t="s">
        <v>1007</v>
      </c>
      <c r="N243" s="2" t="s">
        <v>48</v>
      </c>
      <c r="O243" s="2" t="s">
        <v>49</v>
      </c>
      <c r="P243" s="2" t="s">
        <v>995</v>
      </c>
      <c r="Q243" s="2" t="s">
        <v>1008</v>
      </c>
      <c r="R243" s="2" t="s">
        <v>1009</v>
      </c>
      <c r="S243" s="2" t="s">
        <v>1010</v>
      </c>
      <c r="T243" s="2" t="n">
        <v>47.4</v>
      </c>
      <c r="U243" s="2" t="n">
        <v>6.4</v>
      </c>
      <c r="V243" s="2" t="s">
        <v>52</v>
      </c>
      <c r="W243" s="2" t="n">
        <v>22.8</v>
      </c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customFormat="false" ht="15" hidden="false" customHeight="false" outlineLevel="0" collapsed="false">
      <c r="A244" s="2" t="s">
        <v>1025</v>
      </c>
      <c r="B244" s="2" t="s">
        <v>1022</v>
      </c>
      <c r="C244" s="2" t="s">
        <v>38</v>
      </c>
      <c r="D244" s="2" t="s">
        <v>1026</v>
      </c>
      <c r="E244" s="2" t="s">
        <v>40</v>
      </c>
      <c r="F244" s="2" t="s">
        <v>41</v>
      </c>
      <c r="G244" s="2" t="s">
        <v>42</v>
      </c>
      <c r="H244" s="2" t="s">
        <v>175</v>
      </c>
      <c r="I244" s="2" t="s">
        <v>44</v>
      </c>
      <c r="J244" s="2" t="s">
        <v>160</v>
      </c>
      <c r="K244" s="2"/>
      <c r="L244" s="2" t="s">
        <v>1024</v>
      </c>
      <c r="M244" s="2" t="s">
        <v>1007</v>
      </c>
      <c r="N244" s="2" t="s">
        <v>48</v>
      </c>
      <c r="O244" s="2" t="s">
        <v>49</v>
      </c>
      <c r="P244" s="2" t="s">
        <v>995</v>
      </c>
      <c r="Q244" s="2" t="s">
        <v>1008</v>
      </c>
      <c r="R244" s="2" t="s">
        <v>1009</v>
      </c>
      <c r="S244" s="2" t="s">
        <v>1010</v>
      </c>
      <c r="T244" s="2" t="n">
        <v>49.8</v>
      </c>
      <c r="U244" s="2" t="n">
        <v>6.4</v>
      </c>
      <c r="V244" s="2" t="s">
        <v>52</v>
      </c>
      <c r="W244" s="2" t="n">
        <v>24.93</v>
      </c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customFormat="false" ht="15" hidden="false" customHeight="false" outlineLevel="0" collapsed="false">
      <c r="A245" s="2" t="s">
        <v>1027</v>
      </c>
      <c r="B245" s="2" t="s">
        <v>1022</v>
      </c>
      <c r="C245" s="2" t="s">
        <v>38</v>
      </c>
      <c r="D245" s="2" t="s">
        <v>1028</v>
      </c>
      <c r="E245" s="2" t="s">
        <v>40</v>
      </c>
      <c r="F245" s="2" t="s">
        <v>41</v>
      </c>
      <c r="G245" s="2" t="s">
        <v>42</v>
      </c>
      <c r="H245" s="2" t="s">
        <v>175</v>
      </c>
      <c r="I245" s="2" t="s">
        <v>44</v>
      </c>
      <c r="J245" s="2" t="s">
        <v>160</v>
      </c>
      <c r="K245" s="2"/>
      <c r="L245" s="2" t="s">
        <v>1024</v>
      </c>
      <c r="M245" s="2" t="s">
        <v>1007</v>
      </c>
      <c r="N245" s="2" t="s">
        <v>48</v>
      </c>
      <c r="O245" s="2" t="s">
        <v>49</v>
      </c>
      <c r="P245" s="2" t="s">
        <v>995</v>
      </c>
      <c r="Q245" s="2" t="s">
        <v>1008</v>
      </c>
      <c r="R245" s="2" t="s">
        <v>1009</v>
      </c>
      <c r="S245" s="2" t="s">
        <v>1010</v>
      </c>
      <c r="T245" s="2" t="n">
        <v>38.6</v>
      </c>
      <c r="U245" s="2" t="n">
        <v>6.7</v>
      </c>
      <c r="V245" s="2" t="s">
        <v>52</v>
      </c>
      <c r="W245" s="2" t="n">
        <v>23.1</v>
      </c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customFormat="false" ht="15" hidden="false" customHeight="false" outlineLevel="0" collapsed="false">
      <c r="A246" s="2" t="s">
        <v>1029</v>
      </c>
      <c r="B246" s="2" t="s">
        <v>1030</v>
      </c>
      <c r="C246" s="2" t="s">
        <v>38</v>
      </c>
      <c r="D246" s="2" t="s">
        <v>1031</v>
      </c>
      <c r="E246" s="2" t="s">
        <v>40</v>
      </c>
      <c r="F246" s="2" t="s">
        <v>41</v>
      </c>
      <c r="G246" s="2" t="s">
        <v>42</v>
      </c>
      <c r="H246" s="2" t="s">
        <v>159</v>
      </c>
      <c r="I246" s="2" t="s">
        <v>44</v>
      </c>
      <c r="J246" s="2" t="s">
        <v>160</v>
      </c>
      <c r="K246" s="2"/>
      <c r="L246" s="2" t="s">
        <v>1032</v>
      </c>
      <c r="M246" s="2" t="s">
        <v>1033</v>
      </c>
      <c r="N246" s="2" t="s">
        <v>48</v>
      </c>
      <c r="O246" s="2" t="s">
        <v>163</v>
      </c>
      <c r="P246" s="2" t="s">
        <v>995</v>
      </c>
      <c r="Q246" s="2" t="s">
        <v>1008</v>
      </c>
      <c r="R246" s="2" t="s">
        <v>1009</v>
      </c>
      <c r="S246" s="2" t="s">
        <v>1010</v>
      </c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 t="n">
        <v>0.0013</v>
      </c>
      <c r="AG246" s="2"/>
      <c r="AH246" s="2"/>
      <c r="AI246" s="2"/>
      <c r="AJ246" s="2"/>
    </row>
    <row r="247" customFormat="false" ht="15" hidden="false" customHeight="false" outlineLevel="0" collapsed="false">
      <c r="A247" s="2" t="s">
        <v>1034</v>
      </c>
      <c r="B247" s="2" t="s">
        <v>1030</v>
      </c>
      <c r="C247" s="2" t="s">
        <v>38</v>
      </c>
      <c r="D247" s="2" t="s">
        <v>1035</v>
      </c>
      <c r="E247" s="2" t="s">
        <v>40</v>
      </c>
      <c r="F247" s="2" t="s">
        <v>41</v>
      </c>
      <c r="G247" s="2" t="s">
        <v>42</v>
      </c>
      <c r="H247" s="2" t="s">
        <v>159</v>
      </c>
      <c r="I247" s="2" t="s">
        <v>44</v>
      </c>
      <c r="J247" s="2" t="s">
        <v>160</v>
      </c>
      <c r="K247" s="2"/>
      <c r="L247" s="2" t="s">
        <v>1032</v>
      </c>
      <c r="M247" s="2" t="s">
        <v>1033</v>
      </c>
      <c r="N247" s="2" t="s">
        <v>48</v>
      </c>
      <c r="O247" s="2" t="s">
        <v>163</v>
      </c>
      <c r="P247" s="2" t="s">
        <v>995</v>
      </c>
      <c r="Q247" s="2" t="s">
        <v>1008</v>
      </c>
      <c r="R247" s="2" t="s">
        <v>1009</v>
      </c>
      <c r="S247" s="2" t="s">
        <v>1010</v>
      </c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 t="n">
        <v>0.0013</v>
      </c>
      <c r="AG247" s="2"/>
      <c r="AH247" s="2"/>
      <c r="AI247" s="2"/>
      <c r="AJ247" s="2"/>
    </row>
    <row r="248" customFormat="false" ht="15" hidden="false" customHeight="false" outlineLevel="0" collapsed="false">
      <c r="A248" s="2" t="s">
        <v>1036</v>
      </c>
      <c r="B248" s="2" t="s">
        <v>1030</v>
      </c>
      <c r="C248" s="2" t="s">
        <v>38</v>
      </c>
      <c r="D248" s="2" t="s">
        <v>1037</v>
      </c>
      <c r="E248" s="2" t="s">
        <v>40</v>
      </c>
      <c r="F248" s="2" t="s">
        <v>41</v>
      </c>
      <c r="G248" s="2" t="s">
        <v>42</v>
      </c>
      <c r="H248" s="2" t="s">
        <v>159</v>
      </c>
      <c r="I248" s="2" t="s">
        <v>44</v>
      </c>
      <c r="J248" s="2" t="s">
        <v>160</v>
      </c>
      <c r="K248" s="2"/>
      <c r="L248" s="2" t="s">
        <v>1032</v>
      </c>
      <c r="M248" s="2" t="s">
        <v>1033</v>
      </c>
      <c r="N248" s="2" t="s">
        <v>48</v>
      </c>
      <c r="O248" s="2" t="s">
        <v>163</v>
      </c>
      <c r="P248" s="2" t="s">
        <v>995</v>
      </c>
      <c r="Q248" s="2" t="s">
        <v>1008</v>
      </c>
      <c r="R248" s="2" t="s">
        <v>1009</v>
      </c>
      <c r="S248" s="2" t="s">
        <v>1010</v>
      </c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 t="n">
        <v>0.0013</v>
      </c>
      <c r="AG248" s="2"/>
      <c r="AH248" s="2"/>
      <c r="AI248" s="2"/>
      <c r="AJ248" s="2"/>
    </row>
    <row r="249" customFormat="false" ht="15" hidden="false" customHeight="false" outlineLevel="0" collapsed="false">
      <c r="A249" s="2" t="s">
        <v>1038</v>
      </c>
      <c r="B249" s="2" t="s">
        <v>1039</v>
      </c>
      <c r="C249" s="2" t="s">
        <v>38</v>
      </c>
      <c r="D249" s="2" t="s">
        <v>1040</v>
      </c>
      <c r="E249" s="2" t="s">
        <v>40</v>
      </c>
      <c r="F249" s="2" t="s">
        <v>41</v>
      </c>
      <c r="G249" s="2" t="s">
        <v>42</v>
      </c>
      <c r="H249" s="2" t="s">
        <v>175</v>
      </c>
      <c r="I249" s="2" t="s">
        <v>44</v>
      </c>
      <c r="J249" s="2" t="s">
        <v>160</v>
      </c>
      <c r="K249" s="2"/>
      <c r="L249" s="2" t="s">
        <v>1041</v>
      </c>
      <c r="M249" s="2" t="s">
        <v>1033</v>
      </c>
      <c r="N249" s="2" t="s">
        <v>48</v>
      </c>
      <c r="O249" s="2" t="s">
        <v>49</v>
      </c>
      <c r="P249" s="2" t="s">
        <v>995</v>
      </c>
      <c r="Q249" s="2" t="s">
        <v>1008</v>
      </c>
      <c r="R249" s="2" t="s">
        <v>1009</v>
      </c>
      <c r="S249" s="2" t="s">
        <v>1010</v>
      </c>
      <c r="T249" s="2" t="n">
        <v>41.4</v>
      </c>
      <c r="U249" s="2" t="n">
        <v>6.8</v>
      </c>
      <c r="V249" s="2" t="s">
        <v>52</v>
      </c>
      <c r="W249" s="2" t="n">
        <v>28.43</v>
      </c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customFormat="false" ht="15" hidden="false" customHeight="false" outlineLevel="0" collapsed="false">
      <c r="A250" s="2" t="s">
        <v>1042</v>
      </c>
      <c r="B250" s="2" t="s">
        <v>1039</v>
      </c>
      <c r="C250" s="2" t="s">
        <v>38</v>
      </c>
      <c r="D250" s="2" t="s">
        <v>1040</v>
      </c>
      <c r="E250" s="2" t="s">
        <v>40</v>
      </c>
      <c r="F250" s="2" t="s">
        <v>41</v>
      </c>
      <c r="G250" s="2" t="s">
        <v>42</v>
      </c>
      <c r="H250" s="2" t="s">
        <v>175</v>
      </c>
      <c r="I250" s="2" t="s">
        <v>44</v>
      </c>
      <c r="J250" s="2" t="s">
        <v>160</v>
      </c>
      <c r="K250" s="2"/>
      <c r="L250" s="2" t="s">
        <v>1041</v>
      </c>
      <c r="M250" s="2" t="s">
        <v>1033</v>
      </c>
      <c r="N250" s="2" t="s">
        <v>48</v>
      </c>
      <c r="O250" s="2" t="s">
        <v>49</v>
      </c>
      <c r="P250" s="2" t="s">
        <v>995</v>
      </c>
      <c r="Q250" s="2" t="s">
        <v>1008</v>
      </c>
      <c r="R250" s="2" t="s">
        <v>1009</v>
      </c>
      <c r="S250" s="2" t="s">
        <v>1010</v>
      </c>
      <c r="T250" s="2" t="n">
        <v>38.5</v>
      </c>
      <c r="U250" s="2" t="n">
        <v>7.2</v>
      </c>
      <c r="V250" s="2" t="s">
        <v>52</v>
      </c>
      <c r="W250" s="2" t="n">
        <v>26.36</v>
      </c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customFormat="false" ht="15" hidden="false" customHeight="false" outlineLevel="0" collapsed="false">
      <c r="A251" s="2" t="s">
        <v>1043</v>
      </c>
      <c r="B251" s="2" t="s">
        <v>1039</v>
      </c>
      <c r="C251" s="2" t="s">
        <v>38</v>
      </c>
      <c r="D251" s="2" t="s">
        <v>1044</v>
      </c>
      <c r="E251" s="2" t="s">
        <v>40</v>
      </c>
      <c r="F251" s="2" t="s">
        <v>41</v>
      </c>
      <c r="G251" s="2" t="s">
        <v>42</v>
      </c>
      <c r="H251" s="2" t="s">
        <v>175</v>
      </c>
      <c r="I251" s="2" t="s">
        <v>44</v>
      </c>
      <c r="J251" s="2" t="s">
        <v>160</v>
      </c>
      <c r="K251" s="2"/>
      <c r="L251" s="2" t="s">
        <v>1041</v>
      </c>
      <c r="M251" s="2" t="s">
        <v>1033</v>
      </c>
      <c r="N251" s="2" t="s">
        <v>48</v>
      </c>
      <c r="O251" s="2" t="s">
        <v>49</v>
      </c>
      <c r="P251" s="2" t="s">
        <v>995</v>
      </c>
      <c r="Q251" s="2" t="s">
        <v>1008</v>
      </c>
      <c r="R251" s="2" t="s">
        <v>1009</v>
      </c>
      <c r="S251" s="2" t="s">
        <v>1010</v>
      </c>
      <c r="T251" s="2" t="n">
        <v>38.9</v>
      </c>
      <c r="U251" s="2" t="n">
        <v>7.2</v>
      </c>
      <c r="V251" s="2" t="s">
        <v>52</v>
      </c>
      <c r="W251" s="2" t="n">
        <v>27.33</v>
      </c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customFormat="false" ht="15" hidden="false" customHeight="false" outlineLevel="0" collapsed="false">
      <c r="A252" s="2" t="s">
        <v>1045</v>
      </c>
      <c r="B252" s="2" t="s">
        <v>1046</v>
      </c>
      <c r="C252" s="2" t="s">
        <v>38</v>
      </c>
      <c r="D252" s="2" t="s">
        <v>1047</v>
      </c>
      <c r="E252" s="2" t="s">
        <v>40</v>
      </c>
      <c r="F252" s="2" t="s">
        <v>41</v>
      </c>
      <c r="G252" s="2" t="s">
        <v>42</v>
      </c>
      <c r="H252" s="2" t="s">
        <v>159</v>
      </c>
      <c r="I252" s="2" t="s">
        <v>44</v>
      </c>
      <c r="J252" s="2" t="s">
        <v>160</v>
      </c>
      <c r="K252" s="2"/>
      <c r="L252" s="2" t="s">
        <v>1048</v>
      </c>
      <c r="M252" s="2" t="s">
        <v>1049</v>
      </c>
      <c r="N252" s="2" t="s">
        <v>48</v>
      </c>
      <c r="O252" s="2" t="s">
        <v>163</v>
      </c>
      <c r="P252" s="2" t="s">
        <v>995</v>
      </c>
      <c r="Q252" s="2" t="s">
        <v>1050</v>
      </c>
      <c r="R252" s="2" t="s">
        <v>1051</v>
      </c>
      <c r="S252" s="2" t="s">
        <v>1052</v>
      </c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 t="n">
        <v>1.33</v>
      </c>
      <c r="AG252" s="2"/>
      <c r="AH252" s="2"/>
      <c r="AI252" s="2"/>
      <c r="AJ252" s="2"/>
    </row>
    <row r="253" customFormat="false" ht="15" hidden="false" customHeight="false" outlineLevel="0" collapsed="false">
      <c r="A253" s="2" t="s">
        <v>1053</v>
      </c>
      <c r="B253" s="2" t="s">
        <v>1046</v>
      </c>
      <c r="C253" s="2" t="s">
        <v>38</v>
      </c>
      <c r="D253" s="2" t="s">
        <v>1054</v>
      </c>
      <c r="E253" s="2" t="s">
        <v>40</v>
      </c>
      <c r="F253" s="2" t="s">
        <v>41</v>
      </c>
      <c r="G253" s="2" t="s">
        <v>42</v>
      </c>
      <c r="H253" s="2" t="s">
        <v>159</v>
      </c>
      <c r="I253" s="2" t="s">
        <v>44</v>
      </c>
      <c r="J253" s="2" t="s">
        <v>160</v>
      </c>
      <c r="K253" s="2"/>
      <c r="L253" s="2" t="s">
        <v>1048</v>
      </c>
      <c r="M253" s="2" t="s">
        <v>1049</v>
      </c>
      <c r="N253" s="2" t="s">
        <v>48</v>
      </c>
      <c r="O253" s="2" t="s">
        <v>163</v>
      </c>
      <c r="P253" s="2" t="s">
        <v>995</v>
      </c>
      <c r="Q253" s="2" t="s">
        <v>1050</v>
      </c>
      <c r="R253" s="2" t="s">
        <v>1051</v>
      </c>
      <c r="S253" s="2" t="s">
        <v>1052</v>
      </c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 t="n">
        <v>1.2944</v>
      </c>
      <c r="AG253" s="2"/>
      <c r="AH253" s="2"/>
      <c r="AI253" s="2"/>
      <c r="AJ253" s="2"/>
    </row>
    <row r="254" customFormat="false" ht="15" hidden="false" customHeight="false" outlineLevel="0" collapsed="false">
      <c r="A254" s="2" t="s">
        <v>1055</v>
      </c>
      <c r="B254" s="2" t="s">
        <v>1046</v>
      </c>
      <c r="C254" s="2" t="s">
        <v>38</v>
      </c>
      <c r="D254" s="2" t="s">
        <v>1056</v>
      </c>
      <c r="E254" s="2" t="s">
        <v>40</v>
      </c>
      <c r="F254" s="2" t="s">
        <v>41</v>
      </c>
      <c r="G254" s="2" t="s">
        <v>42</v>
      </c>
      <c r="H254" s="2" t="s">
        <v>159</v>
      </c>
      <c r="I254" s="2" t="s">
        <v>44</v>
      </c>
      <c r="J254" s="2" t="s">
        <v>160</v>
      </c>
      <c r="K254" s="2"/>
      <c r="L254" s="2" t="s">
        <v>1048</v>
      </c>
      <c r="M254" s="2" t="s">
        <v>1049</v>
      </c>
      <c r="N254" s="2" t="s">
        <v>48</v>
      </c>
      <c r="O254" s="2" t="s">
        <v>163</v>
      </c>
      <c r="P254" s="2" t="s">
        <v>995</v>
      </c>
      <c r="Q254" s="2" t="s">
        <v>1050</v>
      </c>
      <c r="R254" s="2" t="s">
        <v>1051</v>
      </c>
      <c r="S254" s="2" t="s">
        <v>1052</v>
      </c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 t="n">
        <v>1.2924</v>
      </c>
      <c r="AG254" s="2"/>
      <c r="AH254" s="2"/>
      <c r="AI254" s="2"/>
      <c r="AJ254" s="2"/>
    </row>
    <row r="255" customFormat="false" ht="15" hidden="false" customHeight="false" outlineLevel="0" collapsed="false">
      <c r="A255" s="2" t="s">
        <v>1057</v>
      </c>
      <c r="B255" s="2" t="s">
        <v>1058</v>
      </c>
      <c r="C255" s="2" t="s">
        <v>38</v>
      </c>
      <c r="D255" s="2" t="s">
        <v>1059</v>
      </c>
      <c r="E255" s="2" t="s">
        <v>40</v>
      </c>
      <c r="F255" s="2" t="s">
        <v>41</v>
      </c>
      <c r="G255" s="2" t="s">
        <v>42</v>
      </c>
      <c r="H255" s="2" t="s">
        <v>159</v>
      </c>
      <c r="I255" s="2" t="s">
        <v>44</v>
      </c>
      <c r="J255" s="2" t="s">
        <v>160</v>
      </c>
      <c r="K255" s="2"/>
      <c r="L255" s="2" t="s">
        <v>1060</v>
      </c>
      <c r="M255" s="2" t="s">
        <v>1061</v>
      </c>
      <c r="N255" s="2" t="s">
        <v>48</v>
      </c>
      <c r="O255" s="2" t="s">
        <v>163</v>
      </c>
      <c r="P255" s="2" t="s">
        <v>995</v>
      </c>
      <c r="Q255" s="2" t="s">
        <v>1050</v>
      </c>
      <c r="R255" s="2" t="s">
        <v>1051</v>
      </c>
      <c r="S255" s="2" t="s">
        <v>1052</v>
      </c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 t="n">
        <v>1.3043</v>
      </c>
      <c r="AG255" s="2"/>
      <c r="AH255" s="2"/>
      <c r="AI255" s="2"/>
      <c r="AJ255" s="2"/>
    </row>
    <row r="256" customFormat="false" ht="15" hidden="false" customHeight="false" outlineLevel="0" collapsed="false">
      <c r="A256" s="2" t="s">
        <v>1062</v>
      </c>
      <c r="B256" s="2" t="s">
        <v>1058</v>
      </c>
      <c r="C256" s="2" t="s">
        <v>38</v>
      </c>
      <c r="D256" s="2" t="s">
        <v>1063</v>
      </c>
      <c r="E256" s="2" t="s">
        <v>40</v>
      </c>
      <c r="F256" s="2" t="s">
        <v>41</v>
      </c>
      <c r="G256" s="2" t="s">
        <v>42</v>
      </c>
      <c r="H256" s="2" t="s">
        <v>159</v>
      </c>
      <c r="I256" s="2" t="s">
        <v>44</v>
      </c>
      <c r="J256" s="2" t="s">
        <v>160</v>
      </c>
      <c r="K256" s="2"/>
      <c r="L256" s="2" t="s">
        <v>1060</v>
      </c>
      <c r="M256" s="2" t="s">
        <v>1061</v>
      </c>
      <c r="N256" s="2" t="s">
        <v>48</v>
      </c>
      <c r="O256" s="2" t="s">
        <v>163</v>
      </c>
      <c r="P256" s="2" t="s">
        <v>995</v>
      </c>
      <c r="Q256" s="2" t="s">
        <v>1050</v>
      </c>
      <c r="R256" s="2" t="s">
        <v>1051</v>
      </c>
      <c r="S256" s="2" t="s">
        <v>1052</v>
      </c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 t="n">
        <v>1.2925</v>
      </c>
      <c r="AG256" s="2"/>
      <c r="AH256" s="2"/>
      <c r="AI256" s="2"/>
      <c r="AJ256" s="2"/>
    </row>
    <row r="257" customFormat="false" ht="15" hidden="false" customHeight="false" outlineLevel="0" collapsed="false">
      <c r="A257" s="2" t="s">
        <v>1064</v>
      </c>
      <c r="B257" s="2" t="s">
        <v>1058</v>
      </c>
      <c r="C257" s="2" t="s">
        <v>38</v>
      </c>
      <c r="D257" s="2" t="s">
        <v>1065</v>
      </c>
      <c r="E257" s="2" t="s">
        <v>40</v>
      </c>
      <c r="F257" s="2" t="s">
        <v>41</v>
      </c>
      <c r="G257" s="2" t="s">
        <v>42</v>
      </c>
      <c r="H257" s="2" t="s">
        <v>159</v>
      </c>
      <c r="I257" s="2" t="s">
        <v>44</v>
      </c>
      <c r="J257" s="2" t="s">
        <v>160</v>
      </c>
      <c r="K257" s="2"/>
      <c r="L257" s="2" t="s">
        <v>1060</v>
      </c>
      <c r="M257" s="2" t="s">
        <v>1061</v>
      </c>
      <c r="N257" s="2" t="s">
        <v>48</v>
      </c>
      <c r="O257" s="2" t="s">
        <v>163</v>
      </c>
      <c r="P257" s="2" t="s">
        <v>995</v>
      </c>
      <c r="Q257" s="2" t="s">
        <v>1050</v>
      </c>
      <c r="R257" s="2" t="s">
        <v>1051</v>
      </c>
      <c r="S257" s="2" t="s">
        <v>1052</v>
      </c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 t="n">
        <v>1.332</v>
      </c>
      <c r="AG257" s="2"/>
      <c r="AH257" s="2"/>
      <c r="AI257" s="2"/>
      <c r="AJ257" s="2"/>
    </row>
    <row r="258" customFormat="false" ht="15" hidden="false" customHeight="false" outlineLevel="0" collapsed="false">
      <c r="A258" s="2" t="s">
        <v>1066</v>
      </c>
      <c r="B258" s="2" t="s">
        <v>1058</v>
      </c>
      <c r="C258" s="2" t="s">
        <v>38</v>
      </c>
      <c r="D258" s="2" t="s">
        <v>1067</v>
      </c>
      <c r="E258" s="2" t="s">
        <v>40</v>
      </c>
      <c r="F258" s="2" t="s">
        <v>41</v>
      </c>
      <c r="G258" s="2" t="s">
        <v>42</v>
      </c>
      <c r="H258" s="2" t="s">
        <v>175</v>
      </c>
      <c r="I258" s="2" t="s">
        <v>44</v>
      </c>
      <c r="J258" s="2" t="s">
        <v>160</v>
      </c>
      <c r="K258" s="2"/>
      <c r="L258" s="2" t="s">
        <v>1060</v>
      </c>
      <c r="M258" s="2" t="s">
        <v>1049</v>
      </c>
      <c r="N258" s="2" t="s">
        <v>48</v>
      </c>
      <c r="O258" s="2" t="s">
        <v>49</v>
      </c>
      <c r="P258" s="2" t="s">
        <v>995</v>
      </c>
      <c r="Q258" s="2" t="s">
        <v>1050</v>
      </c>
      <c r="R258" s="2" t="s">
        <v>1051</v>
      </c>
      <c r="S258" s="2" t="s">
        <v>1068</v>
      </c>
      <c r="T258" s="2" t="n">
        <v>38.3</v>
      </c>
      <c r="U258" s="2" t="n">
        <v>7.4</v>
      </c>
      <c r="V258" s="2" t="s">
        <v>52</v>
      </c>
      <c r="W258" s="2" t="n">
        <v>25.79</v>
      </c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customFormat="false" ht="15" hidden="false" customHeight="false" outlineLevel="0" collapsed="false">
      <c r="A259" s="2" t="s">
        <v>1069</v>
      </c>
      <c r="B259" s="2" t="s">
        <v>1058</v>
      </c>
      <c r="C259" s="2" t="s">
        <v>38</v>
      </c>
      <c r="D259" s="2" t="s">
        <v>1070</v>
      </c>
      <c r="E259" s="2" t="s">
        <v>40</v>
      </c>
      <c r="F259" s="2" t="s">
        <v>41</v>
      </c>
      <c r="G259" s="2" t="s">
        <v>42</v>
      </c>
      <c r="H259" s="2" t="s">
        <v>175</v>
      </c>
      <c r="I259" s="2" t="s">
        <v>44</v>
      </c>
      <c r="J259" s="2" t="s">
        <v>160</v>
      </c>
      <c r="K259" s="2"/>
      <c r="L259" s="2" t="s">
        <v>1060</v>
      </c>
      <c r="M259" s="2" t="s">
        <v>1049</v>
      </c>
      <c r="N259" s="2" t="s">
        <v>48</v>
      </c>
      <c r="O259" s="2" t="s">
        <v>49</v>
      </c>
      <c r="P259" s="2" t="s">
        <v>995</v>
      </c>
      <c r="Q259" s="2" t="s">
        <v>1050</v>
      </c>
      <c r="R259" s="2" t="s">
        <v>1051</v>
      </c>
      <c r="S259" s="2" t="s">
        <v>1068</v>
      </c>
      <c r="T259" s="2" t="n">
        <v>38</v>
      </c>
      <c r="U259" s="2" t="n">
        <v>7.4</v>
      </c>
      <c r="V259" s="2" t="s">
        <v>52</v>
      </c>
      <c r="W259" s="2" t="n">
        <v>30.33</v>
      </c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customFormat="false" ht="15" hidden="false" customHeight="false" outlineLevel="0" collapsed="false">
      <c r="A260" s="2" t="s">
        <v>1071</v>
      </c>
      <c r="B260" s="2" t="s">
        <v>1058</v>
      </c>
      <c r="C260" s="2" t="s">
        <v>38</v>
      </c>
      <c r="D260" s="2" t="s">
        <v>1072</v>
      </c>
      <c r="E260" s="2" t="s">
        <v>40</v>
      </c>
      <c r="F260" s="2" t="s">
        <v>41</v>
      </c>
      <c r="G260" s="2" t="s">
        <v>42</v>
      </c>
      <c r="H260" s="2" t="s">
        <v>175</v>
      </c>
      <c r="I260" s="2" t="s">
        <v>44</v>
      </c>
      <c r="J260" s="2" t="s">
        <v>160</v>
      </c>
      <c r="K260" s="2"/>
      <c r="L260" s="2" t="s">
        <v>1060</v>
      </c>
      <c r="M260" s="2" t="s">
        <v>1049</v>
      </c>
      <c r="N260" s="2" t="s">
        <v>48</v>
      </c>
      <c r="O260" s="2" t="s">
        <v>49</v>
      </c>
      <c r="P260" s="2" t="s">
        <v>995</v>
      </c>
      <c r="Q260" s="2" t="s">
        <v>1050</v>
      </c>
      <c r="R260" s="2" t="s">
        <v>1051</v>
      </c>
      <c r="S260" s="2" t="s">
        <v>1068</v>
      </c>
      <c r="T260" s="2" t="n">
        <v>39</v>
      </c>
      <c r="U260" s="2" t="n">
        <v>7.7</v>
      </c>
      <c r="V260" s="2" t="s">
        <v>52</v>
      </c>
      <c r="W260" s="2" t="n">
        <v>26.99</v>
      </c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customFormat="false" ht="15" hidden="false" customHeight="false" outlineLevel="0" collapsed="false">
      <c r="A261" s="2" t="s">
        <v>1073</v>
      </c>
      <c r="B261" s="2" t="s">
        <v>1074</v>
      </c>
      <c r="C261" s="2" t="s">
        <v>38</v>
      </c>
      <c r="D261" s="2" t="s">
        <v>1075</v>
      </c>
      <c r="E261" s="2" t="s">
        <v>40</v>
      </c>
      <c r="F261" s="2" t="s">
        <v>41</v>
      </c>
      <c r="G261" s="2" t="s">
        <v>42</v>
      </c>
      <c r="H261" s="2" t="s">
        <v>159</v>
      </c>
      <c r="I261" s="2" t="s">
        <v>44</v>
      </c>
      <c r="J261" s="2" t="s">
        <v>160</v>
      </c>
      <c r="K261" s="2"/>
      <c r="L261" s="2" t="s">
        <v>1076</v>
      </c>
      <c r="M261" s="2" t="s">
        <v>1077</v>
      </c>
      <c r="N261" s="2" t="s">
        <v>48</v>
      </c>
      <c r="O261" s="2" t="s">
        <v>163</v>
      </c>
      <c r="P261" s="2" t="s">
        <v>995</v>
      </c>
      <c r="Q261" s="2" t="s">
        <v>1078</v>
      </c>
      <c r="R261" s="2" t="s">
        <v>1079</v>
      </c>
      <c r="S261" s="2" t="s">
        <v>1052</v>
      </c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 t="n">
        <v>1.2944</v>
      </c>
      <c r="AG261" s="2"/>
      <c r="AH261" s="2"/>
      <c r="AI261" s="2"/>
      <c r="AJ261" s="2"/>
    </row>
    <row r="262" customFormat="false" ht="15" hidden="false" customHeight="false" outlineLevel="0" collapsed="false">
      <c r="A262" s="2" t="s">
        <v>1080</v>
      </c>
      <c r="B262" s="2" t="s">
        <v>1074</v>
      </c>
      <c r="C262" s="2" t="s">
        <v>38</v>
      </c>
      <c r="D262" s="2" t="s">
        <v>1081</v>
      </c>
      <c r="E262" s="2" t="s">
        <v>40</v>
      </c>
      <c r="F262" s="2" t="s">
        <v>41</v>
      </c>
      <c r="G262" s="2" t="s">
        <v>42</v>
      </c>
      <c r="H262" s="2" t="s">
        <v>159</v>
      </c>
      <c r="I262" s="2" t="s">
        <v>44</v>
      </c>
      <c r="J262" s="2" t="s">
        <v>160</v>
      </c>
      <c r="K262" s="2"/>
      <c r="L262" s="2" t="s">
        <v>1076</v>
      </c>
      <c r="M262" s="2" t="s">
        <v>1077</v>
      </c>
      <c r="N262" s="2" t="s">
        <v>48</v>
      </c>
      <c r="O262" s="2" t="s">
        <v>163</v>
      </c>
      <c r="P262" s="2" t="s">
        <v>995</v>
      </c>
      <c r="Q262" s="2" t="s">
        <v>1078</v>
      </c>
      <c r="R262" s="2" t="s">
        <v>1079</v>
      </c>
      <c r="S262" s="2" t="s">
        <v>1052</v>
      </c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 t="n">
        <v>1.2935</v>
      </c>
      <c r="AG262" s="2"/>
      <c r="AH262" s="2"/>
      <c r="AI262" s="2"/>
      <c r="AJ262" s="2"/>
    </row>
    <row r="263" customFormat="false" ht="15" hidden="false" customHeight="false" outlineLevel="0" collapsed="false">
      <c r="A263" s="2" t="s">
        <v>1082</v>
      </c>
      <c r="B263" s="2" t="s">
        <v>1074</v>
      </c>
      <c r="C263" s="2" t="s">
        <v>38</v>
      </c>
      <c r="D263" s="2" t="s">
        <v>1083</v>
      </c>
      <c r="E263" s="2" t="s">
        <v>40</v>
      </c>
      <c r="F263" s="2" t="s">
        <v>41</v>
      </c>
      <c r="G263" s="2" t="s">
        <v>42</v>
      </c>
      <c r="H263" s="2" t="s">
        <v>159</v>
      </c>
      <c r="I263" s="2" t="s">
        <v>44</v>
      </c>
      <c r="J263" s="2" t="s">
        <v>160</v>
      </c>
      <c r="K263" s="2"/>
      <c r="L263" s="2" t="s">
        <v>1076</v>
      </c>
      <c r="M263" s="2" t="s">
        <v>1077</v>
      </c>
      <c r="N263" s="2" t="s">
        <v>48</v>
      </c>
      <c r="O263" s="2" t="s">
        <v>163</v>
      </c>
      <c r="P263" s="2" t="s">
        <v>995</v>
      </c>
      <c r="Q263" s="2" t="s">
        <v>1078</v>
      </c>
      <c r="R263" s="2" t="s">
        <v>1079</v>
      </c>
      <c r="S263" s="2" t="s">
        <v>1052</v>
      </c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 t="n">
        <v>1.2925</v>
      </c>
      <c r="AG263" s="2"/>
      <c r="AH263" s="2"/>
      <c r="AI263" s="2"/>
      <c r="AJ263" s="2"/>
    </row>
    <row r="264" customFormat="false" ht="15" hidden="false" customHeight="false" outlineLevel="0" collapsed="false">
      <c r="A264" s="2" t="s">
        <v>1084</v>
      </c>
      <c r="B264" s="2" t="s">
        <v>1074</v>
      </c>
      <c r="C264" s="2" t="s">
        <v>38</v>
      </c>
      <c r="D264" s="2" t="s">
        <v>1085</v>
      </c>
      <c r="E264" s="2" t="s">
        <v>40</v>
      </c>
      <c r="F264" s="2" t="s">
        <v>41</v>
      </c>
      <c r="G264" s="2" t="s">
        <v>42</v>
      </c>
      <c r="H264" s="2" t="s">
        <v>175</v>
      </c>
      <c r="I264" s="2" t="s">
        <v>44</v>
      </c>
      <c r="J264" s="2" t="s">
        <v>160</v>
      </c>
      <c r="K264" s="2"/>
      <c r="L264" s="2" t="s">
        <v>1076</v>
      </c>
      <c r="M264" s="2" t="s">
        <v>1061</v>
      </c>
      <c r="N264" s="2" t="s">
        <v>48</v>
      </c>
      <c r="O264" s="2" t="s">
        <v>49</v>
      </c>
      <c r="P264" s="2" t="s">
        <v>995</v>
      </c>
      <c r="Q264" s="2" t="s">
        <v>1086</v>
      </c>
      <c r="R264" s="2" t="s">
        <v>1087</v>
      </c>
      <c r="S264" s="2" t="s">
        <v>1068</v>
      </c>
      <c r="T264" s="2" t="n">
        <v>38.4</v>
      </c>
      <c r="U264" s="2" t="n">
        <v>7.6</v>
      </c>
      <c r="V264" s="2" t="s">
        <v>52</v>
      </c>
      <c r="W264" s="2" t="n">
        <v>30.39</v>
      </c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customFormat="false" ht="15" hidden="false" customHeight="false" outlineLevel="0" collapsed="false">
      <c r="A265" s="2" t="s">
        <v>1088</v>
      </c>
      <c r="B265" s="2" t="s">
        <v>1074</v>
      </c>
      <c r="C265" s="2" t="s">
        <v>38</v>
      </c>
      <c r="D265" s="2" t="s">
        <v>1089</v>
      </c>
      <c r="E265" s="2" t="s">
        <v>40</v>
      </c>
      <c r="F265" s="2" t="s">
        <v>41</v>
      </c>
      <c r="G265" s="2" t="s">
        <v>42</v>
      </c>
      <c r="H265" s="2" t="s">
        <v>175</v>
      </c>
      <c r="I265" s="2" t="s">
        <v>44</v>
      </c>
      <c r="J265" s="2" t="s">
        <v>160</v>
      </c>
      <c r="K265" s="2"/>
      <c r="L265" s="2" t="s">
        <v>1076</v>
      </c>
      <c r="M265" s="2" t="s">
        <v>1061</v>
      </c>
      <c r="N265" s="2" t="s">
        <v>48</v>
      </c>
      <c r="O265" s="2" t="s">
        <v>49</v>
      </c>
      <c r="P265" s="2" t="s">
        <v>995</v>
      </c>
      <c r="Q265" s="2" t="s">
        <v>1086</v>
      </c>
      <c r="R265" s="2" t="s">
        <v>1087</v>
      </c>
      <c r="S265" s="2" t="s">
        <v>1068</v>
      </c>
      <c r="T265" s="2" t="n">
        <v>38.9</v>
      </c>
      <c r="U265" s="2" t="n">
        <v>7.6</v>
      </c>
      <c r="V265" s="2" t="s">
        <v>52</v>
      </c>
      <c r="W265" s="2" t="n">
        <v>30.49</v>
      </c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customFormat="false" ht="15" hidden="false" customHeight="false" outlineLevel="0" collapsed="false">
      <c r="A266" s="2" t="s">
        <v>1090</v>
      </c>
      <c r="B266" s="2" t="s">
        <v>1074</v>
      </c>
      <c r="C266" s="2" t="s">
        <v>38</v>
      </c>
      <c r="D266" s="2" t="s">
        <v>1091</v>
      </c>
      <c r="E266" s="2" t="s">
        <v>40</v>
      </c>
      <c r="F266" s="2" t="s">
        <v>41</v>
      </c>
      <c r="G266" s="2" t="s">
        <v>42</v>
      </c>
      <c r="H266" s="2" t="s">
        <v>175</v>
      </c>
      <c r="I266" s="2" t="s">
        <v>44</v>
      </c>
      <c r="J266" s="2" t="s">
        <v>160</v>
      </c>
      <c r="K266" s="2"/>
      <c r="L266" s="2" t="s">
        <v>1076</v>
      </c>
      <c r="M266" s="2" t="s">
        <v>1061</v>
      </c>
      <c r="N266" s="2" t="s">
        <v>48</v>
      </c>
      <c r="O266" s="2" t="s">
        <v>49</v>
      </c>
      <c r="P266" s="2" t="s">
        <v>995</v>
      </c>
      <c r="Q266" s="2" t="s">
        <v>1086</v>
      </c>
      <c r="R266" s="2" t="s">
        <v>1087</v>
      </c>
      <c r="S266" s="2" t="s">
        <v>1068</v>
      </c>
      <c r="T266" s="2" t="n">
        <v>39.3</v>
      </c>
      <c r="U266" s="2" t="n">
        <v>7.6</v>
      </c>
      <c r="V266" s="2" t="s">
        <v>52</v>
      </c>
      <c r="W266" s="2" t="n">
        <v>27.05</v>
      </c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customFormat="false" ht="15" hidden="false" customHeight="false" outlineLevel="0" collapsed="false">
      <c r="A267" s="2" t="s">
        <v>1092</v>
      </c>
      <c r="B267" s="2" t="s">
        <v>1093</v>
      </c>
      <c r="C267" s="2" t="s">
        <v>38</v>
      </c>
      <c r="D267" s="2" t="s">
        <v>1094</v>
      </c>
      <c r="E267" s="2" t="s">
        <v>40</v>
      </c>
      <c r="F267" s="2" t="s">
        <v>41</v>
      </c>
      <c r="G267" s="2" t="s">
        <v>42</v>
      </c>
      <c r="H267" s="2" t="s">
        <v>175</v>
      </c>
      <c r="I267" s="2" t="s">
        <v>44</v>
      </c>
      <c r="J267" s="2" t="s">
        <v>160</v>
      </c>
      <c r="K267" s="2"/>
      <c r="L267" s="2" t="s">
        <v>1095</v>
      </c>
      <c r="M267" s="2" t="s">
        <v>1077</v>
      </c>
      <c r="N267" s="2" t="s">
        <v>48</v>
      </c>
      <c r="O267" s="2" t="s">
        <v>49</v>
      </c>
      <c r="P267" s="2" t="s">
        <v>995</v>
      </c>
      <c r="Q267" s="2" t="s">
        <v>1086</v>
      </c>
      <c r="R267" s="2" t="s">
        <v>1087</v>
      </c>
      <c r="S267" s="2" t="s">
        <v>1068</v>
      </c>
      <c r="T267" s="2" t="n">
        <v>39.6</v>
      </c>
      <c r="U267" s="2" t="n">
        <v>7.6</v>
      </c>
      <c r="V267" s="2" t="s">
        <v>52</v>
      </c>
      <c r="W267" s="2" t="n">
        <v>24.53</v>
      </c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customFormat="false" ht="15" hidden="false" customHeight="false" outlineLevel="0" collapsed="false">
      <c r="A268" s="2" t="s">
        <v>1096</v>
      </c>
      <c r="B268" s="2" t="s">
        <v>1093</v>
      </c>
      <c r="C268" s="2" t="s">
        <v>38</v>
      </c>
      <c r="D268" s="2" t="s">
        <v>1097</v>
      </c>
      <c r="E268" s="2" t="s">
        <v>40</v>
      </c>
      <c r="F268" s="2" t="s">
        <v>41</v>
      </c>
      <c r="G268" s="2" t="s">
        <v>42</v>
      </c>
      <c r="H268" s="2" t="s">
        <v>175</v>
      </c>
      <c r="I268" s="2" t="s">
        <v>44</v>
      </c>
      <c r="J268" s="2" t="s">
        <v>160</v>
      </c>
      <c r="K268" s="2"/>
      <c r="L268" s="2" t="s">
        <v>1095</v>
      </c>
      <c r="M268" s="2" t="s">
        <v>1077</v>
      </c>
      <c r="N268" s="2" t="s">
        <v>48</v>
      </c>
      <c r="O268" s="2" t="s">
        <v>49</v>
      </c>
      <c r="P268" s="2" t="s">
        <v>995</v>
      </c>
      <c r="Q268" s="2" t="s">
        <v>1086</v>
      </c>
      <c r="R268" s="2" t="s">
        <v>1087</v>
      </c>
      <c r="S268" s="2" t="s">
        <v>1068</v>
      </c>
      <c r="T268" s="2" t="n">
        <v>39.9</v>
      </c>
      <c r="U268" s="2" t="n">
        <v>7.3</v>
      </c>
      <c r="V268" s="2" t="s">
        <v>52</v>
      </c>
      <c r="W268" s="2" t="n">
        <v>27.22</v>
      </c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customFormat="false" ht="15" hidden="false" customHeight="false" outlineLevel="0" collapsed="false">
      <c r="A269" s="2" t="s">
        <v>1098</v>
      </c>
      <c r="B269" s="2" t="s">
        <v>1093</v>
      </c>
      <c r="C269" s="2" t="s">
        <v>38</v>
      </c>
      <c r="D269" s="2" t="s">
        <v>1099</v>
      </c>
      <c r="E269" s="2" t="s">
        <v>40</v>
      </c>
      <c r="F269" s="2" t="s">
        <v>41</v>
      </c>
      <c r="G269" s="2" t="s">
        <v>42</v>
      </c>
      <c r="H269" s="2" t="s">
        <v>175</v>
      </c>
      <c r="I269" s="2" t="s">
        <v>44</v>
      </c>
      <c r="J269" s="2" t="s">
        <v>160</v>
      </c>
      <c r="K269" s="2"/>
      <c r="L269" s="2" t="s">
        <v>1095</v>
      </c>
      <c r="M269" s="2" t="s">
        <v>1077</v>
      </c>
      <c r="N269" s="2" t="s">
        <v>48</v>
      </c>
      <c r="O269" s="2" t="s">
        <v>49</v>
      </c>
      <c r="P269" s="2" t="s">
        <v>995</v>
      </c>
      <c r="Q269" s="2" t="s">
        <v>1086</v>
      </c>
      <c r="R269" s="2" t="s">
        <v>1087</v>
      </c>
      <c r="S269" s="2" t="s">
        <v>1068</v>
      </c>
      <c r="T269" s="2" t="n">
        <v>39.2</v>
      </c>
      <c r="U269" s="2" t="n">
        <v>7.7</v>
      </c>
      <c r="V269" s="2" t="s">
        <v>52</v>
      </c>
      <c r="W269" s="2" t="n">
        <v>43.47</v>
      </c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customFormat="false" ht="15" hidden="false" customHeight="false" outlineLevel="0" collapsed="false">
      <c r="A270" s="2" t="s">
        <v>1100</v>
      </c>
      <c r="B270" s="2" t="s">
        <v>1101</v>
      </c>
      <c r="C270" s="2" t="s">
        <v>38</v>
      </c>
      <c r="D270" s="2" t="s">
        <v>1102</v>
      </c>
      <c r="E270" s="2" t="s">
        <v>40</v>
      </c>
      <c r="F270" s="2" t="s">
        <v>41</v>
      </c>
      <c r="G270" s="2" t="s">
        <v>42</v>
      </c>
      <c r="H270" s="2" t="s">
        <v>159</v>
      </c>
      <c r="I270" s="2" t="s">
        <v>44</v>
      </c>
      <c r="J270" s="2" t="s">
        <v>160</v>
      </c>
      <c r="K270" s="2"/>
      <c r="L270" s="2" t="s">
        <v>1103</v>
      </c>
      <c r="M270" s="2" t="s">
        <v>1104</v>
      </c>
      <c r="N270" s="2" t="s">
        <v>48</v>
      </c>
      <c r="O270" s="2" t="s">
        <v>163</v>
      </c>
      <c r="P270" s="2" t="s">
        <v>995</v>
      </c>
      <c r="Q270" s="2" t="s">
        <v>1078</v>
      </c>
      <c r="R270" s="2" t="s">
        <v>1079</v>
      </c>
      <c r="S270" s="2" t="s">
        <v>1052</v>
      </c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 t="n">
        <v>1.3339</v>
      </c>
      <c r="AG270" s="2"/>
      <c r="AH270" s="2"/>
      <c r="AI270" s="2"/>
      <c r="AJ270" s="2"/>
    </row>
    <row r="271" customFormat="false" ht="15" hidden="false" customHeight="false" outlineLevel="0" collapsed="false">
      <c r="A271" s="2" t="s">
        <v>1105</v>
      </c>
      <c r="B271" s="2" t="s">
        <v>1101</v>
      </c>
      <c r="C271" s="2" t="s">
        <v>38</v>
      </c>
      <c r="D271" s="2" t="s">
        <v>1106</v>
      </c>
      <c r="E271" s="2" t="s">
        <v>40</v>
      </c>
      <c r="F271" s="2" t="s">
        <v>41</v>
      </c>
      <c r="G271" s="2" t="s">
        <v>42</v>
      </c>
      <c r="H271" s="2" t="s">
        <v>159</v>
      </c>
      <c r="I271" s="2" t="s">
        <v>44</v>
      </c>
      <c r="J271" s="2" t="s">
        <v>160</v>
      </c>
      <c r="K271" s="2"/>
      <c r="L271" s="2" t="s">
        <v>1103</v>
      </c>
      <c r="M271" s="2" t="s">
        <v>1104</v>
      </c>
      <c r="N271" s="2" t="s">
        <v>48</v>
      </c>
      <c r="O271" s="2" t="s">
        <v>163</v>
      </c>
      <c r="P271" s="2" t="s">
        <v>995</v>
      </c>
      <c r="Q271" s="2" t="s">
        <v>1078</v>
      </c>
      <c r="R271" s="2" t="s">
        <v>1079</v>
      </c>
      <c r="S271" s="2" t="s">
        <v>1052</v>
      </c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 t="n">
        <v>1.2764</v>
      </c>
      <c r="AG271" s="2"/>
      <c r="AH271" s="2"/>
      <c r="AI271" s="2"/>
      <c r="AJ271" s="2"/>
    </row>
    <row r="272" customFormat="false" ht="15" hidden="false" customHeight="false" outlineLevel="0" collapsed="false">
      <c r="A272" s="2" t="s">
        <v>1107</v>
      </c>
      <c r="B272" s="2" t="s">
        <v>1101</v>
      </c>
      <c r="C272" s="2" t="s">
        <v>38</v>
      </c>
      <c r="D272" s="2" t="s">
        <v>1108</v>
      </c>
      <c r="E272" s="2" t="s">
        <v>40</v>
      </c>
      <c r="F272" s="2" t="s">
        <v>41</v>
      </c>
      <c r="G272" s="2" t="s">
        <v>42</v>
      </c>
      <c r="H272" s="2" t="s">
        <v>159</v>
      </c>
      <c r="I272" s="2" t="s">
        <v>44</v>
      </c>
      <c r="J272" s="2" t="s">
        <v>160</v>
      </c>
      <c r="K272" s="2"/>
      <c r="L272" s="2" t="s">
        <v>1103</v>
      </c>
      <c r="M272" s="2" t="s">
        <v>1104</v>
      </c>
      <c r="N272" s="2" t="s">
        <v>48</v>
      </c>
      <c r="O272" s="2" t="s">
        <v>163</v>
      </c>
      <c r="P272" s="2" t="s">
        <v>995</v>
      </c>
      <c r="Q272" s="2" t="s">
        <v>1078</v>
      </c>
      <c r="R272" s="2" t="s">
        <v>1079</v>
      </c>
      <c r="S272" s="2" t="s">
        <v>1052</v>
      </c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 t="n">
        <v>1.34</v>
      </c>
      <c r="AG272" s="2"/>
      <c r="AH272" s="2"/>
      <c r="AI272" s="2"/>
      <c r="AJ272" s="2"/>
    </row>
    <row r="273" customFormat="false" ht="15" hidden="false" customHeight="false" outlineLevel="0" collapsed="false">
      <c r="A273" s="2" t="s">
        <v>1109</v>
      </c>
      <c r="B273" s="2" t="s">
        <v>1110</v>
      </c>
      <c r="C273" s="2" t="s">
        <v>38</v>
      </c>
      <c r="D273" s="2" t="s">
        <v>1111</v>
      </c>
      <c r="E273" s="2" t="s">
        <v>40</v>
      </c>
      <c r="F273" s="2" t="s">
        <v>41</v>
      </c>
      <c r="G273" s="2" t="s">
        <v>42</v>
      </c>
      <c r="H273" s="2" t="s">
        <v>175</v>
      </c>
      <c r="I273" s="2" t="s">
        <v>44</v>
      </c>
      <c r="J273" s="2" t="s">
        <v>160</v>
      </c>
      <c r="K273" s="2"/>
      <c r="L273" s="2" t="s">
        <v>1112</v>
      </c>
      <c r="M273" s="2" t="s">
        <v>1104</v>
      </c>
      <c r="N273" s="2" t="s">
        <v>48</v>
      </c>
      <c r="O273" s="2" t="s">
        <v>49</v>
      </c>
      <c r="P273" s="2" t="s">
        <v>995</v>
      </c>
      <c r="Q273" s="2" t="s">
        <v>1086</v>
      </c>
      <c r="R273" s="2" t="s">
        <v>1087</v>
      </c>
      <c r="S273" s="2" t="s">
        <v>1068</v>
      </c>
      <c r="T273" s="2" t="n">
        <v>37.1</v>
      </c>
      <c r="U273" s="2" t="n">
        <v>7.6</v>
      </c>
      <c r="V273" s="2" t="s">
        <v>52</v>
      </c>
      <c r="W273" s="2" t="n">
        <v>41.14</v>
      </c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customFormat="false" ht="15" hidden="false" customHeight="false" outlineLevel="0" collapsed="false">
      <c r="A274" s="2" t="s">
        <v>1113</v>
      </c>
      <c r="B274" s="2" t="s">
        <v>1110</v>
      </c>
      <c r="C274" s="2" t="s">
        <v>38</v>
      </c>
      <c r="D274" s="2" t="s">
        <v>1114</v>
      </c>
      <c r="E274" s="2" t="s">
        <v>40</v>
      </c>
      <c r="F274" s="2" t="s">
        <v>41</v>
      </c>
      <c r="G274" s="2" t="s">
        <v>42</v>
      </c>
      <c r="H274" s="2" t="s">
        <v>175</v>
      </c>
      <c r="I274" s="2" t="s">
        <v>44</v>
      </c>
      <c r="J274" s="2" t="s">
        <v>160</v>
      </c>
      <c r="K274" s="2"/>
      <c r="L274" s="2" t="s">
        <v>1112</v>
      </c>
      <c r="M274" s="2" t="s">
        <v>1104</v>
      </c>
      <c r="N274" s="2" t="s">
        <v>48</v>
      </c>
      <c r="O274" s="2" t="s">
        <v>49</v>
      </c>
      <c r="P274" s="2" t="s">
        <v>995</v>
      </c>
      <c r="Q274" s="2" t="s">
        <v>1086</v>
      </c>
      <c r="R274" s="2" t="s">
        <v>1087</v>
      </c>
      <c r="S274" s="2" t="s">
        <v>1068</v>
      </c>
      <c r="T274" s="2" t="n">
        <v>38</v>
      </c>
      <c r="U274" s="2" t="n">
        <v>7.4</v>
      </c>
      <c r="V274" s="2" t="s">
        <v>52</v>
      </c>
      <c r="W274" s="2" t="n">
        <v>39.62</v>
      </c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customFormat="false" ht="15" hidden="false" customHeight="false" outlineLevel="0" collapsed="false">
      <c r="A275" s="2" t="s">
        <v>1115</v>
      </c>
      <c r="B275" s="2" t="s">
        <v>1110</v>
      </c>
      <c r="C275" s="2" t="s">
        <v>38</v>
      </c>
      <c r="D275" s="2" t="s">
        <v>1116</v>
      </c>
      <c r="E275" s="2" t="s">
        <v>40</v>
      </c>
      <c r="F275" s="2" t="s">
        <v>41</v>
      </c>
      <c r="G275" s="2" t="s">
        <v>42</v>
      </c>
      <c r="H275" s="2" t="s">
        <v>175</v>
      </c>
      <c r="I275" s="2" t="s">
        <v>44</v>
      </c>
      <c r="J275" s="2" t="s">
        <v>160</v>
      </c>
      <c r="K275" s="2"/>
      <c r="L275" s="2" t="s">
        <v>1112</v>
      </c>
      <c r="M275" s="2" t="s">
        <v>1104</v>
      </c>
      <c r="N275" s="2" t="s">
        <v>48</v>
      </c>
      <c r="O275" s="2" t="s">
        <v>49</v>
      </c>
      <c r="P275" s="2" t="s">
        <v>995</v>
      </c>
      <c r="Q275" s="2" t="s">
        <v>1086</v>
      </c>
      <c r="R275" s="2" t="s">
        <v>1087</v>
      </c>
      <c r="S275" s="2" t="s">
        <v>1068</v>
      </c>
      <c r="T275" s="2" t="n">
        <v>37.1</v>
      </c>
      <c r="U275" s="2" t="n">
        <v>7.5</v>
      </c>
      <c r="V275" s="2" t="s">
        <v>52</v>
      </c>
      <c r="W275" s="2" t="n">
        <v>34.14</v>
      </c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customFormat="false" ht="15" hidden="false" customHeight="false" outlineLevel="0" collapsed="false">
      <c r="A276" s="2" t="s">
        <v>1117</v>
      </c>
      <c r="B276" s="2" t="s">
        <v>1118</v>
      </c>
      <c r="C276" s="2" t="s">
        <v>38</v>
      </c>
      <c r="D276" s="2" t="s">
        <v>1119</v>
      </c>
      <c r="E276" s="2" t="s">
        <v>40</v>
      </c>
      <c r="F276" s="2" t="s">
        <v>41</v>
      </c>
      <c r="G276" s="2" t="s">
        <v>42</v>
      </c>
      <c r="H276" s="2" t="s">
        <v>159</v>
      </c>
      <c r="I276" s="2" t="s">
        <v>44</v>
      </c>
      <c r="J276" s="2" t="s">
        <v>160</v>
      </c>
      <c r="K276" s="2"/>
      <c r="L276" s="2" t="s">
        <v>1120</v>
      </c>
      <c r="M276" s="2" t="s">
        <v>1121</v>
      </c>
      <c r="N276" s="2" t="s">
        <v>48</v>
      </c>
      <c r="O276" s="2" t="s">
        <v>163</v>
      </c>
      <c r="P276" s="2" t="s">
        <v>995</v>
      </c>
      <c r="Q276" s="2" t="s">
        <v>1086</v>
      </c>
      <c r="R276" s="2" t="s">
        <v>1087</v>
      </c>
      <c r="S276" s="2" t="s">
        <v>1052</v>
      </c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 t="n">
        <v>1.3795</v>
      </c>
      <c r="AG276" s="2"/>
      <c r="AH276" s="2"/>
      <c r="AI276" s="2"/>
      <c r="AJ276" s="2"/>
    </row>
    <row r="277" customFormat="false" ht="15" hidden="false" customHeight="false" outlineLevel="0" collapsed="false">
      <c r="A277" s="2" t="s">
        <v>1122</v>
      </c>
      <c r="B277" s="2" t="s">
        <v>1118</v>
      </c>
      <c r="C277" s="2" t="s">
        <v>38</v>
      </c>
      <c r="D277" s="2" t="s">
        <v>1123</v>
      </c>
      <c r="E277" s="2" t="s">
        <v>40</v>
      </c>
      <c r="F277" s="2" t="s">
        <v>41</v>
      </c>
      <c r="G277" s="2" t="s">
        <v>42</v>
      </c>
      <c r="H277" s="2" t="s">
        <v>159</v>
      </c>
      <c r="I277" s="2" t="s">
        <v>44</v>
      </c>
      <c r="J277" s="2" t="s">
        <v>160</v>
      </c>
      <c r="K277" s="2"/>
      <c r="L277" s="2" t="s">
        <v>1120</v>
      </c>
      <c r="M277" s="2" t="s">
        <v>1121</v>
      </c>
      <c r="N277" s="2" t="s">
        <v>48</v>
      </c>
      <c r="O277" s="2" t="s">
        <v>163</v>
      </c>
      <c r="P277" s="2" t="s">
        <v>995</v>
      </c>
      <c r="Q277" s="2" t="s">
        <v>1086</v>
      </c>
      <c r="R277" s="2" t="s">
        <v>1087</v>
      </c>
      <c r="S277" s="2" t="s">
        <v>1052</v>
      </c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 t="n">
        <v>1.3616</v>
      </c>
      <c r="AG277" s="2"/>
      <c r="AH277" s="2"/>
      <c r="AI277" s="2"/>
      <c r="AJ277" s="2"/>
    </row>
    <row r="278" customFormat="false" ht="15" hidden="false" customHeight="false" outlineLevel="0" collapsed="false">
      <c r="A278" s="2" t="s">
        <v>1124</v>
      </c>
      <c r="B278" s="2" t="s">
        <v>1118</v>
      </c>
      <c r="C278" s="2" t="s">
        <v>38</v>
      </c>
      <c r="D278" s="2" t="s">
        <v>1125</v>
      </c>
      <c r="E278" s="2" t="s">
        <v>40</v>
      </c>
      <c r="F278" s="2" t="s">
        <v>41</v>
      </c>
      <c r="G278" s="2" t="s">
        <v>42</v>
      </c>
      <c r="H278" s="2" t="s">
        <v>159</v>
      </c>
      <c r="I278" s="2" t="s">
        <v>44</v>
      </c>
      <c r="J278" s="2" t="s">
        <v>160</v>
      </c>
      <c r="K278" s="2"/>
      <c r="L278" s="2" t="s">
        <v>1120</v>
      </c>
      <c r="M278" s="2" t="s">
        <v>1121</v>
      </c>
      <c r="N278" s="2" t="s">
        <v>48</v>
      </c>
      <c r="O278" s="2" t="s">
        <v>163</v>
      </c>
      <c r="P278" s="2" t="s">
        <v>995</v>
      </c>
      <c r="Q278" s="2" t="s">
        <v>1086</v>
      </c>
      <c r="R278" s="2" t="s">
        <v>1087</v>
      </c>
      <c r="S278" s="2" t="s">
        <v>1052</v>
      </c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 t="n">
        <v>1.3478</v>
      </c>
      <c r="AG278" s="2"/>
      <c r="AH278" s="2"/>
      <c r="AI278" s="2"/>
      <c r="AJ278" s="2"/>
    </row>
    <row r="279" customFormat="false" ht="15" hidden="false" customHeight="false" outlineLevel="0" collapsed="false">
      <c r="A279" s="2" t="s">
        <v>1126</v>
      </c>
      <c r="B279" s="2" t="s">
        <v>1127</v>
      </c>
      <c r="C279" s="2" t="s">
        <v>38</v>
      </c>
      <c r="D279" s="2" t="s">
        <v>1128</v>
      </c>
      <c r="E279" s="2" t="s">
        <v>40</v>
      </c>
      <c r="F279" s="2" t="s">
        <v>41</v>
      </c>
      <c r="G279" s="2" t="s">
        <v>42</v>
      </c>
      <c r="H279" s="2" t="s">
        <v>457</v>
      </c>
      <c r="I279" s="2" t="s">
        <v>44</v>
      </c>
      <c r="J279" s="2" t="s">
        <v>160</v>
      </c>
      <c r="K279" s="2"/>
      <c r="L279" s="2" t="s">
        <v>1129</v>
      </c>
      <c r="M279" s="2" t="s">
        <v>1130</v>
      </c>
      <c r="N279" s="2" t="s">
        <v>48</v>
      </c>
      <c r="O279" s="2" t="s">
        <v>49</v>
      </c>
      <c r="P279" s="2" t="s">
        <v>354</v>
      </c>
      <c r="Q279" s="2" t="s">
        <v>719</v>
      </c>
      <c r="R279" s="2" t="s">
        <v>720</v>
      </c>
      <c r="S279" s="2" t="s">
        <v>721</v>
      </c>
      <c r="T279" s="2" t="n">
        <v>39.7</v>
      </c>
      <c r="U279" s="2" t="n">
        <v>7.7</v>
      </c>
      <c r="V279" s="2" t="s">
        <v>52</v>
      </c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customFormat="false" ht="15" hidden="false" customHeight="false" outlineLevel="0" collapsed="false">
      <c r="A280" s="2" t="s">
        <v>1131</v>
      </c>
      <c r="B280" s="2" t="s">
        <v>1127</v>
      </c>
      <c r="C280" s="2" t="s">
        <v>38</v>
      </c>
      <c r="D280" s="2" t="s">
        <v>1132</v>
      </c>
      <c r="E280" s="2" t="s">
        <v>40</v>
      </c>
      <c r="F280" s="2" t="s">
        <v>41</v>
      </c>
      <c r="G280" s="2" t="s">
        <v>42</v>
      </c>
      <c r="H280" s="2" t="s">
        <v>457</v>
      </c>
      <c r="I280" s="2" t="s">
        <v>44</v>
      </c>
      <c r="J280" s="2" t="s">
        <v>160</v>
      </c>
      <c r="K280" s="2"/>
      <c r="L280" s="2" t="s">
        <v>1133</v>
      </c>
      <c r="M280" s="2" t="s">
        <v>1130</v>
      </c>
      <c r="N280" s="2" t="s">
        <v>48</v>
      </c>
      <c r="O280" s="2" t="s">
        <v>49</v>
      </c>
      <c r="P280" s="2" t="s">
        <v>354</v>
      </c>
      <c r="Q280" s="2" t="s">
        <v>719</v>
      </c>
      <c r="R280" s="2" t="s">
        <v>720</v>
      </c>
      <c r="S280" s="2" t="s">
        <v>721</v>
      </c>
      <c r="T280" s="2" t="n">
        <v>40.6</v>
      </c>
      <c r="U280" s="2" t="n">
        <v>7.7</v>
      </c>
      <c r="V280" s="2" t="s">
        <v>52</v>
      </c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customFormat="false" ht="15" hidden="false" customHeight="false" outlineLevel="0" collapsed="false">
      <c r="A281" s="2" t="s">
        <v>1134</v>
      </c>
      <c r="B281" s="2" t="s">
        <v>1127</v>
      </c>
      <c r="C281" s="2" t="s">
        <v>38</v>
      </c>
      <c r="D281" s="2" t="s">
        <v>1135</v>
      </c>
      <c r="E281" s="2" t="s">
        <v>40</v>
      </c>
      <c r="F281" s="2" t="s">
        <v>41</v>
      </c>
      <c r="G281" s="2" t="s">
        <v>42</v>
      </c>
      <c r="H281" s="2" t="s">
        <v>457</v>
      </c>
      <c r="I281" s="2" t="s">
        <v>44</v>
      </c>
      <c r="J281" s="2" t="s">
        <v>160</v>
      </c>
      <c r="K281" s="2"/>
      <c r="L281" s="2" t="s">
        <v>1136</v>
      </c>
      <c r="M281" s="2" t="s">
        <v>1130</v>
      </c>
      <c r="N281" s="2" t="s">
        <v>48</v>
      </c>
      <c r="O281" s="2" t="s">
        <v>49</v>
      </c>
      <c r="P281" s="2" t="s">
        <v>354</v>
      </c>
      <c r="Q281" s="2" t="s">
        <v>719</v>
      </c>
      <c r="R281" s="2" t="s">
        <v>720</v>
      </c>
      <c r="S281" s="2" t="s">
        <v>721</v>
      </c>
      <c r="T281" s="2" t="n">
        <v>41.6</v>
      </c>
      <c r="U281" s="2" t="n">
        <v>8.3</v>
      </c>
      <c r="V281" s="2" t="s">
        <v>52</v>
      </c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customFormat="false" ht="15" hidden="false" customHeight="false" outlineLevel="0" collapsed="false">
      <c r="A282" s="2" t="s">
        <v>1137</v>
      </c>
      <c r="B282" s="2" t="s">
        <v>1138</v>
      </c>
      <c r="C282" s="2" t="s">
        <v>38</v>
      </c>
      <c r="D282" s="2" t="s">
        <v>1139</v>
      </c>
      <c r="E282" s="2" t="s">
        <v>40</v>
      </c>
      <c r="F282" s="2" t="s">
        <v>41</v>
      </c>
      <c r="G282" s="2" t="s">
        <v>42</v>
      </c>
      <c r="H282" s="2" t="s">
        <v>159</v>
      </c>
      <c r="I282" s="2" t="s">
        <v>44</v>
      </c>
      <c r="J282" s="2" t="s">
        <v>160</v>
      </c>
      <c r="K282" s="2"/>
      <c r="L282" s="2" t="s">
        <v>1140</v>
      </c>
      <c r="M282" s="2" t="s">
        <v>1141</v>
      </c>
      <c r="N282" s="2" t="s">
        <v>48</v>
      </c>
      <c r="O282" s="2" t="s">
        <v>163</v>
      </c>
      <c r="P282" s="2" t="s">
        <v>354</v>
      </c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 t="n">
        <v>1.3382</v>
      </c>
      <c r="AG282" s="2"/>
      <c r="AH282" s="2"/>
      <c r="AI282" s="2"/>
      <c r="AJ282" s="2"/>
    </row>
    <row r="283" customFormat="false" ht="15" hidden="false" customHeight="false" outlineLevel="0" collapsed="false">
      <c r="A283" s="2" t="s">
        <v>1142</v>
      </c>
      <c r="B283" s="2" t="s">
        <v>1138</v>
      </c>
      <c r="C283" s="2" t="s">
        <v>38</v>
      </c>
      <c r="D283" s="2" t="s">
        <v>1143</v>
      </c>
      <c r="E283" s="2" t="s">
        <v>40</v>
      </c>
      <c r="F283" s="2" t="s">
        <v>41</v>
      </c>
      <c r="G283" s="2" t="s">
        <v>42</v>
      </c>
      <c r="H283" s="2" t="s">
        <v>159</v>
      </c>
      <c r="I283" s="2" t="s">
        <v>44</v>
      </c>
      <c r="J283" s="2" t="s">
        <v>160</v>
      </c>
      <c r="K283" s="2"/>
      <c r="L283" s="2" t="s">
        <v>1144</v>
      </c>
      <c r="M283" s="2" t="s">
        <v>1141</v>
      </c>
      <c r="N283" s="2" t="s">
        <v>48</v>
      </c>
      <c r="O283" s="2" t="s">
        <v>163</v>
      </c>
      <c r="P283" s="2" t="s">
        <v>354</v>
      </c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 t="n">
        <v>1.2733</v>
      </c>
      <c r="AG283" s="2"/>
      <c r="AH283" s="2"/>
      <c r="AI283" s="2"/>
      <c r="AJ283" s="2"/>
    </row>
    <row r="284" customFormat="false" ht="15" hidden="false" customHeight="false" outlineLevel="0" collapsed="false">
      <c r="A284" s="2" t="s">
        <v>1145</v>
      </c>
      <c r="B284" s="2" t="s">
        <v>1138</v>
      </c>
      <c r="C284" s="2" t="s">
        <v>38</v>
      </c>
      <c r="D284" s="2" t="s">
        <v>1146</v>
      </c>
      <c r="E284" s="2" t="s">
        <v>40</v>
      </c>
      <c r="F284" s="2" t="s">
        <v>41</v>
      </c>
      <c r="G284" s="2" t="s">
        <v>42</v>
      </c>
      <c r="H284" s="2" t="s">
        <v>159</v>
      </c>
      <c r="I284" s="2" t="s">
        <v>44</v>
      </c>
      <c r="J284" s="2" t="s">
        <v>160</v>
      </c>
      <c r="K284" s="2"/>
      <c r="L284" s="2" t="s">
        <v>1147</v>
      </c>
      <c r="M284" s="2" t="s">
        <v>1141</v>
      </c>
      <c r="N284" s="2" t="s">
        <v>48</v>
      </c>
      <c r="O284" s="2" t="s">
        <v>163</v>
      </c>
      <c r="P284" s="2" t="s">
        <v>354</v>
      </c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 t="n">
        <v>1.3009</v>
      </c>
      <c r="AG284" s="2"/>
      <c r="AH284" s="2"/>
      <c r="AI284" s="2"/>
      <c r="AJ284" s="2"/>
    </row>
    <row r="285" customFormat="false" ht="15" hidden="false" customHeight="false" outlineLevel="0" collapsed="false">
      <c r="A285" s="2" t="s">
        <v>1148</v>
      </c>
      <c r="B285" s="2" t="s">
        <v>1149</v>
      </c>
      <c r="C285" s="2" t="s">
        <v>38</v>
      </c>
      <c r="D285" s="2" t="s">
        <v>1150</v>
      </c>
      <c r="E285" s="2" t="s">
        <v>40</v>
      </c>
      <c r="F285" s="2" t="s">
        <v>41</v>
      </c>
      <c r="G285" s="2" t="s">
        <v>42</v>
      </c>
      <c r="H285" s="2" t="s">
        <v>175</v>
      </c>
      <c r="I285" s="2" t="s">
        <v>44</v>
      </c>
      <c r="J285" s="2" t="s">
        <v>160</v>
      </c>
      <c r="K285" s="2"/>
      <c r="L285" s="2" t="s">
        <v>1151</v>
      </c>
      <c r="M285" s="2" t="s">
        <v>1141</v>
      </c>
      <c r="N285" s="2" t="s">
        <v>48</v>
      </c>
      <c r="O285" s="2" t="s">
        <v>49</v>
      </c>
      <c r="P285" s="2" t="s">
        <v>354</v>
      </c>
      <c r="Q285" s="2"/>
      <c r="R285" s="2"/>
      <c r="S285" s="2"/>
      <c r="T285" s="2" t="n">
        <v>37.9</v>
      </c>
      <c r="U285" s="2" t="n">
        <v>7</v>
      </c>
      <c r="V285" s="2" t="s">
        <v>52</v>
      </c>
      <c r="W285" s="2" t="n">
        <v>21.5</v>
      </c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customFormat="false" ht="15" hidden="false" customHeight="false" outlineLevel="0" collapsed="false">
      <c r="A286" s="2" t="s">
        <v>1152</v>
      </c>
      <c r="B286" s="2" t="s">
        <v>1149</v>
      </c>
      <c r="C286" s="2" t="s">
        <v>38</v>
      </c>
      <c r="D286" s="2" t="s">
        <v>1153</v>
      </c>
      <c r="E286" s="2" t="s">
        <v>40</v>
      </c>
      <c r="F286" s="2" t="s">
        <v>41</v>
      </c>
      <c r="G286" s="2" t="s">
        <v>42</v>
      </c>
      <c r="H286" s="2" t="s">
        <v>175</v>
      </c>
      <c r="I286" s="2" t="s">
        <v>44</v>
      </c>
      <c r="J286" s="2" t="s">
        <v>160</v>
      </c>
      <c r="K286" s="2"/>
      <c r="L286" s="2" t="s">
        <v>1154</v>
      </c>
      <c r="M286" s="2" t="s">
        <v>1141</v>
      </c>
      <c r="N286" s="2" t="s">
        <v>48</v>
      </c>
      <c r="O286" s="2" t="s">
        <v>49</v>
      </c>
      <c r="P286" s="2" t="s">
        <v>354</v>
      </c>
      <c r="Q286" s="2"/>
      <c r="R286" s="2"/>
      <c r="S286" s="2"/>
      <c r="T286" s="2" t="n">
        <v>38.2</v>
      </c>
      <c r="U286" s="2" t="n">
        <v>6.5</v>
      </c>
      <c r="V286" s="2" t="s">
        <v>52</v>
      </c>
      <c r="W286" s="2" t="n">
        <v>21.22</v>
      </c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customFormat="false" ht="15" hidden="false" customHeight="false" outlineLevel="0" collapsed="false">
      <c r="A287" s="2" t="s">
        <v>1155</v>
      </c>
      <c r="B287" s="2" t="s">
        <v>1149</v>
      </c>
      <c r="C287" s="2" t="s">
        <v>38</v>
      </c>
      <c r="D287" s="2" t="s">
        <v>1156</v>
      </c>
      <c r="E287" s="2" t="s">
        <v>40</v>
      </c>
      <c r="F287" s="2" t="s">
        <v>41</v>
      </c>
      <c r="G287" s="2" t="s">
        <v>42</v>
      </c>
      <c r="H287" s="2" t="s">
        <v>175</v>
      </c>
      <c r="I287" s="2" t="s">
        <v>44</v>
      </c>
      <c r="J287" s="2" t="s">
        <v>160</v>
      </c>
      <c r="K287" s="2"/>
      <c r="L287" s="2" t="s">
        <v>1157</v>
      </c>
      <c r="M287" s="2" t="s">
        <v>1141</v>
      </c>
      <c r="N287" s="2" t="s">
        <v>48</v>
      </c>
      <c r="O287" s="2" t="s">
        <v>49</v>
      </c>
      <c r="P287" s="2" t="s">
        <v>354</v>
      </c>
      <c r="Q287" s="2"/>
      <c r="R287" s="2"/>
      <c r="S287" s="2"/>
      <c r="T287" s="2" t="n">
        <v>38.4</v>
      </c>
      <c r="U287" s="2" t="n">
        <v>7</v>
      </c>
      <c r="V287" s="2" t="s">
        <v>52</v>
      </c>
      <c r="W287" s="2" t="n">
        <v>21.08</v>
      </c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customFormat="false" ht="15" hidden="false" customHeight="false" outlineLevel="0" collapsed="false">
      <c r="A288" s="2" t="s">
        <v>1158</v>
      </c>
      <c r="B288" s="2" t="s">
        <v>1159</v>
      </c>
      <c r="C288" s="2" t="s">
        <v>38</v>
      </c>
      <c r="D288" s="2" t="s">
        <v>1160</v>
      </c>
      <c r="E288" s="2" t="s">
        <v>40</v>
      </c>
      <c r="F288" s="2" t="s">
        <v>41</v>
      </c>
      <c r="G288" s="2" t="s">
        <v>42</v>
      </c>
      <c r="H288" s="2" t="s">
        <v>457</v>
      </c>
      <c r="I288" s="2" t="s">
        <v>44</v>
      </c>
      <c r="J288" s="2" t="s">
        <v>160</v>
      </c>
      <c r="K288" s="2"/>
      <c r="L288" s="2" t="s">
        <v>1161</v>
      </c>
      <c r="M288" s="2" t="s">
        <v>1162</v>
      </c>
      <c r="N288" s="2" t="s">
        <v>48</v>
      </c>
      <c r="O288" s="2" t="s">
        <v>49</v>
      </c>
      <c r="P288" s="2" t="s">
        <v>354</v>
      </c>
      <c r="Q288" s="2" t="s">
        <v>719</v>
      </c>
      <c r="R288" s="2" t="s">
        <v>720</v>
      </c>
      <c r="S288" s="2" t="s">
        <v>721</v>
      </c>
      <c r="T288" s="2" t="n">
        <v>41.2</v>
      </c>
      <c r="U288" s="2" t="n">
        <v>6.7</v>
      </c>
      <c r="V288" s="2" t="s">
        <v>52</v>
      </c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customFormat="false" ht="15" hidden="false" customHeight="false" outlineLevel="0" collapsed="false">
      <c r="A289" s="2" t="s">
        <v>1163</v>
      </c>
      <c r="B289" s="2" t="s">
        <v>1159</v>
      </c>
      <c r="C289" s="2" t="s">
        <v>38</v>
      </c>
      <c r="D289" s="2" t="s">
        <v>1164</v>
      </c>
      <c r="E289" s="2" t="s">
        <v>40</v>
      </c>
      <c r="F289" s="2" t="s">
        <v>41</v>
      </c>
      <c r="G289" s="2" t="s">
        <v>42</v>
      </c>
      <c r="H289" s="2" t="s">
        <v>457</v>
      </c>
      <c r="I289" s="2" t="s">
        <v>44</v>
      </c>
      <c r="J289" s="2" t="s">
        <v>160</v>
      </c>
      <c r="K289" s="2"/>
      <c r="L289" s="2" t="s">
        <v>1165</v>
      </c>
      <c r="M289" s="2" t="s">
        <v>1162</v>
      </c>
      <c r="N289" s="2" t="s">
        <v>48</v>
      </c>
      <c r="O289" s="2" t="s">
        <v>49</v>
      </c>
      <c r="P289" s="2" t="s">
        <v>354</v>
      </c>
      <c r="Q289" s="2" t="s">
        <v>719</v>
      </c>
      <c r="R289" s="2" t="s">
        <v>720</v>
      </c>
      <c r="S289" s="2" t="s">
        <v>721</v>
      </c>
      <c r="T289" s="2" t="n">
        <v>41.8</v>
      </c>
      <c r="U289" s="2" t="n">
        <v>7</v>
      </c>
      <c r="V289" s="2" t="s">
        <v>52</v>
      </c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customFormat="false" ht="15" hidden="false" customHeight="false" outlineLevel="0" collapsed="false">
      <c r="A290" s="2" t="s">
        <v>1166</v>
      </c>
      <c r="B290" s="2" t="s">
        <v>1159</v>
      </c>
      <c r="C290" s="2" t="s">
        <v>38</v>
      </c>
      <c r="D290" s="2" t="s">
        <v>1167</v>
      </c>
      <c r="E290" s="2" t="s">
        <v>40</v>
      </c>
      <c r="F290" s="2" t="s">
        <v>41</v>
      </c>
      <c r="G290" s="2" t="s">
        <v>42</v>
      </c>
      <c r="H290" s="2" t="s">
        <v>457</v>
      </c>
      <c r="I290" s="2" t="s">
        <v>44</v>
      </c>
      <c r="J290" s="2" t="s">
        <v>160</v>
      </c>
      <c r="K290" s="2"/>
      <c r="L290" s="2" t="s">
        <v>1168</v>
      </c>
      <c r="M290" s="2" t="s">
        <v>1162</v>
      </c>
      <c r="N290" s="2" t="s">
        <v>48</v>
      </c>
      <c r="O290" s="2" t="s">
        <v>49</v>
      </c>
      <c r="P290" s="2" t="s">
        <v>354</v>
      </c>
      <c r="Q290" s="2" t="s">
        <v>719</v>
      </c>
      <c r="R290" s="2" t="s">
        <v>720</v>
      </c>
      <c r="S290" s="2" t="s">
        <v>721</v>
      </c>
      <c r="T290" s="2" t="n">
        <v>41.7</v>
      </c>
      <c r="U290" s="2" t="n">
        <v>7</v>
      </c>
      <c r="V290" s="2" t="s">
        <v>52</v>
      </c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customFormat="false" ht="15" hidden="false" customHeight="false" outlineLevel="0" collapsed="false">
      <c r="A291" s="2" t="s">
        <v>1169</v>
      </c>
      <c r="B291" s="2" t="s">
        <v>1170</v>
      </c>
      <c r="C291" s="2" t="s">
        <v>38</v>
      </c>
      <c r="D291" s="2" t="s">
        <v>1171</v>
      </c>
      <c r="E291" s="2" t="s">
        <v>40</v>
      </c>
      <c r="F291" s="2" t="s">
        <v>41</v>
      </c>
      <c r="G291" s="2" t="s">
        <v>42</v>
      </c>
      <c r="H291" s="2" t="s">
        <v>159</v>
      </c>
      <c r="I291" s="2" t="s">
        <v>44</v>
      </c>
      <c r="J291" s="2" t="s">
        <v>160</v>
      </c>
      <c r="K291" s="2"/>
      <c r="L291" s="2" t="s">
        <v>1172</v>
      </c>
      <c r="M291" s="2" t="s">
        <v>1173</v>
      </c>
      <c r="N291" s="2" t="s">
        <v>48</v>
      </c>
      <c r="O291" s="2" t="s">
        <v>163</v>
      </c>
      <c r="P291" s="2" t="s">
        <v>354</v>
      </c>
      <c r="Q291" s="2"/>
      <c r="R291" s="2" t="s">
        <v>1174</v>
      </c>
      <c r="S291" s="2" t="s">
        <v>1175</v>
      </c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 t="n">
        <v>1.2728</v>
      </c>
      <c r="AG291" s="2"/>
      <c r="AH291" s="2"/>
      <c r="AI291" s="2"/>
      <c r="AJ291" s="2"/>
    </row>
    <row r="292" customFormat="false" ht="15" hidden="false" customHeight="false" outlineLevel="0" collapsed="false">
      <c r="A292" s="2" t="s">
        <v>1176</v>
      </c>
      <c r="B292" s="2" t="s">
        <v>1170</v>
      </c>
      <c r="C292" s="2" t="s">
        <v>38</v>
      </c>
      <c r="D292" s="2" t="s">
        <v>1177</v>
      </c>
      <c r="E292" s="2" t="s">
        <v>40</v>
      </c>
      <c r="F292" s="2" t="s">
        <v>41</v>
      </c>
      <c r="G292" s="2" t="s">
        <v>42</v>
      </c>
      <c r="H292" s="2" t="s">
        <v>159</v>
      </c>
      <c r="I292" s="2" t="s">
        <v>44</v>
      </c>
      <c r="J292" s="2" t="s">
        <v>160</v>
      </c>
      <c r="K292" s="2"/>
      <c r="L292" s="2" t="s">
        <v>1172</v>
      </c>
      <c r="M292" s="2" t="s">
        <v>1173</v>
      </c>
      <c r="N292" s="2" t="s">
        <v>48</v>
      </c>
      <c r="O292" s="2" t="s">
        <v>163</v>
      </c>
      <c r="P292" s="2" t="s">
        <v>354</v>
      </c>
      <c r="Q292" s="2"/>
      <c r="R292" s="2" t="s">
        <v>1174</v>
      </c>
      <c r="S292" s="2" t="s">
        <v>1175</v>
      </c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 t="n">
        <v>1.2727</v>
      </c>
      <c r="AG292" s="2"/>
      <c r="AH292" s="2"/>
      <c r="AI292" s="2"/>
      <c r="AJ292" s="2"/>
    </row>
    <row r="293" customFormat="false" ht="15" hidden="false" customHeight="false" outlineLevel="0" collapsed="false">
      <c r="A293" s="2" t="s">
        <v>1178</v>
      </c>
      <c r="B293" s="2" t="s">
        <v>1170</v>
      </c>
      <c r="C293" s="2" t="s">
        <v>38</v>
      </c>
      <c r="D293" s="2" t="s">
        <v>1179</v>
      </c>
      <c r="E293" s="2" t="s">
        <v>40</v>
      </c>
      <c r="F293" s="2" t="s">
        <v>41</v>
      </c>
      <c r="G293" s="2" t="s">
        <v>42</v>
      </c>
      <c r="H293" s="2" t="s">
        <v>159</v>
      </c>
      <c r="I293" s="2" t="s">
        <v>44</v>
      </c>
      <c r="J293" s="2" t="s">
        <v>160</v>
      </c>
      <c r="K293" s="2"/>
      <c r="L293" s="2" t="s">
        <v>1172</v>
      </c>
      <c r="M293" s="2" t="s">
        <v>1173</v>
      </c>
      <c r="N293" s="2" t="s">
        <v>48</v>
      </c>
      <c r="O293" s="2" t="s">
        <v>163</v>
      </c>
      <c r="P293" s="2" t="s">
        <v>354</v>
      </c>
      <c r="Q293" s="2"/>
      <c r="R293" s="2" t="s">
        <v>1174</v>
      </c>
      <c r="S293" s="2" t="s">
        <v>1175</v>
      </c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 t="n">
        <v>1.2708</v>
      </c>
      <c r="AG293" s="2"/>
      <c r="AH293" s="2"/>
      <c r="AI293" s="2"/>
      <c r="AJ293" s="2"/>
    </row>
    <row r="294" customFormat="false" ht="15" hidden="false" customHeight="false" outlineLevel="0" collapsed="false">
      <c r="A294" s="2" t="s">
        <v>1180</v>
      </c>
      <c r="B294" s="2" t="s">
        <v>1170</v>
      </c>
      <c r="C294" s="2" t="s">
        <v>38</v>
      </c>
      <c r="D294" s="2" t="s">
        <v>1181</v>
      </c>
      <c r="E294" s="2" t="s">
        <v>40</v>
      </c>
      <c r="F294" s="2" t="s">
        <v>41</v>
      </c>
      <c r="G294" s="2" t="s">
        <v>42</v>
      </c>
      <c r="H294" s="2" t="s">
        <v>175</v>
      </c>
      <c r="I294" s="2" t="s">
        <v>44</v>
      </c>
      <c r="J294" s="2" t="s">
        <v>160</v>
      </c>
      <c r="K294" s="2"/>
      <c r="L294" s="2" t="s">
        <v>1172</v>
      </c>
      <c r="M294" s="2" t="s">
        <v>1173</v>
      </c>
      <c r="N294" s="2" t="s">
        <v>48</v>
      </c>
      <c r="O294" s="2" t="s">
        <v>49</v>
      </c>
      <c r="P294" s="2" t="s">
        <v>354</v>
      </c>
      <c r="Q294" s="2"/>
      <c r="R294" s="2" t="s">
        <v>1174</v>
      </c>
      <c r="S294" s="2" t="s">
        <v>1175</v>
      </c>
      <c r="T294" s="2" t="n">
        <v>38.9</v>
      </c>
      <c r="U294" s="2" t="n">
        <v>6.5</v>
      </c>
      <c r="V294" s="2" t="n">
        <v>0.11</v>
      </c>
      <c r="W294" s="2" t="n">
        <v>28.08</v>
      </c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customFormat="false" ht="15" hidden="false" customHeight="false" outlineLevel="0" collapsed="false">
      <c r="A295" s="2" t="s">
        <v>1182</v>
      </c>
      <c r="B295" s="2" t="s">
        <v>1170</v>
      </c>
      <c r="C295" s="2" t="s">
        <v>38</v>
      </c>
      <c r="D295" s="2" t="s">
        <v>1183</v>
      </c>
      <c r="E295" s="2" t="s">
        <v>40</v>
      </c>
      <c r="F295" s="2" t="s">
        <v>41</v>
      </c>
      <c r="G295" s="2" t="s">
        <v>42</v>
      </c>
      <c r="H295" s="2" t="s">
        <v>175</v>
      </c>
      <c r="I295" s="2" t="s">
        <v>44</v>
      </c>
      <c r="J295" s="2" t="s">
        <v>160</v>
      </c>
      <c r="K295" s="2"/>
      <c r="L295" s="2" t="s">
        <v>1172</v>
      </c>
      <c r="M295" s="2" t="s">
        <v>1173</v>
      </c>
      <c r="N295" s="2" t="s">
        <v>48</v>
      </c>
      <c r="O295" s="2" t="s">
        <v>49</v>
      </c>
      <c r="P295" s="2" t="s">
        <v>354</v>
      </c>
      <c r="Q295" s="2"/>
      <c r="R295" s="2" t="s">
        <v>1174</v>
      </c>
      <c r="S295" s="2" t="s">
        <v>1175</v>
      </c>
      <c r="T295" s="2" t="n">
        <v>38.7</v>
      </c>
      <c r="U295" s="2" t="n">
        <v>5.9</v>
      </c>
      <c r="V295" s="2" t="n">
        <v>0.14</v>
      </c>
      <c r="W295" s="2" t="n">
        <v>25.92</v>
      </c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customFormat="false" ht="15" hidden="false" customHeight="false" outlineLevel="0" collapsed="false">
      <c r="A296" s="2" t="s">
        <v>1184</v>
      </c>
      <c r="B296" s="2" t="s">
        <v>1170</v>
      </c>
      <c r="C296" s="2" t="s">
        <v>38</v>
      </c>
      <c r="D296" s="2" t="s">
        <v>1185</v>
      </c>
      <c r="E296" s="2" t="s">
        <v>40</v>
      </c>
      <c r="F296" s="2" t="s">
        <v>41</v>
      </c>
      <c r="G296" s="2" t="s">
        <v>42</v>
      </c>
      <c r="H296" s="2" t="s">
        <v>175</v>
      </c>
      <c r="I296" s="2" t="s">
        <v>44</v>
      </c>
      <c r="J296" s="2" t="s">
        <v>160</v>
      </c>
      <c r="K296" s="2"/>
      <c r="L296" s="2" t="s">
        <v>1172</v>
      </c>
      <c r="M296" s="2" t="s">
        <v>1173</v>
      </c>
      <c r="N296" s="2" t="s">
        <v>48</v>
      </c>
      <c r="O296" s="2" t="s">
        <v>49</v>
      </c>
      <c r="P296" s="2" t="s">
        <v>354</v>
      </c>
      <c r="Q296" s="2"/>
      <c r="R296" s="2" t="s">
        <v>1174</v>
      </c>
      <c r="S296" s="2" t="s">
        <v>1175</v>
      </c>
      <c r="T296" s="2" t="n">
        <v>39.4</v>
      </c>
      <c r="U296" s="2" t="n">
        <v>6.3</v>
      </c>
      <c r="V296" s="2" t="n">
        <v>0.15</v>
      </c>
      <c r="W296" s="2" t="n">
        <v>27.89</v>
      </c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customFormat="false" ht="15" hidden="false" customHeight="false" outlineLevel="0" collapsed="false">
      <c r="A297" s="2" t="s">
        <v>1186</v>
      </c>
      <c r="B297" s="2" t="s">
        <v>1187</v>
      </c>
      <c r="C297" s="2" t="s">
        <v>38</v>
      </c>
      <c r="D297" s="2" t="s">
        <v>1188</v>
      </c>
      <c r="E297" s="2" t="s">
        <v>40</v>
      </c>
      <c r="F297" s="2" t="s">
        <v>41</v>
      </c>
      <c r="G297" s="2" t="s">
        <v>42</v>
      </c>
      <c r="H297" s="2" t="s">
        <v>457</v>
      </c>
      <c r="I297" s="2" t="s">
        <v>1189</v>
      </c>
      <c r="J297" s="2" t="s">
        <v>160</v>
      </c>
      <c r="K297" s="2"/>
      <c r="L297" s="2" t="s">
        <v>1190</v>
      </c>
      <c r="M297" s="2" t="s">
        <v>1191</v>
      </c>
      <c r="N297" s="2" t="s">
        <v>48</v>
      </c>
      <c r="O297" s="2" t="s">
        <v>163</v>
      </c>
      <c r="P297" s="2" t="s">
        <v>354</v>
      </c>
      <c r="Q297" s="2" t="s">
        <v>1192</v>
      </c>
      <c r="R297" s="2" t="s">
        <v>1193</v>
      </c>
      <c r="S297" s="2" t="s">
        <v>1194</v>
      </c>
      <c r="T297" s="2" t="n">
        <v>25.8</v>
      </c>
      <c r="U297" s="2" t="n">
        <v>7.36</v>
      </c>
      <c r="V297" s="2" t="n">
        <v>-0.0298</v>
      </c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customFormat="false" ht="15" hidden="false" customHeight="false" outlineLevel="0" collapsed="false">
      <c r="A298" s="2" t="s">
        <v>1195</v>
      </c>
      <c r="B298" s="2" t="s">
        <v>1187</v>
      </c>
      <c r="C298" s="2" t="s">
        <v>38</v>
      </c>
      <c r="D298" s="2" t="s">
        <v>1196</v>
      </c>
      <c r="E298" s="2" t="s">
        <v>40</v>
      </c>
      <c r="F298" s="2" t="s">
        <v>41</v>
      </c>
      <c r="G298" s="2" t="s">
        <v>42</v>
      </c>
      <c r="H298" s="2" t="s">
        <v>457</v>
      </c>
      <c r="I298" s="2" t="s">
        <v>44</v>
      </c>
      <c r="J298" s="2" t="s">
        <v>160</v>
      </c>
      <c r="K298" s="2"/>
      <c r="L298" s="2" t="s">
        <v>1190</v>
      </c>
      <c r="M298" s="2" t="s">
        <v>1191</v>
      </c>
      <c r="N298" s="2" t="s">
        <v>48</v>
      </c>
      <c r="O298" s="2" t="s">
        <v>163</v>
      </c>
      <c r="P298" s="2" t="s">
        <v>354</v>
      </c>
      <c r="Q298" s="2" t="s">
        <v>1197</v>
      </c>
      <c r="R298" s="2" t="s">
        <v>1198</v>
      </c>
      <c r="S298" s="2" t="s">
        <v>1194</v>
      </c>
      <c r="T298" s="2" t="n">
        <v>25.4</v>
      </c>
      <c r="U298" s="2" t="n">
        <v>6.6</v>
      </c>
      <c r="V298" s="2" t="s">
        <v>52</v>
      </c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customFormat="false" ht="15" hidden="false" customHeight="false" outlineLevel="0" collapsed="false">
      <c r="A299" s="2" t="s">
        <v>1199</v>
      </c>
      <c r="B299" s="2" t="s">
        <v>1187</v>
      </c>
      <c r="C299" s="2" t="s">
        <v>38</v>
      </c>
      <c r="D299" s="2" t="s">
        <v>1200</v>
      </c>
      <c r="E299" s="2" t="s">
        <v>40</v>
      </c>
      <c r="F299" s="2" t="s">
        <v>41</v>
      </c>
      <c r="G299" s="2" t="s">
        <v>42</v>
      </c>
      <c r="H299" s="2" t="s">
        <v>457</v>
      </c>
      <c r="I299" s="2" t="s">
        <v>44</v>
      </c>
      <c r="J299" s="2" t="s">
        <v>160</v>
      </c>
      <c r="K299" s="2"/>
      <c r="L299" s="2" t="s">
        <v>1190</v>
      </c>
      <c r="M299" s="2" t="s">
        <v>1191</v>
      </c>
      <c r="N299" s="2" t="s">
        <v>48</v>
      </c>
      <c r="O299" s="2" t="s">
        <v>163</v>
      </c>
      <c r="P299" s="2" t="s">
        <v>354</v>
      </c>
      <c r="Q299" s="2" t="s">
        <v>1197</v>
      </c>
      <c r="R299" s="2" t="s">
        <v>1198</v>
      </c>
      <c r="S299" s="2" t="s">
        <v>1194</v>
      </c>
      <c r="T299" s="2" t="n">
        <v>25.4</v>
      </c>
      <c r="U299" s="2" t="n">
        <v>6.5</v>
      </c>
      <c r="V299" s="2" t="s">
        <v>52</v>
      </c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customFormat="false" ht="15" hidden="false" customHeight="false" outlineLevel="0" collapsed="false">
      <c r="A300" s="2" t="s">
        <v>1201</v>
      </c>
      <c r="B300" s="2" t="s">
        <v>1187</v>
      </c>
      <c r="C300" s="2" t="s">
        <v>38</v>
      </c>
      <c r="D300" s="2" t="s">
        <v>1202</v>
      </c>
      <c r="E300" s="2" t="s">
        <v>40</v>
      </c>
      <c r="F300" s="2" t="s">
        <v>41</v>
      </c>
      <c r="G300" s="2" t="s">
        <v>42</v>
      </c>
      <c r="H300" s="2" t="s">
        <v>457</v>
      </c>
      <c r="I300" s="2" t="s">
        <v>44</v>
      </c>
      <c r="J300" s="2" t="s">
        <v>160</v>
      </c>
      <c r="K300" s="2"/>
      <c r="L300" s="2" t="s">
        <v>1190</v>
      </c>
      <c r="M300" s="2" t="s">
        <v>1191</v>
      </c>
      <c r="N300" s="2" t="s">
        <v>48</v>
      </c>
      <c r="O300" s="2" t="s">
        <v>163</v>
      </c>
      <c r="P300" s="2" t="s">
        <v>354</v>
      </c>
      <c r="Q300" s="2" t="s">
        <v>1197</v>
      </c>
      <c r="R300" s="2" t="s">
        <v>1198</v>
      </c>
      <c r="S300" s="2" t="s">
        <v>1194</v>
      </c>
      <c r="T300" s="2" t="n">
        <v>25.6</v>
      </c>
      <c r="U300" s="2" t="n">
        <v>6.8</v>
      </c>
      <c r="V300" s="2" t="s">
        <v>52</v>
      </c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customFormat="false" ht="15" hidden="false" customHeight="false" outlineLevel="0" collapsed="false">
      <c r="A301" s="2" t="s">
        <v>1203</v>
      </c>
      <c r="B301" s="2" t="s">
        <v>1187</v>
      </c>
      <c r="C301" s="2" t="s">
        <v>38</v>
      </c>
      <c r="D301" s="2" t="s">
        <v>1204</v>
      </c>
      <c r="E301" s="2" t="s">
        <v>40</v>
      </c>
      <c r="F301" s="2" t="s">
        <v>41</v>
      </c>
      <c r="G301" s="2" t="s">
        <v>42</v>
      </c>
      <c r="H301" s="2" t="s">
        <v>159</v>
      </c>
      <c r="I301" s="2" t="s">
        <v>44</v>
      </c>
      <c r="J301" s="2" t="s">
        <v>160</v>
      </c>
      <c r="K301" s="2"/>
      <c r="L301" s="2" t="s">
        <v>1190</v>
      </c>
      <c r="M301" s="2" t="s">
        <v>1191</v>
      </c>
      <c r="N301" s="2" t="s">
        <v>48</v>
      </c>
      <c r="O301" s="2" t="s">
        <v>163</v>
      </c>
      <c r="P301" s="2" t="s">
        <v>354</v>
      </c>
      <c r="Q301" s="2" t="s">
        <v>1205</v>
      </c>
      <c r="R301" s="2" t="s">
        <v>1206</v>
      </c>
      <c r="S301" s="2" t="s">
        <v>1207</v>
      </c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 t="n">
        <v>0.0013</v>
      </c>
      <c r="AG301" s="2"/>
      <c r="AH301" s="2"/>
      <c r="AI301" s="2"/>
      <c r="AJ301" s="2"/>
    </row>
    <row r="302" customFormat="false" ht="15" hidden="false" customHeight="false" outlineLevel="0" collapsed="false">
      <c r="A302" s="2" t="s">
        <v>1208</v>
      </c>
      <c r="B302" s="2" t="s">
        <v>1187</v>
      </c>
      <c r="C302" s="2" t="s">
        <v>38</v>
      </c>
      <c r="D302" s="2" t="s">
        <v>1209</v>
      </c>
      <c r="E302" s="2" t="s">
        <v>40</v>
      </c>
      <c r="F302" s="2" t="s">
        <v>41</v>
      </c>
      <c r="G302" s="2" t="s">
        <v>42</v>
      </c>
      <c r="H302" s="2" t="s">
        <v>159</v>
      </c>
      <c r="I302" s="2" t="s">
        <v>44</v>
      </c>
      <c r="J302" s="2" t="s">
        <v>160</v>
      </c>
      <c r="K302" s="2"/>
      <c r="L302" s="2" t="s">
        <v>1190</v>
      </c>
      <c r="M302" s="2" t="s">
        <v>1191</v>
      </c>
      <c r="N302" s="2" t="s">
        <v>48</v>
      </c>
      <c r="O302" s="2" t="s">
        <v>163</v>
      </c>
      <c r="P302" s="2" t="s">
        <v>354</v>
      </c>
      <c r="Q302" s="2" t="s">
        <v>1205</v>
      </c>
      <c r="R302" s="2" t="s">
        <v>1206</v>
      </c>
      <c r="S302" s="2" t="s">
        <v>1207</v>
      </c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 t="n">
        <v>0.0013</v>
      </c>
      <c r="AG302" s="2"/>
      <c r="AH302" s="2"/>
      <c r="AI302" s="2"/>
      <c r="AJ302" s="2"/>
    </row>
    <row r="303" customFormat="false" ht="15" hidden="false" customHeight="false" outlineLevel="0" collapsed="false">
      <c r="A303" s="2" t="s">
        <v>1210</v>
      </c>
      <c r="B303" s="2" t="s">
        <v>1187</v>
      </c>
      <c r="C303" s="2" t="s">
        <v>38</v>
      </c>
      <c r="D303" s="2" t="s">
        <v>1211</v>
      </c>
      <c r="E303" s="2" t="s">
        <v>40</v>
      </c>
      <c r="F303" s="2" t="s">
        <v>41</v>
      </c>
      <c r="G303" s="2" t="s">
        <v>42</v>
      </c>
      <c r="H303" s="2" t="s">
        <v>159</v>
      </c>
      <c r="I303" s="2" t="s">
        <v>44</v>
      </c>
      <c r="J303" s="2" t="s">
        <v>160</v>
      </c>
      <c r="K303" s="2"/>
      <c r="L303" s="2" t="s">
        <v>1190</v>
      </c>
      <c r="M303" s="2" t="s">
        <v>1191</v>
      </c>
      <c r="N303" s="2" t="s">
        <v>48</v>
      </c>
      <c r="O303" s="2" t="s">
        <v>163</v>
      </c>
      <c r="P303" s="2" t="s">
        <v>354</v>
      </c>
      <c r="Q303" s="2" t="s">
        <v>1205</v>
      </c>
      <c r="R303" s="2" t="s">
        <v>1206</v>
      </c>
      <c r="S303" s="2" t="s">
        <v>1207</v>
      </c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 t="n">
        <v>0.0013</v>
      </c>
      <c r="AG303" s="2"/>
      <c r="AH303" s="2"/>
      <c r="AI303" s="2"/>
      <c r="AJ303" s="2"/>
    </row>
    <row r="304" customFormat="false" ht="15" hidden="false" customHeight="false" outlineLevel="0" collapsed="false">
      <c r="A304" s="2" t="s">
        <v>1212</v>
      </c>
      <c r="B304" s="2" t="s">
        <v>1213</v>
      </c>
      <c r="C304" s="2" t="s">
        <v>38</v>
      </c>
      <c r="D304" s="2" t="s">
        <v>1214</v>
      </c>
      <c r="E304" s="2" t="s">
        <v>40</v>
      </c>
      <c r="F304" s="2" t="s">
        <v>41</v>
      </c>
      <c r="G304" s="2" t="s">
        <v>42</v>
      </c>
      <c r="H304" s="2" t="s">
        <v>457</v>
      </c>
      <c r="I304" s="2" t="s">
        <v>1189</v>
      </c>
      <c r="J304" s="2" t="s">
        <v>160</v>
      </c>
      <c r="K304" s="2"/>
      <c r="L304" s="2" t="s">
        <v>1215</v>
      </c>
      <c r="M304" s="2" t="s">
        <v>1216</v>
      </c>
      <c r="N304" s="2" t="s">
        <v>48</v>
      </c>
      <c r="O304" s="2" t="s">
        <v>163</v>
      </c>
      <c r="P304" s="2" t="s">
        <v>354</v>
      </c>
      <c r="Q304" s="2" t="s">
        <v>1192</v>
      </c>
      <c r="R304" s="2" t="s">
        <v>1193</v>
      </c>
      <c r="S304" s="2" t="s">
        <v>1194</v>
      </c>
      <c r="T304" s="2" t="n">
        <v>25.4</v>
      </c>
      <c r="U304" s="2" t="n">
        <v>7.44</v>
      </c>
      <c r="V304" s="2" t="n">
        <v>0.0103</v>
      </c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customFormat="false" ht="15" hidden="false" customHeight="false" outlineLevel="0" collapsed="false">
      <c r="A305" s="2" t="s">
        <v>1217</v>
      </c>
      <c r="B305" s="2" t="s">
        <v>1213</v>
      </c>
      <c r="C305" s="2" t="s">
        <v>38</v>
      </c>
      <c r="D305" s="2" t="s">
        <v>1218</v>
      </c>
      <c r="E305" s="2" t="s">
        <v>40</v>
      </c>
      <c r="F305" s="2" t="s">
        <v>41</v>
      </c>
      <c r="G305" s="2" t="s">
        <v>42</v>
      </c>
      <c r="H305" s="2" t="s">
        <v>457</v>
      </c>
      <c r="I305" s="2" t="s">
        <v>44</v>
      </c>
      <c r="J305" s="2" t="s">
        <v>160</v>
      </c>
      <c r="K305" s="2"/>
      <c r="L305" s="2" t="s">
        <v>1215</v>
      </c>
      <c r="M305" s="2" t="s">
        <v>1216</v>
      </c>
      <c r="N305" s="2" t="s">
        <v>48</v>
      </c>
      <c r="O305" s="2" t="s">
        <v>163</v>
      </c>
      <c r="P305" s="2" t="s">
        <v>354</v>
      </c>
      <c r="Q305" s="2" t="s">
        <v>1197</v>
      </c>
      <c r="R305" s="2" t="s">
        <v>1198</v>
      </c>
      <c r="S305" s="2" t="s">
        <v>1194</v>
      </c>
      <c r="T305" s="2" t="n">
        <v>25.1</v>
      </c>
      <c r="U305" s="2" t="n">
        <v>7</v>
      </c>
      <c r="V305" s="2" t="s">
        <v>52</v>
      </c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customFormat="false" ht="15" hidden="false" customHeight="false" outlineLevel="0" collapsed="false">
      <c r="A306" s="2" t="s">
        <v>1219</v>
      </c>
      <c r="B306" s="2" t="s">
        <v>1213</v>
      </c>
      <c r="C306" s="2" t="s">
        <v>38</v>
      </c>
      <c r="D306" s="2" t="s">
        <v>1220</v>
      </c>
      <c r="E306" s="2" t="s">
        <v>40</v>
      </c>
      <c r="F306" s="2" t="s">
        <v>41</v>
      </c>
      <c r="G306" s="2" t="s">
        <v>42</v>
      </c>
      <c r="H306" s="2" t="s">
        <v>457</v>
      </c>
      <c r="I306" s="2" t="s">
        <v>44</v>
      </c>
      <c r="J306" s="2" t="s">
        <v>160</v>
      </c>
      <c r="K306" s="2"/>
      <c r="L306" s="2" t="s">
        <v>1215</v>
      </c>
      <c r="M306" s="2" t="s">
        <v>1216</v>
      </c>
      <c r="N306" s="2" t="s">
        <v>48</v>
      </c>
      <c r="O306" s="2" t="s">
        <v>163</v>
      </c>
      <c r="P306" s="2" t="s">
        <v>354</v>
      </c>
      <c r="Q306" s="2" t="s">
        <v>1197</v>
      </c>
      <c r="R306" s="2" t="s">
        <v>1198</v>
      </c>
      <c r="S306" s="2" t="s">
        <v>1194</v>
      </c>
      <c r="T306" s="2" t="n">
        <v>25.3</v>
      </c>
      <c r="U306" s="2" t="n">
        <v>7.1</v>
      </c>
      <c r="V306" s="2" t="s">
        <v>52</v>
      </c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customFormat="false" ht="15" hidden="false" customHeight="false" outlineLevel="0" collapsed="false">
      <c r="A307" s="2" t="s">
        <v>1221</v>
      </c>
      <c r="B307" s="2" t="s">
        <v>1213</v>
      </c>
      <c r="C307" s="2" t="s">
        <v>38</v>
      </c>
      <c r="D307" s="2" t="s">
        <v>1222</v>
      </c>
      <c r="E307" s="2" t="s">
        <v>40</v>
      </c>
      <c r="F307" s="2" t="s">
        <v>41</v>
      </c>
      <c r="G307" s="2" t="s">
        <v>42</v>
      </c>
      <c r="H307" s="2" t="s">
        <v>457</v>
      </c>
      <c r="I307" s="2" t="s">
        <v>44</v>
      </c>
      <c r="J307" s="2" t="s">
        <v>160</v>
      </c>
      <c r="K307" s="2"/>
      <c r="L307" s="2" t="s">
        <v>1215</v>
      </c>
      <c r="M307" s="2" t="s">
        <v>1216</v>
      </c>
      <c r="N307" s="2" t="s">
        <v>48</v>
      </c>
      <c r="O307" s="2" t="s">
        <v>163</v>
      </c>
      <c r="P307" s="2" t="s">
        <v>354</v>
      </c>
      <c r="Q307" s="2" t="s">
        <v>1197</v>
      </c>
      <c r="R307" s="2" t="s">
        <v>1198</v>
      </c>
      <c r="S307" s="2" t="s">
        <v>1194</v>
      </c>
      <c r="T307" s="2" t="n">
        <v>25.4</v>
      </c>
      <c r="U307" s="2" t="n">
        <v>7.2</v>
      </c>
      <c r="V307" s="2" t="s">
        <v>52</v>
      </c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customFormat="false" ht="15" hidden="false" customHeight="false" outlineLevel="0" collapsed="false">
      <c r="A308" s="2" t="s">
        <v>1223</v>
      </c>
      <c r="B308" s="2" t="s">
        <v>1213</v>
      </c>
      <c r="C308" s="2" t="s">
        <v>38</v>
      </c>
      <c r="D308" s="2" t="s">
        <v>1224</v>
      </c>
      <c r="E308" s="2" t="s">
        <v>40</v>
      </c>
      <c r="F308" s="2" t="s">
        <v>41</v>
      </c>
      <c r="G308" s="2" t="s">
        <v>42</v>
      </c>
      <c r="H308" s="2" t="s">
        <v>175</v>
      </c>
      <c r="I308" s="2" t="s">
        <v>44</v>
      </c>
      <c r="J308" s="2" t="s">
        <v>160</v>
      </c>
      <c r="K308" s="2"/>
      <c r="L308" s="2" t="s">
        <v>1215</v>
      </c>
      <c r="M308" s="2" t="s">
        <v>1191</v>
      </c>
      <c r="N308" s="2" t="s">
        <v>48</v>
      </c>
      <c r="O308" s="2" t="s">
        <v>49</v>
      </c>
      <c r="P308" s="2" t="s">
        <v>354</v>
      </c>
      <c r="Q308" s="2" t="s">
        <v>1205</v>
      </c>
      <c r="R308" s="2" t="s">
        <v>1206</v>
      </c>
      <c r="S308" s="2" t="s">
        <v>1207</v>
      </c>
      <c r="T308" s="2" t="n">
        <v>38.5</v>
      </c>
      <c r="U308" s="2" t="n">
        <v>5.9</v>
      </c>
      <c r="V308" s="2" t="s">
        <v>52</v>
      </c>
      <c r="W308" s="2" t="n">
        <v>30.14</v>
      </c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customFormat="false" ht="15" hidden="false" customHeight="false" outlineLevel="0" collapsed="false">
      <c r="A309" s="2" t="s">
        <v>1225</v>
      </c>
      <c r="B309" s="2" t="s">
        <v>1213</v>
      </c>
      <c r="C309" s="2" t="s">
        <v>38</v>
      </c>
      <c r="D309" s="2" t="s">
        <v>1226</v>
      </c>
      <c r="E309" s="2" t="s">
        <v>40</v>
      </c>
      <c r="F309" s="2" t="s">
        <v>41</v>
      </c>
      <c r="G309" s="2" t="s">
        <v>42</v>
      </c>
      <c r="H309" s="2" t="s">
        <v>175</v>
      </c>
      <c r="I309" s="2" t="s">
        <v>44</v>
      </c>
      <c r="J309" s="2" t="s">
        <v>160</v>
      </c>
      <c r="K309" s="2"/>
      <c r="L309" s="2" t="s">
        <v>1215</v>
      </c>
      <c r="M309" s="2" t="s">
        <v>1191</v>
      </c>
      <c r="N309" s="2" t="s">
        <v>48</v>
      </c>
      <c r="O309" s="2" t="s">
        <v>49</v>
      </c>
      <c r="P309" s="2" t="s">
        <v>354</v>
      </c>
      <c r="Q309" s="2" t="s">
        <v>1205</v>
      </c>
      <c r="R309" s="2" t="s">
        <v>1206</v>
      </c>
      <c r="S309" s="2" t="s">
        <v>1207</v>
      </c>
      <c r="T309" s="2" t="n">
        <v>38.1</v>
      </c>
      <c r="U309" s="2" t="n">
        <v>5.5</v>
      </c>
      <c r="V309" s="2" t="s">
        <v>52</v>
      </c>
      <c r="W309" s="2" t="n">
        <v>29.49</v>
      </c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customFormat="false" ht="15" hidden="false" customHeight="false" outlineLevel="0" collapsed="false">
      <c r="A310" s="2" t="s">
        <v>1227</v>
      </c>
      <c r="B310" s="2" t="s">
        <v>1213</v>
      </c>
      <c r="C310" s="2" t="s">
        <v>38</v>
      </c>
      <c r="D310" s="2" t="s">
        <v>1228</v>
      </c>
      <c r="E310" s="2" t="s">
        <v>40</v>
      </c>
      <c r="F310" s="2" t="s">
        <v>41</v>
      </c>
      <c r="G310" s="2" t="s">
        <v>42</v>
      </c>
      <c r="H310" s="2" t="s">
        <v>175</v>
      </c>
      <c r="I310" s="2" t="s">
        <v>44</v>
      </c>
      <c r="J310" s="2" t="s">
        <v>160</v>
      </c>
      <c r="K310" s="2"/>
      <c r="L310" s="2" t="s">
        <v>1215</v>
      </c>
      <c r="M310" s="2" t="s">
        <v>1191</v>
      </c>
      <c r="N310" s="2" t="s">
        <v>48</v>
      </c>
      <c r="O310" s="2" t="s">
        <v>49</v>
      </c>
      <c r="P310" s="2" t="s">
        <v>354</v>
      </c>
      <c r="Q310" s="2" t="s">
        <v>1205</v>
      </c>
      <c r="R310" s="2" t="s">
        <v>1206</v>
      </c>
      <c r="S310" s="2" t="s">
        <v>1207</v>
      </c>
      <c r="T310" s="2" t="n">
        <v>40.6</v>
      </c>
      <c r="U310" s="2" t="n">
        <v>6.5</v>
      </c>
      <c r="V310" s="2" t="s">
        <v>52</v>
      </c>
      <c r="W310" s="2" t="n">
        <v>29.93</v>
      </c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customFormat="false" ht="15" hidden="false" customHeight="false" outlineLevel="0" collapsed="false">
      <c r="A311" s="2" t="s">
        <v>1229</v>
      </c>
      <c r="B311" s="2" t="s">
        <v>1213</v>
      </c>
      <c r="C311" s="2" t="s">
        <v>38</v>
      </c>
      <c r="D311" s="2" t="s">
        <v>1230</v>
      </c>
      <c r="E311" s="2" t="s">
        <v>40</v>
      </c>
      <c r="F311" s="2" t="s">
        <v>41</v>
      </c>
      <c r="G311" s="2" t="s">
        <v>42</v>
      </c>
      <c r="H311" s="2" t="s">
        <v>159</v>
      </c>
      <c r="I311" s="2" t="s">
        <v>44</v>
      </c>
      <c r="J311" s="2" t="s">
        <v>160</v>
      </c>
      <c r="K311" s="2"/>
      <c r="L311" s="2" t="s">
        <v>1215</v>
      </c>
      <c r="M311" s="2" t="s">
        <v>1216</v>
      </c>
      <c r="N311" s="2" t="s">
        <v>48</v>
      </c>
      <c r="O311" s="2" t="s">
        <v>163</v>
      </c>
      <c r="P311" s="2" t="s">
        <v>354</v>
      </c>
      <c r="Q311" s="2" t="s">
        <v>1231</v>
      </c>
      <c r="R311" s="2" t="s">
        <v>1232</v>
      </c>
      <c r="S311" s="2" t="s">
        <v>1233</v>
      </c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 t="n">
        <v>0.0013</v>
      </c>
      <c r="AG311" s="2"/>
      <c r="AH311" s="2"/>
      <c r="AI311" s="2"/>
      <c r="AJ311" s="2"/>
    </row>
    <row r="312" customFormat="false" ht="15" hidden="false" customHeight="false" outlineLevel="0" collapsed="false">
      <c r="A312" s="2" t="s">
        <v>1234</v>
      </c>
      <c r="B312" s="2" t="s">
        <v>1213</v>
      </c>
      <c r="C312" s="2" t="s">
        <v>38</v>
      </c>
      <c r="D312" s="2" t="s">
        <v>1235</v>
      </c>
      <c r="E312" s="2" t="s">
        <v>40</v>
      </c>
      <c r="F312" s="2" t="s">
        <v>41</v>
      </c>
      <c r="G312" s="2" t="s">
        <v>42</v>
      </c>
      <c r="H312" s="2" t="s">
        <v>159</v>
      </c>
      <c r="I312" s="2" t="s">
        <v>44</v>
      </c>
      <c r="J312" s="2" t="s">
        <v>160</v>
      </c>
      <c r="K312" s="2"/>
      <c r="L312" s="2" t="s">
        <v>1215</v>
      </c>
      <c r="M312" s="2" t="s">
        <v>1216</v>
      </c>
      <c r="N312" s="2" t="s">
        <v>48</v>
      </c>
      <c r="O312" s="2" t="s">
        <v>163</v>
      </c>
      <c r="P312" s="2" t="s">
        <v>354</v>
      </c>
      <c r="Q312" s="2" t="s">
        <v>1231</v>
      </c>
      <c r="R312" s="2" t="s">
        <v>1232</v>
      </c>
      <c r="S312" s="2" t="s">
        <v>1233</v>
      </c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 t="n">
        <v>0.0011</v>
      </c>
      <c r="AG312" s="2"/>
      <c r="AH312" s="2"/>
      <c r="AI312" s="2"/>
      <c r="AJ312" s="2"/>
    </row>
    <row r="313" customFormat="false" ht="15" hidden="false" customHeight="false" outlineLevel="0" collapsed="false">
      <c r="A313" s="2" t="s">
        <v>1236</v>
      </c>
      <c r="B313" s="2" t="s">
        <v>1213</v>
      </c>
      <c r="C313" s="2" t="s">
        <v>38</v>
      </c>
      <c r="D313" s="2" t="s">
        <v>1237</v>
      </c>
      <c r="E313" s="2" t="s">
        <v>40</v>
      </c>
      <c r="F313" s="2" t="s">
        <v>41</v>
      </c>
      <c r="G313" s="2" t="s">
        <v>42</v>
      </c>
      <c r="H313" s="2" t="s">
        <v>159</v>
      </c>
      <c r="I313" s="2" t="s">
        <v>44</v>
      </c>
      <c r="J313" s="2" t="s">
        <v>160</v>
      </c>
      <c r="K313" s="2"/>
      <c r="L313" s="2" t="s">
        <v>1215</v>
      </c>
      <c r="M313" s="2" t="s">
        <v>1216</v>
      </c>
      <c r="N313" s="2" t="s">
        <v>48</v>
      </c>
      <c r="O313" s="2" t="s">
        <v>163</v>
      </c>
      <c r="P313" s="2" t="s">
        <v>354</v>
      </c>
      <c r="Q313" s="2" t="s">
        <v>1231</v>
      </c>
      <c r="R313" s="2" t="s">
        <v>1232</v>
      </c>
      <c r="S313" s="2" t="s">
        <v>1233</v>
      </c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 t="n">
        <v>0.0013</v>
      </c>
      <c r="AG313" s="2"/>
      <c r="AH313" s="2"/>
      <c r="AI313" s="2"/>
      <c r="AJ313" s="2"/>
    </row>
    <row r="314" customFormat="false" ht="15" hidden="false" customHeight="false" outlineLevel="0" collapsed="false">
      <c r="A314" s="2" t="s">
        <v>1238</v>
      </c>
      <c r="B314" s="2" t="s">
        <v>1239</v>
      </c>
      <c r="C314" s="2" t="s">
        <v>38</v>
      </c>
      <c r="D314" s="2" t="s">
        <v>1240</v>
      </c>
      <c r="E314" s="2" t="s">
        <v>40</v>
      </c>
      <c r="F314" s="2" t="s">
        <v>41</v>
      </c>
      <c r="G314" s="2" t="s">
        <v>42</v>
      </c>
      <c r="H314" s="2" t="s">
        <v>457</v>
      </c>
      <c r="I314" s="2" t="s">
        <v>1189</v>
      </c>
      <c r="J314" s="2" t="s">
        <v>160</v>
      </c>
      <c r="K314" s="2"/>
      <c r="L314" s="2" t="s">
        <v>1241</v>
      </c>
      <c r="M314" s="2" t="s">
        <v>1242</v>
      </c>
      <c r="N314" s="2" t="s">
        <v>48</v>
      </c>
      <c r="O314" s="2" t="s">
        <v>163</v>
      </c>
      <c r="P314" s="2" t="s">
        <v>354</v>
      </c>
      <c r="Q314" s="2" t="s">
        <v>1192</v>
      </c>
      <c r="R314" s="2" t="s">
        <v>1193</v>
      </c>
      <c r="S314" s="2" t="s">
        <v>1194</v>
      </c>
      <c r="T314" s="2" t="n">
        <v>24.5</v>
      </c>
      <c r="U314" s="2" t="n">
        <v>7.51</v>
      </c>
      <c r="V314" s="2" t="n">
        <v>0.0033</v>
      </c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customFormat="false" ht="15" hidden="false" customHeight="false" outlineLevel="0" collapsed="false">
      <c r="A315" s="2" t="s">
        <v>1243</v>
      </c>
      <c r="B315" s="2" t="s">
        <v>1239</v>
      </c>
      <c r="C315" s="2" t="s">
        <v>38</v>
      </c>
      <c r="D315" s="2" t="s">
        <v>1244</v>
      </c>
      <c r="E315" s="2" t="s">
        <v>40</v>
      </c>
      <c r="F315" s="2" t="s">
        <v>41</v>
      </c>
      <c r="G315" s="2" t="s">
        <v>42</v>
      </c>
      <c r="H315" s="2" t="s">
        <v>457</v>
      </c>
      <c r="I315" s="2" t="s">
        <v>44</v>
      </c>
      <c r="J315" s="2" t="s">
        <v>160</v>
      </c>
      <c r="K315" s="2"/>
      <c r="L315" s="2" t="s">
        <v>1241</v>
      </c>
      <c r="M315" s="2" t="s">
        <v>1242</v>
      </c>
      <c r="N315" s="2" t="s">
        <v>48</v>
      </c>
      <c r="O315" s="2" t="s">
        <v>163</v>
      </c>
      <c r="P315" s="2" t="s">
        <v>354</v>
      </c>
      <c r="Q315" s="2" t="s">
        <v>1245</v>
      </c>
      <c r="R315" s="2" t="s">
        <v>1246</v>
      </c>
      <c r="S315" s="2" t="s">
        <v>1194</v>
      </c>
      <c r="T315" s="2" t="n">
        <v>24.4</v>
      </c>
      <c r="U315" s="2" t="n">
        <v>7</v>
      </c>
      <c r="V315" s="2" t="s">
        <v>52</v>
      </c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customFormat="false" ht="15" hidden="false" customHeight="false" outlineLevel="0" collapsed="false">
      <c r="A316" s="2" t="s">
        <v>1247</v>
      </c>
      <c r="B316" s="2" t="s">
        <v>1239</v>
      </c>
      <c r="C316" s="2" t="s">
        <v>38</v>
      </c>
      <c r="D316" s="2" t="s">
        <v>1248</v>
      </c>
      <c r="E316" s="2" t="s">
        <v>40</v>
      </c>
      <c r="F316" s="2" t="s">
        <v>41</v>
      </c>
      <c r="G316" s="2" t="s">
        <v>42</v>
      </c>
      <c r="H316" s="2" t="s">
        <v>457</v>
      </c>
      <c r="I316" s="2" t="s">
        <v>44</v>
      </c>
      <c r="J316" s="2" t="s">
        <v>160</v>
      </c>
      <c r="K316" s="2"/>
      <c r="L316" s="2" t="s">
        <v>1241</v>
      </c>
      <c r="M316" s="2" t="s">
        <v>1242</v>
      </c>
      <c r="N316" s="2" t="s">
        <v>48</v>
      </c>
      <c r="O316" s="2" t="s">
        <v>163</v>
      </c>
      <c r="P316" s="2" t="s">
        <v>354</v>
      </c>
      <c r="Q316" s="2" t="s">
        <v>1245</v>
      </c>
      <c r="R316" s="2" t="s">
        <v>1246</v>
      </c>
      <c r="S316" s="2" t="s">
        <v>1194</v>
      </c>
      <c r="T316" s="2" t="n">
        <v>24.4</v>
      </c>
      <c r="U316" s="2" t="n">
        <v>7.1</v>
      </c>
      <c r="V316" s="2" t="s">
        <v>52</v>
      </c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customFormat="false" ht="15" hidden="false" customHeight="false" outlineLevel="0" collapsed="false">
      <c r="A317" s="2" t="s">
        <v>1249</v>
      </c>
      <c r="B317" s="2" t="s">
        <v>1239</v>
      </c>
      <c r="C317" s="2" t="s">
        <v>38</v>
      </c>
      <c r="D317" s="2" t="s">
        <v>1250</v>
      </c>
      <c r="E317" s="2" t="s">
        <v>40</v>
      </c>
      <c r="F317" s="2" t="s">
        <v>41</v>
      </c>
      <c r="G317" s="2" t="s">
        <v>42</v>
      </c>
      <c r="H317" s="2" t="s">
        <v>457</v>
      </c>
      <c r="I317" s="2" t="s">
        <v>44</v>
      </c>
      <c r="J317" s="2" t="s">
        <v>160</v>
      </c>
      <c r="K317" s="2"/>
      <c r="L317" s="2" t="s">
        <v>1241</v>
      </c>
      <c r="M317" s="2" t="s">
        <v>1242</v>
      </c>
      <c r="N317" s="2" t="s">
        <v>48</v>
      </c>
      <c r="O317" s="2" t="s">
        <v>163</v>
      </c>
      <c r="P317" s="2" t="s">
        <v>354</v>
      </c>
      <c r="Q317" s="2" t="s">
        <v>1245</v>
      </c>
      <c r="R317" s="2" t="s">
        <v>1246</v>
      </c>
      <c r="S317" s="2" t="s">
        <v>1194</v>
      </c>
      <c r="T317" s="2" t="n">
        <v>24.3</v>
      </c>
      <c r="U317" s="2" t="n">
        <v>7.1</v>
      </c>
      <c r="V317" s="2" t="s">
        <v>52</v>
      </c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customFormat="false" ht="15" hidden="false" customHeight="false" outlineLevel="0" collapsed="false">
      <c r="A318" s="2" t="s">
        <v>1251</v>
      </c>
      <c r="B318" s="2" t="s">
        <v>1239</v>
      </c>
      <c r="C318" s="2" t="s">
        <v>38</v>
      </c>
      <c r="D318" s="2" t="s">
        <v>1252</v>
      </c>
      <c r="E318" s="2" t="s">
        <v>40</v>
      </c>
      <c r="F318" s="2" t="s">
        <v>41</v>
      </c>
      <c r="G318" s="2" t="s">
        <v>42</v>
      </c>
      <c r="H318" s="2" t="s">
        <v>175</v>
      </c>
      <c r="I318" s="2" t="s">
        <v>44</v>
      </c>
      <c r="J318" s="2" t="s">
        <v>160</v>
      </c>
      <c r="K318" s="2"/>
      <c r="L318" s="2" t="s">
        <v>1241</v>
      </c>
      <c r="M318" s="2" t="s">
        <v>1216</v>
      </c>
      <c r="N318" s="2" t="s">
        <v>48</v>
      </c>
      <c r="O318" s="2" t="s">
        <v>49</v>
      </c>
      <c r="P318" s="2" t="s">
        <v>354</v>
      </c>
      <c r="Q318" s="2" t="s">
        <v>1231</v>
      </c>
      <c r="R318" s="2" t="s">
        <v>1232</v>
      </c>
      <c r="S318" s="2" t="s">
        <v>1233</v>
      </c>
      <c r="T318" s="2" t="n">
        <v>40.4</v>
      </c>
      <c r="U318" s="2" t="n">
        <v>6</v>
      </c>
      <c r="V318" s="2" t="s">
        <v>52</v>
      </c>
      <c r="W318" s="2" t="n">
        <v>27.71</v>
      </c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customFormat="false" ht="15" hidden="false" customHeight="false" outlineLevel="0" collapsed="false">
      <c r="A319" s="2" t="s">
        <v>1253</v>
      </c>
      <c r="B319" s="2" t="s">
        <v>1239</v>
      </c>
      <c r="C319" s="2" t="s">
        <v>38</v>
      </c>
      <c r="D319" s="2" t="s">
        <v>1254</v>
      </c>
      <c r="E319" s="2" t="s">
        <v>40</v>
      </c>
      <c r="F319" s="2" t="s">
        <v>41</v>
      </c>
      <c r="G319" s="2" t="s">
        <v>42</v>
      </c>
      <c r="H319" s="2" t="s">
        <v>175</v>
      </c>
      <c r="I319" s="2" t="s">
        <v>44</v>
      </c>
      <c r="J319" s="2" t="s">
        <v>160</v>
      </c>
      <c r="K319" s="2"/>
      <c r="L319" s="2" t="s">
        <v>1241</v>
      </c>
      <c r="M319" s="2" t="s">
        <v>1216</v>
      </c>
      <c r="N319" s="2" t="s">
        <v>48</v>
      </c>
      <c r="O319" s="2" t="s">
        <v>49</v>
      </c>
      <c r="P319" s="2" t="s">
        <v>354</v>
      </c>
      <c r="Q319" s="2" t="s">
        <v>1231</v>
      </c>
      <c r="R319" s="2" t="s">
        <v>1232</v>
      </c>
      <c r="S319" s="2" t="s">
        <v>1233</v>
      </c>
      <c r="T319" s="2" t="n">
        <v>41.9</v>
      </c>
      <c r="U319" s="2" t="n">
        <v>6.6</v>
      </c>
      <c r="V319" s="2" t="s">
        <v>52</v>
      </c>
      <c r="W319" s="2" t="n">
        <v>28.11</v>
      </c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customFormat="false" ht="15" hidden="false" customHeight="false" outlineLevel="0" collapsed="false">
      <c r="A320" s="2" t="s">
        <v>1255</v>
      </c>
      <c r="B320" s="2" t="s">
        <v>1239</v>
      </c>
      <c r="C320" s="2" t="s">
        <v>38</v>
      </c>
      <c r="D320" s="2" t="s">
        <v>1256</v>
      </c>
      <c r="E320" s="2" t="s">
        <v>40</v>
      </c>
      <c r="F320" s="2" t="s">
        <v>41</v>
      </c>
      <c r="G320" s="2" t="s">
        <v>42</v>
      </c>
      <c r="H320" s="2" t="s">
        <v>175</v>
      </c>
      <c r="I320" s="2" t="s">
        <v>44</v>
      </c>
      <c r="J320" s="2" t="s">
        <v>160</v>
      </c>
      <c r="K320" s="2"/>
      <c r="L320" s="2" t="s">
        <v>1241</v>
      </c>
      <c r="M320" s="2" t="s">
        <v>1216</v>
      </c>
      <c r="N320" s="2" t="s">
        <v>48</v>
      </c>
      <c r="O320" s="2" t="s">
        <v>49</v>
      </c>
      <c r="P320" s="2" t="s">
        <v>354</v>
      </c>
      <c r="Q320" s="2" t="s">
        <v>1231</v>
      </c>
      <c r="R320" s="2" t="s">
        <v>1232</v>
      </c>
      <c r="S320" s="2" t="s">
        <v>1233</v>
      </c>
      <c r="T320" s="2" t="n">
        <v>40.4</v>
      </c>
      <c r="U320" s="2" t="n">
        <v>6.2</v>
      </c>
      <c r="V320" s="2" t="s">
        <v>52</v>
      </c>
      <c r="W320" s="2" t="n">
        <v>27.03</v>
      </c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customFormat="false" ht="15" hidden="false" customHeight="false" outlineLevel="0" collapsed="false">
      <c r="A321" s="2" t="s">
        <v>1257</v>
      </c>
      <c r="B321" s="2" t="s">
        <v>1258</v>
      </c>
      <c r="C321" s="2" t="s">
        <v>38</v>
      </c>
      <c r="D321" s="2" t="s">
        <v>1259</v>
      </c>
      <c r="E321" s="2" t="s">
        <v>40</v>
      </c>
      <c r="F321" s="2" t="s">
        <v>41</v>
      </c>
      <c r="G321" s="2" t="s">
        <v>42</v>
      </c>
      <c r="H321" s="2" t="s">
        <v>457</v>
      </c>
      <c r="I321" s="2" t="s">
        <v>1189</v>
      </c>
      <c r="J321" s="2" t="s">
        <v>160</v>
      </c>
      <c r="K321" s="2"/>
      <c r="L321" s="2" t="s">
        <v>1260</v>
      </c>
      <c r="M321" s="2" t="s">
        <v>1261</v>
      </c>
      <c r="N321" s="2" t="s">
        <v>48</v>
      </c>
      <c r="O321" s="2" t="s">
        <v>49</v>
      </c>
      <c r="P321" s="2" t="s">
        <v>354</v>
      </c>
      <c r="Q321" s="2" t="s">
        <v>1192</v>
      </c>
      <c r="R321" s="2" t="s">
        <v>1193</v>
      </c>
      <c r="S321" s="2" t="s">
        <v>1194</v>
      </c>
      <c r="T321" s="2" t="n">
        <v>23.9</v>
      </c>
      <c r="U321" s="2" t="n">
        <v>7.43</v>
      </c>
      <c r="V321" s="2" t="n">
        <v>-0.0301</v>
      </c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customFormat="false" ht="15" hidden="false" customHeight="false" outlineLevel="0" collapsed="false">
      <c r="A322" s="2" t="s">
        <v>1262</v>
      </c>
      <c r="B322" s="2" t="s">
        <v>1258</v>
      </c>
      <c r="C322" s="2" t="s">
        <v>38</v>
      </c>
      <c r="D322" s="2" t="s">
        <v>1263</v>
      </c>
      <c r="E322" s="2" t="s">
        <v>40</v>
      </c>
      <c r="F322" s="2" t="s">
        <v>41</v>
      </c>
      <c r="G322" s="2" t="s">
        <v>42</v>
      </c>
      <c r="H322" s="2" t="s">
        <v>457</v>
      </c>
      <c r="I322" s="2" t="s">
        <v>44</v>
      </c>
      <c r="J322" s="2" t="s">
        <v>160</v>
      </c>
      <c r="K322" s="2"/>
      <c r="L322" s="2" t="s">
        <v>1260</v>
      </c>
      <c r="M322" s="2" t="s">
        <v>1261</v>
      </c>
      <c r="N322" s="2" t="s">
        <v>48</v>
      </c>
      <c r="O322" s="2" t="s">
        <v>163</v>
      </c>
      <c r="P322" s="2" t="s">
        <v>354</v>
      </c>
      <c r="Q322" s="2" t="s">
        <v>1245</v>
      </c>
      <c r="R322" s="2" t="s">
        <v>1246</v>
      </c>
      <c r="S322" s="2" t="s">
        <v>1194</v>
      </c>
      <c r="T322" s="2" t="n">
        <v>23.8</v>
      </c>
      <c r="U322" s="2" t="n">
        <v>7.2</v>
      </c>
      <c r="V322" s="2" t="s">
        <v>52</v>
      </c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customFormat="false" ht="15" hidden="false" customHeight="false" outlineLevel="0" collapsed="false">
      <c r="A323" s="2" t="s">
        <v>1264</v>
      </c>
      <c r="B323" s="2" t="s">
        <v>1258</v>
      </c>
      <c r="C323" s="2" t="s">
        <v>38</v>
      </c>
      <c r="D323" s="2" t="s">
        <v>1265</v>
      </c>
      <c r="E323" s="2" t="s">
        <v>40</v>
      </c>
      <c r="F323" s="2" t="s">
        <v>41</v>
      </c>
      <c r="G323" s="2" t="s">
        <v>42</v>
      </c>
      <c r="H323" s="2" t="s">
        <v>457</v>
      </c>
      <c r="I323" s="2" t="s">
        <v>44</v>
      </c>
      <c r="J323" s="2" t="s">
        <v>160</v>
      </c>
      <c r="K323" s="2"/>
      <c r="L323" s="2" t="s">
        <v>1260</v>
      </c>
      <c r="M323" s="2" t="s">
        <v>1261</v>
      </c>
      <c r="N323" s="2" t="s">
        <v>48</v>
      </c>
      <c r="O323" s="2" t="s">
        <v>163</v>
      </c>
      <c r="P323" s="2" t="s">
        <v>354</v>
      </c>
      <c r="Q323" s="2" t="s">
        <v>1245</v>
      </c>
      <c r="R323" s="2" t="s">
        <v>1246</v>
      </c>
      <c r="S323" s="2" t="s">
        <v>1194</v>
      </c>
      <c r="T323" s="2" t="n">
        <v>23.8</v>
      </c>
      <c r="U323" s="2" t="n">
        <v>7.1</v>
      </c>
      <c r="V323" s="2" t="s">
        <v>52</v>
      </c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customFormat="false" ht="15" hidden="false" customHeight="false" outlineLevel="0" collapsed="false">
      <c r="A324" s="2" t="s">
        <v>1266</v>
      </c>
      <c r="B324" s="2" t="s">
        <v>1258</v>
      </c>
      <c r="C324" s="2" t="s">
        <v>38</v>
      </c>
      <c r="D324" s="2" t="s">
        <v>1267</v>
      </c>
      <c r="E324" s="2" t="s">
        <v>40</v>
      </c>
      <c r="F324" s="2" t="s">
        <v>41</v>
      </c>
      <c r="G324" s="2" t="s">
        <v>42</v>
      </c>
      <c r="H324" s="2" t="s">
        <v>457</v>
      </c>
      <c r="I324" s="2" t="s">
        <v>44</v>
      </c>
      <c r="J324" s="2" t="s">
        <v>160</v>
      </c>
      <c r="K324" s="2"/>
      <c r="L324" s="2" t="s">
        <v>1260</v>
      </c>
      <c r="M324" s="2" t="s">
        <v>1261</v>
      </c>
      <c r="N324" s="2" t="s">
        <v>48</v>
      </c>
      <c r="O324" s="2" t="s">
        <v>163</v>
      </c>
      <c r="P324" s="2" t="s">
        <v>354</v>
      </c>
      <c r="Q324" s="2" t="s">
        <v>1245</v>
      </c>
      <c r="R324" s="2" t="s">
        <v>1246</v>
      </c>
      <c r="S324" s="2" t="s">
        <v>1194</v>
      </c>
      <c r="T324" s="2" t="n">
        <v>23.9</v>
      </c>
      <c r="U324" s="2" t="n">
        <v>7.2</v>
      </c>
      <c r="V324" s="2" t="s">
        <v>52</v>
      </c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customFormat="false" ht="15" hidden="false" customHeight="false" outlineLevel="0" collapsed="false">
      <c r="A325" s="2" t="s">
        <v>1268</v>
      </c>
      <c r="B325" s="2" t="s">
        <v>1258</v>
      </c>
      <c r="C325" s="2" t="s">
        <v>38</v>
      </c>
      <c r="D325" s="2" t="s">
        <v>1269</v>
      </c>
      <c r="E325" s="2" t="s">
        <v>40</v>
      </c>
      <c r="F325" s="2" t="s">
        <v>41</v>
      </c>
      <c r="G325" s="2" t="s">
        <v>42</v>
      </c>
      <c r="H325" s="2" t="s">
        <v>159</v>
      </c>
      <c r="I325" s="2" t="s">
        <v>44</v>
      </c>
      <c r="J325" s="2" t="s">
        <v>160</v>
      </c>
      <c r="K325" s="2"/>
      <c r="L325" s="2" t="s">
        <v>1260</v>
      </c>
      <c r="M325" s="2" t="s">
        <v>1261</v>
      </c>
      <c r="N325" s="2" t="s">
        <v>48</v>
      </c>
      <c r="O325" s="2" t="s">
        <v>163</v>
      </c>
      <c r="P325" s="2" t="s">
        <v>354</v>
      </c>
      <c r="Q325" s="2" t="s">
        <v>1270</v>
      </c>
      <c r="R325" s="2" t="s">
        <v>1271</v>
      </c>
      <c r="S325" s="2" t="s">
        <v>1272</v>
      </c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 t="n">
        <v>1.3</v>
      </c>
      <c r="AG325" s="2"/>
      <c r="AH325" s="2"/>
      <c r="AI325" s="2"/>
      <c r="AJ325" s="2"/>
    </row>
    <row r="326" customFormat="false" ht="15" hidden="false" customHeight="false" outlineLevel="0" collapsed="false">
      <c r="A326" s="2" t="s">
        <v>1273</v>
      </c>
      <c r="B326" s="2" t="s">
        <v>1258</v>
      </c>
      <c r="C326" s="2" t="s">
        <v>38</v>
      </c>
      <c r="D326" s="2" t="s">
        <v>1274</v>
      </c>
      <c r="E326" s="2" t="s">
        <v>40</v>
      </c>
      <c r="F326" s="2" t="s">
        <v>41</v>
      </c>
      <c r="G326" s="2" t="s">
        <v>42</v>
      </c>
      <c r="H326" s="2" t="s">
        <v>159</v>
      </c>
      <c r="I326" s="2" t="s">
        <v>44</v>
      </c>
      <c r="J326" s="2" t="s">
        <v>160</v>
      </c>
      <c r="K326" s="2"/>
      <c r="L326" s="2" t="s">
        <v>1260</v>
      </c>
      <c r="M326" s="2" t="s">
        <v>1261</v>
      </c>
      <c r="N326" s="2" t="s">
        <v>48</v>
      </c>
      <c r="O326" s="2" t="s">
        <v>163</v>
      </c>
      <c r="P326" s="2" t="s">
        <v>354</v>
      </c>
      <c r="Q326" s="2" t="s">
        <v>1270</v>
      </c>
      <c r="R326" s="2" t="s">
        <v>1271</v>
      </c>
      <c r="S326" s="2" t="s">
        <v>1272</v>
      </c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 t="n">
        <v>1.3</v>
      </c>
      <c r="AG326" s="2"/>
      <c r="AH326" s="2"/>
      <c r="AI326" s="2"/>
      <c r="AJ326" s="2"/>
    </row>
    <row r="327" customFormat="false" ht="15" hidden="false" customHeight="false" outlineLevel="0" collapsed="false">
      <c r="A327" s="2" t="s">
        <v>1275</v>
      </c>
      <c r="B327" s="2" t="s">
        <v>1258</v>
      </c>
      <c r="C327" s="2" t="s">
        <v>38</v>
      </c>
      <c r="D327" s="2" t="s">
        <v>1276</v>
      </c>
      <c r="E327" s="2" t="s">
        <v>40</v>
      </c>
      <c r="F327" s="2" t="s">
        <v>41</v>
      </c>
      <c r="G327" s="2" t="s">
        <v>42</v>
      </c>
      <c r="H327" s="2" t="s">
        <v>159</v>
      </c>
      <c r="I327" s="2" t="s">
        <v>44</v>
      </c>
      <c r="J327" s="2" t="s">
        <v>160</v>
      </c>
      <c r="K327" s="2"/>
      <c r="L327" s="2" t="s">
        <v>1260</v>
      </c>
      <c r="M327" s="2" t="s">
        <v>1261</v>
      </c>
      <c r="N327" s="2" t="s">
        <v>48</v>
      </c>
      <c r="O327" s="2" t="s">
        <v>163</v>
      </c>
      <c r="P327" s="2" t="s">
        <v>354</v>
      </c>
      <c r="Q327" s="2" t="s">
        <v>1270</v>
      </c>
      <c r="R327" s="2" t="s">
        <v>1271</v>
      </c>
      <c r="S327" s="2" t="s">
        <v>1272</v>
      </c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 t="n">
        <v>1.3</v>
      </c>
      <c r="AG327" s="2"/>
      <c r="AH327" s="2"/>
      <c r="AI327" s="2"/>
      <c r="AJ327" s="2"/>
    </row>
    <row r="328" customFormat="false" ht="15" hidden="false" customHeight="false" outlineLevel="0" collapsed="false">
      <c r="A328" s="2" t="s">
        <v>1277</v>
      </c>
      <c r="B328" s="2" t="s">
        <v>1278</v>
      </c>
      <c r="C328" s="2" t="s">
        <v>38</v>
      </c>
      <c r="D328" s="2" t="s">
        <v>1279</v>
      </c>
      <c r="E328" s="2" t="s">
        <v>40</v>
      </c>
      <c r="F328" s="2" t="s">
        <v>41</v>
      </c>
      <c r="G328" s="2" t="s">
        <v>42</v>
      </c>
      <c r="H328" s="2" t="s">
        <v>175</v>
      </c>
      <c r="I328" s="2" t="s">
        <v>44</v>
      </c>
      <c r="J328" s="2" t="s">
        <v>160</v>
      </c>
      <c r="K328" s="2"/>
      <c r="L328" s="2" t="s">
        <v>1280</v>
      </c>
      <c r="M328" s="2" t="s">
        <v>1261</v>
      </c>
      <c r="N328" s="2" t="s">
        <v>48</v>
      </c>
      <c r="O328" s="2" t="s">
        <v>49</v>
      </c>
      <c r="P328" s="2" t="s">
        <v>354</v>
      </c>
      <c r="Q328" s="2" t="s">
        <v>1270</v>
      </c>
      <c r="R328" s="2" t="s">
        <v>1271</v>
      </c>
      <c r="S328" s="2" t="s">
        <v>1272</v>
      </c>
      <c r="T328" s="2" t="n">
        <v>40.4</v>
      </c>
      <c r="U328" s="2" t="n">
        <v>6.8</v>
      </c>
      <c r="V328" s="2" t="s">
        <v>52</v>
      </c>
      <c r="W328" s="2" t="n">
        <v>28.9</v>
      </c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customFormat="false" ht="15" hidden="false" customHeight="false" outlineLevel="0" collapsed="false">
      <c r="A329" s="2" t="s">
        <v>1281</v>
      </c>
      <c r="B329" s="2" t="s">
        <v>1278</v>
      </c>
      <c r="C329" s="2" t="s">
        <v>38</v>
      </c>
      <c r="D329" s="2" t="s">
        <v>1282</v>
      </c>
      <c r="E329" s="2" t="s">
        <v>40</v>
      </c>
      <c r="F329" s="2" t="s">
        <v>41</v>
      </c>
      <c r="G329" s="2" t="s">
        <v>42</v>
      </c>
      <c r="H329" s="2" t="s">
        <v>175</v>
      </c>
      <c r="I329" s="2" t="s">
        <v>44</v>
      </c>
      <c r="J329" s="2" t="s">
        <v>160</v>
      </c>
      <c r="K329" s="2"/>
      <c r="L329" s="2" t="s">
        <v>1280</v>
      </c>
      <c r="M329" s="2" t="s">
        <v>1261</v>
      </c>
      <c r="N329" s="2" t="s">
        <v>48</v>
      </c>
      <c r="O329" s="2" t="s">
        <v>49</v>
      </c>
      <c r="P329" s="2" t="s">
        <v>354</v>
      </c>
      <c r="Q329" s="2" t="s">
        <v>1270</v>
      </c>
      <c r="R329" s="2" t="s">
        <v>1271</v>
      </c>
      <c r="S329" s="2" t="s">
        <v>1272</v>
      </c>
      <c r="T329" s="2" t="n">
        <v>40.2</v>
      </c>
      <c r="U329" s="2" t="n">
        <v>6.7</v>
      </c>
      <c r="V329" s="2" t="s">
        <v>52</v>
      </c>
      <c r="W329" s="2" t="n">
        <v>27.64</v>
      </c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customFormat="false" ht="15" hidden="false" customHeight="false" outlineLevel="0" collapsed="false">
      <c r="A330" s="2" t="s">
        <v>1283</v>
      </c>
      <c r="B330" s="2" t="s">
        <v>1278</v>
      </c>
      <c r="C330" s="2" t="s">
        <v>38</v>
      </c>
      <c r="D330" s="2" t="s">
        <v>1284</v>
      </c>
      <c r="E330" s="2" t="s">
        <v>40</v>
      </c>
      <c r="F330" s="2" t="s">
        <v>41</v>
      </c>
      <c r="G330" s="2" t="s">
        <v>42</v>
      </c>
      <c r="H330" s="2" t="s">
        <v>175</v>
      </c>
      <c r="I330" s="2" t="s">
        <v>44</v>
      </c>
      <c r="J330" s="2" t="s">
        <v>160</v>
      </c>
      <c r="K330" s="2"/>
      <c r="L330" s="2" t="s">
        <v>1280</v>
      </c>
      <c r="M330" s="2" t="s">
        <v>1261</v>
      </c>
      <c r="N330" s="2" t="s">
        <v>48</v>
      </c>
      <c r="O330" s="2" t="s">
        <v>49</v>
      </c>
      <c r="P330" s="2" t="s">
        <v>354</v>
      </c>
      <c r="Q330" s="2" t="s">
        <v>1270</v>
      </c>
      <c r="R330" s="2" t="s">
        <v>1271</v>
      </c>
      <c r="S330" s="2" t="s">
        <v>1272</v>
      </c>
      <c r="T330" s="2" t="n">
        <v>39.1</v>
      </c>
      <c r="U330" s="2" t="n">
        <v>6.3</v>
      </c>
      <c r="V330" s="2" t="s">
        <v>52</v>
      </c>
      <c r="W330" s="2" t="n">
        <v>29.72</v>
      </c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customFormat="false" ht="15" hidden="false" customHeight="false" outlineLevel="0" collapsed="false">
      <c r="A331" s="2" t="s">
        <v>1285</v>
      </c>
      <c r="B331" s="2" t="s">
        <v>1286</v>
      </c>
      <c r="C331" s="2" t="s">
        <v>38</v>
      </c>
      <c r="D331" s="2" t="s">
        <v>1287</v>
      </c>
      <c r="E331" s="2" t="s">
        <v>40</v>
      </c>
      <c r="F331" s="2" t="s">
        <v>41</v>
      </c>
      <c r="G331" s="2" t="s">
        <v>42</v>
      </c>
      <c r="H331" s="2" t="s">
        <v>457</v>
      </c>
      <c r="I331" s="2" t="s">
        <v>1189</v>
      </c>
      <c r="J331" s="2" t="s">
        <v>160</v>
      </c>
      <c r="K331" s="2"/>
      <c r="L331" s="2" t="s">
        <v>1288</v>
      </c>
      <c r="M331" s="2" t="s">
        <v>1289</v>
      </c>
      <c r="N331" s="2" t="s">
        <v>48</v>
      </c>
      <c r="O331" s="2" t="s">
        <v>163</v>
      </c>
      <c r="P331" s="2" t="s">
        <v>354</v>
      </c>
      <c r="Q331" s="2" t="s">
        <v>1192</v>
      </c>
      <c r="R331" s="2" t="s">
        <v>1193</v>
      </c>
      <c r="S331" s="2" t="s">
        <v>1194</v>
      </c>
      <c r="T331" s="2" t="n">
        <v>26.1</v>
      </c>
      <c r="U331" s="2" t="n">
        <v>7.6</v>
      </c>
      <c r="V331" s="2" t="n">
        <v>-0.00844</v>
      </c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customFormat="false" ht="15" hidden="false" customHeight="false" outlineLevel="0" collapsed="false">
      <c r="A332" s="2" t="s">
        <v>1290</v>
      </c>
      <c r="B332" s="2" t="s">
        <v>1286</v>
      </c>
      <c r="C332" s="2" t="s">
        <v>38</v>
      </c>
      <c r="D332" s="2" t="s">
        <v>1291</v>
      </c>
      <c r="E332" s="2" t="s">
        <v>40</v>
      </c>
      <c r="F332" s="2" t="s">
        <v>41</v>
      </c>
      <c r="G332" s="2" t="s">
        <v>42</v>
      </c>
      <c r="H332" s="2" t="s">
        <v>457</v>
      </c>
      <c r="I332" s="2" t="s">
        <v>44</v>
      </c>
      <c r="J332" s="2" t="s">
        <v>160</v>
      </c>
      <c r="K332" s="2"/>
      <c r="L332" s="2" t="s">
        <v>1288</v>
      </c>
      <c r="M332" s="2" t="s">
        <v>1289</v>
      </c>
      <c r="N332" s="2" t="s">
        <v>48</v>
      </c>
      <c r="O332" s="2" t="s">
        <v>163</v>
      </c>
      <c r="P332" s="2" t="s">
        <v>354</v>
      </c>
      <c r="Q332" s="2" t="s">
        <v>1245</v>
      </c>
      <c r="R332" s="2" t="s">
        <v>1246</v>
      </c>
      <c r="S332" s="2" t="s">
        <v>1194</v>
      </c>
      <c r="T332" s="2" t="n">
        <v>26.1</v>
      </c>
      <c r="U332" s="2" t="n">
        <v>7.3</v>
      </c>
      <c r="V332" s="2" t="s">
        <v>52</v>
      </c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customFormat="false" ht="15" hidden="false" customHeight="false" outlineLevel="0" collapsed="false">
      <c r="A333" s="2" t="s">
        <v>1292</v>
      </c>
      <c r="B333" s="2" t="s">
        <v>1286</v>
      </c>
      <c r="C333" s="2" t="s">
        <v>38</v>
      </c>
      <c r="D333" s="2" t="s">
        <v>1293</v>
      </c>
      <c r="E333" s="2" t="s">
        <v>40</v>
      </c>
      <c r="F333" s="2" t="s">
        <v>41</v>
      </c>
      <c r="G333" s="2" t="s">
        <v>42</v>
      </c>
      <c r="H333" s="2" t="s">
        <v>457</v>
      </c>
      <c r="I333" s="2" t="s">
        <v>44</v>
      </c>
      <c r="J333" s="2" t="s">
        <v>160</v>
      </c>
      <c r="K333" s="2"/>
      <c r="L333" s="2" t="s">
        <v>1288</v>
      </c>
      <c r="M333" s="2" t="s">
        <v>1289</v>
      </c>
      <c r="N333" s="2" t="s">
        <v>48</v>
      </c>
      <c r="O333" s="2" t="s">
        <v>163</v>
      </c>
      <c r="P333" s="2" t="s">
        <v>354</v>
      </c>
      <c r="Q333" s="2" t="s">
        <v>1245</v>
      </c>
      <c r="R333" s="2" t="s">
        <v>1246</v>
      </c>
      <c r="S333" s="2" t="s">
        <v>1194</v>
      </c>
      <c r="T333" s="2" t="n">
        <v>25.9</v>
      </c>
      <c r="U333" s="2" t="n">
        <v>7.4</v>
      </c>
      <c r="V333" s="2" t="s">
        <v>52</v>
      </c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customFormat="false" ht="15" hidden="false" customHeight="false" outlineLevel="0" collapsed="false">
      <c r="A334" s="2" t="s">
        <v>1294</v>
      </c>
      <c r="B334" s="2" t="s">
        <v>1286</v>
      </c>
      <c r="C334" s="2" t="s">
        <v>38</v>
      </c>
      <c r="D334" s="2" t="s">
        <v>1295</v>
      </c>
      <c r="E334" s="2" t="s">
        <v>40</v>
      </c>
      <c r="F334" s="2" t="s">
        <v>41</v>
      </c>
      <c r="G334" s="2" t="s">
        <v>42</v>
      </c>
      <c r="H334" s="2" t="s">
        <v>457</v>
      </c>
      <c r="I334" s="2" t="s">
        <v>44</v>
      </c>
      <c r="J334" s="2" t="s">
        <v>160</v>
      </c>
      <c r="K334" s="2"/>
      <c r="L334" s="2" t="s">
        <v>1288</v>
      </c>
      <c r="M334" s="2" t="s">
        <v>1289</v>
      </c>
      <c r="N334" s="2" t="s">
        <v>48</v>
      </c>
      <c r="O334" s="2" t="s">
        <v>163</v>
      </c>
      <c r="P334" s="2" t="s">
        <v>354</v>
      </c>
      <c r="Q334" s="2" t="s">
        <v>1245</v>
      </c>
      <c r="R334" s="2" t="s">
        <v>1246</v>
      </c>
      <c r="S334" s="2" t="s">
        <v>1194</v>
      </c>
      <c r="T334" s="2" t="n">
        <v>25.9</v>
      </c>
      <c r="U334" s="2" t="n">
        <v>7.4</v>
      </c>
      <c r="V334" s="2" t="s">
        <v>52</v>
      </c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customFormat="false" ht="15" hidden="false" customHeight="false" outlineLevel="0" collapsed="false">
      <c r="A335" s="2" t="s">
        <v>1296</v>
      </c>
      <c r="B335" s="2" t="s">
        <v>1286</v>
      </c>
      <c r="C335" s="2" t="s">
        <v>38</v>
      </c>
      <c r="D335" s="2" t="s">
        <v>1297</v>
      </c>
      <c r="E335" s="2" t="s">
        <v>40</v>
      </c>
      <c r="F335" s="2" t="s">
        <v>41</v>
      </c>
      <c r="G335" s="2" t="s">
        <v>42</v>
      </c>
      <c r="H335" s="2" t="s">
        <v>159</v>
      </c>
      <c r="I335" s="2" t="s">
        <v>44</v>
      </c>
      <c r="J335" s="2" t="s">
        <v>160</v>
      </c>
      <c r="K335" s="2"/>
      <c r="L335" s="2" t="s">
        <v>1288</v>
      </c>
      <c r="M335" s="2" t="s">
        <v>1289</v>
      </c>
      <c r="N335" s="2" t="s">
        <v>48</v>
      </c>
      <c r="O335" s="2" t="s">
        <v>163</v>
      </c>
      <c r="P335" s="2" t="s">
        <v>354</v>
      </c>
      <c r="Q335" s="2" t="s">
        <v>1298</v>
      </c>
      <c r="R335" s="2" t="s">
        <v>1299</v>
      </c>
      <c r="S335" s="2" t="s">
        <v>1300</v>
      </c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 t="n">
        <v>1.3</v>
      </c>
      <c r="AG335" s="2"/>
      <c r="AH335" s="2"/>
      <c r="AI335" s="2"/>
      <c r="AJ335" s="2"/>
    </row>
    <row r="336" customFormat="false" ht="15" hidden="false" customHeight="false" outlineLevel="0" collapsed="false">
      <c r="A336" s="2" t="s">
        <v>1301</v>
      </c>
      <c r="B336" s="2" t="s">
        <v>1286</v>
      </c>
      <c r="C336" s="2" t="s">
        <v>38</v>
      </c>
      <c r="D336" s="2" t="s">
        <v>1302</v>
      </c>
      <c r="E336" s="2" t="s">
        <v>40</v>
      </c>
      <c r="F336" s="2" t="s">
        <v>41</v>
      </c>
      <c r="G336" s="2" t="s">
        <v>42</v>
      </c>
      <c r="H336" s="2" t="s">
        <v>159</v>
      </c>
      <c r="I336" s="2" t="s">
        <v>44</v>
      </c>
      <c r="J336" s="2" t="s">
        <v>160</v>
      </c>
      <c r="K336" s="2"/>
      <c r="L336" s="2" t="s">
        <v>1288</v>
      </c>
      <c r="M336" s="2" t="s">
        <v>1289</v>
      </c>
      <c r="N336" s="2" t="s">
        <v>48</v>
      </c>
      <c r="O336" s="2" t="s">
        <v>163</v>
      </c>
      <c r="P336" s="2" t="s">
        <v>354</v>
      </c>
      <c r="Q336" s="2" t="s">
        <v>1298</v>
      </c>
      <c r="R336" s="2" t="s">
        <v>1299</v>
      </c>
      <c r="S336" s="2" t="s">
        <v>1300</v>
      </c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 t="n">
        <v>1.3</v>
      </c>
      <c r="AG336" s="2"/>
      <c r="AH336" s="2"/>
      <c r="AI336" s="2"/>
      <c r="AJ336" s="2"/>
    </row>
    <row r="337" customFormat="false" ht="15" hidden="false" customHeight="false" outlineLevel="0" collapsed="false">
      <c r="A337" s="2" t="s">
        <v>1303</v>
      </c>
      <c r="B337" s="2" t="s">
        <v>1286</v>
      </c>
      <c r="C337" s="2" t="s">
        <v>38</v>
      </c>
      <c r="D337" s="2" t="s">
        <v>1304</v>
      </c>
      <c r="E337" s="2" t="s">
        <v>40</v>
      </c>
      <c r="F337" s="2" t="s">
        <v>41</v>
      </c>
      <c r="G337" s="2" t="s">
        <v>42</v>
      </c>
      <c r="H337" s="2" t="s">
        <v>159</v>
      </c>
      <c r="I337" s="2" t="s">
        <v>44</v>
      </c>
      <c r="J337" s="2" t="s">
        <v>160</v>
      </c>
      <c r="K337" s="2"/>
      <c r="L337" s="2" t="s">
        <v>1288</v>
      </c>
      <c r="M337" s="2" t="s">
        <v>1289</v>
      </c>
      <c r="N337" s="2" t="s">
        <v>48</v>
      </c>
      <c r="O337" s="2" t="s">
        <v>163</v>
      </c>
      <c r="P337" s="2" t="s">
        <v>354</v>
      </c>
      <c r="Q337" s="2" t="s">
        <v>1298</v>
      </c>
      <c r="R337" s="2" t="s">
        <v>1299</v>
      </c>
      <c r="S337" s="2" t="s">
        <v>1300</v>
      </c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 t="n">
        <v>1.3</v>
      </c>
      <c r="AG337" s="2"/>
      <c r="AH337" s="2"/>
      <c r="AI337" s="2"/>
      <c r="AJ337" s="2"/>
    </row>
    <row r="338" customFormat="false" ht="15" hidden="false" customHeight="false" outlineLevel="0" collapsed="false">
      <c r="A338" s="2" t="s">
        <v>1305</v>
      </c>
      <c r="B338" s="2" t="s">
        <v>1306</v>
      </c>
      <c r="C338" s="2" t="s">
        <v>38</v>
      </c>
      <c r="D338" s="2" t="s">
        <v>1307</v>
      </c>
      <c r="E338" s="2" t="s">
        <v>40</v>
      </c>
      <c r="F338" s="2" t="s">
        <v>41</v>
      </c>
      <c r="G338" s="2" t="s">
        <v>42</v>
      </c>
      <c r="H338" s="2" t="s">
        <v>457</v>
      </c>
      <c r="I338" s="2" t="s">
        <v>1189</v>
      </c>
      <c r="J338" s="2" t="s">
        <v>160</v>
      </c>
      <c r="K338" s="2"/>
      <c r="L338" s="2" t="s">
        <v>1308</v>
      </c>
      <c r="M338" s="2" t="s">
        <v>1309</v>
      </c>
      <c r="N338" s="2" t="s">
        <v>48</v>
      </c>
      <c r="O338" s="2" t="s">
        <v>163</v>
      </c>
      <c r="P338" s="2" t="s">
        <v>354</v>
      </c>
      <c r="Q338" s="2" t="s">
        <v>1192</v>
      </c>
      <c r="R338" s="2" t="s">
        <v>1193</v>
      </c>
      <c r="S338" s="2" t="s">
        <v>1194</v>
      </c>
      <c r="T338" s="2" t="n">
        <v>24.5</v>
      </c>
      <c r="U338" s="2" t="n">
        <v>7.36</v>
      </c>
      <c r="V338" s="2" t="n">
        <v>0.0342</v>
      </c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customFormat="false" ht="15" hidden="false" customHeight="false" outlineLevel="0" collapsed="false">
      <c r="A339" s="2" t="s">
        <v>1310</v>
      </c>
      <c r="B339" s="2" t="s">
        <v>1306</v>
      </c>
      <c r="C339" s="2" t="s">
        <v>38</v>
      </c>
      <c r="D339" s="2" t="s">
        <v>1311</v>
      </c>
      <c r="E339" s="2" t="s">
        <v>40</v>
      </c>
      <c r="F339" s="2" t="s">
        <v>41</v>
      </c>
      <c r="G339" s="2" t="s">
        <v>42</v>
      </c>
      <c r="H339" s="2" t="s">
        <v>457</v>
      </c>
      <c r="I339" s="2" t="s">
        <v>44</v>
      </c>
      <c r="J339" s="2" t="s">
        <v>160</v>
      </c>
      <c r="K339" s="2"/>
      <c r="L339" s="2" t="s">
        <v>1308</v>
      </c>
      <c r="M339" s="2" t="s">
        <v>1309</v>
      </c>
      <c r="N339" s="2" t="s">
        <v>48</v>
      </c>
      <c r="O339" s="2" t="s">
        <v>163</v>
      </c>
      <c r="P339" s="2" t="s">
        <v>354</v>
      </c>
      <c r="Q339" s="2" t="s">
        <v>1245</v>
      </c>
      <c r="R339" s="2" t="s">
        <v>1246</v>
      </c>
      <c r="S339" s="2" t="s">
        <v>1194</v>
      </c>
      <c r="T339" s="2" t="n">
        <v>24.2</v>
      </c>
      <c r="U339" s="2" t="n">
        <v>7.3</v>
      </c>
      <c r="V339" s="2" t="s">
        <v>52</v>
      </c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customFormat="false" ht="15" hidden="false" customHeight="false" outlineLevel="0" collapsed="false">
      <c r="A340" s="2" t="s">
        <v>1312</v>
      </c>
      <c r="B340" s="2" t="s">
        <v>1306</v>
      </c>
      <c r="C340" s="2" t="s">
        <v>38</v>
      </c>
      <c r="D340" s="2" t="s">
        <v>1313</v>
      </c>
      <c r="E340" s="2" t="s">
        <v>40</v>
      </c>
      <c r="F340" s="2" t="s">
        <v>41</v>
      </c>
      <c r="G340" s="2" t="s">
        <v>42</v>
      </c>
      <c r="H340" s="2" t="s">
        <v>457</v>
      </c>
      <c r="I340" s="2" t="s">
        <v>44</v>
      </c>
      <c r="J340" s="2" t="s">
        <v>160</v>
      </c>
      <c r="K340" s="2"/>
      <c r="L340" s="2" t="s">
        <v>1308</v>
      </c>
      <c r="M340" s="2" t="s">
        <v>1309</v>
      </c>
      <c r="N340" s="2" t="s">
        <v>48</v>
      </c>
      <c r="O340" s="2" t="s">
        <v>163</v>
      </c>
      <c r="P340" s="2" t="s">
        <v>354</v>
      </c>
      <c r="Q340" s="2" t="s">
        <v>1245</v>
      </c>
      <c r="R340" s="2" t="s">
        <v>1246</v>
      </c>
      <c r="S340" s="2" t="s">
        <v>1194</v>
      </c>
      <c r="T340" s="2" t="n">
        <v>24.2</v>
      </c>
      <c r="U340" s="2" t="n">
        <v>7.2</v>
      </c>
      <c r="V340" s="2" t="s">
        <v>52</v>
      </c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customFormat="false" ht="15" hidden="false" customHeight="false" outlineLevel="0" collapsed="false">
      <c r="A341" s="2" t="s">
        <v>1314</v>
      </c>
      <c r="B341" s="2" t="s">
        <v>1306</v>
      </c>
      <c r="C341" s="2" t="s">
        <v>38</v>
      </c>
      <c r="D341" s="2" t="s">
        <v>1315</v>
      </c>
      <c r="E341" s="2" t="s">
        <v>40</v>
      </c>
      <c r="F341" s="2" t="s">
        <v>41</v>
      </c>
      <c r="G341" s="2" t="s">
        <v>42</v>
      </c>
      <c r="H341" s="2" t="s">
        <v>457</v>
      </c>
      <c r="I341" s="2" t="s">
        <v>44</v>
      </c>
      <c r="J341" s="2" t="s">
        <v>160</v>
      </c>
      <c r="K341" s="2"/>
      <c r="L341" s="2" t="s">
        <v>1308</v>
      </c>
      <c r="M341" s="2" t="s">
        <v>1309</v>
      </c>
      <c r="N341" s="2" t="s">
        <v>48</v>
      </c>
      <c r="O341" s="2" t="s">
        <v>163</v>
      </c>
      <c r="P341" s="2" t="s">
        <v>354</v>
      </c>
      <c r="Q341" s="2" t="s">
        <v>1245</v>
      </c>
      <c r="R341" s="2" t="s">
        <v>1246</v>
      </c>
      <c r="S341" s="2" t="s">
        <v>1194</v>
      </c>
      <c r="T341" s="2" t="n">
        <v>24.4</v>
      </c>
      <c r="U341" s="2" t="n">
        <v>7.3</v>
      </c>
      <c r="V341" s="2" t="s">
        <v>52</v>
      </c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customFormat="false" ht="15" hidden="false" customHeight="false" outlineLevel="0" collapsed="false">
      <c r="A342" s="2" t="s">
        <v>1316</v>
      </c>
      <c r="B342" s="2" t="s">
        <v>1306</v>
      </c>
      <c r="C342" s="2" t="s">
        <v>38</v>
      </c>
      <c r="D342" s="2" t="s">
        <v>1317</v>
      </c>
      <c r="E342" s="2" t="s">
        <v>40</v>
      </c>
      <c r="F342" s="2" t="s">
        <v>41</v>
      </c>
      <c r="G342" s="2" t="s">
        <v>42</v>
      </c>
      <c r="H342" s="2" t="s">
        <v>175</v>
      </c>
      <c r="I342" s="2" t="s">
        <v>44</v>
      </c>
      <c r="J342" s="2" t="s">
        <v>160</v>
      </c>
      <c r="K342" s="2"/>
      <c r="L342" s="2" t="s">
        <v>1308</v>
      </c>
      <c r="M342" s="2" t="s">
        <v>1289</v>
      </c>
      <c r="N342" s="2" t="s">
        <v>48</v>
      </c>
      <c r="O342" s="2" t="s">
        <v>49</v>
      </c>
      <c r="P342" s="2" t="s">
        <v>354</v>
      </c>
      <c r="Q342" s="2" t="s">
        <v>1298</v>
      </c>
      <c r="R342" s="2" t="s">
        <v>1299</v>
      </c>
      <c r="S342" s="2" t="s">
        <v>1300</v>
      </c>
      <c r="T342" s="2" t="n">
        <v>40.5</v>
      </c>
      <c r="U342" s="2" t="n">
        <v>6.2</v>
      </c>
      <c r="V342" s="2" t="s">
        <v>52</v>
      </c>
      <c r="W342" s="2" t="n">
        <v>23.46</v>
      </c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customFormat="false" ht="15" hidden="false" customHeight="false" outlineLevel="0" collapsed="false">
      <c r="A343" s="2" t="s">
        <v>1318</v>
      </c>
      <c r="B343" s="2" t="s">
        <v>1306</v>
      </c>
      <c r="C343" s="2" t="s">
        <v>38</v>
      </c>
      <c r="D343" s="2" t="s">
        <v>1319</v>
      </c>
      <c r="E343" s="2" t="s">
        <v>40</v>
      </c>
      <c r="F343" s="2" t="s">
        <v>41</v>
      </c>
      <c r="G343" s="2" t="s">
        <v>42</v>
      </c>
      <c r="H343" s="2" t="s">
        <v>175</v>
      </c>
      <c r="I343" s="2" t="s">
        <v>44</v>
      </c>
      <c r="J343" s="2" t="s">
        <v>160</v>
      </c>
      <c r="K343" s="2"/>
      <c r="L343" s="2" t="s">
        <v>1308</v>
      </c>
      <c r="M343" s="2" t="s">
        <v>1289</v>
      </c>
      <c r="N343" s="2" t="s">
        <v>48</v>
      </c>
      <c r="O343" s="2" t="s">
        <v>49</v>
      </c>
      <c r="P343" s="2" t="s">
        <v>354</v>
      </c>
      <c r="Q343" s="2" t="s">
        <v>1298</v>
      </c>
      <c r="R343" s="2" t="s">
        <v>1299</v>
      </c>
      <c r="S343" s="2" t="s">
        <v>1300</v>
      </c>
      <c r="T343" s="2" t="n">
        <v>40.4</v>
      </c>
      <c r="U343" s="2" t="n">
        <v>6.2</v>
      </c>
      <c r="V343" s="2" t="s">
        <v>52</v>
      </c>
      <c r="W343" s="2" t="n">
        <v>23.39</v>
      </c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customFormat="false" ht="15" hidden="false" customHeight="false" outlineLevel="0" collapsed="false">
      <c r="A344" s="2" t="s">
        <v>1320</v>
      </c>
      <c r="B344" s="2" t="s">
        <v>1306</v>
      </c>
      <c r="C344" s="2" t="s">
        <v>38</v>
      </c>
      <c r="D344" s="2" t="s">
        <v>1321</v>
      </c>
      <c r="E344" s="2" t="s">
        <v>40</v>
      </c>
      <c r="F344" s="2" t="s">
        <v>41</v>
      </c>
      <c r="G344" s="2" t="s">
        <v>42</v>
      </c>
      <c r="H344" s="2" t="s">
        <v>175</v>
      </c>
      <c r="I344" s="2" t="s">
        <v>44</v>
      </c>
      <c r="J344" s="2" t="s">
        <v>160</v>
      </c>
      <c r="K344" s="2"/>
      <c r="L344" s="2" t="s">
        <v>1308</v>
      </c>
      <c r="M344" s="2" t="s">
        <v>1289</v>
      </c>
      <c r="N344" s="2" t="s">
        <v>48</v>
      </c>
      <c r="O344" s="2" t="s">
        <v>49</v>
      </c>
      <c r="P344" s="2" t="s">
        <v>354</v>
      </c>
      <c r="Q344" s="2" t="s">
        <v>1298</v>
      </c>
      <c r="R344" s="2" t="s">
        <v>1299</v>
      </c>
      <c r="S344" s="2" t="s">
        <v>1300</v>
      </c>
      <c r="T344" s="2" t="n">
        <v>40.5</v>
      </c>
      <c r="U344" s="2" t="n">
        <v>6.5</v>
      </c>
      <c r="V344" s="2" t="s">
        <v>52</v>
      </c>
      <c r="W344" s="2" t="n">
        <v>23.66</v>
      </c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customFormat="false" ht="15" hidden="false" customHeight="false" outlineLevel="0" collapsed="false">
      <c r="A345" s="2" t="s">
        <v>1322</v>
      </c>
      <c r="B345" s="2" t="s">
        <v>1306</v>
      </c>
      <c r="C345" s="2" t="s">
        <v>38</v>
      </c>
      <c r="D345" s="2" t="s">
        <v>1323</v>
      </c>
      <c r="E345" s="2" t="s">
        <v>40</v>
      </c>
      <c r="F345" s="2" t="s">
        <v>41</v>
      </c>
      <c r="G345" s="2" t="s">
        <v>42</v>
      </c>
      <c r="H345" s="2" t="s">
        <v>159</v>
      </c>
      <c r="I345" s="2" t="s">
        <v>44</v>
      </c>
      <c r="J345" s="2" t="s">
        <v>160</v>
      </c>
      <c r="K345" s="2"/>
      <c r="L345" s="2" t="s">
        <v>1308</v>
      </c>
      <c r="M345" s="2" t="s">
        <v>1309</v>
      </c>
      <c r="N345" s="2" t="s">
        <v>48</v>
      </c>
      <c r="O345" s="2" t="s">
        <v>163</v>
      </c>
      <c r="P345" s="2" t="s">
        <v>354</v>
      </c>
      <c r="Q345" s="2" t="s">
        <v>1324</v>
      </c>
      <c r="R345" s="2" t="s">
        <v>1325</v>
      </c>
      <c r="S345" s="2" t="s">
        <v>1272</v>
      </c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 t="n">
        <v>1.3</v>
      </c>
      <c r="AG345" s="2"/>
      <c r="AH345" s="2"/>
      <c r="AI345" s="2"/>
      <c r="AJ345" s="2"/>
    </row>
    <row r="346" customFormat="false" ht="15" hidden="false" customHeight="false" outlineLevel="0" collapsed="false">
      <c r="A346" s="2" t="s">
        <v>1326</v>
      </c>
      <c r="B346" s="2" t="s">
        <v>1306</v>
      </c>
      <c r="C346" s="2" t="s">
        <v>38</v>
      </c>
      <c r="D346" s="2" t="s">
        <v>1327</v>
      </c>
      <c r="E346" s="2" t="s">
        <v>40</v>
      </c>
      <c r="F346" s="2" t="s">
        <v>41</v>
      </c>
      <c r="G346" s="2" t="s">
        <v>42</v>
      </c>
      <c r="H346" s="2" t="s">
        <v>159</v>
      </c>
      <c r="I346" s="2" t="s">
        <v>44</v>
      </c>
      <c r="J346" s="2" t="s">
        <v>160</v>
      </c>
      <c r="K346" s="2"/>
      <c r="L346" s="2" t="s">
        <v>1308</v>
      </c>
      <c r="M346" s="2" t="s">
        <v>1309</v>
      </c>
      <c r="N346" s="2" t="s">
        <v>48</v>
      </c>
      <c r="O346" s="2" t="s">
        <v>163</v>
      </c>
      <c r="P346" s="2" t="s">
        <v>354</v>
      </c>
      <c r="Q346" s="2" t="s">
        <v>1324</v>
      </c>
      <c r="R346" s="2" t="s">
        <v>1325</v>
      </c>
      <c r="S346" s="2" t="s">
        <v>1272</v>
      </c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 t="n">
        <v>1.3</v>
      </c>
      <c r="AG346" s="2"/>
      <c r="AH346" s="2"/>
      <c r="AI346" s="2"/>
      <c r="AJ346" s="2"/>
    </row>
    <row r="347" customFormat="false" ht="15" hidden="false" customHeight="false" outlineLevel="0" collapsed="false">
      <c r="A347" s="2" t="s">
        <v>1328</v>
      </c>
      <c r="B347" s="2" t="s">
        <v>1306</v>
      </c>
      <c r="C347" s="2" t="s">
        <v>38</v>
      </c>
      <c r="D347" s="2" t="s">
        <v>1329</v>
      </c>
      <c r="E347" s="2" t="s">
        <v>40</v>
      </c>
      <c r="F347" s="2" t="s">
        <v>41</v>
      </c>
      <c r="G347" s="2" t="s">
        <v>42</v>
      </c>
      <c r="H347" s="2" t="s">
        <v>159</v>
      </c>
      <c r="I347" s="2" t="s">
        <v>44</v>
      </c>
      <c r="J347" s="2" t="s">
        <v>160</v>
      </c>
      <c r="K347" s="2"/>
      <c r="L347" s="2" t="s">
        <v>1308</v>
      </c>
      <c r="M347" s="2" t="s">
        <v>1309</v>
      </c>
      <c r="N347" s="2" t="s">
        <v>48</v>
      </c>
      <c r="O347" s="2" t="s">
        <v>163</v>
      </c>
      <c r="P347" s="2" t="s">
        <v>354</v>
      </c>
      <c r="Q347" s="2" t="s">
        <v>1324</v>
      </c>
      <c r="R347" s="2" t="s">
        <v>1325</v>
      </c>
      <c r="S347" s="2" t="s">
        <v>1272</v>
      </c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 t="n">
        <v>1.3</v>
      </c>
      <c r="AG347" s="2"/>
      <c r="AH347" s="2"/>
      <c r="AI347" s="2"/>
      <c r="AJ347" s="2"/>
    </row>
    <row r="348" customFormat="false" ht="15" hidden="false" customHeight="false" outlineLevel="0" collapsed="false">
      <c r="A348" s="2" t="s">
        <v>1330</v>
      </c>
      <c r="B348" s="2" t="s">
        <v>1331</v>
      </c>
      <c r="C348" s="2" t="s">
        <v>38</v>
      </c>
      <c r="D348" s="2" t="s">
        <v>1332</v>
      </c>
      <c r="E348" s="2" t="s">
        <v>40</v>
      </c>
      <c r="F348" s="2" t="s">
        <v>41</v>
      </c>
      <c r="G348" s="2" t="s">
        <v>42</v>
      </c>
      <c r="H348" s="2" t="s">
        <v>175</v>
      </c>
      <c r="I348" s="2" t="s">
        <v>44</v>
      </c>
      <c r="J348" s="2" t="s">
        <v>160</v>
      </c>
      <c r="K348" s="2"/>
      <c r="L348" s="2" t="s">
        <v>1333</v>
      </c>
      <c r="M348" s="2" t="s">
        <v>1309</v>
      </c>
      <c r="N348" s="2" t="s">
        <v>48</v>
      </c>
      <c r="O348" s="2" t="s">
        <v>49</v>
      </c>
      <c r="P348" s="2" t="s">
        <v>354</v>
      </c>
      <c r="Q348" s="2" t="s">
        <v>1324</v>
      </c>
      <c r="R348" s="2" t="s">
        <v>1325</v>
      </c>
      <c r="S348" s="2" t="s">
        <v>1272</v>
      </c>
      <c r="T348" s="2" t="n">
        <v>42.2</v>
      </c>
      <c r="U348" s="2" t="n">
        <v>7</v>
      </c>
      <c r="V348" s="2" t="s">
        <v>52</v>
      </c>
      <c r="W348" s="2" t="n">
        <v>24.37</v>
      </c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customFormat="false" ht="15" hidden="false" customHeight="false" outlineLevel="0" collapsed="false">
      <c r="A349" s="2" t="s">
        <v>1334</v>
      </c>
      <c r="B349" s="2" t="s">
        <v>1331</v>
      </c>
      <c r="C349" s="2" t="s">
        <v>38</v>
      </c>
      <c r="D349" s="2" t="s">
        <v>1335</v>
      </c>
      <c r="E349" s="2" t="s">
        <v>40</v>
      </c>
      <c r="F349" s="2" t="s">
        <v>41</v>
      </c>
      <c r="G349" s="2" t="s">
        <v>42</v>
      </c>
      <c r="H349" s="2" t="s">
        <v>175</v>
      </c>
      <c r="I349" s="2" t="s">
        <v>44</v>
      </c>
      <c r="J349" s="2" t="s">
        <v>160</v>
      </c>
      <c r="K349" s="2"/>
      <c r="L349" s="2" t="s">
        <v>1333</v>
      </c>
      <c r="M349" s="2" t="s">
        <v>1309</v>
      </c>
      <c r="N349" s="2" t="s">
        <v>48</v>
      </c>
      <c r="O349" s="2" t="s">
        <v>49</v>
      </c>
      <c r="P349" s="2" t="s">
        <v>354</v>
      </c>
      <c r="Q349" s="2" t="s">
        <v>1324</v>
      </c>
      <c r="R349" s="2" t="s">
        <v>1325</v>
      </c>
      <c r="S349" s="2" t="s">
        <v>1272</v>
      </c>
      <c r="T349" s="2" t="n">
        <v>40</v>
      </c>
      <c r="U349" s="2" t="n">
        <v>6.9</v>
      </c>
      <c r="V349" s="2" t="s">
        <v>52</v>
      </c>
      <c r="W349" s="2" t="n">
        <v>24.02</v>
      </c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customFormat="false" ht="15" hidden="false" customHeight="false" outlineLevel="0" collapsed="false">
      <c r="A350" s="2" t="s">
        <v>1336</v>
      </c>
      <c r="B350" s="2" t="s">
        <v>1331</v>
      </c>
      <c r="C350" s="2" t="s">
        <v>38</v>
      </c>
      <c r="D350" s="2" t="s">
        <v>1337</v>
      </c>
      <c r="E350" s="2" t="s">
        <v>40</v>
      </c>
      <c r="F350" s="2" t="s">
        <v>41</v>
      </c>
      <c r="G350" s="2" t="s">
        <v>42</v>
      </c>
      <c r="H350" s="2" t="s">
        <v>175</v>
      </c>
      <c r="I350" s="2" t="s">
        <v>44</v>
      </c>
      <c r="J350" s="2" t="s">
        <v>160</v>
      </c>
      <c r="K350" s="2"/>
      <c r="L350" s="2" t="s">
        <v>1333</v>
      </c>
      <c r="M350" s="2" t="s">
        <v>1309</v>
      </c>
      <c r="N350" s="2" t="s">
        <v>48</v>
      </c>
      <c r="O350" s="2" t="s">
        <v>49</v>
      </c>
      <c r="P350" s="2" t="s">
        <v>354</v>
      </c>
      <c r="Q350" s="2" t="s">
        <v>1324</v>
      </c>
      <c r="R350" s="2" t="s">
        <v>1325</v>
      </c>
      <c r="S350" s="2" t="s">
        <v>1272</v>
      </c>
      <c r="T350" s="2" t="n">
        <v>40.2</v>
      </c>
      <c r="U350" s="2" t="n">
        <v>6.8</v>
      </c>
      <c r="V350" s="2" t="s">
        <v>52</v>
      </c>
      <c r="W350" s="2" t="n">
        <v>27.12</v>
      </c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customFormat="false" ht="15" hidden="false" customHeight="false" outlineLevel="0" collapsed="false">
      <c r="A351" s="2" t="s">
        <v>1338</v>
      </c>
      <c r="B351" s="2" t="s">
        <v>1339</v>
      </c>
      <c r="C351" s="2" t="s">
        <v>38</v>
      </c>
      <c r="D351" s="2" t="s">
        <v>1340</v>
      </c>
      <c r="E351" s="2" t="s">
        <v>40</v>
      </c>
      <c r="F351" s="2" t="s">
        <v>41</v>
      </c>
      <c r="G351" s="2" t="s">
        <v>42</v>
      </c>
      <c r="H351" s="2" t="s">
        <v>159</v>
      </c>
      <c r="I351" s="2" t="s">
        <v>44</v>
      </c>
      <c r="J351" s="2" t="s">
        <v>160</v>
      </c>
      <c r="K351" s="2"/>
      <c r="L351" s="2" t="s">
        <v>1341</v>
      </c>
      <c r="M351" s="2" t="s">
        <v>1342</v>
      </c>
      <c r="N351" s="2" t="s">
        <v>48</v>
      </c>
      <c r="O351" s="2" t="s">
        <v>163</v>
      </c>
      <c r="P351" s="2" t="s">
        <v>354</v>
      </c>
      <c r="Q351" s="2" t="s">
        <v>1343</v>
      </c>
      <c r="R351" s="2" t="s">
        <v>1344</v>
      </c>
      <c r="S351" s="2" t="s">
        <v>1272</v>
      </c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 t="n">
        <v>1.3</v>
      </c>
      <c r="AG351" s="2"/>
      <c r="AH351" s="2"/>
      <c r="AI351" s="2"/>
      <c r="AJ351" s="2"/>
    </row>
    <row r="352" customFormat="false" ht="15" hidden="false" customHeight="false" outlineLevel="0" collapsed="false">
      <c r="A352" s="2" t="s">
        <v>1345</v>
      </c>
      <c r="B352" s="2" t="s">
        <v>1339</v>
      </c>
      <c r="C352" s="2" t="s">
        <v>38</v>
      </c>
      <c r="D352" s="2" t="s">
        <v>1346</v>
      </c>
      <c r="E352" s="2" t="s">
        <v>40</v>
      </c>
      <c r="F352" s="2" t="s">
        <v>41</v>
      </c>
      <c r="G352" s="2" t="s">
        <v>42</v>
      </c>
      <c r="H352" s="2" t="s">
        <v>159</v>
      </c>
      <c r="I352" s="2" t="s">
        <v>44</v>
      </c>
      <c r="J352" s="2" t="s">
        <v>160</v>
      </c>
      <c r="K352" s="2"/>
      <c r="L352" s="2" t="s">
        <v>1341</v>
      </c>
      <c r="M352" s="2" t="s">
        <v>1342</v>
      </c>
      <c r="N352" s="2" t="s">
        <v>48</v>
      </c>
      <c r="O352" s="2" t="s">
        <v>163</v>
      </c>
      <c r="P352" s="2" t="s">
        <v>354</v>
      </c>
      <c r="Q352" s="2" t="s">
        <v>1343</v>
      </c>
      <c r="R352" s="2" t="s">
        <v>1344</v>
      </c>
      <c r="S352" s="2" t="s">
        <v>1272</v>
      </c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 t="n">
        <v>1.3</v>
      </c>
      <c r="AG352" s="2"/>
      <c r="AH352" s="2"/>
      <c r="AI352" s="2"/>
      <c r="AJ352" s="2"/>
    </row>
    <row r="353" customFormat="false" ht="15" hidden="false" customHeight="false" outlineLevel="0" collapsed="false">
      <c r="A353" s="2" t="s">
        <v>1347</v>
      </c>
      <c r="B353" s="2" t="s">
        <v>1339</v>
      </c>
      <c r="C353" s="2" t="s">
        <v>38</v>
      </c>
      <c r="D353" s="2" t="s">
        <v>1348</v>
      </c>
      <c r="E353" s="2" t="s">
        <v>40</v>
      </c>
      <c r="F353" s="2" t="s">
        <v>41</v>
      </c>
      <c r="G353" s="2" t="s">
        <v>42</v>
      </c>
      <c r="H353" s="2" t="s">
        <v>159</v>
      </c>
      <c r="I353" s="2" t="s">
        <v>44</v>
      </c>
      <c r="J353" s="2" t="s">
        <v>160</v>
      </c>
      <c r="K353" s="2"/>
      <c r="L353" s="2" t="s">
        <v>1341</v>
      </c>
      <c r="M353" s="2" t="s">
        <v>1342</v>
      </c>
      <c r="N353" s="2" t="s">
        <v>48</v>
      </c>
      <c r="O353" s="2" t="s">
        <v>163</v>
      </c>
      <c r="P353" s="2" t="s">
        <v>354</v>
      </c>
      <c r="Q353" s="2" t="s">
        <v>1343</v>
      </c>
      <c r="R353" s="2" t="s">
        <v>1344</v>
      </c>
      <c r="S353" s="2" t="s">
        <v>1272</v>
      </c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 t="n">
        <v>1.3</v>
      </c>
      <c r="AG353" s="2"/>
      <c r="AH353" s="2"/>
      <c r="AI353" s="2"/>
      <c r="AJ353" s="2"/>
    </row>
    <row r="354" customFormat="false" ht="15" hidden="false" customHeight="false" outlineLevel="0" collapsed="false">
      <c r="A354" s="2" t="s">
        <v>1349</v>
      </c>
      <c r="B354" s="2" t="s">
        <v>1350</v>
      </c>
      <c r="C354" s="2" t="s">
        <v>38</v>
      </c>
      <c r="D354" s="2" t="s">
        <v>1351</v>
      </c>
      <c r="E354" s="2" t="s">
        <v>40</v>
      </c>
      <c r="F354" s="2" t="s">
        <v>41</v>
      </c>
      <c r="G354" s="2" t="s">
        <v>42</v>
      </c>
      <c r="H354" s="2" t="s">
        <v>175</v>
      </c>
      <c r="I354" s="2" t="s">
        <v>44</v>
      </c>
      <c r="J354" s="2" t="s">
        <v>160</v>
      </c>
      <c r="K354" s="2"/>
      <c r="L354" s="2" t="s">
        <v>1352</v>
      </c>
      <c r="M354" s="2" t="s">
        <v>1342</v>
      </c>
      <c r="N354" s="2" t="s">
        <v>48</v>
      </c>
      <c r="O354" s="2" t="s">
        <v>49</v>
      </c>
      <c r="P354" s="2" t="s">
        <v>354</v>
      </c>
      <c r="Q354" s="2" t="s">
        <v>1343</v>
      </c>
      <c r="R354" s="2" t="s">
        <v>1344</v>
      </c>
      <c r="S354" s="2" t="s">
        <v>1272</v>
      </c>
      <c r="T354" s="2" t="n">
        <v>40</v>
      </c>
      <c r="U354" s="2" t="n">
        <v>6.9</v>
      </c>
      <c r="V354" s="2" t="s">
        <v>52</v>
      </c>
      <c r="W354" s="2" t="n">
        <v>26.51</v>
      </c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customFormat="false" ht="15" hidden="false" customHeight="false" outlineLevel="0" collapsed="false">
      <c r="A355" s="2" t="s">
        <v>1353</v>
      </c>
      <c r="B355" s="2" t="s">
        <v>1350</v>
      </c>
      <c r="C355" s="2" t="s">
        <v>38</v>
      </c>
      <c r="D355" s="2" t="s">
        <v>1354</v>
      </c>
      <c r="E355" s="2" t="s">
        <v>40</v>
      </c>
      <c r="F355" s="2" t="s">
        <v>41</v>
      </c>
      <c r="G355" s="2" t="s">
        <v>42</v>
      </c>
      <c r="H355" s="2" t="s">
        <v>175</v>
      </c>
      <c r="I355" s="2" t="s">
        <v>44</v>
      </c>
      <c r="J355" s="2" t="s">
        <v>160</v>
      </c>
      <c r="K355" s="2"/>
      <c r="L355" s="2" t="s">
        <v>1352</v>
      </c>
      <c r="M355" s="2" t="s">
        <v>1342</v>
      </c>
      <c r="N355" s="2" t="s">
        <v>48</v>
      </c>
      <c r="O355" s="2" t="s">
        <v>49</v>
      </c>
      <c r="P355" s="2" t="s">
        <v>354</v>
      </c>
      <c r="Q355" s="2" t="s">
        <v>1343</v>
      </c>
      <c r="R355" s="2" t="s">
        <v>1344</v>
      </c>
      <c r="S355" s="2" t="s">
        <v>1272</v>
      </c>
      <c r="T355" s="2" t="n">
        <v>39.6</v>
      </c>
      <c r="U355" s="2" t="n">
        <v>6.8</v>
      </c>
      <c r="V355" s="2" t="s">
        <v>52</v>
      </c>
      <c r="W355" s="2" t="n">
        <v>26.04</v>
      </c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customFormat="false" ht="15" hidden="false" customHeight="false" outlineLevel="0" collapsed="false">
      <c r="A356" s="2" t="s">
        <v>1355</v>
      </c>
      <c r="B356" s="2" t="s">
        <v>1350</v>
      </c>
      <c r="C356" s="2" t="s">
        <v>38</v>
      </c>
      <c r="D356" s="2" t="s">
        <v>1356</v>
      </c>
      <c r="E356" s="2" t="s">
        <v>40</v>
      </c>
      <c r="F356" s="2" t="s">
        <v>41</v>
      </c>
      <c r="G356" s="2" t="s">
        <v>42</v>
      </c>
      <c r="H356" s="2" t="s">
        <v>175</v>
      </c>
      <c r="I356" s="2" t="s">
        <v>44</v>
      </c>
      <c r="J356" s="2" t="s">
        <v>160</v>
      </c>
      <c r="K356" s="2"/>
      <c r="L356" s="2" t="s">
        <v>1352</v>
      </c>
      <c r="M356" s="2" t="s">
        <v>1342</v>
      </c>
      <c r="N356" s="2" t="s">
        <v>48</v>
      </c>
      <c r="O356" s="2" t="s">
        <v>49</v>
      </c>
      <c r="P356" s="2" t="s">
        <v>354</v>
      </c>
      <c r="Q356" s="2" t="s">
        <v>1343</v>
      </c>
      <c r="R356" s="2" t="s">
        <v>1344</v>
      </c>
      <c r="S356" s="2" t="s">
        <v>1272</v>
      </c>
      <c r="T356" s="2" t="n">
        <v>40.9</v>
      </c>
      <c r="U356" s="2" t="n">
        <v>7</v>
      </c>
      <c r="V356" s="2" t="s">
        <v>52</v>
      </c>
      <c r="W356" s="2" t="n">
        <v>26.44</v>
      </c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customFormat="false" ht="15" hidden="false" customHeight="false" outlineLevel="0" collapsed="false">
      <c r="A357" s="2" t="s">
        <v>1357</v>
      </c>
      <c r="B357" s="2" t="s">
        <v>1350</v>
      </c>
      <c r="C357" s="2" t="s">
        <v>38</v>
      </c>
      <c r="D357" s="2" t="s">
        <v>1358</v>
      </c>
      <c r="E357" s="2" t="s">
        <v>40</v>
      </c>
      <c r="F357" s="2" t="s">
        <v>41</v>
      </c>
      <c r="G357" s="2" t="s">
        <v>42</v>
      </c>
      <c r="H357" s="2" t="s">
        <v>159</v>
      </c>
      <c r="I357" s="2" t="s">
        <v>44</v>
      </c>
      <c r="J357" s="2" t="s">
        <v>160</v>
      </c>
      <c r="K357" s="2"/>
      <c r="L357" s="2" t="s">
        <v>1352</v>
      </c>
      <c r="M357" s="2" t="s">
        <v>1359</v>
      </c>
      <c r="N357" s="2" t="s">
        <v>48</v>
      </c>
      <c r="O357" s="2" t="s">
        <v>163</v>
      </c>
      <c r="P357" s="2" t="s">
        <v>354</v>
      </c>
      <c r="Q357" s="2" t="s">
        <v>1360</v>
      </c>
      <c r="R357" s="2" t="s">
        <v>1361</v>
      </c>
      <c r="S357" s="2" t="s">
        <v>1362</v>
      </c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 t="n">
        <v>1.271</v>
      </c>
      <c r="AG357" s="2"/>
      <c r="AH357" s="2"/>
      <c r="AI357" s="2"/>
      <c r="AJ357" s="2"/>
    </row>
    <row r="358" customFormat="false" ht="15" hidden="false" customHeight="false" outlineLevel="0" collapsed="false">
      <c r="A358" s="2" t="s">
        <v>1363</v>
      </c>
      <c r="B358" s="2" t="s">
        <v>1350</v>
      </c>
      <c r="C358" s="2" t="s">
        <v>38</v>
      </c>
      <c r="D358" s="2" t="s">
        <v>1364</v>
      </c>
      <c r="E358" s="2" t="s">
        <v>40</v>
      </c>
      <c r="F358" s="2" t="s">
        <v>41</v>
      </c>
      <c r="G358" s="2" t="s">
        <v>42</v>
      </c>
      <c r="H358" s="2" t="s">
        <v>159</v>
      </c>
      <c r="I358" s="2" t="s">
        <v>44</v>
      </c>
      <c r="J358" s="2" t="s">
        <v>160</v>
      </c>
      <c r="K358" s="2"/>
      <c r="L358" s="2" t="s">
        <v>1352</v>
      </c>
      <c r="M358" s="2" t="s">
        <v>1359</v>
      </c>
      <c r="N358" s="2" t="s">
        <v>48</v>
      </c>
      <c r="O358" s="2" t="s">
        <v>163</v>
      </c>
      <c r="P358" s="2" t="s">
        <v>354</v>
      </c>
      <c r="Q358" s="2" t="s">
        <v>1360</v>
      </c>
      <c r="R358" s="2" t="s">
        <v>1361</v>
      </c>
      <c r="S358" s="2" t="s">
        <v>1362</v>
      </c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 t="n">
        <v>1.27</v>
      </c>
      <c r="AG358" s="2"/>
      <c r="AH358" s="2"/>
      <c r="AI358" s="2"/>
      <c r="AJ358" s="2"/>
    </row>
    <row r="359" customFormat="false" ht="15" hidden="false" customHeight="false" outlineLevel="0" collapsed="false">
      <c r="A359" s="2" t="s">
        <v>1365</v>
      </c>
      <c r="B359" s="2" t="s">
        <v>1350</v>
      </c>
      <c r="C359" s="2" t="s">
        <v>38</v>
      </c>
      <c r="D359" s="2" t="s">
        <v>1366</v>
      </c>
      <c r="E359" s="2" t="s">
        <v>40</v>
      </c>
      <c r="F359" s="2" t="s">
        <v>41</v>
      </c>
      <c r="G359" s="2" t="s">
        <v>42</v>
      </c>
      <c r="H359" s="2" t="s">
        <v>159</v>
      </c>
      <c r="I359" s="2" t="s">
        <v>44</v>
      </c>
      <c r="J359" s="2" t="s">
        <v>160</v>
      </c>
      <c r="K359" s="2"/>
      <c r="L359" s="2" t="s">
        <v>1352</v>
      </c>
      <c r="M359" s="2" t="s">
        <v>1359</v>
      </c>
      <c r="N359" s="2" t="s">
        <v>48</v>
      </c>
      <c r="O359" s="2" t="s">
        <v>163</v>
      </c>
      <c r="P359" s="2" t="s">
        <v>354</v>
      </c>
      <c r="Q359" s="2" t="s">
        <v>1360</v>
      </c>
      <c r="R359" s="2" t="s">
        <v>1361</v>
      </c>
      <c r="S359" s="2" t="s">
        <v>1362</v>
      </c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 t="n">
        <v>1.269</v>
      </c>
      <c r="AG359" s="2"/>
      <c r="AH359" s="2"/>
      <c r="AI359" s="2"/>
      <c r="AJ359" s="2"/>
    </row>
    <row r="360" customFormat="false" ht="15" hidden="false" customHeight="false" outlineLevel="0" collapsed="false">
      <c r="A360" s="2" t="s">
        <v>1367</v>
      </c>
      <c r="B360" s="2" t="s">
        <v>1368</v>
      </c>
      <c r="C360" s="2" t="s">
        <v>38</v>
      </c>
      <c r="D360" s="2" t="s">
        <v>1369</v>
      </c>
      <c r="E360" s="2" t="s">
        <v>40</v>
      </c>
      <c r="F360" s="2" t="s">
        <v>41</v>
      </c>
      <c r="G360" s="2" t="s">
        <v>42</v>
      </c>
      <c r="H360" s="2" t="s">
        <v>175</v>
      </c>
      <c r="I360" s="2" t="s">
        <v>44</v>
      </c>
      <c r="J360" s="2" t="s">
        <v>160</v>
      </c>
      <c r="K360" s="2"/>
      <c r="L360" s="2" t="s">
        <v>1370</v>
      </c>
      <c r="M360" s="2" t="s">
        <v>1359</v>
      </c>
      <c r="N360" s="2" t="s">
        <v>48</v>
      </c>
      <c r="O360" s="2" t="s">
        <v>49</v>
      </c>
      <c r="P360" s="2" t="s">
        <v>354</v>
      </c>
      <c r="Q360" s="2" t="s">
        <v>1360</v>
      </c>
      <c r="R360" s="2" t="s">
        <v>1361</v>
      </c>
      <c r="S360" s="2" t="s">
        <v>1362</v>
      </c>
      <c r="T360" s="2" t="n">
        <v>40.6</v>
      </c>
      <c r="U360" s="2" t="n">
        <v>6.2</v>
      </c>
      <c r="V360" s="2" t="s">
        <v>52</v>
      </c>
      <c r="W360" s="2" t="n">
        <v>24.4</v>
      </c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customFormat="false" ht="15" hidden="false" customHeight="false" outlineLevel="0" collapsed="false">
      <c r="A361" s="2" t="s">
        <v>1371</v>
      </c>
      <c r="B361" s="2" t="s">
        <v>1368</v>
      </c>
      <c r="C361" s="2" t="s">
        <v>38</v>
      </c>
      <c r="D361" s="2" t="s">
        <v>1372</v>
      </c>
      <c r="E361" s="2" t="s">
        <v>40</v>
      </c>
      <c r="F361" s="2" t="s">
        <v>41</v>
      </c>
      <c r="G361" s="2" t="s">
        <v>42</v>
      </c>
      <c r="H361" s="2" t="s">
        <v>175</v>
      </c>
      <c r="I361" s="2" t="s">
        <v>44</v>
      </c>
      <c r="J361" s="2" t="s">
        <v>160</v>
      </c>
      <c r="K361" s="2"/>
      <c r="L361" s="2" t="s">
        <v>1370</v>
      </c>
      <c r="M361" s="2" t="s">
        <v>1359</v>
      </c>
      <c r="N361" s="2" t="s">
        <v>48</v>
      </c>
      <c r="O361" s="2" t="s">
        <v>49</v>
      </c>
      <c r="P361" s="2" t="s">
        <v>354</v>
      </c>
      <c r="Q361" s="2" t="s">
        <v>1360</v>
      </c>
      <c r="R361" s="2" t="s">
        <v>1361</v>
      </c>
      <c r="S361" s="2" t="s">
        <v>1362</v>
      </c>
      <c r="T361" s="2" t="n">
        <v>41.9</v>
      </c>
      <c r="U361" s="2" t="n">
        <v>6.5</v>
      </c>
      <c r="V361" s="2" t="s">
        <v>52</v>
      </c>
      <c r="W361" s="2" t="n">
        <v>23.16</v>
      </c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customFormat="false" ht="15" hidden="false" customHeight="false" outlineLevel="0" collapsed="false">
      <c r="A362" s="2" t="s">
        <v>1373</v>
      </c>
      <c r="B362" s="2" t="s">
        <v>1368</v>
      </c>
      <c r="C362" s="2" t="s">
        <v>38</v>
      </c>
      <c r="D362" s="2" t="s">
        <v>1374</v>
      </c>
      <c r="E362" s="2" t="s">
        <v>40</v>
      </c>
      <c r="F362" s="2" t="s">
        <v>41</v>
      </c>
      <c r="G362" s="2" t="s">
        <v>42</v>
      </c>
      <c r="H362" s="2" t="s">
        <v>175</v>
      </c>
      <c r="I362" s="2" t="s">
        <v>44</v>
      </c>
      <c r="J362" s="2" t="s">
        <v>160</v>
      </c>
      <c r="K362" s="2"/>
      <c r="L362" s="2" t="s">
        <v>1370</v>
      </c>
      <c r="M362" s="2" t="s">
        <v>1359</v>
      </c>
      <c r="N362" s="2" t="s">
        <v>48</v>
      </c>
      <c r="O362" s="2" t="s">
        <v>49</v>
      </c>
      <c r="P362" s="2" t="s">
        <v>354</v>
      </c>
      <c r="Q362" s="2" t="s">
        <v>1360</v>
      </c>
      <c r="R362" s="2" t="s">
        <v>1361</v>
      </c>
      <c r="S362" s="2" t="s">
        <v>1362</v>
      </c>
      <c r="T362" s="2" t="n">
        <v>40.8</v>
      </c>
      <c r="U362" s="2" t="n">
        <v>5.8</v>
      </c>
      <c r="V362" s="2" t="s">
        <v>52</v>
      </c>
      <c r="W362" s="2" t="n">
        <v>25.63</v>
      </c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customFormat="false" ht="15" hidden="false" customHeight="false" outlineLevel="0" collapsed="false">
      <c r="A363" s="2" t="s">
        <v>1375</v>
      </c>
      <c r="B363" s="2" t="s">
        <v>1376</v>
      </c>
      <c r="C363" s="2" t="s">
        <v>38</v>
      </c>
      <c r="D363" s="2" t="s">
        <v>1377</v>
      </c>
      <c r="E363" s="2" t="s">
        <v>40</v>
      </c>
      <c r="F363" s="2" t="s">
        <v>41</v>
      </c>
      <c r="G363" s="2" t="s">
        <v>42</v>
      </c>
      <c r="H363" s="2" t="s">
        <v>159</v>
      </c>
      <c r="I363" s="2" t="s">
        <v>44</v>
      </c>
      <c r="J363" s="2" t="s">
        <v>160</v>
      </c>
      <c r="K363" s="2"/>
      <c r="L363" s="2" t="s">
        <v>1378</v>
      </c>
      <c r="M363" s="2" t="s">
        <v>1379</v>
      </c>
      <c r="N363" s="2" t="s">
        <v>48</v>
      </c>
      <c r="O363" s="2" t="s">
        <v>163</v>
      </c>
      <c r="P363" s="2" t="s">
        <v>354</v>
      </c>
      <c r="Q363" s="2" t="s">
        <v>1380</v>
      </c>
      <c r="R363" s="2" t="s">
        <v>1381</v>
      </c>
      <c r="S363" s="2" t="s">
        <v>1382</v>
      </c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 t="n">
        <v>1.285</v>
      </c>
      <c r="AG363" s="2"/>
      <c r="AH363" s="2"/>
      <c r="AI363" s="2"/>
      <c r="AJ363" s="2"/>
    </row>
    <row r="364" customFormat="false" ht="15" hidden="false" customHeight="false" outlineLevel="0" collapsed="false">
      <c r="A364" s="2" t="s">
        <v>1383</v>
      </c>
      <c r="B364" s="2" t="s">
        <v>1376</v>
      </c>
      <c r="C364" s="2" t="s">
        <v>38</v>
      </c>
      <c r="D364" s="2" t="s">
        <v>1384</v>
      </c>
      <c r="E364" s="2" t="s">
        <v>40</v>
      </c>
      <c r="F364" s="2" t="s">
        <v>41</v>
      </c>
      <c r="G364" s="2" t="s">
        <v>42</v>
      </c>
      <c r="H364" s="2" t="s">
        <v>159</v>
      </c>
      <c r="I364" s="2" t="s">
        <v>44</v>
      </c>
      <c r="J364" s="2" t="s">
        <v>160</v>
      </c>
      <c r="K364" s="2"/>
      <c r="L364" s="2" t="s">
        <v>1378</v>
      </c>
      <c r="M364" s="2" t="s">
        <v>1379</v>
      </c>
      <c r="N364" s="2" t="s">
        <v>48</v>
      </c>
      <c r="O364" s="2" t="s">
        <v>163</v>
      </c>
      <c r="P364" s="2" t="s">
        <v>354</v>
      </c>
      <c r="Q364" s="2" t="s">
        <v>1380</v>
      </c>
      <c r="R364" s="2" t="s">
        <v>1381</v>
      </c>
      <c r="S364" s="2" t="s">
        <v>1382</v>
      </c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 t="n">
        <v>1.281</v>
      </c>
      <c r="AG364" s="2"/>
      <c r="AH364" s="2"/>
      <c r="AI364" s="2"/>
      <c r="AJ364" s="2"/>
    </row>
    <row r="365" customFormat="false" ht="15" hidden="false" customHeight="false" outlineLevel="0" collapsed="false">
      <c r="A365" s="2" t="s">
        <v>1385</v>
      </c>
      <c r="B365" s="2" t="s">
        <v>1376</v>
      </c>
      <c r="C365" s="2" t="s">
        <v>38</v>
      </c>
      <c r="D365" s="2" t="s">
        <v>1386</v>
      </c>
      <c r="E365" s="2" t="s">
        <v>40</v>
      </c>
      <c r="F365" s="2" t="s">
        <v>41</v>
      </c>
      <c r="G365" s="2" t="s">
        <v>42</v>
      </c>
      <c r="H365" s="2" t="s">
        <v>159</v>
      </c>
      <c r="I365" s="2" t="s">
        <v>44</v>
      </c>
      <c r="J365" s="2" t="s">
        <v>160</v>
      </c>
      <c r="K365" s="2"/>
      <c r="L365" s="2" t="s">
        <v>1378</v>
      </c>
      <c r="M365" s="2" t="s">
        <v>1379</v>
      </c>
      <c r="N365" s="2" t="s">
        <v>48</v>
      </c>
      <c r="O365" s="2" t="s">
        <v>163</v>
      </c>
      <c r="P365" s="2" t="s">
        <v>354</v>
      </c>
      <c r="Q365" s="2" t="s">
        <v>1380</v>
      </c>
      <c r="R365" s="2" t="s">
        <v>1381</v>
      </c>
      <c r="S365" s="2" t="s">
        <v>1382</v>
      </c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 t="n">
        <v>1.282</v>
      </c>
      <c r="AG365" s="2"/>
      <c r="AH365" s="2"/>
      <c r="AI365" s="2"/>
      <c r="AJ365" s="2"/>
    </row>
    <row r="366" customFormat="false" ht="15" hidden="false" customHeight="false" outlineLevel="0" collapsed="false">
      <c r="A366" s="2" t="s">
        <v>1387</v>
      </c>
      <c r="B366" s="2" t="s">
        <v>1388</v>
      </c>
      <c r="C366" s="2" t="s">
        <v>38</v>
      </c>
      <c r="D366" s="2" t="s">
        <v>1389</v>
      </c>
      <c r="E366" s="2" t="s">
        <v>40</v>
      </c>
      <c r="F366" s="2" t="s">
        <v>41</v>
      </c>
      <c r="G366" s="2" t="s">
        <v>42</v>
      </c>
      <c r="H366" s="2" t="s">
        <v>175</v>
      </c>
      <c r="I366" s="2" t="s">
        <v>44</v>
      </c>
      <c r="J366" s="2" t="s">
        <v>160</v>
      </c>
      <c r="K366" s="2"/>
      <c r="L366" s="2" t="s">
        <v>1390</v>
      </c>
      <c r="M366" s="2" t="s">
        <v>1379</v>
      </c>
      <c r="N366" s="2" t="s">
        <v>48</v>
      </c>
      <c r="O366" s="2" t="s">
        <v>49</v>
      </c>
      <c r="P366" s="2" t="s">
        <v>354</v>
      </c>
      <c r="Q366" s="2" t="s">
        <v>1380</v>
      </c>
      <c r="R366" s="2" t="s">
        <v>1381</v>
      </c>
      <c r="S366" s="2" t="s">
        <v>1382</v>
      </c>
      <c r="T366" s="2" t="n">
        <v>39.5</v>
      </c>
      <c r="U366" s="2" t="n">
        <v>7.2</v>
      </c>
      <c r="V366" s="2" t="s">
        <v>52</v>
      </c>
      <c r="W366" s="2" t="n">
        <v>29.27</v>
      </c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customFormat="false" ht="15" hidden="false" customHeight="false" outlineLevel="0" collapsed="false">
      <c r="A367" s="2" t="s">
        <v>1391</v>
      </c>
      <c r="B367" s="2" t="s">
        <v>1388</v>
      </c>
      <c r="C367" s="2" t="s">
        <v>38</v>
      </c>
      <c r="D367" s="2" t="s">
        <v>1392</v>
      </c>
      <c r="E367" s="2" t="s">
        <v>40</v>
      </c>
      <c r="F367" s="2" t="s">
        <v>41</v>
      </c>
      <c r="G367" s="2" t="s">
        <v>42</v>
      </c>
      <c r="H367" s="2" t="s">
        <v>175</v>
      </c>
      <c r="I367" s="2" t="s">
        <v>44</v>
      </c>
      <c r="J367" s="2" t="s">
        <v>160</v>
      </c>
      <c r="K367" s="2"/>
      <c r="L367" s="2" t="s">
        <v>1390</v>
      </c>
      <c r="M367" s="2" t="s">
        <v>1379</v>
      </c>
      <c r="N367" s="2" t="s">
        <v>48</v>
      </c>
      <c r="O367" s="2" t="s">
        <v>49</v>
      </c>
      <c r="P367" s="2" t="s">
        <v>354</v>
      </c>
      <c r="Q367" s="2" t="s">
        <v>1380</v>
      </c>
      <c r="R367" s="2" t="s">
        <v>1381</v>
      </c>
      <c r="S367" s="2" t="s">
        <v>1382</v>
      </c>
      <c r="T367" s="2" t="n">
        <v>38.9</v>
      </c>
      <c r="U367" s="2" t="n">
        <v>6.9</v>
      </c>
      <c r="V367" s="2" t="s">
        <v>52</v>
      </c>
      <c r="W367" s="2" t="n">
        <v>25.99</v>
      </c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customFormat="false" ht="15" hidden="false" customHeight="false" outlineLevel="0" collapsed="false">
      <c r="A368" s="2" t="s">
        <v>1393</v>
      </c>
      <c r="B368" s="2" t="s">
        <v>1388</v>
      </c>
      <c r="C368" s="2" t="s">
        <v>38</v>
      </c>
      <c r="D368" s="2" t="s">
        <v>1394</v>
      </c>
      <c r="E368" s="2" t="s">
        <v>40</v>
      </c>
      <c r="F368" s="2" t="s">
        <v>41</v>
      </c>
      <c r="G368" s="2" t="s">
        <v>42</v>
      </c>
      <c r="H368" s="2" t="s">
        <v>175</v>
      </c>
      <c r="I368" s="2" t="s">
        <v>44</v>
      </c>
      <c r="J368" s="2" t="s">
        <v>160</v>
      </c>
      <c r="K368" s="2"/>
      <c r="L368" s="2" t="s">
        <v>1390</v>
      </c>
      <c r="M368" s="2" t="s">
        <v>1379</v>
      </c>
      <c r="N368" s="2" t="s">
        <v>48</v>
      </c>
      <c r="O368" s="2" t="s">
        <v>49</v>
      </c>
      <c r="P368" s="2" t="s">
        <v>354</v>
      </c>
      <c r="Q368" s="2" t="s">
        <v>1380</v>
      </c>
      <c r="R368" s="2" t="s">
        <v>1381</v>
      </c>
      <c r="S368" s="2" t="s">
        <v>1382</v>
      </c>
      <c r="T368" s="2" t="n">
        <v>38.6</v>
      </c>
      <c r="U368" s="2" t="n">
        <v>6.9</v>
      </c>
      <c r="V368" s="2" t="s">
        <v>52</v>
      </c>
      <c r="W368" s="2" t="n">
        <v>27.38</v>
      </c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customFormat="false" ht="15" hidden="false" customHeight="false" outlineLevel="0" collapsed="false">
      <c r="A369" s="2" t="s">
        <v>1395</v>
      </c>
      <c r="B369" s="2" t="s">
        <v>1388</v>
      </c>
      <c r="C369" s="2" t="s">
        <v>38</v>
      </c>
      <c r="D369" s="2" t="s">
        <v>1396</v>
      </c>
      <c r="E369" s="2" t="s">
        <v>40</v>
      </c>
      <c r="F369" s="2" t="s">
        <v>41</v>
      </c>
      <c r="G369" s="2" t="s">
        <v>42</v>
      </c>
      <c r="H369" s="2" t="s">
        <v>159</v>
      </c>
      <c r="I369" s="2" t="s">
        <v>44</v>
      </c>
      <c r="J369" s="2" t="s">
        <v>160</v>
      </c>
      <c r="K369" s="2"/>
      <c r="L369" s="2"/>
      <c r="M369" s="2" t="s">
        <v>1397</v>
      </c>
      <c r="N369" s="2" t="s">
        <v>48</v>
      </c>
      <c r="O369" s="2" t="s">
        <v>163</v>
      </c>
      <c r="P369" s="2" t="s">
        <v>354</v>
      </c>
      <c r="Q369" s="2" t="s">
        <v>1398</v>
      </c>
      <c r="R369" s="2" t="s">
        <v>1399</v>
      </c>
      <c r="S369" s="2" t="s">
        <v>1400</v>
      </c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 t="n">
        <v>1.3</v>
      </c>
      <c r="AG369" s="2"/>
      <c r="AH369" s="2"/>
      <c r="AI369" s="2"/>
      <c r="AJ369" s="2"/>
    </row>
    <row r="370" customFormat="false" ht="15" hidden="false" customHeight="false" outlineLevel="0" collapsed="false">
      <c r="A370" s="2" t="s">
        <v>1401</v>
      </c>
      <c r="B370" s="2" t="s">
        <v>1388</v>
      </c>
      <c r="C370" s="2" t="s">
        <v>38</v>
      </c>
      <c r="D370" s="2" t="s">
        <v>1402</v>
      </c>
      <c r="E370" s="2" t="s">
        <v>40</v>
      </c>
      <c r="F370" s="2" t="s">
        <v>41</v>
      </c>
      <c r="G370" s="2" t="s">
        <v>42</v>
      </c>
      <c r="H370" s="2" t="s">
        <v>159</v>
      </c>
      <c r="I370" s="2" t="s">
        <v>44</v>
      </c>
      <c r="J370" s="2" t="s">
        <v>160</v>
      </c>
      <c r="K370" s="2"/>
      <c r="L370" s="2"/>
      <c r="M370" s="2" t="s">
        <v>1397</v>
      </c>
      <c r="N370" s="2" t="s">
        <v>48</v>
      </c>
      <c r="O370" s="2" t="s">
        <v>163</v>
      </c>
      <c r="P370" s="2" t="s">
        <v>354</v>
      </c>
      <c r="Q370" s="2" t="s">
        <v>1398</v>
      </c>
      <c r="R370" s="2" t="s">
        <v>1399</v>
      </c>
      <c r="S370" s="2" t="s">
        <v>1400</v>
      </c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 t="n">
        <v>1.3</v>
      </c>
      <c r="AG370" s="2"/>
      <c r="AH370" s="2"/>
      <c r="AI370" s="2"/>
      <c r="AJ370" s="2"/>
    </row>
    <row r="371" customFormat="false" ht="15" hidden="false" customHeight="false" outlineLevel="0" collapsed="false">
      <c r="A371" s="2" t="s">
        <v>1403</v>
      </c>
      <c r="B371" s="2" t="s">
        <v>1388</v>
      </c>
      <c r="C371" s="2" t="s">
        <v>38</v>
      </c>
      <c r="D371" s="2" t="s">
        <v>1404</v>
      </c>
      <c r="E371" s="2" t="s">
        <v>40</v>
      </c>
      <c r="F371" s="2" t="s">
        <v>41</v>
      </c>
      <c r="G371" s="2" t="s">
        <v>42</v>
      </c>
      <c r="H371" s="2" t="s">
        <v>159</v>
      </c>
      <c r="I371" s="2" t="s">
        <v>44</v>
      </c>
      <c r="J371" s="2" t="s">
        <v>160</v>
      </c>
      <c r="K371" s="2"/>
      <c r="L371" s="2"/>
      <c r="M371" s="2" t="s">
        <v>1397</v>
      </c>
      <c r="N371" s="2" t="s">
        <v>48</v>
      </c>
      <c r="O371" s="2" t="s">
        <v>163</v>
      </c>
      <c r="P371" s="2" t="s">
        <v>354</v>
      </c>
      <c r="Q371" s="2" t="s">
        <v>1398</v>
      </c>
      <c r="R371" s="2" t="s">
        <v>1399</v>
      </c>
      <c r="S371" s="2" t="s">
        <v>1400</v>
      </c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 t="n">
        <v>1.3</v>
      </c>
      <c r="AG371" s="2"/>
      <c r="AH371" s="2"/>
      <c r="AI371" s="2"/>
      <c r="AJ371" s="2"/>
    </row>
    <row r="372" customFormat="false" ht="15" hidden="false" customHeight="false" outlineLevel="0" collapsed="false">
      <c r="A372" s="2" t="s">
        <v>1405</v>
      </c>
      <c r="B372" s="2" t="s">
        <v>1406</v>
      </c>
      <c r="C372" s="2" t="s">
        <v>38</v>
      </c>
      <c r="D372" s="2" t="s">
        <v>1407</v>
      </c>
      <c r="E372" s="2" t="s">
        <v>40</v>
      </c>
      <c r="F372" s="2" t="s">
        <v>41</v>
      </c>
      <c r="G372" s="2" t="s">
        <v>42</v>
      </c>
      <c r="H372" s="2" t="s">
        <v>175</v>
      </c>
      <c r="I372" s="2" t="s">
        <v>44</v>
      </c>
      <c r="J372" s="2" t="s">
        <v>160</v>
      </c>
      <c r="K372" s="2"/>
      <c r="L372" s="2"/>
      <c r="M372" s="2" t="s">
        <v>1397</v>
      </c>
      <c r="N372" s="2" t="s">
        <v>48</v>
      </c>
      <c r="O372" s="2" t="s">
        <v>49</v>
      </c>
      <c r="P372" s="2" t="s">
        <v>354</v>
      </c>
      <c r="Q372" s="2" t="s">
        <v>1398</v>
      </c>
      <c r="R372" s="2" t="s">
        <v>1399</v>
      </c>
      <c r="S372" s="2" t="s">
        <v>1408</v>
      </c>
      <c r="T372" s="2" t="n">
        <v>38.8</v>
      </c>
      <c r="U372" s="2" t="n">
        <v>5.9</v>
      </c>
      <c r="V372" s="2" t="s">
        <v>52</v>
      </c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customFormat="false" ht="15" hidden="false" customHeight="false" outlineLevel="0" collapsed="false">
      <c r="A373" s="2" t="s">
        <v>1409</v>
      </c>
      <c r="B373" s="2" t="s">
        <v>1406</v>
      </c>
      <c r="C373" s="2" t="s">
        <v>38</v>
      </c>
      <c r="D373" s="2" t="s">
        <v>1407</v>
      </c>
      <c r="E373" s="2" t="s">
        <v>40</v>
      </c>
      <c r="F373" s="2" t="s">
        <v>41</v>
      </c>
      <c r="G373" s="2" t="s">
        <v>42</v>
      </c>
      <c r="H373" s="2" t="s">
        <v>175</v>
      </c>
      <c r="I373" s="2" t="s">
        <v>44</v>
      </c>
      <c r="J373" s="2" t="s">
        <v>160</v>
      </c>
      <c r="K373" s="2"/>
      <c r="L373" s="2"/>
      <c r="M373" s="2" t="s">
        <v>1397</v>
      </c>
      <c r="N373" s="2" t="s">
        <v>48</v>
      </c>
      <c r="O373" s="2" t="s">
        <v>49</v>
      </c>
      <c r="P373" s="2" t="s">
        <v>354</v>
      </c>
      <c r="Q373" s="2" t="s">
        <v>1398</v>
      </c>
      <c r="R373" s="2" t="s">
        <v>1399</v>
      </c>
      <c r="S373" s="2" t="s">
        <v>1408</v>
      </c>
      <c r="T373" s="2" t="n">
        <v>38.6</v>
      </c>
      <c r="U373" s="2" t="n">
        <v>5.6</v>
      </c>
      <c r="V373" s="2" t="s">
        <v>52</v>
      </c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customFormat="false" ht="15" hidden="false" customHeight="false" outlineLevel="0" collapsed="false">
      <c r="A374" s="2" t="s">
        <v>1410</v>
      </c>
      <c r="B374" s="2" t="s">
        <v>1406</v>
      </c>
      <c r="C374" s="2" t="s">
        <v>38</v>
      </c>
      <c r="D374" s="2" t="s">
        <v>1411</v>
      </c>
      <c r="E374" s="2" t="s">
        <v>40</v>
      </c>
      <c r="F374" s="2" t="s">
        <v>41</v>
      </c>
      <c r="G374" s="2" t="s">
        <v>42</v>
      </c>
      <c r="H374" s="2" t="s">
        <v>175</v>
      </c>
      <c r="I374" s="2" t="s">
        <v>44</v>
      </c>
      <c r="J374" s="2" t="s">
        <v>160</v>
      </c>
      <c r="K374" s="2"/>
      <c r="L374" s="2"/>
      <c r="M374" s="2" t="s">
        <v>1397</v>
      </c>
      <c r="N374" s="2" t="s">
        <v>48</v>
      </c>
      <c r="O374" s="2" t="s">
        <v>49</v>
      </c>
      <c r="P374" s="2" t="s">
        <v>354</v>
      </c>
      <c r="Q374" s="2" t="s">
        <v>1398</v>
      </c>
      <c r="R374" s="2" t="s">
        <v>1399</v>
      </c>
      <c r="S374" s="2" t="s">
        <v>1408</v>
      </c>
      <c r="T374" s="2" t="n">
        <v>39</v>
      </c>
      <c r="U374" s="2" t="n">
        <v>5.8</v>
      </c>
      <c r="V374" s="2" t="s">
        <v>52</v>
      </c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customFormat="false" ht="15" hidden="false" customHeight="false" outlineLevel="0" collapsed="false">
      <c r="A375" s="2" t="s">
        <v>1412</v>
      </c>
      <c r="B375" s="2" t="s">
        <v>1406</v>
      </c>
      <c r="C375" s="2" t="s">
        <v>38</v>
      </c>
      <c r="D375" s="2" t="s">
        <v>1413</v>
      </c>
      <c r="E375" s="2" t="s">
        <v>40</v>
      </c>
      <c r="F375" s="2" t="s">
        <v>41</v>
      </c>
      <c r="G375" s="2" t="s">
        <v>42</v>
      </c>
      <c r="H375" s="2" t="s">
        <v>159</v>
      </c>
      <c r="I375" s="2" t="s">
        <v>44</v>
      </c>
      <c r="J375" s="2" t="s">
        <v>160</v>
      </c>
      <c r="K375" s="2"/>
      <c r="L375" s="2"/>
      <c r="M375" s="2" t="s">
        <v>1414</v>
      </c>
      <c r="N375" s="2" t="s">
        <v>48</v>
      </c>
      <c r="O375" s="2" t="s">
        <v>163</v>
      </c>
      <c r="P375" s="2" t="s">
        <v>354</v>
      </c>
      <c r="Q375" s="2" t="s">
        <v>1415</v>
      </c>
      <c r="R375" s="2" t="s">
        <v>1416</v>
      </c>
      <c r="S375" s="2" t="s">
        <v>1400</v>
      </c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 t="n">
        <v>1.3</v>
      </c>
      <c r="AG375" s="2"/>
      <c r="AH375" s="2"/>
      <c r="AI375" s="2"/>
      <c r="AJ375" s="2"/>
    </row>
    <row r="376" customFormat="false" ht="15" hidden="false" customHeight="false" outlineLevel="0" collapsed="false">
      <c r="A376" s="2" t="s">
        <v>1417</v>
      </c>
      <c r="B376" s="2" t="s">
        <v>1406</v>
      </c>
      <c r="C376" s="2" t="s">
        <v>38</v>
      </c>
      <c r="D376" s="2" t="s">
        <v>1418</v>
      </c>
      <c r="E376" s="2" t="s">
        <v>40</v>
      </c>
      <c r="F376" s="2" t="s">
        <v>41</v>
      </c>
      <c r="G376" s="2" t="s">
        <v>42</v>
      </c>
      <c r="H376" s="2" t="s">
        <v>159</v>
      </c>
      <c r="I376" s="2" t="s">
        <v>44</v>
      </c>
      <c r="J376" s="2" t="s">
        <v>160</v>
      </c>
      <c r="K376" s="2"/>
      <c r="L376" s="2"/>
      <c r="M376" s="2" t="s">
        <v>1414</v>
      </c>
      <c r="N376" s="2" t="s">
        <v>48</v>
      </c>
      <c r="O376" s="2" t="s">
        <v>163</v>
      </c>
      <c r="P376" s="2" t="s">
        <v>354</v>
      </c>
      <c r="Q376" s="2" t="s">
        <v>1415</v>
      </c>
      <c r="R376" s="2" t="s">
        <v>1416</v>
      </c>
      <c r="S376" s="2" t="s">
        <v>1400</v>
      </c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 t="n">
        <v>1.3</v>
      </c>
      <c r="AG376" s="2"/>
      <c r="AH376" s="2"/>
      <c r="AI376" s="2"/>
      <c r="AJ376" s="2"/>
    </row>
    <row r="377" customFormat="false" ht="15" hidden="false" customHeight="false" outlineLevel="0" collapsed="false">
      <c r="A377" s="2" t="s">
        <v>1419</v>
      </c>
      <c r="B377" s="2" t="s">
        <v>1406</v>
      </c>
      <c r="C377" s="2" t="s">
        <v>38</v>
      </c>
      <c r="D377" s="2" t="s">
        <v>1420</v>
      </c>
      <c r="E377" s="2" t="s">
        <v>40</v>
      </c>
      <c r="F377" s="2" t="s">
        <v>41</v>
      </c>
      <c r="G377" s="2" t="s">
        <v>42</v>
      </c>
      <c r="H377" s="2" t="s">
        <v>159</v>
      </c>
      <c r="I377" s="2" t="s">
        <v>44</v>
      </c>
      <c r="J377" s="2" t="s">
        <v>160</v>
      </c>
      <c r="K377" s="2"/>
      <c r="L377" s="2"/>
      <c r="M377" s="2" t="s">
        <v>1414</v>
      </c>
      <c r="N377" s="2" t="s">
        <v>48</v>
      </c>
      <c r="O377" s="2" t="s">
        <v>163</v>
      </c>
      <c r="P377" s="2" t="s">
        <v>354</v>
      </c>
      <c r="Q377" s="2" t="s">
        <v>1415</v>
      </c>
      <c r="R377" s="2" t="s">
        <v>1416</v>
      </c>
      <c r="S377" s="2" t="s">
        <v>1400</v>
      </c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 t="n">
        <v>1.3</v>
      </c>
      <c r="AG377" s="2"/>
      <c r="AH377" s="2"/>
      <c r="AI377" s="2"/>
      <c r="AJ377" s="2"/>
    </row>
    <row r="378" customFormat="false" ht="15" hidden="false" customHeight="false" outlineLevel="0" collapsed="false">
      <c r="A378" s="2" t="s">
        <v>1421</v>
      </c>
      <c r="B378" s="2" t="s">
        <v>1422</v>
      </c>
      <c r="C378" s="2" t="s">
        <v>38</v>
      </c>
      <c r="D378" s="2" t="s">
        <v>1423</v>
      </c>
      <c r="E378" s="2" t="s">
        <v>40</v>
      </c>
      <c r="F378" s="2" t="s">
        <v>41</v>
      </c>
      <c r="G378" s="2" t="s">
        <v>42</v>
      </c>
      <c r="H378" s="2" t="s">
        <v>175</v>
      </c>
      <c r="I378" s="2" t="s">
        <v>44</v>
      </c>
      <c r="J378" s="2" t="s">
        <v>160</v>
      </c>
      <c r="K378" s="2"/>
      <c r="L378" s="2"/>
      <c r="M378" s="2" t="s">
        <v>1414</v>
      </c>
      <c r="N378" s="2" t="s">
        <v>48</v>
      </c>
      <c r="O378" s="2" t="s">
        <v>49</v>
      </c>
      <c r="P378" s="2" t="s">
        <v>354</v>
      </c>
      <c r="Q378" s="2" t="s">
        <v>1415</v>
      </c>
      <c r="R378" s="2" t="s">
        <v>1416</v>
      </c>
      <c r="S378" s="2" t="s">
        <v>1408</v>
      </c>
      <c r="T378" s="2" t="n">
        <v>39.8</v>
      </c>
      <c r="U378" s="2" t="n">
        <v>5.8</v>
      </c>
      <c r="V378" s="2" t="s">
        <v>52</v>
      </c>
      <c r="W378" s="2" t="n">
        <v>22.88</v>
      </c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customFormat="false" ht="15" hidden="false" customHeight="false" outlineLevel="0" collapsed="false">
      <c r="A379" s="2" t="s">
        <v>1424</v>
      </c>
      <c r="B379" s="2" t="s">
        <v>1422</v>
      </c>
      <c r="C379" s="2" t="s">
        <v>38</v>
      </c>
      <c r="D379" s="2" t="s">
        <v>1423</v>
      </c>
      <c r="E379" s="2" t="s">
        <v>40</v>
      </c>
      <c r="F379" s="2" t="s">
        <v>41</v>
      </c>
      <c r="G379" s="2" t="s">
        <v>42</v>
      </c>
      <c r="H379" s="2" t="s">
        <v>175</v>
      </c>
      <c r="I379" s="2" t="s">
        <v>44</v>
      </c>
      <c r="J379" s="2" t="s">
        <v>160</v>
      </c>
      <c r="K379" s="2"/>
      <c r="L379" s="2"/>
      <c r="M379" s="2" t="s">
        <v>1414</v>
      </c>
      <c r="N379" s="2" t="s">
        <v>48</v>
      </c>
      <c r="O379" s="2" t="s">
        <v>49</v>
      </c>
      <c r="P379" s="2" t="s">
        <v>354</v>
      </c>
      <c r="Q379" s="2" t="s">
        <v>1415</v>
      </c>
      <c r="R379" s="2" t="s">
        <v>1416</v>
      </c>
      <c r="S379" s="2" t="s">
        <v>1408</v>
      </c>
      <c r="T379" s="2" t="n">
        <v>41.6</v>
      </c>
      <c r="U379" s="2" t="n">
        <v>6.4</v>
      </c>
      <c r="V379" s="2" t="s">
        <v>52</v>
      </c>
      <c r="W379" s="2" t="n">
        <v>23.23</v>
      </c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customFormat="false" ht="15" hidden="false" customHeight="false" outlineLevel="0" collapsed="false">
      <c r="A380" s="2" t="s">
        <v>1425</v>
      </c>
      <c r="B380" s="2" t="s">
        <v>1422</v>
      </c>
      <c r="C380" s="2" t="s">
        <v>38</v>
      </c>
      <c r="D380" s="2" t="s">
        <v>1426</v>
      </c>
      <c r="E380" s="2" t="s">
        <v>40</v>
      </c>
      <c r="F380" s="2" t="s">
        <v>41</v>
      </c>
      <c r="G380" s="2" t="s">
        <v>42</v>
      </c>
      <c r="H380" s="2" t="s">
        <v>175</v>
      </c>
      <c r="I380" s="2" t="s">
        <v>44</v>
      </c>
      <c r="J380" s="2" t="s">
        <v>160</v>
      </c>
      <c r="K380" s="2"/>
      <c r="L380" s="2"/>
      <c r="M380" s="2" t="s">
        <v>1414</v>
      </c>
      <c r="N380" s="2" t="s">
        <v>48</v>
      </c>
      <c r="O380" s="2" t="s">
        <v>49</v>
      </c>
      <c r="P380" s="2" t="s">
        <v>354</v>
      </c>
      <c r="Q380" s="2" t="s">
        <v>1415</v>
      </c>
      <c r="R380" s="2" t="s">
        <v>1416</v>
      </c>
      <c r="S380" s="2" t="s">
        <v>1408</v>
      </c>
      <c r="T380" s="2" t="n">
        <v>40.7</v>
      </c>
      <c r="U380" s="2" t="n">
        <v>6.6</v>
      </c>
      <c r="V380" s="2" t="s">
        <v>52</v>
      </c>
      <c r="W380" s="2" t="n">
        <v>24.68</v>
      </c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customFormat="false" ht="15" hidden="false" customHeight="false" outlineLevel="0" collapsed="false">
      <c r="A381" s="2" t="s">
        <v>1427</v>
      </c>
      <c r="B381" s="2" t="s">
        <v>1422</v>
      </c>
      <c r="C381" s="2" t="s">
        <v>38</v>
      </c>
      <c r="D381" s="2" t="s">
        <v>1428</v>
      </c>
      <c r="E381" s="2" t="s">
        <v>40</v>
      </c>
      <c r="F381" s="2" t="s">
        <v>41</v>
      </c>
      <c r="G381" s="2" t="s">
        <v>42</v>
      </c>
      <c r="H381" s="2" t="s">
        <v>159</v>
      </c>
      <c r="I381" s="2" t="s">
        <v>44</v>
      </c>
      <c r="J381" s="2" t="s">
        <v>160</v>
      </c>
      <c r="K381" s="2"/>
      <c r="L381" s="2"/>
      <c r="M381" s="2" t="s">
        <v>1429</v>
      </c>
      <c r="N381" s="2" t="s">
        <v>48</v>
      </c>
      <c r="O381" s="2" t="s">
        <v>163</v>
      </c>
      <c r="P381" s="2" t="s">
        <v>354</v>
      </c>
      <c r="Q381" s="2" t="s">
        <v>1430</v>
      </c>
      <c r="R381" s="2" t="s">
        <v>1431</v>
      </c>
      <c r="S381" s="2" t="s">
        <v>1400</v>
      </c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 t="n">
        <v>1.3</v>
      </c>
      <c r="AG381" s="2"/>
      <c r="AH381" s="2"/>
      <c r="AI381" s="2"/>
      <c r="AJ381" s="2"/>
    </row>
    <row r="382" customFormat="false" ht="15" hidden="false" customHeight="false" outlineLevel="0" collapsed="false">
      <c r="A382" s="2" t="s">
        <v>1432</v>
      </c>
      <c r="B382" s="2" t="s">
        <v>1422</v>
      </c>
      <c r="C382" s="2" t="s">
        <v>38</v>
      </c>
      <c r="D382" s="2" t="s">
        <v>1433</v>
      </c>
      <c r="E382" s="2" t="s">
        <v>40</v>
      </c>
      <c r="F382" s="2" t="s">
        <v>41</v>
      </c>
      <c r="G382" s="2" t="s">
        <v>42</v>
      </c>
      <c r="H382" s="2" t="s">
        <v>159</v>
      </c>
      <c r="I382" s="2" t="s">
        <v>44</v>
      </c>
      <c r="J382" s="2" t="s">
        <v>160</v>
      </c>
      <c r="K382" s="2"/>
      <c r="L382" s="2"/>
      <c r="M382" s="2" t="s">
        <v>1429</v>
      </c>
      <c r="N382" s="2" t="s">
        <v>48</v>
      </c>
      <c r="O382" s="2" t="s">
        <v>163</v>
      </c>
      <c r="P382" s="2" t="s">
        <v>354</v>
      </c>
      <c r="Q382" s="2" t="s">
        <v>1430</v>
      </c>
      <c r="R382" s="2" t="s">
        <v>1431</v>
      </c>
      <c r="S382" s="2" t="s">
        <v>1400</v>
      </c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 t="n">
        <v>1.3</v>
      </c>
      <c r="AG382" s="2"/>
      <c r="AH382" s="2"/>
      <c r="AI382" s="2"/>
      <c r="AJ382" s="2"/>
    </row>
    <row r="383" customFormat="false" ht="15" hidden="false" customHeight="false" outlineLevel="0" collapsed="false">
      <c r="A383" s="2" t="s">
        <v>1434</v>
      </c>
      <c r="B383" s="2" t="s">
        <v>1422</v>
      </c>
      <c r="C383" s="2" t="s">
        <v>38</v>
      </c>
      <c r="D383" s="2" t="s">
        <v>1435</v>
      </c>
      <c r="E383" s="2" t="s">
        <v>40</v>
      </c>
      <c r="F383" s="2" t="s">
        <v>41</v>
      </c>
      <c r="G383" s="2" t="s">
        <v>42</v>
      </c>
      <c r="H383" s="2" t="s">
        <v>159</v>
      </c>
      <c r="I383" s="2" t="s">
        <v>44</v>
      </c>
      <c r="J383" s="2" t="s">
        <v>160</v>
      </c>
      <c r="K383" s="2"/>
      <c r="L383" s="2"/>
      <c r="M383" s="2" t="s">
        <v>1429</v>
      </c>
      <c r="N383" s="2" t="s">
        <v>48</v>
      </c>
      <c r="O383" s="2" t="s">
        <v>163</v>
      </c>
      <c r="P383" s="2" t="s">
        <v>354</v>
      </c>
      <c r="Q383" s="2" t="s">
        <v>1430</v>
      </c>
      <c r="R383" s="2" t="s">
        <v>1431</v>
      </c>
      <c r="S383" s="2" t="s">
        <v>1400</v>
      </c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 t="n">
        <v>1.3</v>
      </c>
      <c r="AG383" s="2"/>
      <c r="AH383" s="2"/>
      <c r="AI383" s="2"/>
      <c r="AJ383" s="2"/>
    </row>
    <row r="384" customFormat="false" ht="15" hidden="false" customHeight="false" outlineLevel="0" collapsed="false">
      <c r="A384" s="2" t="s">
        <v>1436</v>
      </c>
      <c r="B384" s="2" t="s">
        <v>1437</v>
      </c>
      <c r="C384" s="2" t="s">
        <v>38</v>
      </c>
      <c r="D384" s="2" t="s">
        <v>1438</v>
      </c>
      <c r="E384" s="2" t="s">
        <v>40</v>
      </c>
      <c r="F384" s="2" t="s">
        <v>41</v>
      </c>
      <c r="G384" s="2" t="s">
        <v>42</v>
      </c>
      <c r="H384" s="2" t="s">
        <v>175</v>
      </c>
      <c r="I384" s="2" t="s">
        <v>44</v>
      </c>
      <c r="J384" s="2" t="s">
        <v>160</v>
      </c>
      <c r="K384" s="2"/>
      <c r="L384" s="2"/>
      <c r="M384" s="2" t="s">
        <v>1429</v>
      </c>
      <c r="N384" s="2" t="s">
        <v>48</v>
      </c>
      <c r="O384" s="2" t="s">
        <v>49</v>
      </c>
      <c r="P384" s="2" t="s">
        <v>354</v>
      </c>
      <c r="Q384" s="2" t="s">
        <v>1430</v>
      </c>
      <c r="R384" s="2" t="s">
        <v>1431</v>
      </c>
      <c r="S384" s="2" t="s">
        <v>1408</v>
      </c>
      <c r="T384" s="2" t="n">
        <v>39.7</v>
      </c>
      <c r="U384" s="2" t="n">
        <v>6.8</v>
      </c>
      <c r="V384" s="2" t="s">
        <v>52</v>
      </c>
      <c r="W384" s="2" t="n">
        <v>24.8</v>
      </c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customFormat="false" ht="15" hidden="false" customHeight="false" outlineLevel="0" collapsed="false">
      <c r="A385" s="2" t="s">
        <v>1439</v>
      </c>
      <c r="B385" s="2" t="s">
        <v>1437</v>
      </c>
      <c r="C385" s="2" t="s">
        <v>38</v>
      </c>
      <c r="D385" s="2" t="s">
        <v>1438</v>
      </c>
      <c r="E385" s="2" t="s">
        <v>40</v>
      </c>
      <c r="F385" s="2" t="s">
        <v>41</v>
      </c>
      <c r="G385" s="2" t="s">
        <v>42</v>
      </c>
      <c r="H385" s="2" t="s">
        <v>175</v>
      </c>
      <c r="I385" s="2" t="s">
        <v>44</v>
      </c>
      <c r="J385" s="2" t="s">
        <v>160</v>
      </c>
      <c r="K385" s="2"/>
      <c r="L385" s="2"/>
      <c r="M385" s="2" t="s">
        <v>1429</v>
      </c>
      <c r="N385" s="2" t="s">
        <v>48</v>
      </c>
      <c r="O385" s="2" t="s">
        <v>49</v>
      </c>
      <c r="P385" s="2" t="s">
        <v>354</v>
      </c>
      <c r="Q385" s="2" t="s">
        <v>1430</v>
      </c>
      <c r="R385" s="2" t="s">
        <v>1431</v>
      </c>
      <c r="S385" s="2" t="s">
        <v>1408</v>
      </c>
      <c r="T385" s="2" t="n">
        <v>39.7</v>
      </c>
      <c r="U385" s="2" t="n">
        <v>6.8</v>
      </c>
      <c r="V385" s="2" t="s">
        <v>52</v>
      </c>
      <c r="W385" s="2" t="n">
        <v>24.47</v>
      </c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customFormat="false" ht="15" hidden="false" customHeight="false" outlineLevel="0" collapsed="false">
      <c r="A386" s="2" t="s">
        <v>1440</v>
      </c>
      <c r="B386" s="2" t="s">
        <v>1437</v>
      </c>
      <c r="C386" s="2" t="s">
        <v>38</v>
      </c>
      <c r="D386" s="2" t="s">
        <v>1441</v>
      </c>
      <c r="E386" s="2" t="s">
        <v>40</v>
      </c>
      <c r="F386" s="2" t="s">
        <v>41</v>
      </c>
      <c r="G386" s="2" t="s">
        <v>42</v>
      </c>
      <c r="H386" s="2" t="s">
        <v>175</v>
      </c>
      <c r="I386" s="2" t="s">
        <v>44</v>
      </c>
      <c r="J386" s="2" t="s">
        <v>160</v>
      </c>
      <c r="K386" s="2"/>
      <c r="L386" s="2"/>
      <c r="M386" s="2" t="s">
        <v>1429</v>
      </c>
      <c r="N386" s="2" t="s">
        <v>48</v>
      </c>
      <c r="O386" s="2" t="s">
        <v>49</v>
      </c>
      <c r="P386" s="2" t="s">
        <v>354</v>
      </c>
      <c r="Q386" s="2" t="s">
        <v>1430</v>
      </c>
      <c r="R386" s="2" t="s">
        <v>1431</v>
      </c>
      <c r="S386" s="2" t="s">
        <v>1408</v>
      </c>
      <c r="T386" s="2" t="n">
        <v>40.4</v>
      </c>
      <c r="U386" s="2" t="n">
        <v>7.6</v>
      </c>
      <c r="V386" s="2" t="s">
        <v>52</v>
      </c>
      <c r="W386" s="2" t="n">
        <v>24.63</v>
      </c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customFormat="false" ht="15" hidden="false" customHeight="false" outlineLevel="0" collapsed="false">
      <c r="A387" s="2" t="s">
        <v>1442</v>
      </c>
      <c r="B387" s="2" t="s">
        <v>1443</v>
      </c>
      <c r="C387" s="2" t="s">
        <v>38</v>
      </c>
      <c r="D387" s="2" t="s">
        <v>1444</v>
      </c>
      <c r="E387" s="2" t="s">
        <v>40</v>
      </c>
      <c r="F387" s="2" t="s">
        <v>41</v>
      </c>
      <c r="G387" s="2" t="s">
        <v>42</v>
      </c>
      <c r="H387" s="2" t="s">
        <v>159</v>
      </c>
      <c r="I387" s="2" t="s">
        <v>44</v>
      </c>
      <c r="J387" s="2" t="s">
        <v>160</v>
      </c>
      <c r="K387" s="2"/>
      <c r="L387" s="2" t="s">
        <v>1445</v>
      </c>
      <c r="M387" s="2" t="s">
        <v>1446</v>
      </c>
      <c r="N387" s="2" t="s">
        <v>48</v>
      </c>
      <c r="O387" s="2" t="s">
        <v>163</v>
      </c>
      <c r="P387" s="2" t="s">
        <v>354</v>
      </c>
      <c r="Q387" s="2" t="s">
        <v>1447</v>
      </c>
      <c r="R387" s="2" t="s">
        <v>1448</v>
      </c>
      <c r="S387" s="2" t="s">
        <v>1449</v>
      </c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 t="n">
        <v>1.272</v>
      </c>
      <c r="AG387" s="2"/>
      <c r="AH387" s="2"/>
      <c r="AI387" s="2"/>
      <c r="AJ387" s="2"/>
    </row>
    <row r="388" customFormat="false" ht="15" hidden="false" customHeight="false" outlineLevel="0" collapsed="false">
      <c r="A388" s="2" t="s">
        <v>1450</v>
      </c>
      <c r="B388" s="2" t="s">
        <v>1443</v>
      </c>
      <c r="C388" s="2" t="s">
        <v>38</v>
      </c>
      <c r="D388" s="2" t="s">
        <v>1451</v>
      </c>
      <c r="E388" s="2" t="s">
        <v>40</v>
      </c>
      <c r="F388" s="2" t="s">
        <v>41</v>
      </c>
      <c r="G388" s="2" t="s">
        <v>42</v>
      </c>
      <c r="H388" s="2" t="s">
        <v>159</v>
      </c>
      <c r="I388" s="2" t="s">
        <v>44</v>
      </c>
      <c r="J388" s="2" t="s">
        <v>160</v>
      </c>
      <c r="K388" s="2"/>
      <c r="L388" s="2" t="s">
        <v>1445</v>
      </c>
      <c r="M388" s="2" t="s">
        <v>1446</v>
      </c>
      <c r="N388" s="2" t="s">
        <v>48</v>
      </c>
      <c r="O388" s="2" t="s">
        <v>163</v>
      </c>
      <c r="P388" s="2" t="s">
        <v>354</v>
      </c>
      <c r="Q388" s="2" t="s">
        <v>1447</v>
      </c>
      <c r="R388" s="2" t="s">
        <v>1448</v>
      </c>
      <c r="S388" s="2" t="s">
        <v>1449</v>
      </c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 t="n">
        <v>1.271</v>
      </c>
      <c r="AG388" s="2"/>
      <c r="AH388" s="2"/>
      <c r="AI388" s="2"/>
      <c r="AJ388" s="2"/>
    </row>
    <row r="389" customFormat="false" ht="15" hidden="false" customHeight="false" outlineLevel="0" collapsed="false">
      <c r="A389" s="2" t="s">
        <v>1452</v>
      </c>
      <c r="B389" s="2" t="s">
        <v>1443</v>
      </c>
      <c r="C389" s="2" t="s">
        <v>38</v>
      </c>
      <c r="D389" s="2" t="s">
        <v>1453</v>
      </c>
      <c r="E389" s="2" t="s">
        <v>40</v>
      </c>
      <c r="F389" s="2" t="s">
        <v>41</v>
      </c>
      <c r="G389" s="2" t="s">
        <v>42</v>
      </c>
      <c r="H389" s="2" t="s">
        <v>159</v>
      </c>
      <c r="I389" s="2" t="s">
        <v>44</v>
      </c>
      <c r="J389" s="2" t="s">
        <v>160</v>
      </c>
      <c r="K389" s="2"/>
      <c r="L389" s="2" t="s">
        <v>1445</v>
      </c>
      <c r="M389" s="2" t="s">
        <v>1446</v>
      </c>
      <c r="N389" s="2" t="s">
        <v>48</v>
      </c>
      <c r="O389" s="2" t="s">
        <v>163</v>
      </c>
      <c r="P389" s="2" t="s">
        <v>354</v>
      </c>
      <c r="Q389" s="2" t="s">
        <v>1447</v>
      </c>
      <c r="R389" s="2" t="s">
        <v>1448</v>
      </c>
      <c r="S389" s="2" t="s">
        <v>1449</v>
      </c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 t="n">
        <v>1.272</v>
      </c>
      <c r="AG389" s="2"/>
      <c r="AH389" s="2"/>
      <c r="AI389" s="2"/>
      <c r="AJ389" s="2"/>
    </row>
    <row r="390" customFormat="false" ht="15" hidden="false" customHeight="false" outlineLevel="0" collapsed="false">
      <c r="A390" s="2" t="s">
        <v>1454</v>
      </c>
      <c r="B390" s="2" t="s">
        <v>1455</v>
      </c>
      <c r="C390" s="2" t="s">
        <v>38</v>
      </c>
      <c r="D390" s="2" t="s">
        <v>1456</v>
      </c>
      <c r="E390" s="2" t="s">
        <v>40</v>
      </c>
      <c r="F390" s="2" t="s">
        <v>41</v>
      </c>
      <c r="G390" s="2" t="s">
        <v>42</v>
      </c>
      <c r="H390" s="2" t="s">
        <v>175</v>
      </c>
      <c r="I390" s="2" t="s">
        <v>44</v>
      </c>
      <c r="J390" s="2" t="s">
        <v>160</v>
      </c>
      <c r="K390" s="2"/>
      <c r="L390" s="2" t="s">
        <v>1457</v>
      </c>
      <c r="M390" s="2" t="s">
        <v>1446</v>
      </c>
      <c r="N390" s="2" t="s">
        <v>48</v>
      </c>
      <c r="O390" s="2" t="s">
        <v>49</v>
      </c>
      <c r="P390" s="2" t="s">
        <v>354</v>
      </c>
      <c r="Q390" s="2" t="s">
        <v>1447</v>
      </c>
      <c r="R390" s="2" t="s">
        <v>1448</v>
      </c>
      <c r="S390" s="2" t="s">
        <v>1449</v>
      </c>
      <c r="T390" s="2" t="n">
        <v>39</v>
      </c>
      <c r="U390" s="2" t="n">
        <v>5.6</v>
      </c>
      <c r="V390" s="2" t="s">
        <v>52</v>
      </c>
      <c r="W390" s="2" t="n">
        <v>27.05</v>
      </c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customFormat="false" ht="15" hidden="false" customHeight="false" outlineLevel="0" collapsed="false">
      <c r="A391" s="2" t="s">
        <v>1458</v>
      </c>
      <c r="B391" s="2" t="s">
        <v>1455</v>
      </c>
      <c r="C391" s="2" t="s">
        <v>38</v>
      </c>
      <c r="D391" s="2" t="s">
        <v>1459</v>
      </c>
      <c r="E391" s="2" t="s">
        <v>40</v>
      </c>
      <c r="F391" s="2" t="s">
        <v>41</v>
      </c>
      <c r="G391" s="2" t="s">
        <v>42</v>
      </c>
      <c r="H391" s="2" t="s">
        <v>175</v>
      </c>
      <c r="I391" s="2" t="s">
        <v>44</v>
      </c>
      <c r="J391" s="2" t="s">
        <v>160</v>
      </c>
      <c r="K391" s="2"/>
      <c r="L391" s="2" t="s">
        <v>1457</v>
      </c>
      <c r="M391" s="2" t="s">
        <v>1446</v>
      </c>
      <c r="N391" s="2" t="s">
        <v>48</v>
      </c>
      <c r="O391" s="2" t="s">
        <v>49</v>
      </c>
      <c r="P391" s="2" t="s">
        <v>354</v>
      </c>
      <c r="Q391" s="2" t="s">
        <v>1447</v>
      </c>
      <c r="R391" s="2" t="s">
        <v>1448</v>
      </c>
      <c r="S391" s="2" t="s">
        <v>1449</v>
      </c>
      <c r="T391" s="2" t="n">
        <v>40.4</v>
      </c>
      <c r="U391" s="2" t="n">
        <v>6.4</v>
      </c>
      <c r="V391" s="2" t="s">
        <v>52</v>
      </c>
      <c r="W391" s="2" t="n">
        <v>25.86</v>
      </c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customFormat="false" ht="15" hidden="false" customHeight="false" outlineLevel="0" collapsed="false">
      <c r="A392" s="2" t="s">
        <v>1460</v>
      </c>
      <c r="B392" s="2" t="s">
        <v>1455</v>
      </c>
      <c r="C392" s="2" t="s">
        <v>38</v>
      </c>
      <c r="D392" s="2" t="s">
        <v>1459</v>
      </c>
      <c r="E392" s="2" t="s">
        <v>40</v>
      </c>
      <c r="F392" s="2" t="s">
        <v>41</v>
      </c>
      <c r="G392" s="2" t="s">
        <v>42</v>
      </c>
      <c r="H392" s="2" t="s">
        <v>175</v>
      </c>
      <c r="I392" s="2" t="s">
        <v>44</v>
      </c>
      <c r="J392" s="2" t="s">
        <v>160</v>
      </c>
      <c r="K392" s="2"/>
      <c r="L392" s="2" t="s">
        <v>1457</v>
      </c>
      <c r="M392" s="2" t="s">
        <v>1446</v>
      </c>
      <c r="N392" s="2" t="s">
        <v>48</v>
      </c>
      <c r="O392" s="2" t="s">
        <v>49</v>
      </c>
      <c r="P392" s="2" t="s">
        <v>354</v>
      </c>
      <c r="Q392" s="2" t="s">
        <v>1447</v>
      </c>
      <c r="R392" s="2" t="s">
        <v>1448</v>
      </c>
      <c r="S392" s="2" t="s">
        <v>1449</v>
      </c>
      <c r="T392" s="2" t="n">
        <v>40</v>
      </c>
      <c r="U392" s="2" t="n">
        <v>6.6</v>
      </c>
      <c r="V392" s="2" t="s">
        <v>52</v>
      </c>
      <c r="W392" s="2" t="n">
        <v>27</v>
      </c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customFormat="false" ht="15" hidden="false" customHeight="false" outlineLevel="0" collapsed="false">
      <c r="A393" s="2" t="s">
        <v>1461</v>
      </c>
      <c r="B393" s="2" t="s">
        <v>1462</v>
      </c>
      <c r="C393" s="2" t="s">
        <v>38</v>
      </c>
      <c r="D393" s="2" t="s">
        <v>1463</v>
      </c>
      <c r="E393" s="2" t="s">
        <v>40</v>
      </c>
      <c r="F393" s="2" t="s">
        <v>41</v>
      </c>
      <c r="G393" s="2" t="s">
        <v>42</v>
      </c>
      <c r="H393" s="2" t="s">
        <v>159</v>
      </c>
      <c r="I393" s="2" t="s">
        <v>44</v>
      </c>
      <c r="J393" s="2" t="s">
        <v>160</v>
      </c>
      <c r="K393" s="2"/>
      <c r="L393" s="2"/>
      <c r="M393" s="2" t="s">
        <v>1464</v>
      </c>
      <c r="N393" s="2" t="s">
        <v>48</v>
      </c>
      <c r="O393" s="2" t="s">
        <v>163</v>
      </c>
      <c r="P393" s="2" t="s">
        <v>354</v>
      </c>
      <c r="Q393" s="2" t="s">
        <v>1465</v>
      </c>
      <c r="R393" s="2" t="s">
        <v>1466</v>
      </c>
      <c r="S393" s="2" t="s">
        <v>1467</v>
      </c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 t="n">
        <v>1.307</v>
      </c>
      <c r="AG393" s="2"/>
      <c r="AH393" s="2"/>
      <c r="AI393" s="2"/>
      <c r="AJ393" s="2"/>
    </row>
    <row r="394" customFormat="false" ht="15" hidden="false" customHeight="false" outlineLevel="0" collapsed="false">
      <c r="A394" s="2" t="s">
        <v>1468</v>
      </c>
      <c r="B394" s="2" t="s">
        <v>1462</v>
      </c>
      <c r="C394" s="2" t="s">
        <v>38</v>
      </c>
      <c r="D394" s="2" t="s">
        <v>1469</v>
      </c>
      <c r="E394" s="2" t="s">
        <v>40</v>
      </c>
      <c r="F394" s="2" t="s">
        <v>41</v>
      </c>
      <c r="G394" s="2" t="s">
        <v>42</v>
      </c>
      <c r="H394" s="2" t="s">
        <v>159</v>
      </c>
      <c r="I394" s="2" t="s">
        <v>44</v>
      </c>
      <c r="J394" s="2" t="s">
        <v>160</v>
      </c>
      <c r="K394" s="2"/>
      <c r="L394" s="2"/>
      <c r="M394" s="2" t="s">
        <v>1464</v>
      </c>
      <c r="N394" s="2" t="s">
        <v>48</v>
      </c>
      <c r="O394" s="2" t="s">
        <v>163</v>
      </c>
      <c r="P394" s="2" t="s">
        <v>354</v>
      </c>
      <c r="Q394" s="2" t="s">
        <v>1465</v>
      </c>
      <c r="R394" s="2" t="s">
        <v>1466</v>
      </c>
      <c r="S394" s="2" t="s">
        <v>1467</v>
      </c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 t="n">
        <v>1.307</v>
      </c>
      <c r="AG394" s="2"/>
      <c r="AH394" s="2"/>
      <c r="AI394" s="2"/>
      <c r="AJ394" s="2"/>
    </row>
    <row r="395" customFormat="false" ht="15" hidden="false" customHeight="false" outlineLevel="0" collapsed="false">
      <c r="A395" s="2" t="s">
        <v>1470</v>
      </c>
      <c r="B395" s="2" t="s">
        <v>1462</v>
      </c>
      <c r="C395" s="2" t="s">
        <v>38</v>
      </c>
      <c r="D395" s="2" t="s">
        <v>1469</v>
      </c>
      <c r="E395" s="2" t="s">
        <v>40</v>
      </c>
      <c r="F395" s="2" t="s">
        <v>41</v>
      </c>
      <c r="G395" s="2" t="s">
        <v>42</v>
      </c>
      <c r="H395" s="2" t="s">
        <v>159</v>
      </c>
      <c r="I395" s="2" t="s">
        <v>44</v>
      </c>
      <c r="J395" s="2" t="s">
        <v>160</v>
      </c>
      <c r="K395" s="2"/>
      <c r="L395" s="2"/>
      <c r="M395" s="2" t="s">
        <v>1464</v>
      </c>
      <c r="N395" s="2" t="s">
        <v>48</v>
      </c>
      <c r="O395" s="2" t="s">
        <v>163</v>
      </c>
      <c r="P395" s="2" t="s">
        <v>354</v>
      </c>
      <c r="Q395" s="2" t="s">
        <v>1465</v>
      </c>
      <c r="R395" s="2" t="s">
        <v>1466</v>
      </c>
      <c r="S395" s="2" t="s">
        <v>1467</v>
      </c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 t="n">
        <v>1.306</v>
      </c>
      <c r="AG395" s="2"/>
      <c r="AH395" s="2"/>
      <c r="AI395" s="2"/>
      <c r="AJ395" s="2"/>
    </row>
    <row r="396" customFormat="false" ht="15" hidden="false" customHeight="false" outlineLevel="0" collapsed="false">
      <c r="A396" s="2" t="s">
        <v>1471</v>
      </c>
      <c r="B396" s="2" t="s">
        <v>1472</v>
      </c>
      <c r="C396" s="2" t="s">
        <v>38</v>
      </c>
      <c r="D396" s="2" t="s">
        <v>1473</v>
      </c>
      <c r="E396" s="2" t="s">
        <v>40</v>
      </c>
      <c r="F396" s="2" t="s">
        <v>41</v>
      </c>
      <c r="G396" s="2" t="s">
        <v>42</v>
      </c>
      <c r="H396" s="2" t="s">
        <v>175</v>
      </c>
      <c r="I396" s="2" t="s">
        <v>44</v>
      </c>
      <c r="J396" s="2" t="s">
        <v>160</v>
      </c>
      <c r="K396" s="2"/>
      <c r="L396" s="2" t="s">
        <v>1474</v>
      </c>
      <c r="M396" s="2" t="s">
        <v>1464</v>
      </c>
      <c r="N396" s="2" t="s">
        <v>48</v>
      </c>
      <c r="O396" s="2" t="s">
        <v>49</v>
      </c>
      <c r="P396" s="2" t="s">
        <v>354</v>
      </c>
      <c r="Q396" s="2" t="s">
        <v>1465</v>
      </c>
      <c r="R396" s="2" t="s">
        <v>1466</v>
      </c>
      <c r="S396" s="2" t="s">
        <v>1475</v>
      </c>
      <c r="T396" s="2" t="n">
        <v>40.5</v>
      </c>
      <c r="U396" s="2" t="n">
        <v>6.8</v>
      </c>
      <c r="V396" s="2" t="s">
        <v>52</v>
      </c>
      <c r="W396" s="2" t="n">
        <v>27.98</v>
      </c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customFormat="false" ht="15" hidden="false" customHeight="false" outlineLevel="0" collapsed="false">
      <c r="A397" s="2" t="s">
        <v>1476</v>
      </c>
      <c r="B397" s="2" t="s">
        <v>1472</v>
      </c>
      <c r="C397" s="2" t="s">
        <v>38</v>
      </c>
      <c r="D397" s="2" t="s">
        <v>1473</v>
      </c>
      <c r="E397" s="2" t="s">
        <v>40</v>
      </c>
      <c r="F397" s="2" t="s">
        <v>41</v>
      </c>
      <c r="G397" s="2" t="s">
        <v>42</v>
      </c>
      <c r="H397" s="2" t="s">
        <v>175</v>
      </c>
      <c r="I397" s="2" t="s">
        <v>44</v>
      </c>
      <c r="J397" s="2" t="s">
        <v>160</v>
      </c>
      <c r="K397" s="2"/>
      <c r="L397" s="2" t="s">
        <v>1474</v>
      </c>
      <c r="M397" s="2" t="s">
        <v>1464</v>
      </c>
      <c r="N397" s="2" t="s">
        <v>48</v>
      </c>
      <c r="O397" s="2" t="s">
        <v>49</v>
      </c>
      <c r="P397" s="2" t="s">
        <v>354</v>
      </c>
      <c r="Q397" s="2" t="s">
        <v>1465</v>
      </c>
      <c r="R397" s="2" t="s">
        <v>1466</v>
      </c>
      <c r="S397" s="2" t="s">
        <v>1475</v>
      </c>
      <c r="T397" s="2" t="n">
        <v>41.5</v>
      </c>
      <c r="U397" s="2" t="n">
        <v>6.9</v>
      </c>
      <c r="V397" s="2" t="s">
        <v>52</v>
      </c>
      <c r="W397" s="2" t="n">
        <v>26.61</v>
      </c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customFormat="false" ht="15" hidden="false" customHeight="false" outlineLevel="0" collapsed="false">
      <c r="A398" s="2" t="s">
        <v>1477</v>
      </c>
      <c r="B398" s="2" t="s">
        <v>1472</v>
      </c>
      <c r="C398" s="2" t="s">
        <v>38</v>
      </c>
      <c r="D398" s="2" t="s">
        <v>1473</v>
      </c>
      <c r="E398" s="2" t="s">
        <v>40</v>
      </c>
      <c r="F398" s="2" t="s">
        <v>41</v>
      </c>
      <c r="G398" s="2" t="s">
        <v>42</v>
      </c>
      <c r="H398" s="2" t="s">
        <v>175</v>
      </c>
      <c r="I398" s="2" t="s">
        <v>44</v>
      </c>
      <c r="J398" s="2" t="s">
        <v>160</v>
      </c>
      <c r="K398" s="2"/>
      <c r="L398" s="2" t="s">
        <v>1474</v>
      </c>
      <c r="M398" s="2" t="s">
        <v>1464</v>
      </c>
      <c r="N398" s="2" t="s">
        <v>48</v>
      </c>
      <c r="O398" s="2" t="s">
        <v>49</v>
      </c>
      <c r="P398" s="2" t="s">
        <v>354</v>
      </c>
      <c r="Q398" s="2" t="s">
        <v>1465</v>
      </c>
      <c r="R398" s="2" t="s">
        <v>1466</v>
      </c>
      <c r="S398" s="2" t="s">
        <v>1475</v>
      </c>
      <c r="T398" s="2" t="n">
        <v>40.4</v>
      </c>
      <c r="U398" s="2" t="n">
        <v>6.8</v>
      </c>
      <c r="V398" s="2" t="s">
        <v>52</v>
      </c>
      <c r="W398" s="2" t="n">
        <v>27.98</v>
      </c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customFormat="false" ht="15" hidden="false" customHeight="false" outlineLevel="0" collapsed="false">
      <c r="A399" s="2" t="s">
        <v>1478</v>
      </c>
      <c r="B399" s="2" t="s">
        <v>1479</v>
      </c>
      <c r="C399" s="2" t="s">
        <v>38</v>
      </c>
      <c r="D399" s="2" t="s">
        <v>1480</v>
      </c>
      <c r="E399" s="2" t="s">
        <v>40</v>
      </c>
      <c r="F399" s="2" t="s">
        <v>41</v>
      </c>
      <c r="G399" s="2" t="s">
        <v>42</v>
      </c>
      <c r="H399" s="2" t="s">
        <v>159</v>
      </c>
      <c r="I399" s="2" t="s">
        <v>44</v>
      </c>
      <c r="J399" s="2" t="s">
        <v>160</v>
      </c>
      <c r="K399" s="2"/>
      <c r="L399" s="2" t="s">
        <v>1481</v>
      </c>
      <c r="M399" s="2" t="s">
        <v>1482</v>
      </c>
      <c r="N399" s="2" t="s">
        <v>48</v>
      </c>
      <c r="O399" s="2" t="s">
        <v>163</v>
      </c>
      <c r="P399" s="2" t="s">
        <v>354</v>
      </c>
      <c r="Q399" s="2" t="s">
        <v>1483</v>
      </c>
      <c r="R399" s="2" t="s">
        <v>1484</v>
      </c>
      <c r="S399" s="2" t="s">
        <v>1485</v>
      </c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 t="n">
        <v>1.3</v>
      </c>
      <c r="AG399" s="2"/>
      <c r="AH399" s="2"/>
      <c r="AI399" s="2"/>
      <c r="AJ399" s="2"/>
    </row>
    <row r="400" customFormat="false" ht="15" hidden="false" customHeight="false" outlineLevel="0" collapsed="false">
      <c r="A400" s="2" t="s">
        <v>1486</v>
      </c>
      <c r="B400" s="2" t="s">
        <v>1479</v>
      </c>
      <c r="C400" s="2" t="s">
        <v>38</v>
      </c>
      <c r="D400" s="2" t="s">
        <v>1487</v>
      </c>
      <c r="E400" s="2" t="s">
        <v>40</v>
      </c>
      <c r="F400" s="2" t="s">
        <v>41</v>
      </c>
      <c r="G400" s="2" t="s">
        <v>42</v>
      </c>
      <c r="H400" s="2" t="s">
        <v>159</v>
      </c>
      <c r="I400" s="2" t="s">
        <v>44</v>
      </c>
      <c r="J400" s="2" t="s">
        <v>160</v>
      </c>
      <c r="K400" s="2"/>
      <c r="L400" s="2" t="s">
        <v>1481</v>
      </c>
      <c r="M400" s="2" t="s">
        <v>1482</v>
      </c>
      <c r="N400" s="2" t="s">
        <v>48</v>
      </c>
      <c r="O400" s="2" t="s">
        <v>163</v>
      </c>
      <c r="P400" s="2" t="s">
        <v>354</v>
      </c>
      <c r="Q400" s="2" t="s">
        <v>1483</v>
      </c>
      <c r="R400" s="2" t="s">
        <v>1484</v>
      </c>
      <c r="S400" s="2" t="s">
        <v>1485</v>
      </c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 t="n">
        <v>1.289</v>
      </c>
      <c r="AG400" s="2"/>
      <c r="AH400" s="2"/>
      <c r="AI400" s="2"/>
      <c r="AJ400" s="2"/>
    </row>
    <row r="401" customFormat="false" ht="15" hidden="false" customHeight="false" outlineLevel="0" collapsed="false">
      <c r="A401" s="2" t="s">
        <v>1488</v>
      </c>
      <c r="B401" s="2" t="s">
        <v>1479</v>
      </c>
      <c r="C401" s="2" t="s">
        <v>38</v>
      </c>
      <c r="D401" s="2" t="s">
        <v>1489</v>
      </c>
      <c r="E401" s="2" t="s">
        <v>40</v>
      </c>
      <c r="F401" s="2" t="s">
        <v>41</v>
      </c>
      <c r="G401" s="2" t="s">
        <v>42</v>
      </c>
      <c r="H401" s="2" t="s">
        <v>159</v>
      </c>
      <c r="I401" s="2" t="s">
        <v>44</v>
      </c>
      <c r="J401" s="2" t="s">
        <v>160</v>
      </c>
      <c r="K401" s="2"/>
      <c r="L401" s="2" t="s">
        <v>1481</v>
      </c>
      <c r="M401" s="2" t="s">
        <v>1482</v>
      </c>
      <c r="N401" s="2" t="s">
        <v>48</v>
      </c>
      <c r="O401" s="2" t="s">
        <v>163</v>
      </c>
      <c r="P401" s="2" t="s">
        <v>354</v>
      </c>
      <c r="Q401" s="2" t="s">
        <v>1483</v>
      </c>
      <c r="R401" s="2" t="s">
        <v>1484</v>
      </c>
      <c r="S401" s="2" t="s">
        <v>1485</v>
      </c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 t="n">
        <v>1.295</v>
      </c>
      <c r="AG401" s="2"/>
      <c r="AH401" s="2"/>
      <c r="AI401" s="2"/>
      <c r="AJ401" s="2"/>
    </row>
    <row r="402" customFormat="false" ht="15" hidden="false" customHeight="false" outlineLevel="0" collapsed="false">
      <c r="A402" s="2" t="s">
        <v>1490</v>
      </c>
      <c r="B402" s="2" t="s">
        <v>1491</v>
      </c>
      <c r="C402" s="2" t="s">
        <v>38</v>
      </c>
      <c r="D402" s="2" t="s">
        <v>1492</v>
      </c>
      <c r="E402" s="2" t="s">
        <v>40</v>
      </c>
      <c r="F402" s="2" t="s">
        <v>41</v>
      </c>
      <c r="G402" s="2" t="s">
        <v>42</v>
      </c>
      <c r="H402" s="2" t="s">
        <v>175</v>
      </c>
      <c r="I402" s="2" t="s">
        <v>44</v>
      </c>
      <c r="J402" s="2" t="s">
        <v>160</v>
      </c>
      <c r="K402" s="2"/>
      <c r="L402" s="2" t="s">
        <v>1493</v>
      </c>
      <c r="M402" s="2" t="s">
        <v>1482</v>
      </c>
      <c r="N402" s="2" t="s">
        <v>48</v>
      </c>
      <c r="O402" s="2" t="s">
        <v>49</v>
      </c>
      <c r="P402" s="2" t="s">
        <v>354</v>
      </c>
      <c r="Q402" s="2" t="s">
        <v>1483</v>
      </c>
      <c r="R402" s="2" t="s">
        <v>1484</v>
      </c>
      <c r="S402" s="2" t="s">
        <v>1485</v>
      </c>
      <c r="T402" s="2" t="n">
        <v>41.6</v>
      </c>
      <c r="U402" s="2" t="n">
        <v>5.7</v>
      </c>
      <c r="V402" s="2" t="s">
        <v>52</v>
      </c>
      <c r="W402" s="2" t="n">
        <v>26.23</v>
      </c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customFormat="false" ht="15" hidden="false" customHeight="false" outlineLevel="0" collapsed="false">
      <c r="A403" s="2" t="s">
        <v>1494</v>
      </c>
      <c r="B403" s="2" t="s">
        <v>1491</v>
      </c>
      <c r="C403" s="2" t="s">
        <v>38</v>
      </c>
      <c r="D403" s="2" t="s">
        <v>1495</v>
      </c>
      <c r="E403" s="2" t="s">
        <v>40</v>
      </c>
      <c r="F403" s="2" t="s">
        <v>41</v>
      </c>
      <c r="G403" s="2" t="s">
        <v>42</v>
      </c>
      <c r="H403" s="2" t="s">
        <v>175</v>
      </c>
      <c r="I403" s="2" t="s">
        <v>44</v>
      </c>
      <c r="J403" s="2" t="s">
        <v>160</v>
      </c>
      <c r="K403" s="2"/>
      <c r="L403" s="2" t="s">
        <v>1493</v>
      </c>
      <c r="M403" s="2" t="s">
        <v>1482</v>
      </c>
      <c r="N403" s="2" t="s">
        <v>48</v>
      </c>
      <c r="O403" s="2" t="s">
        <v>49</v>
      </c>
      <c r="P403" s="2" t="s">
        <v>354</v>
      </c>
      <c r="Q403" s="2" t="s">
        <v>1483</v>
      </c>
      <c r="R403" s="2" t="s">
        <v>1484</v>
      </c>
      <c r="S403" s="2" t="s">
        <v>1485</v>
      </c>
      <c r="T403" s="2" t="n">
        <v>41.3</v>
      </c>
      <c r="U403" s="2" t="n">
        <v>5.9</v>
      </c>
      <c r="V403" s="2" t="s">
        <v>52</v>
      </c>
      <c r="W403" s="2" t="n">
        <v>22.03</v>
      </c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customFormat="false" ht="15" hidden="false" customHeight="false" outlineLevel="0" collapsed="false">
      <c r="A404" s="2" t="s">
        <v>1496</v>
      </c>
      <c r="B404" s="2" t="s">
        <v>1491</v>
      </c>
      <c r="C404" s="2" t="s">
        <v>38</v>
      </c>
      <c r="D404" s="2" t="s">
        <v>1497</v>
      </c>
      <c r="E404" s="2" t="s">
        <v>40</v>
      </c>
      <c r="F404" s="2" t="s">
        <v>41</v>
      </c>
      <c r="G404" s="2" t="s">
        <v>42</v>
      </c>
      <c r="H404" s="2" t="s">
        <v>175</v>
      </c>
      <c r="I404" s="2" t="s">
        <v>44</v>
      </c>
      <c r="J404" s="2" t="s">
        <v>160</v>
      </c>
      <c r="K404" s="2"/>
      <c r="L404" s="2" t="s">
        <v>1493</v>
      </c>
      <c r="M404" s="2" t="s">
        <v>1482</v>
      </c>
      <c r="N404" s="2" t="s">
        <v>48</v>
      </c>
      <c r="O404" s="2" t="s">
        <v>49</v>
      </c>
      <c r="P404" s="2" t="s">
        <v>354</v>
      </c>
      <c r="Q404" s="2" t="s">
        <v>1483</v>
      </c>
      <c r="R404" s="2" t="s">
        <v>1484</v>
      </c>
      <c r="S404" s="2" t="s">
        <v>1485</v>
      </c>
      <c r="T404" s="2" t="n">
        <v>41.8</v>
      </c>
      <c r="U404" s="2" t="n">
        <v>6.3</v>
      </c>
      <c r="V404" s="2" t="s">
        <v>52</v>
      </c>
      <c r="W404" s="2" t="n">
        <v>24.4</v>
      </c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customFormat="false" ht="15" hidden="false" customHeight="false" outlineLevel="0" collapsed="false">
      <c r="A405" s="2" t="s">
        <v>1498</v>
      </c>
      <c r="B405" s="2" t="s">
        <v>1491</v>
      </c>
      <c r="C405" s="2" t="s">
        <v>38</v>
      </c>
      <c r="D405" s="2" t="s">
        <v>1499</v>
      </c>
      <c r="E405" s="2" t="s">
        <v>40</v>
      </c>
      <c r="F405" s="2" t="s">
        <v>41</v>
      </c>
      <c r="G405" s="2" t="s">
        <v>1500</v>
      </c>
      <c r="H405" s="2" t="s">
        <v>159</v>
      </c>
      <c r="I405" s="2" t="s">
        <v>44</v>
      </c>
      <c r="J405" s="2" t="s">
        <v>160</v>
      </c>
      <c r="K405" s="2"/>
      <c r="L405" s="2"/>
      <c r="M405" s="2" t="s">
        <v>1501</v>
      </c>
      <c r="N405" s="2" t="s">
        <v>48</v>
      </c>
      <c r="O405" s="2" t="s">
        <v>163</v>
      </c>
      <c r="P405" s="2" t="s">
        <v>354</v>
      </c>
      <c r="Q405" s="2" t="s">
        <v>1502</v>
      </c>
      <c r="R405" s="2" t="s">
        <v>1503</v>
      </c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customFormat="false" ht="15" hidden="false" customHeight="false" outlineLevel="0" collapsed="false">
      <c r="A406" s="2" t="s">
        <v>1504</v>
      </c>
      <c r="B406" s="2" t="s">
        <v>1491</v>
      </c>
      <c r="C406" s="2" t="s">
        <v>38</v>
      </c>
      <c r="D406" s="2" t="s">
        <v>1505</v>
      </c>
      <c r="E406" s="2" t="s">
        <v>40</v>
      </c>
      <c r="F406" s="2" t="s">
        <v>41</v>
      </c>
      <c r="G406" s="2" t="s">
        <v>42</v>
      </c>
      <c r="H406" s="2" t="s">
        <v>159</v>
      </c>
      <c r="I406" s="2" t="s">
        <v>44</v>
      </c>
      <c r="J406" s="2" t="s">
        <v>160</v>
      </c>
      <c r="K406" s="2"/>
      <c r="L406" s="2"/>
      <c r="M406" s="2" t="s">
        <v>1501</v>
      </c>
      <c r="N406" s="2" t="s">
        <v>48</v>
      </c>
      <c r="O406" s="2" t="s">
        <v>163</v>
      </c>
      <c r="P406" s="2" t="s">
        <v>354</v>
      </c>
      <c r="Q406" s="2" t="s">
        <v>1502</v>
      </c>
      <c r="R406" s="2" t="s">
        <v>1503</v>
      </c>
      <c r="S406" s="2" t="s">
        <v>1467</v>
      </c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 t="n">
        <v>1.296</v>
      </c>
      <c r="AG406" s="2"/>
      <c r="AH406" s="2"/>
      <c r="AI406" s="2"/>
      <c r="AJ406" s="2"/>
    </row>
    <row r="407" customFormat="false" ht="15" hidden="false" customHeight="false" outlineLevel="0" collapsed="false">
      <c r="A407" s="2" t="s">
        <v>1506</v>
      </c>
      <c r="B407" s="2" t="s">
        <v>1491</v>
      </c>
      <c r="C407" s="2" t="s">
        <v>38</v>
      </c>
      <c r="D407" s="2" t="s">
        <v>1507</v>
      </c>
      <c r="E407" s="2" t="s">
        <v>40</v>
      </c>
      <c r="F407" s="2" t="s">
        <v>41</v>
      </c>
      <c r="G407" s="2" t="s">
        <v>42</v>
      </c>
      <c r="H407" s="2" t="s">
        <v>159</v>
      </c>
      <c r="I407" s="2" t="s">
        <v>44</v>
      </c>
      <c r="J407" s="2" t="s">
        <v>160</v>
      </c>
      <c r="K407" s="2"/>
      <c r="L407" s="2"/>
      <c r="M407" s="2" t="s">
        <v>1501</v>
      </c>
      <c r="N407" s="2" t="s">
        <v>48</v>
      </c>
      <c r="O407" s="2" t="s">
        <v>163</v>
      </c>
      <c r="P407" s="2" t="s">
        <v>354</v>
      </c>
      <c r="Q407" s="2" t="s">
        <v>1502</v>
      </c>
      <c r="R407" s="2" t="s">
        <v>1503</v>
      </c>
      <c r="S407" s="2" t="s">
        <v>1467</v>
      </c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 t="n">
        <v>1.299</v>
      </c>
      <c r="AG407" s="2"/>
      <c r="AH407" s="2"/>
      <c r="AI407" s="2"/>
      <c r="AJ407" s="2"/>
    </row>
    <row r="408" customFormat="false" ht="15" hidden="false" customHeight="false" outlineLevel="0" collapsed="false">
      <c r="A408" s="2" t="s">
        <v>1508</v>
      </c>
      <c r="B408" s="2" t="s">
        <v>1509</v>
      </c>
      <c r="C408" s="2" t="s">
        <v>38</v>
      </c>
      <c r="D408" s="2" t="s">
        <v>1510</v>
      </c>
      <c r="E408" s="2" t="s">
        <v>40</v>
      </c>
      <c r="F408" s="2" t="s">
        <v>41</v>
      </c>
      <c r="G408" s="2" t="s">
        <v>42</v>
      </c>
      <c r="H408" s="2" t="s">
        <v>175</v>
      </c>
      <c r="I408" s="2" t="s">
        <v>44</v>
      </c>
      <c r="J408" s="2" t="s">
        <v>160</v>
      </c>
      <c r="K408" s="2"/>
      <c r="L408" s="2"/>
      <c r="M408" s="2" t="s">
        <v>1501</v>
      </c>
      <c r="N408" s="2" t="s">
        <v>48</v>
      </c>
      <c r="O408" s="2" t="s">
        <v>49</v>
      </c>
      <c r="P408" s="2" t="s">
        <v>354</v>
      </c>
      <c r="Q408" s="2" t="s">
        <v>1502</v>
      </c>
      <c r="R408" s="2" t="s">
        <v>1503</v>
      </c>
      <c r="S408" s="2" t="s">
        <v>1475</v>
      </c>
      <c r="T408" s="2" t="n">
        <v>40.4</v>
      </c>
      <c r="U408" s="2" t="n">
        <v>6.5</v>
      </c>
      <c r="V408" s="2" t="s">
        <v>52</v>
      </c>
      <c r="W408" s="2" t="n">
        <v>26.72</v>
      </c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customFormat="false" ht="15" hidden="false" customHeight="false" outlineLevel="0" collapsed="false">
      <c r="A409" s="2" t="s">
        <v>1511</v>
      </c>
      <c r="B409" s="2" t="s">
        <v>1509</v>
      </c>
      <c r="C409" s="2" t="s">
        <v>38</v>
      </c>
      <c r="D409" s="2" t="s">
        <v>1512</v>
      </c>
      <c r="E409" s="2" t="s">
        <v>40</v>
      </c>
      <c r="F409" s="2" t="s">
        <v>41</v>
      </c>
      <c r="G409" s="2" t="s">
        <v>42</v>
      </c>
      <c r="H409" s="2" t="s">
        <v>175</v>
      </c>
      <c r="I409" s="2" t="s">
        <v>44</v>
      </c>
      <c r="J409" s="2" t="s">
        <v>160</v>
      </c>
      <c r="K409" s="2"/>
      <c r="L409" s="2"/>
      <c r="M409" s="2" t="s">
        <v>1501</v>
      </c>
      <c r="N409" s="2" t="s">
        <v>48</v>
      </c>
      <c r="O409" s="2" t="s">
        <v>49</v>
      </c>
      <c r="P409" s="2" t="s">
        <v>354</v>
      </c>
      <c r="Q409" s="2" t="s">
        <v>1502</v>
      </c>
      <c r="R409" s="2" t="s">
        <v>1503</v>
      </c>
      <c r="S409" s="2" t="s">
        <v>1475</v>
      </c>
      <c r="T409" s="2" t="n">
        <v>42.3</v>
      </c>
      <c r="U409" s="2" t="n">
        <v>7.2</v>
      </c>
      <c r="V409" s="2" t="s">
        <v>52</v>
      </c>
      <c r="W409" s="2" t="n">
        <v>26.92</v>
      </c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customFormat="false" ht="15" hidden="false" customHeight="false" outlineLevel="0" collapsed="false">
      <c r="A410" s="2" t="s">
        <v>1513</v>
      </c>
      <c r="B410" s="2" t="s">
        <v>1509</v>
      </c>
      <c r="C410" s="2" t="s">
        <v>38</v>
      </c>
      <c r="D410" s="2" t="s">
        <v>1514</v>
      </c>
      <c r="E410" s="2" t="s">
        <v>40</v>
      </c>
      <c r="F410" s="2" t="s">
        <v>41</v>
      </c>
      <c r="G410" s="2" t="s">
        <v>42</v>
      </c>
      <c r="H410" s="2" t="s">
        <v>175</v>
      </c>
      <c r="I410" s="2" t="s">
        <v>44</v>
      </c>
      <c r="J410" s="2" t="s">
        <v>160</v>
      </c>
      <c r="K410" s="2"/>
      <c r="L410" s="2"/>
      <c r="M410" s="2" t="s">
        <v>1501</v>
      </c>
      <c r="N410" s="2" t="s">
        <v>48</v>
      </c>
      <c r="O410" s="2" t="s">
        <v>49</v>
      </c>
      <c r="P410" s="2" t="s">
        <v>354</v>
      </c>
      <c r="Q410" s="2" t="s">
        <v>1502</v>
      </c>
      <c r="R410" s="2" t="s">
        <v>1503</v>
      </c>
      <c r="S410" s="2" t="s">
        <v>1475</v>
      </c>
      <c r="T410" s="2" t="n">
        <v>48.1</v>
      </c>
      <c r="U410" s="2" t="n">
        <v>8.4</v>
      </c>
      <c r="V410" s="2" t="s">
        <v>52</v>
      </c>
      <c r="W410" s="2" t="n">
        <v>26.54</v>
      </c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customFormat="false" ht="15" hidden="false" customHeight="false" outlineLevel="0" collapsed="false">
      <c r="A411" s="2" t="s">
        <v>1515</v>
      </c>
      <c r="B411" s="2" t="s">
        <v>1516</v>
      </c>
      <c r="C411" s="2" t="s">
        <v>38</v>
      </c>
      <c r="D411" s="2" t="s">
        <v>1517</v>
      </c>
      <c r="E411" s="2" t="s">
        <v>40</v>
      </c>
      <c r="F411" s="2" t="s">
        <v>41</v>
      </c>
      <c r="G411" s="2" t="s">
        <v>42</v>
      </c>
      <c r="H411" s="2" t="s">
        <v>1518</v>
      </c>
      <c r="I411" s="2" t="s">
        <v>44</v>
      </c>
      <c r="J411" s="2" t="s">
        <v>160</v>
      </c>
      <c r="K411" s="2"/>
      <c r="L411" s="2" t="s">
        <v>1519</v>
      </c>
      <c r="M411" s="2" t="s">
        <v>1520</v>
      </c>
      <c r="N411" s="2" t="s">
        <v>48</v>
      </c>
      <c r="O411" s="2" t="s">
        <v>163</v>
      </c>
      <c r="P411" s="2"/>
      <c r="Q411" s="2" t="s">
        <v>1521</v>
      </c>
      <c r="R411" s="2" t="s">
        <v>1522</v>
      </c>
      <c r="S411" s="2" t="s">
        <v>1523</v>
      </c>
      <c r="T411" s="2" t="n">
        <v>25.2</v>
      </c>
      <c r="U411" s="2" t="n">
        <v>6.6</v>
      </c>
      <c r="V411" s="2"/>
      <c r="W411" s="2" t="n">
        <v>33.41</v>
      </c>
      <c r="X411" s="2"/>
      <c r="Y411" s="2"/>
      <c r="Z411" s="2"/>
      <c r="AA411" s="2"/>
      <c r="AB411" s="2"/>
      <c r="AC411" s="2"/>
      <c r="AD411" s="2"/>
      <c r="AE411" s="2"/>
      <c r="AF411" s="2" t="n">
        <v>1.298</v>
      </c>
      <c r="AG411" s="2"/>
      <c r="AH411" s="2"/>
      <c r="AI411" s="2"/>
      <c r="AJ411" s="2"/>
    </row>
    <row r="412" customFormat="false" ht="15" hidden="false" customHeight="false" outlineLevel="0" collapsed="false">
      <c r="A412" s="2" t="s">
        <v>1524</v>
      </c>
      <c r="B412" s="2" t="s">
        <v>1516</v>
      </c>
      <c r="C412" s="2" t="s">
        <v>38</v>
      </c>
      <c r="D412" s="2" t="s">
        <v>1525</v>
      </c>
      <c r="E412" s="2" t="s">
        <v>40</v>
      </c>
      <c r="F412" s="2" t="s">
        <v>41</v>
      </c>
      <c r="G412" s="2" t="s">
        <v>42</v>
      </c>
      <c r="H412" s="2" t="s">
        <v>457</v>
      </c>
      <c r="I412" s="2" t="s">
        <v>44</v>
      </c>
      <c r="J412" s="2" t="s">
        <v>160</v>
      </c>
      <c r="K412" s="2"/>
      <c r="L412" s="2" t="s">
        <v>1519</v>
      </c>
      <c r="M412" s="2" t="s">
        <v>1520</v>
      </c>
      <c r="N412" s="2" t="s">
        <v>48</v>
      </c>
      <c r="O412" s="2" t="s">
        <v>49</v>
      </c>
      <c r="P412" s="2" t="s">
        <v>354</v>
      </c>
      <c r="Q412" s="2" t="s">
        <v>1526</v>
      </c>
      <c r="R412" s="2" t="s">
        <v>1527</v>
      </c>
      <c r="S412" s="2" t="s">
        <v>1528</v>
      </c>
      <c r="T412" s="2" t="n">
        <v>41.7</v>
      </c>
      <c r="U412" s="2" t="n">
        <v>7.1</v>
      </c>
      <c r="V412" s="2" t="s">
        <v>52</v>
      </c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customFormat="false" ht="15" hidden="false" customHeight="false" outlineLevel="0" collapsed="false">
      <c r="A413" s="2" t="s">
        <v>1529</v>
      </c>
      <c r="B413" s="2" t="s">
        <v>1516</v>
      </c>
      <c r="C413" s="2" t="s">
        <v>38</v>
      </c>
      <c r="D413" s="2" t="s">
        <v>1530</v>
      </c>
      <c r="E413" s="2" t="s">
        <v>40</v>
      </c>
      <c r="F413" s="2" t="s">
        <v>41</v>
      </c>
      <c r="G413" s="2" t="s">
        <v>42</v>
      </c>
      <c r="H413" s="2" t="s">
        <v>1518</v>
      </c>
      <c r="I413" s="2" t="s">
        <v>44</v>
      </c>
      <c r="J413" s="2" t="s">
        <v>160</v>
      </c>
      <c r="K413" s="2"/>
      <c r="L413" s="2" t="s">
        <v>1519</v>
      </c>
      <c r="M413" s="2" t="s">
        <v>1520</v>
      </c>
      <c r="N413" s="2" t="s">
        <v>48</v>
      </c>
      <c r="O413" s="2" t="s">
        <v>163</v>
      </c>
      <c r="P413" s="2"/>
      <c r="Q413" s="2" t="s">
        <v>1521</v>
      </c>
      <c r="R413" s="2" t="s">
        <v>1522</v>
      </c>
      <c r="S413" s="2" t="s">
        <v>1523</v>
      </c>
      <c r="T413" s="2" t="n">
        <v>25.4</v>
      </c>
      <c r="U413" s="2" t="n">
        <v>6.8</v>
      </c>
      <c r="V413" s="2" t="s">
        <v>52</v>
      </c>
      <c r="W413" s="2" t="n">
        <v>43.43</v>
      </c>
      <c r="X413" s="2"/>
      <c r="Y413" s="2"/>
      <c r="Z413" s="2"/>
      <c r="AA413" s="2"/>
      <c r="AB413" s="2"/>
      <c r="AC413" s="2"/>
      <c r="AD413" s="2"/>
      <c r="AE413" s="2"/>
      <c r="AF413" s="2" t="n">
        <v>1.298</v>
      </c>
      <c r="AG413" s="2"/>
      <c r="AH413" s="2"/>
      <c r="AI413" s="2"/>
      <c r="AJ413" s="2"/>
    </row>
    <row r="414" customFormat="false" ht="15" hidden="false" customHeight="false" outlineLevel="0" collapsed="false">
      <c r="A414" s="2" t="s">
        <v>1531</v>
      </c>
      <c r="B414" s="2" t="s">
        <v>1516</v>
      </c>
      <c r="C414" s="2" t="s">
        <v>38</v>
      </c>
      <c r="D414" s="2" t="s">
        <v>1532</v>
      </c>
      <c r="E414" s="2" t="s">
        <v>40</v>
      </c>
      <c r="F414" s="2" t="s">
        <v>41</v>
      </c>
      <c r="G414" s="2" t="s">
        <v>42</v>
      </c>
      <c r="H414" s="2" t="s">
        <v>457</v>
      </c>
      <c r="I414" s="2" t="s">
        <v>44</v>
      </c>
      <c r="J414" s="2" t="s">
        <v>160</v>
      </c>
      <c r="K414" s="2"/>
      <c r="L414" s="2" t="s">
        <v>1519</v>
      </c>
      <c r="M414" s="2" t="s">
        <v>1520</v>
      </c>
      <c r="N414" s="2" t="s">
        <v>48</v>
      </c>
      <c r="O414" s="2" t="s">
        <v>49</v>
      </c>
      <c r="P414" s="2" t="s">
        <v>354</v>
      </c>
      <c r="Q414" s="2" t="s">
        <v>1526</v>
      </c>
      <c r="R414" s="2" t="s">
        <v>1527</v>
      </c>
      <c r="S414" s="2" t="s">
        <v>1528</v>
      </c>
      <c r="T414" s="2" t="n">
        <v>41.4</v>
      </c>
      <c r="U414" s="2" t="n">
        <v>6.4</v>
      </c>
      <c r="V414" s="2" t="s">
        <v>52</v>
      </c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customFormat="false" ht="15" hidden="false" customHeight="false" outlineLevel="0" collapsed="false">
      <c r="A415" s="2" t="s">
        <v>1533</v>
      </c>
      <c r="B415" s="2" t="s">
        <v>1516</v>
      </c>
      <c r="C415" s="2" t="s">
        <v>38</v>
      </c>
      <c r="D415" s="2" t="s">
        <v>1534</v>
      </c>
      <c r="E415" s="2" t="s">
        <v>40</v>
      </c>
      <c r="F415" s="2" t="s">
        <v>41</v>
      </c>
      <c r="G415" s="2" t="s">
        <v>42</v>
      </c>
      <c r="H415" s="2" t="s">
        <v>457</v>
      </c>
      <c r="I415" s="2" t="s">
        <v>44</v>
      </c>
      <c r="J415" s="2" t="s">
        <v>160</v>
      </c>
      <c r="K415" s="2"/>
      <c r="L415" s="2" t="s">
        <v>1519</v>
      </c>
      <c r="M415" s="2" t="s">
        <v>1520</v>
      </c>
      <c r="N415" s="2" t="s">
        <v>48</v>
      </c>
      <c r="O415" s="2" t="s">
        <v>49</v>
      </c>
      <c r="P415" s="2" t="s">
        <v>354</v>
      </c>
      <c r="Q415" s="2" t="s">
        <v>1526</v>
      </c>
      <c r="R415" s="2" t="s">
        <v>1527</v>
      </c>
      <c r="S415" s="2" t="s">
        <v>1528</v>
      </c>
      <c r="T415" s="2" t="n">
        <v>41.8</v>
      </c>
      <c r="U415" s="2" t="n">
        <v>6.6</v>
      </c>
      <c r="V415" s="2" t="s">
        <v>52</v>
      </c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customFormat="false" ht="15" hidden="false" customHeight="false" outlineLevel="0" collapsed="false">
      <c r="A416" s="2" t="s">
        <v>1535</v>
      </c>
      <c r="B416" s="2" t="s">
        <v>1516</v>
      </c>
      <c r="C416" s="2" t="s">
        <v>38</v>
      </c>
      <c r="D416" s="2" t="s">
        <v>1536</v>
      </c>
      <c r="E416" s="2" t="s">
        <v>40</v>
      </c>
      <c r="F416" s="2" t="s">
        <v>41</v>
      </c>
      <c r="G416" s="2" t="s">
        <v>42</v>
      </c>
      <c r="H416" s="2" t="s">
        <v>1518</v>
      </c>
      <c r="I416" s="2" t="s">
        <v>44</v>
      </c>
      <c r="J416" s="2" t="s">
        <v>160</v>
      </c>
      <c r="K416" s="2"/>
      <c r="L416" s="2" t="s">
        <v>1519</v>
      </c>
      <c r="M416" s="2" t="s">
        <v>1520</v>
      </c>
      <c r="N416" s="2" t="s">
        <v>48</v>
      </c>
      <c r="O416" s="2" t="s">
        <v>163</v>
      </c>
      <c r="P416" s="2"/>
      <c r="Q416" s="2" t="s">
        <v>1521</v>
      </c>
      <c r="R416" s="2" t="s">
        <v>1522</v>
      </c>
      <c r="S416" s="2" t="s">
        <v>1523</v>
      </c>
      <c r="T416" s="2" t="n">
        <v>25.3</v>
      </c>
      <c r="U416" s="2" t="n">
        <v>6.6</v>
      </c>
      <c r="V416" s="2" t="s">
        <v>52</v>
      </c>
      <c r="W416" s="2" t="n">
        <v>30.93</v>
      </c>
      <c r="X416" s="2"/>
      <c r="Y416" s="2"/>
      <c r="Z416" s="2"/>
      <c r="AA416" s="2"/>
      <c r="AB416" s="2"/>
      <c r="AC416" s="2"/>
      <c r="AD416" s="2"/>
      <c r="AE416" s="2"/>
      <c r="AF416" s="2" t="n">
        <v>1.282</v>
      </c>
      <c r="AG416" s="2"/>
      <c r="AH416" s="2"/>
      <c r="AI416" s="2"/>
      <c r="AJ416" s="2"/>
    </row>
    <row r="417" customFormat="false" ht="15" hidden="false" customHeight="false" outlineLevel="0" collapsed="false">
      <c r="A417" s="2" t="s">
        <v>1537</v>
      </c>
      <c r="B417" s="2" t="s">
        <v>1538</v>
      </c>
      <c r="C417" s="2" t="s">
        <v>38</v>
      </c>
      <c r="D417" s="2" t="s">
        <v>1539</v>
      </c>
      <c r="E417" s="2" t="s">
        <v>40</v>
      </c>
      <c r="F417" s="2" t="s">
        <v>41</v>
      </c>
      <c r="G417" s="2" t="s">
        <v>42</v>
      </c>
      <c r="H417" s="2" t="s">
        <v>1518</v>
      </c>
      <c r="I417" s="2" t="s">
        <v>44</v>
      </c>
      <c r="J417" s="2" t="s">
        <v>160</v>
      </c>
      <c r="K417" s="2"/>
      <c r="L417" s="2" t="s">
        <v>1540</v>
      </c>
      <c r="M417" s="2" t="s">
        <v>1541</v>
      </c>
      <c r="N417" s="2" t="s">
        <v>48</v>
      </c>
      <c r="O417" s="2" t="s">
        <v>163</v>
      </c>
      <c r="P417" s="2" t="s">
        <v>354</v>
      </c>
      <c r="Q417" s="2" t="s">
        <v>1542</v>
      </c>
      <c r="R417" s="2" t="s">
        <v>1543</v>
      </c>
      <c r="S417" s="2" t="s">
        <v>1544</v>
      </c>
      <c r="T417" s="2" t="n">
        <v>23.6</v>
      </c>
      <c r="U417" s="2" t="n">
        <v>4.6</v>
      </c>
      <c r="V417" s="2" t="s">
        <v>52</v>
      </c>
      <c r="W417" s="2" t="n">
        <v>30.62</v>
      </c>
      <c r="X417" s="2"/>
      <c r="Y417" s="2"/>
      <c r="Z417" s="2"/>
      <c r="AA417" s="2"/>
      <c r="AB417" s="2"/>
      <c r="AC417" s="2"/>
      <c r="AD417" s="2"/>
      <c r="AE417" s="2"/>
      <c r="AF417" s="2" t="n">
        <v>1.299</v>
      </c>
      <c r="AG417" s="2"/>
      <c r="AH417" s="2"/>
      <c r="AI417" s="2"/>
      <c r="AJ417" s="2"/>
    </row>
    <row r="418" customFormat="false" ht="15" hidden="false" customHeight="false" outlineLevel="0" collapsed="false">
      <c r="A418" s="2" t="s">
        <v>1545</v>
      </c>
      <c r="B418" s="2" t="s">
        <v>1538</v>
      </c>
      <c r="C418" s="2" t="s">
        <v>38</v>
      </c>
      <c r="D418" s="2" t="s">
        <v>1546</v>
      </c>
      <c r="E418" s="2" t="s">
        <v>40</v>
      </c>
      <c r="F418" s="2" t="s">
        <v>41</v>
      </c>
      <c r="G418" s="2" t="s">
        <v>42</v>
      </c>
      <c r="H418" s="2" t="s">
        <v>457</v>
      </c>
      <c r="I418" s="2" t="s">
        <v>44</v>
      </c>
      <c r="J418" s="2" t="s">
        <v>160</v>
      </c>
      <c r="K418" s="2"/>
      <c r="L418" s="2" t="s">
        <v>1540</v>
      </c>
      <c r="M418" s="2" t="s">
        <v>1541</v>
      </c>
      <c r="N418" s="2" t="s">
        <v>48</v>
      </c>
      <c r="O418" s="2" t="s">
        <v>49</v>
      </c>
      <c r="P418" s="2" t="s">
        <v>354</v>
      </c>
      <c r="Q418" s="2" t="s">
        <v>1547</v>
      </c>
      <c r="R418" s="2" t="s">
        <v>1548</v>
      </c>
      <c r="S418" s="2" t="s">
        <v>1528</v>
      </c>
      <c r="T418" s="2" t="n">
        <v>42.7</v>
      </c>
      <c r="U418" s="2" t="n">
        <v>6.9</v>
      </c>
      <c r="V418" s="2" t="s">
        <v>52</v>
      </c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customFormat="false" ht="15" hidden="false" customHeight="false" outlineLevel="0" collapsed="false">
      <c r="A419" s="2" t="s">
        <v>1549</v>
      </c>
      <c r="B419" s="2" t="s">
        <v>1538</v>
      </c>
      <c r="C419" s="2" t="s">
        <v>38</v>
      </c>
      <c r="D419" s="2" t="s">
        <v>1550</v>
      </c>
      <c r="E419" s="2" t="s">
        <v>40</v>
      </c>
      <c r="F419" s="2" t="s">
        <v>41</v>
      </c>
      <c r="G419" s="2" t="s">
        <v>42</v>
      </c>
      <c r="H419" s="2" t="s">
        <v>1518</v>
      </c>
      <c r="I419" s="2" t="s">
        <v>44</v>
      </c>
      <c r="J419" s="2" t="s">
        <v>160</v>
      </c>
      <c r="K419" s="2"/>
      <c r="L419" s="2" t="s">
        <v>1540</v>
      </c>
      <c r="M419" s="2" t="s">
        <v>1541</v>
      </c>
      <c r="N419" s="2" t="s">
        <v>48</v>
      </c>
      <c r="O419" s="2" t="s">
        <v>163</v>
      </c>
      <c r="P419" s="2" t="s">
        <v>354</v>
      </c>
      <c r="Q419" s="2" t="s">
        <v>1542</v>
      </c>
      <c r="R419" s="2" t="s">
        <v>1543</v>
      </c>
      <c r="S419" s="2" t="s">
        <v>1544</v>
      </c>
      <c r="T419" s="2" t="n">
        <v>24.6</v>
      </c>
      <c r="U419" s="2" t="n">
        <v>5</v>
      </c>
      <c r="V419" s="2" t="s">
        <v>52</v>
      </c>
      <c r="W419" s="2" t="n">
        <v>31.58</v>
      </c>
      <c r="X419" s="2"/>
      <c r="Y419" s="2"/>
      <c r="Z419" s="2"/>
      <c r="AA419" s="2"/>
      <c r="AB419" s="2"/>
      <c r="AC419" s="2"/>
      <c r="AD419" s="2"/>
      <c r="AE419" s="2"/>
      <c r="AF419" s="2" t="n">
        <v>1.301</v>
      </c>
      <c r="AG419" s="2"/>
      <c r="AH419" s="2"/>
      <c r="AI419" s="2"/>
      <c r="AJ419" s="2"/>
    </row>
    <row r="420" customFormat="false" ht="15" hidden="false" customHeight="false" outlineLevel="0" collapsed="false">
      <c r="A420" s="2" t="s">
        <v>1551</v>
      </c>
      <c r="B420" s="2" t="s">
        <v>1538</v>
      </c>
      <c r="C420" s="2" t="s">
        <v>38</v>
      </c>
      <c r="D420" s="2" t="s">
        <v>1552</v>
      </c>
      <c r="E420" s="2" t="s">
        <v>40</v>
      </c>
      <c r="F420" s="2" t="s">
        <v>41</v>
      </c>
      <c r="G420" s="2" t="s">
        <v>42</v>
      </c>
      <c r="H420" s="2" t="s">
        <v>457</v>
      </c>
      <c r="I420" s="2" t="s">
        <v>44</v>
      </c>
      <c r="J420" s="2" t="s">
        <v>160</v>
      </c>
      <c r="K420" s="2"/>
      <c r="L420" s="2" t="s">
        <v>1540</v>
      </c>
      <c r="M420" s="2" t="s">
        <v>1541</v>
      </c>
      <c r="N420" s="2" t="s">
        <v>48</v>
      </c>
      <c r="O420" s="2" t="s">
        <v>49</v>
      </c>
      <c r="P420" s="2" t="s">
        <v>354</v>
      </c>
      <c r="Q420" s="2" t="s">
        <v>1547</v>
      </c>
      <c r="R420" s="2" t="s">
        <v>1548</v>
      </c>
      <c r="S420" s="2" t="s">
        <v>1528</v>
      </c>
      <c r="T420" s="2" t="n">
        <v>42.2</v>
      </c>
      <c r="U420" s="2" t="n">
        <v>6.7</v>
      </c>
      <c r="V420" s="2" t="s">
        <v>52</v>
      </c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customFormat="false" ht="15" hidden="false" customHeight="false" outlineLevel="0" collapsed="false">
      <c r="A421" s="2" t="s">
        <v>1553</v>
      </c>
      <c r="B421" s="2" t="s">
        <v>1538</v>
      </c>
      <c r="C421" s="2" t="s">
        <v>38</v>
      </c>
      <c r="D421" s="2" t="s">
        <v>1554</v>
      </c>
      <c r="E421" s="2" t="s">
        <v>40</v>
      </c>
      <c r="F421" s="2" t="s">
        <v>41</v>
      </c>
      <c r="G421" s="2" t="s">
        <v>42</v>
      </c>
      <c r="H421" s="2" t="s">
        <v>1518</v>
      </c>
      <c r="I421" s="2" t="s">
        <v>44</v>
      </c>
      <c r="J421" s="2" t="s">
        <v>160</v>
      </c>
      <c r="K421" s="2"/>
      <c r="L421" s="2" t="s">
        <v>1540</v>
      </c>
      <c r="M421" s="2" t="s">
        <v>1541</v>
      </c>
      <c r="N421" s="2" t="s">
        <v>48</v>
      </c>
      <c r="O421" s="2" t="s">
        <v>163</v>
      </c>
      <c r="P421" s="2" t="s">
        <v>354</v>
      </c>
      <c r="Q421" s="2" t="s">
        <v>1542</v>
      </c>
      <c r="R421" s="2" t="s">
        <v>1543</v>
      </c>
      <c r="S421" s="2" t="s">
        <v>1544</v>
      </c>
      <c r="T421" s="2" t="n">
        <v>24</v>
      </c>
      <c r="U421" s="2" t="n">
        <v>4.4</v>
      </c>
      <c r="V421" s="2" t="s">
        <v>52</v>
      </c>
      <c r="W421" s="2" t="n">
        <v>31.6</v>
      </c>
      <c r="X421" s="2"/>
      <c r="Y421" s="2"/>
      <c r="Z421" s="2"/>
      <c r="AA421" s="2"/>
      <c r="AB421" s="2"/>
      <c r="AC421" s="2"/>
      <c r="AD421" s="2"/>
      <c r="AE421" s="2"/>
      <c r="AF421" s="2" t="n">
        <v>1.292</v>
      </c>
      <c r="AG421" s="2"/>
      <c r="AH421" s="2"/>
      <c r="AI421" s="2"/>
      <c r="AJ421" s="2"/>
    </row>
    <row r="422" customFormat="false" ht="15" hidden="false" customHeight="false" outlineLevel="0" collapsed="false">
      <c r="A422" s="2" t="s">
        <v>1555</v>
      </c>
      <c r="B422" s="2" t="s">
        <v>1538</v>
      </c>
      <c r="C422" s="2" t="s">
        <v>38</v>
      </c>
      <c r="D422" s="2" t="s">
        <v>1556</v>
      </c>
      <c r="E422" s="2" t="s">
        <v>40</v>
      </c>
      <c r="F422" s="2" t="s">
        <v>41</v>
      </c>
      <c r="G422" s="2" t="s">
        <v>42</v>
      </c>
      <c r="H422" s="2" t="s">
        <v>457</v>
      </c>
      <c r="I422" s="2" t="s">
        <v>44</v>
      </c>
      <c r="J422" s="2" t="s">
        <v>160</v>
      </c>
      <c r="K422" s="2"/>
      <c r="L422" s="2" t="s">
        <v>1540</v>
      </c>
      <c r="M422" s="2" t="s">
        <v>1541</v>
      </c>
      <c r="N422" s="2" t="s">
        <v>48</v>
      </c>
      <c r="O422" s="2" t="s">
        <v>49</v>
      </c>
      <c r="P422" s="2" t="s">
        <v>354</v>
      </c>
      <c r="Q422" s="2" t="s">
        <v>1547</v>
      </c>
      <c r="R422" s="2" t="s">
        <v>1548</v>
      </c>
      <c r="S422" s="2" t="s">
        <v>1528</v>
      </c>
      <c r="T422" s="2" t="n">
        <v>42.3</v>
      </c>
      <c r="U422" s="2" t="n">
        <v>7</v>
      </c>
      <c r="V422" s="2" t="s">
        <v>52</v>
      </c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customFormat="false" ht="15" hidden="false" customHeight="false" outlineLevel="0" collapsed="false">
      <c r="A423" s="2" t="s">
        <v>1557</v>
      </c>
      <c r="B423" s="2" t="s">
        <v>1558</v>
      </c>
      <c r="C423" s="2" t="s">
        <v>38</v>
      </c>
      <c r="D423" s="2" t="s">
        <v>1559</v>
      </c>
      <c r="E423" s="2" t="s">
        <v>40</v>
      </c>
      <c r="F423" s="2" t="s">
        <v>41</v>
      </c>
      <c r="G423" s="2" t="s">
        <v>42</v>
      </c>
      <c r="H423" s="2" t="s">
        <v>1518</v>
      </c>
      <c r="I423" s="2" t="s">
        <v>44</v>
      </c>
      <c r="J423" s="2" t="s">
        <v>160</v>
      </c>
      <c r="K423" s="2"/>
      <c r="L423" s="2" t="s">
        <v>1560</v>
      </c>
      <c r="M423" s="2" t="s">
        <v>1561</v>
      </c>
      <c r="N423" s="2" t="s">
        <v>48</v>
      </c>
      <c r="O423" s="2" t="s">
        <v>163</v>
      </c>
      <c r="P423" s="2" t="s">
        <v>354</v>
      </c>
      <c r="Q423" s="2" t="s">
        <v>1562</v>
      </c>
      <c r="R423" s="2" t="s">
        <v>1563</v>
      </c>
      <c r="S423" s="2" t="s">
        <v>1564</v>
      </c>
      <c r="T423" s="2" t="n">
        <v>26.8</v>
      </c>
      <c r="U423" s="2" t="n">
        <v>7.1</v>
      </c>
      <c r="V423" s="2" t="s">
        <v>52</v>
      </c>
      <c r="W423" s="2" t="n">
        <v>28.07</v>
      </c>
      <c r="X423" s="2"/>
      <c r="Y423" s="2"/>
      <c r="Z423" s="2"/>
      <c r="AA423" s="2"/>
      <c r="AB423" s="2"/>
      <c r="AC423" s="2"/>
      <c r="AD423" s="2"/>
      <c r="AE423" s="2"/>
      <c r="AF423" s="2" t="n">
        <v>1.298</v>
      </c>
      <c r="AG423" s="2"/>
      <c r="AH423" s="2"/>
      <c r="AI423" s="2"/>
      <c r="AJ423" s="2"/>
    </row>
    <row r="424" customFormat="false" ht="15" hidden="false" customHeight="false" outlineLevel="0" collapsed="false">
      <c r="A424" s="2" t="s">
        <v>1565</v>
      </c>
      <c r="B424" s="2" t="s">
        <v>1558</v>
      </c>
      <c r="C424" s="2" t="s">
        <v>38</v>
      </c>
      <c r="D424" s="2" t="s">
        <v>1566</v>
      </c>
      <c r="E424" s="2" t="s">
        <v>40</v>
      </c>
      <c r="F424" s="2" t="s">
        <v>41</v>
      </c>
      <c r="G424" s="2" t="s">
        <v>42</v>
      </c>
      <c r="H424" s="2" t="s">
        <v>457</v>
      </c>
      <c r="I424" s="2" t="s">
        <v>44</v>
      </c>
      <c r="J424" s="2" t="s">
        <v>160</v>
      </c>
      <c r="K424" s="2"/>
      <c r="L424" s="2" t="s">
        <v>1560</v>
      </c>
      <c r="M424" s="2" t="s">
        <v>1561</v>
      </c>
      <c r="N424" s="2" t="s">
        <v>48</v>
      </c>
      <c r="O424" s="2" t="s">
        <v>49</v>
      </c>
      <c r="P424" s="2" t="s">
        <v>354</v>
      </c>
      <c r="Q424" s="2" t="s">
        <v>1567</v>
      </c>
      <c r="R424" s="2" t="s">
        <v>1568</v>
      </c>
      <c r="S424" s="2" t="s">
        <v>1528</v>
      </c>
      <c r="T424" s="2" t="n">
        <v>43</v>
      </c>
      <c r="U424" s="2" t="n">
        <v>6.9</v>
      </c>
      <c r="V424" s="2" t="s">
        <v>52</v>
      </c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customFormat="false" ht="15" hidden="false" customHeight="false" outlineLevel="0" collapsed="false">
      <c r="A425" s="2" t="s">
        <v>1569</v>
      </c>
      <c r="B425" s="2" t="s">
        <v>1558</v>
      </c>
      <c r="C425" s="2" t="s">
        <v>38</v>
      </c>
      <c r="D425" s="2" t="s">
        <v>1570</v>
      </c>
      <c r="E425" s="2" t="s">
        <v>40</v>
      </c>
      <c r="F425" s="2" t="s">
        <v>41</v>
      </c>
      <c r="G425" s="2" t="s">
        <v>42</v>
      </c>
      <c r="H425" s="2" t="s">
        <v>1518</v>
      </c>
      <c r="I425" s="2" t="s">
        <v>44</v>
      </c>
      <c r="J425" s="2" t="s">
        <v>160</v>
      </c>
      <c r="K425" s="2"/>
      <c r="L425" s="2" t="s">
        <v>1560</v>
      </c>
      <c r="M425" s="2" t="s">
        <v>1561</v>
      </c>
      <c r="N425" s="2" t="s">
        <v>48</v>
      </c>
      <c r="O425" s="2" t="s">
        <v>163</v>
      </c>
      <c r="P425" s="2" t="s">
        <v>354</v>
      </c>
      <c r="Q425" s="2" t="s">
        <v>1562</v>
      </c>
      <c r="R425" s="2" t="s">
        <v>1563</v>
      </c>
      <c r="S425" s="2" t="s">
        <v>1564</v>
      </c>
      <c r="T425" s="2" t="n">
        <v>26.6</v>
      </c>
      <c r="U425" s="2" t="n">
        <v>7.1</v>
      </c>
      <c r="V425" s="2" t="s">
        <v>52</v>
      </c>
      <c r="W425" s="2" t="n">
        <v>29.77</v>
      </c>
      <c r="X425" s="2"/>
      <c r="Y425" s="2"/>
      <c r="Z425" s="2"/>
      <c r="AA425" s="2"/>
      <c r="AB425" s="2"/>
      <c r="AC425" s="2"/>
      <c r="AD425" s="2"/>
      <c r="AE425" s="2"/>
      <c r="AF425" s="2" t="n">
        <v>1.297</v>
      </c>
      <c r="AG425" s="2"/>
      <c r="AH425" s="2"/>
      <c r="AI425" s="2"/>
      <c r="AJ425" s="2"/>
    </row>
    <row r="426" customFormat="false" ht="15" hidden="false" customHeight="false" outlineLevel="0" collapsed="false">
      <c r="A426" s="2" t="s">
        <v>1571</v>
      </c>
      <c r="B426" s="2" t="s">
        <v>1558</v>
      </c>
      <c r="C426" s="2" t="s">
        <v>38</v>
      </c>
      <c r="D426" s="2" t="s">
        <v>1572</v>
      </c>
      <c r="E426" s="2" t="s">
        <v>40</v>
      </c>
      <c r="F426" s="2" t="s">
        <v>41</v>
      </c>
      <c r="G426" s="2" t="s">
        <v>42</v>
      </c>
      <c r="H426" s="2" t="s">
        <v>457</v>
      </c>
      <c r="I426" s="2" t="s">
        <v>44</v>
      </c>
      <c r="J426" s="2" t="s">
        <v>160</v>
      </c>
      <c r="K426" s="2"/>
      <c r="L426" s="2" t="s">
        <v>1560</v>
      </c>
      <c r="M426" s="2" t="s">
        <v>1561</v>
      </c>
      <c r="N426" s="2" t="s">
        <v>48</v>
      </c>
      <c r="O426" s="2" t="s">
        <v>49</v>
      </c>
      <c r="P426" s="2" t="s">
        <v>354</v>
      </c>
      <c r="Q426" s="2" t="s">
        <v>1567</v>
      </c>
      <c r="R426" s="2" t="s">
        <v>1568</v>
      </c>
      <c r="S426" s="2" t="s">
        <v>1528</v>
      </c>
      <c r="T426" s="2" t="n">
        <v>43.3</v>
      </c>
      <c r="U426" s="2" t="n">
        <v>7</v>
      </c>
      <c r="V426" s="2" t="s">
        <v>52</v>
      </c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customFormat="false" ht="15" hidden="false" customHeight="false" outlineLevel="0" collapsed="false">
      <c r="A427" s="2" t="s">
        <v>1573</v>
      </c>
      <c r="B427" s="2" t="s">
        <v>1558</v>
      </c>
      <c r="C427" s="2" t="s">
        <v>38</v>
      </c>
      <c r="D427" s="2" t="s">
        <v>1574</v>
      </c>
      <c r="E427" s="2" t="s">
        <v>40</v>
      </c>
      <c r="F427" s="2" t="s">
        <v>41</v>
      </c>
      <c r="G427" s="2" t="s">
        <v>42</v>
      </c>
      <c r="H427" s="2" t="s">
        <v>1518</v>
      </c>
      <c r="I427" s="2" t="s">
        <v>44</v>
      </c>
      <c r="J427" s="2" t="s">
        <v>160</v>
      </c>
      <c r="K427" s="2"/>
      <c r="L427" s="2" t="s">
        <v>1560</v>
      </c>
      <c r="M427" s="2" t="s">
        <v>1561</v>
      </c>
      <c r="N427" s="2" t="s">
        <v>48</v>
      </c>
      <c r="O427" s="2" t="s">
        <v>163</v>
      </c>
      <c r="P427" s="2" t="s">
        <v>354</v>
      </c>
      <c r="Q427" s="2" t="s">
        <v>1562</v>
      </c>
      <c r="R427" s="2" t="s">
        <v>1563</v>
      </c>
      <c r="S427" s="2" t="s">
        <v>1564</v>
      </c>
      <c r="T427" s="2" t="n">
        <v>26.7</v>
      </c>
      <c r="U427" s="2" t="n">
        <v>7.2</v>
      </c>
      <c r="V427" s="2" t="s">
        <v>52</v>
      </c>
      <c r="W427" s="2" t="n">
        <v>31.45</v>
      </c>
      <c r="X427" s="2"/>
      <c r="Y427" s="2"/>
      <c r="Z427" s="2"/>
      <c r="AA427" s="2"/>
      <c r="AB427" s="2"/>
      <c r="AC427" s="2"/>
      <c r="AD427" s="2"/>
      <c r="AE427" s="2"/>
      <c r="AF427" s="2" t="n">
        <v>1.298</v>
      </c>
      <c r="AG427" s="2"/>
      <c r="AH427" s="2"/>
      <c r="AI427" s="2"/>
      <c r="AJ427" s="2"/>
    </row>
    <row r="428" customFormat="false" ht="15" hidden="false" customHeight="false" outlineLevel="0" collapsed="false">
      <c r="A428" s="2" t="s">
        <v>1575</v>
      </c>
      <c r="B428" s="2" t="s">
        <v>1558</v>
      </c>
      <c r="C428" s="2" t="s">
        <v>38</v>
      </c>
      <c r="D428" s="2" t="s">
        <v>1576</v>
      </c>
      <c r="E428" s="2" t="s">
        <v>40</v>
      </c>
      <c r="F428" s="2" t="s">
        <v>41</v>
      </c>
      <c r="G428" s="2" t="s">
        <v>42</v>
      </c>
      <c r="H428" s="2" t="s">
        <v>457</v>
      </c>
      <c r="I428" s="2" t="s">
        <v>44</v>
      </c>
      <c r="J428" s="2" t="s">
        <v>160</v>
      </c>
      <c r="K428" s="2"/>
      <c r="L428" s="2" t="s">
        <v>1560</v>
      </c>
      <c r="M428" s="2" t="s">
        <v>1561</v>
      </c>
      <c r="N428" s="2" t="s">
        <v>48</v>
      </c>
      <c r="O428" s="2" t="s">
        <v>49</v>
      </c>
      <c r="P428" s="2" t="s">
        <v>354</v>
      </c>
      <c r="Q428" s="2" t="s">
        <v>1567</v>
      </c>
      <c r="R428" s="2" t="s">
        <v>1568</v>
      </c>
      <c r="S428" s="2" t="s">
        <v>1528</v>
      </c>
      <c r="T428" s="2" t="n">
        <v>43</v>
      </c>
      <c r="U428" s="2" t="n">
        <v>6.5</v>
      </c>
      <c r="V428" s="2" t="s">
        <v>52</v>
      </c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customFormat="false" ht="15" hidden="false" customHeight="false" outlineLevel="0" collapsed="false">
      <c r="A429" s="2" t="s">
        <v>1577</v>
      </c>
      <c r="B429" s="2" t="s">
        <v>1578</v>
      </c>
      <c r="C429" s="2" t="s">
        <v>38</v>
      </c>
      <c r="D429" s="2" t="s">
        <v>1579</v>
      </c>
      <c r="E429" s="2" t="s">
        <v>40</v>
      </c>
      <c r="F429" s="2" t="s">
        <v>41</v>
      </c>
      <c r="G429" s="2" t="s">
        <v>42</v>
      </c>
      <c r="H429" s="2" t="s">
        <v>1518</v>
      </c>
      <c r="I429" s="2" t="s">
        <v>44</v>
      </c>
      <c r="J429" s="2" t="s">
        <v>160</v>
      </c>
      <c r="K429" s="2"/>
      <c r="L429" s="2" t="s">
        <v>1580</v>
      </c>
      <c r="M429" s="2" t="s">
        <v>1581</v>
      </c>
      <c r="N429" s="2" t="s">
        <v>48</v>
      </c>
      <c r="O429" s="2" t="s">
        <v>163</v>
      </c>
      <c r="P429" s="2" t="s">
        <v>354</v>
      </c>
      <c r="Q429" s="2" t="s">
        <v>1582</v>
      </c>
      <c r="R429" s="2" t="s">
        <v>1583</v>
      </c>
      <c r="S429" s="2" t="s">
        <v>1584</v>
      </c>
      <c r="T429" s="2" t="n">
        <v>26.2</v>
      </c>
      <c r="U429" s="2" t="n">
        <v>6.7</v>
      </c>
      <c r="V429" s="2" t="s">
        <v>52</v>
      </c>
      <c r="W429" s="2" t="n">
        <v>33.02</v>
      </c>
      <c r="X429" s="2"/>
      <c r="Y429" s="2"/>
      <c r="Z429" s="2"/>
      <c r="AA429" s="2"/>
      <c r="AB429" s="2"/>
      <c r="AC429" s="2"/>
      <c r="AD429" s="2"/>
      <c r="AE429" s="2"/>
      <c r="AF429" s="2" t="n">
        <v>1.2978</v>
      </c>
      <c r="AG429" s="2"/>
      <c r="AH429" s="2"/>
      <c r="AI429" s="2"/>
      <c r="AJ429" s="2"/>
    </row>
    <row r="430" customFormat="false" ht="15" hidden="false" customHeight="false" outlineLevel="0" collapsed="false">
      <c r="A430" s="2" t="s">
        <v>1585</v>
      </c>
      <c r="B430" s="2" t="s">
        <v>1578</v>
      </c>
      <c r="C430" s="2" t="s">
        <v>38</v>
      </c>
      <c r="D430" s="2" t="s">
        <v>1586</v>
      </c>
      <c r="E430" s="2" t="s">
        <v>40</v>
      </c>
      <c r="F430" s="2" t="s">
        <v>41</v>
      </c>
      <c r="G430" s="2" t="s">
        <v>42</v>
      </c>
      <c r="H430" s="2" t="s">
        <v>457</v>
      </c>
      <c r="I430" s="2" t="s">
        <v>44</v>
      </c>
      <c r="J430" s="2" t="s">
        <v>160</v>
      </c>
      <c r="K430" s="2"/>
      <c r="L430" s="2" t="s">
        <v>1580</v>
      </c>
      <c r="M430" s="2" t="s">
        <v>1581</v>
      </c>
      <c r="N430" s="2" t="s">
        <v>48</v>
      </c>
      <c r="O430" s="2" t="s">
        <v>49</v>
      </c>
      <c r="P430" s="2" t="s">
        <v>354</v>
      </c>
      <c r="Q430" s="2" t="s">
        <v>1587</v>
      </c>
      <c r="R430" s="2" t="s">
        <v>1588</v>
      </c>
      <c r="S430" s="2" t="s">
        <v>1528</v>
      </c>
      <c r="T430" s="2" t="n">
        <v>42.4</v>
      </c>
      <c r="U430" s="2" t="n">
        <v>6.9</v>
      </c>
      <c r="V430" s="2" t="s">
        <v>52</v>
      </c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customFormat="false" ht="15" hidden="false" customHeight="false" outlineLevel="0" collapsed="false">
      <c r="A431" s="2" t="s">
        <v>1589</v>
      </c>
      <c r="B431" s="2" t="s">
        <v>1578</v>
      </c>
      <c r="C431" s="2" t="s">
        <v>38</v>
      </c>
      <c r="D431" s="2" t="s">
        <v>1590</v>
      </c>
      <c r="E431" s="2" t="s">
        <v>40</v>
      </c>
      <c r="F431" s="2" t="s">
        <v>41</v>
      </c>
      <c r="G431" s="2" t="s">
        <v>42</v>
      </c>
      <c r="H431" s="2" t="s">
        <v>457</v>
      </c>
      <c r="I431" s="2" t="s">
        <v>44</v>
      </c>
      <c r="J431" s="2" t="s">
        <v>160</v>
      </c>
      <c r="K431" s="2"/>
      <c r="L431" s="2" t="s">
        <v>1580</v>
      </c>
      <c r="M431" s="2" t="s">
        <v>1581</v>
      </c>
      <c r="N431" s="2" t="s">
        <v>48</v>
      </c>
      <c r="O431" s="2" t="s">
        <v>49</v>
      </c>
      <c r="P431" s="2" t="s">
        <v>354</v>
      </c>
      <c r="Q431" s="2" t="s">
        <v>1587</v>
      </c>
      <c r="R431" s="2" t="s">
        <v>1588</v>
      </c>
      <c r="S431" s="2" t="s">
        <v>1528</v>
      </c>
      <c r="T431" s="2" t="n">
        <v>42.4</v>
      </c>
      <c r="U431" s="2" t="n">
        <v>6.9</v>
      </c>
      <c r="V431" s="2" t="s">
        <v>52</v>
      </c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customFormat="false" ht="15" hidden="false" customHeight="false" outlineLevel="0" collapsed="false">
      <c r="A432" s="2" t="s">
        <v>1591</v>
      </c>
      <c r="B432" s="2" t="s">
        <v>1578</v>
      </c>
      <c r="C432" s="2" t="s">
        <v>38</v>
      </c>
      <c r="D432" s="2" t="s">
        <v>1592</v>
      </c>
      <c r="E432" s="2" t="s">
        <v>40</v>
      </c>
      <c r="F432" s="2" t="s">
        <v>41</v>
      </c>
      <c r="G432" s="2" t="s">
        <v>42</v>
      </c>
      <c r="H432" s="2" t="s">
        <v>1518</v>
      </c>
      <c r="I432" s="2" t="s">
        <v>44</v>
      </c>
      <c r="J432" s="2" t="s">
        <v>160</v>
      </c>
      <c r="K432" s="2"/>
      <c r="L432" s="2" t="s">
        <v>1580</v>
      </c>
      <c r="M432" s="2" t="s">
        <v>1581</v>
      </c>
      <c r="N432" s="2" t="s">
        <v>48</v>
      </c>
      <c r="O432" s="2" t="s">
        <v>163</v>
      </c>
      <c r="P432" s="2" t="s">
        <v>354</v>
      </c>
      <c r="Q432" s="2" t="s">
        <v>1582</v>
      </c>
      <c r="R432" s="2" t="s">
        <v>1583</v>
      </c>
      <c r="S432" s="2" t="s">
        <v>1584</v>
      </c>
      <c r="T432" s="2" t="n">
        <v>26.2</v>
      </c>
      <c r="U432" s="2" t="n">
        <v>6.7</v>
      </c>
      <c r="V432" s="2" t="s">
        <v>52</v>
      </c>
      <c r="W432" s="2" t="n">
        <v>31.68</v>
      </c>
      <c r="X432" s="2"/>
      <c r="Y432" s="2"/>
      <c r="Z432" s="2"/>
      <c r="AA432" s="2"/>
      <c r="AB432" s="2"/>
      <c r="AC432" s="2"/>
      <c r="AD432" s="2"/>
      <c r="AE432" s="2"/>
      <c r="AF432" s="2" t="n">
        <v>1.2979</v>
      </c>
      <c r="AG432" s="2"/>
      <c r="AH432" s="2"/>
      <c r="AI432" s="2"/>
      <c r="AJ432" s="2"/>
    </row>
    <row r="433" customFormat="false" ht="15" hidden="false" customHeight="false" outlineLevel="0" collapsed="false">
      <c r="A433" s="2" t="s">
        <v>1593</v>
      </c>
      <c r="B433" s="2" t="s">
        <v>1578</v>
      </c>
      <c r="C433" s="2" t="s">
        <v>38</v>
      </c>
      <c r="D433" s="2" t="s">
        <v>1594</v>
      </c>
      <c r="E433" s="2" t="s">
        <v>40</v>
      </c>
      <c r="F433" s="2" t="s">
        <v>41</v>
      </c>
      <c r="G433" s="2" t="s">
        <v>42</v>
      </c>
      <c r="H433" s="2" t="s">
        <v>457</v>
      </c>
      <c r="I433" s="2" t="s">
        <v>44</v>
      </c>
      <c r="J433" s="2" t="s">
        <v>160</v>
      </c>
      <c r="K433" s="2"/>
      <c r="L433" s="2" t="s">
        <v>1580</v>
      </c>
      <c r="M433" s="2" t="s">
        <v>1581</v>
      </c>
      <c r="N433" s="2" t="s">
        <v>48</v>
      </c>
      <c r="O433" s="2" t="s">
        <v>49</v>
      </c>
      <c r="P433" s="2" t="s">
        <v>354</v>
      </c>
      <c r="Q433" s="2" t="s">
        <v>1587</v>
      </c>
      <c r="R433" s="2" t="s">
        <v>1588</v>
      </c>
      <c r="S433" s="2" t="s">
        <v>1528</v>
      </c>
      <c r="T433" s="2" t="n">
        <v>42.9</v>
      </c>
      <c r="U433" s="2" t="n">
        <v>7.1</v>
      </c>
      <c r="V433" s="2" t="s">
        <v>52</v>
      </c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customFormat="false" ht="15" hidden="false" customHeight="false" outlineLevel="0" collapsed="false">
      <c r="A434" s="2" t="s">
        <v>1595</v>
      </c>
      <c r="B434" s="2" t="s">
        <v>1578</v>
      </c>
      <c r="C434" s="2" t="s">
        <v>38</v>
      </c>
      <c r="D434" s="2" t="s">
        <v>1596</v>
      </c>
      <c r="E434" s="2" t="s">
        <v>40</v>
      </c>
      <c r="F434" s="2" t="s">
        <v>41</v>
      </c>
      <c r="G434" s="2" t="s">
        <v>42</v>
      </c>
      <c r="H434" s="2" t="s">
        <v>1518</v>
      </c>
      <c r="I434" s="2" t="s">
        <v>44</v>
      </c>
      <c r="J434" s="2" t="s">
        <v>160</v>
      </c>
      <c r="K434" s="2"/>
      <c r="L434" s="2" t="s">
        <v>1580</v>
      </c>
      <c r="M434" s="2" t="s">
        <v>1581</v>
      </c>
      <c r="N434" s="2" t="s">
        <v>48</v>
      </c>
      <c r="O434" s="2" t="s">
        <v>163</v>
      </c>
      <c r="P434" s="2" t="s">
        <v>354</v>
      </c>
      <c r="Q434" s="2" t="s">
        <v>1582</v>
      </c>
      <c r="R434" s="2" t="s">
        <v>1583</v>
      </c>
      <c r="S434" s="2" t="s">
        <v>1584</v>
      </c>
      <c r="T434" s="2" t="n">
        <v>26.4</v>
      </c>
      <c r="U434" s="2" t="n">
        <v>6.8</v>
      </c>
      <c r="V434" s="2" t="s">
        <v>52</v>
      </c>
      <c r="W434" s="2" t="n">
        <v>30.83</v>
      </c>
      <c r="X434" s="2"/>
      <c r="Y434" s="2"/>
      <c r="Z434" s="2"/>
      <c r="AA434" s="2"/>
      <c r="AB434" s="2"/>
      <c r="AC434" s="2"/>
      <c r="AD434" s="2"/>
      <c r="AE434" s="2"/>
      <c r="AF434" s="2" t="n">
        <v>1.2852</v>
      </c>
      <c r="AG434" s="2"/>
      <c r="AH434" s="2"/>
      <c r="AI434" s="2"/>
      <c r="AJ434" s="2"/>
    </row>
    <row r="435" customFormat="false" ht="15" hidden="false" customHeight="false" outlineLevel="0" collapsed="false">
      <c r="A435" s="2" t="s">
        <v>1597</v>
      </c>
      <c r="B435" s="2" t="s">
        <v>1598</v>
      </c>
      <c r="C435" s="2" t="s">
        <v>38</v>
      </c>
      <c r="D435" s="2" t="s">
        <v>1599</v>
      </c>
      <c r="E435" s="2" t="s">
        <v>40</v>
      </c>
      <c r="F435" s="2" t="s">
        <v>41</v>
      </c>
      <c r="G435" s="2" t="s">
        <v>42</v>
      </c>
      <c r="H435" s="2" t="s">
        <v>1518</v>
      </c>
      <c r="I435" s="2" t="s">
        <v>44</v>
      </c>
      <c r="J435" s="2" t="s">
        <v>160</v>
      </c>
      <c r="K435" s="2"/>
      <c r="L435" s="2" t="s">
        <v>1600</v>
      </c>
      <c r="M435" s="2" t="s">
        <v>1601</v>
      </c>
      <c r="N435" s="2" t="s">
        <v>48</v>
      </c>
      <c r="O435" s="2" t="s">
        <v>163</v>
      </c>
      <c r="P435" s="2" t="s">
        <v>354</v>
      </c>
      <c r="Q435" s="2"/>
      <c r="R435" s="2"/>
      <c r="S435" s="2" t="s">
        <v>1602</v>
      </c>
      <c r="T435" s="2" t="n">
        <v>51.6</v>
      </c>
      <c r="U435" s="2" t="n">
        <v>6.3</v>
      </c>
      <c r="V435" s="2" t="s">
        <v>52</v>
      </c>
      <c r="W435" s="2" t="n">
        <v>30.13</v>
      </c>
      <c r="X435" s="2"/>
      <c r="Y435" s="2"/>
      <c r="Z435" s="2"/>
      <c r="AA435" s="2"/>
      <c r="AB435" s="2"/>
      <c r="AC435" s="2"/>
      <c r="AD435" s="2"/>
      <c r="AE435" s="2"/>
      <c r="AF435" s="2" t="n">
        <v>1.302</v>
      </c>
      <c r="AG435" s="2"/>
      <c r="AH435" s="2"/>
      <c r="AI435" s="2"/>
      <c r="AJ435" s="2"/>
    </row>
    <row r="436" customFormat="false" ht="15" hidden="false" customHeight="false" outlineLevel="0" collapsed="false">
      <c r="A436" s="2" t="s">
        <v>1603</v>
      </c>
      <c r="B436" s="2" t="s">
        <v>1598</v>
      </c>
      <c r="C436" s="2" t="s">
        <v>38</v>
      </c>
      <c r="D436" s="2" t="s">
        <v>1604</v>
      </c>
      <c r="E436" s="2" t="s">
        <v>40</v>
      </c>
      <c r="F436" s="2" t="s">
        <v>41</v>
      </c>
      <c r="G436" s="2" t="s">
        <v>42</v>
      </c>
      <c r="H436" s="2" t="s">
        <v>457</v>
      </c>
      <c r="I436" s="2" t="s">
        <v>44</v>
      </c>
      <c r="J436" s="2" t="s">
        <v>160</v>
      </c>
      <c r="K436" s="2"/>
      <c r="L436" s="2" t="s">
        <v>1600</v>
      </c>
      <c r="M436" s="2" t="s">
        <v>1601</v>
      </c>
      <c r="N436" s="2" t="s">
        <v>48</v>
      </c>
      <c r="O436" s="2" t="s">
        <v>49</v>
      </c>
      <c r="P436" s="2" t="s">
        <v>354</v>
      </c>
      <c r="Q436" s="2" t="s">
        <v>1605</v>
      </c>
      <c r="R436" s="2" t="s">
        <v>1606</v>
      </c>
      <c r="S436" s="2" t="s">
        <v>1528</v>
      </c>
      <c r="T436" s="2" t="n">
        <v>43.8</v>
      </c>
      <c r="U436" s="2" t="n">
        <v>7</v>
      </c>
      <c r="V436" s="2" t="s">
        <v>52</v>
      </c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customFormat="false" ht="15" hidden="false" customHeight="false" outlineLevel="0" collapsed="false">
      <c r="A437" s="2" t="s">
        <v>1607</v>
      </c>
      <c r="B437" s="2" t="s">
        <v>1598</v>
      </c>
      <c r="C437" s="2" t="s">
        <v>38</v>
      </c>
      <c r="D437" s="2" t="s">
        <v>1608</v>
      </c>
      <c r="E437" s="2" t="s">
        <v>40</v>
      </c>
      <c r="F437" s="2" t="s">
        <v>41</v>
      </c>
      <c r="G437" s="2" t="s">
        <v>42</v>
      </c>
      <c r="H437" s="2" t="s">
        <v>1518</v>
      </c>
      <c r="I437" s="2" t="s">
        <v>44</v>
      </c>
      <c r="J437" s="2" t="s">
        <v>160</v>
      </c>
      <c r="K437" s="2"/>
      <c r="L437" s="2" t="s">
        <v>1600</v>
      </c>
      <c r="M437" s="2" t="s">
        <v>1601</v>
      </c>
      <c r="N437" s="2" t="s">
        <v>48</v>
      </c>
      <c r="O437" s="2" t="s">
        <v>163</v>
      </c>
      <c r="P437" s="2" t="s">
        <v>354</v>
      </c>
      <c r="Q437" s="2"/>
      <c r="R437" s="2"/>
      <c r="S437" s="2" t="s">
        <v>1602</v>
      </c>
      <c r="T437" s="2" t="n">
        <v>53.3</v>
      </c>
      <c r="U437" s="2" t="n">
        <v>6.8</v>
      </c>
      <c r="V437" s="2" t="s">
        <v>52</v>
      </c>
      <c r="W437" s="2" t="n">
        <v>27.57</v>
      </c>
      <c r="X437" s="2"/>
      <c r="Y437" s="2"/>
      <c r="Z437" s="2"/>
      <c r="AA437" s="2"/>
      <c r="AB437" s="2"/>
      <c r="AC437" s="2"/>
      <c r="AD437" s="2"/>
      <c r="AE437" s="2"/>
      <c r="AF437" s="2" t="n">
        <v>1.3</v>
      </c>
      <c r="AG437" s="2"/>
      <c r="AH437" s="2"/>
      <c r="AI437" s="2"/>
      <c r="AJ437" s="2"/>
    </row>
    <row r="438" customFormat="false" ht="15" hidden="false" customHeight="false" outlineLevel="0" collapsed="false">
      <c r="A438" s="2" t="s">
        <v>1609</v>
      </c>
      <c r="B438" s="2" t="s">
        <v>1598</v>
      </c>
      <c r="C438" s="2" t="s">
        <v>38</v>
      </c>
      <c r="D438" s="2" t="s">
        <v>1610</v>
      </c>
      <c r="E438" s="2" t="s">
        <v>40</v>
      </c>
      <c r="F438" s="2" t="s">
        <v>41</v>
      </c>
      <c r="G438" s="2" t="s">
        <v>42</v>
      </c>
      <c r="H438" s="2" t="s">
        <v>457</v>
      </c>
      <c r="I438" s="2" t="s">
        <v>44</v>
      </c>
      <c r="J438" s="2" t="s">
        <v>160</v>
      </c>
      <c r="K438" s="2"/>
      <c r="L438" s="2" t="s">
        <v>1600</v>
      </c>
      <c r="M438" s="2" t="s">
        <v>1601</v>
      </c>
      <c r="N438" s="2" t="s">
        <v>48</v>
      </c>
      <c r="O438" s="2" t="s">
        <v>49</v>
      </c>
      <c r="P438" s="2" t="s">
        <v>354</v>
      </c>
      <c r="Q438" s="2" t="s">
        <v>1605</v>
      </c>
      <c r="R438" s="2" t="s">
        <v>1606</v>
      </c>
      <c r="S438" s="2" t="s">
        <v>1528</v>
      </c>
      <c r="T438" s="2" t="n">
        <v>43.9</v>
      </c>
      <c r="U438" s="2" t="n">
        <v>6.8</v>
      </c>
      <c r="V438" s="2" t="s">
        <v>52</v>
      </c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customFormat="false" ht="15" hidden="false" customHeight="false" outlineLevel="0" collapsed="false">
      <c r="A439" s="2" t="s">
        <v>1611</v>
      </c>
      <c r="B439" s="2" t="s">
        <v>1598</v>
      </c>
      <c r="C439" s="2" t="s">
        <v>38</v>
      </c>
      <c r="D439" s="2" t="s">
        <v>1612</v>
      </c>
      <c r="E439" s="2" t="s">
        <v>40</v>
      </c>
      <c r="F439" s="2" t="s">
        <v>41</v>
      </c>
      <c r="G439" s="2" t="s">
        <v>42</v>
      </c>
      <c r="H439" s="2" t="s">
        <v>457</v>
      </c>
      <c r="I439" s="2" t="s">
        <v>44</v>
      </c>
      <c r="J439" s="2" t="s">
        <v>160</v>
      </c>
      <c r="K439" s="2"/>
      <c r="L439" s="2" t="s">
        <v>1600</v>
      </c>
      <c r="M439" s="2" t="s">
        <v>1601</v>
      </c>
      <c r="N439" s="2" t="s">
        <v>48</v>
      </c>
      <c r="O439" s="2" t="s">
        <v>49</v>
      </c>
      <c r="P439" s="2" t="s">
        <v>354</v>
      </c>
      <c r="Q439" s="2" t="s">
        <v>1605</v>
      </c>
      <c r="R439" s="2" t="s">
        <v>1606</v>
      </c>
      <c r="S439" s="2" t="s">
        <v>1528</v>
      </c>
      <c r="T439" s="2" t="n">
        <v>46.8</v>
      </c>
      <c r="U439" s="2" t="n">
        <v>7.7</v>
      </c>
      <c r="V439" s="2" t="s">
        <v>52</v>
      </c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customFormat="false" ht="15" hidden="false" customHeight="false" outlineLevel="0" collapsed="false">
      <c r="A440" s="2" t="s">
        <v>1613</v>
      </c>
      <c r="B440" s="2" t="s">
        <v>1598</v>
      </c>
      <c r="C440" s="2" t="s">
        <v>38</v>
      </c>
      <c r="D440" s="2" t="s">
        <v>1614</v>
      </c>
      <c r="E440" s="2" t="s">
        <v>40</v>
      </c>
      <c r="F440" s="2" t="s">
        <v>41</v>
      </c>
      <c r="G440" s="2" t="s">
        <v>42</v>
      </c>
      <c r="H440" s="2" t="s">
        <v>1518</v>
      </c>
      <c r="I440" s="2" t="s">
        <v>44</v>
      </c>
      <c r="J440" s="2" t="s">
        <v>160</v>
      </c>
      <c r="K440" s="2"/>
      <c r="L440" s="2" t="s">
        <v>1600</v>
      </c>
      <c r="M440" s="2" t="s">
        <v>1601</v>
      </c>
      <c r="N440" s="2" t="s">
        <v>48</v>
      </c>
      <c r="O440" s="2" t="s">
        <v>163</v>
      </c>
      <c r="P440" s="2" t="s">
        <v>354</v>
      </c>
      <c r="Q440" s="2"/>
      <c r="R440" s="2"/>
      <c r="S440" s="2" t="s">
        <v>1602</v>
      </c>
      <c r="T440" s="2" t="n">
        <v>51.3</v>
      </c>
      <c r="U440" s="2" t="n">
        <v>6</v>
      </c>
      <c r="V440" s="2" t="s">
        <v>52</v>
      </c>
      <c r="W440" s="2" t="n">
        <v>32.18</v>
      </c>
      <c r="X440" s="2"/>
      <c r="Y440" s="2"/>
      <c r="Z440" s="2"/>
      <c r="AA440" s="2"/>
      <c r="AB440" s="2"/>
      <c r="AC440" s="2"/>
      <c r="AD440" s="2"/>
      <c r="AE440" s="2"/>
      <c r="AF440" s="2" t="n">
        <v>1.3</v>
      </c>
      <c r="AG440" s="2"/>
      <c r="AH440" s="2"/>
      <c r="AI440" s="2"/>
      <c r="AJ440" s="2"/>
    </row>
  </sheetData>
  <autoFilter ref="A1:AJ4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4" min="1" style="0" width="14"/>
  </cols>
  <sheetData>
    <row r="1" customFormat="false" ht="17.35" hidden="false" customHeight="false" outlineLevel="0" collapsed="false">
      <c r="A1" s="3" t="s">
        <v>1615</v>
      </c>
      <c r="B1" s="3"/>
      <c r="C1" s="3"/>
      <c r="D1" s="3"/>
    </row>
    <row r="2" customFormat="false" ht="15" hidden="false" customHeight="false" outlineLevel="0" collapsed="false">
      <c r="A2" s="4" t="s">
        <v>1616</v>
      </c>
      <c r="B2" s="4"/>
      <c r="C2" s="4"/>
      <c r="D2" s="4"/>
    </row>
    <row r="4" customFormat="false" ht="15" hidden="false" customHeight="false" outlineLevel="0" collapsed="false">
      <c r="A4" s="5" t="s">
        <v>1617</v>
      </c>
      <c r="B4" s="5" t="s">
        <v>19</v>
      </c>
      <c r="C4" s="5" t="s">
        <v>20</v>
      </c>
      <c r="D4" s="5" t="s">
        <v>21</v>
      </c>
    </row>
    <row r="5" customFormat="false" ht="15" hidden="false" customHeight="false" outlineLevel="0" collapsed="false">
      <c r="A5" s="6" t="s">
        <v>1618</v>
      </c>
      <c r="B5" s="7" t="n">
        <f aca="false">AVERAGE(Data!T2:T440)</f>
        <v>39.420350877193</v>
      </c>
      <c r="C5" s="7" t="n">
        <f aca="false">AVERAGE(Data!U2:U440)</f>
        <v>6.87438596491228</v>
      </c>
      <c r="D5" s="7" t="n">
        <f aca="false">AVERAGE(Data!V2:V440)</f>
        <v>0.0421622222222222</v>
      </c>
    </row>
    <row r="6" customFormat="false" ht="15" hidden="false" customHeight="false" outlineLevel="0" collapsed="false">
      <c r="A6" s="6" t="s">
        <v>1619</v>
      </c>
      <c r="B6" s="7" t="n">
        <f aca="false">STDEV(Data!T2:T440)</f>
        <v>6.09332409018271</v>
      </c>
      <c r="C6" s="7" t="n">
        <f aca="false">STDEV(Data!U2:U440)</f>
        <v>0.562848694875852</v>
      </c>
      <c r="D6" s="7" t="n">
        <f aca="false">STDEV(Data!V2:V440)</f>
        <v>0.0718966504396724</v>
      </c>
    </row>
    <row r="7" customFormat="false" ht="15" hidden="false" customHeight="false" outlineLevel="0" collapsed="false">
      <c r="A7" s="6" t="s">
        <v>1620</v>
      </c>
      <c r="B7" s="8" t="n">
        <f aca="false">COUNT(Data!T2:T440)</f>
        <v>285</v>
      </c>
      <c r="C7" s="8" t="n">
        <f aca="false">COUNT(Data!U2:U440)</f>
        <v>285</v>
      </c>
      <c r="D7" s="8" t="n">
        <f aca="false">COUNT(Data!V2:V440)</f>
        <v>9</v>
      </c>
    </row>
    <row r="9" customFormat="false" ht="15" hidden="false" customHeight="false" outlineLevel="0" collapsed="false">
      <c r="A9" s="9" t="s">
        <v>1621</v>
      </c>
      <c r="B9" s="9"/>
      <c r="C9" s="9"/>
      <c r="D9" s="9"/>
    </row>
    <row r="10" customFormat="false" ht="15" hidden="false" customHeight="false" outlineLevel="0" collapsed="false">
      <c r="A10" s="9"/>
      <c r="B10" s="9"/>
      <c r="C10" s="9"/>
      <c r="D10" s="9"/>
    </row>
  </sheetData>
  <mergeCells count="3">
    <mergeCell ref="A1:D1"/>
    <mergeCell ref="A2:D2"/>
    <mergeCell ref="A9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2026-03-31T21:46:47Z</dcterms:created>
  <dc:creator>openpyxl</dc:creator>
  <dc:description/>
  <dc:language>en-US</dc:language>
  <cp:lastModifiedBy/>
  <dcterms:modified xsi:type="dcterms:W3CDTF">2026-03-31T21:46:47Z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