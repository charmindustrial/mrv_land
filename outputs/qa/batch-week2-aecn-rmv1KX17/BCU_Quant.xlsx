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 Summary BCUs" sheetId="1" r:id="rId5"/>
    <sheet state="visible" name="Batch Data" sheetId="2" r:id="rId6"/>
  </sheets>
  <definedNames/>
  <calcPr/>
</workbook>
</file>

<file path=xl/sharedStrings.xml><?xml version="1.0" encoding="utf-8"?>
<sst xmlns="http://schemas.openxmlformats.org/spreadsheetml/2006/main" count="40" uniqueCount="34">
  <si>
    <t>Component</t>
  </si>
  <si>
    <t>Diesel Emissions (kg)</t>
  </si>
  <si>
    <t>Diesel Emissions (MT)</t>
  </si>
  <si>
    <t>Non-Diesel Emissions (kg)</t>
  </si>
  <si>
    <t>Non-Diesel Emissions (MT)</t>
  </si>
  <si>
    <t>Total Emissions (kg)</t>
  </si>
  <si>
    <t>Total Emissions (MT)</t>
  </si>
  <si>
    <t>Site Diesel Emissions</t>
  </si>
  <si>
    <t>Site Gasoline Emissions</t>
  </si>
  <si>
    <t>Brine Water - Transport Embodied</t>
  </si>
  <si>
    <t>Brine Water - Transport Process</t>
  </si>
  <si>
    <t>Embodied Emissions (Capital)</t>
  </si>
  <si>
    <t>Spare Parts and Consumables LA</t>
  </si>
  <si>
    <t>Louisiana Sitework</t>
  </si>
  <si>
    <t>Support Travel</t>
  </si>
  <si>
    <t>One-Off Moves (Rail + Tote)</t>
  </si>
  <si>
    <t>Basco Site Electricity (RECs)</t>
  </si>
  <si>
    <t>Methanol</t>
  </si>
  <si>
    <t>Diesel Delivery Transport</t>
  </si>
  <si>
    <t>Argon (Production + Transport, GROSS - RECs pending)</t>
  </si>
  <si>
    <t>Certify UID</t>
  </si>
  <si>
    <t>rmv_1KTYCT2551S0V1ZT</t>
  </si>
  <si>
    <t>INJ-06-2026-W1-AECN</t>
  </si>
  <si>
    <t/>
  </si>
  <si>
    <t>rmv_1KTYCVNBK1S06J71</t>
  </si>
  <si>
    <t>INJ-06-2026-W1-WODO</t>
  </si>
  <si>
    <t>rmv_1KX17NWGZ1S0ZP14</t>
  </si>
  <si>
    <t>INJ-06-2026-W2-AECN</t>
  </si>
  <si>
    <t>rmv_1KWA81DXY1S0C98P</t>
  </si>
  <si>
    <t>INJ-06-2026-W2-WODO</t>
  </si>
  <si>
    <t>rmv_1KWA1JFKP1S0T4YW</t>
  </si>
  <si>
    <t>INJ-06-2026-W2-QOWV</t>
  </si>
  <si>
    <t>rmv_1KWD37FMY1S035RD</t>
  </si>
  <si>
    <t>INJ-06-2026-W4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</si>
</sst>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IsometricRepro"/>
    </font>
    <font>
      <sz val="11.0"/>
      <color rgb="FF221E1F"/>
      <name val="IsometricRepro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EFCFC"/>
        <bgColor rgb="FFFEFCF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0" fontId="1" numFmtId="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4" fontId="1" numFmtId="0" xfId="0" applyFont="1"/>
    <xf borderId="0" fillId="0" fontId="1" numFmtId="164" xfId="0" applyAlignment="1" applyFont="1" applyNumberFormat="1">
      <alignment horizontal="left"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7.0"/>
    <col customWidth="1" min="5" max="5" width="20.63"/>
    <col customWidth="1" min="9" max="9" width="16.5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2"/>
      <c r="H1" s="1" t="s">
        <v>5</v>
      </c>
      <c r="I1" s="1" t="s">
        <v>6</v>
      </c>
    </row>
    <row r="2">
      <c r="A2" s="3" t="s">
        <v>7</v>
      </c>
      <c r="B2" s="4">
        <v>9511.01</v>
      </c>
      <c r="C2" s="3">
        <f t="shared" ref="C2:C14" si="2">B2/1000</f>
        <v>9.51101</v>
      </c>
      <c r="E2" s="4">
        <v>0.0</v>
      </c>
      <c r="F2" s="3">
        <f t="shared" ref="F2:F14" si="3">E2/1000</f>
        <v>0</v>
      </c>
      <c r="H2" s="3">
        <f t="shared" ref="H2:I2" si="1">B2+E2</f>
        <v>9511.01</v>
      </c>
      <c r="I2" s="3">
        <f t="shared" si="1"/>
        <v>9.51101</v>
      </c>
    </row>
    <row r="3">
      <c r="A3" s="3" t="s">
        <v>8</v>
      </c>
      <c r="B3" s="4">
        <v>0.0</v>
      </c>
      <c r="C3" s="3">
        <f t="shared" si="2"/>
        <v>0</v>
      </c>
      <c r="E3" s="4">
        <v>457.03</v>
      </c>
      <c r="F3" s="3">
        <f t="shared" si="3"/>
        <v>0.45703</v>
      </c>
      <c r="H3" s="3">
        <f t="shared" ref="H3:I3" si="4">B3+E3</f>
        <v>457.03</v>
      </c>
      <c r="I3" s="3">
        <f t="shared" si="4"/>
        <v>0.45703</v>
      </c>
    </row>
    <row r="4">
      <c r="A4" s="3" t="s">
        <v>9</v>
      </c>
      <c r="B4" s="4">
        <v>0.0</v>
      </c>
      <c r="C4" s="3">
        <f t="shared" si="2"/>
        <v>0</v>
      </c>
      <c r="E4" s="4">
        <v>16.0</v>
      </c>
      <c r="F4" s="3">
        <f t="shared" si="3"/>
        <v>0.016</v>
      </c>
      <c r="H4" s="3">
        <f t="shared" ref="H4:I4" si="5">B4+E4</f>
        <v>16</v>
      </c>
      <c r="I4" s="3">
        <f t="shared" si="5"/>
        <v>0.016</v>
      </c>
    </row>
    <row r="5">
      <c r="A5" s="3" t="s">
        <v>10</v>
      </c>
      <c r="B5" s="4">
        <v>125.0</v>
      </c>
      <c r="C5" s="3">
        <f t="shared" si="2"/>
        <v>0.125</v>
      </c>
      <c r="E5" s="4">
        <v>0.0</v>
      </c>
      <c r="F5" s="3">
        <f t="shared" si="3"/>
        <v>0</v>
      </c>
      <c r="H5" s="3">
        <f t="shared" ref="H5:I5" si="6">B5+E5</f>
        <v>125</v>
      </c>
      <c r="I5" s="3">
        <f t="shared" si="6"/>
        <v>0.125</v>
      </c>
    </row>
    <row r="6">
      <c r="A6" s="3" t="s">
        <v>11</v>
      </c>
      <c r="B6" s="3">
        <v>0.0</v>
      </c>
      <c r="C6" s="3">
        <f t="shared" si="2"/>
        <v>0</v>
      </c>
      <c r="E6" s="4">
        <v>1106.0</v>
      </c>
      <c r="F6" s="3">
        <f t="shared" si="3"/>
        <v>1.106</v>
      </c>
      <c r="H6" s="3">
        <f t="shared" ref="H6:I6" si="7">B6+E6</f>
        <v>1106</v>
      </c>
      <c r="I6" s="3">
        <f t="shared" si="7"/>
        <v>1.106</v>
      </c>
    </row>
    <row r="7">
      <c r="A7" s="3" t="s">
        <v>12</v>
      </c>
      <c r="B7" s="3">
        <v>0.0</v>
      </c>
      <c r="C7" s="3">
        <f t="shared" si="2"/>
        <v>0</v>
      </c>
      <c r="E7" s="4">
        <v>482.68</v>
      </c>
      <c r="F7" s="3">
        <f t="shared" si="3"/>
        <v>0.48268</v>
      </c>
      <c r="H7" s="3">
        <f t="shared" ref="H7:I7" si="8">B7+E7</f>
        <v>482.68</v>
      </c>
      <c r="I7" s="3">
        <f t="shared" si="8"/>
        <v>0.48268</v>
      </c>
    </row>
    <row r="8">
      <c r="A8" s="3" t="s">
        <v>13</v>
      </c>
      <c r="B8" s="4">
        <v>366.05</v>
      </c>
      <c r="C8" s="3">
        <f t="shared" si="2"/>
        <v>0.36605</v>
      </c>
      <c r="E8" s="4">
        <v>0.0</v>
      </c>
      <c r="F8" s="3">
        <f t="shared" si="3"/>
        <v>0</v>
      </c>
      <c r="H8" s="3">
        <f t="shared" ref="H8:I8" si="9">B8+E8</f>
        <v>366.05</v>
      </c>
      <c r="I8" s="3">
        <f t="shared" si="9"/>
        <v>0.36605</v>
      </c>
    </row>
    <row r="9">
      <c r="A9" s="3" t="s">
        <v>14</v>
      </c>
      <c r="B9" s="4">
        <v>0.0</v>
      </c>
      <c r="C9" s="3">
        <f t="shared" si="2"/>
        <v>0</v>
      </c>
      <c r="E9" s="4">
        <v>8257.1</v>
      </c>
      <c r="F9" s="3">
        <f t="shared" si="3"/>
        <v>8.2571</v>
      </c>
      <c r="H9" s="3">
        <f t="shared" ref="H9:I9" si="10">B9+E9</f>
        <v>8257.1</v>
      </c>
      <c r="I9" s="3">
        <f t="shared" si="10"/>
        <v>8.2571</v>
      </c>
    </row>
    <row r="10">
      <c r="A10" s="3" t="s">
        <v>15</v>
      </c>
      <c r="B10" s="5">
        <f>477.1+1378.7</f>
        <v>1855.8</v>
      </c>
      <c r="C10" s="3">
        <f t="shared" si="2"/>
        <v>1.8558</v>
      </c>
      <c r="E10" s="5">
        <f>573.2+926.2</f>
        <v>1499.4</v>
      </c>
      <c r="F10" s="3">
        <f t="shared" si="3"/>
        <v>1.4994</v>
      </c>
      <c r="H10" s="3">
        <f t="shared" ref="H10:I10" si="11">B10+E10</f>
        <v>3355.2</v>
      </c>
      <c r="I10" s="3">
        <f t="shared" si="11"/>
        <v>3.3552</v>
      </c>
    </row>
    <row r="11">
      <c r="A11" s="3" t="s">
        <v>16</v>
      </c>
      <c r="C11" s="3">
        <f t="shared" si="2"/>
        <v>0</v>
      </c>
      <c r="E11" s="4">
        <v>15097.0</v>
      </c>
      <c r="F11" s="3">
        <f t="shared" si="3"/>
        <v>15.097</v>
      </c>
      <c r="H11" s="3">
        <f t="shared" ref="H11:I11" si="12">B11+E11</f>
        <v>15097</v>
      </c>
      <c r="I11" s="3">
        <f t="shared" si="12"/>
        <v>15.097</v>
      </c>
    </row>
    <row r="12">
      <c r="A12" s="3" t="s">
        <v>17</v>
      </c>
      <c r="B12" s="4">
        <v>0.0</v>
      </c>
      <c r="C12" s="3">
        <f t="shared" si="2"/>
        <v>0</v>
      </c>
      <c r="E12" s="4">
        <v>0.0</v>
      </c>
      <c r="F12" s="3">
        <f t="shared" si="3"/>
        <v>0</v>
      </c>
      <c r="H12" s="3">
        <f t="shared" ref="H12:I12" si="13">B12+E12</f>
        <v>0</v>
      </c>
      <c r="I12" s="3">
        <f t="shared" si="13"/>
        <v>0</v>
      </c>
    </row>
    <row r="13">
      <c r="A13" s="3" t="s">
        <v>18</v>
      </c>
      <c r="B13" s="3">
        <v>34.0</v>
      </c>
      <c r="C13" s="3">
        <f t="shared" si="2"/>
        <v>0.034</v>
      </c>
      <c r="E13" s="3">
        <v>62.0</v>
      </c>
      <c r="F13" s="3">
        <f t="shared" si="3"/>
        <v>0.062</v>
      </c>
      <c r="H13" s="3">
        <f t="shared" ref="H13:H14" si="14">B13+E13</f>
        <v>96</v>
      </c>
      <c r="I13" s="3">
        <f>H13/1000</f>
        <v>0.096</v>
      </c>
    </row>
    <row r="14">
      <c r="A14" s="3" t="s">
        <v>19</v>
      </c>
      <c r="B14" s="4">
        <v>2.0</v>
      </c>
      <c r="C14" s="5">
        <f t="shared" si="2"/>
        <v>0.002</v>
      </c>
      <c r="E14" s="4">
        <v>2448.0</v>
      </c>
      <c r="F14" s="5">
        <f t="shared" si="3"/>
        <v>2.448</v>
      </c>
      <c r="H14" s="5">
        <f t="shared" si="14"/>
        <v>2450</v>
      </c>
      <c r="I14" s="5">
        <f>C14+F14</f>
        <v>2.45</v>
      </c>
    </row>
    <row r="15">
      <c r="B15" s="3">
        <f t="shared" ref="B15:C15" si="15">SUM(B2:B14)</f>
        <v>11893.86</v>
      </c>
      <c r="C15" s="3">
        <f t="shared" si="15"/>
        <v>11.89386</v>
      </c>
      <c r="E15" s="3">
        <f t="shared" ref="E15:F15" si="16">SUM(E2:E14)</f>
        <v>29425.21</v>
      </c>
      <c r="F15" s="3">
        <f t="shared" si="16"/>
        <v>29.42521</v>
      </c>
      <c r="H15" s="3">
        <f t="shared" ref="H15:I15" si="17">SUM(H2:H14)</f>
        <v>41319.07</v>
      </c>
      <c r="I15" s="3">
        <f t="shared" si="17"/>
        <v>41.31907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9.5"/>
    <col customWidth="1" min="3" max="3" width="18.25"/>
    <col customWidth="1" min="4" max="4" width="18.63"/>
    <col customWidth="1" min="5" max="5" width="3.38"/>
  </cols>
  <sheetData>
    <row r="1">
      <c r="A1" s="6" t="s">
        <v>20</v>
      </c>
      <c r="B1" s="6" t="s">
        <v>0</v>
      </c>
      <c r="C1" s="6" t="s">
        <v>1</v>
      </c>
      <c r="D1" s="6" t="s">
        <v>2</v>
      </c>
      <c r="E1" s="7"/>
    </row>
    <row r="2">
      <c r="A2" s="8" t="s">
        <v>21</v>
      </c>
      <c r="B2" s="3" t="s">
        <v>22</v>
      </c>
      <c r="C2" s="9">
        <v>12297.0</v>
      </c>
      <c r="D2" s="3">
        <f t="shared" ref="D2:D28" si="1">C2/1000</f>
        <v>12.297</v>
      </c>
      <c r="E2" s="10" t="s">
        <v>23</v>
      </c>
    </row>
    <row r="3">
      <c r="A3" s="11" t="s">
        <v>24</v>
      </c>
      <c r="B3" s="3" t="s">
        <v>25</v>
      </c>
      <c r="C3" s="9">
        <v>1954.0</v>
      </c>
      <c r="D3" s="3">
        <f t="shared" si="1"/>
        <v>1.954</v>
      </c>
      <c r="E3" s="10"/>
    </row>
    <row r="4">
      <c r="A4" s="3" t="s">
        <v>26</v>
      </c>
      <c r="B4" s="3" t="s">
        <v>27</v>
      </c>
      <c r="C4" s="9">
        <v>23179.0</v>
      </c>
      <c r="D4" s="3">
        <f t="shared" si="1"/>
        <v>23.179</v>
      </c>
      <c r="E4" s="10" t="s">
        <v>23</v>
      </c>
    </row>
    <row r="5">
      <c r="A5" s="3" t="s">
        <v>28</v>
      </c>
      <c r="B5" s="3" t="s">
        <v>29</v>
      </c>
      <c r="C5" s="9">
        <v>2707.0</v>
      </c>
      <c r="D5" s="3">
        <f t="shared" si="1"/>
        <v>2.707</v>
      </c>
      <c r="E5" s="10"/>
    </row>
    <row r="6">
      <c r="A6" s="3" t="s">
        <v>30</v>
      </c>
      <c r="B6" s="3" t="s">
        <v>31</v>
      </c>
      <c r="C6" s="9">
        <v>5193.0</v>
      </c>
      <c r="D6" s="3">
        <f t="shared" si="1"/>
        <v>5.193</v>
      </c>
      <c r="E6" s="10"/>
    </row>
    <row r="7">
      <c r="A7" s="3" t="s">
        <v>32</v>
      </c>
      <c r="B7" s="3" t="s">
        <v>33</v>
      </c>
      <c r="C7" s="9">
        <v>5023.0</v>
      </c>
      <c r="D7" s="3">
        <f t="shared" si="1"/>
        <v>5.023</v>
      </c>
      <c r="E7" s="10" t="s">
        <v>23</v>
      </c>
    </row>
    <row r="8">
      <c r="C8" s="9"/>
      <c r="D8" s="3">
        <f t="shared" si="1"/>
        <v>0</v>
      </c>
      <c r="E8" s="10" t="s">
        <v>23</v>
      </c>
    </row>
    <row r="9">
      <c r="C9" s="9"/>
      <c r="D9" s="3">
        <f t="shared" si="1"/>
        <v>0</v>
      </c>
      <c r="E9" s="12"/>
    </row>
    <row r="10">
      <c r="C10" s="9"/>
      <c r="D10" s="3">
        <f t="shared" si="1"/>
        <v>0</v>
      </c>
      <c r="E10" s="12"/>
    </row>
    <row r="11">
      <c r="C11" s="9"/>
      <c r="D11" s="3">
        <f t="shared" si="1"/>
        <v>0</v>
      </c>
      <c r="E11" s="12"/>
    </row>
    <row r="12">
      <c r="C12" s="9"/>
      <c r="D12" s="3">
        <f t="shared" si="1"/>
        <v>0</v>
      </c>
      <c r="E12" s="12"/>
    </row>
    <row r="13">
      <c r="C13" s="9"/>
      <c r="D13" s="3">
        <f t="shared" si="1"/>
        <v>0</v>
      </c>
      <c r="E13" s="12"/>
    </row>
    <row r="14">
      <c r="C14" s="9"/>
      <c r="D14" s="3">
        <f t="shared" si="1"/>
        <v>0</v>
      </c>
      <c r="E14" s="12"/>
    </row>
    <row r="15">
      <c r="C15" s="9"/>
      <c r="D15" s="3">
        <f t="shared" si="1"/>
        <v>0</v>
      </c>
      <c r="E15" s="12"/>
    </row>
    <row r="16">
      <c r="C16" s="9"/>
      <c r="D16" s="3">
        <f t="shared" si="1"/>
        <v>0</v>
      </c>
      <c r="E16" s="12"/>
    </row>
    <row r="17">
      <c r="C17" s="9"/>
      <c r="D17" s="3">
        <f t="shared" si="1"/>
        <v>0</v>
      </c>
      <c r="E17" s="12"/>
    </row>
    <row r="18">
      <c r="C18" s="9"/>
      <c r="D18" s="3">
        <f t="shared" si="1"/>
        <v>0</v>
      </c>
      <c r="E18" s="12"/>
    </row>
    <row r="19">
      <c r="C19" s="9"/>
      <c r="D19" s="3">
        <f t="shared" si="1"/>
        <v>0</v>
      </c>
      <c r="E19" s="12"/>
    </row>
    <row r="20">
      <c r="C20" s="9"/>
      <c r="D20" s="3">
        <f t="shared" si="1"/>
        <v>0</v>
      </c>
      <c r="E20" s="12"/>
    </row>
    <row r="21">
      <c r="C21" s="9"/>
      <c r="D21" s="3">
        <f t="shared" si="1"/>
        <v>0</v>
      </c>
      <c r="E21" s="12"/>
    </row>
    <row r="22">
      <c r="C22" s="9"/>
      <c r="D22" s="3">
        <f t="shared" si="1"/>
        <v>0</v>
      </c>
      <c r="E22" s="12"/>
    </row>
    <row r="23">
      <c r="C23" s="9"/>
      <c r="D23" s="3">
        <f t="shared" si="1"/>
        <v>0</v>
      </c>
      <c r="E23" s="12"/>
    </row>
    <row r="24">
      <c r="C24" s="9"/>
      <c r="D24" s="3">
        <f t="shared" si="1"/>
        <v>0</v>
      </c>
      <c r="E24" s="12"/>
    </row>
    <row r="25">
      <c r="A25" s="13"/>
      <c r="B25" s="13"/>
      <c r="C25" s="9"/>
      <c r="D25" s="3">
        <f t="shared" si="1"/>
        <v>0</v>
      </c>
      <c r="E25" s="12"/>
    </row>
    <row r="26">
      <c r="C26" s="9"/>
      <c r="D26" s="3">
        <f t="shared" si="1"/>
        <v>0</v>
      </c>
      <c r="E26" s="12"/>
    </row>
    <row r="27">
      <c r="C27" s="9"/>
      <c r="D27" s="3">
        <f t="shared" si="1"/>
        <v>0</v>
      </c>
      <c r="E27" s="12"/>
    </row>
    <row r="28">
      <c r="C28" s="9"/>
      <c r="D28" s="3">
        <f t="shared" si="1"/>
        <v>0</v>
      </c>
      <c r="E28" s="12"/>
    </row>
    <row r="29">
      <c r="C29" s="14"/>
      <c r="E29" s="12"/>
    </row>
    <row r="30">
      <c r="C30" s="9">
        <f t="shared" ref="C30:D30" si="2">SUM(C2:C28)</f>
        <v>50353</v>
      </c>
      <c r="D30" s="3">
        <f t="shared" si="2"/>
        <v>50.353</v>
      </c>
      <c r="E30" s="12"/>
    </row>
  </sheetData>
  <drawing r:id="rId1"/>
</worksheet>
</file>