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-Miniforge" sheetId="1" r:id="rId5"/>
    <sheet state="visible" name="KS-AJsVaulted" sheetId="2" r:id="rId6"/>
    <sheet state="visible" name="LA-Basco" sheetId="3" r:id="rId7"/>
  </sheets>
  <definedNames/>
  <calcPr/>
</workbook>
</file>

<file path=xl/sharedStrings.xml><?xml version="1.0" encoding="utf-8"?>
<sst xmlns="http://schemas.openxmlformats.org/spreadsheetml/2006/main" count="52" uniqueCount="34">
  <si>
    <t>Consumption Rate</t>
  </si>
  <si>
    <t>Production Period</t>
  </si>
  <si>
    <t>Consumed During Period (kWh)</t>
  </si>
  <si>
    <t>Days in Period</t>
  </si>
  <si>
    <t>kWh/Day</t>
  </si>
  <si>
    <t>3-month Tranche (kWh)</t>
  </si>
  <si>
    <t>"" (MWH)</t>
  </si>
  <si>
    <t>Available Inventory</t>
  </si>
  <si>
    <t>Generator</t>
  </si>
  <si>
    <t>Supplier</t>
  </si>
  <si>
    <t>Type</t>
  </si>
  <si>
    <t>Qty Purchased</t>
  </si>
  <si>
    <t>Qty Available</t>
  </si>
  <si>
    <t>Vintage</t>
  </si>
  <si>
    <t>Exp. Date</t>
  </si>
  <si>
    <t>Status</t>
  </si>
  <si>
    <t>Hunter Solar</t>
  </si>
  <si>
    <t>World Fuel Services Corp.</t>
  </si>
  <si>
    <t>Solar</t>
  </si>
  <si>
    <t>Expired</t>
  </si>
  <si>
    <t>Eligible</t>
  </si>
  <si>
    <t>Date Range</t>
  </si>
  <si>
    <t>kWh</t>
  </si>
  <si>
    <t>Days in Range</t>
  </si>
  <si>
    <t>2/1-3/31</t>
  </si>
  <si>
    <t>4/1-5/31</t>
  </si>
  <si>
    <t>Average kWh/Day</t>
  </si>
  <si>
    <t>Traverse Wind Energy</t>
  </si>
  <si>
    <t>World Fuel Services, Inc</t>
  </si>
  <si>
    <t>Wind</t>
  </si>
  <si>
    <t>Est kWh/MT Injected</t>
  </si>
  <si>
    <t>Est MT Processed in First 3 Months</t>
  </si>
  <si>
    <t>3 Month Tranche (kWh)</t>
  </si>
  <si>
    <t>3 Month Tranche (MWH)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</si>
</sst>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yyyy"/>
  </numFmts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26.88"/>
    <col customWidth="1" min="3" max="3" width="14.0"/>
    <col customWidth="1" min="4" max="4" width="13.8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>
        <v>1.0</v>
      </c>
      <c r="B3" s="3">
        <v>70858.0</v>
      </c>
      <c r="C3" s="3">
        <v>115.0</v>
      </c>
      <c r="D3" s="4">
        <f t="shared" ref="D3:D7" si="1">B3/C3</f>
        <v>616.1565217</v>
      </c>
    </row>
    <row r="4">
      <c r="A4" s="3">
        <v>2.0</v>
      </c>
      <c r="B4" s="3">
        <v>76541.0</v>
      </c>
      <c r="C4" s="3">
        <v>56.0</v>
      </c>
      <c r="D4" s="4">
        <f t="shared" si="1"/>
        <v>1366.803571</v>
      </c>
    </row>
    <row r="5">
      <c r="A5" s="3">
        <v>3.0</v>
      </c>
      <c r="B5" s="3">
        <v>36893.0</v>
      </c>
      <c r="C5" s="3">
        <v>28.0</v>
      </c>
      <c r="D5" s="4">
        <f t="shared" si="1"/>
        <v>1317.607143</v>
      </c>
    </row>
    <row r="6">
      <c r="A6" s="3">
        <v>4.0</v>
      </c>
      <c r="B6" s="3">
        <v>45851.0</v>
      </c>
      <c r="C6" s="3">
        <v>31.0</v>
      </c>
      <c r="D6" s="4">
        <f t="shared" si="1"/>
        <v>1479.064516</v>
      </c>
    </row>
    <row r="7">
      <c r="A7" s="3">
        <v>5.0</v>
      </c>
      <c r="B7" s="3">
        <v>56353.0</v>
      </c>
      <c r="C7" s="3">
        <v>30.0</v>
      </c>
      <c r="D7" s="4">
        <f t="shared" si="1"/>
        <v>1878.433333</v>
      </c>
    </row>
    <row r="9">
      <c r="A9" s="3" t="s">
        <v>5</v>
      </c>
      <c r="B9" s="4">
        <f>D7*90</f>
        <v>169059</v>
      </c>
    </row>
    <row r="10">
      <c r="A10" s="3" t="s">
        <v>6</v>
      </c>
      <c r="B10" s="4">
        <f>B9/1000</f>
        <v>169.059</v>
      </c>
    </row>
    <row r="12">
      <c r="A12" s="1" t="s">
        <v>7</v>
      </c>
    </row>
    <row r="13">
      <c r="A13" s="2" t="s">
        <v>8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14</v>
      </c>
      <c r="H13" s="2" t="s">
        <v>15</v>
      </c>
    </row>
    <row r="14">
      <c r="A14" s="3" t="s">
        <v>16</v>
      </c>
      <c r="B14" s="3" t="s">
        <v>17</v>
      </c>
      <c r="C14" s="3" t="s">
        <v>18</v>
      </c>
      <c r="D14" s="3">
        <v>400.0</v>
      </c>
      <c r="E14" s="3">
        <v>169.86</v>
      </c>
      <c r="F14" s="5">
        <v>45413.0</v>
      </c>
      <c r="G14" s="5">
        <v>45778.0</v>
      </c>
      <c r="H14" s="3" t="s">
        <v>19</v>
      </c>
    </row>
    <row r="15">
      <c r="A15" s="3" t="s">
        <v>16</v>
      </c>
      <c r="B15" s="3" t="s">
        <v>17</v>
      </c>
      <c r="C15" s="3" t="s">
        <v>18</v>
      </c>
      <c r="D15" s="3">
        <v>1250.0</v>
      </c>
      <c r="E15" s="3">
        <v>1250.0</v>
      </c>
      <c r="F15" s="5">
        <v>45474.0</v>
      </c>
      <c r="G15" s="5">
        <v>45839.0</v>
      </c>
      <c r="H15" s="3" t="s">
        <v>20</v>
      </c>
    </row>
  </sheetData>
  <dataValidations>
    <dataValidation type="list" allowBlank="1" showErrorMessage="1" sqref="H14:H15">
      <formula1>"Eligible,Expired"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1.0"/>
  </cols>
  <sheetData>
    <row r="1">
      <c r="A1" s="1" t="s">
        <v>0</v>
      </c>
    </row>
    <row r="2">
      <c r="A2" s="3" t="s">
        <v>21</v>
      </c>
      <c r="B2" s="3" t="s">
        <v>22</v>
      </c>
      <c r="C2" s="3" t="s">
        <v>23</v>
      </c>
      <c r="D2" s="3" t="s">
        <v>4</v>
      </c>
    </row>
    <row r="3">
      <c r="A3" s="3" t="s">
        <v>24</v>
      </c>
      <c r="B3" s="4">
        <f>1213+98885.92</f>
        <v>100098.92</v>
      </c>
      <c r="C3" s="3">
        <v>58.0</v>
      </c>
      <c r="D3" s="4">
        <f t="shared" ref="D3:D4" si="1">B3/C3</f>
        <v>1725.843448</v>
      </c>
    </row>
    <row r="4">
      <c r="A4" s="3" t="s">
        <v>25</v>
      </c>
      <c r="B4" s="4">
        <f>4146+(36603*2)</f>
        <v>77352</v>
      </c>
      <c r="C4" s="3">
        <v>60.0</v>
      </c>
      <c r="D4" s="4">
        <f t="shared" si="1"/>
        <v>1289.2</v>
      </c>
    </row>
    <row r="6">
      <c r="A6" s="3" t="s">
        <v>26</v>
      </c>
      <c r="B6" s="4">
        <f>AVERAGE(D3:D4)</f>
        <v>1507.521724</v>
      </c>
    </row>
    <row r="7">
      <c r="A7" s="3" t="s">
        <v>5</v>
      </c>
      <c r="B7" s="4">
        <f>B6*90</f>
        <v>135676.9552</v>
      </c>
    </row>
    <row r="8">
      <c r="A8" s="3" t="s">
        <v>6</v>
      </c>
      <c r="B8" s="4">
        <f>B7/1000</f>
        <v>135.6769552</v>
      </c>
    </row>
    <row r="11">
      <c r="A11" s="1" t="s">
        <v>7</v>
      </c>
    </row>
    <row r="12">
      <c r="A12" s="2" t="s">
        <v>8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14</v>
      </c>
      <c r="H12" s="2" t="s">
        <v>15</v>
      </c>
    </row>
    <row r="13">
      <c r="A13" s="3" t="s">
        <v>27</v>
      </c>
      <c r="B13" s="3" t="s">
        <v>28</v>
      </c>
      <c r="C13" s="3" t="s">
        <v>29</v>
      </c>
      <c r="D13" s="3">
        <v>250.0</v>
      </c>
      <c r="E13" s="3">
        <v>54.95</v>
      </c>
      <c r="F13" s="6">
        <v>45444.0</v>
      </c>
      <c r="G13" s="6">
        <v>45809.0</v>
      </c>
      <c r="H13" s="3" t="s">
        <v>20</v>
      </c>
    </row>
  </sheetData>
  <dataValidations>
    <dataValidation type="list" allowBlank="1" showErrorMessage="1" sqref="H13">
      <formula1>"Eligible,Expired"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9.38"/>
    <col customWidth="1" min="3" max="3" width="20.75"/>
    <col customWidth="1" min="4" max="4" width="21.25"/>
  </cols>
  <sheetData>
    <row r="1">
      <c r="A1" s="1" t="s">
        <v>0</v>
      </c>
    </row>
    <row r="2">
      <c r="A2" s="2" t="s">
        <v>30</v>
      </c>
      <c r="B2" s="2" t="s">
        <v>31</v>
      </c>
      <c r="C2" s="2" t="s">
        <v>32</v>
      </c>
      <c r="D2" s="2" t="s">
        <v>33</v>
      </c>
    </row>
    <row r="3">
      <c r="A3" s="3">
        <v>130.97</v>
      </c>
      <c r="B3" s="3">
        <v>1773.0</v>
      </c>
      <c r="C3" s="4">
        <f>B3*A3</f>
        <v>232209.81</v>
      </c>
      <c r="D3" s="4">
        <f>C3/1000</f>
        <v>232.20981</v>
      </c>
    </row>
  </sheetData>
  <drawing r:id="rId1"/>
</worksheet>
</file>