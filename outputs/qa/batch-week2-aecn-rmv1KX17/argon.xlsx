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tc={dff928f6-3850-4be2-8c27-93c9b57757da}</author>
  </authors>
  <commentList>
    <comment authorId="0" xr:uid="{dff928f6-3850-4be2-8c27-93c9b57757da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General note: Whether we use this or grid will depend on when the new RECs land.
</t>
      </text>
    </comment>
  </commentList>
</comments>
</file>

<file path=xl/sharedStrings.xml><?xml version="1.0" encoding="utf-8"?>
<sst xmlns="http://schemas.openxmlformats.org/spreadsheetml/2006/main" count="44" uniqueCount="40">
  <si>
    <t>NOTE: Two product types from Daigle Welding Supply require different quantity handling: (1) Liquid cylinder (e.g. AR230L "230 LITER LIQUID ARGON") — liter quantity taken directly from invoice description, no conversion needed. (2) Compressed gas K-pack (e.g. ARK12PK "12 PACK K ARGON / 3000CF") — CF quantity on invoice, convert to liters via: CF x 0.02832 (m3/CF) x 1.784 (kg/m3 argon gas density) / 1.4 (kg/L liquid density). Example: 3000 CF = 108.3 L.</t>
  </si>
  <si>
    <t>Date</t>
  </si>
  <si>
    <t>Invoice Number</t>
  </si>
  <si>
    <t>Qty (CF)</t>
  </si>
  <si>
    <t>Quantity (Liters)</t>
  </si>
  <si>
    <t>Quantity (kg)</t>
  </si>
  <si>
    <t>Production Emissions (kg CO2e)</t>
  </si>
  <si>
    <t>Miles</t>
  </si>
  <si>
    <t>Emission Factors + Assumptions</t>
  </si>
  <si>
    <t>Source</t>
  </si>
  <si>
    <t>D51857</t>
  </si>
  <si>
    <t>ASU Electricity Intensity</t>
  </si>
  <si>
    <t>kWh/kg</t>
  </si>
  <si>
    <t>https://www.sciencedirect.com/science/article/abs/pii/S2213138820301351</t>
  </si>
  <si>
    <t>D51886</t>
  </si>
  <si>
    <t>Grid Emission Factor</t>
  </si>
  <si>
    <t>kg CO2e/kWh</t>
  </si>
  <si>
    <t>Charm Standard EF</t>
  </si>
  <si>
    <t>LA RECs Emission Factor</t>
  </si>
  <si>
    <t>Flatbed Truck process Emission Factor</t>
  </si>
  <si>
    <t>kgCO2e/t-mi</t>
  </si>
  <si>
    <t>Flatbed Truck Embodied Emission Factor</t>
  </si>
  <si>
    <t>kgCO2e/mi</t>
  </si>
  <si>
    <t>Journey Distance</t>
  </si>
  <si>
    <t>mi</t>
  </si>
  <si>
    <t>Argon Delivery Distance - Daigle to Basco.png</t>
  </si>
  <si>
    <t>Liquid Argon Density</t>
  </si>
  <si>
    <t>kg/l</t>
  </si>
  <si>
    <t>https://www.engineeringtoolbox.com/argon-d_1414.html</t>
  </si>
  <si>
    <t>Total Production Emissions</t>
  </si>
  <si>
    <t>CF to m³ Conversion (m³/CF)</t>
  </si>
  <si>
    <t>Qty of RECs Applied (kWh)</t>
  </si>
  <si>
    <t>Argon Gas Density (kg/m³)</t>
  </si>
  <si>
    <t>Production Emissions Net of RECs (kg CO2e)</t>
  </si>
  <si>
    <t>Total Mass</t>
  </si>
  <si>
    <t>Transport Process Emissions (kg CO2e)</t>
  </si>
  <si>
    <t>Transport Embodied Emissions (kg CO2e)</t>
  </si>
  <si>
    <t>Qty of BCUs Applied (kg CO2e)</t>
  </si>
  <si>
    <t>Transport Emissions Net of BCUs (kg CO2e)</t>
  </si>
  <si>
    <t>Total Emissions Net of Instruments (kg CO2e)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</si>
</sst>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.lutz@charmindustrial.com" id="{95b15068-1dd6-4e2e-aeeb-7b2347c56b49}" userId="garrett.lutz@charmindustrial.com" providerId="google-sheets"/>
  <x18tc:person displayName="Max Lavine" id="{1e5acc99-4a83-429e-b60f-fb7cd64885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6-06-30T21:11:06.00" personId="{1e5acc99-4a83-429e-b60f-fb7cd6488549}" id="{dff928f6-3850-4be2-8c27-93c9b57757da}" done="0">
    <x18tc:text xml:space="preserve">@garrett.lutz@charmindustrial.com General note: Whether we use this or grid will depend on when the new RECs land.</x18tc:text>
    <x18tc:mentions>
      <x18tc:mention mentionpersonId="{95b15068-1dd6-4e2e-aeeb-7b2347c56b49}" mentionId="{2fe3f1ca-643e-4ed7-b07e-8a5e6a521fb7}" startIndex="0" length="3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ciencedirect.com/science/article/abs/pii/S2213138820301351" TargetMode="External"/><Relationship Id="rId5" Type="http://schemas.openxmlformats.org/officeDocument/2006/relationships/hyperlink" Target="https://drive.google.com/file/d/10m-Bq_jW2bhOGesJGdVtBgtc5q1N5GSD/view?usp=drive_link" TargetMode="External"/><Relationship Id="rId6" Type="http://schemas.openxmlformats.org/officeDocument/2006/relationships/hyperlink" Target="https://www.engineeringtoolbox.com/argon-d_1414.html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88"/>
    <col customWidth="1" min="8" max="8" width="31.5"/>
  </cols>
  <sheetData>
    <row r="1">
      <c r="A1" s="1" t="s">
        <v>0</v>
      </c>
      <c r="B1" s="1"/>
      <c r="C1" s="1"/>
      <c r="D1" s="1"/>
      <c r="E1" s="1"/>
      <c r="F1" s="1"/>
      <c r="H1" s="1"/>
      <c r="K1" s="1"/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K2" s="1" t="s">
        <v>9</v>
      </c>
    </row>
    <row r="3">
      <c r="A3" s="3">
        <v>46175.0</v>
      </c>
      <c r="B3" s="1" t="s">
        <v>10</v>
      </c>
      <c r="C3" s="1">
        <v>3000.0</v>
      </c>
      <c r="D3" s="4">
        <f t="shared" ref="D3:D4" si="1">C3*$I$10*$I$11/$I$9</f>
        <v>108.2633143</v>
      </c>
      <c r="E3" s="5">
        <f t="shared" ref="E3:E4" si="2">D3*$I$9</f>
        <v>151.56864</v>
      </c>
      <c r="F3" s="5">
        <f t="shared" ref="F3:F4" si="3">(E3*$I$3)*$I$4</f>
        <v>1204.963256</v>
      </c>
      <c r="G3" s="5">
        <f>I8</f>
        <v>42.1</v>
      </c>
      <c r="H3" s="1" t="s">
        <v>11</v>
      </c>
      <c r="I3" s="6">
        <v>17.17</v>
      </c>
      <c r="J3" s="1" t="s">
        <v>12</v>
      </c>
      <c r="K3" s="7" t="s">
        <v>13</v>
      </c>
    </row>
    <row r="4">
      <c r="A4" s="8">
        <v>46176.0</v>
      </c>
      <c r="B4" s="1" t="s">
        <v>14</v>
      </c>
      <c r="C4" s="6">
        <v>3000.0</v>
      </c>
      <c r="D4" s="4">
        <f t="shared" si="1"/>
        <v>108.2633143</v>
      </c>
      <c r="E4" s="5">
        <f t="shared" si="2"/>
        <v>151.56864</v>
      </c>
      <c r="F4" s="5">
        <f t="shared" si="3"/>
        <v>1204.963256</v>
      </c>
      <c r="G4" s="5">
        <f>I8</f>
        <v>42.1</v>
      </c>
      <c r="H4" s="1" t="s">
        <v>15</v>
      </c>
      <c r="I4" s="1">
        <v>0.4630140342</v>
      </c>
      <c r="J4" s="1" t="s">
        <v>16</v>
      </c>
      <c r="K4" s="1" t="s">
        <v>17</v>
      </c>
    </row>
    <row r="5">
      <c r="A5" s="8"/>
      <c r="H5" s="1" t="s">
        <v>18</v>
      </c>
      <c r="I5" s="1">
        <v>0.03664154577</v>
      </c>
      <c r="J5" s="1" t="s">
        <v>16</v>
      </c>
      <c r="K5" s="1" t="s">
        <v>17</v>
      </c>
    </row>
    <row r="6">
      <c r="G6" s="5">
        <f>G3+G4</f>
        <v>84.2</v>
      </c>
      <c r="H6" s="1" t="s">
        <v>19</v>
      </c>
      <c r="I6" s="1">
        <v>0.1384</v>
      </c>
      <c r="J6" s="1" t="s">
        <v>20</v>
      </c>
      <c r="K6" s="1" t="s">
        <v>17</v>
      </c>
    </row>
    <row r="7">
      <c r="H7" s="1" t="s">
        <v>21</v>
      </c>
      <c r="I7" s="1">
        <v>0.1927908256</v>
      </c>
      <c r="J7" s="1" t="s">
        <v>22</v>
      </c>
      <c r="K7" s="1" t="s">
        <v>17</v>
      </c>
    </row>
    <row r="8">
      <c r="H8" s="1" t="s">
        <v>23</v>
      </c>
      <c r="I8" s="6">
        <v>42.1</v>
      </c>
      <c r="J8" s="1" t="s">
        <v>24</v>
      </c>
      <c r="K8" s="9" t="s">
        <v>25</v>
      </c>
    </row>
    <row r="9">
      <c r="H9" s="1" t="s">
        <v>26</v>
      </c>
      <c r="I9" s="6">
        <v>1.4</v>
      </c>
      <c r="J9" s="1" t="s">
        <v>27</v>
      </c>
      <c r="K9" s="7" t="s">
        <v>28</v>
      </c>
    </row>
    <row r="10">
      <c r="E10" s="1" t="s">
        <v>29</v>
      </c>
      <c r="F10" s="5">
        <f>SUM(F3:F8)</f>
        <v>2409.926512</v>
      </c>
      <c r="H10" s="1" t="s">
        <v>30</v>
      </c>
      <c r="I10" s="1">
        <v>0.02832</v>
      </c>
    </row>
    <row r="11">
      <c r="E11" s="1" t="s">
        <v>31</v>
      </c>
      <c r="F11" s="5">
        <f>SUM(E3:E8)*I3</f>
        <v>5204.867098</v>
      </c>
      <c r="H11" s="1" t="s">
        <v>32</v>
      </c>
      <c r="I11" s="1">
        <v>1.784</v>
      </c>
    </row>
    <row r="12">
      <c r="E12" s="1" t="s">
        <v>33</v>
      </c>
      <c r="F12" s="5">
        <f>F11*I5</f>
        <v>190.714376</v>
      </c>
    </row>
    <row r="14">
      <c r="E14" s="1" t="s">
        <v>34</v>
      </c>
      <c r="F14" s="5">
        <f>SUM(E3:E8)</f>
        <v>303.13728</v>
      </c>
    </row>
    <row r="15">
      <c r="E15" s="1" t="s">
        <v>35</v>
      </c>
      <c r="F15" s="5">
        <f>(F14/1000)*I6*I8</f>
        <v>1.766271801</v>
      </c>
    </row>
    <row r="16">
      <c r="E16" s="1" t="s">
        <v>36</v>
      </c>
      <c r="F16" s="5">
        <f>(G6*I7)</f>
        <v>16.23298752</v>
      </c>
    </row>
    <row r="17">
      <c r="E17" s="1" t="s">
        <v>37</v>
      </c>
      <c r="F17" s="5">
        <f t="shared" ref="F17:F18" si="4">F15</f>
        <v>1.766271801</v>
      </c>
    </row>
    <row r="18">
      <c r="E18" s="1" t="s">
        <v>38</v>
      </c>
      <c r="F18" s="5">
        <f t="shared" si="4"/>
        <v>16.23298752</v>
      </c>
    </row>
    <row r="20">
      <c r="E20" s="10" t="s">
        <v>39</v>
      </c>
      <c r="F20" s="11">
        <f>SUM(F18,F12)</f>
        <v>206.9473635</v>
      </c>
    </row>
  </sheetData>
  <hyperlinks>
    <hyperlink r:id="rId4" ref="K3"/>
    <hyperlink r:id="rId5" ref="K8"/>
    <hyperlink r:id="rId6" ref="K9"/>
  </hyperlinks>
  <drawing r:id="rId7"/>
  <legacyDrawing r:id="rId8"/>
</worksheet>
</file>