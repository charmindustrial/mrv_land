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P Railcar Movement" sheetId="2" r:id="rId5"/>
    <sheet state="visible" name="Totes" sheetId="3" r:id="rId6"/>
    <sheet state="visible" name="Trip Detail" sheetId="4" r:id="rId7"/>
    <sheet state="visible" name="Distance Evidence - From Carrie" sheetId="5" r:id="rId8"/>
  </sheets>
  <definedNames>
    <definedName name="EmbodiedEF_Truck">Totes!$B$7</definedName>
    <definedName name="ProcessEF">'RP Railcar Movement'!$B$7</definedName>
    <definedName name="ProcessEF_Truck">Totes!$B$6</definedName>
    <definedName name="EmbodiedEF">'RP Railcar Movement'!$B$8</definedName>
  </definedNames>
  <calcPr/>
  <extLst>
    <ext uri="GoogleSheetsCustomDataVersion2">
      <go:sheetsCustomData xmlns:go="http://customooxmlschemas.google.com/" r:id="rId9" roundtripDataChecksum="GVwJgwif18n1MRLNWjbOCh9GxUH8mdh7IhA8sv5bhK0="/>
    </ext>
  </extLst>
</workbook>
</file>

<file path=xl/sharedStrings.xml><?xml version="1.0" encoding="utf-8"?>
<sst xmlns="http://schemas.openxmlformats.org/spreadsheetml/2006/main" count="217" uniqueCount="100">
  <si>
    <t>Railcar Movement</t>
  </si>
  <si>
    <t>Process Emissions (kgs)</t>
  </si>
  <si>
    <t>Embodied Emissions (kgs)</t>
  </si>
  <si>
    <t>Total Emissions(kgs)</t>
  </si>
  <si>
    <t>Tote Movement</t>
  </si>
  <si>
    <t>Combined Movement</t>
  </si>
  <si>
    <t>Reporting Period</t>
  </si>
  <si>
    <t>June 1 - June 30, 2026</t>
  </si>
  <si>
    <t>Movement Type</t>
  </si>
  <si>
    <t>Unloaded railcar movements (one-offs) - no bio-oil transported</t>
  </si>
  <si>
    <t>Total Trips</t>
  </si>
  <si>
    <t>Total Miles</t>
  </si>
  <si>
    <t>EMISSION FACTORS</t>
  </si>
  <si>
    <t>Factor</t>
  </si>
  <si>
    <t>Value</t>
  </si>
  <si>
    <t>Units</t>
  </si>
  <si>
    <t>Source</t>
  </si>
  <si>
    <t>Rail Process Emission Factor</t>
  </si>
  <si>
    <t>tCO2e / car-mile</t>
  </si>
  <si>
    <t>GLEC V3.2 2025</t>
  </si>
  <si>
    <t>Rail Embodied Emission Factor</t>
  </si>
  <si>
    <t>UNLOADED TRANSPORT - ROUTE SUMMARY</t>
  </si>
  <si>
    <t>Route</t>
  </si>
  <si>
    <t>Cars</t>
  </si>
  <si>
    <t>Miles / Car</t>
  </si>
  <si>
    <t>Total Car-Miles</t>
  </si>
  <si>
    <t>Process Emissions (tCO2e)</t>
  </si>
  <si>
    <t>Embodied Emissions (tCO2e)</t>
  </si>
  <si>
    <t>Total Emissions (tCO2e)</t>
  </si>
  <si>
    <t>Sarnia, ON --&gt; Baie-Comeau, PQ (Rail)</t>
  </si>
  <si>
    <t>Opelousas, LA --&gt; Ardmore, OK (Rail)</t>
  </si>
  <si>
    <t>Sheldon, TX --&gt; Baie-Comeau, PQ (Rail)</t>
  </si>
  <si>
    <t>TOTAL</t>
  </si>
  <si>
    <t>Total Totes per Truck</t>
  </si>
  <si>
    <t>Tote flatbed truck movements</t>
  </si>
  <si>
    <t>Weight of tote</t>
  </si>
  <si>
    <t>EMISSION FACTORS (truck)</t>
  </si>
  <si>
    <t>Truck Process (Fuel, WTW) - Flatbed</t>
  </si>
  <si>
    <t>tCO2e / ton-mile</t>
  </si>
  <si>
    <t>Truck Embodied - Non-Tanker</t>
  </si>
  <si>
    <t>tCO2e / mile</t>
  </si>
  <si>
    <t>Date</t>
  </si>
  <si>
    <t>Movement</t>
  </si>
  <si>
    <t>Origin</t>
  </si>
  <si>
    <t>Destination</t>
  </si>
  <si>
    <t>BOL</t>
  </si>
  <si>
    <t>Miles (1-way)</t>
  </si>
  <si>
    <t>Payload (MT)</t>
  </si>
  <si>
    <t>Process (tCO2e)</t>
  </si>
  <si>
    <t>Embodied (tCO2e)</t>
  </si>
  <si>
    <t>Total (tCO2e)</t>
  </si>
  <si>
    <t>2026-06-07</t>
  </si>
  <si>
    <t>Empty totes</t>
  </si>
  <si>
    <t>St. Landry, LA</t>
  </si>
  <si>
    <t>Ft. Lupton, CO</t>
  </si>
  <si>
    <t>LACO02</t>
  </si>
  <si>
    <t>2026-06-21</t>
  </si>
  <si>
    <t>LACO04</t>
  </si>
  <si>
    <t>2026-06-23</t>
  </si>
  <si>
    <t>LACO05</t>
  </si>
  <si>
    <t>2026-06-27</t>
  </si>
  <si>
    <t>LACO06</t>
  </si>
  <si>
    <t>LA-&gt;CO empty-return subtotal (tCO2e):</t>
  </si>
  <si>
    <t>Start Date</t>
  </si>
  <si>
    <t>End Date</t>
  </si>
  <si>
    <t>Railcar</t>
  </si>
  <si>
    <t>Miles</t>
  </si>
  <si>
    <t>Process Formula</t>
  </si>
  <si>
    <t>2026-06-03</t>
  </si>
  <si>
    <t>GPRX 5107</t>
  </si>
  <si>
    <t>SARNIA, ON</t>
  </si>
  <si>
    <t>BAIE COMEAU, PQ</t>
  </si>
  <si>
    <t>Miles x ProcessEF</t>
  </si>
  <si>
    <t>2026-06-12</t>
  </si>
  <si>
    <t>STPX 094624</t>
  </si>
  <si>
    <t>OPELOUSAS, LA</t>
  </si>
  <si>
    <t>ARDMORE, OK</t>
  </si>
  <si>
    <t>STPX 094625</t>
  </si>
  <si>
    <t>STPX 094626</t>
  </si>
  <si>
    <t>2026-06-16</t>
  </si>
  <si>
    <t>SHPX 215079</t>
  </si>
  <si>
    <t>SHELDON, TX</t>
  </si>
  <si>
    <t>2026-06-17</t>
  </si>
  <si>
    <t>SHPX 215068</t>
  </si>
  <si>
    <t>SHPX 215070</t>
  </si>
  <si>
    <t>SHPX 215076</t>
  </si>
  <si>
    <t>SHPX 215078</t>
  </si>
  <si>
    <t>SHPX 215082</t>
  </si>
  <si>
    <t>SHPX 215090</t>
  </si>
  <si>
    <t>Miles (Rail)</t>
  </si>
  <si>
    <t>MAIZE, KS</t>
  </si>
  <si>
    <t>Carrier</t>
  </si>
  <si>
    <t>CAIRO, IL</t>
  </si>
  <si>
    <t>IRAPUATO, GJ</t>
  </si>
  <si>
    <t>NASH, TX</t>
  </si>
  <si>
    <t>CERES, CO</t>
  </si>
  <si>
    <t>DUBOIS, PA</t>
  </si>
  <si>
    <t>SHOP - LA SALLE, PQ</t>
  </si>
  <si>
    <t>WICHITA FALLS, TX</t>
  </si>
  <si>
    <t>BATON ROUGE, 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</si>
</sst>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"/>
    <numFmt numFmtId="165" formatCode="m/d/yy"/>
  </numFmts>
  <fonts count="11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b/>
      <sz val="11.0"/>
      <color theme="1"/>
      <name val="Aptos Narrow"/>
    </font>
    <font>
      <color theme="1"/>
      <name val="Aptos Narrow"/>
    </font>
    <font>
      <sz val="11.0"/>
      <color theme="1"/>
      <name val="Aptos Narrow"/>
    </font>
    <font>
      <b/>
      <sz val="12.0"/>
      <color theme="1"/>
      <name val="Aptos Narrow"/>
    </font>
    <font>
      <u/>
      <color rgb="FF0000FF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CCFFFF"/>
        <bgColor rgb="FFCC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3" fontId="3" numFmtId="0" xfId="0" applyFill="1" applyFont="1"/>
    <xf borderId="0" fillId="3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4" fontId="7" numFmtId="164" xfId="0" applyBorder="1" applyFill="1" applyFont="1" applyNumberFormat="1"/>
    <xf borderId="0" fillId="0" fontId="9" numFmtId="0" xfId="0" applyFont="1"/>
    <xf borderId="0" fillId="0" fontId="5" numFmtId="0" xfId="0" applyAlignment="1" applyFont="1">
      <alignment shrinkToFit="0" wrapText="1"/>
    </xf>
    <xf borderId="0" fillId="0" fontId="1" numFmtId="0" xfId="0" applyFont="1"/>
    <xf borderId="0" fillId="0" fontId="10" numFmtId="0" xfId="0" applyAlignment="1" applyFont="1">
      <alignment readingOrder="0"/>
    </xf>
    <xf borderId="0" fillId="0" fontId="7" numFmtId="165" xfId="0" applyFont="1" applyNumberFormat="1"/>
    <xf borderId="0" fillId="0" fontId="7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9.63"/>
    <col customWidth="1" min="3" max="3" width="12.88"/>
  </cols>
  <sheetData>
    <row r="1">
      <c r="A1" s="1"/>
      <c r="B1" s="1" t="s">
        <v>0</v>
      </c>
    </row>
    <row r="2">
      <c r="A2" s="1" t="s">
        <v>1</v>
      </c>
      <c r="B2" s="1">
        <f>'RP Railcar Movement'!E16*1000</f>
        <v>477.1136268</v>
      </c>
    </row>
    <row r="3">
      <c r="A3" s="1" t="s">
        <v>2</v>
      </c>
      <c r="B3" s="2">
        <f>'RP Railcar Movement'!F16*1000</f>
        <v>573.2407098</v>
      </c>
    </row>
    <row r="4">
      <c r="A4" s="1" t="s">
        <v>3</v>
      </c>
      <c r="B4" s="2">
        <f>B2+B3</f>
        <v>1050.354337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 t="s">
        <v>4</v>
      </c>
    </row>
    <row r="7">
      <c r="A7" s="1" t="s">
        <v>1</v>
      </c>
      <c r="B7" s="1">
        <f>Totes!H14*1000</f>
        <v>1378.681897</v>
      </c>
    </row>
    <row r="8">
      <c r="A8" s="1" t="s">
        <v>2</v>
      </c>
      <c r="B8" s="2">
        <f>Totes!I14*1000</f>
        <v>926.1671262</v>
      </c>
    </row>
    <row r="9">
      <c r="A9" s="1" t="s">
        <v>3</v>
      </c>
      <c r="B9" s="2">
        <f>B7+B8</f>
        <v>2304.849023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 t="s">
        <v>5</v>
      </c>
    </row>
    <row r="12">
      <c r="A12" s="5" t="s">
        <v>1</v>
      </c>
      <c r="B12" s="4">
        <f t="shared" ref="B12:B13" si="1">B7+B2</f>
        <v>1855.795524</v>
      </c>
    </row>
    <row r="13">
      <c r="A13" s="5" t="s">
        <v>2</v>
      </c>
      <c r="B13" s="4">
        <f t="shared" si="1"/>
        <v>1499.407836</v>
      </c>
    </row>
    <row r="14">
      <c r="A14" s="5" t="s">
        <v>3</v>
      </c>
      <c r="B14" s="4">
        <f>B13+B12</f>
        <v>3355.20336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0"/>
    <col customWidth="1" min="2" max="2" width="58.0"/>
    <col customWidth="1" min="3" max="3" width="15.38"/>
    <col customWidth="1" min="4" max="4" width="70.5"/>
    <col customWidth="1" min="5" max="5" width="26.0"/>
    <col customWidth="1" min="6" max="6" width="28.0"/>
    <col customWidth="1" min="7" max="7" width="23.13"/>
    <col customWidth="1" min="8" max="26" width="8.63"/>
  </cols>
  <sheetData>
    <row r="1" ht="14.25" customHeight="1">
      <c r="A1" s="6" t="s">
        <v>6</v>
      </c>
      <c r="B1" s="6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8</v>
      </c>
      <c r="B2" s="7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7" t="s">
        <v>10</v>
      </c>
      <c r="B3" s="7">
        <v>11.0</v>
      </c>
      <c r="C3" s="7" t="s">
        <v>11</v>
      </c>
      <c r="D3" s="7">
        <f>SUM('Trip Detail'!F2:F12)</f>
        <v>18414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6" t="s">
        <v>13</v>
      </c>
      <c r="B6" s="6" t="s">
        <v>14</v>
      </c>
      <c r="C6" s="6" t="s">
        <v>15</v>
      </c>
      <c r="D6" s="6" t="s">
        <v>16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 t="s">
        <v>17</v>
      </c>
      <c r="B7" s="10">
        <v>2.5910374E-5</v>
      </c>
      <c r="C7" s="7" t="s">
        <v>18</v>
      </c>
      <c r="D7" s="11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7" t="s">
        <v>20</v>
      </c>
      <c r="B8" s="10">
        <v>3.11307E-5</v>
      </c>
      <c r="C8" s="7" t="s">
        <v>18</v>
      </c>
      <c r="D8" s="11" t="s">
        <v>19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2" t="s">
        <v>22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6" t="s">
        <v>28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7"/>
      <c r="C12" s="13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29</v>
      </c>
      <c r="B13" s="7">
        <v>1.0</v>
      </c>
      <c r="C13" s="13">
        <v>630.0</v>
      </c>
      <c r="D13" s="7">
        <f t="shared" ref="D13:D15" si="1">B13*C13</f>
        <v>630</v>
      </c>
      <c r="E13" s="7">
        <f>D13*ProcessEF</f>
        <v>0.01632353562</v>
      </c>
      <c r="F13" s="7">
        <f>D13*EmbodiedEF</f>
        <v>0.019612341</v>
      </c>
      <c r="G13" s="7">
        <f t="shared" ref="G13:G15" si="2">E13+F13</f>
        <v>0.03593587662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 t="s">
        <v>30</v>
      </c>
      <c r="B14" s="8">
        <v>3.0</v>
      </c>
      <c r="C14" s="8">
        <v>552.0</v>
      </c>
      <c r="D14" s="8">
        <f t="shared" si="1"/>
        <v>1656</v>
      </c>
      <c r="E14" s="8">
        <f>D14*ProcessEF</f>
        <v>0.04290757934</v>
      </c>
      <c r="F14" s="8">
        <f>D14*EmbodiedEF</f>
        <v>0.0515524392</v>
      </c>
      <c r="G14" s="8">
        <f t="shared" si="2"/>
        <v>0.09446001854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 t="s">
        <v>31</v>
      </c>
      <c r="B15" s="8">
        <v>7.0</v>
      </c>
      <c r="C15" s="8">
        <v>2304.0</v>
      </c>
      <c r="D15" s="8">
        <f t="shared" si="1"/>
        <v>16128</v>
      </c>
      <c r="E15" s="8">
        <f>D15*ProcessEF</f>
        <v>0.4178825119</v>
      </c>
      <c r="F15" s="8">
        <f>D15*EmbodiedEF</f>
        <v>0.5020759296</v>
      </c>
      <c r="G15" s="8">
        <f t="shared" si="2"/>
        <v>0.9199584415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 t="s">
        <v>32</v>
      </c>
      <c r="B16" s="6">
        <f>SUM(B13:B15)</f>
        <v>11</v>
      </c>
      <c r="C16" s="6"/>
      <c r="D16" s="6">
        <f t="shared" ref="D16:G16" si="3">SUM(D13:D15)</f>
        <v>18414</v>
      </c>
      <c r="E16" s="6">
        <f t="shared" si="3"/>
        <v>0.4771136268</v>
      </c>
      <c r="F16" s="6">
        <f t="shared" si="3"/>
        <v>0.5732407098</v>
      </c>
      <c r="G16" s="6">
        <f t="shared" si="3"/>
        <v>1.050354337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7"/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7"/>
      <c r="B18" s="7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D7"/>
    <hyperlink r:id="rId2" ref="D8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13"/>
    <col customWidth="1" min="2" max="2" width="23.88"/>
    <col customWidth="1" min="3" max="3" width="16.25"/>
    <col customWidth="1" min="4" max="4" width="39.25"/>
    <col customWidth="1" min="5" max="5" width="8.13"/>
    <col customWidth="1" min="6" max="6" width="8.63"/>
    <col customWidth="1" min="7" max="7" width="18.0"/>
    <col customWidth="1" min="8" max="8" width="14.63"/>
    <col customWidth="1" min="9" max="9" width="16.25"/>
    <col customWidth="1" min="10" max="10" width="12.75"/>
    <col customWidth="1" min="11" max="11" width="71.63"/>
  </cols>
  <sheetData>
    <row r="1">
      <c r="A1" s="7" t="s">
        <v>6</v>
      </c>
      <c r="B1" s="7" t="s">
        <v>7</v>
      </c>
      <c r="C1" s="8"/>
      <c r="D1" s="8"/>
      <c r="E1" s="8"/>
      <c r="F1" s="8"/>
      <c r="G1" s="14" t="s">
        <v>33</v>
      </c>
      <c r="H1" s="14">
        <v>36.0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8</v>
      </c>
      <c r="B2" s="1" t="s">
        <v>34</v>
      </c>
      <c r="C2" s="8"/>
      <c r="D2" s="8"/>
      <c r="E2" s="8"/>
      <c r="F2" s="8"/>
      <c r="G2" s="14" t="s">
        <v>35</v>
      </c>
      <c r="H2" s="14">
        <v>57.6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36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13</v>
      </c>
      <c r="B5" s="7" t="s">
        <v>14</v>
      </c>
      <c r="C5" s="7" t="s">
        <v>15</v>
      </c>
      <c r="D5" s="7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37</v>
      </c>
      <c r="B6" s="7">
        <v>1.384E-4</v>
      </c>
      <c r="C6" s="7" t="s">
        <v>38</v>
      </c>
      <c r="D6" s="1" t="s">
        <v>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39</v>
      </c>
      <c r="B7" s="7">
        <v>1.927908256E-4</v>
      </c>
      <c r="C7" s="7" t="s">
        <v>40</v>
      </c>
      <c r="D7" s="7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7" t="s">
        <v>49</v>
      </c>
      <c r="J9" s="7" t="s">
        <v>50</v>
      </c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51</v>
      </c>
      <c r="B10" s="7" t="s">
        <v>52</v>
      </c>
      <c r="C10" s="7" t="s">
        <v>53</v>
      </c>
      <c r="D10" s="7" t="s">
        <v>54</v>
      </c>
      <c r="E10" s="7" t="s">
        <v>55</v>
      </c>
      <c r="F10" s="7">
        <v>1201.0</v>
      </c>
      <c r="G10" s="2">
        <f t="shared" ref="G10:G13" si="1">$H$1*$H$2/1000</f>
        <v>2.0736</v>
      </c>
      <c r="H10" s="2">
        <f>G10*F10*ProcessEF_Truck</f>
        <v>0.3446704742</v>
      </c>
      <c r="I10" s="7">
        <f>F10*EmbodiedEF_Truck</f>
        <v>0.2315417815</v>
      </c>
      <c r="J10" s="2">
        <f t="shared" ref="J10:J13" si="2">H10+I10</f>
        <v>0.5762122558</v>
      </c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56</v>
      </c>
      <c r="B11" s="7" t="s">
        <v>52</v>
      </c>
      <c r="C11" s="7" t="s">
        <v>53</v>
      </c>
      <c r="D11" s="7" t="s">
        <v>54</v>
      </c>
      <c r="E11" s="7" t="s">
        <v>57</v>
      </c>
      <c r="F11" s="7">
        <v>1201.0</v>
      </c>
      <c r="G11" s="2">
        <f t="shared" si="1"/>
        <v>2.0736</v>
      </c>
      <c r="H11" s="2">
        <f>G11*F11*ProcessEF_Truck</f>
        <v>0.3446704742</v>
      </c>
      <c r="I11" s="7">
        <f>F11*EmbodiedEF_Truck</f>
        <v>0.2315417815</v>
      </c>
      <c r="J11" s="2">
        <f t="shared" si="2"/>
        <v>0.5762122558</v>
      </c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58</v>
      </c>
      <c r="B12" s="7" t="s">
        <v>52</v>
      </c>
      <c r="C12" s="7" t="s">
        <v>53</v>
      </c>
      <c r="D12" s="7" t="s">
        <v>54</v>
      </c>
      <c r="E12" s="7" t="s">
        <v>59</v>
      </c>
      <c r="F12" s="7">
        <v>1201.0</v>
      </c>
      <c r="G12" s="2">
        <f t="shared" si="1"/>
        <v>2.0736</v>
      </c>
      <c r="H12" s="2">
        <f>G12*F12*ProcessEF_Truck</f>
        <v>0.3446704742</v>
      </c>
      <c r="I12" s="7">
        <f>F12*EmbodiedEF_Truck</f>
        <v>0.2315417815</v>
      </c>
      <c r="J12" s="2">
        <f t="shared" si="2"/>
        <v>0.5762122558</v>
      </c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60</v>
      </c>
      <c r="B13" s="7" t="s">
        <v>52</v>
      </c>
      <c r="C13" s="7" t="s">
        <v>53</v>
      </c>
      <c r="D13" s="7" t="s">
        <v>54</v>
      </c>
      <c r="E13" s="7" t="s">
        <v>61</v>
      </c>
      <c r="F13" s="7">
        <v>1201.0</v>
      </c>
      <c r="G13" s="2">
        <f t="shared" si="1"/>
        <v>2.0736</v>
      </c>
      <c r="H13" s="2">
        <f>G13*F13*ProcessEF_Truck</f>
        <v>0.3446704742</v>
      </c>
      <c r="I13" s="7">
        <f>F13*EmbodiedEF_Truck</f>
        <v>0.2315417815</v>
      </c>
      <c r="J13" s="2">
        <f t="shared" si="2"/>
        <v>0.5762122558</v>
      </c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" t="s">
        <v>62</v>
      </c>
      <c r="B14" s="8"/>
      <c r="C14" s="8"/>
      <c r="D14" s="8"/>
      <c r="E14" s="8"/>
      <c r="F14" s="8"/>
      <c r="G14" s="8"/>
      <c r="H14" s="2">
        <f t="shared" ref="H14:J14" si="3">H10+H11+H12+H13</f>
        <v>1.378681897</v>
      </c>
      <c r="I14" s="2">
        <f t="shared" si="3"/>
        <v>0.9261671262</v>
      </c>
      <c r="J14" s="2">
        <f t="shared" si="3"/>
        <v>2.304849023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5"/>
    <col customWidth="1" min="3" max="3" width="10.75"/>
    <col customWidth="1" min="4" max="4" width="16.5"/>
    <col customWidth="1" min="5" max="5" width="16.88"/>
    <col customWidth="1" min="6" max="6" width="5.88"/>
    <col customWidth="1" min="7" max="7" width="26.0"/>
    <col customWidth="1" min="8" max="8" width="28.0"/>
    <col customWidth="1" min="9" max="9" width="16.5"/>
    <col customWidth="1" min="10" max="26" width="8.63"/>
  </cols>
  <sheetData>
    <row r="1" ht="14.25" customHeight="1">
      <c r="A1" s="6" t="s">
        <v>63</v>
      </c>
      <c r="B1" s="6" t="s">
        <v>64</v>
      </c>
      <c r="C1" s="6" t="s">
        <v>65</v>
      </c>
      <c r="D1" s="6" t="s">
        <v>43</v>
      </c>
      <c r="E1" s="6" t="s">
        <v>44</v>
      </c>
      <c r="F1" s="6" t="s">
        <v>66</v>
      </c>
      <c r="G1" s="6" t="s">
        <v>26</v>
      </c>
      <c r="H1" s="6" t="s">
        <v>27</v>
      </c>
      <c r="I1" s="6" t="s">
        <v>67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15" t="s">
        <v>68</v>
      </c>
      <c r="B2" s="15" t="s">
        <v>68</v>
      </c>
      <c r="C2" s="7" t="s">
        <v>69</v>
      </c>
      <c r="D2" s="7" t="s">
        <v>70</v>
      </c>
      <c r="E2" s="7" t="s">
        <v>71</v>
      </c>
      <c r="F2" s="13">
        <v>630.0</v>
      </c>
      <c r="G2" s="7">
        <f>F2*ProcessEF</f>
        <v>0.01632353562</v>
      </c>
      <c r="H2" s="7">
        <f>F2*EmbodiedEF</f>
        <v>0.019612341</v>
      </c>
      <c r="I2" s="7" t="s">
        <v>72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5" t="s">
        <v>73</v>
      </c>
      <c r="B3" s="15" t="s">
        <v>73</v>
      </c>
      <c r="C3" s="7" t="s">
        <v>74</v>
      </c>
      <c r="D3" s="7" t="s">
        <v>75</v>
      </c>
      <c r="E3" s="7" t="s">
        <v>76</v>
      </c>
      <c r="F3" s="13">
        <v>552.0</v>
      </c>
      <c r="G3" s="7">
        <f>F3*ProcessEF</f>
        <v>0.01430252645</v>
      </c>
      <c r="H3" s="7">
        <f>F3*EmbodiedEF</f>
        <v>0.0171841464</v>
      </c>
      <c r="I3" s="7" t="s">
        <v>72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 t="s">
        <v>73</v>
      </c>
      <c r="B4" s="15" t="s">
        <v>73</v>
      </c>
      <c r="C4" s="7" t="s">
        <v>77</v>
      </c>
      <c r="D4" s="7" t="s">
        <v>75</v>
      </c>
      <c r="E4" s="7" t="s">
        <v>76</v>
      </c>
      <c r="F4" s="13">
        <v>552.0</v>
      </c>
      <c r="G4" s="7">
        <f>F4*ProcessEF</f>
        <v>0.01430252645</v>
      </c>
      <c r="H4" s="7">
        <f>F4*EmbodiedEF</f>
        <v>0.0171841464</v>
      </c>
      <c r="I4" s="7" t="s">
        <v>72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6" t="s">
        <v>73</v>
      </c>
      <c r="B5" s="16" t="s">
        <v>73</v>
      </c>
      <c r="C5" s="7" t="s">
        <v>78</v>
      </c>
      <c r="D5" s="7" t="s">
        <v>75</v>
      </c>
      <c r="E5" s="7" t="s">
        <v>76</v>
      </c>
      <c r="F5" s="13">
        <v>552.0</v>
      </c>
      <c r="G5" s="7">
        <f>F5*ProcessEF</f>
        <v>0.01430252645</v>
      </c>
      <c r="H5" s="7">
        <f>F5*EmbodiedEF</f>
        <v>0.0171841464</v>
      </c>
      <c r="I5" s="7" t="s">
        <v>72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6" t="s">
        <v>79</v>
      </c>
      <c r="B6" s="16" t="s">
        <v>79</v>
      </c>
      <c r="C6" s="7" t="s">
        <v>80</v>
      </c>
      <c r="D6" s="7" t="s">
        <v>81</v>
      </c>
      <c r="E6" s="7" t="s">
        <v>71</v>
      </c>
      <c r="F6" s="13">
        <v>2304.0</v>
      </c>
      <c r="G6" s="7">
        <f>F6*ProcessEF</f>
        <v>0.0596975017</v>
      </c>
      <c r="H6" s="7">
        <f>F6*EmbodiedEF</f>
        <v>0.0717251328</v>
      </c>
      <c r="I6" s="7" t="s">
        <v>72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6" t="s">
        <v>82</v>
      </c>
      <c r="B7" s="16" t="s">
        <v>82</v>
      </c>
      <c r="C7" s="7" t="s">
        <v>83</v>
      </c>
      <c r="D7" s="7" t="s">
        <v>81</v>
      </c>
      <c r="E7" s="7" t="s">
        <v>71</v>
      </c>
      <c r="F7" s="13">
        <v>2304.0</v>
      </c>
      <c r="G7" s="7">
        <f>F7*ProcessEF</f>
        <v>0.0596975017</v>
      </c>
      <c r="H7" s="7">
        <f>F7*EmbodiedEF</f>
        <v>0.0717251328</v>
      </c>
      <c r="I7" s="7" t="s">
        <v>72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6" t="s">
        <v>82</v>
      </c>
      <c r="B8" s="16" t="s">
        <v>82</v>
      </c>
      <c r="C8" s="7" t="s">
        <v>84</v>
      </c>
      <c r="D8" s="7" t="s">
        <v>81</v>
      </c>
      <c r="E8" s="7" t="s">
        <v>71</v>
      </c>
      <c r="F8" s="13">
        <v>2304.0</v>
      </c>
      <c r="G8" s="7">
        <f>F8*ProcessEF</f>
        <v>0.0596975017</v>
      </c>
      <c r="H8" s="7">
        <f>F8*EmbodiedEF</f>
        <v>0.0717251328</v>
      </c>
      <c r="I8" s="7" t="s">
        <v>72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6" t="s">
        <v>82</v>
      </c>
      <c r="B9" s="16" t="s">
        <v>82</v>
      </c>
      <c r="C9" s="7" t="s">
        <v>85</v>
      </c>
      <c r="D9" s="7" t="s">
        <v>81</v>
      </c>
      <c r="E9" s="7" t="s">
        <v>71</v>
      </c>
      <c r="F9" s="7">
        <v>2304.0</v>
      </c>
      <c r="G9" s="7">
        <f>F9*ProcessEF</f>
        <v>0.0596975017</v>
      </c>
      <c r="H9" s="7">
        <f>F9*EmbodiedEF</f>
        <v>0.0717251328</v>
      </c>
      <c r="I9" s="7" t="s">
        <v>72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16" t="s">
        <v>82</v>
      </c>
      <c r="B10" s="8" t="s">
        <v>82</v>
      </c>
      <c r="C10" s="7" t="s">
        <v>86</v>
      </c>
      <c r="D10" s="13" t="s">
        <v>81</v>
      </c>
      <c r="E10" s="7" t="s">
        <v>71</v>
      </c>
      <c r="F10" s="13">
        <v>2304.0</v>
      </c>
      <c r="G10" s="7">
        <f>F10*ProcessEF</f>
        <v>0.0596975017</v>
      </c>
      <c r="H10" s="7">
        <f>F10*EmbodiedEF</f>
        <v>0.0717251328</v>
      </c>
      <c r="I10" s="7" t="s">
        <v>72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6" t="s">
        <v>82</v>
      </c>
      <c r="B11" s="6" t="s">
        <v>82</v>
      </c>
      <c r="C11" s="6" t="s">
        <v>87</v>
      </c>
      <c r="D11" s="6" t="s">
        <v>81</v>
      </c>
      <c r="E11" s="6" t="s">
        <v>71</v>
      </c>
      <c r="F11" s="6">
        <v>2304.0</v>
      </c>
      <c r="G11" s="6">
        <f>F11*ProcessEF</f>
        <v>0.0596975017</v>
      </c>
      <c r="H11" s="6">
        <f>F11*EmbodiedEF</f>
        <v>0.0717251328</v>
      </c>
      <c r="I11" s="6" t="s">
        <v>72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8" t="s">
        <v>82</v>
      </c>
      <c r="B12" s="8" t="s">
        <v>82</v>
      </c>
      <c r="C12" s="8" t="s">
        <v>88</v>
      </c>
      <c r="D12" s="8" t="s">
        <v>81</v>
      </c>
      <c r="E12" s="8" t="s">
        <v>71</v>
      </c>
      <c r="F12" s="8">
        <v>2304.0</v>
      </c>
      <c r="G12" s="8">
        <f>F12*ProcessEF</f>
        <v>0.0596975017</v>
      </c>
      <c r="H12" s="8">
        <f>F12*EmbodiedEF</f>
        <v>0.0717251328</v>
      </c>
      <c r="I12" s="8" t="s">
        <v>72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 t="s">
        <v>32</v>
      </c>
      <c r="B13" s="8"/>
      <c r="C13" s="8"/>
      <c r="D13" s="8"/>
      <c r="E13" s="8"/>
      <c r="F13" s="8">
        <f t="shared" ref="F13:H13" si="1">SUM(F2:F12)</f>
        <v>18414</v>
      </c>
      <c r="G13" s="8">
        <f t="shared" si="1"/>
        <v>0.4771136268</v>
      </c>
      <c r="H13" s="8">
        <f t="shared" si="1"/>
        <v>0.5732407098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8.0"/>
    <col customWidth="1" min="3" max="3" width="10.13"/>
    <col customWidth="1" min="4" max="6" width="12.63"/>
  </cols>
  <sheetData>
    <row r="1">
      <c r="A1" s="17" t="s">
        <v>43</v>
      </c>
      <c r="B1" s="17" t="s">
        <v>44</v>
      </c>
      <c r="C1" s="17" t="s">
        <v>89</v>
      </c>
      <c r="D1" s="17" t="s">
        <v>16</v>
      </c>
      <c r="E1" s="8"/>
      <c r="F1" s="8"/>
    </row>
    <row r="2">
      <c r="A2" s="7" t="s">
        <v>71</v>
      </c>
      <c r="B2" s="7" t="s">
        <v>90</v>
      </c>
      <c r="C2" s="7">
        <v>2180.0</v>
      </c>
      <c r="D2" s="1" t="s">
        <v>91</v>
      </c>
      <c r="E2" s="8"/>
      <c r="F2" s="8"/>
    </row>
    <row r="3">
      <c r="A3" s="7" t="s">
        <v>71</v>
      </c>
      <c r="B3" s="7" t="s">
        <v>75</v>
      </c>
      <c r="C3" s="13">
        <v>2199.0</v>
      </c>
      <c r="D3" s="1" t="s">
        <v>91</v>
      </c>
      <c r="E3" s="8"/>
      <c r="F3" s="8"/>
    </row>
    <row r="4">
      <c r="A4" s="7" t="s">
        <v>71</v>
      </c>
      <c r="B4" s="7" t="s">
        <v>70</v>
      </c>
      <c r="C4" s="7">
        <v>630.0</v>
      </c>
      <c r="D4" s="1" t="s">
        <v>91</v>
      </c>
      <c r="E4" s="8"/>
      <c r="F4" s="8"/>
    </row>
    <row r="5">
      <c r="A5" s="7" t="s">
        <v>71</v>
      </c>
      <c r="B5" s="13" t="s">
        <v>92</v>
      </c>
      <c r="C5" s="7">
        <v>1580.0</v>
      </c>
      <c r="D5" s="1" t="s">
        <v>91</v>
      </c>
      <c r="E5" s="8"/>
      <c r="F5" s="8"/>
    </row>
    <row r="6">
      <c r="A6" s="7" t="s">
        <v>75</v>
      </c>
      <c r="B6" s="13" t="s">
        <v>92</v>
      </c>
      <c r="C6" s="7">
        <v>950.0</v>
      </c>
      <c r="D6" s="1" t="s">
        <v>91</v>
      </c>
      <c r="E6" s="8"/>
      <c r="F6" s="8"/>
    </row>
    <row r="7">
      <c r="A7" s="7" t="s">
        <v>93</v>
      </c>
      <c r="B7" s="7" t="s">
        <v>71</v>
      </c>
      <c r="C7" s="7">
        <v>3100.0</v>
      </c>
      <c r="D7" s="1" t="s">
        <v>91</v>
      </c>
      <c r="E7" s="8"/>
      <c r="F7" s="8"/>
    </row>
    <row r="8">
      <c r="A8" s="7" t="s">
        <v>94</v>
      </c>
      <c r="B8" s="7" t="s">
        <v>71</v>
      </c>
      <c r="C8" s="7">
        <v>2200.0</v>
      </c>
      <c r="D8" s="1" t="s">
        <v>91</v>
      </c>
      <c r="E8" s="8"/>
      <c r="F8" s="8"/>
    </row>
    <row r="9">
      <c r="A9" s="7" t="s">
        <v>95</v>
      </c>
      <c r="B9" s="7" t="s">
        <v>96</v>
      </c>
      <c r="C9" s="7">
        <v>1820.0</v>
      </c>
      <c r="D9" s="1" t="s">
        <v>91</v>
      </c>
      <c r="E9" s="8"/>
      <c r="F9" s="8"/>
    </row>
    <row r="10">
      <c r="A10" s="7" t="s">
        <v>97</v>
      </c>
      <c r="B10" s="7" t="s">
        <v>96</v>
      </c>
      <c r="C10" s="7">
        <v>780.0</v>
      </c>
      <c r="D10" s="1" t="s">
        <v>91</v>
      </c>
      <c r="E10" s="8"/>
      <c r="F10" s="8"/>
    </row>
    <row r="11">
      <c r="A11" s="7" t="s">
        <v>76</v>
      </c>
      <c r="B11" s="7" t="s">
        <v>98</v>
      </c>
      <c r="C11" s="7">
        <v>115.0</v>
      </c>
      <c r="D11" s="1" t="s">
        <v>91</v>
      </c>
      <c r="E11" s="8"/>
      <c r="F11" s="8"/>
    </row>
    <row r="12">
      <c r="A12" s="7" t="s">
        <v>70</v>
      </c>
      <c r="B12" s="7" t="s">
        <v>71</v>
      </c>
      <c r="C12" s="7">
        <v>630.0</v>
      </c>
      <c r="D12" s="1" t="s">
        <v>91</v>
      </c>
      <c r="E12" s="8"/>
      <c r="F12" s="8"/>
    </row>
    <row r="13">
      <c r="A13" s="7" t="s">
        <v>75</v>
      </c>
      <c r="B13" s="7" t="s">
        <v>99</v>
      </c>
      <c r="C13" s="7">
        <v>80.0</v>
      </c>
      <c r="D13" s="1" t="s">
        <v>91</v>
      </c>
      <c r="E13" s="8"/>
      <c r="F13" s="8"/>
    </row>
    <row r="14">
      <c r="A14" s="13" t="s">
        <v>92</v>
      </c>
      <c r="B14" s="7" t="s">
        <v>70</v>
      </c>
      <c r="C14" s="7">
        <v>820.0</v>
      </c>
      <c r="D14" s="1" t="s">
        <v>91</v>
      </c>
      <c r="E14" s="8"/>
      <c r="F14" s="8"/>
    </row>
    <row r="15">
      <c r="A15" s="7" t="s">
        <v>90</v>
      </c>
      <c r="B15" s="7" t="s">
        <v>75</v>
      </c>
      <c r="C15" s="7">
        <v>1200.0</v>
      </c>
      <c r="D15" s="1" t="s">
        <v>91</v>
      </c>
      <c r="E15" s="8"/>
      <c r="F15" s="8"/>
    </row>
    <row r="16">
      <c r="A16" s="17" t="s">
        <v>75</v>
      </c>
      <c r="B16" s="17" t="s">
        <v>76</v>
      </c>
      <c r="C16" s="17">
        <v>552.0</v>
      </c>
      <c r="D16" s="1" t="s">
        <v>91</v>
      </c>
      <c r="E16" s="8"/>
      <c r="F16" s="8"/>
    </row>
    <row r="17">
      <c r="A17" s="17" t="s">
        <v>81</v>
      </c>
      <c r="B17" s="17" t="s">
        <v>71</v>
      </c>
      <c r="C17" s="17">
        <v>2304.0</v>
      </c>
      <c r="D17" s="1" t="s">
        <v>91</v>
      </c>
      <c r="E17" s="8"/>
      <c r="F17" s="8"/>
    </row>
    <row r="18">
      <c r="A18" s="8"/>
      <c r="B18" s="8"/>
      <c r="C18" s="8"/>
      <c r="D18" s="8"/>
      <c r="E18" s="8"/>
      <c r="F18" s="8"/>
    </row>
    <row r="19">
      <c r="A19" s="8"/>
      <c r="B19" s="8"/>
      <c r="C19" s="8"/>
      <c r="D19" s="8"/>
      <c r="E19" s="8"/>
      <c r="F19" s="8"/>
    </row>
    <row r="20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2026-03-27T17:22:44Z</dcterms:created>
  <dc:creator>Garrett Lutz</dc:creator>
</cp:coreProperties>
</file>