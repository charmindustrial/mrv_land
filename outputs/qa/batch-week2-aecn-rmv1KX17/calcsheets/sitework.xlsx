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ite Projects" sheetId="2" r:id="rId5"/>
    <sheet state="hidden" name="Crane Sitework" sheetId="3" r:id="rId6"/>
    <sheet state="hidden" name="Scale Tickets &amp; Transport" sheetId="4" r:id="rId7"/>
  </sheets>
  <definedNames/>
  <calcPr/>
  <extLst>
    <ext uri="GoogleSheetsCustomDataVersion2">
      <go:sheetsCustomData xmlns:go="http://customooxmlschemas.google.com/" r:id="rId8" roundtripDataChecksum="HUkO8eLqZpkb13u2WKooNg688IYfa0VMr9tEbBM+keY="/>
    </ext>
  </extLst>
</workbook>
</file>

<file path=xl/sharedStrings.xml><?xml version="1.0" encoding="utf-8"?>
<sst xmlns="http://schemas.openxmlformats.org/spreadsheetml/2006/main" count="104" uniqueCount="62">
  <si>
    <t>Total Diesel Emissions (kg)</t>
  </si>
  <si>
    <t>Total Diesel Emissions (MT)</t>
  </si>
  <si>
    <t>Total Non-Diesel Emissions (kg)</t>
  </si>
  <si>
    <t>Total Non-Diesel Emissions (MT)</t>
  </si>
  <si>
    <t>Total Emissions (kg)</t>
  </si>
  <si>
    <t>Total Emissions (MT)</t>
  </si>
  <si>
    <t>Factors</t>
  </si>
  <si>
    <t>Gallons per 100 miles</t>
  </si>
  <si>
    <t>Gallons per hour</t>
  </si>
  <si>
    <t>MT CO2e/kg</t>
  </si>
  <si>
    <t>Date</t>
  </si>
  <si>
    <t>Equipment/Activity</t>
  </si>
  <si>
    <t>Unit</t>
  </si>
  <si>
    <t>Quantity</t>
  </si>
  <si>
    <t>GWP/Unit</t>
  </si>
  <si>
    <t>Total GWP (MT)</t>
  </si>
  <si>
    <t>Notes</t>
  </si>
  <si>
    <t>Source</t>
  </si>
  <si>
    <t>Diesel</t>
  </si>
  <si>
    <t>Standard Chevy Silverado Gallons per 100 miles</t>
  </si>
  <si>
    <t>https://www.fueleconomy.gov/feg/byclass/Standard_Pickup_Trucks_2WD2025.shtml</t>
  </si>
  <si>
    <t>Welding</t>
  </si>
  <si>
    <t>Hours</t>
  </si>
  <si>
    <t>Gasoline</t>
  </si>
  <si>
    <t>Standard Ford F150 Pickup Gallons per 100 miles</t>
  </si>
  <si>
    <t>https://www.energy.gov/eere/vehicles/fact-861-february-23-2015-idle-fuel-consumption-selected-gasoline-and-diesel-vehicles</t>
  </si>
  <si>
    <t>Combination Truck Idling Rate (Diesel)</t>
  </si>
  <si>
    <t>Gasoline Consumption (Total WTW)</t>
  </si>
  <si>
    <t>GLEC V3.2 2025</t>
  </si>
  <si>
    <t>Diesel Fuel Combustion (Total WTW)</t>
  </si>
  <si>
    <t>Miles per gallon</t>
  </si>
  <si>
    <t>https://www.bellford.com/ford-f-150-mpg/</t>
  </si>
  <si>
    <t>Used worst MPG in chart High-Output 5.2L Supercharged V-8</t>
  </si>
  <si>
    <t>Gasoline kg/gal</t>
  </si>
  <si>
    <t>Diesel kg/gal</t>
  </si>
  <si>
    <t>Sitework Emissions - Limestone Project</t>
  </si>
  <si>
    <t>kg of Fuel</t>
  </si>
  <si>
    <t>Gallons were communicated to site manager from vendor</t>
  </si>
  <si>
    <t>Medium Heavy Truck (Gasoline)</t>
  </si>
  <si>
    <t>Combination Truck (Diesel)</t>
  </si>
  <si>
    <t>MTCO2e/kg fuel</t>
  </si>
  <si>
    <t>Total (MT)</t>
  </si>
  <si>
    <t>BCU (kg)</t>
  </si>
  <si>
    <t>D5K Dozer Gallons per Hour</t>
  </si>
  <si>
    <t>CS44B Gallons per Hour</t>
  </si>
  <si>
    <t>Total MT CO2e</t>
  </si>
  <si>
    <t>Total kg CO2e</t>
  </si>
  <si>
    <t>Type</t>
  </si>
  <si>
    <t>Weight (MT)</t>
  </si>
  <si>
    <t>US Ton</t>
  </si>
  <si>
    <t>Tonne-Miles</t>
  </si>
  <si>
    <t>GWP</t>
  </si>
  <si>
    <t>Miles</t>
  </si>
  <si>
    <t xml:space="preserve">Total </t>
  </si>
  <si>
    <t>Process Emissions (MT)</t>
  </si>
  <si>
    <t>Embodied Emissions (MT)</t>
  </si>
  <si>
    <t>Process Emissions (kg)</t>
  </si>
  <si>
    <t>Embodied Emissions (kg)</t>
  </si>
  <si>
    <t>Limestone EE (kg)</t>
  </si>
  <si>
    <t>Limestone EE (MT)</t>
  </si>
  <si>
    <t>Total Process Emissions (MT)</t>
  </si>
  <si>
    <t>Total EE 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</si>
</sst>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"/>
    <numFmt numFmtId="166" formatCode="#,##0.0000000000"/>
  </numFmts>
  <fonts count="14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b/>
      <sz val="13.0"/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color rgb="FF1155CC"/>
      <name val="Arial"/>
    </font>
    <font>
      <u/>
      <color rgb="FF0000FF"/>
      <name val="Arial"/>
    </font>
    <font>
      <u/>
      <color theme="1"/>
      <name val="Arial"/>
    </font>
    <font>
      <sz val="11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4" numFmtId="0" xfId="0" applyBorder="1" applyFont="1"/>
    <xf borderId="0" fillId="2" fontId="2" numFmtId="0" xfId="0" applyFill="1" applyFont="1"/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Fill="1" applyFont="1"/>
    <xf borderId="0" fillId="0" fontId="2" numFmtId="0" xfId="0" applyAlignment="1" applyFont="1">
      <alignment horizontal="right" readingOrder="0" vertical="bottom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3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 vertical="bottom"/>
    </xf>
    <xf borderId="0" fillId="0" fontId="2" numFmtId="164" xfId="0" applyFont="1" applyNumberFormat="1"/>
    <xf borderId="0" fillId="5" fontId="2" numFmtId="0" xfId="0" applyFill="1" applyFont="1"/>
    <xf borderId="0" fillId="0" fontId="2" numFmtId="165" xfId="0" applyFont="1" applyNumberFormat="1"/>
    <xf borderId="0" fillId="0" fontId="2" numFmtId="1" xfId="0" applyFont="1" applyNumberFormat="1"/>
    <xf borderId="0" fillId="0" fontId="3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10" numFmtId="0" xfId="0" applyAlignment="1" applyFont="1">
      <alignment shrinkToFit="0" vertical="bottom" wrapText="1"/>
    </xf>
    <xf borderId="0" fillId="0" fontId="11" numFmtId="0" xfId="0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2" numFmtId="4" xfId="0" applyFont="1" applyNumberFormat="1"/>
    <xf borderId="0" fillId="0" fontId="2" numFmtId="2" xfId="0" applyFont="1" applyNumberForma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ueleconomy.gov/feg/byclass/Standard_Pickup_Trucks_2WD2025.shtml" TargetMode="External"/><Relationship Id="rId2" Type="http://schemas.openxmlformats.org/officeDocument/2006/relationships/hyperlink" Target="https://www.fueleconomy.gov/feg/byclass/Standard_Pickup_Trucks_2WD2025.shtml" TargetMode="External"/><Relationship Id="rId3" Type="http://schemas.openxmlformats.org/officeDocument/2006/relationships/hyperlink" Target="https://www.energy.gov/eere/vehicles/fact-861-february-23-2015-idle-fuel-consumption-selected-gasoline-and-diesel-vehicles" TargetMode="External"/><Relationship Id="rId4" Type="http://schemas.openxmlformats.org/officeDocument/2006/relationships/hyperlink" Target="https://www.energy.gov/eere/vehicles/fact-861-february-23-2015-idle-fuel-consumption-selected-gasoline-and-diesel-vehicles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bellford.com/ford-f-150-mpg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nergy.gov/eere/vehicles/fact-861-february-23-2015-idle-fuel-consumption-selected-gasoline-and-diesel-vehicles" TargetMode="External"/><Relationship Id="rId2" Type="http://schemas.openxmlformats.org/officeDocument/2006/relationships/hyperlink" Target="https://www.energy.gov/eere/vehicles/fact-861-february-23-2015-idle-fuel-consumption-selected-gasoline-and-diesel-vehicles" TargetMode="External"/><Relationship Id="rId3" Type="http://schemas.openxmlformats.org/officeDocument/2006/relationships/hyperlink" Target="https://smart-freight-centre-media.s3.amazonaws.com/documents/GLEC_FRAMEWORK_v3_UPDATED_04_12_24.pd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www.bellford.com/ford-f-150-mpg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circularecology.com/embodied-carbon-footprint-database.html" TargetMode="External"/><Relationship Id="rId4" Type="http://schemas.openxmlformats.org/officeDocument/2006/relationships/hyperlink" Target="https://drive.google.com/file/d/1JezuCHD_JkOR8G0f85nMJx_fQ6s-MFmz/view?usp=sharing" TargetMode="External"/><Relationship Id="rId5" Type="http://schemas.openxmlformats.org/officeDocument/2006/relationships/hyperlink" Target="https://drive.google.com/file/d/1Svnj3dEkniSHX8M9oehrwfEtg01SgyuM/view?usp=sharing" TargetMode="External"/><Relationship Id="rId6" Type="http://schemas.openxmlformats.org/officeDocument/2006/relationships/hyperlink" Target="https://drive.google.com/file/d/1zRTCW1aaJVMcpZQ2nU4XueJf2DF8xiwI/view?usp=sharing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6" width="12.63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2">
        <f>B3*1000</f>
        <v>366.0522705</v>
      </c>
      <c r="C2" s="3"/>
      <c r="D2" s="1"/>
      <c r="E2" s="1"/>
      <c r="F2" s="1"/>
    </row>
    <row r="3">
      <c r="A3" s="2" t="s">
        <v>1</v>
      </c>
      <c r="B3" s="2">
        <f>'Site Projects'!F14</f>
        <v>0.3660522705</v>
      </c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2" t="s">
        <v>2</v>
      </c>
      <c r="B5" s="2"/>
      <c r="C5" s="3"/>
      <c r="D5" s="1"/>
      <c r="E5" s="1"/>
      <c r="F5" s="1"/>
    </row>
    <row r="6">
      <c r="A6" s="2" t="s">
        <v>3</v>
      </c>
      <c r="B6" s="2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2" t="s">
        <v>4</v>
      </c>
      <c r="B9" s="2">
        <f t="shared" ref="B9:B10" si="1">B5+B2</f>
        <v>366.0522705</v>
      </c>
      <c r="C9" s="1"/>
      <c r="D9" s="1"/>
      <c r="E9" s="1"/>
      <c r="F9" s="1"/>
    </row>
    <row r="10">
      <c r="A10" s="2" t="s">
        <v>5</v>
      </c>
      <c r="B10" s="2">
        <f t="shared" si="1"/>
        <v>0.3660522705</v>
      </c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4" width="12.63"/>
    <col customWidth="1" min="5" max="5" width="24.13"/>
    <col customWidth="1" min="6" max="6" width="17.0"/>
    <col customWidth="1" min="12" max="12" width="44.88"/>
    <col customWidth="1" min="13" max="13" width="17.13"/>
    <col customWidth="1" min="14" max="14" width="13.38"/>
  </cols>
  <sheetData>
    <row r="1" ht="15.75" customHeight="1">
      <c r="A1" s="4"/>
      <c r="B1" s="4"/>
      <c r="C1" s="4"/>
      <c r="D1" s="4"/>
      <c r="E1" s="4"/>
      <c r="F1" s="4"/>
      <c r="L1" s="1"/>
      <c r="M1" s="1"/>
      <c r="N1" s="1"/>
    </row>
    <row r="2" ht="15.75" customHeight="1">
      <c r="A2" s="4"/>
      <c r="B2" s="4"/>
      <c r="C2" s="4"/>
      <c r="D2" s="4"/>
      <c r="E2" s="4"/>
      <c r="F2" s="4"/>
      <c r="L2" s="2" t="s">
        <v>6</v>
      </c>
      <c r="M2" s="2" t="s">
        <v>7</v>
      </c>
      <c r="N2" s="2" t="s">
        <v>8</v>
      </c>
      <c r="O2" s="2" t="s">
        <v>9</v>
      </c>
    </row>
    <row r="3" ht="63.75" customHeight="1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J3" s="6" t="s">
        <v>18</v>
      </c>
      <c r="L3" s="7" t="s">
        <v>19</v>
      </c>
      <c r="M3" s="6">
        <f>3.8</f>
        <v>3.8</v>
      </c>
      <c r="N3" s="1"/>
      <c r="P3" s="8" t="s">
        <v>20</v>
      </c>
    </row>
    <row r="4" ht="49.5" customHeight="1">
      <c r="A4" s="9">
        <v>46168.0</v>
      </c>
      <c r="B4" s="10" t="s">
        <v>21</v>
      </c>
      <c r="C4" s="11" t="s">
        <v>22</v>
      </c>
      <c r="D4" s="12">
        <v>8.0</v>
      </c>
      <c r="E4" s="12">
        <f t="shared" ref="E4:E11" si="1">$N$6*$N$12*$O$8</f>
        <v>0.006100871175</v>
      </c>
      <c r="F4" s="12">
        <f t="shared" ref="F4:F11" si="2">E4*D4</f>
        <v>0.0488069694</v>
      </c>
      <c r="G4" s="7"/>
      <c r="H4" s="7"/>
      <c r="J4" s="13" t="s">
        <v>23</v>
      </c>
      <c r="L4" s="7" t="s">
        <v>24</v>
      </c>
      <c r="M4" s="13">
        <f>5.3</f>
        <v>5.3</v>
      </c>
      <c r="N4" s="1"/>
      <c r="P4" s="8" t="s">
        <v>20</v>
      </c>
    </row>
    <row r="5" ht="42.75" customHeight="1">
      <c r="A5" s="9">
        <v>46169.0</v>
      </c>
      <c r="B5" s="10" t="s">
        <v>21</v>
      </c>
      <c r="C5" s="11" t="s">
        <v>22</v>
      </c>
      <c r="D5" s="14">
        <v>4.0</v>
      </c>
      <c r="E5" s="12">
        <f t="shared" si="1"/>
        <v>0.006100871175</v>
      </c>
      <c r="F5" s="12">
        <f t="shared" si="2"/>
        <v>0.0244034847</v>
      </c>
      <c r="G5" s="7"/>
      <c r="H5" s="7"/>
      <c r="L5" s="7"/>
      <c r="M5" s="2"/>
      <c r="N5" s="13"/>
      <c r="O5" s="15" t="s">
        <v>25</v>
      </c>
    </row>
    <row r="6" ht="42.75" customHeight="1">
      <c r="A6" s="9">
        <v>46177.0</v>
      </c>
      <c r="B6" s="10" t="s">
        <v>21</v>
      </c>
      <c r="C6" s="11" t="s">
        <v>22</v>
      </c>
      <c r="D6" s="12">
        <v>8.0</v>
      </c>
      <c r="E6" s="12">
        <f t="shared" si="1"/>
        <v>0.006100871175</v>
      </c>
      <c r="F6" s="12">
        <f t="shared" si="2"/>
        <v>0.0488069694</v>
      </c>
      <c r="G6" s="7"/>
      <c r="H6" s="7"/>
      <c r="L6" s="7" t="s">
        <v>26</v>
      </c>
      <c r="M6" s="2"/>
      <c r="N6" s="6">
        <v>0.49</v>
      </c>
      <c r="O6" s="15" t="s">
        <v>25</v>
      </c>
    </row>
    <row r="7" ht="24.0" customHeight="1">
      <c r="A7" s="9">
        <v>46178.0</v>
      </c>
      <c r="B7" s="10" t="s">
        <v>21</v>
      </c>
      <c r="C7" s="11" t="s">
        <v>22</v>
      </c>
      <c r="D7" s="12">
        <v>8.0</v>
      </c>
      <c r="E7" s="12">
        <f t="shared" si="1"/>
        <v>0.006100871175</v>
      </c>
      <c r="F7" s="12">
        <f t="shared" si="2"/>
        <v>0.0488069694</v>
      </c>
      <c r="G7" s="7"/>
      <c r="H7" s="7"/>
      <c r="L7" s="16" t="s">
        <v>27</v>
      </c>
      <c r="M7" s="11"/>
      <c r="N7" s="11"/>
      <c r="O7" s="17">
        <f>3.74/1000</f>
        <v>0.00374</v>
      </c>
      <c r="P7" s="18" t="s">
        <v>28</v>
      </c>
      <c r="Q7" s="12"/>
      <c r="R7" s="18"/>
    </row>
    <row r="8" ht="27.75" customHeight="1">
      <c r="A8" s="9">
        <v>46181.0</v>
      </c>
      <c r="B8" s="10" t="s">
        <v>21</v>
      </c>
      <c r="C8" s="11" t="s">
        <v>22</v>
      </c>
      <c r="D8" s="12">
        <v>8.0</v>
      </c>
      <c r="E8" s="12">
        <f t="shared" si="1"/>
        <v>0.006100871175</v>
      </c>
      <c r="F8" s="12">
        <f t="shared" si="2"/>
        <v>0.0488069694</v>
      </c>
      <c r="G8" s="7"/>
      <c r="H8" s="7"/>
      <c r="L8" s="16" t="s">
        <v>29</v>
      </c>
      <c r="M8" s="11"/>
      <c r="N8" s="11"/>
      <c r="O8" s="19">
        <f>3.87/1000</f>
        <v>0.00387</v>
      </c>
      <c r="P8" s="18" t="s">
        <v>28</v>
      </c>
    </row>
    <row r="9" ht="29.25" customHeight="1">
      <c r="A9" s="9">
        <v>46183.0</v>
      </c>
      <c r="B9" s="10" t="s">
        <v>21</v>
      </c>
      <c r="C9" s="11" t="s">
        <v>22</v>
      </c>
      <c r="D9" s="12">
        <v>8.0</v>
      </c>
      <c r="E9" s="12">
        <f t="shared" si="1"/>
        <v>0.006100871175</v>
      </c>
      <c r="F9" s="12">
        <f t="shared" si="2"/>
        <v>0.0488069694</v>
      </c>
      <c r="G9" s="7"/>
      <c r="H9" s="7"/>
      <c r="L9" s="11" t="s">
        <v>30</v>
      </c>
      <c r="M9" s="11"/>
      <c r="N9" s="20">
        <v>10.0</v>
      </c>
      <c r="O9" s="21" t="s">
        <v>31</v>
      </c>
      <c r="P9" s="2" t="s">
        <v>32</v>
      </c>
    </row>
    <row r="10" ht="29.25" customHeight="1">
      <c r="A10" s="9">
        <v>46184.0</v>
      </c>
      <c r="B10" s="10" t="s">
        <v>21</v>
      </c>
      <c r="C10" s="11" t="s">
        <v>22</v>
      </c>
      <c r="D10" s="12">
        <v>8.0</v>
      </c>
      <c r="E10" s="12">
        <f t="shared" si="1"/>
        <v>0.006100871175</v>
      </c>
      <c r="F10" s="12">
        <f t="shared" si="2"/>
        <v>0.0488069694</v>
      </c>
      <c r="G10" s="16"/>
      <c r="H10" s="22"/>
      <c r="L10" s="11"/>
      <c r="M10" s="11"/>
      <c r="N10" s="11"/>
    </row>
    <row r="11" ht="29.25" customHeight="1">
      <c r="A11" s="9">
        <v>46185.0</v>
      </c>
      <c r="B11" s="10" t="s">
        <v>21</v>
      </c>
      <c r="C11" s="11" t="s">
        <v>22</v>
      </c>
      <c r="D11" s="12">
        <v>8.0</v>
      </c>
      <c r="E11" s="12">
        <f t="shared" si="1"/>
        <v>0.006100871175</v>
      </c>
      <c r="F11" s="12">
        <f t="shared" si="2"/>
        <v>0.0488069694</v>
      </c>
      <c r="G11" s="16"/>
      <c r="H11" s="22"/>
      <c r="L11" s="2" t="s">
        <v>33</v>
      </c>
      <c r="M11" s="2"/>
      <c r="N11" s="13">
        <v>2.76335</v>
      </c>
    </row>
    <row r="12" ht="29.25" customHeight="1">
      <c r="A12" s="9"/>
      <c r="B12" s="10"/>
      <c r="C12" s="11"/>
      <c r="D12" s="12"/>
      <c r="E12" s="12"/>
      <c r="F12" s="12"/>
      <c r="G12" s="16"/>
      <c r="H12" s="22"/>
      <c r="L12" s="2" t="s">
        <v>34</v>
      </c>
      <c r="M12" s="2"/>
      <c r="N12" s="6">
        <v>3.21725</v>
      </c>
    </row>
    <row r="13" ht="29.25" customHeight="1">
      <c r="A13" s="23"/>
      <c r="B13" s="2"/>
      <c r="C13" s="11"/>
      <c r="D13" s="12"/>
      <c r="E13" s="12"/>
      <c r="F13" s="12"/>
      <c r="G13" s="16"/>
      <c r="H13" s="22"/>
      <c r="L13" s="1"/>
      <c r="M13" s="1"/>
      <c r="N13" s="1"/>
    </row>
    <row r="14" ht="26.25" customHeight="1">
      <c r="A14" s="23"/>
      <c r="B14" s="2"/>
      <c r="C14" s="11"/>
      <c r="D14" s="12"/>
      <c r="E14" s="12"/>
      <c r="F14" s="12">
        <f>SUM(F4:F11)</f>
        <v>0.3660522705</v>
      </c>
      <c r="G14" s="16"/>
      <c r="H14" s="22"/>
      <c r="L14" s="1"/>
      <c r="M14" s="1"/>
      <c r="N14" s="1"/>
    </row>
    <row r="15" ht="26.25" customHeight="1">
      <c r="A15" s="23"/>
      <c r="B15" s="2"/>
      <c r="C15" s="11"/>
      <c r="D15" s="12"/>
      <c r="E15" s="12"/>
      <c r="F15" s="12"/>
      <c r="G15" s="16"/>
      <c r="H15" s="22"/>
      <c r="L15" s="1"/>
      <c r="M15" s="1"/>
      <c r="N15" s="1"/>
    </row>
    <row r="16" ht="26.25" customHeight="1">
      <c r="A16" s="24"/>
      <c r="B16" s="2"/>
      <c r="C16" s="11"/>
      <c r="D16" s="12"/>
      <c r="E16" s="12"/>
      <c r="F16" s="12"/>
      <c r="G16" s="16"/>
      <c r="H16" s="22"/>
      <c r="L16" s="1"/>
      <c r="M16" s="1"/>
      <c r="N16" s="1"/>
    </row>
    <row r="17" ht="26.25" customHeight="1">
      <c r="A17" s="24"/>
      <c r="B17" s="2"/>
      <c r="C17" s="11"/>
      <c r="D17" s="12"/>
      <c r="E17" s="12"/>
      <c r="F17" s="12"/>
      <c r="G17" s="16"/>
      <c r="H17" s="22"/>
      <c r="L17" s="2"/>
      <c r="M17" s="1"/>
      <c r="N17" s="1"/>
      <c r="O17" s="2"/>
      <c r="P17" s="2"/>
    </row>
    <row r="18" ht="32.25" customHeight="1">
      <c r="A18" s="24"/>
      <c r="B18" s="2"/>
      <c r="C18" s="11"/>
      <c r="D18" s="12"/>
      <c r="E18" s="12"/>
      <c r="F18" s="12"/>
      <c r="G18" s="16"/>
      <c r="H18" s="22"/>
      <c r="L18" s="1"/>
      <c r="M18" s="1"/>
      <c r="N18" s="1"/>
    </row>
    <row r="19" ht="15.75" customHeight="1">
      <c r="A19" s="1"/>
      <c r="B19" s="1"/>
      <c r="C19" s="1"/>
      <c r="D19" s="1"/>
      <c r="E19" s="3"/>
      <c r="F19" s="3"/>
      <c r="L19" s="1"/>
      <c r="M19" s="1"/>
      <c r="N19" s="1"/>
    </row>
    <row r="20" ht="15.75" customHeight="1">
      <c r="A20" s="1"/>
      <c r="B20" s="1"/>
      <c r="C20" s="1"/>
      <c r="D20" s="1"/>
      <c r="E20" s="2"/>
      <c r="F20" s="2"/>
      <c r="L20" s="1"/>
      <c r="M20" s="1"/>
      <c r="N20" s="1"/>
    </row>
    <row r="21" ht="15.75" customHeight="1">
      <c r="A21" s="1"/>
      <c r="B21" s="1"/>
      <c r="C21" s="1"/>
      <c r="D21" s="1"/>
      <c r="E21" s="1"/>
      <c r="F21" s="1"/>
      <c r="L21" s="1"/>
      <c r="M21" s="1"/>
      <c r="N21" s="1"/>
    </row>
    <row r="22" ht="15.75" customHeight="1">
      <c r="A22" s="1"/>
      <c r="B22" s="1"/>
      <c r="C22" s="1"/>
      <c r="D22" s="1"/>
      <c r="E22" s="2"/>
      <c r="F22" s="2"/>
      <c r="L22" s="1"/>
      <c r="M22" s="1"/>
      <c r="N22" s="1"/>
    </row>
    <row r="23" ht="15.75" customHeight="1">
      <c r="A23" s="1"/>
      <c r="B23" s="1"/>
      <c r="C23" s="1"/>
      <c r="D23" s="2"/>
      <c r="E23" s="2"/>
      <c r="F23" s="2"/>
      <c r="L23" s="1"/>
      <c r="M23" s="1"/>
      <c r="N23" s="1"/>
    </row>
    <row r="24" ht="15.75" customHeight="1">
      <c r="A24" s="1"/>
      <c r="B24" s="1"/>
      <c r="C24" s="1"/>
      <c r="D24" s="1"/>
      <c r="E24" s="1"/>
      <c r="F24" s="1"/>
      <c r="L24" s="1"/>
      <c r="M24" s="1"/>
      <c r="N24" s="1"/>
    </row>
    <row r="25" ht="15.75" customHeight="1">
      <c r="A25" s="1"/>
      <c r="B25" s="1"/>
      <c r="C25" s="1"/>
      <c r="D25" s="1"/>
      <c r="E25" s="2"/>
      <c r="F25" s="2"/>
      <c r="L25" s="1"/>
      <c r="M25" s="1"/>
      <c r="N25" s="1"/>
    </row>
    <row r="26" ht="15.75" customHeight="1">
      <c r="A26" s="1"/>
      <c r="B26" s="1"/>
      <c r="C26" s="1"/>
      <c r="D26" s="1"/>
      <c r="E26" s="2"/>
      <c r="F26" s="2"/>
      <c r="L26" s="1"/>
      <c r="M26" s="1"/>
      <c r="N26" s="1"/>
    </row>
    <row r="27" ht="15.75" customHeight="1">
      <c r="A27" s="1"/>
      <c r="B27" s="1"/>
      <c r="C27" s="1"/>
      <c r="D27" s="1"/>
      <c r="E27" s="1"/>
      <c r="F27" s="1"/>
      <c r="L27" s="1"/>
      <c r="M27" s="1"/>
      <c r="N27" s="1"/>
    </row>
    <row r="28" ht="15.75" customHeight="1">
      <c r="A28" s="1"/>
      <c r="B28" s="1"/>
      <c r="C28" s="1"/>
      <c r="D28" s="1"/>
      <c r="E28" s="1"/>
      <c r="F28" s="1"/>
      <c r="L28" s="1"/>
      <c r="M28" s="1"/>
      <c r="N28" s="1"/>
    </row>
    <row r="29" ht="15.75" customHeight="1">
      <c r="A29" s="1"/>
      <c r="B29" s="1"/>
      <c r="C29" s="1"/>
      <c r="D29" s="1"/>
      <c r="E29" s="1"/>
      <c r="F29" s="1"/>
      <c r="L29" s="1"/>
      <c r="M29" s="1"/>
      <c r="N29" s="1"/>
    </row>
    <row r="30" ht="15.75" customHeight="1">
      <c r="A30" s="1"/>
      <c r="B30" s="1"/>
      <c r="C30" s="1"/>
      <c r="D30" s="1"/>
      <c r="E30" s="1"/>
      <c r="F30" s="1"/>
      <c r="L30" s="1"/>
      <c r="M30" s="1"/>
      <c r="N30" s="1"/>
    </row>
    <row r="31" ht="15.75" customHeight="1">
      <c r="A31" s="1"/>
      <c r="B31" s="1"/>
      <c r="C31" s="1"/>
      <c r="D31" s="1"/>
      <c r="E31" s="1"/>
      <c r="F31" s="1"/>
      <c r="L31" s="1"/>
      <c r="M31" s="1"/>
      <c r="N31" s="1"/>
    </row>
    <row r="32" ht="15.75" customHeight="1">
      <c r="A32" s="1"/>
      <c r="B32" s="1"/>
      <c r="C32" s="1"/>
      <c r="D32" s="1"/>
      <c r="E32" s="1"/>
      <c r="F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L1000" s="1"/>
      <c r="M1000" s="1"/>
      <c r="N1000" s="1"/>
    </row>
  </sheetData>
  <hyperlinks>
    <hyperlink r:id="rId1" ref="P3"/>
    <hyperlink r:id="rId2" ref="P4"/>
    <hyperlink r:id="rId3" ref="O5"/>
    <hyperlink r:id="rId4" ref="O6"/>
    <hyperlink r:id="rId5" ref="P7"/>
    <hyperlink r:id="rId6" ref="P8"/>
    <hyperlink r:id="rId7" ref="O9"/>
  </hyperlinks>
  <printOptions/>
  <pageMargins bottom="1.0" footer="0.0" header="0.0" left="0.75" right="0.75" top="1.0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3" width="15.5"/>
    <col customWidth="1" min="4" max="5" width="12.63"/>
    <col customWidth="1" min="6" max="6" width="17.0"/>
    <col customWidth="1" min="7" max="7" width="12.5"/>
    <col customWidth="1" min="12" max="12" width="28.38"/>
  </cols>
  <sheetData>
    <row r="1" ht="15.75" customHeight="1">
      <c r="A1" s="4" t="s">
        <v>35</v>
      </c>
      <c r="B1" s="4"/>
      <c r="C1" s="4"/>
      <c r="D1" s="4"/>
      <c r="E1" s="4"/>
      <c r="F1" s="4"/>
      <c r="G1" s="1"/>
      <c r="L1" s="1"/>
    </row>
    <row r="2" ht="15.75" customHeight="1">
      <c r="A2" s="5" t="s">
        <v>10</v>
      </c>
      <c r="B2" s="5" t="s">
        <v>11</v>
      </c>
      <c r="C2" s="5" t="s">
        <v>12</v>
      </c>
      <c r="D2" s="5" t="s">
        <v>13</v>
      </c>
      <c r="E2" s="5" t="s">
        <v>36</v>
      </c>
      <c r="F2" s="5" t="s">
        <v>15</v>
      </c>
      <c r="G2" s="5" t="s">
        <v>16</v>
      </c>
      <c r="H2" s="5" t="s">
        <v>17</v>
      </c>
      <c r="L2" s="2" t="s">
        <v>6</v>
      </c>
      <c r="M2" s="2" t="s">
        <v>8</v>
      </c>
      <c r="N2" s="2" t="s">
        <v>9</v>
      </c>
    </row>
    <row r="3">
      <c r="A3" s="24"/>
      <c r="B3" s="2"/>
      <c r="C3" s="2"/>
      <c r="D3" s="2"/>
      <c r="E3" s="2">
        <f t="shared" ref="E3:E4" si="1">(D3*$M$11)</f>
        <v>0</v>
      </c>
      <c r="F3" s="2">
        <f t="shared" ref="F3:F4" si="2">$N$7*E3</f>
        <v>0</v>
      </c>
      <c r="G3" s="7" t="s">
        <v>37</v>
      </c>
      <c r="H3" s="7"/>
      <c r="L3" s="7"/>
    </row>
    <row r="4">
      <c r="A4" s="24"/>
      <c r="B4" s="2"/>
      <c r="C4" s="2"/>
      <c r="D4" s="2"/>
      <c r="E4" s="2">
        <f t="shared" si="1"/>
        <v>0</v>
      </c>
      <c r="F4" s="2">
        <f t="shared" si="2"/>
        <v>0</v>
      </c>
      <c r="G4" s="7"/>
      <c r="H4" s="7"/>
      <c r="L4" s="7" t="s">
        <v>38</v>
      </c>
      <c r="M4" s="2">
        <v>0.84</v>
      </c>
      <c r="N4" s="15" t="s">
        <v>25</v>
      </c>
    </row>
    <row r="5">
      <c r="A5" s="24"/>
      <c r="B5" s="2"/>
      <c r="C5" s="2"/>
      <c r="D5" s="2"/>
      <c r="E5" s="2">
        <f>(D5*M11)</f>
        <v>0</v>
      </c>
      <c r="F5" s="2">
        <f t="shared" ref="F5:F6" si="3">$N$6*E5</f>
        <v>0</v>
      </c>
      <c r="G5" s="7"/>
      <c r="H5" s="7"/>
      <c r="L5" s="7" t="s">
        <v>39</v>
      </c>
      <c r="M5" s="2">
        <v>0.49</v>
      </c>
      <c r="N5" s="15" t="s">
        <v>25</v>
      </c>
    </row>
    <row r="6" ht="29.25" customHeight="1">
      <c r="A6" s="24"/>
      <c r="B6" s="2"/>
      <c r="C6" s="2"/>
      <c r="D6" s="2"/>
      <c r="E6" s="2">
        <f>(D6*$M$14)*$M$10</f>
        <v>0</v>
      </c>
      <c r="F6" s="2">
        <f t="shared" si="3"/>
        <v>0</v>
      </c>
      <c r="G6" s="7"/>
      <c r="H6" s="7"/>
      <c r="L6" s="11" t="s">
        <v>27</v>
      </c>
      <c r="M6" s="11" t="s">
        <v>40</v>
      </c>
      <c r="N6" s="12">
        <f>3.74/1000</f>
        <v>0.00374</v>
      </c>
      <c r="O6" s="18" t="s">
        <v>28</v>
      </c>
      <c r="P6" s="12"/>
      <c r="Q6" s="18"/>
    </row>
    <row r="7" ht="29.25" customHeight="1">
      <c r="A7" s="24"/>
      <c r="B7" s="1"/>
      <c r="C7" s="1"/>
      <c r="D7" s="1"/>
      <c r="E7" s="1"/>
      <c r="F7" s="1"/>
      <c r="G7" s="7"/>
      <c r="H7" s="7"/>
      <c r="L7" s="11" t="s">
        <v>29</v>
      </c>
      <c r="M7" s="11" t="s">
        <v>40</v>
      </c>
      <c r="N7" s="12">
        <f>3.87/1000</f>
        <v>0.00387</v>
      </c>
      <c r="O7" s="18" t="s">
        <v>28</v>
      </c>
    </row>
    <row r="8" ht="29.25" customHeight="1">
      <c r="A8" s="24"/>
      <c r="B8" s="1"/>
      <c r="C8" s="1"/>
      <c r="D8" s="1"/>
      <c r="E8" s="3" t="s">
        <v>41</v>
      </c>
      <c r="F8" s="3">
        <f>SUM(F2:F6)</f>
        <v>0</v>
      </c>
      <c r="G8" s="7"/>
      <c r="H8" s="7"/>
      <c r="L8" s="11" t="s">
        <v>30</v>
      </c>
      <c r="M8" s="11">
        <v>10.0</v>
      </c>
      <c r="N8" s="21" t="s">
        <v>31</v>
      </c>
      <c r="O8" s="2" t="s">
        <v>32</v>
      </c>
    </row>
    <row r="9" ht="29.25" customHeight="1">
      <c r="A9" s="24"/>
      <c r="B9" s="1"/>
      <c r="C9" s="1"/>
      <c r="D9" s="1"/>
      <c r="E9" s="2" t="s">
        <v>42</v>
      </c>
      <c r="F9" s="2">
        <f>F8*1000</f>
        <v>0</v>
      </c>
      <c r="G9" s="7"/>
      <c r="H9" s="7"/>
      <c r="L9" s="11"/>
      <c r="M9" s="11"/>
    </row>
    <row r="10" ht="29.25" customHeight="1">
      <c r="A10" s="24"/>
      <c r="B10" s="1"/>
      <c r="C10" s="1"/>
      <c r="D10" s="1"/>
      <c r="E10" s="1"/>
      <c r="F10" s="1"/>
      <c r="G10" s="7"/>
      <c r="H10" s="7"/>
      <c r="L10" s="2" t="s">
        <v>33</v>
      </c>
      <c r="M10" s="2">
        <v>2.76335</v>
      </c>
    </row>
    <row r="11" ht="29.25" customHeight="1">
      <c r="A11" s="24"/>
      <c r="B11" s="1"/>
      <c r="C11" s="1"/>
      <c r="D11" s="1"/>
      <c r="E11" s="1"/>
      <c r="F11" s="1"/>
      <c r="G11" s="7"/>
      <c r="H11" s="7"/>
      <c r="L11" s="2" t="s">
        <v>34</v>
      </c>
      <c r="M11" s="2">
        <v>3.21725</v>
      </c>
    </row>
    <row r="12" ht="29.25" customHeight="1">
      <c r="A12" s="24"/>
      <c r="B12" s="1"/>
      <c r="C12" s="1"/>
      <c r="D12" s="1"/>
      <c r="E12" s="1"/>
      <c r="F12" s="1"/>
      <c r="G12" s="7"/>
      <c r="H12" s="7"/>
      <c r="L12" s="1"/>
    </row>
    <row r="13" ht="26.25" customHeight="1">
      <c r="A13" s="24"/>
      <c r="B13" s="1"/>
      <c r="C13" s="1"/>
      <c r="D13" s="1"/>
      <c r="E13" s="1"/>
      <c r="F13" s="1"/>
      <c r="G13" s="7"/>
      <c r="H13" s="7"/>
      <c r="L13" s="2" t="s">
        <v>43</v>
      </c>
      <c r="M13" s="2">
        <v>4.2</v>
      </c>
    </row>
    <row r="14" ht="26.25" customHeight="1">
      <c r="A14" s="24"/>
      <c r="B14" s="1"/>
      <c r="C14" s="1"/>
      <c r="D14" s="1"/>
      <c r="E14" s="1"/>
      <c r="F14" s="1"/>
      <c r="G14" s="7"/>
      <c r="H14" s="7"/>
      <c r="L14" s="2" t="s">
        <v>44</v>
      </c>
      <c r="M14" s="2">
        <v>4.1</v>
      </c>
    </row>
    <row r="15" ht="26.25" customHeight="1">
      <c r="A15" s="24"/>
      <c r="B15" s="1"/>
      <c r="C15" s="1"/>
      <c r="D15" s="1"/>
      <c r="E15" s="1"/>
      <c r="F15" s="1"/>
      <c r="G15" s="7"/>
      <c r="H15" s="7"/>
      <c r="L15" s="1"/>
    </row>
    <row r="16" ht="26.25" customHeight="1">
      <c r="A16" s="24"/>
      <c r="B16" s="1"/>
      <c r="C16" s="1"/>
      <c r="D16" s="1"/>
      <c r="E16" s="1"/>
      <c r="F16" s="1"/>
      <c r="G16" s="7"/>
      <c r="H16" s="7"/>
      <c r="L16" s="1"/>
    </row>
    <row r="17" ht="32.25" customHeight="1">
      <c r="A17" s="24"/>
      <c r="B17" s="1"/>
      <c r="C17" s="1"/>
      <c r="D17" s="1"/>
      <c r="E17" s="1"/>
      <c r="F17" s="1"/>
      <c r="G17" s="7"/>
      <c r="H17" s="7"/>
      <c r="L17" s="1"/>
    </row>
    <row r="18" ht="32.25" customHeight="1">
      <c r="A18" s="24"/>
      <c r="B18" s="1"/>
      <c r="C18" s="1"/>
      <c r="D18" s="1"/>
      <c r="E18" s="1"/>
      <c r="F18" s="1"/>
      <c r="G18" s="7"/>
      <c r="H18" s="7"/>
      <c r="L18" s="1"/>
    </row>
    <row r="19" ht="30.75" customHeight="1">
      <c r="A19" s="24"/>
      <c r="B19" s="1"/>
      <c r="C19" s="1"/>
      <c r="D19" s="1"/>
      <c r="E19" s="1"/>
      <c r="F19" s="1"/>
      <c r="G19" s="7"/>
      <c r="H19" s="7"/>
      <c r="L19" s="1"/>
    </row>
    <row r="20" ht="36.75" customHeight="1">
      <c r="A20" s="24"/>
      <c r="B20" s="1"/>
      <c r="C20" s="1"/>
      <c r="D20" s="1"/>
      <c r="E20" s="1"/>
      <c r="F20" s="1"/>
      <c r="G20" s="7"/>
      <c r="H20" s="7"/>
      <c r="L20" s="1"/>
    </row>
    <row r="21" ht="36.75" customHeight="1">
      <c r="A21" s="24"/>
      <c r="B21" s="1"/>
      <c r="C21" s="1"/>
      <c r="D21" s="1"/>
      <c r="E21" s="1"/>
      <c r="F21" s="1"/>
      <c r="G21" s="7"/>
      <c r="H21" s="7"/>
      <c r="L21" s="1"/>
    </row>
    <row r="22" ht="15.75" customHeight="1">
      <c r="A22" s="1"/>
      <c r="B22" s="1"/>
      <c r="C22" s="1"/>
      <c r="D22" s="1"/>
      <c r="E22" s="1"/>
      <c r="F22" s="1"/>
      <c r="G22" s="1"/>
      <c r="L22" s="1"/>
    </row>
    <row r="23" ht="15.75" customHeight="1">
      <c r="A23" s="1"/>
      <c r="B23" s="1"/>
      <c r="C23" s="1"/>
      <c r="D23" s="1"/>
      <c r="E23" s="1"/>
      <c r="F23" s="1"/>
      <c r="G23" s="1"/>
      <c r="L23" s="1"/>
    </row>
    <row r="24" ht="15.75" customHeight="1">
      <c r="A24" s="1"/>
      <c r="B24" s="1"/>
      <c r="C24" s="1"/>
      <c r="D24" s="1"/>
      <c r="E24" s="2" t="s">
        <v>45</v>
      </c>
      <c r="F24" s="2">
        <f>SUM(F2:F21)</f>
        <v>0</v>
      </c>
      <c r="G24" s="1"/>
      <c r="L24" s="1"/>
    </row>
    <row r="25" ht="15.75" customHeight="1">
      <c r="A25" s="1"/>
      <c r="B25" s="1"/>
      <c r="C25" s="1"/>
      <c r="D25" s="1"/>
      <c r="E25" s="2" t="s">
        <v>46</v>
      </c>
      <c r="F25" s="2">
        <f>F24*1000</f>
        <v>0</v>
      </c>
      <c r="G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L1000" s="1"/>
    </row>
  </sheetData>
  <hyperlinks>
    <hyperlink r:id="rId1" ref="N4"/>
    <hyperlink r:id="rId2" ref="N5"/>
    <hyperlink r:id="rId3" ref="O6"/>
    <hyperlink r:id="rId4" ref="O7"/>
    <hyperlink r:id="rId5" ref="N8"/>
  </hyperlinks>
  <printOptions/>
  <pageMargins bottom="1.0" footer="0.0" header="0.0" left="0.75" right="0.75" top="1.0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7.75"/>
    <col customWidth="1" min="3" max="3" width="24.63"/>
    <col customWidth="1" min="4" max="6" width="12.63"/>
    <col customWidth="1" min="8" max="8" width="26.75"/>
    <col customWidth="1" min="9" max="9" width="5.0"/>
    <col customWidth="1" min="10" max="10" width="43.75"/>
    <col customWidth="1" min="11" max="11" width="11.5"/>
    <col customWidth="1" min="12" max="12" width="35.63"/>
    <col customWidth="1" min="13" max="13" width="31.88"/>
  </cols>
  <sheetData>
    <row r="1" ht="15.75" customHeight="1">
      <c r="A1" s="2" t="s">
        <v>10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/>
      <c r="I1" s="25"/>
      <c r="J1" s="2"/>
      <c r="K1" s="1"/>
      <c r="L1" s="1"/>
      <c r="M1" s="1"/>
    </row>
    <row r="2">
      <c r="A2" s="26"/>
      <c r="B2" s="2"/>
      <c r="C2" s="27"/>
      <c r="D2" s="2"/>
      <c r="E2" s="2"/>
      <c r="F2" s="2"/>
      <c r="G2" s="2"/>
      <c r="H2" s="7"/>
      <c r="I2" s="25"/>
      <c r="J2" s="11"/>
      <c r="K2" s="11"/>
      <c r="L2" s="12"/>
      <c r="M2" s="8"/>
      <c r="N2" s="12"/>
      <c r="O2" s="28"/>
      <c r="P2" s="12"/>
    </row>
    <row r="3" ht="15.75" customHeight="1">
      <c r="A3" s="26"/>
      <c r="B3" s="2"/>
      <c r="C3" s="2"/>
      <c r="D3" s="2"/>
      <c r="E3" s="2"/>
      <c r="F3" s="2"/>
      <c r="G3" s="2"/>
      <c r="H3" s="7"/>
      <c r="I3" s="25"/>
      <c r="J3" s="11"/>
      <c r="K3" s="11"/>
      <c r="L3" s="29"/>
      <c r="M3" s="8"/>
      <c r="N3" s="29"/>
      <c r="O3" s="11"/>
      <c r="P3" s="11"/>
    </row>
    <row r="4" ht="15.75" customHeight="1">
      <c r="A4" s="26"/>
      <c r="B4" s="2"/>
      <c r="C4" s="2"/>
      <c r="D4" s="2"/>
      <c r="E4" s="2"/>
      <c r="F4" s="2"/>
      <c r="G4" s="2"/>
      <c r="H4" s="2"/>
      <c r="I4" s="25"/>
      <c r="J4" s="1"/>
      <c r="K4" s="1"/>
      <c r="L4" s="1"/>
      <c r="M4" s="1"/>
      <c r="O4" s="28"/>
      <c r="P4" s="16"/>
    </row>
    <row r="5" ht="15.75" hidden="1" customHeight="1">
      <c r="A5" s="26"/>
      <c r="B5" s="2"/>
      <c r="C5" s="2"/>
      <c r="D5" s="2"/>
      <c r="E5" s="2">
        <f t="shared" ref="E5:E14" si="1">C5*$K$8</f>
        <v>0</v>
      </c>
      <c r="F5" s="2">
        <f t="shared" ref="F5:F14" si="2">E5*$L$2</f>
        <v>0</v>
      </c>
      <c r="G5" s="2"/>
      <c r="H5" s="2"/>
      <c r="I5" s="25"/>
      <c r="J5" s="2"/>
      <c r="K5" s="2"/>
      <c r="L5" s="1"/>
      <c r="M5" s="2"/>
    </row>
    <row r="6" ht="15.75" hidden="1" customHeight="1">
      <c r="A6" s="26"/>
      <c r="B6" s="2"/>
      <c r="C6" s="2"/>
      <c r="D6" s="2"/>
      <c r="E6" s="2">
        <f t="shared" si="1"/>
        <v>0</v>
      </c>
      <c r="F6" s="2">
        <f t="shared" si="2"/>
        <v>0</v>
      </c>
      <c r="G6" s="2"/>
      <c r="H6" s="2"/>
      <c r="I6" s="25"/>
      <c r="J6" s="2"/>
      <c r="K6" s="2"/>
      <c r="L6" s="1"/>
      <c r="M6" s="30"/>
    </row>
    <row r="7" ht="15.75" hidden="1" customHeight="1">
      <c r="A7" s="26"/>
      <c r="B7" s="2"/>
      <c r="C7" s="2"/>
      <c r="D7" s="2"/>
      <c r="E7" s="2">
        <f t="shared" si="1"/>
        <v>0</v>
      </c>
      <c r="F7" s="2">
        <f t="shared" si="2"/>
        <v>0</v>
      </c>
      <c r="G7" s="2"/>
      <c r="H7" s="2"/>
      <c r="I7" s="25"/>
      <c r="J7" s="1"/>
      <c r="K7" s="1"/>
      <c r="L7" s="1"/>
      <c r="M7" s="1"/>
    </row>
    <row r="8" ht="15.75" hidden="1" customHeight="1">
      <c r="A8" s="26"/>
      <c r="B8" s="2"/>
      <c r="C8" s="2"/>
      <c r="D8" s="2"/>
      <c r="E8" s="2">
        <f t="shared" si="1"/>
        <v>0</v>
      </c>
      <c r="F8" s="2">
        <f t="shared" si="2"/>
        <v>0</v>
      </c>
      <c r="G8" s="2"/>
      <c r="H8" s="2"/>
      <c r="I8" s="25"/>
      <c r="J8" s="2"/>
      <c r="K8" s="2"/>
      <c r="L8" s="2"/>
      <c r="M8" s="31"/>
    </row>
    <row r="9" ht="15.75" hidden="1" customHeight="1">
      <c r="A9" s="26"/>
      <c r="B9" s="2"/>
      <c r="C9" s="2"/>
      <c r="D9" s="2"/>
      <c r="E9" s="2">
        <f t="shared" si="1"/>
        <v>0</v>
      </c>
      <c r="F9" s="2">
        <f t="shared" si="2"/>
        <v>0</v>
      </c>
      <c r="G9" s="2"/>
      <c r="H9" s="2"/>
      <c r="I9" s="25"/>
      <c r="J9" s="1"/>
      <c r="K9" s="1"/>
      <c r="L9" s="1"/>
      <c r="M9" s="1"/>
    </row>
    <row r="10" ht="15.75" hidden="1" customHeight="1">
      <c r="A10" s="26"/>
      <c r="B10" s="2"/>
      <c r="C10" s="2"/>
      <c r="D10" s="2"/>
      <c r="E10" s="2">
        <f t="shared" si="1"/>
        <v>0</v>
      </c>
      <c r="F10" s="2">
        <f t="shared" si="2"/>
        <v>0</v>
      </c>
      <c r="G10" s="2"/>
      <c r="H10" s="2"/>
      <c r="I10" s="25"/>
      <c r="J10" s="2"/>
      <c r="K10" s="2"/>
      <c r="L10" s="1"/>
      <c r="M10" s="1"/>
    </row>
    <row r="11" ht="15.75" hidden="1" customHeight="1">
      <c r="A11" s="26"/>
      <c r="B11" s="2"/>
      <c r="C11" s="2"/>
      <c r="D11" s="2"/>
      <c r="E11" s="2">
        <f t="shared" si="1"/>
        <v>0</v>
      </c>
      <c r="F11" s="2">
        <f t="shared" si="2"/>
        <v>0</v>
      </c>
      <c r="G11" s="2"/>
      <c r="H11" s="2"/>
      <c r="I11" s="25"/>
      <c r="J11" s="1"/>
      <c r="K11" s="1"/>
      <c r="L11" s="1"/>
      <c r="M11" s="1"/>
    </row>
    <row r="12" ht="15.75" hidden="1" customHeight="1">
      <c r="A12" s="26"/>
      <c r="B12" s="2"/>
      <c r="C12" s="2"/>
      <c r="D12" s="2"/>
      <c r="E12" s="2">
        <f t="shared" si="1"/>
        <v>0</v>
      </c>
      <c r="F12" s="2">
        <f t="shared" si="2"/>
        <v>0</v>
      </c>
      <c r="G12" s="2"/>
      <c r="H12" s="2"/>
      <c r="I12" s="25"/>
      <c r="J12" s="2"/>
      <c r="K12" s="2"/>
      <c r="L12" s="1"/>
      <c r="M12" s="2"/>
    </row>
    <row r="13" ht="15.75" customHeight="1">
      <c r="A13" s="26"/>
      <c r="B13" s="2"/>
      <c r="C13" s="2"/>
      <c r="D13" s="2"/>
      <c r="E13" s="2">
        <f t="shared" si="1"/>
        <v>0</v>
      </c>
      <c r="F13" s="2">
        <f t="shared" si="2"/>
        <v>0</v>
      </c>
      <c r="G13" s="2"/>
      <c r="H13" s="2"/>
      <c r="I13" s="25"/>
      <c r="J13" s="2"/>
      <c r="K13" s="2"/>
      <c r="L13" s="1"/>
      <c r="M13" s="31"/>
    </row>
    <row r="14" ht="15.75" customHeight="1">
      <c r="A14" s="26"/>
      <c r="B14" s="2"/>
      <c r="C14" s="2"/>
      <c r="D14" s="2"/>
      <c r="E14" s="2">
        <f t="shared" si="1"/>
        <v>0</v>
      </c>
      <c r="F14" s="2">
        <f t="shared" si="2"/>
        <v>0</v>
      </c>
      <c r="G14" s="2"/>
      <c r="H14" s="2"/>
      <c r="I14" s="25"/>
      <c r="J14" s="32"/>
      <c r="K14" s="33"/>
      <c r="L14" s="32"/>
      <c r="M14" s="34"/>
    </row>
    <row r="15" ht="15.75" customHeight="1">
      <c r="A15" s="26"/>
      <c r="B15" s="1"/>
      <c r="C15" s="1"/>
      <c r="D15" s="1"/>
      <c r="E15" s="1"/>
      <c r="F15" s="1"/>
      <c r="H15" s="1"/>
      <c r="I15" s="25"/>
      <c r="J15" s="1"/>
      <c r="K15" s="2"/>
      <c r="L15" s="2"/>
      <c r="M15" s="2"/>
    </row>
    <row r="16" ht="15.75" customHeight="1">
      <c r="A16" s="26"/>
      <c r="B16" s="2" t="s">
        <v>53</v>
      </c>
      <c r="C16" s="2"/>
      <c r="D16" s="35"/>
      <c r="E16" s="35"/>
      <c r="F16" s="2"/>
      <c r="G16" s="2"/>
      <c r="H16" s="2"/>
      <c r="I16" s="25"/>
      <c r="J16" s="1"/>
      <c r="K16" s="1"/>
      <c r="L16" s="1"/>
      <c r="M16" s="1"/>
    </row>
    <row r="17" ht="15.75" customHeight="1">
      <c r="A17" s="26"/>
      <c r="B17" s="2"/>
      <c r="C17" s="36"/>
      <c r="D17" s="2"/>
      <c r="E17" s="1"/>
      <c r="F17" s="1"/>
      <c r="H17" s="1"/>
      <c r="I17" s="25"/>
      <c r="J17" s="1"/>
      <c r="K17" s="1"/>
      <c r="L17" s="1"/>
      <c r="M17" s="1"/>
    </row>
    <row r="18" ht="15.75" customHeight="1">
      <c r="A18" s="26"/>
      <c r="B18" s="2"/>
      <c r="C18" s="1"/>
      <c r="D18" s="1"/>
      <c r="E18" s="1"/>
      <c r="F18" s="1"/>
      <c r="H18" s="1"/>
      <c r="I18" s="25"/>
      <c r="J18" s="1"/>
      <c r="K18" s="1"/>
      <c r="L18" s="1"/>
      <c r="M18" s="1"/>
    </row>
    <row r="19" ht="15.75" customHeight="1">
      <c r="A19" s="26"/>
      <c r="B19" s="1"/>
      <c r="C19" s="1"/>
      <c r="D19" s="1"/>
      <c r="E19" s="1"/>
      <c r="F19" s="1"/>
      <c r="H19" s="1"/>
      <c r="I19" s="25"/>
      <c r="J19" s="1"/>
      <c r="K19" s="1"/>
      <c r="L19" s="1"/>
      <c r="M19" s="1"/>
    </row>
    <row r="20" ht="15.75" customHeight="1">
      <c r="A20" s="26"/>
      <c r="B20" s="2"/>
      <c r="C20" s="2"/>
      <c r="D20" s="1"/>
      <c r="E20" s="1"/>
      <c r="F20" s="1"/>
      <c r="G20" s="2"/>
      <c r="H20" s="2"/>
      <c r="I20" s="25"/>
      <c r="J20" s="1"/>
      <c r="K20" s="1"/>
      <c r="L20" s="1"/>
      <c r="M20" s="1"/>
    </row>
    <row r="21" ht="15.75" customHeight="1">
      <c r="A21" s="26"/>
      <c r="B21" s="1"/>
      <c r="C21" s="1"/>
      <c r="D21" s="1"/>
      <c r="E21" s="1"/>
      <c r="F21" s="1"/>
      <c r="H21" s="1"/>
      <c r="I21" s="25"/>
      <c r="J21" s="1"/>
      <c r="K21" s="1"/>
      <c r="L21" s="1"/>
      <c r="M21" s="1"/>
    </row>
    <row r="22" ht="15.75" customHeight="1">
      <c r="A22" s="26"/>
      <c r="B22" s="3"/>
      <c r="C22" s="2" t="s">
        <v>54</v>
      </c>
      <c r="D22" s="2"/>
      <c r="E22" s="1"/>
      <c r="F22" s="1"/>
      <c r="H22" s="1"/>
      <c r="I22" s="25"/>
      <c r="J22" s="1"/>
      <c r="K22" s="1"/>
      <c r="L22" s="1"/>
      <c r="M22" s="1"/>
    </row>
    <row r="23" ht="15.75" customHeight="1">
      <c r="A23" s="1"/>
      <c r="B23" s="3"/>
      <c r="C23" s="2" t="s">
        <v>55</v>
      </c>
      <c r="D23" s="2"/>
      <c r="E23" s="1"/>
      <c r="F23" s="1"/>
      <c r="H23" s="1"/>
      <c r="I23" s="25"/>
      <c r="J23" s="1"/>
      <c r="K23" s="1"/>
      <c r="L23" s="1"/>
      <c r="M23" s="1"/>
    </row>
    <row r="24" ht="15.75" customHeight="1">
      <c r="A24" s="1"/>
      <c r="B24" s="3"/>
      <c r="C24" s="2" t="s">
        <v>56</v>
      </c>
      <c r="D24" s="2"/>
      <c r="E24" s="1"/>
      <c r="F24" s="1"/>
      <c r="H24" s="1"/>
      <c r="I24" s="25"/>
      <c r="J24" s="1"/>
      <c r="K24" s="1"/>
      <c r="L24" s="1"/>
      <c r="M24" s="1"/>
    </row>
    <row r="25" ht="15.75" customHeight="1">
      <c r="A25" s="1"/>
      <c r="B25" s="3"/>
      <c r="C25" s="2" t="s">
        <v>57</v>
      </c>
      <c r="D25" s="2"/>
      <c r="E25" s="1"/>
      <c r="F25" s="1"/>
      <c r="H25" s="1"/>
      <c r="I25" s="25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H26" s="1"/>
      <c r="I26" s="25"/>
      <c r="J26" s="1"/>
      <c r="K26" s="1"/>
      <c r="L26" s="1"/>
      <c r="M26" s="1"/>
    </row>
    <row r="27" ht="15.75" hidden="1" customHeight="1">
      <c r="A27" s="1"/>
      <c r="B27" s="2"/>
      <c r="C27" s="2" t="s">
        <v>58</v>
      </c>
      <c r="D27" s="2"/>
      <c r="E27" s="1"/>
      <c r="F27" s="1"/>
      <c r="H27" s="1"/>
      <c r="I27" s="25"/>
      <c r="J27" s="1"/>
      <c r="K27" s="1"/>
      <c r="L27" s="1"/>
      <c r="M27" s="1"/>
    </row>
    <row r="28" ht="15.75" hidden="1" customHeight="1">
      <c r="A28" s="1"/>
      <c r="B28" s="3"/>
      <c r="C28" s="2" t="s">
        <v>59</v>
      </c>
      <c r="D28" s="2"/>
      <c r="E28" s="1"/>
      <c r="F28" s="1"/>
      <c r="H28" s="1"/>
      <c r="I28" s="25"/>
      <c r="J28" s="1"/>
      <c r="K28" s="1"/>
      <c r="L28" s="1"/>
      <c r="M28" s="1"/>
    </row>
    <row r="29" ht="15.75" hidden="1" customHeight="1">
      <c r="A29" s="1"/>
      <c r="B29" s="1"/>
      <c r="C29" s="1"/>
      <c r="D29" s="1"/>
      <c r="E29" s="1"/>
      <c r="F29" s="1"/>
      <c r="H29" s="1"/>
      <c r="I29" s="25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H30" s="1"/>
      <c r="I30" s="25"/>
      <c r="J30" s="1"/>
      <c r="K30" s="1"/>
      <c r="L30" s="1"/>
      <c r="M30" s="1"/>
    </row>
    <row r="31" ht="15.75" customHeight="1">
      <c r="A31" s="1"/>
      <c r="B31" s="1"/>
      <c r="C31" s="3" t="s">
        <v>60</v>
      </c>
      <c r="D31" s="3"/>
      <c r="E31" s="3"/>
      <c r="F31" s="1"/>
      <c r="H31" s="1"/>
      <c r="I31" s="25"/>
      <c r="J31" s="1"/>
      <c r="K31" s="1"/>
      <c r="L31" s="1"/>
      <c r="M31" s="1"/>
    </row>
    <row r="32" ht="15.75" customHeight="1">
      <c r="A32" s="1"/>
      <c r="B32" s="1"/>
      <c r="C32" s="3" t="s">
        <v>61</v>
      </c>
      <c r="D32" s="3"/>
      <c r="E32" s="3"/>
      <c r="F32" s="1"/>
      <c r="H32" s="1"/>
      <c r="I32" s="25"/>
      <c r="J32" s="1"/>
      <c r="K32" s="1"/>
      <c r="L32" s="1"/>
      <c r="M32" s="1"/>
    </row>
    <row r="33" ht="15.75" customHeight="1">
      <c r="A33" s="1"/>
      <c r="B33" s="1"/>
      <c r="C33" s="2" t="s">
        <v>5</v>
      </c>
      <c r="D33" s="2"/>
      <c r="E33" s="1"/>
      <c r="F33" s="1"/>
      <c r="H33" s="1"/>
      <c r="I33" s="25"/>
      <c r="J33" s="1"/>
      <c r="K33" s="1"/>
      <c r="L33" s="1"/>
      <c r="M33" s="1"/>
    </row>
    <row r="34" ht="15.75" customHeight="1">
      <c r="A34" s="1"/>
      <c r="B34" s="1"/>
      <c r="C34" s="2" t="s">
        <v>4</v>
      </c>
      <c r="D34" s="2"/>
      <c r="E34" s="1"/>
      <c r="F34" s="1"/>
      <c r="H34" s="1"/>
      <c r="I34" s="25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H35" s="1"/>
      <c r="I35" s="25"/>
      <c r="J35" s="1"/>
      <c r="K35" s="1"/>
      <c r="L35" s="1"/>
      <c r="M35" s="1"/>
    </row>
    <row r="36" ht="45.0" customHeight="1">
      <c r="A36" s="1"/>
      <c r="B36" s="1"/>
      <c r="C36" s="37"/>
      <c r="D36" s="2"/>
      <c r="E36" s="1"/>
      <c r="F36" s="1"/>
      <c r="H36" s="1"/>
      <c r="I36" s="25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H37" s="1"/>
      <c r="I37" s="25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H38" s="1"/>
      <c r="I38" s="25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H39" s="1"/>
      <c r="I39" s="25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H40" s="1"/>
      <c r="I40" s="25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H41" s="1"/>
      <c r="I41" s="25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H42" s="1"/>
      <c r="I42" s="25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H43" s="1"/>
      <c r="I43" s="25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H44" s="1"/>
      <c r="I44" s="25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H45" s="1"/>
      <c r="I45" s="25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H46" s="1"/>
      <c r="I46" s="25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H47" s="1"/>
      <c r="I47" s="25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H48" s="1"/>
      <c r="I48" s="25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H49" s="1"/>
      <c r="I49" s="25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H50" s="1"/>
      <c r="I50" s="25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H51" s="1"/>
      <c r="I51" s="25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H52" s="1"/>
      <c r="I52" s="25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H53" s="1"/>
      <c r="I53" s="25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H54" s="1"/>
      <c r="I54" s="25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H55" s="1"/>
      <c r="I55" s="25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H56" s="1"/>
      <c r="I56" s="25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H57" s="1"/>
      <c r="I57" s="25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H58" s="1"/>
      <c r="I58" s="25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H59" s="1"/>
      <c r="I59" s="25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H60" s="1"/>
      <c r="I60" s="25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H61" s="1"/>
      <c r="I61" s="25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H62" s="1"/>
      <c r="I62" s="25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H63" s="1"/>
      <c r="I63" s="25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H64" s="1"/>
      <c r="I64" s="25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H65" s="1"/>
      <c r="I65" s="25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H66" s="1"/>
      <c r="I66" s="25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H67" s="1"/>
      <c r="I67" s="25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H68" s="1"/>
      <c r="I68" s="25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H69" s="1"/>
      <c r="I69" s="25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H70" s="1"/>
      <c r="I70" s="25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H71" s="1"/>
      <c r="I71" s="25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H72" s="1"/>
      <c r="I72" s="25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H73" s="1"/>
      <c r="I73" s="25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H74" s="1"/>
      <c r="I74" s="25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H75" s="1"/>
      <c r="I75" s="25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H76" s="1"/>
      <c r="I76" s="25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H77" s="1"/>
      <c r="I77" s="25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H78" s="1"/>
      <c r="I78" s="25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H79" s="1"/>
      <c r="I79" s="25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H80" s="1"/>
      <c r="I80" s="25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H81" s="1"/>
      <c r="I81" s="25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H82" s="1"/>
      <c r="I82" s="25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H83" s="1"/>
      <c r="I83" s="25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H84" s="1"/>
      <c r="I84" s="25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H85" s="1"/>
      <c r="I85" s="25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H86" s="1"/>
      <c r="I86" s="25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H87" s="1"/>
      <c r="I87" s="25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H88" s="1"/>
      <c r="I88" s="25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H89" s="1"/>
      <c r="I89" s="25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H90" s="1"/>
      <c r="I90" s="25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H91" s="1"/>
      <c r="I91" s="25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H92" s="1"/>
      <c r="I92" s="25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H93" s="1"/>
      <c r="I93" s="25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H94" s="1"/>
      <c r="I94" s="25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H95" s="1"/>
      <c r="I95" s="25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H96" s="1"/>
      <c r="I96" s="25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H97" s="1"/>
      <c r="I97" s="25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H98" s="1"/>
      <c r="I98" s="25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H99" s="1"/>
      <c r="I99" s="25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H100" s="1"/>
      <c r="I100" s="25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H101" s="1"/>
      <c r="I101" s="25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H102" s="1"/>
      <c r="I102" s="25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H103" s="1"/>
      <c r="I103" s="25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H104" s="1"/>
      <c r="I104" s="25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H105" s="1"/>
      <c r="I105" s="25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H106" s="1"/>
      <c r="I106" s="25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H107" s="1"/>
      <c r="I107" s="25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H108" s="1"/>
      <c r="I108" s="25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H109" s="1"/>
      <c r="I109" s="25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H110" s="1"/>
      <c r="I110" s="25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H111" s="1"/>
      <c r="I111" s="25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H112" s="1"/>
      <c r="I112" s="25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H113" s="1"/>
      <c r="I113" s="25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H114" s="1"/>
      <c r="I114" s="25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H115" s="1"/>
      <c r="I115" s="25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H116" s="1"/>
      <c r="I116" s="25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H117" s="1"/>
      <c r="I117" s="25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H118" s="1"/>
      <c r="I118" s="25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H119" s="1"/>
      <c r="I119" s="25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H120" s="1"/>
      <c r="I120" s="25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H121" s="1"/>
      <c r="I121" s="25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H122" s="1"/>
      <c r="I122" s="25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H123" s="1"/>
      <c r="I123" s="25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H124" s="1"/>
      <c r="I124" s="25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H125" s="1"/>
      <c r="I125" s="25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H126" s="1"/>
      <c r="I126" s="25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H127" s="1"/>
      <c r="I127" s="25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H128" s="1"/>
      <c r="I128" s="25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H129" s="1"/>
      <c r="I129" s="25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H130" s="1"/>
      <c r="I130" s="25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H131" s="1"/>
      <c r="I131" s="25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H132" s="1"/>
      <c r="I132" s="25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H133" s="1"/>
      <c r="I133" s="25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H134" s="1"/>
      <c r="I134" s="25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H135" s="1"/>
      <c r="I135" s="25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H136" s="1"/>
      <c r="I136" s="25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H137" s="1"/>
      <c r="I137" s="25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H138" s="1"/>
      <c r="I138" s="25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H139" s="1"/>
      <c r="I139" s="25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H140" s="1"/>
      <c r="I140" s="25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H141" s="1"/>
      <c r="I141" s="25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H142" s="1"/>
      <c r="I142" s="25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H143" s="1"/>
      <c r="I143" s="25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H144" s="1"/>
      <c r="I144" s="25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H145" s="1"/>
      <c r="I145" s="25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H146" s="1"/>
      <c r="I146" s="25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H147" s="1"/>
      <c r="I147" s="25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H148" s="1"/>
      <c r="I148" s="25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H149" s="1"/>
      <c r="I149" s="25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H150" s="1"/>
      <c r="I150" s="25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H151" s="1"/>
      <c r="I151" s="25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H152" s="1"/>
      <c r="I152" s="25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H153" s="1"/>
      <c r="I153" s="25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H154" s="1"/>
      <c r="I154" s="25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H155" s="1"/>
      <c r="I155" s="25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H156" s="1"/>
      <c r="I156" s="25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H157" s="1"/>
      <c r="I157" s="25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H158" s="1"/>
      <c r="I158" s="25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H159" s="1"/>
      <c r="I159" s="25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H160" s="1"/>
      <c r="I160" s="25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H161" s="1"/>
      <c r="I161" s="25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H162" s="1"/>
      <c r="I162" s="25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H163" s="1"/>
      <c r="I163" s="25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H164" s="1"/>
      <c r="I164" s="25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H165" s="1"/>
      <c r="I165" s="25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H166" s="1"/>
      <c r="I166" s="25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H167" s="1"/>
      <c r="I167" s="25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H168" s="1"/>
      <c r="I168" s="25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H169" s="1"/>
      <c r="I169" s="25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H170" s="1"/>
      <c r="I170" s="25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H171" s="1"/>
      <c r="I171" s="25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H172" s="1"/>
      <c r="I172" s="25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H173" s="1"/>
      <c r="I173" s="25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H174" s="1"/>
      <c r="I174" s="25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H175" s="1"/>
      <c r="I175" s="25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H176" s="1"/>
      <c r="I176" s="25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H177" s="1"/>
      <c r="I177" s="25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H178" s="1"/>
      <c r="I178" s="25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H179" s="1"/>
      <c r="I179" s="25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H180" s="1"/>
      <c r="I180" s="25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H181" s="1"/>
      <c r="I181" s="25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H182" s="1"/>
      <c r="I182" s="25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H183" s="1"/>
      <c r="I183" s="25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H184" s="1"/>
      <c r="I184" s="25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H185" s="1"/>
      <c r="I185" s="25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H186" s="1"/>
      <c r="I186" s="25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H187" s="1"/>
      <c r="I187" s="25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H188" s="1"/>
      <c r="I188" s="25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H189" s="1"/>
      <c r="I189" s="25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H190" s="1"/>
      <c r="I190" s="25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H191" s="1"/>
      <c r="I191" s="25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H192" s="1"/>
      <c r="I192" s="25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H193" s="1"/>
      <c r="I193" s="25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H194" s="1"/>
      <c r="I194" s="25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H195" s="1"/>
      <c r="I195" s="25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H196" s="1"/>
      <c r="I196" s="25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H197" s="1"/>
      <c r="I197" s="25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H198" s="1"/>
      <c r="I198" s="25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H199" s="1"/>
      <c r="I199" s="25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H200" s="1"/>
      <c r="I200" s="25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H201" s="1"/>
      <c r="I201" s="25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H202" s="1"/>
      <c r="I202" s="25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H203" s="1"/>
      <c r="I203" s="25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H204" s="1"/>
      <c r="I204" s="25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H205" s="1"/>
      <c r="I205" s="25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H206" s="1"/>
      <c r="I206" s="25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H207" s="1"/>
      <c r="I207" s="25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H208" s="1"/>
      <c r="I208" s="25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H209" s="1"/>
      <c r="I209" s="25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H210" s="1"/>
      <c r="I210" s="25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H211" s="1"/>
      <c r="I211" s="25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H212" s="1"/>
      <c r="I212" s="25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H213" s="1"/>
      <c r="I213" s="25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H214" s="1"/>
      <c r="I214" s="25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H215" s="1"/>
      <c r="I215" s="25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H216" s="1"/>
      <c r="I216" s="25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H217" s="1"/>
      <c r="I217" s="25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H218" s="1"/>
      <c r="I218" s="25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H219" s="1"/>
      <c r="I219" s="25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H220" s="1"/>
      <c r="I220" s="25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H221" s="1"/>
      <c r="I221" s="25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H222" s="1"/>
      <c r="I222" s="25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H223" s="1"/>
      <c r="I223" s="25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H224" s="1"/>
      <c r="I224" s="25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H225" s="1"/>
      <c r="I225" s="25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H226" s="1"/>
      <c r="I226" s="25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H227" s="1"/>
      <c r="I227" s="25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H228" s="1"/>
      <c r="I228" s="25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H229" s="1"/>
      <c r="I229" s="25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H230" s="1"/>
      <c r="I230" s="25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H231" s="1"/>
      <c r="I231" s="25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H232" s="1"/>
      <c r="I232" s="25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H233" s="1"/>
      <c r="I233" s="25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H234" s="1"/>
      <c r="I234" s="25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H1000" s="1"/>
      <c r="I1000" s="1"/>
      <c r="J1000" s="1"/>
      <c r="K1000" s="1"/>
      <c r="L1000" s="1"/>
      <c r="M1000" s="1"/>
    </row>
  </sheetData>
  <hyperlinks>
    <hyperlink r:id="rId1" ref="M2"/>
    <hyperlink r:id="rId2" ref="M3"/>
    <hyperlink r:id="rId3" ref="M6"/>
    <hyperlink r:id="rId4" ref="M8"/>
    <hyperlink r:id="rId5" ref="M13"/>
    <hyperlink r:id="rId6" ref="M14"/>
  </hyperlinks>
  <printOptions/>
  <pageMargins bottom="1.0" footer="0.0" header="0.0" left="0.75" right="0.75" top="1.0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2026-04-08T20:09:59Z</dcterms:created>
  <dc:creator>openpyxl</dc:creator>
</cp:coreProperties>
</file>