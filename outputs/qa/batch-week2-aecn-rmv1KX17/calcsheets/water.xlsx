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Version" sheetId="1" r:id="rId5"/>
    <sheet state="visible" name="Brine Historical" sheetId="2" r:id="rId6"/>
    <sheet state="hidden" name="Sheet1" sheetId="3" r:id="rId7"/>
  </sheets>
  <definedNames/>
  <calcPr/>
</workbook>
</file>

<file path=xl/sharedStrings.xml><?xml version="1.0" encoding="utf-8"?>
<sst xmlns="http://schemas.openxmlformats.org/spreadsheetml/2006/main" count="90" uniqueCount="48">
  <si>
    <t>Sources and Distances</t>
  </si>
  <si>
    <t>Est. Density of Produced Water (g/ml)</t>
  </si>
  <si>
    <t>https://www.amwel.com/downloads/15thProducedWaterSeminar.pdf?utm_source=chatgpt.com</t>
  </si>
  <si>
    <t>Constants</t>
  </si>
  <si>
    <t>Source Name</t>
  </si>
  <si>
    <t>Source Location</t>
  </si>
  <si>
    <t>Distance from Site (miles)</t>
  </si>
  <si>
    <t>"" (g/l)</t>
  </si>
  <si>
    <t>Liters per Gal</t>
  </si>
  <si>
    <t>Borque</t>
  </si>
  <si>
    <t>Termo</t>
  </si>
  <si>
    <t>"" (kg/l)</t>
  </si>
  <si>
    <t>Lottie</t>
  </si>
  <si>
    <t>Liters per Gallon</t>
  </si>
  <si>
    <t>Mass of 1 Gallon Water (kg)</t>
  </si>
  <si>
    <t>Emission Factors</t>
  </si>
  <si>
    <t>Average Water Delivery Distance</t>
  </si>
  <si>
    <t>Water Delivery Process Emissions/gal (MT CO2e)</t>
  </si>
  <si>
    <t>Truck Transport Fuel Use (Well to Wheel) -- Tanker Truck</t>
  </si>
  <si>
    <t>MT CO2e/t-mi</t>
  </si>
  <si>
    <t>GLEC V3.2 2025</t>
  </si>
  <si>
    <t>Water Delivery Process Emissions/gal (kg CO2e)</t>
  </si>
  <si>
    <t>Vehicle Embodied Emissions --Tanker Truck</t>
  </si>
  <si>
    <t>MT CO2e/mi</t>
  </si>
  <si>
    <t>Water Delivery Process Emissions/l (kg CO2e)</t>
  </si>
  <si>
    <t>Water Delivery Embodied Emissions (MT CO2e)</t>
  </si>
  <si>
    <t>Avg Water Used/Month (Gal)</t>
  </si>
  <si>
    <t>Avg Water Used/Month (kg)</t>
  </si>
  <si>
    <t>Avg Water Used/Month (lbs)</t>
  </si>
  <si>
    <t>Est Tanker Capacity (bbls)</t>
  </si>
  <si>
    <t>Bourque Invoices</t>
  </si>
  <si>
    <t>Gal/bbl</t>
  </si>
  <si>
    <t>Est Tanker Capacity (kg)</t>
  </si>
  <si>
    <t>Avg Tankers/Month</t>
  </si>
  <si>
    <t>Total Embodied Emissions</t>
  </si>
  <si>
    <t>Water Delivery Embodied Emissions/gal (MT CO2e)</t>
  </si>
  <si>
    <t>Water Delivery Embodied Emissions/gal (kg CO2e)</t>
  </si>
  <si>
    <t>Water Delivery Embodied Emissions/l (kg CO2e)</t>
  </si>
  <si>
    <t>Total Water Delivery Emissions (kg CO2e/gal)</t>
  </si>
  <si>
    <t>Month</t>
  </si>
  <si>
    <t>Gallons Used</t>
  </si>
  <si>
    <t>Gal Water/MT Bio Oil Ratio</t>
  </si>
  <si>
    <t>Avg MT Bio Oil Processed/Wk</t>
  </si>
  <si>
    <t>Avg Water Used/Wk (Gal)</t>
  </si>
  <si>
    <t>Avg Water Used/Wk (kg)</t>
  </si>
  <si>
    <t>Avg Water Used/Wk (lbs)</t>
  </si>
  <si>
    <t>https://dragonproducts.com/130bbl-super-lightweight-non-code-vacuum-tank-trailer-2/</t>
  </si>
  <si>
    <t>Avg Tankers/Wk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</si>
</sst>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00"/>
    <numFmt numFmtId="166" formatCode="mm/dd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  <xf borderId="0" fillId="0" fontId="5" numFmtId="166" xfId="0" applyAlignment="1" applyFont="1" applyNumberFormat="1">
      <alignment readingOrder="0"/>
    </xf>
    <xf borderId="0" fillId="0" fontId="5" numFmtId="0" xfId="0" applyFont="1"/>
    <xf borderId="0" fillId="2" fontId="2" numFmtId="0" xfId="0" applyAlignment="1" applyFill="1" applyFont="1">
      <alignment horizontal="right" vertical="bottom"/>
    </xf>
    <xf borderId="0" fillId="0" fontId="2" numFmtId="0" xfId="0" applyAlignment="1" applyFont="1">
      <alignment readingOrder="0" shrinkToFit="0" vertical="bottom" wrapText="1"/>
    </xf>
    <xf borderId="0" fillId="2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wel.com/downloads/15thProducedWaterSeminar.pdf?utm_source=chatgpt.com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wel.com/downloads/15thProducedWaterSeminar.pdf?utm_source=chatgpt.com" TargetMode="External"/><Relationship Id="rId2" Type="http://schemas.openxmlformats.org/officeDocument/2006/relationships/hyperlink" Target="https://smart-freight-centre-media.s3.amazonaws.com/documents/GLEC_FRAMEWORK_v3.2_21_10_25_1.pdf" TargetMode="External"/><Relationship Id="rId3" Type="http://schemas.openxmlformats.org/officeDocument/2006/relationships/hyperlink" Target="https://dragonproducts.com/130bbl-super-lightweight-non-code-vacuum-tank-trailer-2/" TargetMode="External"/><Relationship Id="rId4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2.63"/>
    <col customWidth="1" min="5" max="5" width="39.75"/>
    <col customWidth="1" min="6" max="6" width="18.75"/>
    <col customWidth="1" min="13" max="13" width="28.38"/>
  </cols>
  <sheetData>
    <row r="1">
      <c r="A1" s="1" t="s">
        <v>0</v>
      </c>
      <c r="C1" s="2"/>
      <c r="D1" s="2"/>
      <c r="E1" s="3" t="s">
        <v>1</v>
      </c>
      <c r="F1" s="4">
        <v>1.104</v>
      </c>
      <c r="G1" s="5" t="s">
        <v>2</v>
      </c>
      <c r="H1" s="2"/>
      <c r="I1" s="2"/>
      <c r="J1" s="2"/>
      <c r="K1" s="2"/>
      <c r="L1" s="2"/>
      <c r="M1" s="1" t="s">
        <v>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4</v>
      </c>
      <c r="B2" s="6" t="s">
        <v>5</v>
      </c>
      <c r="C2" s="6" t="s">
        <v>6</v>
      </c>
      <c r="D2" s="2"/>
      <c r="E2" s="2" t="s">
        <v>7</v>
      </c>
      <c r="F2" s="7">
        <f>F1*1000</f>
        <v>1104</v>
      </c>
      <c r="G2" s="2"/>
      <c r="H2" s="2"/>
      <c r="I2" s="2"/>
      <c r="J2" s="2"/>
      <c r="K2" s="2"/>
      <c r="L2" s="2"/>
      <c r="M2" s="2" t="s">
        <v>8</v>
      </c>
      <c r="N2" s="7">
        <v>3.785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3" t="s">
        <v>10</v>
      </c>
      <c r="C3" s="4">
        <v>50.0</v>
      </c>
      <c r="D3" s="2"/>
      <c r="E3" s="2" t="s">
        <v>11</v>
      </c>
      <c r="F3" s="7">
        <f>F2/1000</f>
        <v>1.104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</v>
      </c>
      <c r="B4" s="3" t="s">
        <v>12</v>
      </c>
      <c r="C4" s="4">
        <v>63.7</v>
      </c>
      <c r="D4" s="2"/>
      <c r="E4" s="2" t="s">
        <v>13</v>
      </c>
      <c r="F4" s="7">
        <v>3.785</v>
      </c>
      <c r="G4" s="2"/>
      <c r="H4" s="2"/>
      <c r="I4" s="2"/>
      <c r="J4" s="2"/>
      <c r="K4" s="2"/>
      <c r="L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 t="s">
        <v>14</v>
      </c>
      <c r="F5" s="8">
        <f>F4*F3</f>
        <v>4.17864</v>
      </c>
      <c r="G5" s="2"/>
      <c r="H5" s="2"/>
      <c r="I5" s="2"/>
      <c r="J5" s="2"/>
      <c r="K5" s="2"/>
      <c r="L5" s="2"/>
      <c r="M5" s="9"/>
      <c r="N5" s="2"/>
      <c r="O5" s="7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6" t="s">
        <v>15</v>
      </c>
      <c r="N6" s="3"/>
      <c r="O6" s="4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 t="s">
        <v>16</v>
      </c>
      <c r="F7" s="7">
        <f>AVERAGE(C3:C1001)</f>
        <v>56.85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 t="s">
        <v>17</v>
      </c>
      <c r="F8" s="7">
        <f>$F$7*(F5/1000)*O8</f>
        <v>0.00002715261468</v>
      </c>
      <c r="G8" s="2"/>
      <c r="H8" s="2"/>
      <c r="I8" s="2"/>
      <c r="J8" s="2"/>
      <c r="K8" s="2"/>
      <c r="L8" s="2"/>
      <c r="M8" s="2" t="s">
        <v>18</v>
      </c>
      <c r="N8" s="2" t="s">
        <v>19</v>
      </c>
      <c r="O8" s="7">
        <v>1.143E-4</v>
      </c>
      <c r="P8" s="7">
        <v>0.0</v>
      </c>
      <c r="Q8" s="10">
        <f>O8*(1+P8)</f>
        <v>0.0001143</v>
      </c>
      <c r="R8" s="11" t="s">
        <v>20</v>
      </c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 t="s">
        <v>21</v>
      </c>
      <c r="F9" s="7">
        <f>F8*1000</f>
        <v>0.02715261468</v>
      </c>
      <c r="G9" s="2"/>
      <c r="H9" s="2"/>
      <c r="I9" s="2"/>
      <c r="J9" s="2"/>
      <c r="K9" s="2"/>
      <c r="L9" s="2"/>
      <c r="M9" s="3" t="s">
        <v>22</v>
      </c>
      <c r="N9" s="3" t="s">
        <v>23</v>
      </c>
      <c r="O9" s="3">
        <v>2.3756059E-4</v>
      </c>
      <c r="P9" s="3">
        <v>0.0</v>
      </c>
      <c r="Q9" s="3">
        <v>2.38E-4</v>
      </c>
      <c r="R9" s="3" t="s">
        <v>20</v>
      </c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 t="s">
        <v>24</v>
      </c>
      <c r="F10" s="7">
        <f>F9/N2</f>
        <v>0.00717374232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 t="s">
        <v>25</v>
      </c>
      <c r="F12" s="7">
        <f>F7*O9</f>
        <v>0.01350531954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3" t="s">
        <v>26</v>
      </c>
      <c r="F13" s="7">
        <f>'Brine Historical'!B12</f>
        <v>22896.5225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3" t="s">
        <v>27</v>
      </c>
      <c r="F14" s="7">
        <f>F13*F5</f>
        <v>95676.32478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3" t="s">
        <v>28</v>
      </c>
      <c r="F15" s="7">
        <f>F14*2.205</f>
        <v>210966.2961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 t="s">
        <v>29</v>
      </c>
      <c r="F17" s="4">
        <v>120.0</v>
      </c>
      <c r="G17" s="3" t="s">
        <v>30</v>
      </c>
      <c r="H17" s="3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 t="s">
        <v>31</v>
      </c>
      <c r="F18" s="4">
        <v>42.0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 t="s">
        <v>32</v>
      </c>
      <c r="F19" s="7">
        <f>F5*F17*F18</f>
        <v>21060.3456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3" t="s">
        <v>33</v>
      </c>
      <c r="F20" s="4">
        <v>6.0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 t="s">
        <v>34</v>
      </c>
      <c r="F21" s="7">
        <f>F12*F20</f>
        <v>0.08103191725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 t="s">
        <v>35</v>
      </c>
      <c r="F22" s="7">
        <f>F21/F13</f>
        <v>0.000003539049096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 t="s">
        <v>36</v>
      </c>
      <c r="F23" s="7">
        <f>F22*1000</f>
        <v>0.003539049096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 t="s">
        <v>37</v>
      </c>
      <c r="F24" s="7">
        <f>F23/N2</f>
        <v>0.0009350195762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3" t="s">
        <v>38</v>
      </c>
      <c r="F26" s="2">
        <f>SUM(F23,F9)</f>
        <v>0.03069166378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mergeCells count="1">
    <mergeCell ref="A1:B1"/>
  </mergeCells>
  <hyperlinks>
    <hyperlink r:id="rId1" ref="G1"/>
    <hyperlink r:id="rId2" ref="R8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39</v>
      </c>
      <c r="B1" s="12" t="s">
        <v>40</v>
      </c>
    </row>
    <row r="2">
      <c r="A2" s="13">
        <v>46259.0</v>
      </c>
      <c r="B2" s="12">
        <v>76784.0</v>
      </c>
    </row>
    <row r="3">
      <c r="A3" s="13">
        <v>46290.0</v>
      </c>
      <c r="B3" s="12">
        <v>17349.18</v>
      </c>
    </row>
    <row r="4">
      <c r="A4" s="13">
        <v>46320.0</v>
      </c>
      <c r="B4" s="12">
        <v>27529.0</v>
      </c>
    </row>
    <row r="5">
      <c r="A5" s="13">
        <v>46351.0</v>
      </c>
      <c r="B5" s="14">
        <f t="shared" ref="B5:B7" si="1">36960/3</f>
        <v>12320</v>
      </c>
    </row>
    <row r="6">
      <c r="A6" s="13">
        <v>46381.0</v>
      </c>
      <c r="B6" s="14">
        <f t="shared" si="1"/>
        <v>12320</v>
      </c>
    </row>
    <row r="7">
      <c r="A7" s="13">
        <v>46412.0</v>
      </c>
      <c r="B7" s="14">
        <f t="shared" si="1"/>
        <v>12320</v>
      </c>
    </row>
    <row r="8">
      <c r="A8" s="13">
        <v>46443.0</v>
      </c>
      <c r="B8" s="12">
        <v>18480.0</v>
      </c>
    </row>
    <row r="9">
      <c r="A9" s="13">
        <v>46471.0</v>
      </c>
      <c r="B9" s="12">
        <v>6070.0</v>
      </c>
    </row>
    <row r="12">
      <c r="B12" s="14">
        <f>AVERAGE(B2:B9)</f>
        <v>22896.5225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38"/>
    <col customWidth="1" min="3" max="3" width="22.63"/>
    <col customWidth="1" min="5" max="5" width="39.75"/>
    <col customWidth="1" min="13" max="13" width="28.38"/>
  </cols>
  <sheetData>
    <row r="1">
      <c r="A1" s="1" t="s">
        <v>0</v>
      </c>
      <c r="C1" s="2"/>
      <c r="D1" s="2"/>
      <c r="E1" s="3" t="s">
        <v>1</v>
      </c>
      <c r="F1" s="4">
        <v>1.104</v>
      </c>
      <c r="G1" s="5" t="s">
        <v>2</v>
      </c>
      <c r="H1" s="2"/>
      <c r="I1" s="2"/>
      <c r="J1" s="2"/>
      <c r="K1" s="2"/>
      <c r="L1" s="2"/>
      <c r="M1" s="1" t="s">
        <v>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6" t="s">
        <v>4</v>
      </c>
      <c r="B2" s="6" t="s">
        <v>5</v>
      </c>
      <c r="C2" s="6" t="s">
        <v>6</v>
      </c>
      <c r="D2" s="2"/>
      <c r="E2" s="2" t="s">
        <v>7</v>
      </c>
      <c r="F2" s="7">
        <f>F1*1000</f>
        <v>1104</v>
      </c>
      <c r="G2" s="2"/>
      <c r="H2" s="2"/>
      <c r="I2" s="2"/>
      <c r="J2" s="2"/>
      <c r="K2" s="2"/>
      <c r="L2" s="2"/>
      <c r="M2" s="2" t="s">
        <v>8</v>
      </c>
      <c r="N2" s="7">
        <v>3.785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9</v>
      </c>
      <c r="B3" s="3" t="s">
        <v>10</v>
      </c>
      <c r="C3" s="4">
        <v>50.0</v>
      </c>
      <c r="D3" s="2"/>
      <c r="E3" s="2" t="s">
        <v>11</v>
      </c>
      <c r="F3" s="7">
        <f>F2/1000</f>
        <v>1.104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9</v>
      </c>
      <c r="B4" s="3" t="s">
        <v>12</v>
      </c>
      <c r="C4" s="4">
        <v>63.7</v>
      </c>
      <c r="D4" s="2"/>
      <c r="E4" s="2" t="s">
        <v>13</v>
      </c>
      <c r="F4" s="7">
        <v>3.785</v>
      </c>
      <c r="G4" s="2"/>
      <c r="H4" s="2"/>
      <c r="I4" s="2"/>
      <c r="J4" s="2"/>
      <c r="K4" s="2"/>
      <c r="L4" s="2"/>
      <c r="M4" s="6" t="s">
        <v>15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 t="s">
        <v>14</v>
      </c>
      <c r="F5" s="8">
        <f>F4*F3</f>
        <v>4.17864</v>
      </c>
      <c r="G5" s="2"/>
      <c r="H5" s="2"/>
      <c r="I5" s="2"/>
      <c r="J5" s="2"/>
      <c r="K5" s="2"/>
      <c r="L5" s="2"/>
      <c r="M5" s="9" t="s">
        <v>18</v>
      </c>
      <c r="N5" s="2" t="s">
        <v>19</v>
      </c>
      <c r="O5" s="15">
        <f>(70/1000000)*1.609</f>
        <v>0.00011263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16" t="s">
        <v>22</v>
      </c>
      <c r="N6" s="3" t="s">
        <v>23</v>
      </c>
      <c r="O6" s="17">
        <v>7.879952768E-5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2"/>
      <c r="B7" s="2"/>
      <c r="C7" s="2"/>
      <c r="D7" s="2"/>
      <c r="E7" s="2" t="s">
        <v>16</v>
      </c>
      <c r="F7" s="7">
        <f>AVERAGE(C3:C1003)</f>
        <v>56.85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 t="s">
        <v>17</v>
      </c>
      <c r="F8" s="7">
        <f>$F$7*(F5/1000)*O5</f>
        <v>0.00002675589669</v>
      </c>
      <c r="G8" s="2"/>
      <c r="H8" s="2"/>
      <c r="I8" s="2"/>
      <c r="J8" s="2"/>
      <c r="K8" s="2"/>
      <c r="L8" s="2"/>
      <c r="M8" s="2" t="s">
        <v>18</v>
      </c>
      <c r="N8" s="2" t="s">
        <v>19</v>
      </c>
      <c r="O8" s="7">
        <v>1.143E-4</v>
      </c>
      <c r="P8" s="7">
        <v>0.0</v>
      </c>
      <c r="Q8" s="10">
        <f>O8*(1+P8)</f>
        <v>0.0001143</v>
      </c>
      <c r="R8" s="11" t="s">
        <v>20</v>
      </c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 t="s">
        <v>21</v>
      </c>
      <c r="F9" s="7">
        <f>F8*1000</f>
        <v>0.02675589669</v>
      </c>
      <c r="G9" s="2"/>
      <c r="H9" s="2"/>
      <c r="I9" s="2"/>
      <c r="J9" s="2"/>
      <c r="K9" s="2"/>
      <c r="L9" s="2"/>
      <c r="M9" s="3" t="s">
        <v>22</v>
      </c>
      <c r="N9" s="3" t="s">
        <v>23</v>
      </c>
      <c r="O9" s="3">
        <v>2.3756059E-4</v>
      </c>
      <c r="P9" s="3">
        <v>0.0</v>
      </c>
      <c r="Q9" s="3">
        <v>2.38E-4</v>
      </c>
      <c r="R9" s="3" t="s">
        <v>20</v>
      </c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 t="s">
        <v>24</v>
      </c>
      <c r="F10" s="7">
        <f>F9/N2</f>
        <v>0.007068929112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 t="s">
        <v>25</v>
      </c>
      <c r="F12" s="7">
        <f>F7*O6</f>
        <v>0.004479753149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 t="s">
        <v>41</v>
      </c>
      <c r="F13" s="7">
        <f>60*42/40</f>
        <v>63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 t="s">
        <v>42</v>
      </c>
      <c r="F14" s="4">
        <v>147.75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 t="s">
        <v>43</v>
      </c>
      <c r="F15" s="7">
        <f>F14*F13</f>
        <v>9308.25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 t="s">
        <v>44</v>
      </c>
      <c r="F16" s="7">
        <f>F15*F5</f>
        <v>38895.82578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 t="s">
        <v>45</v>
      </c>
      <c r="F17" s="7">
        <f>F16*2.205</f>
        <v>85765.29584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 t="s">
        <v>29</v>
      </c>
      <c r="F19" s="7">
        <v>130.0</v>
      </c>
      <c r="G19" s="11" t="s">
        <v>46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 t="s">
        <v>31</v>
      </c>
      <c r="F20" s="7">
        <v>55.0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 t="s">
        <v>32</v>
      </c>
      <c r="F21" s="7">
        <f>F5*F19*F20</f>
        <v>29877.276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 t="s">
        <v>47</v>
      </c>
      <c r="F22" s="7">
        <f>Round(F17/F21,0)</f>
        <v>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 t="s">
        <v>34</v>
      </c>
      <c r="F23" s="7">
        <f>F12*F22</f>
        <v>0.01343925945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 t="s">
        <v>35</v>
      </c>
      <c r="F24" s="7">
        <f>F23/F15</f>
        <v>0.00000144380087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 t="s">
        <v>36</v>
      </c>
      <c r="F25" s="7">
        <f>F24*1000</f>
        <v>0.00144380087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 t="s">
        <v>37</v>
      </c>
      <c r="F26" s="7">
        <f>F25/N2</f>
        <v>0.0003814533341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3" t="s">
        <v>38</v>
      </c>
      <c r="F28" s="2">
        <f>SUM(F25,F9)</f>
        <v>0.02819969756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</sheetData>
  <mergeCells count="1">
    <mergeCell ref="A1:B1"/>
  </mergeCells>
  <hyperlinks>
    <hyperlink r:id="rId1" ref="G1"/>
    <hyperlink r:id="rId2" ref="R8"/>
    <hyperlink r:id="rId3" ref="G19"/>
  </hyperlinks>
  <drawing r:id="rId4"/>
</worksheet>
</file>