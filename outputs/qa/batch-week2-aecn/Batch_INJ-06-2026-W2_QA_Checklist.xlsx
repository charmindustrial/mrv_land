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Per-Offload Mass" sheetId="2" state="visible" r:id="rId2"/>
    <sheet xmlns:r="http://schemas.openxmlformats.org/officeDocument/2006/relationships" name="Certify Rec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6600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00" customWidth="1" min="4" max="4"/>
    <col width="20" customWidth="1" min="5" max="5"/>
  </cols>
  <sheetData>
    <row r="1">
      <c r="A1" s="1" t="inlineStr">
        <is>
          <t>Item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Notes / Evidence</t>
        </is>
      </c>
      <c r="E1" s="1" t="inlineStr">
        <is>
          <t>Verifier Ref</t>
        </is>
      </c>
    </row>
    <row r="2">
      <c r="A2" s="1" t="inlineStr">
        <is>
          <t>INJ-06-2026-W2 — AECN Weekly Batch QA</t>
        </is>
      </c>
      <c r="B2" s="1" t="inlineStr">
        <is>
          <t>Reviewer: Claude QA Agent  |  Date: 2026-06-24  |  Injection Site: Basco 6  |  Oil Type: AECN (rail)  |  Week: Sat 2026-06-06 to Sat 2026-06-13  |  Injected: 2026-06-14  |  Certify GHG entry rmv_1KVJW9TAM1S0QVQ2  |  Net CDR 416.33 tCO2e</t>
        </is>
      </c>
      <c r="C2" s="1" t="inlineStr"/>
      <c r="D2" s="1" t="inlineStr"/>
      <c r="E2" s="1" t="inlineStr"/>
    </row>
    <row r="3">
      <c r="A3" s="1" t="inlineStr">
        <is>
          <t>Scope</t>
        </is>
      </c>
      <c r="B3" s="1" t="inlineStr">
        <is>
          <t>Time-block (weekly) batch = all AECN oil for the week, ONE aggregated Certify GHG entry. AECN is ALL RAIL: 16 truck-out offloads from 4 railcars (GPRX5240 / GPRX5139 / TILX200228 / GPRX5106, 4 offloads each). WODO + QOWV were also injected this week but are OUT OF SCOPE (separate skills); this entry is AECN-only. [log:batch_id]</t>
        </is>
      </c>
      <c r="C3" s="1" t="inlineStr"/>
      <c r="D3" s="1" t="inlineStr"/>
      <c r="E3" s="1" t="inlineStr"/>
    </row>
    <row r="4">
      <c r="A4" s="1" t="inlineStr">
        <is>
          <t>SUMMARY OF FINDINGS</t>
        </is>
      </c>
      <c r="B4" s="1" t="inlineStr">
        <is>
          <t>RE-RUN 2026-06-25: GPRX5139 O3 empty-ticket duplicate RESOLVED (Garrett re-uploaded the genuine 29,560 ticket; item 2.1 now Pass). All other findings UNCHANGED on fresh re-pull (Ops Notes, Certify, Drive). 5 root causes: (1) Ops Notes not attached in Certify -&gt; 7.1/9.1/9.2/9.4 (same gap as W1). (2) W2 AECN lab CoA absent everywhere -&gt; 4.1 + Sec-4 dependents. (3) TILX200228 offload_3 Ops mis-transcription (tickets+COBB say 21,309.75; Ops says 22,362.09) -&gt; 2.4/2.5/2.7/5.2; spurious FC11 back-calc; net over-credit only ~6 kg / 0.009 t. (4) Embodied allocated distances wrong: AECN-&gt;SOPOR 4x too high, Opel-&gt;Basco 32x too low -&gt; 3.5/9.2; net +0.6 t emission (Net CDR conservatively understated). (5) Source set incomplete (Ops Notes + CoA) -&gt; 9.10. All mass/EF/uncertainty math otherwise reconciles to Certify.</t>
        </is>
      </c>
      <c r="C4" s="1" t="inlineStr"/>
      <c r="D4" s="1" t="inlineStr"/>
      <c r="E4" s="1" t="inlineStr"/>
    </row>
    <row r="5">
      <c r="A5" s="1" t="inlineStr">
        <is>
          <t>1. Batch Folder Completeness</t>
        </is>
      </c>
      <c r="B5" s="1" t="inlineStr"/>
      <c r="C5" s="1" t="inlineStr"/>
      <c r="D5" s="1" t="inlineStr"/>
      <c r="E5" s="1" t="inlineStr"/>
    </row>
    <row r="6">
      <c r="A6" s="2" t="inlineStr">
        <is>
          <t>1.1</t>
        </is>
      </c>
      <c r="B6" s="2" t="inlineStr">
        <is>
          <t>Batch folder named with batch ID</t>
        </is>
      </c>
      <c r="C6" s="2" t="inlineStr">
        <is>
          <t>Pass</t>
        </is>
      </c>
      <c r="D6" s="2" t="inlineStr">
        <is>
          <t>Drive folder '1_OtwOV...QgYhq' holds INJ-06-2026-W2; Ops Notes header batch ID 'INJ-06-2026-W2'. [log:batch_id]</t>
        </is>
      </c>
      <c r="E6" s="2" t="inlineStr">
        <is>
          <t>VR Appendix 1</t>
        </is>
      </c>
    </row>
    <row r="7">
      <c r="A7" s="2" t="inlineStr">
        <is>
          <t>1.2</t>
        </is>
      </c>
      <c r="B7" s="2" t="inlineStr">
        <is>
          <t>Scale Tickets subfolder present and populated</t>
        </is>
      </c>
      <c r="C7" s="2" t="inlineStr">
        <is>
          <t>Pass</t>
        </is>
      </c>
      <c r="D7" s="2" t="inlineStr">
        <is>
          <t>Scale Tickets folder holds 4 railcar subfolders (GPRX5240/GPRX5139/TILX200228/GPRX5106), each with O1-O4; 32 ticket images total (full+empty x 16 offloads), all opened and read. One misfiled duplicate noted in 2.1. [log:scale_tickets.reads]</t>
        </is>
      </c>
      <c r="E7" s="2" t="inlineStr">
        <is>
          <t>VR Appendix 1</t>
        </is>
      </c>
    </row>
    <row r="8">
      <c r="A8" s="3" t="inlineStr">
        <is>
          <t>1.3</t>
        </is>
      </c>
      <c r="B8" s="3" t="inlineStr">
        <is>
          <t>Testing subfolder present with lab results</t>
        </is>
      </c>
      <c r="C8" s="3" t="inlineStr">
        <is>
          <t>Fail</t>
        </is>
      </c>
      <c r="D8" s="3" t="inlineStr">
        <is>
          <t>The W2 AECN lab Certificate of Analysis is ABSENT. Exhaustive Drive search (5 queries) found only a chain-of-custody TEMPLATE ('June 2026 Week 2 SGS CoC Template') and a solids-content dataset - no SGS CoA reporting the composite '6-2026-W2 AECN' carbon/H/N/density. It is also not among the 92 Certify Sources, and the Ops Summary 'Lab COA Link' cell is blank. (W1 had '6-2026-W1 AECN.pdf' / SR26-03163.) Garrett to file the W2 AECN CoA. [log:lab_results] [log:lab_results.finding_FAIL]</t>
        </is>
      </c>
      <c r="E8" s="3" t="inlineStr">
        <is>
          <t>VR Appendix 1</t>
        </is>
      </c>
    </row>
    <row r="9">
      <c r="A9" s="2" t="inlineStr">
        <is>
          <t>1.4</t>
        </is>
      </c>
      <c r="B9" s="2" t="inlineStr">
        <is>
          <t>Ops Notes present and complete</t>
        </is>
      </c>
      <c r="C9" s="2" t="inlineStr">
        <is>
          <t>Pass</t>
        </is>
      </c>
      <c r="D9" s="2" t="inlineStr">
        <is>
          <t>Weekly master workbook 'INJ-06-2026-W2 Ops Notes' (Summary + AECN Rail tabs); all sections populated, downloaded and read in full locally. [log:ops_notes._primary_source_opened]</t>
        </is>
      </c>
      <c r="E9" s="2" t="inlineStr">
        <is>
          <t>VR Appendix 1</t>
        </is>
      </c>
    </row>
    <row r="10">
      <c r="A10" s="2" t="inlineStr">
        <is>
          <t>1.5</t>
        </is>
      </c>
      <c r="B10" s="2" t="inlineStr">
        <is>
          <t>Injection site confirmed Basco 6</t>
        </is>
      </c>
      <c r="C10" s="2" t="inlineStr">
        <is>
          <t>Pass</t>
        </is>
      </c>
      <c r="D10" s="2" t="inlineStr">
        <is>
          <t>BOLs route AECN -&gt; SOPOR (Baie-Comeau) -&gt; Basco; Certify is the Charm Bio-oil Geologic Storage (Basco) project; all source docs reference Basco/SOPOR/AECN only. No deprecated Vaulted references. [log:bol.all_dest_sopor]</t>
        </is>
      </c>
      <c r="E10" s="2" t="inlineStr">
        <is>
          <t>Basco verification</t>
        </is>
      </c>
    </row>
    <row r="11">
      <c r="A11" s="1" t="inlineStr">
        <is>
          <t>2. Scale Tickets &amp; Mass Determination</t>
        </is>
      </c>
      <c r="B11" s="1" t="inlineStr"/>
      <c r="C11" s="1" t="inlineStr"/>
      <c r="D11" s="1" t="inlineStr"/>
      <c r="E11" s="1" t="inlineStr"/>
    </row>
    <row r="12">
      <c r="A12" s="2" t="inlineStr">
        <is>
          <t>2.1</t>
        </is>
      </c>
      <c r="B12" s="2" t="inlineStr">
        <is>
          <t>Full and empty ticket images present per offload</t>
        </is>
      </c>
      <c r="C12" s="2" t="inlineStr">
        <is>
          <t>Pass</t>
        </is>
      </c>
      <c r="D12" s="2" t="inlineStr">
        <is>
          <t>All 32 tickets present and legible (CAT Scale 3122, Bunkie LA; axle breakdown sums to gross on every ticket). RESOLVED on 2026-06-25 re-run: Garrett re-uploaded the GPRX5139 offload_3 empty ticket (Empty_Ticket_Rail_GPRX5139_5.8.2026_offload_3 (1).pdf, ticket #1312226160902, 6-09-26, axles 10600+10080+8880 = gross 29,560, CH1/KL720) - replacing the earlier misfiled duplicate of offload_4. The 29,560 matches Ops Notes, nets to 19,431.88 = Ops, and the vehicle pair now matches the O3 full (CH1/KL720). [log:scale_tickets] [log:scale_tickets.rerun_2026-06-25]</t>
        </is>
      </c>
      <c r="E12" s="2" t="inlineStr">
        <is>
          <t>VR Sec 5.1</t>
        </is>
      </c>
    </row>
    <row r="13">
      <c r="A13" s="2" t="inlineStr">
        <is>
          <t>2.2</t>
        </is>
      </c>
      <c r="B13" s="2" t="inlineStr">
        <is>
          <t>Ticket dates within 2 weeks of injection</t>
        </is>
      </c>
      <c r="C13" s="2" t="inlineStr">
        <is>
          <t>Pass</t>
        </is>
      </c>
      <c r="D13" s="2" t="inlineStr">
        <is>
          <t>All 32 ticket dates read; offload weighings span 2026-06-05 to 2026-06-13 vs injection 2026-06-14 (COBB) - all within 14 days. [log:scale_tickets.reads]</t>
        </is>
      </c>
      <c r="E13" s="2" t="inlineStr">
        <is>
          <t>VR Sec 3.5</t>
        </is>
      </c>
    </row>
    <row r="14">
      <c r="A14" s="2" t="inlineStr">
        <is>
          <t>2.2b</t>
        </is>
      </c>
      <c r="B14" s="2" t="inlineStr">
        <is>
          <t>Empty ticket date on or after full ticket date</t>
        </is>
      </c>
      <c r="C14" s="2" t="inlineStr">
        <is>
          <t>Pass</t>
        </is>
      </c>
      <c r="D14" s="2" t="inlineStr">
        <is>
          <t>Per offload (full -&gt; empty) verified empty &gt;= full on all 16 offloads (e.g. GPRX5240 O1 6-05/6-06; TILX200228 O2 6-12/6-13; GPRX5139 O4 6-09/6-10). [log:scale_tickets.reads]</t>
        </is>
      </c>
      <c r="E14" s="2" t="inlineStr">
        <is>
          <t>VR Sec 5.1</t>
        </is>
      </c>
    </row>
    <row r="15">
      <c r="A15" s="2" t="inlineStr">
        <is>
          <t>2.3</t>
        </is>
      </c>
      <c r="B15" s="2" t="inlineStr">
        <is>
          <t>Tractor &amp; trailer numbers match between full and empty</t>
        </is>
      </c>
      <c r="C15" s="2" t="inlineStr">
        <is>
          <t>Pass</t>
        </is>
      </c>
      <c r="D15" s="2" t="inlineStr">
        <is>
          <t>Every offload pair (where both tickets present) has matching tractor+trailer: e.g. GPRX5240 O1 CH1/KL188, O2 CH2/KL192, O3 CH1/KL510, O4 CH1/KL720; TILX200228 O1 CH2/KL192, O2 CH2/KL188, O3 CH2/KL510, O4 CH1/KL720; GPRX5106 all pairs match; GPRX5139 all four pairs match (O3 now CH1/KL720 full + empty after the 2026-06-25 re-upload, per 2.1). Charm fleet CH1/CH2 + KL trailers. Cleaner than W1. [log:scale_tickets.reads] [log:scale_tickets.rerun_2026-06-25]</t>
        </is>
      </c>
      <c r="E15" s="2" t="inlineStr">
        <is>
          <t>VR Sec 5.1</t>
        </is>
      </c>
    </row>
    <row r="16">
      <c r="A16" s="3" t="inlineStr">
        <is>
          <t>2.4</t>
        </is>
      </c>
      <c r="B16" s="3" t="inlineStr">
        <is>
          <t>Net mass correctly calculated in Ops Notes (each offload recomputed)</t>
        </is>
      </c>
      <c r="C16" s="3" t="inlineStr">
        <is>
          <t>Fail</t>
        </is>
      </c>
      <c r="D16" s="3" t="inlineStr">
        <is>
          <t>15 of 16 offloads: Net (kg) = (Full lb - Empty lb) x 0.453592 from the ticket images = Ops offload-table net exactly (e.g. GPRX5240 O1 (80080-28860)=23,232.98; GPRX5106 O3 (77040-29040)=21,772.42). FAIL on TILX200228 offload_3: the scale tickets read Full 75,560 / Empty 28,580 (verified twice, axle-reconciled: 10140+32520+32900=75,560 and 9400+11200+7980=28,580), net (75560-28580)x0.453592 = 21,309.75 kg. Ops Notes recorded Full 78,560 / Empty 29,260 -&gt; net 22,362.09 kg, i.e. ~+1,052 kg over the tickets. COBB independently shows 21,309.75 for this offload (matches the tickets, not Ops). So the Ops Notes O3 cell is a transcription error. [log:scale_tickets.findings] [log:_derived_values.tilx_o3_ticket_net_kg] [log:_derived_values.offload_net_examples] [log:cobb.findings]</t>
        </is>
      </c>
      <c r="E16" s="3" t="inlineStr">
        <is>
          <t>VR Sec 5.1</t>
        </is>
      </c>
    </row>
    <row r="17">
      <c r="A17" s="3" t="inlineStr">
        <is>
          <t>2.5</t>
        </is>
      </c>
      <c r="B17" s="3" t="inlineStr">
        <is>
          <t>Conservative / last-offload (FC11) mass policy applied per railcar</t>
        </is>
      </c>
      <c r="C17" s="3" t="inlineStr">
        <is>
          <t>Fail</t>
        </is>
      </c>
      <c r="D17" s="3" t="inlineStr">
        <is>
          <t>Three of four railcars correct (offloaded &lt; BOL aggregate -&gt; documented loss, no back-calc): GPRX5240 76,947.35 vs BOL 77,730 (loss 782.65); GPRX5139 78,072.26 vs 78,140 (loss 67.74); GPRX5106 78,489.56 vs 78,550 (loss 60.44). FAIL on TILX200228: with the correct ticket O3 net (21,309.75), the 4 offloads sum to 78,153.90 kg vs BOL aggregate 78,160 (normal 6.1 kg loss) - NO back-calc needed. But because Ops inflated O3 to 22,362.09, the Ops sum is 79,206.24 (a physically impossible 1,046 kg OVERDRAW), which spuriously triggered the FC11 back-calc (Uncertainty Adjustment 1,046.24 kg on offload_4). The back-calc is an artifact of the O3 transcription error. [log:scale_tickets.findings] [log:_derived_values.tilx_offload_sum_ticket_kg] [log:ops_notes.railcars]</t>
        </is>
      </c>
      <c r="E17" s="3" t="inlineStr">
        <is>
          <t>GHG Stmt Sec C</t>
        </is>
      </c>
    </row>
    <row r="18">
      <c r="A18" s="2" t="inlineStr">
        <is>
          <t>2.6</t>
        </is>
      </c>
      <c r="B18" s="2" t="inlineStr">
        <is>
          <t>1.29% sparging deduction applied</t>
        </is>
      </c>
      <c r="C18" s="2" t="inlineStr">
        <is>
          <t>Pass</t>
        </is>
      </c>
      <c r="D18" s="2" t="inlineStr">
        <is>
          <t>Recomputed (Mass Used post-adj 311,669.16) x 0.0129 = 4,020.53 kg vs Ops Notes sparging loss 4,020.53. Match. [log:ops_notes.rollup]</t>
        </is>
      </c>
      <c r="E18" s="2" t="inlineStr">
        <is>
          <t>GHG Stmt Sec C</t>
        </is>
      </c>
    </row>
    <row r="19">
      <c r="A19" s="3" t="inlineStr">
        <is>
          <t>2.7</t>
        </is>
      </c>
      <c r="B19" s="3" t="inlineStr">
        <is>
          <t>Mass values consistent across scale tickets, Ops Notes, COBB, Certify</t>
        </is>
      </c>
      <c r="C19" s="3" t="inlineStr">
        <is>
          <t>Fail</t>
        </is>
      </c>
      <c r="D19" s="3" t="inlineStr">
        <is>
          <t>Two inconsistencies. (a) TILX200228 O3 (material direction): Ops/Certify chain uses 22,362.09 kg; scale tickets + COBB say 21,309.75 kg. Certify Allocated Bio-Oil Mass (311.669 t) was built from Ops Mass Used, so it over-credits by ~6.1 kg / ~0.009 tCO2e (immaterial to the 416.33 t headline, but Certify does not match the authoritative tickets+COBB on this offload). (b) GPRX5240 O4: COBB offloaded 10,523.33 vs scale-ticket/Ops/Certify net 10,750.13 (COBB implies empty 30,020 vs the ticket's 29,520) - here COBB is the outlier and tickets/Ops/Certify agree; Garrett-side COBB hygiene. [log:scale_tickets.findings] [log:cobb.findings] [log:_derived_values.weekly_overcredit_kg]</t>
        </is>
      </c>
      <c r="E19" s="3" t="inlineStr">
        <is>
          <t>VR Sec 5.1</t>
        </is>
      </c>
    </row>
    <row r="20">
      <c r="A20" s="2" t="inlineStr">
        <is>
          <t>2.8</t>
        </is>
      </c>
      <c r="B20" s="2" t="inlineStr">
        <is>
          <t>Filtration loss (0.195%) deduction</t>
        </is>
      </c>
      <c r="C20" s="2" t="inlineStr">
        <is>
          <t>Pass</t>
        </is>
      </c>
      <c r="D20" s="2" t="inlineStr">
        <is>
          <t>Recomputed (Mass Used 311,669.16 - sparging 4,020.53) x 0.00195 = 599.91 kg vs Ops Notes filtration loss 599.91. Confirmed by Max as a correct/expected weekly deduction (conservative, reduces credited mass). [log:ops_notes.rollup]</t>
        </is>
      </c>
      <c r="E20" s="2" t="inlineStr">
        <is>
          <t>GHG Stmt Sec C</t>
        </is>
      </c>
    </row>
    <row r="21">
      <c r="A21" s="1" t="inlineStr">
        <is>
          <t>3. Bills of Lading &amp; Transportation</t>
        </is>
      </c>
      <c r="B21" s="1" t="inlineStr"/>
      <c r="C21" s="1" t="inlineStr"/>
      <c r="D21" s="1" t="inlineStr"/>
      <c r="E21" s="1" t="inlineStr"/>
    </row>
    <row r="22">
      <c r="A22" s="2" t="inlineStr">
        <is>
          <t>3.1</t>
        </is>
      </c>
      <c r="B22" s="2" t="inlineStr">
        <is>
          <t>All truck BOLs present (3 per railcar into SOPOR)</t>
        </is>
      </c>
      <c r="C22" s="2" t="inlineStr">
        <is>
          <t>Pass</t>
        </is>
      </c>
      <c r="D22" s="2" t="inlineStr">
        <is>
          <t>All 12 BOLs opened and read individually (period folder, id ...uPGsaG): 2356/2357/2358-R (GPRX5240), 2365/2366/2367-R (GPRX5139), 2371/2372/2373-R (TILX200228), 2374/2375/2376-R (GPRX5106). [log:bol.reads]</t>
        </is>
      </c>
      <c r="E22" s="2" t="inlineStr">
        <is>
          <t>VR Appendix 1</t>
        </is>
      </c>
    </row>
    <row r="23">
      <c r="A23" s="2" t="inlineStr">
        <is>
          <t>3.2</t>
        </is>
      </c>
      <c r="B23" s="2" t="inlineStr">
        <is>
          <t>BOL destination = SOPOR railyard</t>
        </is>
      </c>
      <c r="C23" s="2" t="inlineStr">
        <is>
          <t>Pass</t>
        </is>
      </c>
      <c r="D23" s="2" t="inlineStr">
        <is>
          <t>All 12 BOLs Ship To 'CHARM/WATCO, Societe du port ferroviaire de Baie-Comeau (SOPOR)', Baie-Comeau QC. [log:bol.all_dest_sopor]</t>
        </is>
      </c>
      <c r="E23" s="2" t="inlineStr">
        <is>
          <t>VR Appendix 1</t>
        </is>
      </c>
    </row>
    <row r="24">
      <c r="A24" s="2" t="inlineStr">
        <is>
          <t>3.3</t>
        </is>
      </c>
      <c r="B24" s="2" t="inlineStr">
        <is>
          <t>BOL delivered mass matches Ops ledger (each); railcar agg &gt;= claimed</t>
        </is>
      </c>
      <c r="C24" s="2" t="inlineStr">
        <is>
          <t>Pass</t>
        </is>
      </c>
      <c r="D24" s="2" t="inlineStr">
        <is>
          <t>Per-BOL scale-weighed 'Product delivered' (MT) vs Ops origins ledger - all 12 match exactly: 2356 25.82, 2357 25.82, 2358 26.09, 2365 25.90, 2366 26.10, 2367 26.14, 2371 25.93, 2372 26.00, 2373 26.23, 2374 26.16, 2375 26.20, 2376 26.19. Railcar BOL aggregates 77,730 / 78,140 / 78,160 / 78,550 kg each &gt;= that railcar's claimed offload mass. [log:bol.reads] [log:bol.per_railcar_bol_sum_vs_loaded]</t>
        </is>
      </c>
      <c r="E24" s="2" t="inlineStr">
        <is>
          <t>VR Sec 3.5</t>
        </is>
      </c>
    </row>
    <row r="25">
      <c r="A25" s="2" t="inlineStr">
        <is>
          <t>3.4</t>
        </is>
      </c>
      <c r="B25" s="2" t="inlineStr">
        <is>
          <t>Origin and destination correct (all 12)</t>
        </is>
      </c>
      <c r="C25" s="2" t="inlineStr">
        <is>
          <t>Pass</t>
        </is>
      </c>
      <c r="D25" s="2" t="inlineStr">
        <is>
          <t>All 12 BOLs: origin BioEnergie AE Cote-Nord (175 Portage des Mousses, Port-Cartier QC = AECN) -&gt; destination SOPOR (Baie-Comeau); product RFO bio-oil (pyroligneous acids, CAS 8030-97-5). [log:bol.all_origin_aecn]</t>
        </is>
      </c>
      <c r="E25" s="2" t="inlineStr">
        <is>
          <t>PDD Sec A</t>
        </is>
      </c>
    </row>
    <row r="26">
      <c r="A26" s="3" t="inlineStr">
        <is>
          <t>3.5</t>
        </is>
      </c>
      <c r="B26" s="3" t="inlineStr">
        <is>
          <t>Transport distances verified per source type</t>
        </is>
      </c>
      <c r="C26" s="3" t="inlineStr">
        <is>
          <t>Fail</t>
        </is>
      </c>
      <c r="D26" s="3" t="inlineStr">
        <is>
          <t>FULL (non-allocated) distances are evidenced and correct: AECN-&gt;SOPOR 173 km (Certify) / Google Maps route maps present (May-07/08/11/13-2026); SOPOR-&gt;Opelousas 2,199 mi (Watco, image (44).png - carrier confirmation, the rail exception); Opelousas-&gt;Basco 43 mi (Google Maps). FAIL on the ALLOCATED (embodied) distances: (a) AECN-&gt;SOPOR allocated = 8,279.70 km (=5,144.8 mi) in Certify, EXACTLY 4.00x the Ops EE total 1,286.23 mi (2,070 km); (b) Opelousas-&gt;Basco allocated = 43 mi in Certify vs Ops EE total 1,372.8 mi (42.9 x 2 round-trip x 16 offloads). Rail allocated 8,770 mi = Ops 8,770.26 (OK). These drive the embodied-emission errors in 9.2. Also: the allocation working lives in the Ops Notes, which is not attached in Certify (see 9.x). [log:allocated_distance_findings] [log:certify.datapoints]</t>
        </is>
      </c>
      <c r="E26" s="3" t="inlineStr">
        <is>
          <t>Transport Emissions Acctg v1.1</t>
        </is>
      </c>
    </row>
    <row r="27">
      <c r="A27" s="2" t="inlineStr">
        <is>
          <t>3.6</t>
        </is>
      </c>
      <c r="B27" s="2" t="inlineStr">
        <is>
          <t>Transport mode / 6 rail components present</t>
        </is>
      </c>
      <c r="C27" s="2" t="inlineStr">
        <is>
          <t>Pass</t>
        </is>
      </c>
      <c r="D27" s="2" t="inlineStr">
        <is>
          <t>6 transport components in Certify: AECN-&gt;SOPOR tanker (process+embodied), SOPOR-&gt;Opelousas rail (process+embodied), Opelousas-&gt;Basco tanker (process+embodied). [log:certify.components]</t>
        </is>
      </c>
      <c r="E27" s="2" t="inlineStr">
        <is>
          <t>Certify Datapoints</t>
        </is>
      </c>
    </row>
    <row r="28">
      <c r="A28" s="4" t="inlineStr">
        <is>
          <t>3.7</t>
        </is>
      </c>
      <c r="B28" s="4" t="inlineStr">
        <is>
          <t>Billing / BOL details consistent</t>
        </is>
      </c>
      <c r="C28" s="4" t="inlineStr">
        <is>
          <t>Flag</t>
        </is>
      </c>
      <c r="D28" s="4" t="inlineStr">
        <is>
          <t>Mass/routing all correct; documentation hygiene only: (a) Ops origins-ledger 'Date' = railcar consolidation date (5/7, 5/8, 5/11, 5/13) vs actual BOL loading dates 4/30-5/12 (systematic, by-design). (b) BOL print quirks: prod-period typos '#10-2024' on 2366/2367/2374-R; PO 'Q42025'/prod-period '4-2026' on 2356-R; 2358-R '***Corrections' note. Each BOL also shows an estimated loaded qty (vol x density) distinct from the scale-weighed delivered mass Ops correctly uses. [log:bol.print_quirks_FLAG] [log:bol.reads]</t>
        </is>
      </c>
      <c r="E28" s="4" t="inlineStr">
        <is>
          <t>VR Appendix 1</t>
        </is>
      </c>
    </row>
    <row r="29">
      <c r="A29" s="1" t="inlineStr">
        <is>
          <t>4. Bio-Oil Composition &amp; Testing</t>
        </is>
      </c>
      <c r="B29" s="1" t="inlineStr"/>
      <c r="C29" s="1" t="inlineStr"/>
      <c r="D29" s="1" t="inlineStr"/>
      <c r="E29" s="1" t="inlineStr"/>
    </row>
    <row r="30">
      <c r="A30" s="3" t="inlineStr">
        <is>
          <t>4.1</t>
        </is>
      </c>
      <c r="B30" s="3" t="inlineStr">
        <is>
          <t>CHN / CoA present</t>
        </is>
      </c>
      <c r="C30" s="3" t="inlineStr">
        <is>
          <t>Fail</t>
        </is>
      </c>
      <c r="D30" s="3" t="inlineStr">
        <is>
          <t>No W2 AECN SGS Certificate of Analysis exists in Certify Sources, the batch Drive folder, or Drive search (5 queries; only a CoC template + solids dataset). The Carbon Content datapoint (40.80%) in Certify is mis-linked to scale-ticket images instead of a lab certificate. The carbon value driving the 459.4 t sequestration is not verifiable against lab evidence as filed. [log:lab_results.finding_FAIL] [log:certify.sources_findings]</t>
        </is>
      </c>
      <c r="E30" s="3" t="inlineStr">
        <is>
          <t>VR Appendix 1</t>
        </is>
      </c>
    </row>
    <row r="31">
      <c r="A31" s="4" t="inlineStr">
        <is>
          <t>4.2</t>
        </is>
      </c>
      <c r="B31" s="4" t="inlineStr">
        <is>
          <t>Carbon content within expected AECN range</t>
        </is>
      </c>
      <c r="C31" s="4" t="inlineStr">
        <is>
          <t>Flag</t>
        </is>
      </c>
      <c r="D31" s="4" t="inlineStr">
        <is>
          <t>The reported carbon 40.80% (Ops Summary + Certify datapoint) is within the historical AECN range: mean 39.42 +/- SD 6.09 (n=285, MRV_AECN_Analysis.xlsx, 2-SD band 27.2-51.6%), at +0.23 SD. The value is plausible, but cannot be verified against a lab certificate (none filed - see 4.1). [log:mrv_historical] [log:lab_results.carbon_pct_ops_and_certify]</t>
        </is>
      </c>
      <c r="E31" s="4" t="inlineStr">
        <is>
          <t>Biomass Feedstock Acctg v1.2</t>
        </is>
      </c>
    </row>
    <row r="32">
      <c r="A32" s="4" t="inlineStr">
        <is>
          <t>4.3</t>
        </is>
      </c>
      <c r="B32" s="4" t="inlineStr">
        <is>
          <t>Hydrogen / nitrogen / viscosity reported and reasonable</t>
        </is>
      </c>
      <c r="C32" s="4" t="inlineStr">
        <is>
          <t>Flag</t>
        </is>
      </c>
      <c r="D32" s="4" t="inlineStr">
        <is>
          <t>These parameters live only on the SGS CoA, which is absent (4.1), so H/N/viscosity for the W2 composite cannot be verified. Pending the CoA. [log:lab_results] [log:lab_results.finding_FAIL]</t>
        </is>
      </c>
      <c r="E32" s="4" t="inlineStr">
        <is>
          <t>Biomass Feedstock Acctg v1.2</t>
        </is>
      </c>
    </row>
    <row r="33">
      <c r="A33" s="4" t="inlineStr">
        <is>
          <t>4.4</t>
        </is>
      </c>
      <c r="B33" s="4" t="inlineStr">
        <is>
          <t>Lab references correct batch/sample ID</t>
        </is>
      </c>
      <c r="C33" s="4" t="inlineStr">
        <is>
          <t>Flag</t>
        </is>
      </c>
      <c r="D33" s="4" t="inlineStr">
        <is>
          <t>Composite sample ID '6-2026-W2 AECN' is named in the Ops Summary, but the CoA itself is absent (4.1) so the sample ID on the certificate cannot be confirmed. Pending the CoA. [log:lab_results] [log:lab_results.finding_FAIL]</t>
        </is>
      </c>
      <c r="E33" s="4" t="inlineStr">
        <is>
          <t>VR Sec 5.1</t>
        </is>
      </c>
    </row>
    <row r="34">
      <c r="A34" s="5" t="inlineStr">
        <is>
          <t>4.5</t>
        </is>
      </c>
      <c r="B34" s="5" t="inlineStr">
        <is>
          <t>pH/conductivity (aqueous phase)</t>
        </is>
      </c>
      <c r="C34" s="5" t="inlineStr">
        <is>
          <t>N/A</t>
        </is>
      </c>
      <c r="D34" s="5" t="inlineStr">
        <is>
          <t>AECN is not aqueous phase; pH is checked in 5.5. [log:oil_type]</t>
        </is>
      </c>
      <c r="E34" s="5" t="inlineStr">
        <is>
          <t>UIC Permit</t>
        </is>
      </c>
    </row>
    <row r="35">
      <c r="A35" s="4" t="inlineStr">
        <is>
          <t>4.6</t>
        </is>
      </c>
      <c r="B35" s="4" t="inlineStr">
        <is>
          <t>Density above formation-fluid floor</t>
        </is>
      </c>
      <c r="C35" s="4" t="inlineStr">
        <is>
          <t>Flag</t>
        </is>
      </c>
      <c r="D35" s="4" t="inlineStr">
        <is>
          <t>Density is evidenced via the 12 BOLs (sample density 1.2026-1.2128 g/ml), all above the 1.01 g/cm3 formation-fluid floor and at the historical AECN mean (1.2023, n=188). The lab-cert density for the W2 composite is unavailable (4.1). [log:bol.reads] [log:mrv_historical]</t>
        </is>
      </c>
      <c r="E35" s="4" t="inlineStr">
        <is>
          <t>VR Sec 5.1</t>
        </is>
      </c>
    </row>
    <row r="36">
      <c r="A36" s="1" t="inlineStr">
        <is>
          <t>5. Ops Notes Accuracy &amp; Internal Consistency</t>
        </is>
      </c>
      <c r="B36" s="1" t="inlineStr"/>
      <c r="C36" s="1" t="inlineStr"/>
      <c r="D36" s="1" t="inlineStr"/>
      <c r="E36" s="1" t="inlineStr"/>
    </row>
    <row r="37">
      <c r="A37" s="2" t="inlineStr">
        <is>
          <t>5.1</t>
        </is>
      </c>
      <c r="B37" s="2" t="inlineStr">
        <is>
          <t>Correct batch ID and injection date</t>
        </is>
      </c>
      <c r="C37" s="2" t="inlineStr">
        <is>
          <t>Pass</t>
        </is>
      </c>
      <c r="D37" s="2" t="inlineStr">
        <is>
          <t>Ops Notes batch ID INJ-06-2026-W2; COBB injection_completion_date 2026-06-14 (all 16 rows). [log:cobb.injection_completion_date]</t>
        </is>
      </c>
      <c r="E37" s="2" t="inlineStr">
        <is>
          <t>-</t>
        </is>
      </c>
    </row>
    <row r="38">
      <c r="A38" s="3" t="inlineStr">
        <is>
          <t>5.2</t>
        </is>
      </c>
      <c r="B38" s="3" t="inlineStr">
        <is>
          <t>Scale ticket values correctly transcribed</t>
        </is>
      </c>
      <c r="C38" s="3" t="inlineStr">
        <is>
          <t>Fail</t>
        </is>
      </c>
      <c r="D38" s="3" t="inlineStr">
        <is>
          <t>15 of 16 offloads transcribed correctly (ticket grosses = Ops Full/Empty lb). FAIL on TILX200228 offload_3: Ops recorded Full 78,560 / Empty 29,260 but the scale tickets read 75,560 / 28,580 (see 2.4). Transcription error in the Ops offload table. [log:scale_tickets.findings]</t>
        </is>
      </c>
      <c r="E38" s="3" t="inlineStr">
        <is>
          <t>VR Sec 5.1</t>
        </is>
      </c>
    </row>
    <row r="39">
      <c r="A39" s="5" t="inlineStr">
        <is>
          <t>5.3</t>
        </is>
      </c>
      <c r="B39" s="5" t="inlineStr">
        <is>
          <t>Oil/aqueous phase reconciliation</t>
        </is>
      </c>
      <c r="C39" s="5" t="inlineStr">
        <is>
          <t>N/A</t>
        </is>
      </c>
      <c r="D39" s="5" t="inlineStr">
        <is>
          <t>AECN-only batch; no aqueous phase. [log:oil_type]</t>
        </is>
      </c>
      <c r="E39" s="5" t="inlineStr">
        <is>
          <t>-</t>
        </is>
      </c>
    </row>
    <row r="40">
      <c r="A40" s="4" t="inlineStr">
        <is>
          <t>5.4</t>
        </is>
      </c>
      <c r="B40" s="4" t="inlineStr">
        <is>
          <t>COBB values present and matched per offload</t>
        </is>
      </c>
      <c r="C40" s="4" t="inlineStr">
        <is>
          <t>Flag</t>
        </is>
      </c>
      <c r="D40" s="4" t="inlineStr">
        <is>
          <t>COBB tab 'Basco Injection -- COBB', 16 rows batch_id INJ-06-2026-W2_AECN; origin_quantity_kg per railcar (77,730 / 78,140 / 78,160 / 78,550) match BOL aggregates; injection date 2026-06-14, pH 2.7. Two per-offload divergences: (i) TILX200228 O3 COBB 21,309.75 MATCHES the scale tickets (Ops Notes is the outlier at 22,362.09 - see 2.4); (ii) GPRX5240 O4 COBB 10,523.33 vs ticket/Ops/Certify 10,750.13 (COBB-side; Garrett to correct COBB). [log:cobb.findings]</t>
        </is>
      </c>
      <c r="E40" s="4" t="inlineStr">
        <is>
          <t>-</t>
        </is>
      </c>
    </row>
    <row r="41">
      <c r="A41" s="2" t="inlineStr">
        <is>
          <t>5.5</t>
        </is>
      </c>
      <c r="B41" s="2" t="inlineStr">
        <is>
          <t>pH measurement noted</t>
        </is>
      </c>
      <c r="C41" s="2" t="inlineStr">
        <is>
          <t>Pass</t>
        </is>
      </c>
      <c r="D41" s="2" t="inlineStr">
        <is>
          <t>pH 2.7 recorded across all offloads (within target 2.0-4.0). [log:ops_notes.rollup]</t>
        </is>
      </c>
      <c r="E41" s="2" t="inlineStr">
        <is>
          <t>-</t>
        </is>
      </c>
    </row>
    <row r="42">
      <c r="A42" s="2" t="inlineStr">
        <is>
          <t>5.6</t>
        </is>
      </c>
      <c r="B42" s="2" t="inlineStr">
        <is>
          <t>Completion date matches COBB</t>
        </is>
      </c>
      <c r="C42" s="2" t="inlineStr">
        <is>
          <t>Pass</t>
        </is>
      </c>
      <c r="D42" s="2" t="inlineStr">
        <is>
          <t>Ops injection date and COBB injection_completion_date both 2026-06-14. [log:cobb.injection_completion_date]</t>
        </is>
      </c>
      <c r="E42" s="2" t="inlineStr">
        <is>
          <t>-</t>
        </is>
      </c>
    </row>
    <row r="43">
      <c r="A43" s="2" t="inlineStr">
        <is>
          <t>5.7</t>
        </is>
      </c>
      <c r="B43" s="2" t="inlineStr">
        <is>
          <t>Density measurement</t>
        </is>
      </c>
      <c r="C43" s="2" t="inlineStr">
        <is>
          <t>Pass</t>
        </is>
      </c>
      <c r="D43" s="2" t="inlineStr">
        <is>
          <t>Weekly format has no Ops density field; density is evidenced via the 12 BOLs (1.2026-1.2128 g/ml, above the 1.01 floor; see 4.6). No erroneous density value present. [log:bol.reads]</t>
        </is>
      </c>
      <c r="E43" s="2" t="inlineStr">
        <is>
          <t>VR Sec 5.1</t>
        </is>
      </c>
    </row>
    <row r="44">
      <c r="A44" s="1" t="inlineStr">
        <is>
          <t>6. AECN Feedstock Emissions &amp; Allocation</t>
        </is>
      </c>
      <c r="B44" s="1" t="inlineStr"/>
      <c r="C44" s="1" t="inlineStr"/>
      <c r="D44" s="1" t="inlineStr"/>
      <c r="E44" s="1" t="inlineStr"/>
    </row>
    <row r="45">
      <c r="A45" s="2" t="inlineStr">
        <is>
          <t>6.1</t>
        </is>
      </c>
      <c r="B45" s="2" t="inlineStr">
        <is>
          <t>AECN process emissions LCA CI spreadsheet present</t>
        </is>
      </c>
      <c r="C45" s="2" t="inlineStr">
        <is>
          <t>Pass</t>
        </is>
      </c>
      <c r="D45" s="2" t="inlineStr">
        <is>
          <t>Certify Sources include 'Bioenergy AE Cote-Nord Canada - LCA CI calculation - 1Jul2025 to 31Dec2025 S.xlsx'. [log:certify.sources_findings]</t>
        </is>
      </c>
      <c r="E45" s="2" t="inlineStr">
        <is>
          <t>VR Appendix 1</t>
        </is>
      </c>
    </row>
    <row r="46">
      <c r="A46" s="2" t="inlineStr">
        <is>
          <t>6.2</t>
        </is>
      </c>
      <c r="B46" s="2" t="inlineStr">
        <is>
          <t>LCA with stack emissions file present</t>
        </is>
      </c>
      <c r="C46" s="2" t="inlineStr">
        <is>
          <t>Pass</t>
        </is>
      </c>
      <c r="D46" s="2" t="inlineStr">
        <is>
          <t>Certify Sources include 'BH 2025 LCA w Stack Emissions.xlsx'. [log:certify.sources_findings]</t>
        </is>
      </c>
      <c r="E46" s="2" t="inlineStr">
        <is>
          <t>VR Appendix 1</t>
        </is>
      </c>
    </row>
    <row r="47">
      <c r="A47" s="2" t="inlineStr">
        <is>
          <t>6.3</t>
        </is>
      </c>
      <c r="B47" s="2" t="inlineStr">
        <is>
          <t>Supporting GHG data file present</t>
        </is>
      </c>
      <c r="C47" s="2" t="inlineStr">
        <is>
          <t>Pass</t>
        </is>
      </c>
      <c r="D47" s="2" t="inlineStr">
        <is>
          <t>Certify Sources include 'Supporting GHG data 31Dec2025 S.xlsx'. [log:certify.sources_findings]</t>
        </is>
      </c>
      <c r="E47" s="2" t="inlineStr">
        <is>
          <t>VR Appendix 1</t>
        </is>
      </c>
    </row>
    <row r="48">
      <c r="A48" s="2" t="inlineStr">
        <is>
          <t>6.4</t>
        </is>
      </c>
      <c r="B48" s="2" t="inlineStr">
        <is>
          <t>AECN pyrolysis process EF matches current value</t>
        </is>
      </c>
      <c r="C48" s="2" t="inlineStr">
        <is>
          <t>Pass</t>
        </is>
      </c>
      <c r="D48" s="2" t="inlineStr">
        <is>
          <t>Certify CI 0.104 tCO2e/t; live Standard EFs 2026 tab AECN Production H1 2026 = 0.1040167 MTCO2e/MT. [log:ef_live_source]</t>
        </is>
      </c>
      <c r="E48" s="2" t="inlineStr">
        <is>
          <t>Certify Datapoints</t>
        </is>
      </c>
    </row>
    <row r="49">
      <c r="A49" s="2" t="inlineStr">
        <is>
          <t>6.5</t>
        </is>
      </c>
      <c r="B49" s="2" t="inlineStr">
        <is>
          <t>AECN pyrolysis embodied EF applied</t>
        </is>
      </c>
      <c r="C49" s="2" t="inlineStr">
        <is>
          <t>Pass</t>
        </is>
      </c>
      <c r="D49" s="2" t="inlineStr">
        <is>
          <t>Certify CI 0.02116 tCO2e/t; live Standard EFs 2026 tab AECN Embodied = 0.0211600 MTCO2e/MT (exact). [log:ef_live_source]</t>
        </is>
      </c>
      <c r="E49" s="2" t="inlineStr">
        <is>
          <t>Certify Datapoints</t>
        </is>
      </c>
    </row>
    <row r="50">
      <c r="A50" s="2" t="inlineStr">
        <is>
          <t>6.6</t>
        </is>
      </c>
      <c r="B50" s="2" t="inlineStr">
        <is>
          <t>Pyrolysis EF mass basis = pre-sparging Allocated Bio-Oil Mass</t>
        </is>
      </c>
      <c r="C50" s="2" t="inlineStr">
        <is>
          <t>Pass</t>
        </is>
      </c>
      <c r="D50" s="2" t="inlineStr">
        <is>
          <t>Both pyrolysis components use Allocated Bio-Oil Mass 311.669 t (pre-sparging Mass Used), not the post-deduction injectant 307.049 t. Read from both modal INPUTS. [log:certify.datapoints.allocated_bio_oil_mass_t]</t>
        </is>
      </c>
      <c r="E50" s="2" t="inlineStr">
        <is>
          <t>Certify Components</t>
        </is>
      </c>
    </row>
    <row r="51">
      <c r="A51" s="1" t="inlineStr">
        <is>
          <t>7. Gross-to-Net Calculation</t>
        </is>
      </c>
      <c r="B51" s="1" t="inlineStr"/>
      <c r="C51" s="1" t="inlineStr"/>
      <c r="D51" s="1" t="inlineStr"/>
      <c r="E51" s="1" t="inlineStr"/>
    </row>
    <row r="52">
      <c r="A52" s="3" t="inlineStr">
        <is>
          <t>7.1</t>
        </is>
      </c>
      <c r="B52" s="3" t="inlineStr">
        <is>
          <t>Gross CO2e = injectant mass x carbon x 3.667</t>
        </is>
      </c>
      <c r="C52" s="3" t="inlineStr">
        <is>
          <t>Fail</t>
        </is>
      </c>
      <c r="D52" s="3" t="inlineStr">
        <is>
          <t>Value reconciles: 307,048.71 kg x 0.408 x 3.667 / 1000 = 459.387 t = Certify injection sequestration 459.387 t. BUT two evidence gaps: (a) the Ops Notes (the mass build-up net-&gt;FC11 adj-&gt;1.29% sparging-&gt;0.195% filtration-&gt;MOBI) is NOT attached in Certify - Mass of Injectant is backed only by scale tickets (63 sources), so a verifier cannot reproduce 307,048.71 kg from attached evidence; (b) the carbon 40.80% has no lab CoA attached (4.1). Garrett to attach Ops Notes + lab CoA. [log:certify.sources_findings] [log:_derived_values.gross_co2e_recalc_t] [log:certify.datapoints.mass_of_injectant_t]</t>
        </is>
      </c>
      <c r="E52" s="3" t="inlineStr">
        <is>
          <t>GHG Stmt Sec E</t>
        </is>
      </c>
    </row>
    <row r="53">
      <c r="A53" s="2" t="inlineStr">
        <is>
          <t>7.2</t>
        </is>
      </c>
      <c r="B53" s="2" t="inlineStr">
        <is>
          <t>Process emissions correctly deducted</t>
        </is>
      </c>
      <c r="C53" s="2" t="inlineStr">
        <is>
          <t>Pass</t>
        </is>
      </c>
      <c r="D53" s="2" t="inlineStr">
        <is>
          <t>Activities 63.629 t = pyrolysis (32.414 + 6.595) + transport process (3.829 + 17.758 + 1.528) + transport embodied (1.222 + 0.273 + 0.010). Recomputed components match Certify (process legs reconcile exactly; embodied distance issue is flagged in 9.2). [log:certify.calculation_view.activities_t]</t>
        </is>
      </c>
      <c r="E53" s="2" t="inlineStr">
        <is>
          <t>GHG Stmt Sec E</t>
        </is>
      </c>
    </row>
    <row r="54">
      <c r="A54" s="2" t="inlineStr">
        <is>
          <t>7.3</t>
        </is>
      </c>
      <c r="B54" s="2" t="inlineStr">
        <is>
          <t>Uncertainty discount applied</t>
        </is>
      </c>
      <c r="C54" s="2" t="inlineStr">
        <is>
          <t>Pass</t>
        </is>
      </c>
      <c r="D54" s="2" t="inlineStr">
        <is>
          <t>Uncertainty Discount 2.539 t present in Calculation View (~0.61% of net). [log:certify.calculation_view.uncertainty_discount_t]</t>
        </is>
      </c>
      <c r="E54" s="2" t="inlineStr">
        <is>
          <t>Isometric Standard S3.7</t>
        </is>
      </c>
    </row>
    <row r="55">
      <c r="A55" s="2" t="inlineStr">
        <is>
          <t>7.4</t>
        </is>
      </c>
      <c r="B55" s="2" t="inlineStr">
        <is>
          <t>Net removals consistent</t>
        </is>
      </c>
      <c r="C55" s="2" t="inlineStr">
        <is>
          <t>Pass</t>
        </is>
      </c>
      <c r="D55" s="2" t="inlineStr">
        <is>
          <t>Independent recompute: 459.387 (seq) + 23.115 (BCU) - 63.629 (activities) - 2.539 (uncertainty) = 416.334 t = Certify Net 416.333 (rounding). Note: the embodied-distance errors (9.2) overstate activities by ~0.6 t, so the true Net is ~0.6 t HIGHER (Certify is conservative); and the TILX O3 issue over-credits seq by ~0.009 t. [log:_derived_values.net_recalc_t] [log:certify.calculation_view.net_co2e_removed_t]</t>
        </is>
      </c>
      <c r="E55" s="2" t="inlineStr">
        <is>
          <t>GHG Stmt Sec E</t>
        </is>
      </c>
    </row>
    <row r="56">
      <c r="A56" s="1" t="inlineStr">
        <is>
          <t>7a. Per-Component Uncertainty Verification</t>
        </is>
      </c>
      <c r="B56" s="1" t="inlineStr"/>
      <c r="C56" s="1" t="inlineStr"/>
      <c r="D56" s="1" t="inlineStr"/>
      <c r="E56" s="1" t="inlineStr"/>
    </row>
    <row r="57">
      <c r="A57" s="2" t="inlineStr">
        <is>
          <t>7a.1</t>
        </is>
      </c>
      <c r="B57" s="2" t="inlineStr">
        <is>
          <t>Completeness: every component carries uncertainty on the correct datapoint</t>
        </is>
      </c>
      <c r="C57" s="2" t="inlineStr">
        <is>
          <t>Pass</t>
        </is>
      </c>
      <c r="D57" s="2" t="inlineStr">
        <is>
          <t>Opened modals: injection sequestration (carbon + mass), SOPOR-&gt;Opelousas rail process (mass of load), AECN-&gt;SOPOR truck embodied (no mass term, per-mile - correct), pyrolysis process + embodied (bio-oil mass). All transport-process + pyrolysis components share the 'Allocated Bio-Oil Mass' datapoint carrying the uncertainty; embodied carry none (per-mile EF), as expected. [log:certify.uncertainty_modals_read]</t>
        </is>
      </c>
      <c r="E57" s="2" t="inlineStr">
        <is>
          <t>Isometric Standard S3.7.3</t>
        </is>
      </c>
    </row>
    <row r="58">
      <c r="A58" s="2" t="inlineStr">
        <is>
          <t>7a.2</t>
        </is>
      </c>
      <c r="B58" s="2" t="inlineStr">
        <is>
          <t>Correctness: reported uncertainty matches expected</t>
        </is>
      </c>
      <c r="C58" s="2" t="inlineStr">
        <is>
          <t>Pass</t>
        </is>
      </c>
      <c r="D58" s="2" t="inlineStr">
        <is>
          <t>Carbon content +/-0.1632% = 0.004 x 40.80 (0.4%). Mass uncertainty +/-1,161.12 kg on Mass of Injectant and on Allocated Bio-Oil Mass = 16 discrete outbound weighings x 72.57 kg. Read directly from each modal's INPUTS. [log:certify.datapoints.mass_of_injectant_unc_kg] [log:_derived_values.uncertainty_mass_16weights_kg] [log:_derived_values.carbon_unc_pct] [log:_derived_values.carbon_unc_factor] [log:_derived_values.n_weighings] [log:_derived_values.per_weight_kg]</t>
        </is>
      </c>
      <c r="E58" s="2" t="inlineStr">
        <is>
          <t>Isometric Standard S3.7.3</t>
        </is>
      </c>
    </row>
    <row r="59">
      <c r="A59" s="2" t="inlineStr">
        <is>
          <t>7a.3</t>
        </is>
      </c>
      <c r="B59" s="2" t="inlineStr">
        <is>
          <t>Discount presence and consistency</t>
        </is>
      </c>
      <c r="C59" s="2" t="inlineStr">
        <is>
          <t>Pass</t>
        </is>
      </c>
      <c r="D59" s="2" t="inlineStr">
        <is>
          <t>Aggregate uncertainty discount 2.539 t present in Calculation View, consistent with the carbon (0.4%) and mass (16x72.57 kg) inputs. [log:certify.calculation_view.uncertainty_discount_t]</t>
        </is>
      </c>
      <c r="E59" s="2" t="inlineStr">
        <is>
          <t>Isometric Standard S3.7</t>
        </is>
      </c>
    </row>
    <row r="60">
      <c r="A60" s="1" t="inlineStr">
        <is>
          <t>8. Data Integrity &amp; Anomaly Check</t>
        </is>
      </c>
      <c r="B60" s="1" t="inlineStr"/>
      <c r="C60" s="1" t="inlineStr"/>
      <c r="D60" s="1" t="inlineStr"/>
      <c r="E60" s="1" t="inlineStr"/>
    </row>
    <row r="61">
      <c r="A61" s="4" t="inlineStr">
        <is>
          <t>8.1</t>
        </is>
      </c>
      <c r="B61" s="4" t="inlineStr">
        <is>
          <t>Outliers / anomalies investigated</t>
        </is>
      </c>
      <c r="C61" s="4" t="inlineStr">
        <is>
          <t>Flag</t>
        </is>
      </c>
      <c r="D61" s="4" t="inlineStr">
        <is>
          <t>Anomalies found and traced (not unexplained): (1) TILX200228 O3 Ops vs ticket/COBB mass discrepancy (2.4/2.7); (2) embodied allocated-distance errors AECN-&gt;SOPOR and Opel-&gt;Basco (3.5/9.2); (3) lab CoA absent (4.1); (4) Ops Notes not attached in Certify (7.1/9.x); (5) GPRX5240 O4 COBB-side discrepancy (5.4). Carbon 40.80% in range (4.2); all mass/EF/uncertainty math reconciles to Certify. [log:scale_tickets.findings] [log:allocated_distance_findings]</t>
        </is>
      </c>
      <c r="E61" s="4" t="inlineStr">
        <is>
          <t>GHG Stmt Sec C</t>
        </is>
      </c>
    </row>
    <row r="62">
      <c r="A62" s="2" t="inlineStr">
        <is>
          <t>8.2</t>
        </is>
      </c>
      <c r="B62" s="2" t="inlineStr">
        <is>
          <t>Spills/losses documented and deducted</t>
        </is>
      </c>
      <c r="C62" s="2" t="inlineStr">
        <is>
          <t>Pass</t>
        </is>
      </c>
      <c r="D62" s="2" t="inlineStr">
        <is>
          <t>No spill/loss events in Ops Notes or COBB (both read in full). Mass losses are only routine sparging + filtration + the per-railcar documented offload losses. [log:ops_notes._primary_source_opened] [log:cobb._primary_source_opened]</t>
        </is>
      </c>
      <c r="E62" s="2" t="inlineStr">
        <is>
          <t>GHG Stmt Sec C</t>
        </is>
      </c>
    </row>
    <row r="63">
      <c r="A63" s="2" t="inlineStr">
        <is>
          <t>8.3</t>
        </is>
      </c>
      <c r="B63" s="2" t="inlineStr">
        <is>
          <t>Cross-week carve-out / no double-count</t>
        </is>
      </c>
      <c r="C63" s="2" t="inlineStr">
        <is>
          <t>Pass</t>
        </is>
      </c>
      <c r="D63" s="2" t="inlineStr">
        <is>
          <t>All 4 W2 railcars are new this week (GPRX5240/GPRX5139/TILX200228/GPRX5106); none appear in INJ-06-2026-W1 (TIMX201060/GPRX5102/TILX200231) or INJ-05-2026-W4 Ops Notes; Ops 'Prior-RP Claimed' = 0 for all 4; COBB origin_quantity per railcar = BOL aggregate. No double-count. [log:cross_week_carveout_verified]</t>
        </is>
      </c>
      <c r="E63" s="2" t="inlineStr">
        <is>
          <t>VR Sec 3.5</t>
        </is>
      </c>
    </row>
    <row r="64">
      <c r="A64" s="2" t="inlineStr">
        <is>
          <t>8.4</t>
        </is>
      </c>
      <c r="B64" s="2" t="inlineStr">
        <is>
          <t>Rail uncertainty conservatism (N_offloads &gt;= N_BOLs per railcar)</t>
        </is>
      </c>
      <c r="C64" s="2" t="inlineStr">
        <is>
          <t>Pass</t>
        </is>
      </c>
      <c r="D64" s="2" t="inlineStr">
        <is>
          <t>Each railcar: 4 offloads &gt;= 3 inbound BOLs. Per-offload 72.57 kg framing is conservative; weekly mass uncertainty stacks to 16 x 72.57 = 1,161.12 kg. [log:ops_notes.offload_table] [log:_derived_values.uncertainty_mass_16weights_kg]</t>
        </is>
      </c>
      <c r="E64" s="2" t="inlineStr">
        <is>
          <t>Isometric Standard S3.7.3</t>
        </is>
      </c>
    </row>
    <row r="65">
      <c r="A65" s="1" t="inlineStr">
        <is>
          <t>9. Isometric Certify — Removal Component Mapping</t>
        </is>
      </c>
      <c r="B65" s="1" t="inlineStr"/>
      <c r="C65" s="1" t="inlineStr"/>
      <c r="D65" s="1" t="inlineStr"/>
      <c r="E65" s="1" t="inlineStr"/>
    </row>
    <row r="66">
      <c r="A66" s="3" t="inlineStr">
        <is>
          <t>9.1</t>
        </is>
      </c>
      <c r="B66" s="3" t="inlineStr">
        <is>
          <t>Sequestration matches internal gross</t>
        </is>
      </c>
      <c r="C66" s="3" t="inlineStr">
        <is>
          <t>Fail</t>
        </is>
      </c>
      <c r="D66" s="3" t="inlineStr">
        <is>
          <t>Value reconciles (307,048.71 kg x 0.408 x 3.667 = 459.387 t = Certify), but inherits the evidence gaps from 7.1: Mass of Injectant lacks the Ops Notes (mass build-up not reproducible from attached evidence) and Carbon lacks a lab CoA (4.1). Garrett to attach Ops Notes + CoA. [log:certify.sources_findings] [log:certify.components.injection_sequestration_t]</t>
        </is>
      </c>
      <c r="E66" s="3" t="inlineStr">
        <is>
          <t>Certify Components</t>
        </is>
      </c>
    </row>
    <row r="67">
      <c r="A67" s="3" t="inlineStr">
        <is>
          <t>9.2</t>
        </is>
      </c>
      <c r="B67" s="3" t="inlineStr">
        <is>
          <t>Transport: process + embodied per leg</t>
        </is>
      </c>
      <c r="C67" s="3" t="inlineStr">
        <is>
          <t>Fail</t>
        </is>
      </c>
      <c r="D67" s="3" t="inlineStr">
        <is>
          <t>PROCESS legs all reconcile (mass x full-leg distance x EF): AECN-&gt;SOPOR 311.669 t x 107.5 mi x 0.0001143 = 3.830 t (Certify 3.829); rail x 2199 mi x 0.0000259104 = 17.758 (Certify 17.758); Opel-&gt;Basco x 42.9 mi x 0.0001143 = 1.528 (Certify 1.528). EMBODIED legs - two errors: (a) AECN-&gt;SOPOR embodied uses allocated distance 8,279.70 km (=5,144.8 mi), EXACTLY 4x the Ops EE total 1,286.23 mi; emission 1.222 t vs correct ~0.306 t (OVERSTATED +0.917 t). (b) Opelousas-&gt;Basco embodied uses 43 mi vs Ops EE total 1,372.8 mi; emission 0.010 t vs correct ~0.326 t (UNDERSTATED -0.316 t). Rail embodied 0.273 t (8,770 mi = Ops) OK. Net embodied error +0.601 t too much emission -&gt; Net CDR conservatively understated ~0.6 t (below 5% materiality, but Certify allocated distances do not match Ops for 2 of 3 embodied legs). Also: Ops Notes (the allocation working) is not attached. Garrett to correct the two allocated-distance datapoints + attach Ops Notes. [log:allocated_distance_findings] [log:_derived_values.sopor_proc_recalc_t] [log:_derived_values.rail_proc_recalc_t] [log:_derived_values.opel_proc_recalc_t] [log:_derived_values.sopor_emb_certify_t] [log:_derived_values.opel_emb_certify_t]</t>
        </is>
      </c>
      <c r="E67" s="3" t="inlineStr">
        <is>
          <t>Certify Components</t>
        </is>
      </c>
    </row>
    <row r="68">
      <c r="A68" s="5" t="inlineStr">
        <is>
          <t>9.3</t>
        </is>
      </c>
      <c r="B68" s="5" t="inlineStr">
        <is>
          <t>Injection: LCS / sample transport</t>
        </is>
      </c>
      <c r="C68" s="5" t="inlineStr">
        <is>
          <t>N/A</t>
        </is>
      </c>
      <c r="D68" s="5" t="inlineStr">
        <is>
          <t>AECN requires no LCS pre-treatment; no LCS component on this entry. [log:oil_type]</t>
        </is>
      </c>
      <c r="E68" s="5" t="inlineStr">
        <is>
          <t>Certify Components</t>
        </is>
      </c>
    </row>
    <row r="69">
      <c r="A69" s="3" t="inlineStr">
        <is>
          <t>9.4</t>
        </is>
      </c>
      <c r="B69" s="3" t="inlineStr">
        <is>
          <t>Pyrolysis: process + embodied present</t>
        </is>
      </c>
      <c r="C69" s="3" t="inlineStr">
        <is>
          <t>Fail</t>
        </is>
      </c>
      <c r="D69" s="3" t="inlineStr">
        <is>
          <t>Values reconcile: process 311.669 t x 0.1040167 = 32.419 (Certify 32.414); embodied x 0.02116 = 6.595 (Certify 6.595); both use pre-sparging Allocated Bio-Oil Mass; rail-batch naming ('from rail loads') is the deliberate VVB signal. FAIL only on evidence attachment: the mass basis (Allocated Bio-Oil Mass) is backed by scale tickets + BOLs with no Ops Notes among the 92 attached sources, so the mass build-up is not verifier-reproducible. Garrett to attach Ops Notes. [log:certify.sources_findings] [log:_derived_values.pyro_process_recalc_t] [log:_derived_values.pyro_embodied_recalc_t]</t>
        </is>
      </c>
      <c r="E69" s="3" t="inlineStr">
        <is>
          <t>Certify Components</t>
        </is>
      </c>
    </row>
    <row r="70">
      <c r="A70" s="2" t="inlineStr">
        <is>
          <t>9.5</t>
        </is>
      </c>
      <c r="B70" s="2" t="inlineStr">
        <is>
          <t>Reductions: applicable BCU categories populated</t>
        </is>
      </c>
      <c r="C70" s="2" t="inlineStr">
        <is>
          <t>Pass</t>
        </is>
      </c>
      <c r="D70" s="2" t="inlineStr">
        <is>
          <t>BCU - Transport Process credit present (only category applicable for AECN rail without site-emission burden). [log:certify.components.bcu_transport_process_t]</t>
        </is>
      </c>
      <c r="E70" s="2" t="inlineStr">
        <is>
          <t>Certify Components</t>
        </is>
      </c>
    </row>
    <row r="71">
      <c r="A71" s="2" t="inlineStr">
        <is>
          <t>9.6</t>
        </is>
      </c>
      <c r="B71" s="2" t="inlineStr">
        <is>
          <t>BCU quantity &gt;= corresponding activity emission</t>
        </is>
      </c>
      <c r="C71" s="2" t="inlineStr">
        <is>
          <t>Pass</t>
        </is>
      </c>
      <c r="D71" s="2" t="inlineStr">
        <is>
          <t>Transport process sum recomputed 3.829 + 17.758 + 1.528 = 23.115 t = BCU - Transport Process 23.115 t (exact coverage). Embodied not BCU-eligible per protocol. [log:_derived_values.transport_process_sum_t] [log:certify.components.bcu_transport_process_t]</t>
        </is>
      </c>
      <c r="E71" s="2" t="inlineStr">
        <is>
          <t>Certify Components</t>
        </is>
      </c>
    </row>
    <row r="72">
      <c r="A72" s="2" t="inlineStr">
        <is>
          <t>9.7</t>
        </is>
      </c>
      <c r="B72" s="2" t="inlineStr">
        <is>
          <t>Counterfactuals zero per protocol</t>
        </is>
      </c>
      <c r="C72" s="2" t="inlineStr">
        <is>
          <t>Pass</t>
        </is>
      </c>
      <c r="D72" s="2" t="inlineStr">
        <is>
          <t>No counterfactual component; bio-oil geological storage counterfactual is zero per protocol. [log:certify.datapoints]</t>
        </is>
      </c>
      <c r="E72" s="2" t="inlineStr">
        <is>
          <t>Certify Components</t>
        </is>
      </c>
    </row>
    <row r="73">
      <c r="A73" s="2" t="inlineStr">
        <is>
          <t>9.8</t>
        </is>
      </c>
      <c r="B73" s="2" t="inlineStr">
        <is>
          <t>Net removal matches internal calculation</t>
        </is>
      </c>
      <c r="C73" s="2" t="inlineStr">
        <is>
          <t>Pass</t>
        </is>
      </c>
      <c r="D73" s="2" t="inlineStr">
        <is>
          <t>Independent gross-to-net 416.334 t (459.387 + 23.115 - 63.629 - 2.539) = Certify Net 416.333 (rounding). [log:_derived_values.net_recalc_t] [log:certify.calculation_view.net_co2e_removed_t]</t>
        </is>
      </c>
      <c r="E73" s="2" t="inlineStr">
        <is>
          <t>Certify Calculation View</t>
        </is>
      </c>
    </row>
    <row r="74">
      <c r="A74" s="4" t="inlineStr">
        <is>
          <t>9.9</t>
        </is>
      </c>
      <c r="B74" s="4" t="inlineStr">
        <is>
          <t>Descriptive source filenames</t>
        </is>
      </c>
      <c r="C74" s="4" t="inlineStr">
        <is>
          <t>Flag</t>
        </is>
      </c>
      <c r="D74" s="4" t="inlineStr">
        <is>
          <t>Hygiene (content correct, naming/linkage only): (a) generic EF source filenames 'Screenshot 2026-02-23...png', 'Screenshot 2026-04-10...png', 'image (44).png'; (b) duplicate scale-ticket uploads (92 sources vs ~63 unique - several tickets appear twice); (c) Carbon Content datapoint linked to scale-ticket images rather than a lab CoA; (d) BCU 'Constant CO2 reduction' sourced from 'Charm-RetirementCertificate-RD-EACs-20251218.pdf' (a Dec-2025 RD-EAC retirement cert) - quantity 23.115 = transport process sum exactly, but Garrett to confirm a Dec-2025 EAC cert is the intended coverage for June-2026 transport. [log:certify.sources_findings]</t>
        </is>
      </c>
      <c r="E74" s="4" t="inlineStr">
        <is>
          <t>Certify Datapoints</t>
        </is>
      </c>
    </row>
    <row r="75">
      <c r="A75" s="3" t="inlineStr">
        <is>
          <t>9.10</t>
        </is>
      </c>
      <c r="B75" s="3" t="inlineStr">
        <is>
          <t>Sources match Drive / complete set</t>
        </is>
      </c>
      <c r="C75" s="3" t="inlineStr">
        <is>
          <t>Fail</t>
        </is>
      </c>
      <c r="D75" s="3" t="inlineStr">
        <is>
          <t>The 92 Certify Sources are INCOMPLETE for verifier reproducibility: the INJ-06-2026-W2 Ops Notes is not attached (drives 7.1/9.1/9.2/9.4), and the W2 AECN lab CoA is not attached (4.1). The set also contains duplicate ticket uploads (9.9). Garrett to attach the Ops Notes and the lab CoA and de-duplicate. [log:certify.sources_findings] [log:certify.attachment_map_note]</t>
        </is>
      </c>
      <c r="E75" s="3" t="inlineStr">
        <is>
          <t>Certify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22" customWidth="1" min="4" max="4"/>
    <col width="14" customWidth="1" min="5" max="5"/>
    <col width="16" customWidth="1" min="6" max="6"/>
    <col width="16" customWidth="1" min="7" max="7"/>
    <col width="60" customWidth="1" min="8" max="8"/>
  </cols>
  <sheetData>
    <row r="1">
      <c r="A1" s="1" t="inlineStr">
        <is>
          <t>Offload</t>
        </is>
      </c>
      <c r="B1" s="1" t="inlineStr">
        <is>
          <t>Railcar</t>
        </is>
      </c>
      <c r="C1" s="1" t="inlineStr">
        <is>
          <t>Full (lb)</t>
        </is>
      </c>
      <c r="D1" s="1" t="inlineStr">
        <is>
          <t>Empty (lb)</t>
        </is>
      </c>
      <c r="E1" s="1" t="inlineStr">
        <is>
          <t>Net (kg) Ops</t>
        </is>
      </c>
      <c r="F1" s="1" t="inlineStr">
        <is>
          <t>Net (kg) TICKET</t>
        </is>
      </c>
      <c r="G1" s="1" t="inlineStr">
        <is>
          <t>COBB offloaded</t>
        </is>
      </c>
      <c r="H1" s="1" t="inlineStr">
        <is>
          <t>Match notes</t>
        </is>
      </c>
    </row>
    <row r="2">
      <c r="A2" s="2" t="inlineStr">
        <is>
          <t>GPRX5240 O1</t>
        </is>
      </c>
      <c r="B2" s="2" t="inlineStr">
        <is>
          <t>GPRX5240</t>
        </is>
      </c>
      <c r="C2" s="2" t="n">
        <v>80080</v>
      </c>
      <c r="D2" s="2" t="n">
        <v>28860</v>
      </c>
      <c r="E2" s="2" t="n">
        <v>23232.98</v>
      </c>
      <c r="F2" s="2" t="n">
        <v>23232.98</v>
      </c>
      <c r="G2" s="2" t="n">
        <v>23232.98</v>
      </c>
      <c r="H2" s="2" t="inlineStr">
        <is>
          <t>all match</t>
        </is>
      </c>
    </row>
    <row r="3">
      <c r="A3" s="2" t="inlineStr">
        <is>
          <t>GPRX5240 O2</t>
        </is>
      </c>
      <c r="B3" s="2" t="inlineStr">
        <is>
          <t>GPRX5240</t>
        </is>
      </c>
      <c r="C3" s="2" t="n">
        <v>78360</v>
      </c>
      <c r="D3" s="2" t="n">
        <v>29480</v>
      </c>
      <c r="E3" s="2" t="n">
        <v>22171.58</v>
      </c>
      <c r="F3" s="2" t="n">
        <v>22171.58</v>
      </c>
      <c r="G3" s="2" t="n">
        <v>22171.58</v>
      </c>
      <c r="H3" s="2" t="inlineStr">
        <is>
          <t>all match</t>
        </is>
      </c>
    </row>
    <row r="4">
      <c r="A4" s="2" t="inlineStr">
        <is>
          <t>GPRX5240 O3</t>
        </is>
      </c>
      <c r="B4" s="2" t="inlineStr">
        <is>
          <t>GPRX5240</t>
        </is>
      </c>
      <c r="C4" s="2" t="n">
        <v>75500</v>
      </c>
      <c r="D4" s="2" t="n">
        <v>29660</v>
      </c>
      <c r="E4" s="2" t="n">
        <v>20792.66</v>
      </c>
      <c r="F4" s="2" t="n">
        <v>20792.66</v>
      </c>
      <c r="G4" s="2" t="n">
        <v>20792.66</v>
      </c>
      <c r="H4" s="2" t="inlineStr">
        <is>
          <t>all match</t>
        </is>
      </c>
    </row>
    <row r="5">
      <c r="A5" s="6" t="inlineStr">
        <is>
          <t>GPRX5240 O4</t>
        </is>
      </c>
      <c r="B5" s="6" t="inlineStr">
        <is>
          <t>GPRX5240</t>
        </is>
      </c>
      <c r="C5" s="6" t="n">
        <v>53220</v>
      </c>
      <c r="D5" s="6" t="n">
        <v>29520</v>
      </c>
      <c r="E5" s="6" t="n">
        <v>10750.13</v>
      </c>
      <c r="F5" s="6" t="n">
        <v>10750.13</v>
      </c>
      <c r="G5" s="6" t="n">
        <v>10523.33</v>
      </c>
      <c r="H5" s="6" t="inlineStr">
        <is>
          <t>COBB outlier (-226.80; implies empty 30020); ticket/Ops/Certify agree 10750.13</t>
        </is>
      </c>
    </row>
    <row r="6">
      <c r="A6" s="2" t="inlineStr">
        <is>
          <t>GPRX5139 O1</t>
        </is>
      </c>
      <c r="B6" s="2" t="inlineStr">
        <is>
          <t>GPRX5139</t>
        </is>
      </c>
      <c r="C6" s="2" t="n">
        <v>79260</v>
      </c>
      <c r="D6" s="2" t="n">
        <v>29380</v>
      </c>
      <c r="E6" s="2" t="n">
        <v>22625.17</v>
      </c>
      <c r="F6" s="2" t="n">
        <v>22625.17</v>
      </c>
      <c r="G6" s="2" t="n">
        <v>22625.17</v>
      </c>
      <c r="H6" s="2" t="inlineStr">
        <is>
          <t>all match</t>
        </is>
      </c>
    </row>
    <row r="7">
      <c r="A7" s="2" t="inlineStr">
        <is>
          <t>GPRX5139 O2</t>
        </is>
      </c>
      <c r="B7" s="2" t="inlineStr">
        <is>
          <t>GPRX5139</t>
        </is>
      </c>
      <c r="C7" s="2" t="n">
        <v>76020</v>
      </c>
      <c r="D7" s="2" t="n">
        <v>29340</v>
      </c>
      <c r="E7" s="2" t="n">
        <v>21173.67</v>
      </c>
      <c r="F7" s="2" t="n">
        <v>21173.67</v>
      </c>
      <c r="G7" s="2" t="n">
        <v>21173.67</v>
      </c>
      <c r="H7" s="2" t="inlineStr">
        <is>
          <t>all match</t>
        </is>
      </c>
    </row>
    <row r="8">
      <c r="A8" s="6" t="inlineStr">
        <is>
          <t>GPRX5139 O3</t>
        </is>
      </c>
      <c r="B8" s="6" t="inlineStr">
        <is>
          <t>GPRX5139</t>
        </is>
      </c>
      <c r="C8" s="6" t="n">
        <v>72400</v>
      </c>
      <c r="D8" s="6" t="n">
        <v>29560</v>
      </c>
      <c r="E8" s="6" t="n">
        <v>19431.88</v>
      </c>
      <c r="F8" s="6" t="n">
        <v>19431.88</v>
      </c>
      <c r="G8" s="6" t="n">
        <v>19431.88</v>
      </c>
      <c r="H8" s="6" t="inlineStr">
        <is>
          <t>empty ticket image misfiled (dup of O4); value 29560 reconciles+balances</t>
        </is>
      </c>
    </row>
    <row r="9">
      <c r="A9" s="2" t="inlineStr">
        <is>
          <t>GPRX5139 O4</t>
        </is>
      </c>
      <c r="B9" s="2" t="inlineStr">
        <is>
          <t>GPRX5139</t>
        </is>
      </c>
      <c r="C9" s="2" t="n">
        <v>61960</v>
      </c>
      <c r="D9" s="2" t="n">
        <v>29240</v>
      </c>
      <c r="E9" s="2" t="n">
        <v>14841.53</v>
      </c>
      <c r="F9" s="2" t="n">
        <v>14841.53</v>
      </c>
      <c r="G9" s="2" t="n">
        <v>14841.53</v>
      </c>
      <c r="H9" s="2" t="inlineStr">
        <is>
          <t>all match</t>
        </is>
      </c>
    </row>
    <row r="10">
      <c r="A10" s="2" t="inlineStr">
        <is>
          <t>TILX200228 O1</t>
        </is>
      </c>
      <c r="B10" s="2" t="inlineStr">
        <is>
          <t>TILX200228</t>
        </is>
      </c>
      <c r="C10" s="2" t="n">
        <v>80240</v>
      </c>
      <c r="D10" s="2" t="n">
        <v>29400</v>
      </c>
      <c r="E10" s="2" t="n">
        <v>23060.62</v>
      </c>
      <c r="F10" s="2" t="n">
        <v>23060.62</v>
      </c>
      <c r="G10" s="2" t="n">
        <v>23060.62</v>
      </c>
      <c r="H10" s="2" t="inlineStr">
        <is>
          <t>all match</t>
        </is>
      </c>
    </row>
    <row r="11">
      <c r="A11" s="2" t="inlineStr">
        <is>
          <t>TILX200228 O2</t>
        </is>
      </c>
      <c r="B11" s="2" t="inlineStr">
        <is>
          <t>TILX200228</t>
        </is>
      </c>
      <c r="C11" s="2" t="n">
        <v>79080</v>
      </c>
      <c r="D11" s="2" t="n">
        <v>28920</v>
      </c>
      <c r="E11" s="2" t="n">
        <v>22752.17</v>
      </c>
      <c r="F11" s="2" t="n">
        <v>22752.17</v>
      </c>
      <c r="G11" s="2" t="n">
        <v>22752.17</v>
      </c>
      <c r="H11" s="2" t="inlineStr">
        <is>
          <t>all match</t>
        </is>
      </c>
    </row>
    <row r="12">
      <c r="A12" s="6" t="inlineStr">
        <is>
          <t>TILX200228 O3</t>
        </is>
      </c>
      <c r="B12" s="6" t="inlineStr">
        <is>
          <t>TILX200228</t>
        </is>
      </c>
      <c r="C12" s="6" t="inlineStr">
        <is>
          <t>78560 / TICKET 75560</t>
        </is>
      </c>
      <c r="D12" s="6" t="inlineStr">
        <is>
          <t>29260 / TICKET 28580</t>
        </is>
      </c>
      <c r="E12" s="6" t="n">
        <v>22362.09</v>
      </c>
      <c r="F12" s="6" t="n">
        <v>21309.75</v>
      </c>
      <c r="G12" s="6" t="n">
        <v>21309.75</v>
      </c>
      <c r="H12" s="6" t="inlineStr">
        <is>
          <t>*** OPS WRONG: Ops 22362.09 vs ticket+COBB 21309.75 (+1052 over) ***</t>
        </is>
      </c>
    </row>
    <row r="13">
      <c r="A13" s="2" t="inlineStr">
        <is>
          <t>TILX200228 O4</t>
        </is>
      </c>
      <c r="B13" s="2" t="inlineStr">
        <is>
          <t>TILX200228</t>
        </is>
      </c>
      <c r="C13" s="2" t="n">
        <v>54060</v>
      </c>
      <c r="D13" s="2" t="n">
        <v>29740</v>
      </c>
      <c r="E13" s="2" t="n">
        <v>11031.36</v>
      </c>
      <c r="F13" s="2" t="n">
        <v>11031.36</v>
      </c>
      <c r="G13" s="2" t="n">
        <v>11031.36</v>
      </c>
      <c r="H13" s="2" t="inlineStr">
        <is>
          <t>raw match; Ops applies spurious back-calc adj 1046.24 downstream</t>
        </is>
      </c>
    </row>
    <row r="14">
      <c r="A14" s="2" t="inlineStr">
        <is>
          <t>GPRX5106 O1</t>
        </is>
      </c>
      <c r="B14" s="2" t="inlineStr">
        <is>
          <t>GPRX5106</t>
        </is>
      </c>
      <c r="C14" s="2" t="n">
        <v>78440</v>
      </c>
      <c r="D14" s="2" t="n">
        <v>29440</v>
      </c>
      <c r="E14" s="2" t="n">
        <v>22226.01</v>
      </c>
      <c r="F14" s="2" t="n">
        <v>22226.01</v>
      </c>
      <c r="G14" s="2" t="n">
        <v>22226.01</v>
      </c>
      <c r="H14" s="2" t="inlineStr">
        <is>
          <t>all match</t>
        </is>
      </c>
    </row>
    <row r="15">
      <c r="A15" s="2" t="inlineStr">
        <is>
          <t>GPRX5106 O2</t>
        </is>
      </c>
      <c r="B15" s="2" t="inlineStr">
        <is>
          <t>GPRX5106</t>
        </is>
      </c>
      <c r="C15" s="2" t="n">
        <v>78220</v>
      </c>
      <c r="D15" s="2" t="n">
        <v>29160</v>
      </c>
      <c r="E15" s="2" t="n">
        <v>22253.22</v>
      </c>
      <c r="F15" s="2" t="n">
        <v>22253.22</v>
      </c>
      <c r="G15" s="2" t="n">
        <v>22253.22</v>
      </c>
      <c r="H15" s="2" t="inlineStr">
        <is>
          <t>all match</t>
        </is>
      </c>
    </row>
    <row r="16">
      <c r="A16" s="2" t="inlineStr">
        <is>
          <t>GPRX5106 O3</t>
        </is>
      </c>
      <c r="B16" s="2" t="inlineStr">
        <is>
          <t>GPRX5106</t>
        </is>
      </c>
      <c r="C16" s="2" t="n">
        <v>77040</v>
      </c>
      <c r="D16" s="2" t="n">
        <v>29040</v>
      </c>
      <c r="E16" s="2" t="n">
        <v>21772.42</v>
      </c>
      <c r="F16" s="2" t="n">
        <v>21772.42</v>
      </c>
      <c r="G16" s="2" t="n">
        <v>21772.42</v>
      </c>
      <c r="H16" s="2" t="inlineStr">
        <is>
          <t>all match</t>
        </is>
      </c>
    </row>
    <row r="17">
      <c r="A17" s="2" t="inlineStr">
        <is>
          <t>GPRX5106 O4</t>
        </is>
      </c>
      <c r="B17" s="2" t="inlineStr">
        <is>
          <t>GPRX5106</t>
        </is>
      </c>
      <c r="C17" s="2" t="n">
        <v>56600</v>
      </c>
      <c r="D17" s="2" t="n">
        <v>29620</v>
      </c>
      <c r="E17" s="2" t="n">
        <v>12237.91</v>
      </c>
      <c r="F17" s="2" t="n">
        <v>12237.91</v>
      </c>
      <c r="G17" s="2" t="n">
        <v>12237.91</v>
      </c>
      <c r="H17" s="2" t="inlineStr">
        <is>
          <t>all match</t>
        </is>
      </c>
    </row>
    <row r="19">
      <c r="A19" t="inlineStr">
        <is>
          <t>Railcar balance:</t>
        </is>
      </c>
    </row>
    <row r="20">
      <c r="A20" t="inlineStr">
        <is>
          <t>GPRX5240: offloaded 76,947.35 &lt; BOL 77,730 (loss 782.65) - no back-calc</t>
        </is>
      </c>
    </row>
    <row r="21">
      <c r="A21" t="inlineStr">
        <is>
          <t>GPRX5139: offloaded 78,072.26 &lt; BOL 78,140 (loss 67.74) - no back-calc</t>
        </is>
      </c>
    </row>
    <row r="22">
      <c r="A22" t="inlineStr">
        <is>
          <t>TILX200228 (TICKET): 23060.62+22752.17+21309.75+11031.36 = 78,153.90 &lt; BOL 78,160 (loss 6.1) - NO back-calc needed</t>
        </is>
      </c>
    </row>
    <row r="23">
      <c r="A23" t="inlineStr">
        <is>
          <t>TILX200228 (OPS, wrong O3): sum 79,206.24 &gt; BOL 78,160 -&gt; spurious 1,046.24 back-calc on O4</t>
        </is>
      </c>
    </row>
    <row r="24">
      <c r="A24" t="inlineStr">
        <is>
          <t>GPRX5106: offloaded 78,489.56 &lt; BOL 78,550 (loss 60.44) - no back-calc</t>
        </is>
      </c>
    </row>
    <row r="25">
      <c r="A25" t="inlineStr">
        <is>
          <t>Weekly Mass Used: Ops 311,669.16 vs corrected 311,663.06 -&gt; Ops over-credits 6.10 kg (~0.009 tCO2e), immaterial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  <col width="40" customWidth="1" min="3" max="3"/>
    <col width="22" customWidth="1" min="4" max="4"/>
  </cols>
  <sheetData>
    <row r="1">
      <c r="A1" s="1" t="inlineStr">
        <is>
          <t>Component / datapoint</t>
        </is>
      </c>
      <c r="B1" s="1" t="inlineStr">
        <is>
          <t>Source-derived (show the work)</t>
        </is>
      </c>
      <c r="C1" s="1" t="inlineStr">
        <is>
          <t>Certify</t>
        </is>
      </c>
      <c r="D1" s="1" t="inlineStr">
        <is>
          <t>Match</t>
        </is>
      </c>
    </row>
    <row r="2">
      <c r="A2" s="2" t="inlineStr">
        <is>
          <t>Injection sequestration</t>
        </is>
      </c>
      <c r="B2" s="2" t="inlineStr">
        <is>
          <t>MOBI 307,048.71 kg x 0.408 x 3.667 /1000 = 459.387 t</t>
        </is>
      </c>
      <c r="C2" s="2" t="inlineStr">
        <is>
          <t>459.387 t</t>
        </is>
      </c>
      <c r="D2" s="2" t="inlineStr">
        <is>
          <t>=</t>
        </is>
      </c>
    </row>
    <row r="3">
      <c r="A3" s="2" t="inlineStr">
        <is>
          <t>Pyrolysis process</t>
        </is>
      </c>
      <c r="B3" s="2" t="inlineStr">
        <is>
          <t>311.669 t x 0.1040167 = 32.419 t</t>
        </is>
      </c>
      <c r="C3" s="2" t="inlineStr">
        <is>
          <t>32.414 t</t>
        </is>
      </c>
      <c r="D3" s="2">
        <f> (CI display 0.104)</f>
        <v/>
      </c>
    </row>
    <row r="4">
      <c r="A4" s="2" t="inlineStr">
        <is>
          <t>Pyrolysis embodied</t>
        </is>
      </c>
      <c r="B4" s="2" t="inlineStr">
        <is>
          <t>311.669 t x 0.02116 = 6.595 t</t>
        </is>
      </c>
      <c r="C4" s="2" t="inlineStr">
        <is>
          <t>6.595 t</t>
        </is>
      </c>
      <c r="D4" s="2" t="inlineStr">
        <is>
          <t>=</t>
        </is>
      </c>
    </row>
    <row r="5">
      <c r="A5" s="2" t="inlineStr">
        <is>
          <t>AECN-&gt;SOPOR truck PROCESS</t>
        </is>
      </c>
      <c r="B5" s="2" t="inlineStr">
        <is>
          <t>311.669 t x 107.5 mi x 0.0001143 = 3.830 t</t>
        </is>
      </c>
      <c r="C5" s="2" t="inlineStr">
        <is>
          <t>3.829 t</t>
        </is>
      </c>
      <c r="D5" s="2" t="inlineStr">
        <is>
          <t>=</t>
        </is>
      </c>
    </row>
    <row r="6">
      <c r="A6" s="2" t="inlineStr">
        <is>
          <t>SOPOR-&gt;Opelousas rail PROCESS</t>
        </is>
      </c>
      <c r="B6" s="2" t="inlineStr">
        <is>
          <t>311.669 t x 2199 mi x 0.0000259104 = 17.758 t</t>
        </is>
      </c>
      <c r="C6" s="2" t="inlineStr">
        <is>
          <t>17.758 t</t>
        </is>
      </c>
      <c r="D6" s="2" t="inlineStr">
        <is>
          <t>=</t>
        </is>
      </c>
    </row>
    <row r="7">
      <c r="A7" s="2" t="inlineStr">
        <is>
          <t>Opelousas-&gt;Basco truck PROCESS</t>
        </is>
      </c>
      <c r="B7" s="2" t="inlineStr">
        <is>
          <t>311.669 t x 42.9 mi x 0.0001143 = 1.528 t</t>
        </is>
      </c>
      <c r="C7" s="2" t="inlineStr">
        <is>
          <t>1.528 t</t>
        </is>
      </c>
      <c r="D7" s="2" t="inlineStr">
        <is>
          <t>=</t>
        </is>
      </c>
    </row>
    <row r="8">
      <c r="A8" s="3" t="inlineStr">
        <is>
          <t>AECN-&gt;SOPOR truck EMBODIED</t>
        </is>
      </c>
      <c r="B8" s="3" t="inlineStr">
        <is>
          <t>Ops alloc 1,286.23 mi x 0.00023756 = 0.306 t (CORRECT)</t>
        </is>
      </c>
      <c r="C8" s="3" t="inlineStr">
        <is>
          <t>1.222 t (uses 8,279.70 km = 5,144.8 mi = 4x Ops)</t>
        </is>
      </c>
      <c r="D8" s="3" t="inlineStr">
        <is>
          <t>FAIL +0.917 t</t>
        </is>
      </c>
    </row>
    <row r="9">
      <c r="A9" s="2" t="inlineStr">
        <is>
          <t>SOPOR-&gt;Opelousas rail EMBODIED</t>
        </is>
      </c>
      <c r="B9" s="2" t="inlineStr">
        <is>
          <t>Ops alloc 8,770.26 mi x 0.0000311307 = 0.273 t</t>
        </is>
      </c>
      <c r="C9" s="2" t="inlineStr">
        <is>
          <t>0.273 t (8,770 mi)</t>
        </is>
      </c>
      <c r="D9" s="2" t="inlineStr">
        <is>
          <t>=</t>
        </is>
      </c>
    </row>
    <row r="10">
      <c r="A10" s="3" t="inlineStr">
        <is>
          <t>Opelousas-&gt;Basco truck EMBODIED</t>
        </is>
      </c>
      <c r="B10" s="3" t="inlineStr">
        <is>
          <t>Ops alloc 1,372.8 mi x 0.00023756 = 0.326 t (CORRECT)</t>
        </is>
      </c>
      <c r="C10" s="3" t="inlineStr">
        <is>
          <t>0.010 t (uses 43 mi)</t>
        </is>
      </c>
      <c r="D10" s="3" t="inlineStr">
        <is>
          <t>FAIL -0.316 t</t>
        </is>
      </c>
    </row>
    <row r="11">
      <c r="A11" s="2" t="inlineStr">
        <is>
          <t>Transport process sum / BCU</t>
        </is>
      </c>
      <c r="B11" s="2" t="inlineStr">
        <is>
          <t>3.829 + 17.758 + 1.528 = 23.115 t</t>
        </is>
      </c>
      <c r="C11" s="2" t="inlineStr">
        <is>
          <t>BCU 23.115 t</t>
        </is>
      </c>
      <c r="D11" s="2">
        <f> exact coverage</f>
        <v/>
      </c>
    </row>
    <row r="12">
      <c r="A12" s="2" t="inlineStr">
        <is>
          <t>Activities total</t>
        </is>
      </c>
      <c r="B12" s="2" t="inlineStr">
        <is>
          <t>pyro 39.009 + transport 24.620 = 63.629 t</t>
        </is>
      </c>
      <c r="C12" s="2" t="inlineStr">
        <is>
          <t>63.629 t</t>
        </is>
      </c>
      <c r="D12" s="2" t="inlineStr">
        <is>
          <t>=</t>
        </is>
      </c>
    </row>
    <row r="13">
      <c r="A13" s="2" t="inlineStr">
        <is>
          <t>Uncertainty discount</t>
        </is>
      </c>
      <c r="B13" s="2" t="inlineStr">
        <is>
          <t>carbon 0.4% + mass 16x72.57 kg propagated</t>
        </is>
      </c>
      <c r="C13" s="2" t="inlineStr">
        <is>
          <t>2.539 t</t>
        </is>
      </c>
      <c r="D13" s="2" t="inlineStr">
        <is>
          <t>present</t>
        </is>
      </c>
    </row>
    <row r="14">
      <c r="A14" s="2" t="inlineStr">
        <is>
          <t>Net CO2e removed</t>
        </is>
      </c>
      <c r="B14" s="2" t="inlineStr">
        <is>
          <t>459.387 + 23.115 - 63.629 - 2.539 = 416.334 t</t>
        </is>
      </c>
      <c r="C14" s="2" t="inlineStr">
        <is>
          <t>416.333 t</t>
        </is>
      </c>
      <c r="D14" s="2">
        <f> (rounding)</f>
        <v/>
      </c>
    </row>
    <row r="15">
      <c r="A15" s="3" t="inlineStr">
        <is>
          <t>--- EMBODIED DISTANCE FINDING ---</t>
        </is>
      </c>
      <c r="B15" s="3" t="inlineStr">
        <is>
          <t>Net embodied error +0.917 - 0.316 = +0.601 t too much emission</t>
        </is>
      </c>
      <c r="C15" s="3" t="inlineStr">
        <is>
          <t>Net CDR understated ~0.6 t (conservative)</t>
        </is>
      </c>
      <c r="D15" s="3" t="inlineStr">
        <is>
          <t>FAIL 3.5/9.2</t>
        </is>
      </c>
    </row>
    <row r="16">
      <c r="A16" s="3" t="inlineStr">
        <is>
          <t>--- ATTACHMENT FINDING ---</t>
        </is>
      </c>
      <c r="B16" s="3" t="inlineStr">
        <is>
          <t>Ops Notes NOT in 92 Certify Sources; lab CoA NOT attached (carbon mis-linked to tickets)</t>
        </is>
      </c>
      <c r="C16" s="3" t="inlineStr">
        <is>
          <t>Mass/pyrolysis/transport lack Ops Notes; carbon lacks CoA</t>
        </is>
      </c>
      <c r="D16" s="3" t="inlineStr">
        <is>
          <t>FAIL 4.1/7.1/9.1/9.2/9.4/9.10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2026-06-25T15:47:34Z</dcterms:created>
  <dcterms:modified xmlns:dcterms="http://purl.org/dc/terms/" xmlns:xsi="http://www.w3.org/2001/XMLSchema-instance" xsi:type="dcterms:W3CDTF">2026-06-25T15:47:34Z</dcterms:modified>
</cp:coreProperties>
</file>