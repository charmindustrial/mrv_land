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visible" name="WODO" sheetId="3" r:id="rId7"/>
    <sheet state="hidden" name="AECN Truck" sheetId="4" r:id="rId8"/>
    <sheet state="visible" name="QOWV" sheetId="5" r:id="rId9"/>
    <sheet state="hidden" name="Kerry" sheetId="6" r:id="rId10"/>
    <sheet state="visible" name="QOWV Shipments &amp; EE Allocation" sheetId="7" r:id="rId11"/>
    <sheet state="visible" name="WODO Shipments &amp; EE Allocation" sheetId="8" r:id="rId12"/>
  </sheets>
  <definedNames/>
  <calcPr/>
</workbook>
</file>

<file path=xl/sharedStrings.xml><?xml version="1.0" encoding="utf-8"?>
<sst xmlns="http://schemas.openxmlformats.org/spreadsheetml/2006/main" count="518" uniqueCount="228">
  <si>
    <t>BATCH SUMMARY</t>
  </si>
  <si>
    <t>Batch ID</t>
  </si>
  <si>
    <t>INJ-06-2026-W2</t>
  </si>
  <si>
    <t>Week Start (Sat)</t>
  </si>
  <si>
    <t>Week End (Sat)</t>
  </si>
  <si>
    <t>SECTION 1 - PER-TAB SUMMARY  (each row pulls from its mode tab)</t>
  </si>
  <si>
    <t>Source Tab</t>
  </si>
  <si>
    <t>Σ Deliveries / Cargo (kg)</t>
  </si>
  <si>
    <t>Σ Uncertainty Adj (kg)</t>
  </si>
  <si>
    <t>Mass Used (kg)</t>
  </si>
  <si>
    <t>Sparging Loss (kg)</t>
  </si>
  <si>
    <t>Filtration Loss (kg)</t>
  </si>
  <si>
    <t>MOBI (kg)</t>
  </si>
  <si>
    <t>AECN→SOPOR EE (mi)</t>
  </si>
  <si>
    <t>Rail EE (mi)</t>
  </si>
  <si>
    <t>Opel→Basco EE (mi)</t>
  </si>
  <si>
    <t>AECN Rail</t>
  </si>
  <si>
    <t>AECN Truck</t>
  </si>
  <si>
    <t>Charm WODO</t>
  </si>
  <si>
    <t>Kerry</t>
  </si>
  <si>
    <t>QOWV</t>
  </si>
  <si>
    <t>TOTAL</t>
  </si>
  <si>
    <t>SECTION 2 - PER-OIL-TYPE ROLLUP  (composite C% per oil type per week)</t>
  </si>
  <si>
    <t>Oil Type</t>
  </si>
  <si>
    <t>Composite Sample ID</t>
  </si>
  <si>
    <t>C %</t>
  </si>
  <si>
    <t>Lab COA Link</t>
  </si>
  <si>
    <t>C Content Uncertainty</t>
  </si>
  <si>
    <t>Testing Uncertainty</t>
  </si>
  <si>
    <t>AECN</t>
  </si>
  <si>
    <t>6-2026-W2 AECN</t>
  </si>
  <si>
    <t>WODO</t>
  </si>
  <si>
    <t xml:space="preserve"> </t>
  </si>
  <si>
    <t>BATCH HEADER — AECN Rail</t>
  </si>
  <si>
    <t>Batch ID (INJ-YYYY-WXX)</t>
  </si>
  <si>
    <t>Constants</t>
  </si>
  <si>
    <t>Lbs/Kg</t>
  </si>
  <si>
    <t>Kg/Lbs</t>
  </si>
  <si>
    <t>Sparging Mass Loss</t>
  </si>
  <si>
    <t>pH range (target)</t>
  </si>
  <si>
    <t>2.0 - 4.0</t>
  </si>
  <si>
    <t>Filtration Solids Content</t>
  </si>
  <si>
    <t>SECTION 1 - RAILCARS RECEIVED THIS WEEK  (entity-level)</t>
  </si>
  <si>
    <t>BOL Trips (AECN→SOPOR)</t>
  </si>
  <si>
    <t>Railcar #</t>
  </si>
  <si>
    <t>Arrival Date at Opelousas</t>
  </si>
  <si>
    <t>Loading BOLs (comma-sep)</t>
  </si>
  <si>
    <t>Total Loaded (MT)</t>
  </si>
  <si>
    <t>Total Loaded (kg)</t>
  </si>
  <si>
    <t>Total Offloaded (kg, auto)</t>
  </si>
  <si>
    <t>Loss (kg)</t>
  </si>
  <si>
    <t>Prior Period Mass</t>
  </si>
  <si>
    <t>Prior-RP Claimed (kg)</t>
  </si>
  <si>
    <t>AECN→SOPOR (mi)</t>
  </si>
  <si>
    <t>Rail (mi)</t>
  </si>
  <si>
    <t>Opel→Basco (mi)</t>
  </si>
  <si>
    <t>Notes</t>
  </si>
  <si>
    <t>Round Trip (Opel→Basco)</t>
  </si>
  <si>
    <t>GPRX5240</t>
  </si>
  <si>
    <t>2356-R, 2357-R, 2358-R</t>
  </si>
  <si>
    <t>New loading. Prior-RP claimed: 0 kg.</t>
  </si>
  <si>
    <t>GPRX5139</t>
  </si>
  <si>
    <t>2365-R, 2366-R, 2367-R</t>
  </si>
  <si>
    <t>TILX200228</t>
  </si>
  <si>
    <t>2371-R, 2372-R, 2373-R</t>
  </si>
  <si>
    <t>New loading (5.11.2026). Prior COBB entries are separate trips; prior-RP claimed=0.</t>
  </si>
  <si>
    <t>GPRX5106</t>
  </si>
  <si>
    <t>2374-R, 2375-R, 2376-R</t>
  </si>
  <si>
    <t>SECTION 2 - ORIGINS LEDGER  (loading BOLs at SOPOR)</t>
  </si>
  <si>
    <t>Date</t>
  </si>
  <si>
    <t>BOL #</t>
  </si>
  <si>
    <t>BOL Mass (MT)</t>
  </si>
  <si>
    <t>BOL Mass (kg)</t>
  </si>
  <si>
    <t>SECTION 3 - SCALE TICKETS + OFFLOAD WEIGHTS</t>
  </si>
  <si>
    <t>Full Scale Ticket (lb)</t>
  </si>
  <si>
    <t>Empty Scale Ticket (lb)</t>
  </si>
  <si>
    <t>Net Scaled Mass (kg)</t>
  </si>
  <si>
    <t>pH</t>
  </si>
  <si>
    <t>Uncertainty Adjustment (kg)</t>
  </si>
  <si>
    <t>AECN-&gt;SOPOR (mi, x3)</t>
  </si>
  <si>
    <t>Rail (mi, alloc)</t>
  </si>
  <si>
    <t>Opel-&gt;Basco (mi, x2)</t>
  </si>
  <si>
    <t>Rail_GPRX5240_5.7.2026_offload_1</t>
  </si>
  <si>
    <t>Rail_GPRX5240_5.7.2026_offload_2</t>
  </si>
  <si>
    <t>Rail_GPRX5240_5.7.2026_offload_3</t>
  </si>
  <si>
    <t>Rail_GPRX5240_5.7.2026_offload_4</t>
  </si>
  <si>
    <t>Rail_GPRX5139_5.8.2026_offload_1</t>
  </si>
  <si>
    <t>Rail_GPRX5139_5.8.2026_offload_2</t>
  </si>
  <si>
    <t>Rail_GPRX5139_5.8.2026_offload_3</t>
  </si>
  <si>
    <t>Rail_GPRX5139_5.8.2026_offload_4</t>
  </si>
  <si>
    <t>Rail_TILX200228_5.11.2026_offload_1</t>
  </si>
  <si>
    <t>Rail_TILX200228_5.11.2026_offload_2</t>
  </si>
  <si>
    <t>Rail_TILX200228_5.11.2026_offload_3</t>
  </si>
  <si>
    <t>Rail_TILX200228_5.11.2026_offload_4</t>
  </si>
  <si>
    <t>Rail_GPRX5106_5.13.2026_offload_1</t>
  </si>
  <si>
    <t>Rail_GPRX5106_5.13.2026_offload_2</t>
  </si>
  <si>
    <t>Rail_GPRX5106_5.13.2026_offload_3</t>
  </si>
  <si>
    <t>Rail_GPRX5106_5.13.2026_offload_4</t>
  </si>
  <si>
    <t>EE Totals (rows 32-47)</t>
  </si>
  <si>
    <t>SECTION 4 - ROLLUP  (Mass Used = Deliveries - Uncertainty Adj)</t>
  </si>
  <si>
    <t>Sigma Deliveries raw (kg)</t>
  </si>
  <si>
    <t>Sigma Uncertainty Adj (kg)</t>
  </si>
  <si>
    <t>Mass Used (post-adj) (kg)</t>
  </si>
  <si>
    <t>C Content</t>
  </si>
  <si>
    <t>Origins list (BOLs)</t>
  </si>
  <si>
    <t>BATCH HEADER — Charm WODO (IBC Totes)</t>
  </si>
  <si>
    <t>SECTION 1 - IBC LEDGER  (one row per IBC tote; tote tag mass is authoritative)</t>
  </si>
  <si>
    <t>Transport Emissions</t>
  </si>
  <si>
    <t>Pyrolysis Emissions Mass</t>
  </si>
  <si>
    <t>MOBI</t>
  </si>
  <si>
    <t>Tag</t>
  </si>
  <si>
    <t>Gross Mass (kg)</t>
  </si>
  <si>
    <t>Tote Mass (kg)</t>
  </si>
  <si>
    <t>Net Oil Produced (kg)</t>
  </si>
  <si>
    <t>Empty Tote Weight (kg)</t>
  </si>
  <si>
    <t>Net Oil Injected (kg)</t>
  </si>
  <si>
    <t>Production Period</t>
  </si>
  <si>
    <t>Carbon Intensity</t>
  </si>
  <si>
    <t>Production  Emissions</t>
  </si>
  <si>
    <t>Scale Uncertainty</t>
  </si>
  <si>
    <t>MFO Lot 301007 (LOT00301007), April 2026</t>
  </si>
  <si>
    <t>MFO Lot 301023 (LOT00301023), April 2026</t>
  </si>
  <si>
    <t>MFO Lot 301033 (LOT00301033), April 2026</t>
  </si>
  <si>
    <t>MFO Lot 301058 (LOT00301058), March 2026</t>
  </si>
  <si>
    <t>MFO Lot 301066 (LOT00301066), March 2026</t>
  </si>
  <si>
    <t>MFO Lot 301090 (LOT00301090), April 2026</t>
  </si>
  <si>
    <t>MFO Lot 301098 (LOT00301098), April 2026</t>
  </si>
  <si>
    <t>MFO Lot 301109 (LOT00301109), April 2026</t>
  </si>
  <si>
    <t>MFO Lot 301113 (LOT00301113), April 2026</t>
  </si>
  <si>
    <t>MFO Lot 301124 (LOT00301124), April 2026</t>
  </si>
  <si>
    <t>MFO Lot 301125 (LOT00301125), April 2026</t>
  </si>
  <si>
    <t>MFO Lot 301127 (LOT00301127), April 2026</t>
  </si>
  <si>
    <t>MFO Lot 301146 (LOT00301146), April 2026</t>
  </si>
  <si>
    <t>MFO Lot 301183 (LOT00301183), April 2026</t>
  </si>
  <si>
    <t>SECTION 2 - ROLLUP</t>
  </si>
  <si>
    <t>Σ Net Oil Produced (kg)</t>
  </si>
  <si>
    <t>MOBI — Σ Net Oil Injected (kg)</t>
  </si>
  <si>
    <t>Σ Production Emissions (kg)</t>
  </si>
  <si>
    <t>BATCH HEADER — AECN Truck (Direct from Fort Lupton)</t>
  </si>
  <si>
    <t>SECTION 1 - DELIVERIES LEDGER  (one row per direct truck; BOL &amp; scale ticket on same row)</t>
  </si>
  <si>
    <t>BOL # / SO #</t>
  </si>
  <si>
    <t>Scale Full (lb)</t>
  </si>
  <si>
    <t>Scale Empty (lb)</t>
  </si>
  <si>
    <t>Cargo (kg)</t>
  </si>
  <si>
    <t>SECTION 2 - ROLLUP  (Mass Used = Σ BOL kg; scale tickets no longer required for direct trucks per 2026-05-26)</t>
  </si>
  <si>
    <t>Σ BOL (kg)</t>
  </si>
  <si>
    <t>Σ Cargo (kg)</t>
  </si>
  <si>
    <t>C Content (MOBI-wtd)</t>
  </si>
  <si>
    <t>BATCH HEADER — QOWV (Aqueous Bio-Oil, IBC Totes)</t>
  </si>
  <si>
    <t>MFO Lot 2374 (LOT00002374), PP#7</t>
  </si>
  <si>
    <t>MFO Lot 2404 (LOT00002404), PP#7</t>
  </si>
  <si>
    <t>MFO Lot 2444 (LOT00002444), PP#7</t>
  </si>
  <si>
    <t>MFO Lot 2460 (LOT00002460), PP#7</t>
  </si>
  <si>
    <t>MFO Lot 2464 (LOT00002464), PP#7</t>
  </si>
  <si>
    <t>MFO Lot 2514 (LOT00002514), PP#7</t>
  </si>
  <si>
    <t>MFO Lot 2534 (LOT00002534), PP#7</t>
  </si>
  <si>
    <t>MFO Lot 2576 (LOT00002576), PP#7</t>
  </si>
  <si>
    <t>MFO Lot 2578 (LOT00002578), PP#7</t>
  </si>
  <si>
    <t>MFO Lot 2586 (LOT00002586), PP#7</t>
  </si>
  <si>
    <t>MFO Lot 2588 (LOT00002588), PP#7</t>
  </si>
  <si>
    <t>MFO Lot 2638 (LOT00002638), PP#7</t>
  </si>
  <si>
    <t>MFO Lot 2686 (LOT00002686), PP#7</t>
  </si>
  <si>
    <t>MFO Lot 2790 (LOT00002790), PP#7</t>
  </si>
  <si>
    <t>MFO Lot 3042 (LOT00003042), PP#8</t>
  </si>
  <si>
    <t>MFO Lot 3070 (LOT00003070), PP#8</t>
  </si>
  <si>
    <t>MFO Lot 3072 (LOT00003072), PP#8</t>
  </si>
  <si>
    <t>MFO Lot 4020 (LOT00004020), October 2025</t>
  </si>
  <si>
    <t>MFO Lot 4024 (LOT00004024), October 2025</t>
  </si>
  <si>
    <t>MFO Lot 4032 (LOT00004032), October 2025</t>
  </si>
  <si>
    <t>MFO Lot 4040 (LOT00004040), October 2025</t>
  </si>
  <si>
    <t>MFO Lot 4084 (LOT00004084), October 2025</t>
  </si>
  <si>
    <t>MFO Lot 4102 (LOT00004102), October 2025</t>
  </si>
  <si>
    <t>MFO Lot 4104 (LOT00004104), October 2025</t>
  </si>
  <si>
    <t>MFO Lot 4106 (LOT00004106), October 2025</t>
  </si>
  <si>
    <t>MFO Lot 4122 (LOT00004122), October 2025</t>
  </si>
  <si>
    <t>MFO Lot 4134 (LOT00004134), October 2025</t>
  </si>
  <si>
    <t>MFO Lot 4136 (LOT00004136), October 2025</t>
  </si>
  <si>
    <t>MFO Lot 4174 (LOT00004174), October 2025</t>
  </si>
  <si>
    <t>MFO Lot 4176 (LOT00004176), October 2025</t>
  </si>
  <si>
    <t>MFO Lot 4178 (LOT00004178), October 2025</t>
  </si>
  <si>
    <t>MFO Lot 4180 (LOT00004180), October 2025</t>
  </si>
  <si>
    <t>MFO Lot 4182 (LOT00004182), October 2025</t>
  </si>
  <si>
    <t>MFO Lot 4184 (LOT00004184), October 2025</t>
  </si>
  <si>
    <t>MFO Lot 4186 (LOT00004186), October 2025</t>
  </si>
  <si>
    <t>MFO Lot 4196 (LOT00004196), October 2025</t>
  </si>
  <si>
    <t>BATCH HEADER — Kerry (Calciner Waste Oil, IBC Totes)</t>
  </si>
  <si>
    <t>SECTION 1 - IBC LEDGER  (one row per Kerry tote; tote tag mass is authoritative)</t>
  </si>
  <si>
    <t>Tote Tag #</t>
  </si>
  <si>
    <t>Gross Mass (kg) — transport</t>
  </si>
  <si>
    <t>Tote Empty (kg)</t>
  </si>
  <si>
    <t>Net Oil (kg) — production</t>
  </si>
  <si>
    <t>Net Injected (kg) — MOBI</t>
  </si>
  <si>
    <t>Mass Uncertainty (Scaling)</t>
  </si>
  <si>
    <t>Σ Net Injected (kg)</t>
  </si>
  <si>
    <t>Origins list (Tote tags)</t>
  </si>
  <si>
    <t>INJ-06-2026-W2 — QOWV Shipments &amp; EE Mileage Allocation</t>
  </si>
  <si>
    <t>Batch</t>
  </si>
  <si>
    <t>Fraction</t>
  </si>
  <si>
    <t>Inj. Week</t>
  </si>
  <si>
    <t># Totes</t>
  </si>
  <si>
    <t>Ship Date(s)</t>
  </si>
  <si>
    <t>2026-06-06 to 2026-06-13</t>
  </si>
  <si>
    <t>2025-12-09 (18), 2025-12-10 (18)</t>
  </si>
  <si>
    <t>Charm CO -&gt; Basco LA distance (one-way miles):</t>
  </si>
  <si>
    <t>EE ALLOCATION TABLE</t>
  </si>
  <si>
    <t>Truck (shipment)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</si>
  <si>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</si>
  <si>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</si>
  <si>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</si>
  <si>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</si>
  <si>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</si>
  <si>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</si>
  <si>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Shipment 12-09</t>
  </si>
  <si>
    <t>Shipment 12-10</t>
  </si>
  <si>
    <t>BATCH MILEAGE ALLOCATION</t>
  </si>
  <si>
    <t>Per-Truck Allocation (relevant/total)</t>
  </si>
  <si>
    <t>12-09 (18/36), 12-10 (18/35)</t>
  </si>
  <si>
    <t>--- Shipment 2025-12-09 --- (18 of 36 totes on this truck are W2-relevant)</t>
  </si>
  <si>
    <t>Metal Tag</t>
  </si>
  <si>
    <t>Date Loaded</t>
  </si>
  <si>
    <t>PP#7</t>
  </si>
  <si>
    <t>PP#8</t>
  </si>
  <si>
    <t>--- Shipment 2025-12-10 --- (18 of 35 totes on this truck are W2-relevant)</t>
  </si>
  <si>
    <t>INJ-06-2026-W2 — WODO Shipments &amp; EE Mileage Allocation</t>
  </si>
  <si>
    <t>2026-05-12 (14 of 17 on truck)</t>
  </si>
  <si>
    <t>Shipment 05-12</t>
  </si>
  <si>
    <t>05-12 (14/17)</t>
  </si>
  <si>
    <t>--- Shipment 2026-05-12 --- (14 of 17 totes on this truck are W2-relevant; 16 WODO + 1 QOWV)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</si>
</sst>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yy"/>
    <numFmt numFmtId="165" formatCode="0.0000%"/>
    <numFmt numFmtId="166" formatCode="0.0000000000"/>
    <numFmt numFmtId="167" formatCode="#,##0.00000"/>
    <numFmt numFmtId="168" formatCode="0.000000"/>
    <numFmt numFmtId="169" formatCode="#,##0.000000"/>
    <numFmt numFmtId="170" formatCode="yyyy-mm-dd"/>
    <numFmt numFmtId="171" formatCode="mmmm yyyy"/>
  </numFmts>
  <fonts count="19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sz val="10.0"/>
      <color theme="1"/>
      <name val="Arial"/>
      <scheme val="minor"/>
    </font>
    <font>
      <u/>
      <sz val="10.0"/>
      <color rgb="FF0000FF"/>
    </font>
    <font>
      <u/>
      <color rgb="FF0000FF"/>
    </font>
    <font>
      <u/>
      <color rgb="FF0000FF"/>
    </font>
    <font>
      <b/>
      <u/>
      <color rgb="FF0000FF"/>
    </font>
    <font>
      <b/>
      <u/>
      <color rgb="FF0000FF"/>
    </font>
    <font>
      <u/>
      <color rgb="FF0000FF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sz val="11.0"/>
      <color theme="1"/>
      <name val="Arial"/>
      <scheme val="minor"/>
    </font>
    <font>
      <b/>
      <sz val="12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2CC"/>
        <bgColor rgb="FFFFF2CC"/>
      </patternFill>
    </fill>
    <fill>
      <patternFill patternType="solid">
        <fgColor rgb="FFD8EAF9"/>
        <bgColor rgb="FFD8EAF9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1CC"/>
        <bgColor rgb="FFFFF1CC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Font="1"/>
    <xf borderId="0" fillId="0" fontId="2" numFmtId="4" xfId="0" applyFont="1" applyNumberFormat="1"/>
    <xf borderId="0" fillId="3" fontId="2" numFmtId="4" xfId="0" applyFont="1" applyNumberFormat="1"/>
    <xf borderId="0" fillId="0" fontId="2" numFmtId="4" xfId="0" applyAlignment="1" applyFont="1" applyNumberFormat="1">
      <alignment readingOrder="0"/>
    </xf>
    <xf borderId="0" fillId="3" fontId="2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0" xfId="0" applyFont="1" applyNumberFormat="1"/>
    <xf borderId="0" fillId="0" fontId="4" numFmtId="0" xfId="0" applyAlignment="1" applyFont="1">
      <alignment readingOrder="0"/>
    </xf>
    <xf borderId="0" fillId="2" fontId="1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4" fontId="2" numFmtId="4" xfId="0" applyAlignment="1" applyFont="1" applyNumberFormat="1">
      <alignment readingOrder="0"/>
    </xf>
    <xf borderId="0" fillId="0" fontId="2" numFmtId="4" xfId="0" applyAlignment="1" applyFont="1" applyNumberForma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4" fontId="2" numFmtId="0" xfId="0" applyAlignment="1" applyFont="1">
      <alignment readingOrder="0"/>
    </xf>
    <xf borderId="0" fillId="0" fontId="2" numFmtId="4" xfId="0" applyFont="1" applyNumberFormat="1"/>
    <xf borderId="0" fillId="0" fontId="2" numFmtId="0" xfId="0" applyFont="1"/>
    <xf borderId="0" fillId="0" fontId="2" numFmtId="164" xfId="0" applyFont="1" applyNumberFormat="1"/>
    <xf borderId="0" fillId="2" fontId="1" numFmtId="16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5" fontId="3" numFmtId="0" xfId="0" applyAlignment="1" applyFill="1" applyFont="1">
      <alignment readingOrder="0"/>
    </xf>
    <xf borderId="0" fillId="0" fontId="5" numFmtId="0" xfId="0" applyFont="1"/>
    <xf borderId="0" fillId="5" fontId="2" numFmtId="4" xfId="0" applyAlignment="1" applyFont="1" applyNumberFormat="1">
      <alignment readingOrder="0"/>
    </xf>
    <xf borderId="0" fillId="0" fontId="6" numFmtId="164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6" numFmtId="0" xfId="0" applyAlignment="1" applyFont="1">
      <alignment readingOrder="0"/>
    </xf>
    <xf borderId="0" fillId="5" fontId="6" numFmtId="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8" numFmtId="0" xfId="0" applyAlignment="1" applyFont="1">
      <alignment readingOrder="0"/>
    </xf>
    <xf borderId="0" fillId="6" fontId="2" numFmtId="164" xfId="0" applyAlignment="1" applyFill="1" applyFont="1" applyNumberFormat="1">
      <alignment readingOrder="0"/>
    </xf>
    <xf borderId="0" fillId="6" fontId="9" numFmtId="0" xfId="0" applyAlignment="1" applyFont="1">
      <alignment readingOrder="0"/>
    </xf>
    <xf borderId="0" fillId="6" fontId="2" numFmtId="0" xfId="0" applyAlignment="1" applyFont="1">
      <alignment readingOrder="0"/>
    </xf>
    <xf borderId="0" fillId="5" fontId="2" numFmtId="4" xfId="0" applyAlignment="1" applyFont="1" applyNumberFormat="1">
      <alignment readingOrder="0"/>
    </xf>
    <xf borderId="0" fillId="6" fontId="2" numFmtId="4" xfId="0" applyAlignment="1" applyFont="1" applyNumberFormat="1">
      <alignment readingOrder="0"/>
    </xf>
    <xf borderId="0" fillId="6" fontId="2" numFmtId="2" xfId="0" applyAlignment="1" applyFont="1" applyNumberFormat="1">
      <alignment readingOrder="0"/>
    </xf>
    <xf borderId="0" fillId="6" fontId="2" numFmtId="4" xfId="0" applyFont="1" applyNumberFormat="1"/>
    <xf borderId="0" fillId="0" fontId="2" numFmtId="10" xfId="0" applyAlignment="1" applyFont="1" applyNumberFormat="1">
      <alignment readingOrder="0"/>
    </xf>
    <xf borderId="0" fillId="7" fontId="2" numFmtId="164" xfId="0" applyAlignment="1" applyFill="1" applyFont="1" applyNumberFormat="1">
      <alignment readingOrder="0"/>
    </xf>
    <xf borderId="0" fillId="7" fontId="2" numFmtId="0" xfId="0" applyAlignment="1" applyFont="1">
      <alignment readingOrder="0"/>
    </xf>
    <xf borderId="0" fillId="7" fontId="2" numFmtId="4" xfId="0" applyAlignment="1" applyFont="1" applyNumberFormat="1">
      <alignment readingOrder="0"/>
    </xf>
    <xf borderId="0" fillId="7" fontId="2" numFmtId="4" xfId="0" applyAlignment="1" applyFont="1" applyNumberFormat="1">
      <alignment readingOrder="0"/>
    </xf>
    <xf borderId="0" fillId="7" fontId="2" numFmtId="2" xfId="0" applyAlignment="1" applyFont="1" applyNumberFormat="1">
      <alignment readingOrder="0"/>
    </xf>
    <xf borderId="0" fillId="7" fontId="2" numFmtId="4" xfId="0" applyFont="1" applyNumberFormat="1"/>
    <xf borderId="0" fillId="7" fontId="2" numFmtId="10" xfId="0" applyAlignment="1" applyFont="1" applyNumberFormat="1">
      <alignment readingOrder="0"/>
    </xf>
    <xf borderId="0" fillId="7" fontId="2" numFmtId="0" xfId="0" applyFont="1"/>
    <xf borderId="0" fillId="8" fontId="3" numFmtId="164" xfId="0" applyAlignment="1" applyFill="1" applyFont="1" applyNumberFormat="1">
      <alignment readingOrder="0"/>
    </xf>
    <xf borderId="0" fillId="8" fontId="3" numFmtId="0" xfId="0" applyAlignment="1" applyFont="1">
      <alignment readingOrder="0"/>
    </xf>
    <xf borderId="0" fillId="8" fontId="10" numFmtId="4" xfId="0" applyAlignment="1" applyFont="1" applyNumberFormat="1">
      <alignment readingOrder="0"/>
    </xf>
    <xf borderId="0" fillId="8" fontId="3" numFmtId="4" xfId="0" applyAlignment="1" applyFont="1" applyNumberFormat="1">
      <alignment readingOrder="0"/>
    </xf>
    <xf borderId="0" fillId="8" fontId="3" numFmtId="2" xfId="0" applyAlignment="1" applyFont="1" applyNumberFormat="1">
      <alignment readingOrder="0"/>
    </xf>
    <xf borderId="0" fillId="8" fontId="3" numFmtId="4" xfId="0" applyFont="1" applyNumberFormat="1"/>
    <xf borderId="0" fillId="8" fontId="3" numFmtId="10" xfId="0" applyAlignment="1" applyFont="1" applyNumberFormat="1">
      <alignment readingOrder="0"/>
    </xf>
    <xf borderId="0" fillId="8" fontId="11" numFmtId="4" xfId="0" applyFont="1" applyNumberFormat="1"/>
    <xf borderId="0" fillId="8" fontId="3" numFmtId="0" xfId="0" applyFont="1"/>
    <xf borderId="0" fillId="8" fontId="3" numFmtId="2" xfId="0" applyFont="1" applyNumberFormat="1"/>
    <xf borderId="0" fillId="8" fontId="3" numFmtId="0" xfId="0" applyAlignment="1" applyFont="1">
      <alignment readingOrder="0"/>
    </xf>
    <xf borderId="0" fillId="8" fontId="3" numFmtId="2" xfId="0" applyAlignment="1" applyFont="1" applyNumberFormat="1">
      <alignment readingOrder="0"/>
    </xf>
    <xf borderId="0" fillId="8" fontId="3" numFmtId="2" xfId="0" applyFont="1" applyNumberFormat="1"/>
    <xf borderId="0" fillId="0" fontId="2" numFmtId="2" xfId="0" applyFont="1" applyNumberFormat="1"/>
    <xf borderId="0" fillId="6" fontId="3" numFmtId="0" xfId="0" applyAlignment="1" applyFont="1">
      <alignment readingOrder="0"/>
    </xf>
    <xf borderId="0" fillId="6" fontId="3" numFmtId="0" xfId="0" applyAlignment="1" applyFont="1">
      <alignment horizontal="center" readingOrder="0"/>
    </xf>
    <xf borderId="0" fillId="6" fontId="3" numFmtId="0" xfId="0" applyFont="1"/>
    <xf borderId="0" fillId="6" fontId="3" numFmtId="4" xfId="0" applyAlignment="1" applyFont="1" applyNumberFormat="1">
      <alignment horizontal="center" readingOrder="0"/>
    </xf>
    <xf borderId="0" fillId="6" fontId="3" numFmtId="4" xfId="0" applyAlignment="1" applyFont="1" applyNumberFormat="1">
      <alignment readingOrder="0"/>
    </xf>
    <xf borderId="0" fillId="6" fontId="3" numFmtId="2" xfId="0" applyAlignment="1" applyFont="1" applyNumberFormat="1">
      <alignment readingOrder="0"/>
    </xf>
    <xf borderId="0" fillId="0" fontId="2" numFmtId="1" xfId="0" applyAlignment="1" applyFont="1" applyNumberFormat="1">
      <alignment horizontal="right" readingOrder="0"/>
    </xf>
    <xf borderId="0" fillId="0" fontId="2" numFmtId="49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Font="1" applyNumberFormat="1"/>
    <xf borderId="0" fillId="4" fontId="2" numFmtId="4" xfId="0" applyFont="1" applyNumberFormat="1"/>
    <xf borderId="0" fillId="0" fontId="2" numFmtId="49" xfId="0" applyFont="1" applyNumberFormat="1"/>
    <xf borderId="0" fillId="0" fontId="2" numFmtId="168" xfId="0" applyFont="1" applyNumberFormat="1"/>
    <xf borderId="0" fillId="0" fontId="12" numFmtId="0" xfId="0" applyAlignment="1" applyFont="1">
      <alignment readingOrder="0"/>
    </xf>
    <xf borderId="0" fillId="2" fontId="1" numFmtId="4" xfId="0" applyFont="1" applyNumberFormat="1"/>
    <xf borderId="0" fillId="2" fontId="1" numFmtId="2" xfId="0" applyFont="1" applyNumberFormat="1"/>
    <xf borderId="0" fillId="0" fontId="3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6" fontId="13" numFmtId="0" xfId="0" applyAlignment="1" applyFont="1">
      <alignment horizontal="center" vertical="bottom"/>
    </xf>
    <xf borderId="0" fillId="6" fontId="14" numFmtId="0" xfId="0" applyAlignment="1" applyFont="1">
      <alignment horizontal="center" readingOrder="0" vertical="bottom"/>
    </xf>
    <xf borderId="1" fillId="6" fontId="13" numFmtId="0" xfId="0" applyAlignment="1" applyBorder="1" applyFont="1">
      <alignment horizontal="center" readingOrder="0" vertical="bottom"/>
    </xf>
    <xf borderId="1" fillId="6" fontId="14" numFmtId="0" xfId="0" applyAlignment="1" applyBorder="1" applyFont="1">
      <alignment horizontal="center" readingOrder="0" vertical="bottom"/>
    </xf>
    <xf borderId="1" fillId="0" fontId="15" numFmtId="1" xfId="0" applyAlignment="1" applyBorder="1" applyFont="1" applyNumberFormat="1">
      <alignment horizontal="right" readingOrder="0" vertical="bottom"/>
    </xf>
    <xf borderId="1" fillId="0" fontId="15" numFmtId="4" xfId="0" applyAlignment="1" applyBorder="1" applyFont="1" applyNumberFormat="1">
      <alignment horizontal="right" readingOrder="0" vertical="bottom"/>
    </xf>
    <xf borderId="1" fillId="0" fontId="16" numFmtId="4" xfId="0" applyAlignment="1" applyBorder="1" applyFont="1" applyNumberFormat="1">
      <alignment horizontal="right" readingOrder="0" vertical="bottom"/>
    </xf>
    <xf borderId="1" fillId="0" fontId="15" numFmtId="4" xfId="0" applyAlignment="1" applyBorder="1" applyFont="1" applyNumberFormat="1">
      <alignment horizontal="right" vertical="bottom"/>
    </xf>
    <xf borderId="1" fillId="4" fontId="15" numFmtId="4" xfId="0" applyAlignment="1" applyBorder="1" applyFont="1" applyNumberFormat="1">
      <alignment horizontal="right" readingOrder="0" vertical="bottom"/>
    </xf>
    <xf borderId="1" fillId="4" fontId="16" numFmtId="4" xfId="0" applyAlignment="1" applyBorder="1" applyFont="1" applyNumberFormat="1">
      <alignment horizontal="right" readingOrder="0" vertical="bottom"/>
    </xf>
    <xf borderId="0" fillId="0" fontId="17" numFmtId="166" xfId="0" applyAlignment="1" applyFont="1" applyNumberFormat="1">
      <alignment readingOrder="0"/>
    </xf>
    <xf borderId="1" fillId="0" fontId="16" numFmtId="0" xfId="0" applyAlignment="1" applyBorder="1" applyFont="1">
      <alignment horizontal="right" readingOrder="0" vertical="bottom"/>
    </xf>
    <xf borderId="1" fillId="0" fontId="15" numFmtId="1" xfId="0" applyAlignment="1" applyBorder="1" applyFont="1" applyNumberFormat="1">
      <alignment horizontal="right" vertical="bottom"/>
    </xf>
    <xf borderId="1" fillId="0" fontId="15" numFmtId="0" xfId="0" applyAlignment="1" applyBorder="1" applyFont="1">
      <alignment horizontal="right" vertical="bottom"/>
    </xf>
    <xf borderId="0" fillId="0" fontId="2" numFmtId="1" xfId="0" applyFont="1" applyNumberFormat="1"/>
    <xf borderId="0" fillId="0" fontId="3" numFmtId="4" xfId="0" applyFont="1" applyNumberFormat="1"/>
    <xf borderId="0" fillId="0" fontId="3" numFmtId="4" xfId="0" applyFont="1" applyNumberFormat="1"/>
    <xf borderId="0" fillId="0" fontId="3" numFmtId="169" xfId="0" applyFont="1" applyNumberFormat="1"/>
    <xf borderId="0" fillId="0" fontId="3" numFmtId="2" xfId="0" applyFont="1" applyNumberFormat="1"/>
    <xf borderId="0" fillId="0" fontId="3" numFmtId="167" xfId="0" applyFont="1" applyNumberFormat="1"/>
    <xf borderId="0" fillId="0" fontId="18" numFmtId="0" xfId="0" applyAlignment="1" applyFont="1">
      <alignment readingOrder="0"/>
    </xf>
    <xf borderId="0" fillId="0" fontId="18" numFmtId="0" xfId="0" applyFont="1"/>
    <xf borderId="0" fillId="0" fontId="2" numFmtId="170" xfId="0" applyAlignment="1" applyFont="1" applyNumberFormat="1">
      <alignment readingOrder="0"/>
    </xf>
    <xf borderId="0" fillId="0" fontId="2" numFmtId="10" xfId="0" applyFont="1" applyNumberFormat="1"/>
    <xf borderId="0" fillId="0" fontId="3" numFmtId="170" xfId="0" applyAlignment="1" applyFont="1" applyNumberFormat="1">
      <alignment readingOrder="0"/>
    </xf>
    <xf borderId="0" fillId="0" fontId="3" numFmtId="10" xfId="0" applyFont="1" applyNumberFormat="1"/>
    <xf borderId="0" fillId="0" fontId="2" numFmtId="171" xfId="0" applyAlignment="1" applyFont="1" applyNumberFormat="1">
      <alignment readingOrder="0"/>
    </xf>
    <xf borderId="0" fillId="0" fontId="3" numFmtId="17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</v>
      </c>
      <c r="B2" s="3" t="s">
        <v>2</v>
      </c>
    </row>
    <row r="3">
      <c r="A3" s="3" t="s">
        <v>3</v>
      </c>
      <c r="B3" s="4">
        <v>46179.0</v>
      </c>
    </row>
    <row r="4">
      <c r="A4" s="3" t="s">
        <v>4</v>
      </c>
      <c r="B4" s="4">
        <v>46186.0</v>
      </c>
    </row>
    <row r="6">
      <c r="A6" s="1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5" t="s">
        <v>6</v>
      </c>
      <c r="B7" s="5" t="s">
        <v>7</v>
      </c>
      <c r="C7" s="5" t="s">
        <v>8</v>
      </c>
      <c r="D7" s="6" t="s">
        <v>9</v>
      </c>
      <c r="E7" s="5" t="s">
        <v>10</v>
      </c>
      <c r="F7" s="6" t="s">
        <v>11</v>
      </c>
      <c r="G7" s="5" t="s">
        <v>12</v>
      </c>
      <c r="H7" s="5" t="s">
        <v>13</v>
      </c>
      <c r="I7" s="5" t="s">
        <v>14</v>
      </c>
      <c r="J7" s="5" t="s">
        <v>15</v>
      </c>
      <c r="K7" s="7"/>
      <c r="L7" s="7"/>
      <c r="M7" s="7"/>
      <c r="N7" s="7"/>
    </row>
    <row r="8">
      <c r="A8" s="3" t="s">
        <v>16</v>
      </c>
      <c r="B8" s="8">
        <f>'AECN Rail'!A52</f>
        <v>312715.3966</v>
      </c>
      <c r="C8" s="8">
        <f>'AECN Rail'!B52</f>
        <v>1046.23504</v>
      </c>
      <c r="D8" s="9">
        <f>'AECN Rail'!C52</f>
        <v>311669.1616</v>
      </c>
      <c r="E8" s="8">
        <f>'AECN Rail'!D52</f>
        <v>4020.532185</v>
      </c>
      <c r="F8" s="9">
        <f>'AECN Rail'!E52</f>
        <v>599.9148274</v>
      </c>
      <c r="G8" s="8">
        <f>'AECN Rail'!F52</f>
        <v>307048.7146</v>
      </c>
      <c r="H8" s="8">
        <f>SUM('AECN Rail'!L32:L47)</f>
        <v>1286.225045</v>
      </c>
      <c r="I8" s="8">
        <f>SUM('AECN Rail'!M32:M47)</f>
        <v>8770.260073</v>
      </c>
      <c r="J8" s="8">
        <f>SUM('AECN Rail'!N32:N47)</f>
        <v>1372.8</v>
      </c>
    </row>
    <row r="9">
      <c r="A9" s="3" t="s">
        <v>17</v>
      </c>
      <c r="B9" s="8">
        <f>'AECN Truck'!B28</f>
        <v>0</v>
      </c>
      <c r="C9" s="8">
        <f>'AECN Truck'!F28</f>
        <v>0</v>
      </c>
      <c r="D9" s="9">
        <f>'AECN Truck'!C28</f>
        <v>0</v>
      </c>
      <c r="E9" s="8">
        <f>'AECN Truck'!D28</f>
        <v>0</v>
      </c>
      <c r="F9" s="9">
        <f>'AECN Truck'!E28</f>
        <v>0</v>
      </c>
      <c r="G9" s="8">
        <f>'AECN Truck'!G28</f>
        <v>0</v>
      </c>
    </row>
    <row r="10">
      <c r="A10" s="3" t="s">
        <v>18</v>
      </c>
      <c r="B10" s="8">
        <f>WODO!A33</f>
        <v>15480.6</v>
      </c>
      <c r="C10" s="10">
        <v>0.0</v>
      </c>
      <c r="D10" s="11">
        <f>WODO!A33</f>
        <v>15480.6</v>
      </c>
      <c r="E10" s="8">
        <f>WODO!B33</f>
        <v>76.6</v>
      </c>
      <c r="F10" s="11">
        <v>0.0</v>
      </c>
      <c r="G10" s="10">
        <f>WODO!C33</f>
        <v>15404</v>
      </c>
    </row>
    <row r="11">
      <c r="A11" s="3" t="s">
        <v>19</v>
      </c>
      <c r="B11" s="8">
        <f>Kerry!A33</f>
        <v>0</v>
      </c>
      <c r="C11" s="10">
        <v>0.0</v>
      </c>
      <c r="D11" s="11">
        <f>Kerry!A33</f>
        <v>0</v>
      </c>
      <c r="E11" s="8">
        <f>Kerry!B33</f>
        <v>0</v>
      </c>
      <c r="F11" s="11">
        <v>0.0</v>
      </c>
      <c r="G11" s="12">
        <f>Kerry!C33</f>
        <v>0</v>
      </c>
    </row>
    <row r="12">
      <c r="A12" s="3" t="s">
        <v>20</v>
      </c>
      <c r="B12" s="10">
        <f>QOWV!B53</f>
        <v>37833</v>
      </c>
      <c r="C12" s="10">
        <v>0.0</v>
      </c>
      <c r="D12" s="11">
        <f>QOWV!D53</f>
        <v>35759.4</v>
      </c>
      <c r="E12" s="10">
        <v>0.0</v>
      </c>
      <c r="F12" s="11">
        <v>0.0</v>
      </c>
      <c r="G12" s="13">
        <f>QOWV!F53</f>
        <v>31437</v>
      </c>
      <c r="I12" s="5"/>
      <c r="J12" s="7"/>
      <c r="K12" s="7"/>
      <c r="L12" s="7"/>
      <c r="M12" s="7"/>
      <c r="N12" s="7"/>
    </row>
    <row r="13">
      <c r="A13" s="3" t="s">
        <v>21</v>
      </c>
      <c r="B13" s="8">
        <f t="shared" ref="B13:J13" si="1">SUM(B8:B12)</f>
        <v>366028.9966</v>
      </c>
      <c r="C13" s="8">
        <f t="shared" si="1"/>
        <v>1046.23504</v>
      </c>
      <c r="D13" s="8">
        <f t="shared" si="1"/>
        <v>362909.1616</v>
      </c>
      <c r="E13" s="8">
        <f t="shared" si="1"/>
        <v>4097.132185</v>
      </c>
      <c r="F13" s="8">
        <f t="shared" si="1"/>
        <v>599.9148274</v>
      </c>
      <c r="G13" s="8">
        <f t="shared" si="1"/>
        <v>353889.7146</v>
      </c>
      <c r="H13" s="8">
        <f t="shared" si="1"/>
        <v>1286.225045</v>
      </c>
      <c r="I13" s="8">
        <f t="shared" si="1"/>
        <v>8770.260073</v>
      </c>
      <c r="J13" s="8">
        <f t="shared" si="1"/>
        <v>1372.8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5" t="s">
        <v>22</v>
      </c>
      <c r="B15" s="5"/>
      <c r="C15" s="5"/>
      <c r="D15" s="5"/>
      <c r="E15" s="5"/>
      <c r="F15" s="5"/>
      <c r="G15" s="5"/>
      <c r="H15" s="7"/>
      <c r="I15" s="7"/>
      <c r="J15" s="7"/>
      <c r="K15" s="7"/>
      <c r="L15" s="7"/>
      <c r="M15" s="7"/>
    </row>
    <row r="16">
      <c r="A16" s="3" t="s">
        <v>23</v>
      </c>
      <c r="B16" s="10" t="s">
        <v>12</v>
      </c>
      <c r="C16" s="3" t="s">
        <v>24</v>
      </c>
      <c r="D16" s="3" t="s">
        <v>25</v>
      </c>
      <c r="E16" s="3" t="s">
        <v>26</v>
      </c>
      <c r="F16" s="3" t="s">
        <v>27</v>
      </c>
      <c r="G16" s="3" t="s">
        <v>28</v>
      </c>
    </row>
    <row r="17">
      <c r="A17" s="3" t="s">
        <v>29</v>
      </c>
      <c r="B17" s="8">
        <f>G8+G9</f>
        <v>307048.7146</v>
      </c>
      <c r="C17" s="3" t="s">
        <v>30</v>
      </c>
      <c r="D17" s="14">
        <v>0.408</v>
      </c>
      <c r="E17" s="3"/>
      <c r="F17" s="15">
        <f t="shared" ref="F17:F18" si="2">D17*G17</f>
        <v>0.001632</v>
      </c>
      <c r="G17" s="14">
        <v>0.004</v>
      </c>
    </row>
    <row r="18">
      <c r="A18" s="3" t="s">
        <v>31</v>
      </c>
      <c r="B18" s="8">
        <f t="shared" ref="B18:B20" si="3">G10</f>
        <v>15404</v>
      </c>
      <c r="D18" s="16"/>
      <c r="F18" s="15">
        <f t="shared" si="2"/>
        <v>0</v>
      </c>
      <c r="G18" s="14">
        <v>0.004</v>
      </c>
    </row>
    <row r="19">
      <c r="A19" s="3" t="s">
        <v>19</v>
      </c>
      <c r="B19" s="8">
        <f t="shared" si="3"/>
        <v>0</v>
      </c>
      <c r="D19" s="16"/>
      <c r="F19" s="15"/>
      <c r="G19" s="14"/>
    </row>
    <row r="20">
      <c r="A20" s="3" t="s">
        <v>20</v>
      </c>
      <c r="B20" s="8">
        <f t="shared" si="3"/>
        <v>31437</v>
      </c>
      <c r="C20" s="3"/>
      <c r="D20" s="14"/>
      <c r="E20" s="5"/>
      <c r="F20" s="15">
        <f>D20*G20</f>
        <v>0</v>
      </c>
      <c r="G20" s="14">
        <v>0.004</v>
      </c>
      <c r="H20" s="7"/>
      <c r="I20" s="7"/>
      <c r="J20" s="7"/>
      <c r="K20" s="7"/>
      <c r="L20" s="7"/>
    </row>
    <row r="21">
      <c r="A21" s="3" t="s">
        <v>21</v>
      </c>
      <c r="B21" s="8">
        <f>SUM(B17:B20)</f>
        <v>353889.7146</v>
      </c>
      <c r="D21" s="16"/>
      <c r="F21" s="15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5"/>
      <c r="B23" s="5"/>
      <c r="C23" s="5"/>
      <c r="D23" s="7"/>
      <c r="E23" s="7"/>
      <c r="F23" s="5"/>
      <c r="G23" s="5" t="s">
        <v>32</v>
      </c>
      <c r="H23" s="7"/>
      <c r="I23" s="7"/>
      <c r="J23" s="7"/>
      <c r="K23" s="7"/>
      <c r="L23" s="7"/>
      <c r="M23" s="7"/>
      <c r="N23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6.0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34</v>
      </c>
      <c r="B2" s="3" t="s">
        <v>2</v>
      </c>
      <c r="N2" s="5" t="s">
        <v>35</v>
      </c>
    </row>
    <row r="3">
      <c r="A3" s="3" t="s">
        <v>3</v>
      </c>
      <c r="B3" s="4">
        <v>46179.0</v>
      </c>
      <c r="N3" s="5" t="s">
        <v>36</v>
      </c>
      <c r="O3" s="12">
        <v>2.20462</v>
      </c>
    </row>
    <row r="4">
      <c r="A4" s="3" t="s">
        <v>4</v>
      </c>
      <c r="B4" s="4">
        <v>46186.0</v>
      </c>
      <c r="N4" s="5" t="s">
        <v>37</v>
      </c>
      <c r="O4" s="12">
        <v>0.453592</v>
      </c>
    </row>
    <row r="5">
      <c r="N5" s="5" t="s">
        <v>38</v>
      </c>
      <c r="O5" s="12">
        <v>0.0129</v>
      </c>
    </row>
    <row r="6">
      <c r="N6" s="5" t="s">
        <v>39</v>
      </c>
      <c r="O6" s="3" t="s">
        <v>40</v>
      </c>
    </row>
    <row r="7">
      <c r="N7" s="3" t="s">
        <v>41</v>
      </c>
      <c r="O7" s="17">
        <f>HYPERLINK("https://docs.google.com/spreadsheets/d/16shKoa1KP34kQJyQvzclBejW9L5-ubNSqPsMOVB7zDY/edit?usp=sharing", 0.00195)</f>
        <v>0.00195</v>
      </c>
    </row>
    <row r="8">
      <c r="A8" s="1" t="s">
        <v>42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43</v>
      </c>
      <c r="O8" s="18">
        <v>3.0</v>
      </c>
      <c r="P8" s="2"/>
      <c r="Q8" s="2"/>
      <c r="R8" s="2"/>
    </row>
    <row r="9">
      <c r="A9" s="5" t="s">
        <v>44</v>
      </c>
      <c r="B9" s="5" t="s">
        <v>45</v>
      </c>
      <c r="C9" s="5" t="s">
        <v>46</v>
      </c>
      <c r="D9" s="19" t="s">
        <v>47</v>
      </c>
      <c r="E9" s="19" t="s">
        <v>48</v>
      </c>
      <c r="F9" s="5" t="s">
        <v>49</v>
      </c>
      <c r="G9" s="5" t="s">
        <v>50</v>
      </c>
      <c r="H9" s="5" t="s">
        <v>51</v>
      </c>
      <c r="I9" s="5" t="s">
        <v>52</v>
      </c>
      <c r="J9" s="5" t="s">
        <v>53</v>
      </c>
      <c r="K9" s="5" t="s">
        <v>54</v>
      </c>
      <c r="L9" s="5" t="s">
        <v>55</v>
      </c>
      <c r="M9" s="5" t="s">
        <v>56</v>
      </c>
      <c r="N9" s="5" t="s">
        <v>57</v>
      </c>
      <c r="O9" s="20">
        <v>2.0</v>
      </c>
      <c r="P9" s="7"/>
      <c r="Q9" s="7"/>
      <c r="R9" s="7"/>
    </row>
    <row r="10">
      <c r="A10" s="21" t="s">
        <v>58</v>
      </c>
      <c r="B10" s="21">
        <v>46149.0</v>
      </c>
      <c r="C10" s="3" t="s">
        <v>59</v>
      </c>
      <c r="D10" s="22">
        <v>77.73</v>
      </c>
      <c r="E10" s="22">
        <v>77730.0</v>
      </c>
      <c r="F10" s="8">
        <f t="shared" ref="F10:F13" si="1">SUMIF($C$32:$C$47,A10,$F$32:$F$47)+H10</f>
        <v>76947.34688</v>
      </c>
      <c r="G10" s="8">
        <f t="shared" ref="G10:G13" si="2">IF(AND(E10&lt;&gt;"",F10&lt;&gt;"",F10&gt;=0.95*E10),E10-F10,"")</f>
        <v>782.65312</v>
      </c>
      <c r="H10" s="12">
        <v>0.0</v>
      </c>
      <c r="I10" s="23">
        <f t="shared" ref="I10:I13" si="3">E10-H10</f>
        <v>77730</v>
      </c>
      <c r="J10" s="24">
        <v>107.5</v>
      </c>
      <c r="K10" s="24">
        <v>2199.0</v>
      </c>
      <c r="L10" s="12">
        <v>42.9</v>
      </c>
      <c r="M10" s="3" t="s">
        <v>60</v>
      </c>
    </row>
    <row r="11">
      <c r="A11" s="21" t="s">
        <v>61</v>
      </c>
      <c r="B11" s="21">
        <v>46150.0</v>
      </c>
      <c r="C11" s="3" t="s">
        <v>62</v>
      </c>
      <c r="D11" s="22">
        <v>78.14</v>
      </c>
      <c r="E11" s="22">
        <v>78140.0</v>
      </c>
      <c r="F11" s="8">
        <f t="shared" si="1"/>
        <v>78072.25504</v>
      </c>
      <c r="G11" s="8">
        <f t="shared" si="2"/>
        <v>67.74496</v>
      </c>
      <c r="H11" s="24">
        <v>0.0</v>
      </c>
      <c r="I11" s="23">
        <f t="shared" si="3"/>
        <v>78140</v>
      </c>
      <c r="J11" s="24">
        <v>107.5</v>
      </c>
      <c r="K11" s="24">
        <v>2199.0</v>
      </c>
      <c r="L11" s="12">
        <v>42.9</v>
      </c>
      <c r="M11" s="3" t="s">
        <v>60</v>
      </c>
    </row>
    <row r="12">
      <c r="A12" s="21" t="s">
        <v>63</v>
      </c>
      <c r="B12" s="21">
        <v>46153.0</v>
      </c>
      <c r="C12" s="3" t="s">
        <v>64</v>
      </c>
      <c r="D12" s="25">
        <v>78.16</v>
      </c>
      <c r="E12" s="25">
        <v>78160.0</v>
      </c>
      <c r="F12" s="26">
        <f t="shared" si="1"/>
        <v>79206.23504</v>
      </c>
      <c r="G12" s="26">
        <f t="shared" si="2"/>
        <v>-1046.23504</v>
      </c>
      <c r="H12" s="12">
        <v>0.0</v>
      </c>
      <c r="I12" s="27">
        <f t="shared" si="3"/>
        <v>78160</v>
      </c>
      <c r="J12" s="12">
        <v>107.5</v>
      </c>
      <c r="K12" s="12">
        <v>2199.0</v>
      </c>
      <c r="L12" s="12">
        <v>42.9</v>
      </c>
      <c r="M12" s="3" t="s">
        <v>65</v>
      </c>
    </row>
    <row r="13">
      <c r="A13" s="21" t="s">
        <v>66</v>
      </c>
      <c r="B13" s="21">
        <v>46155.0</v>
      </c>
      <c r="C13" s="3" t="s">
        <v>67</v>
      </c>
      <c r="D13" s="25">
        <v>78.55</v>
      </c>
      <c r="E13" s="25">
        <v>78550.0</v>
      </c>
      <c r="F13" s="26">
        <f t="shared" si="1"/>
        <v>78489.55968</v>
      </c>
      <c r="G13" s="26">
        <f t="shared" si="2"/>
        <v>60.44032</v>
      </c>
      <c r="H13" s="12">
        <v>0.0</v>
      </c>
      <c r="I13" s="27">
        <f t="shared" si="3"/>
        <v>78550</v>
      </c>
      <c r="J13" s="12">
        <v>107.5</v>
      </c>
      <c r="K13" s="12">
        <v>2199.0</v>
      </c>
      <c r="L13" s="12">
        <v>42.9</v>
      </c>
      <c r="M13" s="3" t="s">
        <v>60</v>
      </c>
    </row>
    <row r="14">
      <c r="A14" s="28"/>
      <c r="B14" s="28"/>
    </row>
    <row r="15">
      <c r="A15" s="29" t="s">
        <v>68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30" t="s">
        <v>69</v>
      </c>
      <c r="B16" s="5" t="s">
        <v>70</v>
      </c>
      <c r="C16" s="5" t="s">
        <v>44</v>
      </c>
      <c r="D16" s="31" t="s">
        <v>71</v>
      </c>
      <c r="E16" s="31" t="s">
        <v>72</v>
      </c>
      <c r="F16" s="5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>
      <c r="A17" s="21">
        <v>46149.0</v>
      </c>
      <c r="B17" s="32" t="str">
        <f>HYPERLINK("https://drive.google.com/file/d/1vg7nEvLsucGgbfDmiU8L8mW6rzpEuNIv/view","2356-R")</f>
        <v>2356-R</v>
      </c>
      <c r="C17" s="3" t="s">
        <v>58</v>
      </c>
      <c r="D17" s="33">
        <v>25.82</v>
      </c>
      <c r="E17" s="33">
        <v>25820.0</v>
      </c>
    </row>
    <row r="18">
      <c r="A18" s="21">
        <v>46149.0</v>
      </c>
      <c r="B18" s="32" t="str">
        <f>HYPERLINK("https://drive.google.com/file/d/1krKxAuH-DbXN9s5iq6PYuXSyNdBVn3n0/view","2357-R")</f>
        <v>2357-R</v>
      </c>
      <c r="C18" s="3" t="s">
        <v>58</v>
      </c>
      <c r="D18" s="33">
        <v>25.82</v>
      </c>
      <c r="E18" s="33">
        <v>25820.0</v>
      </c>
    </row>
    <row r="19">
      <c r="A19" s="21">
        <v>46149.0</v>
      </c>
      <c r="B19" s="32" t="str">
        <f>HYPERLINK("https://drive.google.com/file/d/1usMicBmGMeNx329XU1m87DieIFdOVqdE/view","2358-R")</f>
        <v>2358-R</v>
      </c>
      <c r="C19" s="3" t="s">
        <v>58</v>
      </c>
      <c r="D19" s="33">
        <v>26.09</v>
      </c>
      <c r="E19" s="33">
        <v>26090.0</v>
      </c>
    </row>
    <row r="20">
      <c r="A20" s="21">
        <v>46150.0</v>
      </c>
      <c r="B20" s="32" t="str">
        <f>HYPERLINK("https://drive.google.com/file/d/1Z2fhfX0p3Jr2mMYUZhtZ6GkBNGFinbzz/view","2365-R")</f>
        <v>2365-R</v>
      </c>
      <c r="C20" s="3" t="s">
        <v>61</v>
      </c>
      <c r="D20" s="33">
        <v>25.9</v>
      </c>
      <c r="E20" s="33">
        <v>25900.0</v>
      </c>
    </row>
    <row r="21">
      <c r="A21" s="21">
        <v>46150.0</v>
      </c>
      <c r="B21" s="32" t="str">
        <f>HYPERLINK("https://drive.google.com/file/d/17bAPK44won-kXWtPL_58jH3OjSByrbik/view","2366-R")</f>
        <v>2366-R</v>
      </c>
      <c r="C21" s="3" t="s">
        <v>61</v>
      </c>
      <c r="D21" s="33">
        <v>26.1</v>
      </c>
      <c r="E21" s="33">
        <v>26100.0</v>
      </c>
    </row>
    <row r="22">
      <c r="A22" s="21">
        <v>46150.0</v>
      </c>
      <c r="B22" s="32" t="str">
        <f>HYPERLINK("https://drive.google.com/file/d/1fykgF9gnvdeUut1QAEZtif94NzzolEZw/view","2367-R")</f>
        <v>2367-R</v>
      </c>
      <c r="C22" s="3" t="s">
        <v>61</v>
      </c>
      <c r="D22" s="33">
        <v>26.14</v>
      </c>
      <c r="E22" s="33">
        <v>26140.0</v>
      </c>
    </row>
    <row r="23">
      <c r="A23" s="21">
        <v>46153.0</v>
      </c>
      <c r="B23" s="32" t="str">
        <f>HYPERLINK("https://drive.google.com/file/d/1ozXYn6L97OjJ5I7KfrJC_gbjMiSNPDJ0/view","2371-R")</f>
        <v>2371-R</v>
      </c>
      <c r="C23" s="3" t="s">
        <v>63</v>
      </c>
      <c r="D23" s="33">
        <v>25.93</v>
      </c>
      <c r="E23" s="33">
        <v>25930.0</v>
      </c>
    </row>
    <row r="24">
      <c r="A24" s="21">
        <v>46153.0</v>
      </c>
      <c r="B24" s="32" t="str">
        <f>HYPERLINK("https://drive.google.com/file/d/1LvICkmZIUSr0ePBmKFnEJGyq8PNOto39/view","2372-R")</f>
        <v>2372-R</v>
      </c>
      <c r="C24" s="3" t="s">
        <v>63</v>
      </c>
      <c r="D24" s="33">
        <v>26.0</v>
      </c>
      <c r="E24" s="33">
        <v>26000.0</v>
      </c>
    </row>
    <row r="25">
      <c r="A25" s="21">
        <v>46153.0</v>
      </c>
      <c r="B25" s="32" t="str">
        <f>HYPERLINK("https://drive.google.com/file/d/19b5M9G8qOfJpiOWBTfgJzoF8WuBKRoWI/view","2373-R")</f>
        <v>2373-R</v>
      </c>
      <c r="C25" s="3" t="s">
        <v>63</v>
      </c>
      <c r="D25" s="33">
        <v>26.23</v>
      </c>
      <c r="E25" s="33">
        <v>26230.0</v>
      </c>
    </row>
    <row r="26">
      <c r="A26" s="34">
        <v>46155.0</v>
      </c>
      <c r="B26" s="35" t="str">
        <f>HYPERLINK("https://drive.google.com/file/d/1SA7HyJLkykR_A1usVFJ99rniIvXYoOMb/view","2374-R")</f>
        <v>2374-R</v>
      </c>
      <c r="C26" s="36" t="s">
        <v>66</v>
      </c>
      <c r="D26" s="37">
        <v>26.16</v>
      </c>
      <c r="E26" s="37">
        <v>26160.0</v>
      </c>
      <c r="F26" s="38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</row>
    <row r="27">
      <c r="A27" s="21">
        <v>46155.0</v>
      </c>
      <c r="B27" s="40" t="str">
        <f>HYPERLINK("https://drive.google.com/file/d/14iM4fibnuU_QJvb-ko1giNNRVVPxdFtU/view","2375-R")</f>
        <v>2375-R</v>
      </c>
      <c r="C27" s="3" t="s">
        <v>66</v>
      </c>
      <c r="D27" s="33">
        <v>26.2</v>
      </c>
      <c r="E27" s="33">
        <v>26200.0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7"/>
      <c r="Q27" s="7"/>
      <c r="R27" s="7"/>
    </row>
    <row r="28">
      <c r="A28" s="41">
        <v>46155.0</v>
      </c>
      <c r="B28" s="42" t="str">
        <f>HYPERLINK("https://drive.google.com/file/d/1L2NksqEFbEIjD-mNj1ZAFN2rEJuT3D-A/view","2376-R")</f>
        <v>2376-R</v>
      </c>
      <c r="C28" s="43" t="s">
        <v>66</v>
      </c>
      <c r="D28" s="44">
        <v>26.19</v>
      </c>
      <c r="E28" s="44">
        <v>26190.0</v>
      </c>
      <c r="F28" s="45"/>
      <c r="G28" s="46"/>
      <c r="H28" s="47"/>
      <c r="I28" s="47"/>
      <c r="J28" s="45"/>
      <c r="K28" s="45"/>
      <c r="L28" s="47"/>
      <c r="M28" s="47"/>
      <c r="N28" s="47"/>
      <c r="O28" s="48"/>
    </row>
    <row r="29">
      <c r="A29" s="41"/>
      <c r="B29" s="43"/>
      <c r="C29" s="43"/>
      <c r="D29" s="45"/>
      <c r="E29" s="45"/>
      <c r="F29" s="45"/>
      <c r="G29" s="46"/>
      <c r="H29" s="47"/>
      <c r="I29" s="47"/>
      <c r="J29" s="45"/>
      <c r="K29" s="47"/>
      <c r="L29" s="47"/>
      <c r="M29" s="47"/>
      <c r="N29" s="47"/>
      <c r="O29" s="48"/>
    </row>
    <row r="30">
      <c r="A30" s="49" t="s">
        <v>73</v>
      </c>
      <c r="B30" s="50"/>
      <c r="C30" s="50"/>
      <c r="D30" s="51"/>
      <c r="E30" s="52"/>
      <c r="F30" s="51"/>
      <c r="G30" s="53"/>
      <c r="H30" s="54"/>
      <c r="I30" s="54"/>
      <c r="J30" s="51"/>
      <c r="K30" s="54"/>
      <c r="L30" s="54"/>
      <c r="M30" s="54"/>
      <c r="N30" s="54"/>
      <c r="O30" s="55"/>
      <c r="P30" s="56"/>
      <c r="Q30" s="56"/>
      <c r="R30" s="56"/>
    </row>
    <row r="31">
      <c r="A31" s="41"/>
      <c r="B31" s="43"/>
      <c r="C31" s="43"/>
      <c r="D31" s="45" t="s">
        <v>74</v>
      </c>
      <c r="E31" s="45" t="s">
        <v>75</v>
      </c>
      <c r="F31" s="45" t="s">
        <v>76</v>
      </c>
      <c r="G31" s="46" t="s">
        <v>77</v>
      </c>
      <c r="H31" s="45" t="s">
        <v>10</v>
      </c>
      <c r="I31" s="45" t="s">
        <v>11</v>
      </c>
      <c r="J31" s="45" t="s">
        <v>78</v>
      </c>
      <c r="K31" s="45" t="s">
        <v>12</v>
      </c>
      <c r="L31" s="45" t="s">
        <v>79</v>
      </c>
      <c r="M31" s="45" t="s">
        <v>80</v>
      </c>
      <c r="N31" s="45" t="s">
        <v>81</v>
      </c>
    </row>
    <row r="32">
      <c r="A32" s="57">
        <v>46187.0</v>
      </c>
      <c r="B32" s="58" t="s">
        <v>82</v>
      </c>
      <c r="C32" s="58" t="s">
        <v>58</v>
      </c>
      <c r="D32" s="59">
        <f>HYPERLINK("https://drive.google.com/file/d/1IH9TQaxlB7cAC950ez_Dfmf9NfZdO411/view",80080)</f>
        <v>80080</v>
      </c>
      <c r="E32" s="59">
        <f>HYPERLINK("https://drive.google.com/file/d/1YCU7u2meB2mdPilVWgCWiEhncmN73gLE/view",28860)</f>
        <v>28860</v>
      </c>
      <c r="F32" s="60">
        <f t="shared" ref="F32:F47" si="4">(D32-E32)*$O$4</f>
        <v>23232.98224</v>
      </c>
      <c r="G32" s="61">
        <v>2.7</v>
      </c>
      <c r="H32" s="60">
        <f t="shared" ref="H32:H47" si="5">IF(F32="","",(F32-J32)*$O$5)</f>
        <v>299.7054709</v>
      </c>
      <c r="I32" s="60">
        <f t="shared" ref="I32:I47" si="6">IF(F32="","",(F32-J32)*(1-$O$5)*$O$7)</f>
        <v>44.7198897</v>
      </c>
      <c r="J32" s="60">
        <v>0.0</v>
      </c>
      <c r="K32" s="60">
        <f t="shared" ref="K32:K47" si="7">IF(F32="","",F32-H32-I32-J32)</f>
        <v>22888.55688</v>
      </c>
      <c r="L32" s="62">
        <f t="shared" ref="L32:L47" si="8">IF(F32="","",(F32-J32)/VLOOKUP(C32,$A$10:$L$13,5,FALSE)*VLOOKUP(C32,$A$10:$L$13,10,FALSE)*$O$8)</f>
        <v>96.39311427</v>
      </c>
      <c r="M32" s="62">
        <f t="shared" ref="M32:M47" si="9">IF(F32="","",(F32-J32)/VLOOKUP(C32,$A$10:$L$13,5,FALSE)*VLOOKUP(C32,$A$10:$L$13,11,FALSE))</f>
        <v>657.2665373</v>
      </c>
      <c r="N32" s="62">
        <f t="shared" ref="N32:N47" si="10">IF(F32="","",IFERROR(VLOOKUP(C32,$A$10:$L$13,12,FALSE),0)*$O$9)</f>
        <v>85.8</v>
      </c>
      <c r="O32" s="63"/>
    </row>
    <row r="33">
      <c r="A33" s="57">
        <v>46187.0</v>
      </c>
      <c r="B33" s="58" t="s">
        <v>83</v>
      </c>
      <c r="C33" s="58" t="s">
        <v>58</v>
      </c>
      <c r="D33" s="59">
        <f>HYPERLINK("https://drive.google.com/file/d/1Q3xiDM-F60Lk-gMXCyeaerJVUoerrMEG/view",78360)</f>
        <v>78360</v>
      </c>
      <c r="E33" s="59">
        <f>HYPERLINK("https://drive.google.com/file/d/1ZW96ZQkWSJgmaNw7F-2oJMxyAuzObG3k/view",29480)</f>
        <v>29480</v>
      </c>
      <c r="F33" s="60">
        <f t="shared" si="4"/>
        <v>22171.57696</v>
      </c>
      <c r="G33" s="61">
        <v>2.7</v>
      </c>
      <c r="H33" s="60">
        <f t="shared" si="5"/>
        <v>286.0133428</v>
      </c>
      <c r="I33" s="60">
        <f t="shared" si="6"/>
        <v>42.67684905</v>
      </c>
      <c r="J33" s="60">
        <v>0.0</v>
      </c>
      <c r="K33" s="60">
        <f t="shared" si="7"/>
        <v>21842.88677</v>
      </c>
      <c r="L33" s="62">
        <f t="shared" si="8"/>
        <v>91.98936794</v>
      </c>
      <c r="M33" s="62">
        <f t="shared" si="9"/>
        <v>627.2391321</v>
      </c>
      <c r="N33" s="62">
        <f t="shared" si="10"/>
        <v>85.8</v>
      </c>
      <c r="O33" s="63"/>
    </row>
    <row r="34">
      <c r="A34" s="57">
        <v>46187.0</v>
      </c>
      <c r="B34" s="58" t="s">
        <v>84</v>
      </c>
      <c r="C34" s="58" t="s">
        <v>58</v>
      </c>
      <c r="D34" s="59">
        <f>HYPERLINK("https://drive.google.com/file/d/1uyIwNTVkKeMMO6c0VvEp620peyrVP6ZO/view",75500)</f>
        <v>75500</v>
      </c>
      <c r="E34" s="59">
        <f>HYPERLINK("https://drive.google.com/file/d/1F7auZRUdT6_MkM2wC-odo2AJV7p_XW4R/view",29660)</f>
        <v>29660</v>
      </c>
      <c r="F34" s="60">
        <f t="shared" si="4"/>
        <v>20792.65728</v>
      </c>
      <c r="G34" s="61">
        <v>2.7</v>
      </c>
      <c r="H34" s="60">
        <f t="shared" si="5"/>
        <v>268.2252789</v>
      </c>
      <c r="I34" s="60">
        <f t="shared" si="6"/>
        <v>40.0226424</v>
      </c>
      <c r="J34" s="60">
        <v>0.0</v>
      </c>
      <c r="K34" s="60">
        <f t="shared" si="7"/>
        <v>20484.40936</v>
      </c>
      <c r="L34" s="62">
        <f t="shared" si="8"/>
        <v>86.26826158</v>
      </c>
      <c r="M34" s="62">
        <f t="shared" si="9"/>
        <v>588.2291697</v>
      </c>
      <c r="N34" s="62">
        <f t="shared" si="10"/>
        <v>85.8</v>
      </c>
      <c r="O34" s="63"/>
    </row>
    <row r="35">
      <c r="A35" s="57">
        <v>46187.0</v>
      </c>
      <c r="B35" s="58" t="s">
        <v>85</v>
      </c>
      <c r="C35" s="58" t="s">
        <v>58</v>
      </c>
      <c r="D35" s="64">
        <f>HYPERLINK("https://drive.google.com/file/d/1qzfbUAmmm6ldCcKCswj5_fkzL53UgWOq/view",53220)</f>
        <v>53220</v>
      </c>
      <c r="E35" s="64">
        <f>HYPERLINK("https://drive.google.com/file/d/1-ZIAfNVkLNBvBB1LgWFabzbGyydoJjRS/view",29520)</f>
        <v>29520</v>
      </c>
      <c r="F35" s="60">
        <f t="shared" si="4"/>
        <v>10750.1304</v>
      </c>
      <c r="G35" s="61">
        <v>2.7</v>
      </c>
      <c r="H35" s="62">
        <f t="shared" si="5"/>
        <v>138.6766822</v>
      </c>
      <c r="I35" s="62">
        <f t="shared" si="6"/>
        <v>20.69233475</v>
      </c>
      <c r="J35" s="62">
        <f>MAX(0,IFERROR(VLOOKUP(C35,$A$10:$L$13,6,FALSE)-VLOOKUP(C35,$A$10:$L$13,5,FALSE),0))</f>
        <v>0</v>
      </c>
      <c r="K35" s="62">
        <f t="shared" si="7"/>
        <v>10590.76138</v>
      </c>
      <c r="L35" s="62">
        <f t="shared" si="8"/>
        <v>44.60204624</v>
      </c>
      <c r="M35" s="62">
        <f t="shared" si="9"/>
        <v>304.1237199</v>
      </c>
      <c r="N35" s="62">
        <f t="shared" si="10"/>
        <v>85.8</v>
      </c>
      <c r="O35" s="65"/>
    </row>
    <row r="36">
      <c r="A36" s="57">
        <v>46187.0</v>
      </c>
      <c r="B36" s="58" t="s">
        <v>86</v>
      </c>
      <c r="C36" s="58" t="s">
        <v>61</v>
      </c>
      <c r="D36" s="64">
        <f>HYPERLINK("https://drive.google.com/file/d/1VB9Q56NO_2Hy5L0KK4dGtqe4LMtsFkQ1/view",79260)</f>
        <v>79260</v>
      </c>
      <c r="E36" s="64">
        <f>HYPERLINK("https://drive.google.com/file/d/1Mexndl2ECLx8AS9T7Z47D50pYCc0o8oi/view",29380)</f>
        <v>29380</v>
      </c>
      <c r="F36" s="60">
        <f t="shared" si="4"/>
        <v>22625.16896</v>
      </c>
      <c r="G36" s="61">
        <v>2.7</v>
      </c>
      <c r="H36" s="62">
        <f t="shared" si="5"/>
        <v>291.8646796</v>
      </c>
      <c r="I36" s="62">
        <f t="shared" si="6"/>
        <v>43.54994335</v>
      </c>
      <c r="J36" s="60">
        <v>0.0</v>
      </c>
      <c r="K36" s="62">
        <f t="shared" si="7"/>
        <v>22289.75434</v>
      </c>
      <c r="L36" s="62">
        <f t="shared" si="8"/>
        <v>93.37876874</v>
      </c>
      <c r="M36" s="62">
        <f t="shared" si="9"/>
        <v>636.7129069</v>
      </c>
      <c r="N36" s="62">
        <f t="shared" si="10"/>
        <v>85.8</v>
      </c>
      <c r="O36" s="65"/>
    </row>
    <row r="37">
      <c r="A37" s="57">
        <v>46187.0</v>
      </c>
      <c r="B37" s="58" t="s">
        <v>87</v>
      </c>
      <c r="C37" s="58" t="s">
        <v>61</v>
      </c>
      <c r="D37" s="64">
        <f>HYPERLINK("https://drive.google.com/file/d/1p5Jj_-6GS8kEbq80zJm0tJmyJ4w1FMEq/view",76020)</f>
        <v>76020</v>
      </c>
      <c r="E37" s="64">
        <f>HYPERLINK("https://drive.google.com/file/d/1grnI5djqhJl8ybrJ9Hlm252AZLz7nYdm/view",29340)</f>
        <v>29340</v>
      </c>
      <c r="F37" s="60">
        <f t="shared" si="4"/>
        <v>21173.67456</v>
      </c>
      <c r="G37" s="61">
        <v>2.7</v>
      </c>
      <c r="H37" s="62">
        <f t="shared" si="5"/>
        <v>273.1404018</v>
      </c>
      <c r="I37" s="62">
        <f t="shared" si="6"/>
        <v>40.75604161</v>
      </c>
      <c r="J37" s="60">
        <v>0.0</v>
      </c>
      <c r="K37" s="62">
        <f t="shared" si="7"/>
        <v>20859.77812</v>
      </c>
      <c r="L37" s="62">
        <f t="shared" si="8"/>
        <v>87.38815006</v>
      </c>
      <c r="M37" s="62">
        <f t="shared" si="9"/>
        <v>595.8652464</v>
      </c>
      <c r="N37" s="62">
        <f t="shared" si="10"/>
        <v>85.8</v>
      </c>
      <c r="O37" s="65"/>
    </row>
    <row r="38">
      <c r="A38" s="57">
        <v>46187.0</v>
      </c>
      <c r="B38" s="58" t="s">
        <v>88</v>
      </c>
      <c r="C38" s="58" t="s">
        <v>61</v>
      </c>
      <c r="D38" s="64">
        <f>HYPERLINK("https://drive.google.com/file/d/1j86bAOWsgD7dDKBzSb1h-KuX01ywqMVT/view",72400)</f>
        <v>72400</v>
      </c>
      <c r="E38" s="64">
        <f>HYPERLINK("https://drive.google.com/file/d/1TcDXkehTVxkuXypfDffpcbB-xNQy7ti3/view",29560)</f>
        <v>29560</v>
      </c>
      <c r="F38" s="60">
        <f t="shared" si="4"/>
        <v>19431.88128</v>
      </c>
      <c r="G38" s="61">
        <v>2.7</v>
      </c>
      <c r="H38" s="62">
        <f t="shared" si="5"/>
        <v>250.6712685</v>
      </c>
      <c r="I38" s="62">
        <f t="shared" si="6"/>
        <v>37.40335952</v>
      </c>
      <c r="J38" s="60">
        <v>0.0</v>
      </c>
      <c r="K38" s="62">
        <f t="shared" si="7"/>
        <v>19143.80665</v>
      </c>
      <c r="L38" s="62">
        <f t="shared" si="8"/>
        <v>80.19940764</v>
      </c>
      <c r="M38" s="62">
        <f t="shared" si="9"/>
        <v>546.8480539</v>
      </c>
      <c r="N38" s="62">
        <f t="shared" si="10"/>
        <v>85.8</v>
      </c>
      <c r="O38" s="65"/>
    </row>
    <row r="39">
      <c r="A39" s="57">
        <v>46187.0</v>
      </c>
      <c r="B39" s="58" t="s">
        <v>89</v>
      </c>
      <c r="C39" s="58" t="s">
        <v>61</v>
      </c>
      <c r="D39" s="64">
        <f>HYPERLINK("https://drive.google.com/file/d/1R2hdDpsNaTTjpfMgNCU0APKX1kE0218j/view",61960)</f>
        <v>61960</v>
      </c>
      <c r="E39" s="64">
        <f>HYPERLINK("https://drive.google.com/file/d/1W_nWc1sEdah-boT6M7L4whjYJ31y_wYk/view",29240)</f>
        <v>29240</v>
      </c>
      <c r="F39" s="62">
        <f t="shared" si="4"/>
        <v>14841.53024</v>
      </c>
      <c r="G39" s="61">
        <v>2.7</v>
      </c>
      <c r="H39" s="62">
        <f t="shared" si="5"/>
        <v>191.4557401</v>
      </c>
      <c r="I39" s="62">
        <f t="shared" si="6"/>
        <v>28.56764527</v>
      </c>
      <c r="J39" s="62">
        <f>MAX(0,IFERROR(VLOOKUP(C39,$A$10:$L$13,6,FALSE)-VLOOKUP(C39,$A$10:$L$13,5,FALSE),0))</f>
        <v>0</v>
      </c>
      <c r="K39" s="62">
        <f t="shared" si="7"/>
        <v>14621.50685</v>
      </c>
      <c r="L39" s="62">
        <f t="shared" si="8"/>
        <v>61.25407605</v>
      </c>
      <c r="M39" s="62">
        <f t="shared" si="9"/>
        <v>417.6673278</v>
      </c>
      <c r="N39" s="62">
        <f t="shared" si="10"/>
        <v>85.8</v>
      </c>
      <c r="O39" s="65"/>
    </row>
    <row r="40">
      <c r="A40" s="57">
        <v>46187.0</v>
      </c>
      <c r="B40" s="58" t="s">
        <v>90</v>
      </c>
      <c r="C40" s="58" t="s">
        <v>63</v>
      </c>
      <c r="D40" s="64">
        <f>HYPERLINK("https://drive.google.com/file/d/1xLRw4GeqCfikUgkMtyRXuYOXGvyEoYF8/view",80240)</f>
        <v>80240</v>
      </c>
      <c r="E40" s="64">
        <f>HYPERLINK("https://drive.google.com/file/d/1ivRr9Oc3eTI2pvzZPu2ZXTpDGxBMtW8G/view",29400)</f>
        <v>29400</v>
      </c>
      <c r="F40" s="62">
        <f t="shared" si="4"/>
        <v>23060.61728</v>
      </c>
      <c r="G40" s="61">
        <v>2.7</v>
      </c>
      <c r="H40" s="62">
        <f t="shared" si="5"/>
        <v>297.4819629</v>
      </c>
      <c r="I40" s="62">
        <f t="shared" si="6"/>
        <v>44.38811387</v>
      </c>
      <c r="J40" s="60">
        <v>0.0</v>
      </c>
      <c r="K40" s="62">
        <f t="shared" si="7"/>
        <v>22718.7472</v>
      </c>
      <c r="L40" s="62">
        <f t="shared" si="8"/>
        <v>95.15160021</v>
      </c>
      <c r="M40" s="62">
        <f t="shared" si="9"/>
        <v>648.8011438</v>
      </c>
      <c r="N40" s="62">
        <f t="shared" si="10"/>
        <v>85.8</v>
      </c>
      <c r="O40" s="65"/>
    </row>
    <row r="41">
      <c r="A41" s="57">
        <v>46187.0</v>
      </c>
      <c r="B41" s="58" t="s">
        <v>91</v>
      </c>
      <c r="C41" s="58" t="s">
        <v>63</v>
      </c>
      <c r="D41" s="64">
        <f>HYPERLINK("https://drive.google.com/file/d/1oklSTp1YbzWSlaWSE9vOtMy_Jkwu8HFe/view",79080)</f>
        <v>79080</v>
      </c>
      <c r="E41" s="64">
        <f>HYPERLINK("https://drive.google.com/file/d/1VPjcRSDkPv72Skze6G5g68EsjzcYDWhS/view",28920)</f>
        <v>28920</v>
      </c>
      <c r="F41" s="62">
        <f t="shared" si="4"/>
        <v>22752.17472</v>
      </c>
      <c r="G41" s="61">
        <v>2.7</v>
      </c>
      <c r="H41" s="66">
        <f t="shared" si="5"/>
        <v>293.5030539</v>
      </c>
      <c r="I41" s="66">
        <f t="shared" si="6"/>
        <v>43.79440975</v>
      </c>
      <c r="J41" s="67">
        <v>0.0</v>
      </c>
      <c r="K41" s="62">
        <f t="shared" si="7"/>
        <v>22414.87726</v>
      </c>
      <c r="L41" s="66">
        <f t="shared" si="8"/>
        <v>93.87891949</v>
      </c>
      <c r="M41" s="66">
        <f t="shared" si="9"/>
        <v>640.1232371</v>
      </c>
      <c r="N41" s="65">
        <f t="shared" si="10"/>
        <v>85.8</v>
      </c>
      <c r="O41" s="65"/>
    </row>
    <row r="42">
      <c r="A42" s="57">
        <v>46187.0</v>
      </c>
      <c r="B42" s="58" t="s">
        <v>92</v>
      </c>
      <c r="C42" s="58" t="s">
        <v>63</v>
      </c>
      <c r="D42" s="59">
        <f>HYPERLINK("https://drive.google.com/file/d/1poO7bqN-YTnev2HlUBvnr19hKEO9g5Nu/view",78560)</f>
        <v>78560</v>
      </c>
      <c r="E42" s="59">
        <f>HYPERLINK("https://drive.google.com/file/d/1adApkIyVEwccbck8rZ_XWqIWaukR7Jua/view",29260)</f>
        <v>29260</v>
      </c>
      <c r="F42" s="62">
        <f t="shared" si="4"/>
        <v>22362.0856</v>
      </c>
      <c r="G42" s="61">
        <v>2.7</v>
      </c>
      <c r="H42" s="66">
        <f t="shared" si="5"/>
        <v>288.4709042</v>
      </c>
      <c r="I42" s="66">
        <f t="shared" si="6"/>
        <v>43.04354866</v>
      </c>
      <c r="J42" s="67">
        <v>0.0</v>
      </c>
      <c r="K42" s="62">
        <f t="shared" si="7"/>
        <v>22030.57115</v>
      </c>
      <c r="L42" s="66">
        <f t="shared" si="8"/>
        <v>92.26935269</v>
      </c>
      <c r="M42" s="66">
        <f t="shared" si="9"/>
        <v>629.1482374</v>
      </c>
      <c r="N42" s="65">
        <f t="shared" si="10"/>
        <v>85.8</v>
      </c>
      <c r="O42" s="65"/>
      <c r="P42" s="2"/>
      <c r="Q42" s="2"/>
      <c r="R42" s="2"/>
    </row>
    <row r="43">
      <c r="A43" s="57">
        <v>46187.0</v>
      </c>
      <c r="B43" s="58" t="s">
        <v>93</v>
      </c>
      <c r="C43" s="58" t="s">
        <v>63</v>
      </c>
      <c r="D43" s="59">
        <f>HYPERLINK("https://drive.google.com/file/d/1_s1kctand-inyuY9w_BYRt9ZiEZMas4F/view",54060)</f>
        <v>54060</v>
      </c>
      <c r="E43" s="59">
        <f>HYPERLINK("https://drive.google.com/file/d/1JjmgqAJgEHTYSNdHs8X7qs0FyCUU8OGU/view",29740)</f>
        <v>29740</v>
      </c>
      <c r="F43" s="60">
        <f t="shared" si="4"/>
        <v>11031.35744</v>
      </c>
      <c r="G43" s="60">
        <v>2.7</v>
      </c>
      <c r="H43" s="68">
        <f t="shared" si="5"/>
        <v>128.808079</v>
      </c>
      <c r="I43" s="68">
        <f t="shared" si="6"/>
        <v>19.21981293</v>
      </c>
      <c r="J43" s="61">
        <f>MAX(0,IFERROR(VLOOKUP(C43,$A$10:$L$13,6,FALSE)-VLOOKUP(C43,$A$10:$L$13,5,FALSE),0))</f>
        <v>1046.23504</v>
      </c>
      <c r="K43" s="61">
        <f t="shared" si="7"/>
        <v>9837.094508</v>
      </c>
      <c r="L43" s="68">
        <f t="shared" si="8"/>
        <v>41.20012761</v>
      </c>
      <c r="M43" s="68">
        <f t="shared" si="9"/>
        <v>280.9273818</v>
      </c>
      <c r="N43" s="65">
        <f t="shared" si="10"/>
        <v>85.8</v>
      </c>
      <c r="O43" s="65"/>
      <c r="P43" s="7"/>
      <c r="Q43" s="7"/>
      <c r="R43" s="7"/>
    </row>
    <row r="44">
      <c r="A44" s="57">
        <v>46187.0</v>
      </c>
      <c r="B44" s="60" t="s">
        <v>94</v>
      </c>
      <c r="C44" s="60" t="s">
        <v>66</v>
      </c>
      <c r="D44" s="64">
        <f>HYPERLINK("https://drive.google.com/file/d/1uklFEEmdB_9m8kgN5_eI-J_p-cMlqHts/view",78440)</f>
        <v>78440</v>
      </c>
      <c r="E44" s="64">
        <f>HYPERLINK("https://drive.google.com/file/d/1JYqVS1M3xRT1NWUfkOG8z1lulCw_fWdp/view",29440)</f>
        <v>29440</v>
      </c>
      <c r="F44" s="62">
        <f t="shared" si="4"/>
        <v>22226.008</v>
      </c>
      <c r="G44" s="61">
        <v>2.7</v>
      </c>
      <c r="H44" s="66">
        <f t="shared" si="5"/>
        <v>286.7155032</v>
      </c>
      <c r="I44" s="66">
        <f t="shared" si="6"/>
        <v>42.78162037</v>
      </c>
      <c r="J44" s="61">
        <v>0.0</v>
      </c>
      <c r="K44" s="69">
        <f t="shared" si="7"/>
        <v>21896.51088</v>
      </c>
      <c r="L44" s="66">
        <f t="shared" si="8"/>
        <v>91.25254717</v>
      </c>
      <c r="M44" s="66">
        <f t="shared" si="9"/>
        <v>622.2150425</v>
      </c>
      <c r="N44" s="65">
        <f t="shared" si="10"/>
        <v>85.8</v>
      </c>
      <c r="O44" s="65"/>
    </row>
    <row r="45">
      <c r="A45" s="57">
        <v>46187.0</v>
      </c>
      <c r="B45" s="58" t="s">
        <v>95</v>
      </c>
      <c r="C45" s="58" t="s">
        <v>66</v>
      </c>
      <c r="D45" s="64">
        <f>HYPERLINK("https://drive.google.com/file/d/1a5PKMrHO82ce5vVHHTfDxiZKiCbAHsYm/view",78220)</f>
        <v>78220</v>
      </c>
      <c r="E45" s="64">
        <f>HYPERLINK("https://drive.google.com/file/d/1yNTMwvaukILUuB5xzufDeCfexC4y_Wt1/view",29160)</f>
        <v>29160</v>
      </c>
      <c r="F45" s="62">
        <f t="shared" si="4"/>
        <v>22253.22352</v>
      </c>
      <c r="G45" s="61">
        <v>2.7</v>
      </c>
      <c r="H45" s="66">
        <f t="shared" si="5"/>
        <v>287.0665834</v>
      </c>
      <c r="I45" s="66">
        <f t="shared" si="6"/>
        <v>42.83400603</v>
      </c>
      <c r="J45" s="67">
        <v>0.0</v>
      </c>
      <c r="K45" s="62">
        <f t="shared" si="7"/>
        <v>21923.32293</v>
      </c>
      <c r="L45" s="66">
        <f t="shared" si="8"/>
        <v>91.36428498</v>
      </c>
      <c r="M45" s="66">
        <f t="shared" si="9"/>
        <v>622.9769385</v>
      </c>
      <c r="N45" s="65">
        <f t="shared" si="10"/>
        <v>85.8</v>
      </c>
      <c r="O45" s="65"/>
    </row>
    <row r="46">
      <c r="A46" s="57">
        <v>46187.0</v>
      </c>
      <c r="B46" s="58" t="s">
        <v>96</v>
      </c>
      <c r="C46" s="58" t="s">
        <v>66</v>
      </c>
      <c r="D46" s="64">
        <f>HYPERLINK("https://drive.google.com/file/d/17yKeUCB4KgPpgFktu9OTnW6FL59YOK6t/view",77040)</f>
        <v>77040</v>
      </c>
      <c r="E46" s="64">
        <f>HYPERLINK("https://drive.google.com/file/d/1VhH4qEqV1mAMVuWHMIKyyNVLLyuU_aKC/view",29040)</f>
        <v>29040</v>
      </c>
      <c r="F46" s="62">
        <f t="shared" si="4"/>
        <v>21772.416</v>
      </c>
      <c r="G46" s="61">
        <v>2.7</v>
      </c>
      <c r="H46" s="66">
        <f t="shared" si="5"/>
        <v>280.8641664</v>
      </c>
      <c r="I46" s="66">
        <f t="shared" si="6"/>
        <v>41.90852608</v>
      </c>
      <c r="J46" s="67">
        <v>0.0</v>
      </c>
      <c r="K46" s="62">
        <f t="shared" si="7"/>
        <v>21449.64331</v>
      </c>
      <c r="L46" s="66">
        <f t="shared" si="8"/>
        <v>89.39025029</v>
      </c>
      <c r="M46" s="66">
        <f t="shared" si="9"/>
        <v>609.5167764</v>
      </c>
      <c r="N46" s="65">
        <f t="shared" si="10"/>
        <v>85.8</v>
      </c>
      <c r="O46" s="65"/>
    </row>
    <row r="47">
      <c r="A47" s="57">
        <v>46187.0</v>
      </c>
      <c r="B47" s="58" t="s">
        <v>97</v>
      </c>
      <c r="C47" s="58" t="s">
        <v>66</v>
      </c>
      <c r="D47" s="59">
        <f>HYPERLINK("https://drive.google.com/file/d/1lw9khs_X8-gUaDXc2sHEBaq1nzQ2hp-R/view",56600)</f>
        <v>56600</v>
      </c>
      <c r="E47" s="59">
        <f>HYPERLINK("https://drive.google.com/file/d/1yObZOtrSjSt2BuwU5pmTjhXNU7lxYWg7/view",29620)</f>
        <v>29620</v>
      </c>
      <c r="F47" s="60">
        <f t="shared" si="4"/>
        <v>12237.91216</v>
      </c>
      <c r="G47" s="61">
        <v>2.7</v>
      </c>
      <c r="H47" s="66">
        <f t="shared" si="5"/>
        <v>157.8690669</v>
      </c>
      <c r="I47" s="66">
        <f t="shared" si="6"/>
        <v>23.55608403</v>
      </c>
      <c r="J47" s="65">
        <f>MAX(0,IFERROR(VLOOKUP(C47,$A$10:$L$13,6,FALSE)-VLOOKUP(C47,$A$10:$L$13,5,FALSE),0))</f>
        <v>0</v>
      </c>
      <c r="K47" s="62">
        <f t="shared" si="7"/>
        <v>12056.48701</v>
      </c>
      <c r="L47" s="66">
        <f t="shared" si="8"/>
        <v>50.24476985</v>
      </c>
      <c r="M47" s="66">
        <f t="shared" si="9"/>
        <v>342.5992214</v>
      </c>
      <c r="N47" s="65">
        <f t="shared" si="10"/>
        <v>85.8</v>
      </c>
      <c r="O47" s="65"/>
    </row>
    <row r="48">
      <c r="A48" s="21" t="s">
        <v>98</v>
      </c>
      <c r="D48" s="8"/>
      <c r="E48" s="8"/>
      <c r="F48" s="8"/>
      <c r="G48" s="70"/>
      <c r="L48" s="8">
        <f t="shared" ref="L48:N48" si="11">SUM(L32:L47)</f>
        <v>1286.225045</v>
      </c>
      <c r="M48" s="8">
        <f t="shared" si="11"/>
        <v>8770.260073</v>
      </c>
      <c r="N48" s="8">
        <f t="shared" si="11"/>
        <v>1372.8</v>
      </c>
    </row>
    <row r="49">
      <c r="A49" s="28"/>
    </row>
    <row r="50">
      <c r="A50" s="21" t="s">
        <v>99</v>
      </c>
    </row>
    <row r="51">
      <c r="A51" s="21" t="s">
        <v>100</v>
      </c>
      <c r="B51" s="3" t="s">
        <v>101</v>
      </c>
      <c r="C51" s="3" t="s">
        <v>102</v>
      </c>
      <c r="D51" s="3" t="s">
        <v>10</v>
      </c>
      <c r="E51" s="3" t="s">
        <v>11</v>
      </c>
      <c r="F51" s="3" t="s">
        <v>12</v>
      </c>
      <c r="G51" s="3" t="s">
        <v>77</v>
      </c>
      <c r="H51" s="3" t="s">
        <v>103</v>
      </c>
      <c r="M51" s="3" t="s">
        <v>104</v>
      </c>
    </row>
    <row r="52">
      <c r="A52" s="26">
        <f>SUM(F32:F47)</f>
        <v>312715.3966</v>
      </c>
      <c r="B52" s="8">
        <f>SUM(J32:J47)</f>
        <v>1046.23504</v>
      </c>
      <c r="C52" s="26">
        <f>A52-B52</f>
        <v>311669.1616</v>
      </c>
      <c r="D52" s="8">
        <f t="shared" ref="D52:E52" si="12">SUM(H32:H47)</f>
        <v>4020.532185</v>
      </c>
      <c r="E52" s="8">
        <f t="shared" si="12"/>
        <v>599.9148274</v>
      </c>
      <c r="F52" s="8">
        <f>SUM(K32:K47)</f>
        <v>307048.7146</v>
      </c>
      <c r="G52" s="27">
        <f>IFERROR(AVERAGE(G32:G47),"")</f>
        <v>2.7</v>
      </c>
      <c r="H52" s="27">
        <f>IFERROR(SUMPRODUCT(K32:K47,O32:O47)/SUM(K32:K47),"")</f>
        <v>0</v>
      </c>
      <c r="M52" s="27" t="str">
        <f>IFERROR(__xludf.DUMMYFUNCTION("TRIM(TEXTJOIN("", "",TRUE,IFERROR(FILTER(B17:B28,B17:B28&lt;&gt;""""),"""")))"),"2356-R, 2357-R, 2358-R, 2365-R, 2366-R, 2367-R, 2371-R, 2372-R, 2373-R, 2374-R, 2375-R, 2376-R")</f>
        <v>2356-R, 2357-R, 2358-R, 2365-R, 2366-R, 2367-R, 2371-R, 2372-R, 2373-R, 2374-R, 2375-R, 2376-R</v>
      </c>
    </row>
    <row r="53">
      <c r="A53" s="28"/>
    </row>
    <row r="54">
      <c r="A54" s="28"/>
    </row>
    <row r="55">
      <c r="A55" s="28"/>
    </row>
    <row r="56">
      <c r="A56" s="28"/>
    </row>
    <row r="57">
      <c r="A57" s="28"/>
    </row>
    <row r="58">
      <c r="A58" s="28"/>
    </row>
    <row r="59">
      <c r="A59" s="28"/>
    </row>
    <row r="60">
      <c r="A60" s="2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34</v>
      </c>
      <c r="B2" s="3" t="s">
        <v>2</v>
      </c>
      <c r="K2" s="5" t="s">
        <v>35</v>
      </c>
    </row>
    <row r="3">
      <c r="A3" s="3" t="s">
        <v>3</v>
      </c>
      <c r="B3" s="4">
        <v>46179.0</v>
      </c>
      <c r="K3" s="5" t="s">
        <v>36</v>
      </c>
      <c r="L3" s="12">
        <v>2.20462</v>
      </c>
    </row>
    <row r="4">
      <c r="A4" s="3" t="s">
        <v>4</v>
      </c>
      <c r="B4" s="4">
        <v>46186.0</v>
      </c>
      <c r="K4" s="5" t="s">
        <v>37</v>
      </c>
      <c r="L4" s="12">
        <v>0.453592</v>
      </c>
    </row>
    <row r="5">
      <c r="K5" s="5" t="s">
        <v>38</v>
      </c>
      <c r="L5" s="12">
        <v>0.0129</v>
      </c>
    </row>
    <row r="6">
      <c r="K6" s="5" t="s">
        <v>39</v>
      </c>
      <c r="L6" s="3" t="s">
        <v>40</v>
      </c>
    </row>
    <row r="8">
      <c r="A8" s="1" t="s">
        <v>106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71"/>
      <c r="B9" s="72" t="s">
        <v>107</v>
      </c>
      <c r="D9" s="72" t="s">
        <v>108</v>
      </c>
      <c r="F9" s="72" t="s">
        <v>109</v>
      </c>
      <c r="G9" s="71"/>
      <c r="H9" s="71"/>
      <c r="I9" s="71"/>
      <c r="J9" s="73"/>
      <c r="K9" s="7"/>
      <c r="L9" s="7"/>
      <c r="M9" s="7"/>
    </row>
    <row r="10">
      <c r="A10" s="72" t="s">
        <v>110</v>
      </c>
      <c r="B10" s="72" t="s">
        <v>111</v>
      </c>
      <c r="C10" s="74" t="s">
        <v>112</v>
      </c>
      <c r="D10" s="74" t="s">
        <v>113</v>
      </c>
      <c r="E10" s="74" t="s">
        <v>114</v>
      </c>
      <c r="F10" s="74" t="s">
        <v>115</v>
      </c>
      <c r="G10" s="75" t="s">
        <v>116</v>
      </c>
      <c r="H10" s="76" t="s">
        <v>117</v>
      </c>
      <c r="I10" s="71" t="s">
        <v>118</v>
      </c>
      <c r="J10" s="71" t="s">
        <v>119</v>
      </c>
    </row>
    <row r="11">
      <c r="A11" s="77">
        <v>301007.0</v>
      </c>
      <c r="B11" s="10">
        <v>1129.0</v>
      </c>
      <c r="C11" s="10">
        <v>57.6</v>
      </c>
      <c r="D11" s="8">
        <f t="shared" ref="D11:D24" si="1">B11-C11</f>
        <v>1071.4</v>
      </c>
      <c r="E11" s="22">
        <v>64.0</v>
      </c>
      <c r="F11" s="8">
        <f t="shared" ref="F11:F24" si="2">IF(E11="","",B11-E11)</f>
        <v>1065</v>
      </c>
      <c r="G11" s="78" t="s">
        <v>120</v>
      </c>
      <c r="H11" s="79">
        <v>0.9611014945192747</v>
      </c>
      <c r="I11" s="8">
        <f t="shared" ref="I11:I24" si="3">H11*D11</f>
        <v>1029.724141</v>
      </c>
      <c r="J11" s="80">
        <f t="shared" ref="J11:J24" si="4">2.5*$L$4</f>
        <v>1.13398</v>
      </c>
    </row>
    <row r="12">
      <c r="A12" s="77">
        <v>301023.0</v>
      </c>
      <c r="B12" s="10">
        <v>1194.0</v>
      </c>
      <c r="C12" s="10">
        <v>57.6</v>
      </c>
      <c r="D12" s="8">
        <f t="shared" si="1"/>
        <v>1136.4</v>
      </c>
      <c r="E12" s="22">
        <v>61.5</v>
      </c>
      <c r="F12" s="8">
        <f t="shared" si="2"/>
        <v>1132.5</v>
      </c>
      <c r="G12" s="78" t="s">
        <v>121</v>
      </c>
      <c r="H12" s="79">
        <v>0.9611014945192747</v>
      </c>
      <c r="I12" s="8">
        <f t="shared" si="3"/>
        <v>1092.195738</v>
      </c>
      <c r="J12" s="80">
        <f t="shared" si="4"/>
        <v>1.13398</v>
      </c>
    </row>
    <row r="13">
      <c r="A13" s="77">
        <v>301033.0</v>
      </c>
      <c r="B13" s="10">
        <v>1192.0</v>
      </c>
      <c r="C13" s="10">
        <v>57.6</v>
      </c>
      <c r="D13" s="8">
        <f t="shared" si="1"/>
        <v>1134.4</v>
      </c>
      <c r="E13" s="22">
        <v>66.5</v>
      </c>
      <c r="F13" s="8">
        <f t="shared" si="2"/>
        <v>1125.5</v>
      </c>
      <c r="G13" s="78" t="s">
        <v>122</v>
      </c>
      <c r="H13" s="79">
        <v>0.9611014945192747</v>
      </c>
      <c r="I13" s="8">
        <f t="shared" si="3"/>
        <v>1090.273535</v>
      </c>
      <c r="J13" s="80">
        <f t="shared" si="4"/>
        <v>1.13398</v>
      </c>
    </row>
    <row r="14">
      <c r="A14" s="77">
        <v>301058.0</v>
      </c>
      <c r="B14" s="10">
        <v>1200.0</v>
      </c>
      <c r="C14" s="10">
        <v>57.6</v>
      </c>
      <c r="D14" s="8">
        <f t="shared" si="1"/>
        <v>1142.4</v>
      </c>
      <c r="E14" s="22">
        <v>61.0</v>
      </c>
      <c r="F14" s="8">
        <f t="shared" si="2"/>
        <v>1139</v>
      </c>
      <c r="G14" s="78" t="s">
        <v>123</v>
      </c>
      <c r="H14" s="79">
        <v>0.7900645329689984</v>
      </c>
      <c r="I14" s="8">
        <f t="shared" si="3"/>
        <v>902.5697225</v>
      </c>
      <c r="J14" s="80">
        <f t="shared" si="4"/>
        <v>1.13398</v>
      </c>
    </row>
    <row r="15">
      <c r="A15" s="77">
        <v>301066.0</v>
      </c>
      <c r="B15" s="10">
        <v>1147.0</v>
      </c>
      <c r="C15" s="10">
        <v>57.6</v>
      </c>
      <c r="D15" s="8">
        <f t="shared" si="1"/>
        <v>1089.4</v>
      </c>
      <c r="E15" s="22">
        <v>70.0</v>
      </c>
      <c r="F15" s="8">
        <f t="shared" si="2"/>
        <v>1077</v>
      </c>
      <c r="G15" s="78" t="s">
        <v>124</v>
      </c>
      <c r="H15" s="79">
        <v>0.7900645329689984</v>
      </c>
      <c r="I15" s="8">
        <f t="shared" si="3"/>
        <v>860.6963022</v>
      </c>
      <c r="J15" s="80">
        <f t="shared" si="4"/>
        <v>1.13398</v>
      </c>
    </row>
    <row r="16">
      <c r="A16" s="77">
        <v>301090.0</v>
      </c>
      <c r="B16" s="10">
        <v>1124.0</v>
      </c>
      <c r="C16" s="10">
        <v>57.6</v>
      </c>
      <c r="D16" s="8">
        <f t="shared" si="1"/>
        <v>1066.4</v>
      </c>
      <c r="E16" s="22">
        <v>54.0</v>
      </c>
      <c r="F16" s="8">
        <f t="shared" si="2"/>
        <v>1070</v>
      </c>
      <c r="G16" s="78" t="s">
        <v>125</v>
      </c>
      <c r="H16" s="79">
        <v>0.9611014945192747</v>
      </c>
      <c r="I16" s="8">
        <f t="shared" si="3"/>
        <v>1024.918634</v>
      </c>
      <c r="J16" s="80">
        <f t="shared" si="4"/>
        <v>1.13398</v>
      </c>
    </row>
    <row r="17">
      <c r="A17" s="77">
        <v>301098.0</v>
      </c>
      <c r="B17" s="10">
        <v>1172.0</v>
      </c>
      <c r="C17" s="10">
        <v>57.6</v>
      </c>
      <c r="D17" s="8">
        <f t="shared" si="1"/>
        <v>1114.4</v>
      </c>
      <c r="E17" s="22">
        <v>59.0</v>
      </c>
      <c r="F17" s="8">
        <f t="shared" si="2"/>
        <v>1113</v>
      </c>
      <c r="G17" s="78" t="s">
        <v>126</v>
      </c>
      <c r="H17" s="79">
        <v>0.9611014945192747</v>
      </c>
      <c r="I17" s="8">
        <f t="shared" si="3"/>
        <v>1071.051505</v>
      </c>
      <c r="J17" s="80">
        <f t="shared" si="4"/>
        <v>1.13398</v>
      </c>
    </row>
    <row r="18">
      <c r="A18" s="77">
        <v>301109.0</v>
      </c>
      <c r="B18" s="10">
        <v>1162.0</v>
      </c>
      <c r="C18" s="10">
        <v>57.6</v>
      </c>
      <c r="D18" s="8">
        <f t="shared" si="1"/>
        <v>1104.4</v>
      </c>
      <c r="E18" s="22">
        <v>69.0</v>
      </c>
      <c r="F18" s="8">
        <f t="shared" si="2"/>
        <v>1093</v>
      </c>
      <c r="G18" s="78" t="s">
        <v>127</v>
      </c>
      <c r="H18" s="79">
        <v>0.9611014945192747</v>
      </c>
      <c r="I18" s="8">
        <f t="shared" si="3"/>
        <v>1061.440491</v>
      </c>
      <c r="J18" s="80">
        <f t="shared" si="4"/>
        <v>1.13398</v>
      </c>
    </row>
    <row r="19">
      <c r="A19" s="77">
        <v>301113.0</v>
      </c>
      <c r="B19" s="10">
        <v>1196.0</v>
      </c>
      <c r="C19" s="10">
        <v>57.6</v>
      </c>
      <c r="D19" s="8">
        <f t="shared" si="1"/>
        <v>1138.4</v>
      </c>
      <c r="E19" s="22">
        <v>62.5</v>
      </c>
      <c r="F19" s="8">
        <f t="shared" si="2"/>
        <v>1133.5</v>
      </c>
      <c r="G19" s="78" t="s">
        <v>128</v>
      </c>
      <c r="H19" s="79">
        <v>0.9611014945192747</v>
      </c>
      <c r="I19" s="8">
        <f t="shared" si="3"/>
        <v>1094.117941</v>
      </c>
      <c r="J19" s="80">
        <f t="shared" si="4"/>
        <v>1.13398</v>
      </c>
    </row>
    <row r="20">
      <c r="A20" s="77">
        <v>301124.0</v>
      </c>
      <c r="B20" s="10">
        <v>1180.0</v>
      </c>
      <c r="C20" s="10">
        <v>57.6</v>
      </c>
      <c r="D20" s="8">
        <f t="shared" si="1"/>
        <v>1122.4</v>
      </c>
      <c r="E20" s="22">
        <v>65.5</v>
      </c>
      <c r="F20" s="8">
        <f t="shared" si="2"/>
        <v>1114.5</v>
      </c>
      <c r="G20" s="78" t="s">
        <v>129</v>
      </c>
      <c r="H20" s="79">
        <v>0.9611014945192747</v>
      </c>
      <c r="I20" s="8">
        <f t="shared" si="3"/>
        <v>1078.740317</v>
      </c>
      <c r="J20" s="80">
        <f t="shared" si="4"/>
        <v>1.13398</v>
      </c>
    </row>
    <row r="21">
      <c r="A21" s="77">
        <v>301125.0</v>
      </c>
      <c r="B21" s="10">
        <v>1183.0</v>
      </c>
      <c r="C21" s="10">
        <v>57.6</v>
      </c>
      <c r="D21" s="8">
        <f t="shared" si="1"/>
        <v>1125.4</v>
      </c>
      <c r="E21" s="22">
        <v>59.5</v>
      </c>
      <c r="F21" s="8">
        <f t="shared" si="2"/>
        <v>1123.5</v>
      </c>
      <c r="G21" s="78" t="s">
        <v>130</v>
      </c>
      <c r="H21" s="79">
        <v>0.9611014945192747</v>
      </c>
      <c r="I21" s="8">
        <f t="shared" si="3"/>
        <v>1081.623622</v>
      </c>
      <c r="J21" s="80">
        <f t="shared" si="4"/>
        <v>1.13398</v>
      </c>
    </row>
    <row r="22">
      <c r="A22" s="77">
        <v>301127.0</v>
      </c>
      <c r="B22" s="10">
        <v>1138.0</v>
      </c>
      <c r="C22" s="10">
        <v>57.6</v>
      </c>
      <c r="D22" s="8">
        <f t="shared" si="1"/>
        <v>1080.4</v>
      </c>
      <c r="E22" s="22">
        <v>61.5</v>
      </c>
      <c r="F22" s="8">
        <f t="shared" si="2"/>
        <v>1076.5</v>
      </c>
      <c r="G22" s="78" t="s">
        <v>131</v>
      </c>
      <c r="H22" s="79">
        <v>0.9611014945192747</v>
      </c>
      <c r="I22" s="8">
        <f t="shared" si="3"/>
        <v>1038.374055</v>
      </c>
      <c r="J22" s="80">
        <f t="shared" si="4"/>
        <v>1.13398</v>
      </c>
    </row>
    <row r="23">
      <c r="A23" s="77">
        <v>301146.0</v>
      </c>
      <c r="B23" s="10">
        <v>1165.0</v>
      </c>
      <c r="C23" s="10">
        <v>57.6</v>
      </c>
      <c r="D23" s="8">
        <f t="shared" si="1"/>
        <v>1107.4</v>
      </c>
      <c r="E23" s="22">
        <v>67.0</v>
      </c>
      <c r="F23" s="8">
        <f t="shared" si="2"/>
        <v>1098</v>
      </c>
      <c r="G23" s="78" t="s">
        <v>132</v>
      </c>
      <c r="H23" s="79">
        <v>0.9611014945192747</v>
      </c>
      <c r="I23" s="8">
        <f t="shared" si="3"/>
        <v>1064.323795</v>
      </c>
      <c r="J23" s="80">
        <f t="shared" si="4"/>
        <v>1.13398</v>
      </c>
    </row>
    <row r="24">
      <c r="A24" s="77">
        <v>301183.0</v>
      </c>
      <c r="B24" s="10">
        <v>1105.0</v>
      </c>
      <c r="C24" s="10">
        <v>57.6</v>
      </c>
      <c r="D24" s="8">
        <f t="shared" si="1"/>
        <v>1047.4</v>
      </c>
      <c r="E24" s="22">
        <v>62.0</v>
      </c>
      <c r="F24" s="8">
        <f t="shared" si="2"/>
        <v>1043</v>
      </c>
      <c r="G24" s="78" t="s">
        <v>133</v>
      </c>
      <c r="H24" s="79">
        <v>0.9611014945192747</v>
      </c>
      <c r="I24" s="8">
        <f t="shared" si="3"/>
        <v>1006.657705</v>
      </c>
      <c r="J24" s="80">
        <f t="shared" si="4"/>
        <v>1.13398</v>
      </c>
    </row>
    <row r="25">
      <c r="C25" s="8"/>
      <c r="D25" s="8"/>
      <c r="E25" s="81"/>
      <c r="F25" s="8"/>
      <c r="G25" s="82"/>
      <c r="H25" s="70"/>
    </row>
    <row r="26">
      <c r="B26" s="8">
        <f>SUM(B11:B24)</f>
        <v>16287</v>
      </c>
      <c r="C26" s="8"/>
      <c r="D26" s="8">
        <f t="shared" ref="D26:F26" si="5">SUM(D9:D24)</f>
        <v>15480.6</v>
      </c>
      <c r="E26" s="81">
        <f t="shared" si="5"/>
        <v>883</v>
      </c>
      <c r="F26" s="8">
        <f t="shared" si="5"/>
        <v>15404</v>
      </c>
      <c r="G26" s="82"/>
      <c r="H26" s="83">
        <f>I26/D26</f>
        <v>0.9364435167</v>
      </c>
      <c r="I26" s="27">
        <f t="shared" ref="I26:J26" si="6">SUM(I9:I24)</f>
        <v>14496.70751</v>
      </c>
      <c r="J26" s="27">
        <f t="shared" si="6"/>
        <v>15.87572</v>
      </c>
    </row>
    <row r="27">
      <c r="C27" s="8"/>
      <c r="D27" s="8"/>
      <c r="E27" s="81"/>
      <c r="F27" s="8"/>
      <c r="G27" s="82"/>
      <c r="H27" s="70"/>
    </row>
    <row r="28">
      <c r="C28" s="8"/>
      <c r="D28" s="8"/>
      <c r="E28" s="81"/>
      <c r="F28" s="8"/>
      <c r="G28" s="82"/>
      <c r="H28" s="70"/>
    </row>
    <row r="29">
      <c r="C29" s="8"/>
      <c r="D29" s="8"/>
      <c r="E29" s="81"/>
      <c r="F29" s="8"/>
      <c r="G29" s="82"/>
      <c r="H29" s="70"/>
    </row>
    <row r="30">
      <c r="C30" s="8"/>
      <c r="D30" s="8"/>
      <c r="E30" s="8"/>
      <c r="F30" s="8"/>
      <c r="G30" s="82"/>
      <c r="H30" s="70"/>
    </row>
    <row r="31">
      <c r="A31" s="1" t="s">
        <v>134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5" t="s">
        <v>135</v>
      </c>
      <c r="B32" s="5" t="s">
        <v>50</v>
      </c>
      <c r="C32" s="5" t="s">
        <v>136</v>
      </c>
      <c r="D32" s="5" t="s">
        <v>137</v>
      </c>
      <c r="E32" s="5"/>
      <c r="F32" s="5"/>
      <c r="G32" s="5"/>
      <c r="H32" s="7"/>
      <c r="I32" s="7"/>
      <c r="J32" s="7"/>
      <c r="K32" s="7"/>
      <c r="L32" s="7"/>
      <c r="M32" s="7"/>
      <c r="N32" s="7"/>
    </row>
    <row r="33">
      <c r="A33" s="8">
        <f>SUM(D11:D24)</f>
        <v>15480.6</v>
      </c>
      <c r="B33" s="8">
        <f>A33-C33</f>
        <v>76.6</v>
      </c>
      <c r="C33" s="8">
        <f>SUM(F11:F24)</f>
        <v>15404</v>
      </c>
      <c r="D33" s="8">
        <f>SUM(I11:I24)</f>
        <v>14496.70751</v>
      </c>
      <c r="E33" s="70"/>
      <c r="F33" s="70"/>
    </row>
  </sheetData>
  <mergeCells count="2">
    <mergeCell ref="B9:C9"/>
    <mergeCell ref="D9:E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138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34</v>
      </c>
      <c r="B2" s="3" t="s">
        <v>2</v>
      </c>
      <c r="K2" s="5" t="s">
        <v>35</v>
      </c>
    </row>
    <row r="3">
      <c r="A3" s="3" t="s">
        <v>3</v>
      </c>
      <c r="B3" s="4">
        <v>46179.0</v>
      </c>
      <c r="K3" s="5" t="s">
        <v>36</v>
      </c>
      <c r="L3" s="12">
        <v>2.20462</v>
      </c>
    </row>
    <row r="4">
      <c r="A4" s="3" t="s">
        <v>4</v>
      </c>
      <c r="B4" s="4">
        <v>46186.0</v>
      </c>
      <c r="K4" s="5" t="s">
        <v>37</v>
      </c>
      <c r="L4" s="12">
        <v>0.453592</v>
      </c>
    </row>
    <row r="5">
      <c r="K5" s="5" t="s">
        <v>38</v>
      </c>
      <c r="L5" s="12">
        <v>0.0129</v>
      </c>
    </row>
    <row r="6">
      <c r="K6" s="5" t="s">
        <v>39</v>
      </c>
      <c r="L6" s="3" t="s">
        <v>40</v>
      </c>
    </row>
    <row r="7">
      <c r="K7" s="3" t="s">
        <v>41</v>
      </c>
      <c r="L7" s="84">
        <f>HYPERLINK("https://docs.google.com/spreadsheets/d/16shKoa1KP34kQJyQvzclBejW9L5-ubNSqPsMOVB7zDY/edit?usp=sharing", 0.00195)</f>
        <v>0.00195</v>
      </c>
    </row>
    <row r="8">
      <c r="A8" s="1" t="s">
        <v>139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" t="s">
        <v>69</v>
      </c>
      <c r="B9" s="5" t="s">
        <v>140</v>
      </c>
      <c r="C9" s="19" t="s">
        <v>71</v>
      </c>
      <c r="D9" s="19" t="s">
        <v>72</v>
      </c>
      <c r="E9" s="5" t="s">
        <v>141</v>
      </c>
      <c r="F9" s="5" t="s">
        <v>142</v>
      </c>
      <c r="G9" s="19" t="s">
        <v>143</v>
      </c>
      <c r="H9" s="5" t="s">
        <v>77</v>
      </c>
      <c r="I9" s="5" t="s">
        <v>56</v>
      </c>
      <c r="J9" s="5" t="s">
        <v>10</v>
      </c>
      <c r="K9" s="5" t="s">
        <v>11</v>
      </c>
      <c r="L9" s="5" t="s">
        <v>12</v>
      </c>
      <c r="M9" s="5" t="s">
        <v>103</v>
      </c>
      <c r="N9" s="7"/>
    </row>
    <row r="10">
      <c r="A10" s="21"/>
      <c r="B10" s="28"/>
      <c r="C10" s="22"/>
      <c r="D10" s="22"/>
      <c r="E10" s="8"/>
      <c r="F10" s="8"/>
      <c r="G10" s="22"/>
      <c r="H10" s="70"/>
      <c r="J10" s="27" t="str">
        <f t="shared" ref="J10:J24" si="1">IF(D10="","",D10*$L$5)</f>
        <v/>
      </c>
      <c r="K10" s="27" t="str">
        <f t="shared" ref="K10:K24" si="2">IF(D10="","",(D10-J10)*$L$7)</f>
        <v/>
      </c>
      <c r="L10" s="27" t="str">
        <f t="shared" ref="L10:L24" si="3">IF(D10="","",D10-J10-K10)</f>
        <v/>
      </c>
    </row>
    <row r="11">
      <c r="A11" s="21"/>
      <c r="B11" s="28"/>
      <c r="C11" s="22"/>
      <c r="D11" s="22"/>
      <c r="E11" s="8"/>
      <c r="F11" s="8"/>
      <c r="G11" s="22"/>
      <c r="H11" s="70"/>
      <c r="J11" s="27" t="str">
        <f t="shared" si="1"/>
        <v/>
      </c>
      <c r="K11" s="27" t="str">
        <f t="shared" si="2"/>
        <v/>
      </c>
      <c r="L11" s="27" t="str">
        <f t="shared" si="3"/>
        <v/>
      </c>
    </row>
    <row r="12">
      <c r="A12" s="21"/>
      <c r="B12" s="28"/>
      <c r="C12" s="22"/>
      <c r="D12" s="22"/>
      <c r="E12" s="8"/>
      <c r="F12" s="8"/>
      <c r="G12" s="22"/>
      <c r="H12" s="70"/>
      <c r="J12" s="27" t="str">
        <f t="shared" si="1"/>
        <v/>
      </c>
      <c r="K12" s="27" t="str">
        <f t="shared" si="2"/>
        <v/>
      </c>
      <c r="L12" s="27" t="str">
        <f t="shared" si="3"/>
        <v/>
      </c>
    </row>
    <row r="13">
      <c r="A13" s="21"/>
      <c r="B13" s="28"/>
      <c r="C13" s="22"/>
      <c r="D13" s="22"/>
      <c r="E13" s="8"/>
      <c r="F13" s="8"/>
      <c r="G13" s="22"/>
      <c r="H13" s="70"/>
      <c r="J13" s="27" t="str">
        <f t="shared" si="1"/>
        <v/>
      </c>
      <c r="K13" s="27" t="str">
        <f t="shared" si="2"/>
        <v/>
      </c>
      <c r="L13" s="27" t="str">
        <f t="shared" si="3"/>
        <v/>
      </c>
    </row>
    <row r="14">
      <c r="A14" s="21"/>
      <c r="B14" s="28"/>
      <c r="C14" s="22"/>
      <c r="D14" s="22"/>
      <c r="E14" s="8"/>
      <c r="F14" s="8"/>
      <c r="G14" s="22"/>
      <c r="H14" s="70"/>
      <c r="J14" s="27" t="str">
        <f t="shared" si="1"/>
        <v/>
      </c>
      <c r="K14" s="27" t="str">
        <f t="shared" si="2"/>
        <v/>
      </c>
      <c r="L14" s="27" t="str">
        <f t="shared" si="3"/>
        <v/>
      </c>
    </row>
    <row r="15">
      <c r="A15" s="21"/>
      <c r="C15" s="22"/>
      <c r="D15" s="22"/>
      <c r="E15" s="8"/>
      <c r="F15" s="8"/>
      <c r="G15" s="22"/>
      <c r="H15" s="70"/>
      <c r="J15" s="27" t="str">
        <f t="shared" si="1"/>
        <v/>
      </c>
      <c r="K15" s="27" t="str">
        <f t="shared" si="2"/>
        <v/>
      </c>
      <c r="L15" s="27" t="str">
        <f t="shared" si="3"/>
        <v/>
      </c>
    </row>
    <row r="16">
      <c r="A16" s="28"/>
      <c r="C16" s="81"/>
      <c r="D16" s="81"/>
      <c r="E16" s="8"/>
      <c r="F16" s="8"/>
      <c r="G16" s="81"/>
      <c r="H16" s="70"/>
      <c r="J16" s="27" t="str">
        <f t="shared" si="1"/>
        <v/>
      </c>
      <c r="K16" s="27" t="str">
        <f t="shared" si="2"/>
        <v/>
      </c>
      <c r="L16" s="27" t="str">
        <f t="shared" si="3"/>
        <v/>
      </c>
    </row>
    <row r="17">
      <c r="A17" s="28"/>
      <c r="C17" s="81"/>
      <c r="D17" s="81"/>
      <c r="E17" s="8"/>
      <c r="F17" s="8"/>
      <c r="G17" s="81"/>
      <c r="H17" s="70"/>
      <c r="J17" s="27" t="str">
        <f t="shared" si="1"/>
        <v/>
      </c>
      <c r="K17" s="27" t="str">
        <f t="shared" si="2"/>
        <v/>
      </c>
      <c r="L17" s="27" t="str">
        <f t="shared" si="3"/>
        <v/>
      </c>
    </row>
    <row r="18">
      <c r="A18" s="28"/>
      <c r="C18" s="81"/>
      <c r="D18" s="81"/>
      <c r="E18" s="8"/>
      <c r="F18" s="8"/>
      <c r="G18" s="81"/>
      <c r="H18" s="70"/>
      <c r="J18" s="27" t="str">
        <f t="shared" si="1"/>
        <v/>
      </c>
      <c r="K18" s="27" t="str">
        <f t="shared" si="2"/>
        <v/>
      </c>
      <c r="L18" s="27" t="str">
        <f t="shared" si="3"/>
        <v/>
      </c>
    </row>
    <row r="19">
      <c r="A19" s="28"/>
      <c r="C19" s="81"/>
      <c r="D19" s="81"/>
      <c r="E19" s="8"/>
      <c r="F19" s="8"/>
      <c r="G19" s="81"/>
      <c r="H19" s="70"/>
      <c r="J19" s="27" t="str">
        <f t="shared" si="1"/>
        <v/>
      </c>
      <c r="K19" s="27" t="str">
        <f t="shared" si="2"/>
        <v/>
      </c>
      <c r="L19" s="27" t="str">
        <f t="shared" si="3"/>
        <v/>
      </c>
    </row>
    <row r="20">
      <c r="A20" s="28"/>
      <c r="C20" s="81"/>
      <c r="D20" s="81"/>
      <c r="E20" s="8"/>
      <c r="F20" s="8"/>
      <c r="G20" s="81"/>
      <c r="H20" s="70"/>
      <c r="J20" s="27" t="str">
        <f t="shared" si="1"/>
        <v/>
      </c>
      <c r="K20" s="27" t="str">
        <f t="shared" si="2"/>
        <v/>
      </c>
      <c r="L20" s="27" t="str">
        <f t="shared" si="3"/>
        <v/>
      </c>
    </row>
    <row r="21">
      <c r="A21" s="28"/>
      <c r="C21" s="81"/>
      <c r="D21" s="81"/>
      <c r="E21" s="8"/>
      <c r="F21" s="8"/>
      <c r="G21" s="81"/>
      <c r="H21" s="70"/>
      <c r="J21" s="27" t="str">
        <f t="shared" si="1"/>
        <v/>
      </c>
      <c r="K21" s="27" t="str">
        <f t="shared" si="2"/>
        <v/>
      </c>
      <c r="L21" s="27" t="str">
        <f t="shared" si="3"/>
        <v/>
      </c>
    </row>
    <row r="22">
      <c r="A22" s="28"/>
      <c r="C22" s="81"/>
      <c r="D22" s="81"/>
      <c r="E22" s="8"/>
      <c r="F22" s="8"/>
      <c r="G22" s="81"/>
      <c r="H22" s="70"/>
      <c r="J22" s="27" t="str">
        <f t="shared" si="1"/>
        <v/>
      </c>
      <c r="K22" s="27" t="str">
        <f t="shared" si="2"/>
        <v/>
      </c>
      <c r="L22" s="27" t="str">
        <f t="shared" si="3"/>
        <v/>
      </c>
    </row>
    <row r="23">
      <c r="A23" s="28"/>
      <c r="C23" s="81"/>
      <c r="D23" s="81"/>
      <c r="E23" s="8"/>
      <c r="F23" s="8"/>
      <c r="G23" s="81"/>
      <c r="H23" s="70"/>
      <c r="J23" s="27" t="str">
        <f t="shared" si="1"/>
        <v/>
      </c>
      <c r="K23" s="27" t="str">
        <f t="shared" si="2"/>
        <v/>
      </c>
      <c r="L23" s="27" t="str">
        <f t="shared" si="3"/>
        <v/>
      </c>
    </row>
    <row r="24">
      <c r="A24" s="28"/>
      <c r="C24" s="81"/>
      <c r="D24" s="81"/>
      <c r="E24" s="8"/>
      <c r="F24" s="8"/>
      <c r="G24" s="81"/>
      <c r="H24" s="70"/>
      <c r="J24" s="27" t="str">
        <f t="shared" si="1"/>
        <v/>
      </c>
      <c r="K24" s="27" t="str">
        <f t="shared" si="2"/>
        <v/>
      </c>
      <c r="L24" s="27" t="str">
        <f t="shared" si="3"/>
        <v/>
      </c>
    </row>
    <row r="25">
      <c r="A25" s="28"/>
      <c r="C25" s="8"/>
      <c r="D25" s="8"/>
      <c r="E25" s="8"/>
      <c r="F25" s="8"/>
      <c r="G25" s="8"/>
      <c r="H25" s="70"/>
    </row>
    <row r="26">
      <c r="A26" s="29" t="s">
        <v>144</v>
      </c>
      <c r="B26" s="2"/>
      <c r="C26" s="85"/>
      <c r="D26" s="85"/>
      <c r="E26" s="85"/>
      <c r="F26" s="85"/>
      <c r="G26" s="85"/>
      <c r="H26" s="86"/>
      <c r="I26" s="2"/>
      <c r="J26" s="2"/>
      <c r="K26" s="2"/>
      <c r="L26" s="2"/>
      <c r="M26" s="2"/>
      <c r="N26" s="2"/>
    </row>
    <row r="27">
      <c r="A27" s="30" t="s">
        <v>145</v>
      </c>
      <c r="B27" s="5" t="s">
        <v>146</v>
      </c>
      <c r="C27" s="87" t="s">
        <v>9</v>
      </c>
      <c r="D27" s="87" t="s">
        <v>10</v>
      </c>
      <c r="E27" s="87" t="s">
        <v>11</v>
      </c>
      <c r="F27" s="87" t="s">
        <v>78</v>
      </c>
      <c r="G27" s="87" t="s">
        <v>12</v>
      </c>
      <c r="H27" s="88" t="s">
        <v>77</v>
      </c>
      <c r="I27" s="5" t="s">
        <v>147</v>
      </c>
      <c r="J27" s="5"/>
      <c r="K27" s="5" t="s">
        <v>104</v>
      </c>
      <c r="L27" s="7"/>
      <c r="M27" s="7"/>
      <c r="N27" s="7"/>
    </row>
    <row r="28">
      <c r="A28" s="28">
        <f>SUMIFS(D10:D24,B10:B24,"&lt;&gt;")</f>
        <v>0</v>
      </c>
      <c r="B28" s="8">
        <f>SUMIFS(G10:G24,B10:B24,"&lt;&gt;")</f>
        <v>0</v>
      </c>
      <c r="C28" s="9">
        <f>A28</f>
        <v>0</v>
      </c>
      <c r="D28" s="8">
        <f>C28*$L$5</f>
        <v>0</v>
      </c>
      <c r="E28" s="10">
        <f>(C28-D28)*$L$7</f>
        <v>0</v>
      </c>
      <c r="F28" s="89">
        <v>0.0</v>
      </c>
      <c r="G28" s="70">
        <f>C28-D28-E28-F28</f>
        <v>0</v>
      </c>
      <c r="H28" s="70" t="str">
        <f>IFERROR(AVERAGE(H10:H24),"")</f>
        <v/>
      </c>
      <c r="I28" s="27" t="str">
        <f>IFERROR(SUMPRODUCT(L10:L24,M10:M24)/SUM(L10:L24),"")</f>
        <v/>
      </c>
      <c r="K28" s="27" t="str">
        <f>IFERROR(__xludf.DUMMYFUNCTION("TRIM(TEXTJOIN("", "",TRUE,IFERROR(FILTER(B10:B24,B10:B24&lt;&gt;""""),"""")))"),"")</f>
        <v/>
      </c>
    </row>
    <row r="29">
      <c r="A29" s="28"/>
      <c r="C29" s="8"/>
      <c r="D29" s="8"/>
      <c r="E29" s="8"/>
      <c r="F29" s="8"/>
      <c r="G29" s="8"/>
      <c r="H29" s="70"/>
    </row>
    <row r="30">
      <c r="A30" s="28"/>
      <c r="C30" s="8"/>
      <c r="D30" s="8"/>
      <c r="E30" s="8"/>
      <c r="F30" s="8"/>
      <c r="G30" s="8"/>
      <c r="H30" s="70"/>
    </row>
    <row r="31">
      <c r="A31" s="28"/>
    </row>
    <row r="32">
      <c r="A32" s="28"/>
    </row>
    <row r="33">
      <c r="A33" s="28"/>
    </row>
    <row r="34">
      <c r="A34" s="28"/>
    </row>
    <row r="35">
      <c r="A35" s="28"/>
    </row>
    <row r="36">
      <c r="A36" s="28"/>
    </row>
    <row r="37">
      <c r="A37" s="28"/>
    </row>
    <row r="38">
      <c r="A38" s="28"/>
    </row>
    <row r="39">
      <c r="A39" s="28"/>
    </row>
    <row r="40">
      <c r="A40" s="28"/>
    </row>
    <row r="41">
      <c r="A41" s="28"/>
    </row>
    <row r="42">
      <c r="A42" s="28"/>
    </row>
    <row r="43">
      <c r="A43" s="28"/>
    </row>
    <row r="44">
      <c r="A44" s="28"/>
    </row>
    <row r="45">
      <c r="A45" s="28"/>
    </row>
    <row r="46">
      <c r="A46" s="28"/>
    </row>
    <row r="47">
      <c r="A47" s="28"/>
    </row>
    <row r="48">
      <c r="A48" s="28"/>
    </row>
    <row r="49">
      <c r="A49" s="28"/>
    </row>
    <row r="50">
      <c r="A50" s="28"/>
    </row>
    <row r="51">
      <c r="A51" s="28"/>
    </row>
    <row r="52">
      <c r="A52" s="28"/>
    </row>
    <row r="53">
      <c r="A53" s="28"/>
    </row>
    <row r="54">
      <c r="A54" s="28"/>
    </row>
    <row r="55">
      <c r="A55" s="28"/>
    </row>
    <row r="56">
      <c r="A56" s="28"/>
    </row>
    <row r="57">
      <c r="A57" s="28"/>
    </row>
    <row r="58">
      <c r="A58" s="28"/>
    </row>
    <row r="59">
      <c r="A59" s="28"/>
    </row>
    <row r="60">
      <c r="A60" s="2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34</v>
      </c>
      <c r="B2" s="3" t="s">
        <v>2</v>
      </c>
      <c r="K2" s="5" t="s">
        <v>35</v>
      </c>
    </row>
    <row r="3">
      <c r="A3" s="3" t="s">
        <v>3</v>
      </c>
      <c r="B3" s="4">
        <v>46179.0</v>
      </c>
      <c r="K3" s="5" t="s">
        <v>36</v>
      </c>
      <c r="L3" s="12">
        <v>2.20462</v>
      </c>
    </row>
    <row r="4">
      <c r="A4" s="3" t="s">
        <v>4</v>
      </c>
      <c r="B4" s="4">
        <v>46186.0</v>
      </c>
      <c r="K4" s="5" t="s">
        <v>37</v>
      </c>
      <c r="L4" s="12">
        <v>0.453592</v>
      </c>
    </row>
    <row r="5">
      <c r="K5" s="5" t="s">
        <v>38</v>
      </c>
      <c r="L5" s="12">
        <v>0.0129</v>
      </c>
    </row>
    <row r="6">
      <c r="K6" s="5" t="s">
        <v>39</v>
      </c>
      <c r="L6" s="3" t="s">
        <v>40</v>
      </c>
    </row>
    <row r="8">
      <c r="A8" s="1" t="s">
        <v>106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90"/>
      <c r="B9" s="91" t="s">
        <v>107</v>
      </c>
      <c r="D9" s="91" t="s">
        <v>108</v>
      </c>
      <c r="F9" s="72" t="s">
        <v>109</v>
      </c>
      <c r="G9" s="71"/>
      <c r="H9" s="71"/>
      <c r="I9" s="71"/>
      <c r="J9" s="73"/>
    </row>
    <row r="10">
      <c r="A10" s="92" t="s">
        <v>110</v>
      </c>
      <c r="B10" s="93" t="s">
        <v>111</v>
      </c>
      <c r="C10" s="93" t="s">
        <v>112</v>
      </c>
      <c r="D10" s="93" t="s">
        <v>113</v>
      </c>
      <c r="E10" s="93" t="s">
        <v>114</v>
      </c>
      <c r="F10" s="93" t="s">
        <v>115</v>
      </c>
      <c r="G10" s="71" t="s">
        <v>116</v>
      </c>
      <c r="H10" s="71" t="s">
        <v>117</v>
      </c>
      <c r="I10" s="71" t="s">
        <v>118</v>
      </c>
      <c r="J10" s="71" t="s">
        <v>119</v>
      </c>
    </row>
    <row r="11">
      <c r="A11" s="94">
        <v>118850.0</v>
      </c>
      <c r="B11" s="95">
        <v>977.0</v>
      </c>
      <c r="C11" s="96">
        <v>57.6</v>
      </c>
      <c r="D11" s="97">
        <f t="shared" ref="D11:D46" si="1">B11-C11</f>
        <v>919.4</v>
      </c>
      <c r="E11" s="98">
        <v>138.0</v>
      </c>
      <c r="F11" s="97">
        <f t="shared" ref="F11:F46" si="2">IF(E11="","",B11-E11)</f>
        <v>839</v>
      </c>
      <c r="G11" s="3" t="s">
        <v>149</v>
      </c>
      <c r="H11" s="79">
        <v>0.13736711280644612</v>
      </c>
      <c r="I11" s="8">
        <f t="shared" ref="I11:I46" si="3">H11*D11</f>
        <v>126.2953235</v>
      </c>
      <c r="J11" s="80">
        <f t="shared" ref="J11:J46" si="4">2.5*$L$4</f>
        <v>1.13398</v>
      </c>
    </row>
    <row r="12">
      <c r="A12" s="94">
        <v>118827.0</v>
      </c>
      <c r="B12" s="95">
        <v>941.0</v>
      </c>
      <c r="C12" s="96">
        <v>57.6</v>
      </c>
      <c r="D12" s="96">
        <f t="shared" si="1"/>
        <v>883.4</v>
      </c>
      <c r="E12" s="99">
        <v>137.0</v>
      </c>
      <c r="F12" s="97">
        <f t="shared" si="2"/>
        <v>804</v>
      </c>
      <c r="G12" s="3" t="s">
        <v>150</v>
      </c>
      <c r="H12" s="79">
        <v>0.13736711280644612</v>
      </c>
      <c r="I12" s="8">
        <f t="shared" si="3"/>
        <v>121.3501075</v>
      </c>
      <c r="J12" s="80">
        <f t="shared" si="4"/>
        <v>1.13398</v>
      </c>
    </row>
    <row r="13">
      <c r="A13" s="94">
        <v>118848.0</v>
      </c>
      <c r="B13" s="95">
        <v>1049.0</v>
      </c>
      <c r="C13" s="96">
        <v>57.6</v>
      </c>
      <c r="D13" s="97">
        <f t="shared" si="1"/>
        <v>991.4</v>
      </c>
      <c r="E13" s="99">
        <v>181.5</v>
      </c>
      <c r="F13" s="97">
        <f t="shared" si="2"/>
        <v>867.5</v>
      </c>
      <c r="G13" s="3" t="s">
        <v>151</v>
      </c>
      <c r="H13" s="79">
        <v>0.13736711280644612</v>
      </c>
      <c r="I13" s="8">
        <f t="shared" si="3"/>
        <v>136.1857556</v>
      </c>
      <c r="J13" s="80">
        <f t="shared" si="4"/>
        <v>1.13398</v>
      </c>
    </row>
    <row r="14">
      <c r="A14" s="94">
        <v>118802.0</v>
      </c>
      <c r="B14" s="95">
        <v>1009.0</v>
      </c>
      <c r="C14" s="96">
        <v>57.6</v>
      </c>
      <c r="D14" s="97">
        <f t="shared" si="1"/>
        <v>951.4</v>
      </c>
      <c r="E14" s="98">
        <v>174.0</v>
      </c>
      <c r="F14" s="97">
        <f t="shared" si="2"/>
        <v>835</v>
      </c>
      <c r="G14" s="3" t="s">
        <v>152</v>
      </c>
      <c r="H14" s="79">
        <v>0.13736711280644612</v>
      </c>
      <c r="I14" s="8">
        <f t="shared" si="3"/>
        <v>130.6910711</v>
      </c>
      <c r="J14" s="80">
        <f t="shared" si="4"/>
        <v>1.13398</v>
      </c>
    </row>
    <row r="15">
      <c r="A15" s="94">
        <v>118838.0</v>
      </c>
      <c r="B15" s="95">
        <v>966.0</v>
      </c>
      <c r="C15" s="96">
        <v>57.6</v>
      </c>
      <c r="D15" s="97">
        <f t="shared" si="1"/>
        <v>908.4</v>
      </c>
      <c r="E15" s="98">
        <v>173.0</v>
      </c>
      <c r="F15" s="97">
        <f t="shared" si="2"/>
        <v>793</v>
      </c>
      <c r="G15" s="3" t="s">
        <v>153</v>
      </c>
      <c r="H15" s="79">
        <v>0.13736711280644612</v>
      </c>
      <c r="I15" s="8">
        <f t="shared" si="3"/>
        <v>124.7842853</v>
      </c>
      <c r="J15" s="80">
        <f t="shared" si="4"/>
        <v>1.13398</v>
      </c>
    </row>
    <row r="16">
      <c r="A16" s="94">
        <v>118861.0</v>
      </c>
      <c r="B16" s="95">
        <v>1081.0</v>
      </c>
      <c r="C16" s="96">
        <v>57.6</v>
      </c>
      <c r="D16" s="97">
        <f t="shared" si="1"/>
        <v>1023.4</v>
      </c>
      <c r="E16" s="98">
        <v>161.0</v>
      </c>
      <c r="F16" s="97">
        <f t="shared" si="2"/>
        <v>920</v>
      </c>
      <c r="G16" s="3" t="s">
        <v>154</v>
      </c>
      <c r="H16" s="79">
        <v>0.13736711280644612</v>
      </c>
      <c r="I16" s="8">
        <f t="shared" si="3"/>
        <v>140.5815032</v>
      </c>
      <c r="J16" s="80">
        <f t="shared" si="4"/>
        <v>1.13398</v>
      </c>
    </row>
    <row r="17">
      <c r="A17" s="94">
        <v>118866.0</v>
      </c>
      <c r="B17" s="95">
        <v>994.0</v>
      </c>
      <c r="C17" s="96">
        <v>57.6</v>
      </c>
      <c r="D17" s="97">
        <f t="shared" si="1"/>
        <v>936.4</v>
      </c>
      <c r="E17" s="98">
        <v>153.0</v>
      </c>
      <c r="F17" s="97">
        <f t="shared" si="2"/>
        <v>841</v>
      </c>
      <c r="G17" s="3" t="s">
        <v>155</v>
      </c>
      <c r="H17" s="79">
        <v>0.13736711280644612</v>
      </c>
      <c r="I17" s="8">
        <f t="shared" si="3"/>
        <v>128.6305644</v>
      </c>
      <c r="J17" s="80">
        <f t="shared" si="4"/>
        <v>1.13398</v>
      </c>
    </row>
    <row r="18">
      <c r="A18" s="94">
        <v>118882.0</v>
      </c>
      <c r="B18" s="95">
        <v>983.0</v>
      </c>
      <c r="C18" s="96">
        <v>57.6</v>
      </c>
      <c r="D18" s="97">
        <f t="shared" si="1"/>
        <v>925.4</v>
      </c>
      <c r="E18" s="98">
        <v>148.0</v>
      </c>
      <c r="F18" s="97">
        <f t="shared" si="2"/>
        <v>835</v>
      </c>
      <c r="G18" s="3" t="s">
        <v>156</v>
      </c>
      <c r="H18" s="79">
        <v>0.13736711280644612</v>
      </c>
      <c r="I18" s="8">
        <f t="shared" si="3"/>
        <v>127.1195262</v>
      </c>
      <c r="J18" s="80">
        <f t="shared" si="4"/>
        <v>1.13398</v>
      </c>
    </row>
    <row r="19">
      <c r="A19" s="94">
        <v>118885.0</v>
      </c>
      <c r="B19" s="95">
        <v>1124.0</v>
      </c>
      <c r="C19" s="96">
        <v>57.6</v>
      </c>
      <c r="D19" s="97">
        <f t="shared" si="1"/>
        <v>1066.4</v>
      </c>
      <c r="E19" s="98">
        <v>152.0</v>
      </c>
      <c r="F19" s="97">
        <f t="shared" si="2"/>
        <v>972</v>
      </c>
      <c r="G19" s="3" t="s">
        <v>157</v>
      </c>
      <c r="H19" s="79">
        <v>0.13736711280644612</v>
      </c>
      <c r="I19" s="8">
        <f t="shared" si="3"/>
        <v>146.4882891</v>
      </c>
      <c r="J19" s="80">
        <f t="shared" si="4"/>
        <v>1.13398</v>
      </c>
    </row>
    <row r="20">
      <c r="A20" s="94">
        <v>118814.0</v>
      </c>
      <c r="B20" s="95">
        <v>1161.0</v>
      </c>
      <c r="C20" s="96">
        <v>57.6</v>
      </c>
      <c r="D20" s="97">
        <f t="shared" si="1"/>
        <v>1103.4</v>
      </c>
      <c r="E20" s="99">
        <v>149.0</v>
      </c>
      <c r="F20" s="97">
        <f t="shared" si="2"/>
        <v>1012</v>
      </c>
      <c r="G20" s="3" t="s">
        <v>158</v>
      </c>
      <c r="H20" s="79">
        <v>0.13736711280644612</v>
      </c>
      <c r="I20" s="8">
        <f t="shared" si="3"/>
        <v>151.5708723</v>
      </c>
      <c r="J20" s="80">
        <f t="shared" si="4"/>
        <v>1.13398</v>
      </c>
    </row>
    <row r="21">
      <c r="A21" s="94">
        <v>118883.0</v>
      </c>
      <c r="B21" s="95">
        <v>1049.0</v>
      </c>
      <c r="C21" s="96">
        <v>57.6</v>
      </c>
      <c r="D21" s="97">
        <f t="shared" si="1"/>
        <v>991.4</v>
      </c>
      <c r="E21" s="98">
        <v>218.0</v>
      </c>
      <c r="F21" s="97">
        <f t="shared" si="2"/>
        <v>831</v>
      </c>
      <c r="G21" s="3" t="s">
        <v>159</v>
      </c>
      <c r="H21" s="79">
        <v>0.13736711280644612</v>
      </c>
      <c r="I21" s="8">
        <f t="shared" si="3"/>
        <v>136.1857556</v>
      </c>
      <c r="J21" s="80">
        <f t="shared" si="4"/>
        <v>1.13398</v>
      </c>
    </row>
    <row r="22">
      <c r="A22" s="94">
        <v>118881.0</v>
      </c>
      <c r="B22" s="95">
        <v>1074.0</v>
      </c>
      <c r="C22" s="96">
        <v>57.6</v>
      </c>
      <c r="D22" s="97">
        <f t="shared" si="1"/>
        <v>1016.4</v>
      </c>
      <c r="E22" s="98">
        <v>181.0</v>
      </c>
      <c r="F22" s="97">
        <f t="shared" si="2"/>
        <v>893</v>
      </c>
      <c r="G22" s="3" t="s">
        <v>160</v>
      </c>
      <c r="H22" s="79">
        <v>0.13736711280644612</v>
      </c>
      <c r="I22" s="8">
        <f t="shared" si="3"/>
        <v>139.6199335</v>
      </c>
      <c r="J22" s="80">
        <f t="shared" si="4"/>
        <v>1.13398</v>
      </c>
    </row>
    <row r="23">
      <c r="A23" s="94">
        <v>120578.0</v>
      </c>
      <c r="B23" s="95">
        <v>1000.0</v>
      </c>
      <c r="C23" s="96">
        <v>57.6</v>
      </c>
      <c r="D23" s="97">
        <f t="shared" si="1"/>
        <v>942.4</v>
      </c>
      <c r="E23" s="98">
        <v>153.5</v>
      </c>
      <c r="F23" s="97">
        <f t="shared" si="2"/>
        <v>846.5</v>
      </c>
      <c r="G23" s="3" t="s">
        <v>161</v>
      </c>
      <c r="H23" s="79">
        <v>0.13736711280644612</v>
      </c>
      <c r="I23" s="8">
        <f t="shared" si="3"/>
        <v>129.4547671</v>
      </c>
      <c r="J23" s="80">
        <f t="shared" si="4"/>
        <v>1.13398</v>
      </c>
    </row>
    <row r="24">
      <c r="A24" s="94">
        <v>120589.0</v>
      </c>
      <c r="B24" s="95">
        <v>906.0</v>
      </c>
      <c r="C24" s="96">
        <v>57.6</v>
      </c>
      <c r="D24" s="97">
        <f t="shared" si="1"/>
        <v>848.4</v>
      </c>
      <c r="E24" s="98">
        <v>111.5</v>
      </c>
      <c r="F24" s="97">
        <f t="shared" si="2"/>
        <v>794.5</v>
      </c>
      <c r="G24" s="3" t="s">
        <v>162</v>
      </c>
      <c r="H24" s="79">
        <v>0.13736711280644612</v>
      </c>
      <c r="I24" s="8">
        <f t="shared" si="3"/>
        <v>116.5422585</v>
      </c>
      <c r="J24" s="80">
        <f t="shared" si="4"/>
        <v>1.13398</v>
      </c>
    </row>
    <row r="25">
      <c r="A25" s="94">
        <v>120524.0</v>
      </c>
      <c r="B25" s="95">
        <v>1040.0</v>
      </c>
      <c r="C25" s="96">
        <v>57.6</v>
      </c>
      <c r="D25" s="97">
        <f t="shared" si="1"/>
        <v>982.4</v>
      </c>
      <c r="E25" s="98">
        <v>142.5</v>
      </c>
      <c r="F25" s="97">
        <f t="shared" si="2"/>
        <v>897.5</v>
      </c>
      <c r="G25" s="3" t="s">
        <v>163</v>
      </c>
      <c r="H25" s="79">
        <v>0.1575553394801048</v>
      </c>
      <c r="I25" s="8">
        <f t="shared" si="3"/>
        <v>154.7823655</v>
      </c>
      <c r="J25" s="80">
        <f t="shared" si="4"/>
        <v>1.13398</v>
      </c>
    </row>
    <row r="26">
      <c r="A26" s="94">
        <v>120505.0</v>
      </c>
      <c r="B26" s="95">
        <v>1019.0</v>
      </c>
      <c r="C26" s="96">
        <v>57.6</v>
      </c>
      <c r="D26" s="97">
        <f t="shared" si="1"/>
        <v>961.4</v>
      </c>
      <c r="E26" s="98">
        <v>182.0</v>
      </c>
      <c r="F26" s="97">
        <f t="shared" si="2"/>
        <v>837</v>
      </c>
      <c r="G26" s="3" t="s">
        <v>164</v>
      </c>
      <c r="H26" s="79">
        <v>0.1575553394801048</v>
      </c>
      <c r="I26" s="8">
        <f t="shared" si="3"/>
        <v>151.4737034</v>
      </c>
      <c r="J26" s="80">
        <f t="shared" si="4"/>
        <v>1.13398</v>
      </c>
    </row>
    <row r="27">
      <c r="A27" s="94">
        <v>120516.0</v>
      </c>
      <c r="B27" s="95">
        <v>1010.0</v>
      </c>
      <c r="C27" s="96">
        <v>57.6</v>
      </c>
      <c r="D27" s="97">
        <f t="shared" si="1"/>
        <v>952.4</v>
      </c>
      <c r="E27" s="98">
        <v>168.5</v>
      </c>
      <c r="F27" s="97">
        <f t="shared" si="2"/>
        <v>841.5</v>
      </c>
      <c r="G27" s="3" t="s">
        <v>165</v>
      </c>
      <c r="H27" s="79">
        <v>0.1575553394801048</v>
      </c>
      <c r="I27" s="8">
        <f t="shared" si="3"/>
        <v>150.0557053</v>
      </c>
      <c r="J27" s="80">
        <f t="shared" si="4"/>
        <v>1.13398</v>
      </c>
    </row>
    <row r="28">
      <c r="A28" s="94">
        <v>228437.0</v>
      </c>
      <c r="B28" s="95">
        <v>1018.0</v>
      </c>
      <c r="C28" s="96">
        <v>57.6</v>
      </c>
      <c r="D28" s="97">
        <f t="shared" si="1"/>
        <v>960.4</v>
      </c>
      <c r="E28" s="98">
        <v>263.5</v>
      </c>
      <c r="F28" s="97">
        <f t="shared" si="2"/>
        <v>754.5</v>
      </c>
      <c r="G28" s="3" t="s">
        <v>166</v>
      </c>
      <c r="H28" s="79">
        <v>0.1110176228550779</v>
      </c>
      <c r="I28" s="8">
        <f t="shared" si="3"/>
        <v>106.621325</v>
      </c>
      <c r="J28" s="80">
        <f t="shared" si="4"/>
        <v>1.13398</v>
      </c>
    </row>
    <row r="29">
      <c r="A29" s="94">
        <v>228426.0</v>
      </c>
      <c r="B29" s="95">
        <v>999.0</v>
      </c>
      <c r="C29" s="96">
        <v>57.6</v>
      </c>
      <c r="D29" s="97">
        <f t="shared" si="1"/>
        <v>941.4</v>
      </c>
      <c r="E29" s="98">
        <v>188.5</v>
      </c>
      <c r="F29" s="97">
        <f t="shared" si="2"/>
        <v>810.5</v>
      </c>
      <c r="G29" s="3" t="s">
        <v>167</v>
      </c>
      <c r="H29" s="79">
        <v>0.1110176228550779</v>
      </c>
      <c r="I29" s="8">
        <f t="shared" si="3"/>
        <v>104.5119902</v>
      </c>
      <c r="J29" s="80">
        <f t="shared" si="4"/>
        <v>1.13398</v>
      </c>
    </row>
    <row r="30">
      <c r="A30" s="94">
        <v>228471.0</v>
      </c>
      <c r="B30" s="95">
        <v>977.0</v>
      </c>
      <c r="C30" s="96">
        <v>57.6</v>
      </c>
      <c r="D30" s="97">
        <f t="shared" si="1"/>
        <v>919.4</v>
      </c>
      <c r="E30" s="98">
        <v>178.0</v>
      </c>
      <c r="F30" s="97">
        <f t="shared" si="2"/>
        <v>799</v>
      </c>
      <c r="G30" s="3" t="s">
        <v>168</v>
      </c>
      <c r="H30" s="79">
        <v>0.1110176228550779</v>
      </c>
      <c r="I30" s="8">
        <f t="shared" si="3"/>
        <v>102.0696025</v>
      </c>
      <c r="J30" s="80">
        <f t="shared" si="4"/>
        <v>1.13398</v>
      </c>
    </row>
    <row r="31">
      <c r="A31" s="94">
        <v>228500.0</v>
      </c>
      <c r="B31" s="95">
        <v>1084.0</v>
      </c>
      <c r="C31" s="96">
        <v>57.6</v>
      </c>
      <c r="D31" s="97">
        <f t="shared" si="1"/>
        <v>1026.4</v>
      </c>
      <c r="E31" s="99">
        <v>176.0</v>
      </c>
      <c r="F31" s="97">
        <f t="shared" si="2"/>
        <v>908</v>
      </c>
      <c r="G31" s="3" t="s">
        <v>169</v>
      </c>
      <c r="H31" s="79">
        <v>0.1110176228550779</v>
      </c>
      <c r="I31" s="8">
        <f t="shared" si="3"/>
        <v>113.9484881</v>
      </c>
      <c r="J31" s="80">
        <f t="shared" si="4"/>
        <v>1.13398</v>
      </c>
    </row>
    <row r="32">
      <c r="A32" s="94">
        <v>228460.0</v>
      </c>
      <c r="B32" s="95">
        <v>1008.0</v>
      </c>
      <c r="C32" s="96">
        <v>57.6</v>
      </c>
      <c r="D32" s="95">
        <f t="shared" si="1"/>
        <v>950.4</v>
      </c>
      <c r="E32" s="99">
        <v>181.5</v>
      </c>
      <c r="F32" s="97">
        <f t="shared" si="2"/>
        <v>826.5</v>
      </c>
      <c r="G32" s="36" t="s">
        <v>170</v>
      </c>
      <c r="H32" s="100">
        <v>0.1110176228550779</v>
      </c>
      <c r="I32" s="8">
        <f t="shared" si="3"/>
        <v>105.5111488</v>
      </c>
      <c r="J32" s="80">
        <f t="shared" si="4"/>
        <v>1.13398</v>
      </c>
    </row>
    <row r="33">
      <c r="A33" s="101">
        <v>228407.0</v>
      </c>
      <c r="B33" s="95">
        <v>1293.0</v>
      </c>
      <c r="C33" s="96">
        <v>57.6</v>
      </c>
      <c r="D33" s="97">
        <f t="shared" si="1"/>
        <v>1235.4</v>
      </c>
      <c r="E33" s="98">
        <v>241.0</v>
      </c>
      <c r="F33" s="97">
        <f t="shared" si="2"/>
        <v>1052</v>
      </c>
      <c r="G33" s="3" t="s">
        <v>171</v>
      </c>
      <c r="H33" s="79">
        <v>0.1110176228550779</v>
      </c>
      <c r="I33" s="8">
        <f t="shared" si="3"/>
        <v>137.1511713</v>
      </c>
      <c r="J33" s="80">
        <f t="shared" si="4"/>
        <v>1.13398</v>
      </c>
    </row>
    <row r="34">
      <c r="A34" s="94">
        <v>228456.0</v>
      </c>
      <c r="B34" s="95">
        <v>1018.0</v>
      </c>
      <c r="C34" s="96">
        <v>57.6</v>
      </c>
      <c r="D34" s="97">
        <f t="shared" si="1"/>
        <v>960.4</v>
      </c>
      <c r="E34" s="98">
        <v>165.0</v>
      </c>
      <c r="F34" s="97">
        <f t="shared" si="2"/>
        <v>853</v>
      </c>
      <c r="G34" s="3" t="s">
        <v>172</v>
      </c>
      <c r="H34" s="79">
        <v>0.1110176228550779</v>
      </c>
      <c r="I34" s="8">
        <f t="shared" si="3"/>
        <v>106.621325</v>
      </c>
      <c r="J34" s="80">
        <f t="shared" si="4"/>
        <v>1.13398</v>
      </c>
    </row>
    <row r="35">
      <c r="A35" s="94">
        <v>228464.0</v>
      </c>
      <c r="B35" s="95">
        <v>1022.0</v>
      </c>
      <c r="C35" s="96">
        <v>57.6</v>
      </c>
      <c r="D35" s="97">
        <f t="shared" si="1"/>
        <v>964.4</v>
      </c>
      <c r="E35" s="98">
        <v>195.5</v>
      </c>
      <c r="F35" s="97">
        <f t="shared" si="2"/>
        <v>826.5</v>
      </c>
      <c r="G35" s="3" t="s">
        <v>173</v>
      </c>
      <c r="H35" s="79">
        <v>0.1110176228550779</v>
      </c>
      <c r="I35" s="8">
        <f t="shared" si="3"/>
        <v>107.0653955</v>
      </c>
      <c r="J35" s="80">
        <f t="shared" si="4"/>
        <v>1.13398</v>
      </c>
    </row>
    <row r="36">
      <c r="A36" s="94">
        <v>228449.0</v>
      </c>
      <c r="B36" s="95">
        <v>1142.0</v>
      </c>
      <c r="C36" s="96">
        <v>57.6</v>
      </c>
      <c r="D36" s="97">
        <f t="shared" si="1"/>
        <v>1084.4</v>
      </c>
      <c r="E36" s="98">
        <v>181.5</v>
      </c>
      <c r="F36" s="97">
        <f t="shared" si="2"/>
        <v>960.5</v>
      </c>
      <c r="G36" s="3" t="s">
        <v>174</v>
      </c>
      <c r="H36" s="79">
        <v>0.1110176228550779</v>
      </c>
      <c r="I36" s="8">
        <f t="shared" si="3"/>
        <v>120.3875102</v>
      </c>
      <c r="J36" s="80">
        <f t="shared" si="4"/>
        <v>1.13398</v>
      </c>
    </row>
    <row r="37">
      <c r="A37" s="94">
        <v>228472.0</v>
      </c>
      <c r="B37" s="95">
        <v>1165.0</v>
      </c>
      <c r="C37" s="96">
        <v>57.6</v>
      </c>
      <c r="D37" s="97">
        <f t="shared" si="1"/>
        <v>1107.4</v>
      </c>
      <c r="E37" s="98">
        <v>177.5</v>
      </c>
      <c r="F37" s="97">
        <f t="shared" si="2"/>
        <v>987.5</v>
      </c>
      <c r="G37" s="3" t="s">
        <v>175</v>
      </c>
      <c r="H37" s="79">
        <v>0.1110176228550779</v>
      </c>
      <c r="I37" s="8">
        <f t="shared" si="3"/>
        <v>122.9409155</v>
      </c>
      <c r="J37" s="80">
        <f t="shared" si="4"/>
        <v>1.13398</v>
      </c>
    </row>
    <row r="38">
      <c r="A38" s="94">
        <v>228463.0</v>
      </c>
      <c r="B38" s="95">
        <v>1057.0</v>
      </c>
      <c r="C38" s="96">
        <v>57.6</v>
      </c>
      <c r="D38" s="97">
        <f t="shared" si="1"/>
        <v>999.4</v>
      </c>
      <c r="E38" s="99">
        <v>187.5</v>
      </c>
      <c r="F38" s="97">
        <f t="shared" si="2"/>
        <v>869.5</v>
      </c>
      <c r="G38" s="3" t="s">
        <v>176</v>
      </c>
      <c r="H38" s="79">
        <v>0.1110176228550779</v>
      </c>
      <c r="I38" s="8">
        <f t="shared" si="3"/>
        <v>110.9510123</v>
      </c>
      <c r="J38" s="80">
        <f t="shared" si="4"/>
        <v>1.13398</v>
      </c>
    </row>
    <row r="39">
      <c r="A39" s="94">
        <v>228454.0</v>
      </c>
      <c r="B39" s="95">
        <v>1181.0</v>
      </c>
      <c r="C39" s="96">
        <v>57.6</v>
      </c>
      <c r="D39" s="97">
        <f t="shared" si="1"/>
        <v>1123.4</v>
      </c>
      <c r="E39" s="98">
        <v>162.5</v>
      </c>
      <c r="F39" s="97">
        <f t="shared" si="2"/>
        <v>1018.5</v>
      </c>
      <c r="G39" s="3" t="s">
        <v>177</v>
      </c>
      <c r="H39" s="79">
        <v>0.1110176228550779</v>
      </c>
      <c r="I39" s="8">
        <f t="shared" si="3"/>
        <v>124.7171975</v>
      </c>
      <c r="J39" s="80">
        <f t="shared" si="4"/>
        <v>1.13398</v>
      </c>
    </row>
    <row r="40">
      <c r="A40" s="94">
        <v>228492.0</v>
      </c>
      <c r="B40" s="95">
        <v>1065.0</v>
      </c>
      <c r="C40" s="96">
        <v>57.6</v>
      </c>
      <c r="D40" s="97">
        <f t="shared" si="1"/>
        <v>1007.4</v>
      </c>
      <c r="E40" s="98">
        <v>176.0</v>
      </c>
      <c r="F40" s="97">
        <f t="shared" si="2"/>
        <v>889</v>
      </c>
      <c r="G40" s="3" t="s">
        <v>178</v>
      </c>
      <c r="H40" s="79">
        <v>0.1110176228550779</v>
      </c>
      <c r="I40" s="8">
        <f t="shared" si="3"/>
        <v>111.8391533</v>
      </c>
      <c r="J40" s="80">
        <f t="shared" si="4"/>
        <v>1.13398</v>
      </c>
    </row>
    <row r="41">
      <c r="A41" s="94">
        <v>228491.0</v>
      </c>
      <c r="B41" s="95">
        <v>1097.0</v>
      </c>
      <c r="C41" s="96">
        <v>57.6</v>
      </c>
      <c r="D41" s="97">
        <f t="shared" si="1"/>
        <v>1039.4</v>
      </c>
      <c r="E41" s="98">
        <v>186.0</v>
      </c>
      <c r="F41" s="97">
        <f t="shared" si="2"/>
        <v>911</v>
      </c>
      <c r="G41" s="3" t="s">
        <v>179</v>
      </c>
      <c r="H41" s="79">
        <v>0.1110176228550779</v>
      </c>
      <c r="I41" s="8">
        <f t="shared" si="3"/>
        <v>115.3917172</v>
      </c>
      <c r="J41" s="80">
        <f t="shared" si="4"/>
        <v>1.13398</v>
      </c>
    </row>
    <row r="42">
      <c r="A42" s="94">
        <v>228420.0</v>
      </c>
      <c r="B42" s="95">
        <v>1100.0</v>
      </c>
      <c r="C42" s="96">
        <v>57.6</v>
      </c>
      <c r="D42" s="97">
        <f t="shared" si="1"/>
        <v>1042.4</v>
      </c>
      <c r="E42" s="99">
        <v>152.5</v>
      </c>
      <c r="F42" s="97">
        <f t="shared" si="2"/>
        <v>947.5</v>
      </c>
      <c r="G42" s="3" t="s">
        <v>180</v>
      </c>
      <c r="H42" s="79">
        <v>0.1110176228550779</v>
      </c>
      <c r="I42" s="8">
        <f t="shared" si="3"/>
        <v>115.7247701</v>
      </c>
      <c r="J42" s="80">
        <f t="shared" si="4"/>
        <v>1.13398</v>
      </c>
    </row>
    <row r="43">
      <c r="A43" s="94">
        <v>228434.0</v>
      </c>
      <c r="B43" s="95">
        <v>1075.0</v>
      </c>
      <c r="C43" s="96">
        <v>57.6</v>
      </c>
      <c r="D43" s="97">
        <f t="shared" si="1"/>
        <v>1017.4</v>
      </c>
      <c r="E43" s="98">
        <v>149.0</v>
      </c>
      <c r="F43" s="97">
        <f t="shared" si="2"/>
        <v>926</v>
      </c>
      <c r="G43" s="3" t="s">
        <v>181</v>
      </c>
      <c r="H43" s="79">
        <v>0.1110176228550779</v>
      </c>
      <c r="I43" s="8">
        <f t="shared" si="3"/>
        <v>112.9493295</v>
      </c>
      <c r="J43" s="80">
        <f t="shared" si="4"/>
        <v>1.13398</v>
      </c>
    </row>
    <row r="44">
      <c r="A44" s="94">
        <v>228448.0</v>
      </c>
      <c r="B44" s="95">
        <v>1104.0</v>
      </c>
      <c r="C44" s="96">
        <v>57.6</v>
      </c>
      <c r="D44" s="97">
        <f t="shared" si="1"/>
        <v>1046.4</v>
      </c>
      <c r="E44" s="98">
        <v>270.0</v>
      </c>
      <c r="F44" s="97">
        <f t="shared" si="2"/>
        <v>834</v>
      </c>
      <c r="G44" s="3" t="s">
        <v>182</v>
      </c>
      <c r="H44" s="79">
        <v>0.1110176228550779</v>
      </c>
      <c r="I44" s="8">
        <f t="shared" si="3"/>
        <v>116.1688406</v>
      </c>
      <c r="J44" s="80">
        <f t="shared" si="4"/>
        <v>1.13398</v>
      </c>
    </row>
    <row r="45">
      <c r="A45" s="94">
        <v>228475.0</v>
      </c>
      <c r="B45" s="95">
        <v>1076.0</v>
      </c>
      <c r="C45" s="96">
        <v>57.6</v>
      </c>
      <c r="D45" s="97">
        <f t="shared" si="1"/>
        <v>1018.4</v>
      </c>
      <c r="E45" s="98">
        <v>223.0</v>
      </c>
      <c r="F45" s="97">
        <f t="shared" si="2"/>
        <v>853</v>
      </c>
      <c r="G45" s="3" t="s">
        <v>183</v>
      </c>
      <c r="H45" s="79">
        <v>0.1110176228550779</v>
      </c>
      <c r="I45" s="8">
        <f t="shared" si="3"/>
        <v>113.0603471</v>
      </c>
      <c r="J45" s="80">
        <f t="shared" si="4"/>
        <v>1.13398</v>
      </c>
    </row>
    <row r="46">
      <c r="A46" s="94">
        <v>228402.0</v>
      </c>
      <c r="B46" s="95">
        <v>969.0</v>
      </c>
      <c r="C46" s="96">
        <v>57.6</v>
      </c>
      <c r="D46" s="97">
        <f t="shared" si="1"/>
        <v>911.4</v>
      </c>
      <c r="E46" s="98">
        <v>218.0</v>
      </c>
      <c r="F46" s="97">
        <f t="shared" si="2"/>
        <v>751</v>
      </c>
      <c r="G46" s="3" t="s">
        <v>184</v>
      </c>
      <c r="H46" s="79">
        <v>0.1110176228550779</v>
      </c>
      <c r="I46" s="8">
        <f t="shared" si="3"/>
        <v>101.1814615</v>
      </c>
      <c r="J46" s="80">
        <f t="shared" si="4"/>
        <v>1.13398</v>
      </c>
    </row>
    <row r="47">
      <c r="A47" s="102"/>
      <c r="B47" s="103"/>
      <c r="C47" s="96"/>
      <c r="D47" s="97"/>
      <c r="E47" s="97"/>
      <c r="F47" s="97"/>
    </row>
    <row r="48">
      <c r="A48" s="102"/>
      <c r="B48" s="103"/>
      <c r="C48" s="96"/>
      <c r="D48" s="97"/>
      <c r="E48" s="97"/>
      <c r="F48" s="97"/>
    </row>
    <row r="49">
      <c r="A49" s="102"/>
      <c r="B49" s="103"/>
      <c r="C49" s="96"/>
      <c r="D49" s="97"/>
      <c r="E49" s="97"/>
      <c r="F49" s="97"/>
    </row>
    <row r="50">
      <c r="A50" s="102"/>
      <c r="B50" s="103"/>
      <c r="C50" s="96"/>
      <c r="D50" s="97"/>
      <c r="E50" s="97"/>
      <c r="F50" s="97"/>
    </row>
    <row r="51">
      <c r="A51" s="102"/>
      <c r="B51" s="103"/>
      <c r="C51" s="96"/>
      <c r="D51" s="97"/>
      <c r="E51" s="97"/>
      <c r="F51" s="97"/>
    </row>
    <row r="52">
      <c r="B52" s="104"/>
      <c r="C52" s="26"/>
      <c r="D52" s="8"/>
      <c r="E52" s="8"/>
      <c r="F52" s="8"/>
      <c r="G52" s="8"/>
      <c r="H52" s="8"/>
      <c r="I52" s="70"/>
    </row>
    <row r="53">
      <c r="A53" s="3" t="s">
        <v>21</v>
      </c>
      <c r="B53" s="105">
        <f t="shared" ref="B53:F53" si="5">SUM(B11:B46)</f>
        <v>37833</v>
      </c>
      <c r="C53" s="105">
        <f t="shared" si="5"/>
        <v>2073.6</v>
      </c>
      <c r="D53" s="105">
        <f t="shared" si="5"/>
        <v>35759.4</v>
      </c>
      <c r="E53" s="105">
        <f t="shared" si="5"/>
        <v>6396</v>
      </c>
      <c r="F53" s="105">
        <f t="shared" si="5"/>
        <v>31437</v>
      </c>
      <c r="G53" s="106"/>
      <c r="H53" s="107">
        <f>IFERROR(SUMPRODUCT(D11:D46,H11:H46)/SUM(D11:D46),"")</f>
        <v>0.1247399142</v>
      </c>
      <c r="I53" s="108">
        <f t="shared" ref="I53:J53" si="6">SUM(I11:I46)</f>
        <v>4460.624488</v>
      </c>
      <c r="J53" s="109">
        <f t="shared" si="6"/>
        <v>40.82328</v>
      </c>
    </row>
    <row r="54">
      <c r="B54" s="104"/>
      <c r="D54" s="8"/>
      <c r="E54" s="8"/>
      <c r="F54" s="8"/>
      <c r="G54" s="8"/>
      <c r="H54" s="8"/>
      <c r="I54" s="70"/>
    </row>
    <row r="55">
      <c r="B55" s="104"/>
      <c r="D55" s="8"/>
      <c r="E55" s="8"/>
      <c r="F55" s="8"/>
      <c r="G55" s="8"/>
      <c r="H55" s="8"/>
      <c r="I55" s="83"/>
    </row>
    <row r="56">
      <c r="B56" s="104"/>
      <c r="D56" s="8"/>
      <c r="E56" s="8"/>
      <c r="F56" s="8"/>
      <c r="G56" s="8" t="str">
        <f t="shared" ref="G56:G73" si="7">IF(AND(D56&lt;&gt;"",F56&lt;&gt;""),(D56-F56)*$L$4,"")</f>
        <v/>
      </c>
      <c r="H56" s="8" t="str">
        <f t="shared" ref="H56:H73" si="8">IF(G56="","",G56*(1-$L$5))</f>
        <v/>
      </c>
      <c r="I56" s="70"/>
    </row>
    <row r="57">
      <c r="B57" s="104"/>
      <c r="D57" s="8"/>
      <c r="E57" s="8"/>
      <c r="F57" s="8"/>
      <c r="G57" s="8" t="str">
        <f t="shared" si="7"/>
        <v/>
      </c>
      <c r="H57" s="8" t="str">
        <f t="shared" si="8"/>
        <v/>
      </c>
      <c r="I57" s="70"/>
    </row>
    <row r="58">
      <c r="B58" s="104"/>
      <c r="D58" s="8"/>
      <c r="E58" s="8"/>
      <c r="F58" s="8"/>
      <c r="G58" s="8" t="str">
        <f t="shared" si="7"/>
        <v/>
      </c>
      <c r="H58" s="8" t="str">
        <f t="shared" si="8"/>
        <v/>
      </c>
      <c r="I58" s="70"/>
    </row>
    <row r="59">
      <c r="B59" s="104"/>
      <c r="D59" s="8"/>
      <c r="E59" s="8"/>
      <c r="F59" s="8"/>
      <c r="G59" s="8" t="str">
        <f t="shared" si="7"/>
        <v/>
      </c>
      <c r="H59" s="8" t="str">
        <f t="shared" si="8"/>
        <v/>
      </c>
      <c r="I59" s="70"/>
    </row>
    <row r="60">
      <c r="B60" s="104"/>
      <c r="D60" s="8"/>
      <c r="E60" s="8"/>
      <c r="F60" s="8"/>
      <c r="G60" s="8" t="str">
        <f t="shared" si="7"/>
        <v/>
      </c>
      <c r="H60" s="8" t="str">
        <f t="shared" si="8"/>
        <v/>
      </c>
      <c r="I60" s="70"/>
    </row>
    <row r="61">
      <c r="B61" s="104"/>
      <c r="D61" s="8"/>
      <c r="E61" s="8"/>
      <c r="F61" s="8"/>
      <c r="G61" s="8" t="str">
        <f t="shared" si="7"/>
        <v/>
      </c>
      <c r="H61" s="8" t="str">
        <f t="shared" si="8"/>
        <v/>
      </c>
      <c r="I61" s="70"/>
    </row>
    <row r="62">
      <c r="B62" s="104"/>
      <c r="D62" s="8"/>
      <c r="E62" s="8"/>
      <c r="F62" s="8"/>
      <c r="G62" s="8" t="str">
        <f t="shared" si="7"/>
        <v/>
      </c>
      <c r="H62" s="8" t="str">
        <f t="shared" si="8"/>
        <v/>
      </c>
      <c r="I62" s="70"/>
    </row>
    <row r="63">
      <c r="B63" s="104"/>
      <c r="D63" s="8"/>
      <c r="E63" s="8"/>
      <c r="F63" s="8"/>
      <c r="G63" s="8" t="str">
        <f t="shared" si="7"/>
        <v/>
      </c>
      <c r="H63" s="8" t="str">
        <f t="shared" si="8"/>
        <v/>
      </c>
      <c r="I63" s="70"/>
    </row>
    <row r="64">
      <c r="B64" s="104"/>
      <c r="D64" s="8"/>
      <c r="E64" s="8"/>
      <c r="F64" s="8"/>
      <c r="G64" s="8" t="str">
        <f t="shared" si="7"/>
        <v/>
      </c>
      <c r="H64" s="8" t="str">
        <f t="shared" si="8"/>
        <v/>
      </c>
      <c r="I64" s="70"/>
    </row>
    <row r="65">
      <c r="B65" s="104"/>
      <c r="D65" s="8"/>
      <c r="E65" s="8"/>
      <c r="F65" s="8"/>
      <c r="G65" s="8" t="str">
        <f t="shared" si="7"/>
        <v/>
      </c>
      <c r="H65" s="8" t="str">
        <f t="shared" si="8"/>
        <v/>
      </c>
      <c r="I65" s="70"/>
    </row>
    <row r="66">
      <c r="B66" s="104"/>
      <c r="D66" s="8"/>
      <c r="E66" s="8"/>
      <c r="F66" s="8"/>
      <c r="G66" s="8" t="str">
        <f t="shared" si="7"/>
        <v/>
      </c>
      <c r="H66" s="8" t="str">
        <f t="shared" si="8"/>
        <v/>
      </c>
      <c r="I66" s="70"/>
    </row>
    <row r="67">
      <c r="B67" s="104"/>
      <c r="D67" s="8"/>
      <c r="E67" s="8"/>
      <c r="F67" s="8"/>
      <c r="G67" s="8" t="str">
        <f t="shared" si="7"/>
        <v/>
      </c>
      <c r="H67" s="8" t="str">
        <f t="shared" si="8"/>
        <v/>
      </c>
      <c r="I67" s="70"/>
    </row>
    <row r="68">
      <c r="B68" s="104"/>
      <c r="D68" s="8"/>
      <c r="E68" s="8"/>
      <c r="F68" s="8"/>
      <c r="G68" s="8" t="str">
        <f t="shared" si="7"/>
        <v/>
      </c>
      <c r="H68" s="8" t="str">
        <f t="shared" si="8"/>
        <v/>
      </c>
      <c r="I68" s="70"/>
    </row>
    <row r="69">
      <c r="B69" s="104"/>
      <c r="D69" s="8"/>
      <c r="E69" s="8"/>
      <c r="F69" s="8"/>
      <c r="G69" s="8" t="str">
        <f t="shared" si="7"/>
        <v/>
      </c>
      <c r="H69" s="8" t="str">
        <f t="shared" si="8"/>
        <v/>
      </c>
      <c r="I69" s="70"/>
    </row>
    <row r="70">
      <c r="B70" s="104"/>
      <c r="D70" s="8"/>
      <c r="E70" s="8"/>
      <c r="F70" s="8"/>
      <c r="G70" s="8" t="str">
        <f t="shared" si="7"/>
        <v/>
      </c>
      <c r="H70" s="8" t="str">
        <f t="shared" si="8"/>
        <v/>
      </c>
      <c r="I70" s="70"/>
    </row>
    <row r="71">
      <c r="B71" s="104"/>
      <c r="D71" s="8"/>
      <c r="E71" s="8"/>
      <c r="F71" s="8"/>
      <c r="G71" s="8" t="str">
        <f t="shared" si="7"/>
        <v/>
      </c>
      <c r="H71" s="8" t="str">
        <f t="shared" si="8"/>
        <v/>
      </c>
      <c r="I71" s="70"/>
    </row>
    <row r="72">
      <c r="B72" s="104"/>
      <c r="D72" s="8"/>
      <c r="E72" s="8"/>
      <c r="F72" s="8"/>
      <c r="G72" s="8" t="str">
        <f t="shared" si="7"/>
        <v/>
      </c>
      <c r="H72" s="8" t="str">
        <f t="shared" si="8"/>
        <v/>
      </c>
      <c r="I72" s="70"/>
    </row>
    <row r="73">
      <c r="B73" s="104"/>
      <c r="D73" s="8"/>
      <c r="E73" s="8"/>
      <c r="F73" s="8"/>
      <c r="G73" s="8" t="str">
        <f t="shared" si="7"/>
        <v/>
      </c>
      <c r="H73" s="8" t="str">
        <f t="shared" si="8"/>
        <v/>
      </c>
      <c r="I73" s="70"/>
    </row>
  </sheetData>
  <mergeCells count="2">
    <mergeCell ref="B9:C9"/>
    <mergeCell ref="D9:E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6.38"/>
    <col customWidth="1" min="8" max="8" width="35.13"/>
    <col customWidth="1" min="9" max="13" width="16.38"/>
  </cols>
  <sheetData>
    <row r="1">
      <c r="A1" s="1" t="s">
        <v>185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34</v>
      </c>
      <c r="B2" s="3" t="s">
        <v>2</v>
      </c>
      <c r="J2" s="5"/>
      <c r="L2" s="3" t="s">
        <v>35</v>
      </c>
    </row>
    <row r="3">
      <c r="A3" s="3" t="s">
        <v>3</v>
      </c>
      <c r="B3" s="4">
        <v>46179.0</v>
      </c>
      <c r="J3" s="5"/>
      <c r="L3" s="3" t="s">
        <v>36</v>
      </c>
      <c r="M3" s="12">
        <v>2.20462</v>
      </c>
    </row>
    <row r="4">
      <c r="A4" s="3" t="s">
        <v>4</v>
      </c>
      <c r="B4" s="4">
        <v>46186.0</v>
      </c>
      <c r="J4" s="5"/>
      <c r="L4" s="3" t="s">
        <v>37</v>
      </c>
      <c r="M4" s="12">
        <v>0.453592</v>
      </c>
    </row>
    <row r="5">
      <c r="J5" s="5"/>
      <c r="L5" s="3" t="s">
        <v>38</v>
      </c>
      <c r="M5" s="12">
        <v>0.0129</v>
      </c>
    </row>
    <row r="6">
      <c r="J6" s="5"/>
      <c r="L6" s="3" t="s">
        <v>39</v>
      </c>
      <c r="M6" s="3" t="s">
        <v>40</v>
      </c>
    </row>
    <row r="7">
      <c r="L7" s="3" t="s">
        <v>28</v>
      </c>
      <c r="M7" s="12">
        <v>0.004</v>
      </c>
    </row>
    <row r="8">
      <c r="A8" s="1" t="s">
        <v>186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5" t="s">
        <v>69</v>
      </c>
      <c r="B9" s="5" t="s">
        <v>187</v>
      </c>
      <c r="C9" s="19" t="s">
        <v>188</v>
      </c>
      <c r="D9" s="19" t="s">
        <v>189</v>
      </c>
      <c r="E9" s="5" t="s">
        <v>190</v>
      </c>
      <c r="F9" s="5" t="s">
        <v>191</v>
      </c>
      <c r="G9" s="19" t="s">
        <v>77</v>
      </c>
      <c r="H9" s="5" t="s">
        <v>56</v>
      </c>
      <c r="I9" s="5" t="s">
        <v>103</v>
      </c>
      <c r="J9" s="5" t="s">
        <v>27</v>
      </c>
      <c r="K9" s="5" t="s">
        <v>192</v>
      </c>
      <c r="L9" s="7"/>
      <c r="M9" s="7"/>
    </row>
    <row r="10">
      <c r="A10" s="4"/>
      <c r="C10" s="22"/>
      <c r="D10" s="22"/>
      <c r="E10" s="8"/>
      <c r="F10" s="8"/>
      <c r="G10" s="22"/>
    </row>
    <row r="11">
      <c r="A11" s="4"/>
      <c r="C11" s="22"/>
      <c r="D11" s="22"/>
      <c r="E11" s="8"/>
      <c r="F11" s="8"/>
      <c r="G11" s="22"/>
    </row>
    <row r="12">
      <c r="A12" s="4"/>
      <c r="C12" s="22"/>
      <c r="D12" s="22"/>
      <c r="E12" s="8"/>
      <c r="F12" s="8"/>
      <c r="G12" s="22"/>
    </row>
    <row r="13">
      <c r="A13" s="4"/>
      <c r="C13" s="22"/>
      <c r="D13" s="22"/>
      <c r="E13" s="8"/>
      <c r="F13" s="8"/>
      <c r="G13" s="22"/>
    </row>
    <row r="14">
      <c r="C14" s="81"/>
      <c r="D14" s="81"/>
      <c r="E14" s="8"/>
      <c r="F14" s="8"/>
      <c r="G14" s="81"/>
    </row>
    <row r="15">
      <c r="C15" s="81"/>
      <c r="D15" s="81"/>
      <c r="E15" s="8"/>
      <c r="F15" s="8"/>
      <c r="G15" s="81"/>
    </row>
    <row r="16">
      <c r="C16" s="81"/>
      <c r="D16" s="81"/>
      <c r="E16" s="8"/>
      <c r="F16" s="8"/>
      <c r="G16" s="81"/>
    </row>
    <row r="17">
      <c r="C17" s="81"/>
      <c r="D17" s="81"/>
      <c r="E17" s="8"/>
      <c r="F17" s="8"/>
      <c r="G17" s="81"/>
    </row>
    <row r="18">
      <c r="C18" s="81"/>
      <c r="D18" s="81"/>
      <c r="E18" s="8"/>
      <c r="F18" s="8"/>
      <c r="G18" s="81"/>
    </row>
    <row r="19">
      <c r="C19" s="81"/>
      <c r="D19" s="81"/>
      <c r="E19" s="8"/>
      <c r="F19" s="8"/>
      <c r="G19" s="81"/>
    </row>
    <row r="20">
      <c r="C20" s="81"/>
      <c r="D20" s="81"/>
      <c r="E20" s="8"/>
      <c r="F20" s="8"/>
      <c r="G20" s="81"/>
    </row>
    <row r="21">
      <c r="C21" s="81"/>
      <c r="D21" s="81"/>
      <c r="E21" s="8"/>
      <c r="F21" s="8"/>
      <c r="G21" s="81"/>
    </row>
    <row r="22">
      <c r="C22" s="81"/>
      <c r="D22" s="81"/>
      <c r="E22" s="8"/>
      <c r="F22" s="8"/>
      <c r="G22" s="81"/>
    </row>
    <row r="23">
      <c r="C23" s="81"/>
      <c r="D23" s="81"/>
      <c r="E23" s="8"/>
      <c r="F23" s="8"/>
      <c r="G23" s="81"/>
    </row>
    <row r="24">
      <c r="C24" s="81"/>
      <c r="D24" s="81"/>
      <c r="E24" s="8"/>
      <c r="F24" s="8"/>
      <c r="G24" s="81"/>
    </row>
    <row r="25">
      <c r="C25" s="8"/>
      <c r="D25" s="8"/>
      <c r="E25" s="8"/>
      <c r="F25" s="8"/>
      <c r="G25" s="8"/>
    </row>
    <row r="26">
      <c r="A26" s="1"/>
      <c r="B26" s="2"/>
      <c r="C26" s="85"/>
      <c r="D26" s="85"/>
      <c r="E26" s="85"/>
      <c r="F26" s="85"/>
      <c r="G26" s="85"/>
      <c r="H26" s="2"/>
      <c r="I26" s="2"/>
      <c r="J26" s="2"/>
      <c r="K26" s="2"/>
      <c r="L26" s="2"/>
      <c r="M26" s="2"/>
    </row>
    <row r="27">
      <c r="A27" s="5"/>
      <c r="B27" s="5"/>
      <c r="C27" s="87"/>
      <c r="D27" s="87"/>
      <c r="E27" s="87"/>
      <c r="F27" s="87"/>
      <c r="G27" s="87"/>
      <c r="H27" s="5"/>
      <c r="I27" s="7"/>
      <c r="J27" s="7"/>
      <c r="K27" s="7"/>
      <c r="L27" s="7"/>
      <c r="M27" s="7"/>
    </row>
    <row r="28">
      <c r="A28" s="8"/>
      <c r="B28" s="8"/>
      <c r="C28" s="9"/>
      <c r="D28" s="8"/>
      <c r="E28" s="10"/>
      <c r="F28" s="10"/>
      <c r="G28" s="8"/>
    </row>
    <row r="29">
      <c r="C29" s="8"/>
      <c r="D29" s="8"/>
      <c r="E29" s="8"/>
      <c r="F29" s="8"/>
      <c r="G29" s="8"/>
    </row>
    <row r="30">
      <c r="C30" s="8"/>
      <c r="D30" s="8"/>
      <c r="E30" s="8"/>
      <c r="F30" s="8"/>
      <c r="G30" s="8"/>
    </row>
    <row r="31">
      <c r="A31" s="3" t="s">
        <v>134</v>
      </c>
    </row>
    <row r="32">
      <c r="A32" s="3" t="s">
        <v>193</v>
      </c>
      <c r="B32" s="3" t="s">
        <v>10</v>
      </c>
      <c r="C32" s="3" t="s">
        <v>12</v>
      </c>
      <c r="D32" s="3" t="s">
        <v>77</v>
      </c>
      <c r="E32" s="3" t="s">
        <v>147</v>
      </c>
      <c r="F32" s="3"/>
      <c r="G32" s="3" t="s">
        <v>194</v>
      </c>
    </row>
    <row r="33">
      <c r="A33" s="27">
        <f>SUMIFS(F10:F29,B10:B29,"&lt;&gt;")</f>
        <v>0</v>
      </c>
      <c r="B33" s="27">
        <f>A33*$M$5</f>
        <v>0</v>
      </c>
      <c r="C33" s="27">
        <f>A33-B33</f>
        <v>0</v>
      </c>
      <c r="D33" s="27" t="str">
        <f>IFERROR(AVERAGE(G10:G29),"")</f>
        <v/>
      </c>
      <c r="E33" s="27" t="str">
        <f>IFERROR(__xludf.DUMMYFUNCTION("IFERROR(AVERAGE.WEIGHTED(I10:I29,F10:F29),"""")"),"")</f>
        <v/>
      </c>
      <c r="G33" s="27" t="str">
        <f>IFERROR(__xludf.DUMMYFUNCTION("TRIM(TEXTJOIN("", "",TRUE,IFERROR(FILTER(B10:B29,B10:B29&lt;&gt;""""),"""")))"),"")</f>
        <v/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3" width="18.88"/>
    <col customWidth="1" min="4" max="4" width="21.38"/>
  </cols>
  <sheetData>
    <row r="1">
      <c r="A1" s="110" t="s">
        <v>195</v>
      </c>
      <c r="B1" s="111"/>
      <c r="C1" s="111"/>
      <c r="D1" s="111"/>
      <c r="E1" s="111"/>
      <c r="F1" s="111"/>
      <c r="G1" s="111"/>
    </row>
    <row r="4">
      <c r="A4" s="5" t="s">
        <v>0</v>
      </c>
      <c r="B4" s="7"/>
      <c r="C4" s="7"/>
      <c r="D4" s="7"/>
      <c r="E4" s="7"/>
      <c r="F4" s="7"/>
      <c r="G4" s="7"/>
    </row>
    <row r="5">
      <c r="A5" s="5" t="s">
        <v>196</v>
      </c>
      <c r="B5" s="5" t="s">
        <v>197</v>
      </c>
      <c r="C5" s="5" t="s">
        <v>198</v>
      </c>
      <c r="D5" s="5" t="s">
        <v>199</v>
      </c>
      <c r="E5" s="5" t="s">
        <v>200</v>
      </c>
      <c r="F5" s="7"/>
      <c r="G5" s="7"/>
    </row>
    <row r="6">
      <c r="A6" s="3" t="s">
        <v>2</v>
      </c>
      <c r="B6" s="3" t="s">
        <v>20</v>
      </c>
      <c r="C6" s="3" t="s">
        <v>201</v>
      </c>
      <c r="D6" s="12">
        <v>36.0</v>
      </c>
      <c r="E6" s="3" t="s">
        <v>202</v>
      </c>
    </row>
    <row r="8">
      <c r="A8" s="5" t="s">
        <v>203</v>
      </c>
      <c r="B8" s="20">
        <v>1201.0</v>
      </c>
      <c r="C8" s="7"/>
      <c r="D8" s="7"/>
      <c r="E8" s="7"/>
      <c r="F8" s="7"/>
      <c r="G8" s="7"/>
    </row>
    <row r="10">
      <c r="A10" s="5" t="s">
        <v>204</v>
      </c>
      <c r="B10" s="7"/>
      <c r="C10" s="7"/>
      <c r="D10" s="7"/>
      <c r="E10" s="7"/>
      <c r="F10" s="7"/>
      <c r="G10" s="7"/>
    </row>
    <row r="11">
      <c r="A11" s="5" t="s">
        <v>205</v>
      </c>
      <c r="B11" s="5" t="s">
        <v>206</v>
      </c>
      <c r="C11" s="5" t="s">
        <v>207</v>
      </c>
      <c r="D11" s="5" t="s">
        <v>208</v>
      </c>
      <c r="E11" s="5" t="s">
        <v>209</v>
      </c>
      <c r="F11" s="5" t="s">
        <v>210</v>
      </c>
      <c r="G11" s="5" t="s">
        <v>211</v>
      </c>
    </row>
    <row r="12">
      <c r="A12" s="3" t="s">
        <v>212</v>
      </c>
      <c r="B12" s="112">
        <v>46000.0</v>
      </c>
      <c r="C12" s="12">
        <v>36.0</v>
      </c>
      <c r="D12" s="12">
        <v>18.0</v>
      </c>
      <c r="E12" s="113">
        <f t="shared" ref="E12:E13" si="1">D12/C12</f>
        <v>0.5</v>
      </c>
      <c r="F12" s="27">
        <f t="shared" ref="F12:F13" si="2">$B$8</f>
        <v>1201</v>
      </c>
      <c r="G12" s="8">
        <f t="shared" ref="G12:G13" si="3">E12*F12</f>
        <v>600.5</v>
      </c>
    </row>
    <row r="13">
      <c r="A13" s="3" t="s">
        <v>213</v>
      </c>
      <c r="B13" s="112">
        <v>46001.0</v>
      </c>
      <c r="C13" s="12">
        <v>35.0</v>
      </c>
      <c r="D13" s="12">
        <v>18.0</v>
      </c>
      <c r="E13" s="113">
        <f t="shared" si="1"/>
        <v>0.5142857143</v>
      </c>
      <c r="F13" s="27">
        <f t="shared" si="2"/>
        <v>1201</v>
      </c>
      <c r="G13" s="8">
        <f t="shared" si="3"/>
        <v>617.6571429</v>
      </c>
    </row>
    <row r="14">
      <c r="A14" s="5" t="s">
        <v>21</v>
      </c>
      <c r="B14" s="114"/>
      <c r="C14" s="7">
        <f t="shared" ref="C14:D14" si="4">SUM(C12:C13)</f>
        <v>71</v>
      </c>
      <c r="D14" s="7">
        <f t="shared" si="4"/>
        <v>36</v>
      </c>
      <c r="E14" s="115"/>
      <c r="F14" s="7"/>
      <c r="G14" s="106">
        <f>SUM(G12:G13)</f>
        <v>1218.157143</v>
      </c>
    </row>
    <row r="15">
      <c r="A15" s="5"/>
      <c r="B15" s="7"/>
      <c r="C15" s="7"/>
      <c r="D15" s="7"/>
      <c r="E15" s="7"/>
      <c r="F15" s="7"/>
      <c r="G15" s="108"/>
    </row>
    <row r="16">
      <c r="A16" s="5" t="s">
        <v>214</v>
      </c>
    </row>
    <row r="17">
      <c r="A17" s="5" t="s">
        <v>196</v>
      </c>
      <c r="B17" s="5" t="s">
        <v>215</v>
      </c>
      <c r="C17" s="5" t="s">
        <v>211</v>
      </c>
      <c r="D17" s="5" t="s">
        <v>199</v>
      </c>
      <c r="E17" s="7"/>
      <c r="F17" s="7"/>
      <c r="G17" s="7"/>
    </row>
    <row r="18">
      <c r="A18" s="5" t="s">
        <v>2</v>
      </c>
      <c r="B18" s="5" t="s">
        <v>216</v>
      </c>
      <c r="C18" s="87">
        <f>G14</f>
        <v>1218.157143</v>
      </c>
      <c r="D18" s="5">
        <f>D14</f>
        <v>36</v>
      </c>
      <c r="E18" s="7"/>
      <c r="F18" s="7"/>
      <c r="G18" s="7"/>
    </row>
    <row r="19">
      <c r="C19" s="70"/>
    </row>
    <row r="20">
      <c r="A20" s="3" t="s">
        <v>217</v>
      </c>
    </row>
    <row r="21">
      <c r="A21" s="5" t="s">
        <v>218</v>
      </c>
      <c r="B21" s="5" t="s">
        <v>197</v>
      </c>
      <c r="C21" s="5" t="s">
        <v>116</v>
      </c>
      <c r="D21" s="5" t="s">
        <v>219</v>
      </c>
      <c r="E21" s="5" t="s">
        <v>196</v>
      </c>
      <c r="F21" s="7"/>
      <c r="G21" s="7"/>
    </row>
    <row r="22">
      <c r="A22" s="5">
        <v>118814.0</v>
      </c>
      <c r="B22" s="5" t="s">
        <v>20</v>
      </c>
      <c r="C22" s="5" t="s">
        <v>220</v>
      </c>
      <c r="D22" s="114">
        <v>46000.0</v>
      </c>
      <c r="E22" s="5" t="s">
        <v>2</v>
      </c>
      <c r="F22" s="7"/>
    </row>
    <row r="23">
      <c r="A23" s="3">
        <v>120524.0</v>
      </c>
      <c r="B23" s="3" t="s">
        <v>20</v>
      </c>
      <c r="C23" s="3" t="s">
        <v>221</v>
      </c>
      <c r="D23" s="112">
        <v>46000.0</v>
      </c>
      <c r="E23" s="3" t="s">
        <v>2</v>
      </c>
    </row>
    <row r="24">
      <c r="A24" s="3">
        <v>120505.0</v>
      </c>
      <c r="B24" s="3" t="s">
        <v>20</v>
      </c>
      <c r="C24" s="3" t="s">
        <v>221</v>
      </c>
      <c r="D24" s="112">
        <v>46000.0</v>
      </c>
      <c r="E24" s="3" t="s">
        <v>2</v>
      </c>
    </row>
    <row r="25">
      <c r="A25" s="3">
        <v>120516.0</v>
      </c>
      <c r="B25" s="3" t="s">
        <v>20</v>
      </c>
      <c r="C25" s="3" t="s">
        <v>221</v>
      </c>
      <c r="D25" s="112">
        <v>46000.0</v>
      </c>
      <c r="E25" s="3" t="s">
        <v>2</v>
      </c>
    </row>
    <row r="26">
      <c r="A26" s="3">
        <v>228437.0</v>
      </c>
      <c r="B26" s="3" t="s">
        <v>20</v>
      </c>
      <c r="C26" s="116">
        <v>45931.0</v>
      </c>
      <c r="D26" s="112">
        <v>46000.0</v>
      </c>
      <c r="E26" s="3" t="s">
        <v>2</v>
      </c>
    </row>
    <row r="27">
      <c r="A27" s="3">
        <v>228426.0</v>
      </c>
      <c r="B27" s="3" t="s">
        <v>20</v>
      </c>
      <c r="C27" s="116">
        <v>45931.0</v>
      </c>
      <c r="D27" s="112">
        <v>46000.0</v>
      </c>
      <c r="E27" s="3" t="s">
        <v>2</v>
      </c>
    </row>
    <row r="28">
      <c r="A28" s="3">
        <v>228471.0</v>
      </c>
      <c r="B28" s="3" t="s">
        <v>20</v>
      </c>
      <c r="C28" s="116">
        <v>45931.0</v>
      </c>
      <c r="D28" s="112">
        <v>46000.0</v>
      </c>
      <c r="E28" s="3" t="s">
        <v>2</v>
      </c>
    </row>
    <row r="29">
      <c r="A29" s="3">
        <v>228449.0</v>
      </c>
      <c r="B29" s="3" t="s">
        <v>20</v>
      </c>
      <c r="C29" s="116">
        <v>45931.0</v>
      </c>
      <c r="D29" s="112">
        <v>46000.0</v>
      </c>
      <c r="E29" s="3" t="s">
        <v>2</v>
      </c>
    </row>
    <row r="30">
      <c r="A30" s="3">
        <v>228472.0</v>
      </c>
      <c r="B30" s="3" t="s">
        <v>20</v>
      </c>
      <c r="C30" s="116">
        <v>45931.0</v>
      </c>
      <c r="D30" s="112">
        <v>46000.0</v>
      </c>
      <c r="E30" s="3" t="s">
        <v>2</v>
      </c>
    </row>
    <row r="31">
      <c r="A31" s="3">
        <v>228463.0</v>
      </c>
      <c r="B31" s="3" t="s">
        <v>20</v>
      </c>
      <c r="C31" s="116">
        <v>45931.0</v>
      </c>
      <c r="D31" s="112">
        <v>46000.0</v>
      </c>
      <c r="E31" s="3" t="s">
        <v>2</v>
      </c>
    </row>
    <row r="32">
      <c r="A32" s="3">
        <v>228454.0</v>
      </c>
      <c r="B32" s="3" t="s">
        <v>20</v>
      </c>
      <c r="C32" s="116">
        <v>45931.0</v>
      </c>
      <c r="D32" s="112">
        <v>46000.0</v>
      </c>
      <c r="E32" s="3" t="s">
        <v>2</v>
      </c>
    </row>
    <row r="33">
      <c r="A33" s="5">
        <v>228492.0</v>
      </c>
      <c r="B33" s="5" t="s">
        <v>20</v>
      </c>
      <c r="C33" s="117">
        <v>45931.0</v>
      </c>
      <c r="D33" s="114">
        <v>46000.0</v>
      </c>
      <c r="E33" s="5" t="s">
        <v>2</v>
      </c>
      <c r="F33" s="7"/>
    </row>
    <row r="34">
      <c r="A34" s="3">
        <v>228491.0</v>
      </c>
      <c r="B34" s="3" t="s">
        <v>20</v>
      </c>
      <c r="C34" s="116">
        <v>45931.0</v>
      </c>
      <c r="D34" s="112">
        <v>46000.0</v>
      </c>
      <c r="E34" s="3" t="s">
        <v>2</v>
      </c>
    </row>
    <row r="35">
      <c r="A35" s="5">
        <v>228420.0</v>
      </c>
      <c r="B35" s="5" t="s">
        <v>20</v>
      </c>
      <c r="C35" s="117">
        <v>45931.0</v>
      </c>
      <c r="D35" s="114">
        <v>46000.0</v>
      </c>
      <c r="E35" s="5" t="s">
        <v>2</v>
      </c>
      <c r="F35" s="7"/>
    </row>
    <row r="36">
      <c r="A36" s="5">
        <v>228434.0</v>
      </c>
      <c r="B36" s="5" t="s">
        <v>20</v>
      </c>
      <c r="C36" s="117">
        <v>45931.0</v>
      </c>
      <c r="D36" s="114">
        <v>46000.0</v>
      </c>
      <c r="E36" s="5" t="s">
        <v>2</v>
      </c>
      <c r="F36" s="7"/>
    </row>
    <row r="37">
      <c r="A37" s="3">
        <v>228448.0</v>
      </c>
      <c r="B37" s="3" t="s">
        <v>20</v>
      </c>
      <c r="C37" s="116">
        <v>45931.0</v>
      </c>
      <c r="D37" s="112">
        <v>46000.0</v>
      </c>
      <c r="E37" s="3" t="s">
        <v>2</v>
      </c>
    </row>
    <row r="38">
      <c r="A38" s="3">
        <v>228475.0</v>
      </c>
      <c r="B38" s="3" t="s">
        <v>20</v>
      </c>
      <c r="C38" s="116">
        <v>45931.0</v>
      </c>
      <c r="D38" s="112">
        <v>46000.0</v>
      </c>
      <c r="E38" s="3" t="s">
        <v>2</v>
      </c>
    </row>
    <row r="39">
      <c r="A39" s="3">
        <v>228402.0</v>
      </c>
      <c r="B39" s="3" t="s">
        <v>20</v>
      </c>
      <c r="C39" s="116">
        <v>45931.0</v>
      </c>
      <c r="D39" s="112">
        <v>46000.0</v>
      </c>
      <c r="E39" s="3" t="s">
        <v>2</v>
      </c>
    </row>
    <row r="40">
      <c r="D40" s="112"/>
    </row>
    <row r="41">
      <c r="A41" s="3" t="s">
        <v>222</v>
      </c>
      <c r="D41" s="112"/>
    </row>
    <row r="42">
      <c r="A42" s="3" t="s">
        <v>218</v>
      </c>
      <c r="B42" s="3" t="s">
        <v>197</v>
      </c>
      <c r="C42" s="3" t="s">
        <v>116</v>
      </c>
      <c r="D42" s="3" t="s">
        <v>219</v>
      </c>
      <c r="E42" s="3" t="s">
        <v>196</v>
      </c>
    </row>
    <row r="43">
      <c r="A43" s="3">
        <v>118850.0</v>
      </c>
      <c r="B43" s="3" t="s">
        <v>20</v>
      </c>
      <c r="C43" s="3" t="s">
        <v>220</v>
      </c>
      <c r="D43" s="112">
        <v>46001.0</v>
      </c>
      <c r="E43" s="3" t="s">
        <v>2</v>
      </c>
    </row>
    <row r="44">
      <c r="A44" s="3">
        <v>118827.0</v>
      </c>
      <c r="B44" s="3" t="s">
        <v>20</v>
      </c>
      <c r="C44" s="3" t="s">
        <v>220</v>
      </c>
      <c r="D44" s="112">
        <v>46001.0</v>
      </c>
      <c r="E44" s="3" t="s">
        <v>2</v>
      </c>
    </row>
    <row r="45">
      <c r="A45" s="3">
        <v>118848.0</v>
      </c>
      <c r="B45" s="3" t="s">
        <v>20</v>
      </c>
      <c r="C45" s="3" t="s">
        <v>220</v>
      </c>
      <c r="D45" s="112">
        <v>46001.0</v>
      </c>
      <c r="E45" s="3" t="s">
        <v>2</v>
      </c>
    </row>
    <row r="46">
      <c r="A46" s="3">
        <v>118802.0</v>
      </c>
      <c r="B46" s="3" t="s">
        <v>20</v>
      </c>
      <c r="C46" s="3" t="s">
        <v>220</v>
      </c>
      <c r="D46" s="112">
        <v>46001.0</v>
      </c>
      <c r="E46" s="3" t="s">
        <v>2</v>
      </c>
    </row>
    <row r="47">
      <c r="A47" s="3">
        <v>118838.0</v>
      </c>
      <c r="B47" s="3" t="s">
        <v>20</v>
      </c>
      <c r="C47" s="3" t="s">
        <v>220</v>
      </c>
      <c r="D47" s="112">
        <v>46001.0</v>
      </c>
      <c r="E47" s="3" t="s">
        <v>2</v>
      </c>
    </row>
    <row r="48">
      <c r="A48" s="3">
        <v>118861.0</v>
      </c>
      <c r="B48" s="3" t="s">
        <v>20</v>
      </c>
      <c r="C48" s="3" t="s">
        <v>220</v>
      </c>
      <c r="D48" s="112">
        <v>46001.0</v>
      </c>
      <c r="E48" s="3" t="s">
        <v>2</v>
      </c>
    </row>
    <row r="49">
      <c r="A49" s="3">
        <v>118866.0</v>
      </c>
      <c r="B49" s="3" t="s">
        <v>20</v>
      </c>
      <c r="C49" s="3" t="s">
        <v>220</v>
      </c>
      <c r="D49" s="112">
        <v>46001.0</v>
      </c>
      <c r="E49" s="3" t="s">
        <v>2</v>
      </c>
    </row>
    <row r="50">
      <c r="A50" s="3">
        <v>118882.0</v>
      </c>
      <c r="B50" s="3" t="s">
        <v>20</v>
      </c>
      <c r="C50" s="3" t="s">
        <v>220</v>
      </c>
      <c r="D50" s="112">
        <v>46001.0</v>
      </c>
      <c r="E50" s="3" t="s">
        <v>2</v>
      </c>
    </row>
    <row r="51">
      <c r="A51" s="3">
        <v>118885.0</v>
      </c>
      <c r="B51" s="3" t="s">
        <v>20</v>
      </c>
      <c r="C51" s="3" t="s">
        <v>220</v>
      </c>
      <c r="D51" s="112">
        <v>46001.0</v>
      </c>
      <c r="E51" s="3" t="s">
        <v>2</v>
      </c>
    </row>
    <row r="52">
      <c r="A52" s="3">
        <v>118883.0</v>
      </c>
      <c r="B52" s="3" t="s">
        <v>20</v>
      </c>
      <c r="C52" s="3" t="s">
        <v>220</v>
      </c>
      <c r="D52" s="112">
        <v>46001.0</v>
      </c>
      <c r="E52" s="3" t="s">
        <v>2</v>
      </c>
    </row>
    <row r="53">
      <c r="A53" s="3">
        <v>118881.0</v>
      </c>
      <c r="B53" s="3" t="s">
        <v>20</v>
      </c>
      <c r="C53" s="3" t="s">
        <v>220</v>
      </c>
      <c r="D53" s="112">
        <v>46001.0</v>
      </c>
      <c r="E53" s="3" t="s">
        <v>2</v>
      </c>
    </row>
    <row r="54">
      <c r="A54" s="5">
        <v>120578.0</v>
      </c>
      <c r="B54" s="5" t="s">
        <v>20</v>
      </c>
      <c r="C54" s="5" t="s">
        <v>220</v>
      </c>
      <c r="D54" s="114">
        <v>46001.0</v>
      </c>
      <c r="E54" s="5" t="s">
        <v>2</v>
      </c>
      <c r="F54" s="7"/>
    </row>
    <row r="55">
      <c r="A55" s="3">
        <v>120589.0</v>
      </c>
      <c r="B55" s="3" t="s">
        <v>20</v>
      </c>
      <c r="C55" s="3" t="s">
        <v>220</v>
      </c>
      <c r="D55" s="112">
        <v>46001.0</v>
      </c>
      <c r="E55" s="3" t="s">
        <v>2</v>
      </c>
    </row>
    <row r="56">
      <c r="A56" s="5">
        <v>228500.0</v>
      </c>
      <c r="B56" s="5" t="s">
        <v>20</v>
      </c>
      <c r="C56" s="117">
        <v>45931.0</v>
      </c>
      <c r="D56" s="114">
        <v>46001.0</v>
      </c>
      <c r="E56" s="5" t="s">
        <v>2</v>
      </c>
      <c r="F56" s="7"/>
    </row>
    <row r="57">
      <c r="A57" s="5">
        <v>228460.0</v>
      </c>
      <c r="B57" s="5" t="s">
        <v>20</v>
      </c>
      <c r="C57" s="117">
        <v>45931.0</v>
      </c>
      <c r="D57" s="114">
        <v>46001.0</v>
      </c>
      <c r="E57" s="5" t="s">
        <v>2</v>
      </c>
      <c r="F57" s="7"/>
    </row>
    <row r="58">
      <c r="A58" s="3">
        <v>228407.0</v>
      </c>
      <c r="B58" s="3" t="s">
        <v>20</v>
      </c>
      <c r="C58" s="116">
        <v>45931.0</v>
      </c>
      <c r="D58" s="112">
        <v>46001.0</v>
      </c>
      <c r="E58" s="3" t="s">
        <v>2</v>
      </c>
    </row>
    <row r="59">
      <c r="A59" s="3">
        <v>228456.0</v>
      </c>
      <c r="B59" s="3" t="s">
        <v>20</v>
      </c>
      <c r="C59" s="116">
        <v>45931.0</v>
      </c>
      <c r="D59" s="112">
        <v>46001.0</v>
      </c>
      <c r="E59" s="3" t="s">
        <v>2</v>
      </c>
    </row>
    <row r="60">
      <c r="A60" s="3">
        <v>228464.0</v>
      </c>
      <c r="B60" s="3" t="s">
        <v>20</v>
      </c>
      <c r="C60" s="116">
        <v>45931.0</v>
      </c>
      <c r="D60" s="112">
        <v>46001.0</v>
      </c>
      <c r="E60" s="3" t="s">
        <v>2</v>
      </c>
    </row>
    <row r="61">
      <c r="D61" s="112"/>
    </row>
    <row r="62">
      <c r="D62" s="112"/>
    </row>
    <row r="63">
      <c r="D63" s="112"/>
    </row>
    <row r="64">
      <c r="D64" s="112"/>
    </row>
    <row r="65">
      <c r="D65" s="112"/>
    </row>
    <row r="66">
      <c r="D66" s="112"/>
    </row>
    <row r="67">
      <c r="D67" s="112"/>
    </row>
    <row r="68">
      <c r="D68" s="112"/>
    </row>
    <row r="69">
      <c r="D69" s="112"/>
    </row>
    <row r="70">
      <c r="D70" s="112"/>
    </row>
    <row r="71">
      <c r="D71" s="112"/>
    </row>
    <row r="72">
      <c r="A72" s="7"/>
      <c r="B72" s="7"/>
      <c r="C72" s="5"/>
      <c r="D72" s="7"/>
      <c r="E72" s="7"/>
      <c r="F72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</cols>
  <sheetData>
    <row r="1">
      <c r="A1" s="5" t="s">
        <v>223</v>
      </c>
    </row>
    <row r="4">
      <c r="A4" s="5" t="s">
        <v>0</v>
      </c>
    </row>
    <row r="5">
      <c r="A5" s="5" t="s">
        <v>196</v>
      </c>
      <c r="B5" s="5" t="s">
        <v>197</v>
      </c>
      <c r="C5" s="5" t="s">
        <v>198</v>
      </c>
      <c r="D5" s="5" t="s">
        <v>199</v>
      </c>
      <c r="E5" s="5" t="s">
        <v>200</v>
      </c>
    </row>
    <row r="6">
      <c r="A6" s="3" t="s">
        <v>2</v>
      </c>
      <c r="B6" s="3" t="s">
        <v>31</v>
      </c>
      <c r="C6" s="3" t="s">
        <v>201</v>
      </c>
      <c r="D6" s="12">
        <v>14.0</v>
      </c>
      <c r="E6" s="3" t="s">
        <v>224</v>
      </c>
    </row>
    <row r="8">
      <c r="A8" s="3" t="s">
        <v>203</v>
      </c>
      <c r="B8" s="12">
        <v>1201.0</v>
      </c>
    </row>
    <row r="10">
      <c r="A10" s="5" t="s">
        <v>204</v>
      </c>
    </row>
    <row r="11">
      <c r="A11" s="5" t="s">
        <v>205</v>
      </c>
      <c r="B11" s="5" t="s">
        <v>206</v>
      </c>
      <c r="C11" s="5" t="s">
        <v>207</v>
      </c>
      <c r="D11" s="5" t="s">
        <v>208</v>
      </c>
      <c r="E11" s="5" t="s">
        <v>209</v>
      </c>
      <c r="F11" s="5" t="s">
        <v>210</v>
      </c>
      <c r="G11" s="5" t="s">
        <v>211</v>
      </c>
    </row>
    <row r="12">
      <c r="A12" s="3" t="s">
        <v>225</v>
      </c>
      <c r="B12" s="112">
        <v>46154.0</v>
      </c>
      <c r="C12" s="12">
        <v>17.0</v>
      </c>
      <c r="D12" s="12">
        <v>14.0</v>
      </c>
      <c r="E12" s="113">
        <f>D12/C12</f>
        <v>0.8235294118</v>
      </c>
      <c r="F12" s="27">
        <f>$B$8</f>
        <v>1201</v>
      </c>
      <c r="G12" s="8">
        <f>E12*F12</f>
        <v>989.0588235</v>
      </c>
    </row>
    <row r="13">
      <c r="A13" s="5" t="s">
        <v>21</v>
      </c>
      <c r="B13" s="7"/>
      <c r="C13" s="7">
        <f t="shared" ref="C13:D13" si="1">SUM(C12)</f>
        <v>17</v>
      </c>
      <c r="D13" s="7">
        <f t="shared" si="1"/>
        <v>14</v>
      </c>
      <c r="E13" s="115"/>
      <c r="F13" s="7"/>
      <c r="G13" s="106">
        <f>SUM(G12)</f>
        <v>989.0588235</v>
      </c>
    </row>
    <row r="15">
      <c r="A15" s="5" t="s">
        <v>214</v>
      </c>
    </row>
    <row r="16">
      <c r="A16" s="5" t="s">
        <v>196</v>
      </c>
      <c r="B16" s="5" t="s">
        <v>215</v>
      </c>
      <c r="C16" s="5" t="s">
        <v>211</v>
      </c>
      <c r="D16" s="5" t="s">
        <v>199</v>
      </c>
    </row>
    <row r="17">
      <c r="A17" s="3" t="s">
        <v>2</v>
      </c>
      <c r="B17" s="3" t="s">
        <v>226</v>
      </c>
      <c r="C17" s="8">
        <f>G13</f>
        <v>989.0588235</v>
      </c>
      <c r="D17" s="27">
        <f>D13</f>
        <v>14</v>
      </c>
    </row>
    <row r="19">
      <c r="A19" s="3" t="s">
        <v>227</v>
      </c>
    </row>
    <row r="20">
      <c r="A20" s="5" t="s">
        <v>218</v>
      </c>
      <c r="B20" s="5" t="s">
        <v>197</v>
      </c>
      <c r="C20" s="5" t="s">
        <v>116</v>
      </c>
      <c r="D20" s="5" t="s">
        <v>219</v>
      </c>
      <c r="E20" s="5" t="s">
        <v>196</v>
      </c>
    </row>
    <row r="21">
      <c r="A21" s="3">
        <v>301007.0</v>
      </c>
      <c r="B21" s="3" t="s">
        <v>31</v>
      </c>
      <c r="C21" s="116">
        <v>46113.0</v>
      </c>
      <c r="D21" s="112">
        <v>46154.0</v>
      </c>
      <c r="E21" s="3" t="s">
        <v>2</v>
      </c>
    </row>
    <row r="22">
      <c r="A22" s="3">
        <v>301023.0</v>
      </c>
      <c r="B22" s="3" t="s">
        <v>31</v>
      </c>
      <c r="C22" s="116">
        <v>46113.0</v>
      </c>
      <c r="D22" s="112">
        <v>46154.0</v>
      </c>
      <c r="E22" s="3" t="s">
        <v>2</v>
      </c>
    </row>
    <row r="23">
      <c r="A23" s="3">
        <v>301033.0</v>
      </c>
      <c r="B23" s="3" t="s">
        <v>31</v>
      </c>
      <c r="C23" s="116">
        <v>46113.0</v>
      </c>
      <c r="D23" s="112">
        <v>46154.0</v>
      </c>
      <c r="E23" s="3" t="s">
        <v>2</v>
      </c>
    </row>
    <row r="24">
      <c r="A24" s="3">
        <v>301058.0</v>
      </c>
      <c r="B24" s="3" t="s">
        <v>31</v>
      </c>
      <c r="C24" s="116">
        <v>46113.0</v>
      </c>
      <c r="D24" s="112">
        <v>46154.0</v>
      </c>
      <c r="E24" s="3" t="s">
        <v>2</v>
      </c>
    </row>
    <row r="25">
      <c r="A25" s="3">
        <v>301066.0</v>
      </c>
      <c r="B25" s="3" t="s">
        <v>31</v>
      </c>
      <c r="C25" s="116">
        <v>46113.0</v>
      </c>
      <c r="D25" s="112">
        <v>46154.0</v>
      </c>
      <c r="E25" s="3" t="s">
        <v>2</v>
      </c>
    </row>
    <row r="26">
      <c r="A26" s="3">
        <v>301090.0</v>
      </c>
      <c r="B26" s="3" t="s">
        <v>31</v>
      </c>
      <c r="C26" s="116">
        <v>46113.0</v>
      </c>
      <c r="D26" s="112">
        <v>46154.0</v>
      </c>
      <c r="E26" s="3" t="s">
        <v>2</v>
      </c>
    </row>
    <row r="27">
      <c r="A27" s="3">
        <v>301098.0</v>
      </c>
      <c r="B27" s="3" t="s">
        <v>31</v>
      </c>
      <c r="C27" s="116">
        <v>46113.0</v>
      </c>
      <c r="D27" s="112">
        <v>46154.0</v>
      </c>
      <c r="E27" s="3" t="s">
        <v>2</v>
      </c>
    </row>
    <row r="28">
      <c r="A28" s="3">
        <v>301109.0</v>
      </c>
      <c r="B28" s="3" t="s">
        <v>31</v>
      </c>
      <c r="C28" s="116">
        <v>46113.0</v>
      </c>
      <c r="D28" s="112">
        <v>46154.0</v>
      </c>
      <c r="E28" s="3" t="s">
        <v>2</v>
      </c>
    </row>
    <row r="29">
      <c r="A29" s="3">
        <v>301113.0</v>
      </c>
      <c r="B29" s="3" t="s">
        <v>31</v>
      </c>
      <c r="C29" s="116">
        <v>46113.0</v>
      </c>
      <c r="D29" s="112">
        <v>46154.0</v>
      </c>
      <c r="E29" s="3" t="s">
        <v>2</v>
      </c>
    </row>
    <row r="30">
      <c r="A30" s="3">
        <v>301124.0</v>
      </c>
      <c r="B30" s="3" t="s">
        <v>31</v>
      </c>
      <c r="C30" s="116">
        <v>46113.0</v>
      </c>
      <c r="D30" s="112">
        <v>46154.0</v>
      </c>
      <c r="E30" s="3" t="s">
        <v>2</v>
      </c>
    </row>
    <row r="31">
      <c r="A31" s="3">
        <v>301125.0</v>
      </c>
      <c r="B31" s="3" t="s">
        <v>31</v>
      </c>
      <c r="C31" s="116">
        <v>46113.0</v>
      </c>
      <c r="D31" s="112">
        <v>46154.0</v>
      </c>
      <c r="E31" s="3" t="s">
        <v>2</v>
      </c>
    </row>
    <row r="32">
      <c r="A32" s="3">
        <v>301127.0</v>
      </c>
      <c r="B32" s="3" t="s">
        <v>31</v>
      </c>
      <c r="C32" s="116">
        <v>46113.0</v>
      </c>
      <c r="D32" s="112">
        <v>46154.0</v>
      </c>
      <c r="E32" s="3" t="s">
        <v>2</v>
      </c>
    </row>
    <row r="33">
      <c r="A33" s="3">
        <v>301146.0</v>
      </c>
      <c r="B33" s="3" t="s">
        <v>31</v>
      </c>
      <c r="C33" s="116">
        <v>46113.0</v>
      </c>
      <c r="D33" s="112">
        <v>46154.0</v>
      </c>
      <c r="E33" s="3" t="s">
        <v>2</v>
      </c>
    </row>
    <row r="34">
      <c r="A34" s="3">
        <v>301183.0</v>
      </c>
      <c r="B34" s="3" t="s">
        <v>31</v>
      </c>
      <c r="C34" s="116">
        <v>46113.0</v>
      </c>
      <c r="D34" s="112">
        <v>46154.0</v>
      </c>
      <c r="E34" s="3" t="s">
        <v>2</v>
      </c>
    </row>
  </sheetData>
  <drawing r:id="rId1"/>
</worksheet>
</file>