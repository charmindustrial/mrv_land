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Log" sheetId="1" state="visible" r:id="rId1"/>
  </sheets>
  <definedNames>
    <definedName name="_xlnm._FilterDatabase" localSheetId="0" hidden="1">'Performance Log'!$A$1:$X$1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/>
    </xf>
    <xf numFmtId="0" fontId="2" fillId="0" borderId="1" pivotButton="0" quotePrefix="0" xfId="0"/>
    <xf numFmtId="0" fontId="3" fillId="2" borderId="1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8" customWidth="1" min="9" max="9"/>
    <col width="6" customWidth="1" min="10" max="10"/>
    <col width="6" customWidth="1" min="11" max="11"/>
    <col width="6" customWidth="1" min="12" max="12"/>
    <col width="6" customWidth="1" min="13" max="13"/>
    <col width="10" customWidth="1" min="14" max="14"/>
    <col width="12" customWidth="1" min="15" max="15"/>
    <col width="14" customWidth="1" min="16" max="16"/>
    <col width="12" customWidth="1" min="17" max="17"/>
    <col width="16" customWidth="1" min="18" max="18"/>
    <col width="14" customWidth="1" min="19" max="19"/>
    <col width="16" customWidth="1" min="20" max="20"/>
    <col width="14" customWidth="1" min="21" max="21"/>
    <col width="16" customWidth="1" min="22" max="22"/>
    <col width="20" customWidth="1" min="23" max="23"/>
    <col width="60" customWidth="1" min="24" max="24"/>
  </cols>
  <sheetData>
    <row r="1">
      <c r="A1" s="4" t="inlineStr">
        <is>
          <t>Date</t>
        </is>
      </c>
      <c r="B1" s="4" t="inlineStr">
        <is>
          <t>QA Type</t>
        </is>
      </c>
      <c r="C1" s="4" t="inlineStr">
        <is>
          <t>Site/Batch</t>
        </is>
      </c>
      <c r="D1" s="4" t="inlineStr">
        <is>
          <t>RP</t>
        </is>
      </c>
      <c r="E1" s="4" t="inlineStr">
        <is>
          <t>Status</t>
        </is>
      </c>
      <c r="F1" s="4" t="inlineStr">
        <is>
          <t>Iterations</t>
        </is>
      </c>
      <c r="G1" s="4" t="inlineStr">
        <is>
          <t>Laziness Violations</t>
        </is>
      </c>
      <c r="H1" s="4" t="inlineStr">
        <is>
          <t>Material Errors (Claude)</t>
        </is>
      </c>
      <c r="I1" s="4" t="inlineStr">
        <is>
          <t>Material Errors (Garrett)</t>
        </is>
      </c>
      <c r="J1" s="4" t="inlineStr">
        <is>
          <t>Non-Material Errors</t>
        </is>
      </c>
      <c r="K1" s="4" t="inlineStr">
        <is>
          <t>Duration</t>
        </is>
      </c>
      <c r="L1" s="4" t="inlineStr">
        <is>
          <t>Notes</t>
        </is>
      </c>
      <c r="M1" s="1" t="inlineStr">
        <is>
          <t>N/A</t>
        </is>
      </c>
      <c r="N1" s="1" t="inlineStr">
        <is>
          <t>Total Items</t>
        </is>
      </c>
      <c r="O1" s="1" t="inlineStr">
        <is>
          <t>Errors (Max)</t>
        </is>
      </c>
      <c r="P1" s="1" t="inlineStr">
        <is>
          <t>Errors (Garrett)</t>
        </is>
      </c>
      <c r="Q1" s="1" t="inlineStr">
        <is>
          <t>Total Errors</t>
        </is>
      </c>
      <c r="R1" s="1" t="inlineStr">
        <is>
          <t>Laziness Violations</t>
        </is>
      </c>
      <c r="S1" s="1" t="inlineStr">
        <is>
          <t>Material Errors</t>
        </is>
      </c>
      <c r="T1" s="1" t="inlineStr">
        <is>
          <t>Non-Material Errors</t>
        </is>
      </c>
      <c r="U1" s="1" t="inlineStr">
        <is>
          <t>Iterations (Max)</t>
        </is>
      </c>
      <c r="V1" s="1" t="inlineStr">
        <is>
          <t>Iterations (Garrett)</t>
        </is>
      </c>
      <c r="W1" s="1" t="inlineStr">
        <is>
          <t>Status</t>
        </is>
      </c>
      <c r="X1" s="1" t="inlineStr">
        <is>
          <t>Notes</t>
        </is>
      </c>
    </row>
    <row r="2">
      <c r="A2" s="2" t="inlineStr">
        <is>
          <t>Site Emissions</t>
        </is>
      </c>
      <c r="B2" s="2" t="inlineStr">
        <is>
          <t>Basco 6 LA</t>
        </is>
      </c>
      <c r="C2" s="2" t="inlineStr">
        <is>
          <t>2026-04-07</t>
        </is>
      </c>
      <c r="D2" s="2" t="inlineStr">
        <is>
          <t>Mar 3-31, 2026</t>
        </is>
      </c>
      <c r="E2" s="2" t="inlineStr">
        <is>
          <t>N/A (prior ctx)</t>
        </is>
      </c>
      <c r="F2" s="2" t="inlineStr">
        <is>
          <t>2026-04-08T00:16Z</t>
        </is>
      </c>
      <c r="G2" s="2" t="inlineStr">
        <is>
          <t>2026-04-08T00:16Z</t>
        </is>
      </c>
      <c r="H2" s="2" t="n"/>
      <c r="I2" s="2" t="n"/>
      <c r="J2" s="3" t="n">
        <v>5</v>
      </c>
      <c r="K2" s="3" t="n">
        <v>0</v>
      </c>
      <c r="L2" s="3" t="n">
        <v>11</v>
      </c>
      <c r="M2" s="3" t="n">
        <v>0</v>
      </c>
      <c r="N2" s="3">
        <f>SUM(J2:M2)</f>
        <v/>
      </c>
      <c r="O2" s="3" t="n">
        <v>0</v>
      </c>
      <c r="P2" s="3" t="n"/>
      <c r="Q2" s="3">
        <f>O2+P2</f>
        <v/>
      </c>
      <c r="R2" s="3" t="n">
        <v>0</v>
      </c>
      <c r="S2" s="3" t="n">
        <v>0</v>
      </c>
      <c r="T2" s="3" t="n">
        <v>0</v>
      </c>
      <c r="U2" s="3" t="n">
        <v>0</v>
      </c>
      <c r="V2" s="3" t="n"/>
      <c r="W2" s="3" t="inlineStr">
        <is>
          <t>Awaiting Max Review</t>
        </is>
      </c>
      <c r="X2" s="3" t="inlineStr">
        <is>
          <t>First site emissions QA. 11 FLAGS: 5 xlsx extraction blocked (manual verify needed), 3 accounting questions for Garrett, 2 BCU structural, 1 brine partial offset. Adversarial review caught: argon transport process BCU accounting gap (PASS→FLAG), summary miscount, rail EF rounding error.</t>
        </is>
      </c>
    </row>
    <row r="3">
      <c r="A3" t="inlineStr">
        <is>
          <t>2026-04-08</t>
        </is>
      </c>
      <c r="B3" t="inlineStr">
        <is>
          <t>Site Emissions</t>
        </is>
      </c>
      <c r="C3" t="inlineStr">
        <is>
          <t>Basco 6 LA</t>
        </is>
      </c>
      <c r="D3" t="inlineStr">
        <is>
          <t>Mar 3-31, 2026</t>
        </is>
      </c>
      <c r="E3" t="inlineStr">
        <is>
          <t>Awaiting Max Review (v2)</t>
        </is>
      </c>
      <c r="F3" t="n">
        <v>2</v>
      </c>
      <c r="G3" t="n">
        <v>2</v>
      </c>
      <c r="H3" t="n">
        <v>0</v>
      </c>
      <c r="I3" t="n">
        <v>0</v>
      </c>
      <c r="J3" t="n">
        <v>0</v>
      </c>
      <c r="K3" t="inlineStr">
        <is>
          <t>~90 min</t>
        </is>
      </c>
      <c r="L3" t="inlineStr">
        <is>
          <t>v1 rejected: (1) "manual verify" cop-outs across multiple items, (2) checklist too high-level (1 line per category instead of granular sub-items). v2 rebuilt with 106 granular items across 19 categories. Adversarial review upgraded 3 FLAGS to FAILs (electricity date range, SP&amp;C missing calc). 3 FAIL, 17 FLAG, 74 PASS, 12 N/A.</t>
        </is>
      </c>
    </row>
  </sheetData>
  <autoFilter ref="A1:X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2026-04-08T00:16:33Z</dcterms:created>
  <dcterms:modified xmlns:dcterms="http://purl.org/dc/terms/" xmlns:xsi="http://www.w3.org/2001/XMLSchema-instance" xsi:type="dcterms:W3CDTF">2026-04-08T17:05:39Z</dcterms:modified>
</cp:coreProperties>
</file>