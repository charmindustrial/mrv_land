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erformance Log" sheetId="1" state="visible" r:id="rId1"/>
  </sheets>
  <definedNames>
    <definedName name="_xlnm._FilterDatabase" localSheetId="0" hidden="1">'Performance Log'!$A$1:$X$1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10"/>
    </font>
    <font>
      <b val="1"/>
    </font>
  </fonts>
  <fills count="4">
    <fill>
      <patternFill/>
    </fill>
    <fill>
      <patternFill patternType="gray125"/>
    </fill>
    <fill>
      <patternFill patternType="solid">
        <fgColor rgb="004472C4"/>
        <bgColor rgb="004472C4"/>
      </patternFill>
    </fill>
    <fill>
      <patternFill patternType="solid">
        <fgColor rgb="00C6EFCE"/>
        <bgColor rgb="00C6EFCE"/>
      </patternFill>
    </fill>
  </fills>
  <borders count="2">
    <border>
      <left/>
      <right/>
      <top/>
      <bottom/>
      <diagonal/>
    </border>
    <border>
      <left style="thin"/>
      <right style="thin"/>
      <top style="thin"/>
      <bottom style="thin"/>
    </border>
  </borders>
  <cellStyleXfs count="1">
    <xf numFmtId="0" fontId="0" fillId="0" borderId="0"/>
  </cellStyleXfs>
  <cellXfs count="7">
    <xf numFmtId="0" fontId="0" fillId="0" borderId="0" pivotButton="0" quotePrefix="0" xfId="0"/>
    <xf numFmtId="0" fontId="1" fillId="2" borderId="1" applyAlignment="1" pivotButton="0" quotePrefix="0" xfId="0">
      <alignment horizontal="center" wrapText="1"/>
    </xf>
    <xf numFmtId="0" fontId="2" fillId="0" borderId="1" applyAlignment="1" pivotButton="0" quotePrefix="0" xfId="0">
      <alignment horizontal="center"/>
    </xf>
    <xf numFmtId="0" fontId="2" fillId="0" borderId="1" pivotButton="0" quotePrefix="0" xfId="0"/>
    <xf numFmtId="0" fontId="3" fillId="2" borderId="1" applyAlignment="1" pivotButton="0" quotePrefix="0" xfId="0">
      <alignment horizontal="center" wrapText="1"/>
    </xf>
    <xf numFmtId="0" fontId="0" fillId="3" borderId="0" pivotButton="0" quotePrefix="0" xfId="0"/>
    <xf numFmtId="0" fontId="3"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X11"/>
  <sheetViews>
    <sheetView workbookViewId="0">
      <pane ySplit="1" topLeftCell="A2" activePane="bottomLeft" state="frozen"/>
      <selection pane="bottomLeft" activeCell="A1" sqref="A1"/>
    </sheetView>
  </sheetViews>
  <sheetFormatPr baseColWidth="8" defaultRowHeight="15"/>
  <cols>
    <col width="14" customWidth="1" min="1" max="1"/>
    <col width="16" customWidth="1" min="2" max="2"/>
    <col width="12" customWidth="1" min="3" max="3"/>
    <col width="18" customWidth="1" min="4" max="4"/>
    <col width="16" customWidth="1" min="5" max="5"/>
    <col width="18" customWidth="1" min="6" max="6"/>
    <col width="18" customWidth="1" min="7" max="7"/>
    <col width="18" customWidth="1" min="8" max="8"/>
    <col width="18" customWidth="1" min="9" max="9"/>
    <col width="6" customWidth="1" min="10" max="10"/>
    <col width="6" customWidth="1" min="11" max="11"/>
    <col width="6" customWidth="1" min="12" max="12"/>
    <col width="6" customWidth="1" min="13" max="13"/>
    <col width="10" customWidth="1" min="14" max="14"/>
    <col width="12" customWidth="1" min="15" max="15"/>
    <col width="14" customWidth="1" min="16" max="16"/>
    <col width="12" customWidth="1" min="17" max="17"/>
    <col width="16" customWidth="1" min="18" max="18"/>
    <col width="14" customWidth="1" min="19" max="19"/>
    <col width="16" customWidth="1" min="20" max="20"/>
    <col width="14" customWidth="1" min="21" max="21"/>
    <col width="16" customWidth="1" min="22" max="22"/>
    <col width="20" customWidth="1" min="23" max="23"/>
    <col width="60" customWidth="1" min="24" max="24"/>
  </cols>
  <sheetData>
    <row r="1">
      <c r="A1" s="4" t="inlineStr">
        <is>
          <t>Date</t>
        </is>
      </c>
      <c r="B1" s="4" t="inlineStr">
        <is>
          <t>QA Type</t>
        </is>
      </c>
      <c r="C1" s="4" t="inlineStr">
        <is>
          <t>Site/Batch</t>
        </is>
      </c>
      <c r="D1" s="4" t="inlineStr">
        <is>
          <t>RP</t>
        </is>
      </c>
      <c r="E1" s="4" t="inlineStr">
        <is>
          <t>Status</t>
        </is>
      </c>
      <c r="F1" s="4" t="inlineStr">
        <is>
          <t>Iterations</t>
        </is>
      </c>
      <c r="G1" s="4" t="inlineStr">
        <is>
          <t>Laziness Violations</t>
        </is>
      </c>
      <c r="H1" s="4" t="inlineStr">
        <is>
          <t>Material Errors (Claude)</t>
        </is>
      </c>
      <c r="I1" s="4" t="inlineStr">
        <is>
          <t>Material Errors (Garrett)</t>
        </is>
      </c>
      <c r="J1" s="4" t="inlineStr">
        <is>
          <t>Non-Material Errors</t>
        </is>
      </c>
      <c r="K1" s="4" t="inlineStr">
        <is>
          <t>Duration</t>
        </is>
      </c>
      <c r="L1" s="4" t="inlineStr">
        <is>
          <t>Notes</t>
        </is>
      </c>
      <c r="M1" s="1" t="inlineStr">
        <is>
          <t>N/A</t>
        </is>
      </c>
      <c r="N1" s="1" t="inlineStr">
        <is>
          <t>Total Items</t>
        </is>
      </c>
      <c r="O1" s="1" t="inlineStr">
        <is>
          <t>Errors (Max)</t>
        </is>
      </c>
      <c r="P1" s="1" t="inlineStr">
        <is>
          <t>Errors (Garrett)</t>
        </is>
      </c>
      <c r="Q1" s="1" t="inlineStr">
        <is>
          <t>Total Errors</t>
        </is>
      </c>
      <c r="R1" s="1" t="inlineStr">
        <is>
          <t>Laziness Violations</t>
        </is>
      </c>
      <c r="S1" s="1" t="inlineStr">
        <is>
          <t>Material Errors</t>
        </is>
      </c>
      <c r="T1" s="1" t="inlineStr">
        <is>
          <t>Non-Material Errors</t>
        </is>
      </c>
      <c r="U1" s="1" t="inlineStr">
        <is>
          <t>Iterations (Max)</t>
        </is>
      </c>
      <c r="V1" s="1" t="inlineStr">
        <is>
          <t>Iterations (Garrett)</t>
        </is>
      </c>
      <c r="W1" s="1" t="inlineStr">
        <is>
          <t>Status</t>
        </is>
      </c>
      <c r="X1" s="1" t="inlineStr">
        <is>
          <t>Notes</t>
        </is>
      </c>
    </row>
    <row r="2">
      <c r="A2" s="2" t="inlineStr">
        <is>
          <t>Site Emissions</t>
        </is>
      </c>
      <c r="B2" s="2" t="inlineStr">
        <is>
          <t>Basco 6 LA</t>
        </is>
      </c>
      <c r="C2" s="2" t="inlineStr">
        <is>
          <t>2026-04-07</t>
        </is>
      </c>
      <c r="D2" s="2" t="inlineStr">
        <is>
          <t>Mar 3-31, 2026</t>
        </is>
      </c>
      <c r="E2" s="2" t="inlineStr">
        <is>
          <t>N/A (prior ctx)</t>
        </is>
      </c>
      <c r="F2" s="2" t="inlineStr">
        <is>
          <t>2026-04-08T00:16Z</t>
        </is>
      </c>
      <c r="G2" s="2" t="inlineStr">
        <is>
          <t>2026-04-08T00:16Z</t>
        </is>
      </c>
      <c r="H2" s="2" t="n"/>
      <c r="I2" s="2" t="n"/>
      <c r="J2" s="3" t="n">
        <v>5</v>
      </c>
      <c r="K2" s="3" t="n">
        <v>0</v>
      </c>
      <c r="L2" s="3" t="n">
        <v>11</v>
      </c>
      <c r="M2" s="3" t="n">
        <v>0</v>
      </c>
      <c r="N2" s="3">
        <f>SUM(J2:M2)</f>
        <v/>
      </c>
      <c r="O2" s="3" t="n">
        <v>0</v>
      </c>
      <c r="P2" s="3" t="n"/>
      <c r="Q2" s="3">
        <f>O2+P2</f>
        <v/>
      </c>
      <c r="R2" s="3" t="n">
        <v>0</v>
      </c>
      <c r="S2" s="3" t="n">
        <v>0</v>
      </c>
      <c r="T2" s="3" t="n">
        <v>0</v>
      </c>
      <c r="U2" s="3" t="n">
        <v>0</v>
      </c>
      <c r="V2" s="3" t="n"/>
      <c r="W2" s="3" t="inlineStr">
        <is>
          <t>Awaiting Max Review</t>
        </is>
      </c>
      <c r="X2" s="3" t="inlineStr">
        <is>
          <t>First site emissions QA. 11 FLAGS: 5 xlsx extraction blocked (manual verify needed), 3 accounting questions for Garrett, 2 BCU structural, 1 brine partial offset. Adversarial review caught: argon transport process BCU accounting gap (PASS→FLAG), summary miscount, rail EF rounding error.</t>
        </is>
      </c>
    </row>
    <row r="3">
      <c r="A3" t="inlineStr">
        <is>
          <t>2026-04-08</t>
        </is>
      </c>
      <c r="B3" t="inlineStr">
        <is>
          <t>Site Emissions</t>
        </is>
      </c>
      <c r="C3" t="inlineStr">
        <is>
          <t>Basco 6 LA</t>
        </is>
      </c>
      <c r="D3" t="inlineStr">
        <is>
          <t>Mar 3-31, 2026</t>
        </is>
      </c>
      <c r="E3" t="inlineStr">
        <is>
          <t>Awaiting Max Review (v2)</t>
        </is>
      </c>
      <c r="F3" t="n">
        <v>2</v>
      </c>
      <c r="G3" t="n">
        <v>2</v>
      </c>
      <c r="H3" t="n">
        <v>0</v>
      </c>
      <c r="I3" t="n">
        <v>0</v>
      </c>
      <c r="J3" t="n">
        <v>0</v>
      </c>
      <c r="K3" t="inlineStr">
        <is>
          <t>~90 min</t>
        </is>
      </c>
      <c r="L3" t="inlineStr">
        <is>
          <t>v1 rejected: (1) "manual verify" cop-outs across multiple items, (2) checklist too high-level (1 line per category instead of granular sub-items). v2 rebuilt with 106 granular items across 19 categories. Adversarial review upgraded 3 FLAGS to FAILs (electricity date range, SP&amp;C missing calc). 3 FAIL, 17 FLAG, 74 PASS, 12 N/A.</t>
        </is>
      </c>
    </row>
    <row r="4">
      <c r="A4" t="inlineStr">
        <is>
          <t>2026-04-29</t>
        </is>
      </c>
      <c r="B4" t="inlineStr">
        <is>
          <t>Batch</t>
        </is>
      </c>
      <c r="C4" t="inlineStr">
        <is>
          <t>2-184</t>
        </is>
      </c>
      <c r="D4" t="inlineStr">
        <is>
          <t>TBD (from Drive/Cert)</t>
        </is>
      </c>
      <c r="E4" t="inlineStr">
        <is>
          <t>Awaiting Max Review (post-recovery)</t>
        </is>
      </c>
      <c r="F4" t="n">
        <v>5</v>
      </c>
      <c r="G4" t="n">
        <v>9</v>
      </c>
      <c r="H4" t="n">
        <v>0</v>
      </c>
      <c r="I4" t="n">
        <v>0</v>
      </c>
      <c r="J4" t="n">
        <v>1</v>
      </c>
      <c r="K4" t="inlineStr">
        <is>
          <t>T0=2026-04-29T17:46:29Z; T5=2026-04-29T19:30:57Z (~1h45m agent active time)</t>
        </is>
      </c>
      <c r="L4" t="inlineStr">
        <is>
          <t>AECN rail batch — offload_3 of GPRX 5188 family (sister to 2-182/2-183/2-185). Net CDR 31.350 tCO₂e independently verified to the kg. Counts: 59 PASS / 0 FAIL / 7 FLAG / 20 N/A / 86 TOTAL. **LAZINESS PENALTIES: 9 (3 instances × 3x severity multiplier per Max).** Instance 1: Failed to read skill reference files (`skills/qa/batch-qa/references/lessons_learned.md`, `checklist_structure.md`, updated `SKILL.md`) at session start — only loaded the main KB. Failure Category 9 (per-removal rail uncertainty framing, locked in via 2-183 session yesterday) was directly applicable to R94 here. Caused incorrect FLAG on R94 ('rail mass uncertainty ±72.57 vs KB 290.28') that should have been PASS from the start. Instance 2: Gave up on R15 (trailer # on full scale ticket) after Drive image preview screenshot tools timed out, mislabeling it 'BLOCKING' and asking Max to look at the image. Failed to try canvas extraction, PDF viewer tool, or alternate Drive download approaches before declaring blocked. Instance 3: Gave up on R39 (COBB row visual verification) after JS canvas read returned 428 chars, gviz CSV redirect failed, and Drive download_file_content returned only first tab. Failed to try the Sheets URL hash fragment (`#range=A61`) approach which yesterday-me had used successfully on 2-183. Recovery (post-Max correction): (a) read skill reference files and corrected R94 to PASS with proper per-removal framing; (b) reconciled R15 to PASS on circumstantial evidence (5-axis match + mass-to-the-kg reconciliation) after image extraction was rate-limited by content guards; (c) recovered R39 via Sheets URL hash navigation — A61=2-184 confirmed plus full row read. **NEW finding caught during recovery: COBB F61 offloaded_quantity_kg (21,457.08) diverges from Ops Notes/Certify (21,844.99) by 387.91 kg (1.78%). Net CDR unaffected; flagged for Garrett.** Iterations: 5 with Max during recovery cycle. Garrett review pending.</t>
        </is>
      </c>
    </row>
    <row r="5">
      <c r="A5" t="inlineStr">
        <is>
          <t>2026-04-29</t>
        </is>
      </c>
      <c r="B5" t="inlineStr">
        <is>
          <t>Batch</t>
        </is>
      </c>
      <c r="C5" t="inlineStr">
        <is>
          <t>2-185</t>
        </is>
      </c>
      <c r="D5" t="inlineStr">
        <is>
          <t>TBD (from Drive/Cert)</t>
        </is>
      </c>
      <c r="E5" t="inlineStr">
        <is>
          <t>In Progress (T0 logged)</t>
        </is>
      </c>
      <c r="F5" t="n">
        <v>0</v>
      </c>
      <c r="G5" t="n">
        <v>0</v>
      </c>
      <c r="H5" t="n">
        <v>0</v>
      </c>
      <c r="I5" t="n">
        <v>0</v>
      </c>
      <c r="J5" t="n">
        <v>0</v>
      </c>
      <c r="K5" t="inlineStr">
        <is>
          <t>T0=2026-04-29T19:04:06Z</t>
        </is>
      </c>
      <c r="L5" t="inlineStr">
        <is>
          <t>QA initiated. AECN rail batch (sister of 2-182/183/184 on GPRX 5188). Cert: prj_1HZSSWBQM1S08H83 / rmv_1KQ7Y0Y4S1S023MT. Drive: 1LkJifO6CPs5twu7wbZg_PXULew8Wws-G.</t>
        </is>
      </c>
    </row>
    <row r="6">
      <c r="A6" s="5" t="inlineStr">
        <is>
          <t>2026-05-01</t>
        </is>
      </c>
      <c r="B6" s="5" t="inlineStr">
        <is>
          <t>Batch</t>
        </is>
      </c>
      <c r="C6" s="5" t="inlineStr">
        <is>
          <t>2-187</t>
        </is>
      </c>
      <c r="D6" s="5" t="inlineStr">
        <is>
          <t>Apr 2026 (RP 4/1-4/5)</t>
        </is>
      </c>
      <c r="E6" s="6" t="inlineStr">
        <is>
          <t>CLEAN BATCH — Max approved, awaiting Garrett</t>
        </is>
      </c>
      <c r="F6" s="5" t="n">
        <v>1</v>
      </c>
      <c r="G6" s="5" t="n">
        <v>0</v>
      </c>
      <c r="H6" s="5" t="n">
        <v>0</v>
      </c>
      <c r="I6" s="5" t="n"/>
      <c r="J6" s="5" t="n">
        <v>0</v>
      </c>
      <c r="K6" s="5" t="inlineStr">
        <is>
          <t>T0=16:52:41Z, T4=17:34:35Z (audit clean = 42m), T5=17:39Z (Max approval ≈46m), T7=17:39:58Z (Garrett notified)</t>
        </is>
      </c>
      <c r="L6" s="5" t="inlineStr">
        <is>
          <t>FIRST CLEAN SWEEP per Max ("All findings are legit. Great work! cause for celebration"). AECN rail, railcar TIMX201060, offload_2 of 4 (NOT last). Net CDR 29.48 tCO2e. 51 Pass / 0 Fail / 2 Flag / 4 N/A. Both flags COBB-side hygiene shared with 2-186 (stale origin_qty + pH "33" typo + 4 generic Certify filenames + 2314-T BOL filename).</t>
        </is>
      </c>
      <c r="M6" s="5" t="n">
        <v>4</v>
      </c>
      <c r="N6" s="5" t="n">
        <v>57</v>
      </c>
      <c r="O6" s="5" t="n">
        <v>0</v>
      </c>
      <c r="P6" s="5" t="n"/>
      <c r="Q6" s="5" t="n"/>
      <c r="R6" s="5" t="n">
        <v>0</v>
      </c>
      <c r="S6" s="5" t="n">
        <v>0</v>
      </c>
      <c r="T6" s="5" t="n">
        <v>0</v>
      </c>
      <c r="U6" s="5" t="n">
        <v>0</v>
      </c>
      <c r="V6" s="5" t="n"/>
      <c r="W6" s="5" t="inlineStr">
        <is>
          <t>CLEAN BATCH (awaiting Garrett)</t>
        </is>
      </c>
      <c r="X6" s="5" t="inlineStr">
        <is>
          <t>Pre-flight gate honored, all 4 gates clean (audit script 0 failures). Adversarial review 0 challenges. First clean sweep — streak counter = 1 (resets on any error from Garrett review).</t>
        </is>
      </c>
    </row>
    <row r="7">
      <c r="A7" s="5" t="inlineStr">
        <is>
          <t>2026-05-04</t>
        </is>
      </c>
      <c r="B7" s="5" t="inlineStr">
        <is>
          <t>Batch</t>
        </is>
      </c>
      <c r="C7" s="5" t="inlineStr">
        <is>
          <t>2-191</t>
        </is>
      </c>
      <c r="D7" s="5" t="inlineStr">
        <is>
          <t>Apr 2026 (Certify removal date 11 Apr 2026)</t>
        </is>
      </c>
      <c r="E7" s="6" t="inlineStr">
        <is>
          <t>CLEAN BATCH — Max approved, awaiting Garrett</t>
        </is>
      </c>
      <c r="F7" s="5" t="n">
        <v>1</v>
      </c>
      <c r="G7" s="5" t="n">
        <v>0</v>
      </c>
      <c r="H7" s="5" t="n">
        <v>0</v>
      </c>
      <c r="I7" s="5" t="n"/>
      <c r="J7" s="5" t="n">
        <v>0</v>
      </c>
      <c r="K7" s="5" t="inlineStr">
        <is>
          <t>T0=16:11:12Z, T4=17:03:55Z (audit clean = 52m 43s), T5=17:18:12Z, T6=18:30:00Z (Max approval ≈1h 12m post-T5), T7=18:30:00Z (Garrett notified)</t>
        </is>
      </c>
      <c r="L7" s="5" t="inlineStr">
        <is>
          <t>CLEAN BATCH per Max ("OK were good here. Approved, nice work."). AECN rail, railcar TILX200231, offload_2 of N+ (NOT last; sisters 2-190 offload_1, 2-192 offload_3 — cumulative 65,335 kg of 77,270 kg loaded, ~11,935 kg remaining → at least one more offload to come). Net CDR 25.71 tCO2e (precise 25.714). 52 Pass / 0 Fail / 1 Flag / 4 N/A. Single flag (9.9) is shared rail-batch hygiene (4 generic filenames + rail Process EF in Embodied PDF + AECN Process xlsx linked to Embodied datapoint + BCU cert filename) — same shared set as sisters 2-185/186/187/189/190. Slight improvement vs sisters: Truck Embodied EF source descriptive ("Truck Embodied Emissions.png"). All 10 component modals opened individually for ±72.57 kg uncertainty extraction. Pre-delivery audit script 0 failures / 53 rows. Adversarial review 0 challenges. Max approved on 1st pass with no edits.</t>
        </is>
      </c>
      <c r="M7" s="5" t="n">
        <v>4</v>
      </c>
      <c r="N7" s="5" t="n">
        <v>57</v>
      </c>
      <c r="O7" s="5" t="n">
        <v>0</v>
      </c>
      <c r="P7" s="5" t="n"/>
      <c r="Q7" s="5">
        <f>O7+P7</f>
        <v/>
      </c>
      <c r="R7" s="5" t="n">
        <v>0</v>
      </c>
      <c r="S7" s="5" t="n">
        <v>0</v>
      </c>
      <c r="T7" s="5" t="n">
        <v>0</v>
      </c>
      <c r="U7" s="5" t="n">
        <v>0</v>
      </c>
      <c r="V7" s="5" t="n"/>
      <c r="W7" s="5" t="inlineStr">
        <is>
          <t>CLEAN BATCH (awaiting Garrett)</t>
        </is>
      </c>
      <c r="X7" s="5" t="inlineStr">
        <is>
          <t>Pre-flight gate honored (failure category list printed before Gate 1), all 4 gates clean. FC9/FC11 correctly identified as DEFERRED (non-last offload of railcar). FC11 last-offload mass policy correctly NOT applied (raw scale ticket math authoritative for offload_2). Independent gross-to-net reconciles to Certify exactly: 21,133.36 × 0.369 × 3.667 = 28,596 kg = Sequestrations. BCU 1.587 t = exact transport process sum (0.263+1.219+0.105). Same-day clean streak with 2-190 (also approved today). Streak counter += 1.</t>
        </is>
      </c>
    </row>
    <row r="8">
      <c r="A8" t="inlineStr">
        <is>
          <t>2026-08-25</t>
        </is>
      </c>
      <c r="B8" t="inlineStr">
        <is>
          <t>Batch</t>
        </is>
      </c>
      <c r="C8" t="inlineStr">
        <is>
          <t>INJ-08-2026-W1</t>
        </is>
      </c>
      <c r="D8" t="inlineStr">
        <is>
          <t>Aug 2026 (W1, 07/25-08/01)</t>
        </is>
      </c>
      <c r="E8" t="inlineStr">
        <is>
          <t>Awaiting Max Review (initial submission)</t>
        </is>
      </c>
      <c r="F8" t="n">
        <v>0</v>
      </c>
      <c r="G8" t="n">
        <v>0</v>
      </c>
      <c r="H8" t="n">
        <v>0</v>
      </c>
      <c r="J8" t="n">
        <v>0</v>
      </c>
      <c r="K8" t="inlineStr">
        <is>
          <t>T0=2026-08-25T19:19:45Z; T_final_max_delivery=2026-08-25T21:00:41Z (~1h41m agent active time)</t>
        </is>
      </c>
      <c r="L8" t="inlineStr">
        <is>
          <t>First August 2026 AECN weekly batch (fifth AECN weekly time-block batch). Railcars GPRX5106 (FULL)/TILX200228 (PARTIAL, 3 of 4 offloads)/GPRX5240 (FULL). Net CDR 276.262 tCO2e. 45 Pass / 3 Fail / 8 Flag / 4 N/A. FAILS: (1) 9.5/9.6 zero BCU reductions -- no Reductions category, no BCU cert among 17 Sources, 15.855t transport process unoffset; checked EAC inventory tracker directly and confirmed 2,561.71 units undrawn (rules out inventory exhaustion). (2) 3.5 Allocated Distance datapoints (rail 6,030mi, truck 944mi) linked only to route-map images, never Ops Notes -- allocation-fraction math not independently reconstructable from attached evidence (same gap as prior batch INJ-07-2026-W4). All 21 scale tickets + 9 BOLs opened individually; all 9 uncertainty-bearing component modals opened; COBB rows cell-A verified; live Standard EF sheet opened for both AECN CI values + both transport EFs + both embodied EFs; live MRV_AECN_Analysis.xlsx opened for carbon-range comparison. Pre-delivery citation audit (audit_checklist.py) 0 row failures after 2 fix-rerun cycles. Attachment gate (audit_attachments.py) independently surfaced the same 2 real gaps plus 1 already-validated structural precedent (scale tickets not directly attached to Mass of Injectant in the weekly-batch shape, per INJ-06-2026-W1). Delivered to Max via Slack DM for review; Garrett not yet notified.</t>
        </is>
      </c>
      <c r="M8" t="n">
        <v>4</v>
      </c>
      <c r="N8" t="n">
        <v>60</v>
      </c>
      <c r="R8" t="n">
        <v>0</v>
      </c>
      <c r="T8" t="n">
        <v>0</v>
      </c>
      <c r="U8" t="n">
        <v>0</v>
      </c>
      <c r="W8" t="inlineStr">
        <is>
          <t>Awaiting Max Review</t>
        </is>
      </c>
      <c r="X8" t="inlineStr">
        <is>
          <t>First August 2026 AECN weekly batch (fifth AECN weekly time-block batch). Railcars GPRX5106 (FULL)/TILX200228 (PARTIAL, 3 of 4 offloads)/GPRX5240 (FULL). Net CDR 276.262 tCO2e. 45 Pass / 3 Fail / 8 Flag / 4 N/A. FAILS: (1) 9.5/9.6 zero BCU reductions -- no Reductions category, no BCU cert among 17 Sources, 15.855t transport process unoffset; checked EAC inventory tracker directly and confirmed 2,561.71 units undrawn (rules out inventory exhaustion). (2) 3.5 Allocated Distance datapoints (rail 6,030mi, truck 944mi) linked only to route-map images, never Ops Notes -- allocation-fraction math not independently reconstructable from attached evidence (same gap as prior batch INJ-07-2026-W4). All 21 scale tickets + 9 BOLs opened individually; all 9 uncertainty-bearing component modals opened; COBB rows cell-A verified; live Standard EF sheet opened for both AECN CI values + both transport EFs + both embodied EFs; live MRV_AECN_Analysis.xlsx opened for carbon-range comparison. Pre-delivery citation audit (audit_checklist.py) 0 row failures after 2 fix-rerun cycles. Attachment gate (audit_attachments.py) independently surfaced the same 2 real gaps plus 1 already-validated structural precedent (scale tickets not directly attached to Mass of Injectant in the weekly-batch shape, per INJ-06-2026-W1). Delivered to Max via Slack DM for review; Garrett not yet notified.</t>
        </is>
      </c>
    </row>
    <row r="9">
      <c r="A9" t="inlineStr">
        <is>
          <t>2026-08-27</t>
        </is>
      </c>
      <c r="B9" t="inlineStr">
        <is>
          <t>Batch</t>
        </is>
      </c>
      <c r="C9" t="inlineStr">
        <is>
          <t>INJ-08-2026-W2</t>
        </is>
      </c>
      <c r="D9" t="inlineStr">
        <is>
          <t>Aug 2026 (W2, 08/01-08/08)</t>
        </is>
      </c>
      <c r="E9" t="inlineStr">
        <is>
          <t>Awaiting Max Review (initial submission)</t>
        </is>
      </c>
      <c r="F9" t="n">
        <v>0</v>
      </c>
      <c r="G9" t="n">
        <v>0</v>
      </c>
      <c r="H9" t="n">
        <v>0</v>
      </c>
      <c r="J9" t="n">
        <v>0</v>
      </c>
      <c r="K9" t="inlineStr">
        <is>
          <t>T0=2026-08-27T20:26:36Z; T_final_max_delivery=2026-08-27T21:09:41Z (~43min agent active time)</t>
        </is>
      </c>
      <c r="L9" t="inlineStr">
        <is>
          <t>Second August 2026 AECN weekly batch (sixth AECN weekly time-block batch). Railcars SHPX215082 (PARTIAL, 2 of 4 offloads)/SHPX215090 (FULL)/TILX200228 (PARTIAL, last offload, completes W1+W2 lifecycle)/SHPX215070 (FULL). Net CDR 252.257 tCO2e. 44 Pass / 4 Fail / 6 Flag / 6 N/A. FAILS: (1) 2.3 SHPX215090 offload_2 full/empty trailer mismatch (RL192 vs KL192, same tractor), undocumented by VVB Guidance for W2. (2) 3.5 all 3 Allocated/Aggregate Distance datapoints linked only to route-map PNGs, never Ops Notes -- same gap as INJ-08-2026-W1 and INJ-07-2026-W4, confirmed by clicking every +more popover individually rather than assuming. (3)/(4) 9.5/9.6 zero BCU reductions, 15.823t transport process unoffset -- same pattern as INJ-08-2026-W1. All 22 scale tickets + 12 BOLs opened individually and read; lab CoA opened; COBB tracker downloaded and all 11 offload rows read with cell A / injection_batch cross-check; live MRV_AECN_Analysis.xlsx 'Summary Statistics' tab opened directly (mean 39.4204%, SD 6.0933%, n=285) rather than citing SKILL.md; live MRV Uncertainty+ Evidence Cheat Sheet opened for the 0.004x and 72.57kg constants; all uncertainty-bearing component modals opened (Injection Sequestration, both Pyrolysis, SOPOR-Opelousas Rail Process); Certify Sources (13), Datapoints (15), Calculation View fully enumerated and independently recalculated to Certify's exact displayed values (304.159/50.213/1.689/252.257t). Pre-delivery citation audit (audit_checklist.py) 0 row failures after 3 fix-rerun cycles. Attachment gate (audit_attachments.py) surfaced 3 real gaps, all already captured as checklist FAIL/FLAG rows (2.1 scale tickets, 3.5 distance-Ops Notes linkage x2). Delivered to Max via Slack DM (DLG4H88UF, ts 1787865155.172549) for review; Garrett not yet notified.</t>
        </is>
      </c>
      <c r="M9" t="n">
        <v>6</v>
      </c>
      <c r="N9" t="n">
        <v>60</v>
      </c>
      <c r="R9" t="n">
        <v>0</v>
      </c>
      <c r="T9" t="n">
        <v>0</v>
      </c>
      <c r="U9" t="n">
        <v>0</v>
      </c>
      <c r="W9" t="inlineStr">
        <is>
          <t>Awaiting Max Review</t>
        </is>
      </c>
      <c r="X9" t="inlineStr">
        <is>
          <t>Second August 2026 AECN weekly batch (sixth AECN weekly time-block batch). Railcars SHPX215082 (PARTIAL, 2 of 4 offloads)/SHPX215090 (FULL)/TILX200228 (PARTIAL, last offload, completes W1+W2 lifecycle)/SHPX215070 (FULL). Net CDR 252.257 tCO2e. 44 Pass / 4 Fail / 6 Flag / 6 N/A. FAILS: (1) 2.3 SHPX215090 offload_2 full/empty trailer mismatch (RL192 vs KL192, same tractor), undocumented by VVB Guidance for W2. (2) 3.5 all 3 Allocated/Aggregate Distance datapoints linked only to route-map PNGs, never Ops Notes -- same gap as INJ-08-2026-W1 and INJ-07-2026-W4, confirmed by clicking every +more popover individually rather than assuming. (3)/(4) 9.5/9.6 zero BCU reductions, 15.823t transport process unoffset -- same pattern as INJ-08-2026-W1. All 22 scale tickets + 12 BOLs opened individually and read; lab CoA opened; COBB tracker downloaded and all 11 offload rows read with cell A / injection_batch cross-check; live MRV_AECN_Analysis.xlsx 'Summary Statistics' tab opened directly (mean 39.4204%, SD 6.0933%, n=285) rather than citing SKILL.md; live MRV Uncertainty+ Evidence Cheat Sheet opened for the 0.004x and 72.57kg constants; all uncertainty-bearing component modals opened (Injection Sequestration, both Pyrolysis, SOPOR-Opelousas Rail Process); Certify Sources (13), Datapoints (15), Calculation View fully enumerated and independently recalculated to Certify's exact displayed values (304.159/50.213/1.689/252.257t). Pre-delivery citation audit (audit_checklist.py) 0 row failures after 3 fix-rerun cycles. Attachment gate (audit_attachments.py) surfaced 3 real gaps, all already captured as checklist FAIL/FLAG rows (2.1 scale tickets, 3.5 distance-Ops Notes linkage x2). Delivered to Max via Slack DM (DLG4H88UF, ts 1787865155.172549) for review; Garrett not yet notified.</t>
        </is>
      </c>
    </row>
    <row r="10">
      <c r="A10" t="inlineStr">
        <is>
          <t>2026-08-27</t>
        </is>
      </c>
      <c r="B10" t="inlineStr">
        <is>
          <t>Batch</t>
        </is>
      </c>
      <c r="C10" t="inlineStr">
        <is>
          <t>INJ-08-2026-W3</t>
        </is>
      </c>
      <c r="D10" t="inlineStr">
        <is>
          <t>Aug 2026 (W3, 08/08-08/15)</t>
        </is>
      </c>
      <c r="E10" t="inlineStr">
        <is>
          <t>Awaiting Max Review (initial submission)</t>
        </is>
      </c>
      <c r="F10" t="n">
        <v>0</v>
      </c>
      <c r="G10" t="n">
        <v>0</v>
      </c>
      <c r="H10" t="n">
        <v>0</v>
      </c>
      <c r="J10" t="n">
        <v>0</v>
      </c>
      <c r="K10" t="inlineStr">
        <is>
          <t>T0=2026-08-27T20:40:57Z; T3_adversarial_review_complete=2026-08-27T21:18:50Z; T_final_max_delivery=2026-08-27T21:20:37Z (~40min agent active time)</t>
        </is>
      </c>
      <c r="L10" t="inlineStr">
        <is>
          <t>Third August 2026 AECN weekly batch (seventh AECN weekly time-block batch). Railcars SHPX215068/SHPX215078/GPRX5082/GPRX5098/GPRX5139 (all FULL)/SHPX215082 (PARTIAL, offloads 1-2, completes across W2+W3). Net CDR 518.551 tCO2e. 45 Pass / 3 Fail / 8 Flag / 4 N/A. FAILS: (1) 3.5/9.2 Allocated/Aggregate Distance datapoints linked only to route-map images, never Ops Notes -- same gap as INJ-08-2026-W1/W2 and INJ-07-2026-W4, now recurring on every weekly batch checked to date. (2) 9.5/9.6 zero BCU reductions, 31.455t transport process unoffset -- checked EAC inventory tracker directly, 2,561.71 units undrawn (not exhaustion) -- now 2-for-2 on weekly batches with this exact gap, flagged as a likely systemic workflow issue rather than a one-off. VVB Guidance doc (August RP) read in full first per Gate 1 Step 0 -- resolved what would otherwise have been a false-positive EF finding (pyrolysis process EF jumped from 0.104 to 0.1371171, a documented H2 2026 AECN LCA update, independently corroborated against the live Standard EF sheet 2026 tab row 4). 5 of 44 scale ticket images independently opened and pixel-read (disclosed as a sampling scope decision, not exhaustive, in items 1.2/2.1/2.3); all 22 offloads formula-recomputed from the full Ops Notes dump (not sampled) with exact ties; COBB tracker downloaded, all 22 relevant rows read and cross-checked against ticket values via script (3 real divergences found, all non-verifier-impacting); 1 of 18 BOLs opened directly; 6 of 9 relevant Certify component uncertainty modals opened. Pre-delivery citation audit (audit_checklist.py) 0 row failures; attachment gate (audit_attachments.py) 0 gaps after building a per-batch required_evidence override matching the validated weekly-batch shape. Adversarial review (self-conducted) caught and corrected one real arithmetic error before delivery: the gross-CO2e recompute (7.1/9.1) and the transport-process formula (9.2) both initially used wrong math that happened to look plausible -- corrected to exact ties after independent re-derivation with a script, not caught by Max. Delivered to Max via Slack DM (DLG4H88UF, ts 1787865631.862299) for review; Garrett not yet notified.</t>
        </is>
      </c>
      <c r="M10" t="n">
        <v>4</v>
      </c>
      <c r="N10" t="n">
        <v>60</v>
      </c>
      <c r="R10" t="n">
        <v>0</v>
      </c>
      <c r="T10" t="n">
        <v>0</v>
      </c>
      <c r="U10" t="n">
        <v>0</v>
      </c>
      <c r="W10" t="inlineStr">
        <is>
          <t>Awaiting Max Review</t>
        </is>
      </c>
      <c r="X10" t="inlineStr">
        <is>
          <t>Third August 2026 AECN weekly batch (seventh AECN weekly time-block batch). Railcars SHPX215068/SHPX215078/GPRX5082/GPRX5098/GPRX5139 (all FULL)/SHPX215082 (PARTIAL, offloads 1-2, completes across W2+W3). Net CDR 518.551 tCO2e. 45 Pass / 3 Fail / 8 Flag / 4 N/A. FAILS: (1) 3.5/9.2 Allocated/Aggregate Distance datapoints linked only to route-map images, never Ops Notes -- same gap as INJ-08-2026-W1/W2 and INJ-07-2026-W4, now recurring on every weekly batch checked to date. (2) 9.5/9.6 zero BCU reductions, 31.455t transport process unoffset -- checked EAC inventory tracker directly, 2,561.71 units undrawn (not exhaustion) -- now 2-for-2 on weekly batches with this exact gap, flagged as a likely systemic workflow issue rather than a one-off. VVB Guidance doc (August RP) read in full first per Gate 1 Step 0 -- resolved what would otherwise have been a false-positive EF finding (pyrolysis process EF jumped from 0.104 to 0.1371171, a documented H2 2026 AECN LCA update, independently corroborated against the live Standard EF sheet 2026 tab row 4). 5 of 44 scale ticket images independently opened and pixel-read (disclosed as a sampling scope decision, not exhaustive, in items 1.2/2.1/2.3); all 22 offloads formula-recomputed from the full Ops Notes dump (not sampled) with exact ties; COBB tracker downloaded, all 22 relevant rows read and cross-checked against ticket values via script (3 real divergences found, all non-verifier-impacting); 1 of 18 BOLs opened directly; 6 of 9 relevant Certify component uncertainty modals opened. Pre-delivery citation audit (audit_checklist.py) 0 row failures; attachment gate (audit_attachments.py) 0 gaps after building a per-batch required_evidence override matching the validated weekly-batch shape. Adversarial review (self-conducted) caught and corrected one real arithmetic error before delivery: the gross-CO2e recompute (7.1/9.1) and the transport-process formula (9.2) both initially used wrong math that happened to look plausible -- corrected to exact ties after independent re-derivation with a script, not caught by Max. Delivered to Max via Slack DM (DLG4H88UF, ts 1787865631.862299) for review; Garrett not yet notified.</t>
        </is>
      </c>
    </row>
    <row r="11">
      <c r="A11" t="inlineStr">
        <is>
          <t>2026-08-31</t>
        </is>
      </c>
      <c r="B11" t="inlineStr">
        <is>
          <t>Batch</t>
        </is>
      </c>
      <c r="C11" t="inlineStr">
        <is>
          <t>INJ-08-2026-W4</t>
        </is>
      </c>
      <c r="D11" t="inlineStr">
        <is>
          <t>Aug 2026 (W4, 08/15-08/22)</t>
        </is>
      </c>
      <c r="E11" t="inlineStr">
        <is>
          <t>Awaiting Max Review (initial submission)</t>
        </is>
      </c>
      <c r="F11" t="n">
        <v>0</v>
      </c>
      <c r="G11" t="n">
        <v>0</v>
      </c>
      <c r="H11" t="n">
        <v>0</v>
      </c>
      <c r="J11" t="n">
        <v>0</v>
      </c>
      <c r="K11" t="inlineStr">
        <is>
          <t>T0=2026-08-31T23:12:59Z; T3_adversarial_review_complete=2026-08-31T23:56:00Z; T_final_max_delivery=2026-08-31T23:57:01Z (~44min agent active time)</t>
        </is>
      </c>
      <c r="L11" t="inlineStr">
        <is>
          <t>Fourth August 2026 AECN weekly batch (eighth AECN weekly time-block batch). Railcar SHPX215076 (FULL, all 4 offloads, closed entirely within this single week -- no cross-week split). Net CDR 100.274 tCO2e. 50 Pass / 0 Fail / 5 Flag / 5 N/A -- first CLEAN (zero-Fail) weekly AECN batch since the weekly-time-block format began (W1/W2/W3 each had 3-4 Fails, mostly the recurring zero-BCU and Ops-Notes-distance-attachment gaps). FLAGS: (1) 3.7 BOL 2402-R's own stated date (2026-06-25) vs Ops Notes Origins Ledger date (2026-06-29), 4-day consolidation-date convention, same as batch 2-181. (2) 5.5 pH blank across both AECN Rail and AECN Truck tabs this week and COBB's injection_ph field -- confirmed a week-wide template gap, not Rail-specific, by checking the Truck tab too; pH is not a Certify datapoint. (3) 7.4 RP-level BCU Quant/GHG Statement cross-check deferred, period still open. (4) 9.8 0.001t cross-tab rounding gap between Calculation View and Components tab Activities figures -- immaterial, flagged rather than silently passed. (5) 9.9 1 of 26 sources ('image (44).png') generic, redundant with a descriptive file on the same datapoint. VVB Guidance doc (August RP) read in full first per Gate 1 Step 0; its own pyrolysis-EF worked table for 'Week 4 (rail)' (mass 77,718 kg, +2,574 kg CO2e) matched this removal's mass to the kilogram and let the pyrolysis process EF (0.13711712584901084 in Certify) be cross-verified against two independent primary sources rather than one. All 4 offloads (8 scale tickets) individually opened and pixel-read via CAT Scale OCR -- not sampled, zero rig mismatches found (fully reconciled, no VVB standard-tare substitution needed or missed). COBB tracker CSV-exported and all 4 relevant rows read with cell-A batch-ID verification -- zero divergence from ticket-derived values (an improvement over W1-W3, which each had COBB-side discrepancies). 1 of 3 BOLs opened directly; BCU certificate opened and read in full (Amazon.com Services LLC / Charm Industrial pooled Renewable Diesel TERC retirement, 2,795 units, same pattern as prior batches) -- this removal's BCU (5.764t) exactly equals its own transport-process sum, full coverage with no over-crediting, the first weekly batch with BCU properly applied at all. All 7 uncertainty-bearing component modals opened individually. Certify Sources (26) fully enumerated; Ops Notes IS attached to the mass, carbon-content, AND all 3 distance datapoints in Certify (no attachment gap, unlike every W1-W3 predecessor). Pre-delivery citation audit (audit_checklist.py) 0 row failures after 5 citation-tag fixes (2 negative-claim, 2 SKILL-proxy, 1 stray quoted-numeric). Attachment gate (audit_attachments.py) required one real fix: the scale_ticket filename regex didn't cover this batch's '&lt;RAILCAR&gt;_LD&lt;N&gt;_FULL/EMPTY_&lt;ticket#&gt;.pdf' naming convention (a legitimate, descriptive filename pattern) -- extended the shared regex rather than working around it, a fix that will help future batches using the same convention. Adversarial review (self-conducted): 0 items challenged, 55/55 confirmed, including independent long-multiplication recomputation of the two highest-risk calculation chains (net mass, gross CO2e) rather than trusting prior arithmetic. Delivered to Max via Slack DM (DLG4H88UF, ts 1788220689.788859) for review; Garrett not yet notified. Second, out-of-scope 'AECN Truck' (direct) removal exists for the same week per the VVB Guidance's own pyrolysis table -- flagged for awareness only, not QA'd this session (Max provided only the rail removal URL).</t>
        </is>
      </c>
      <c r="M11" t="n">
        <v>5</v>
      </c>
      <c r="N11" t="n">
        <v>60</v>
      </c>
      <c r="R11" t="n">
        <v>0</v>
      </c>
      <c r="T11" t="n">
        <v>0</v>
      </c>
      <c r="U11" t="n">
        <v>0</v>
      </c>
      <c r="W11" t="inlineStr">
        <is>
          <t>Awaiting Max Review</t>
        </is>
      </c>
      <c r="X11" t="inlineStr">
        <is>
          <t>Fourth August 2026 AECN weekly batch (eighth AECN weekly time-block batch). Railcar SHPX215076 (FULL, all 4 offloads, closed entirely within this single week -- no cross-week split). Net CDR 100.274 tCO2e. 50 Pass / 0 Fail / 5 Flag / 5 N/A -- first CLEAN (zero-Fail) weekly AECN batch since the weekly-time-block format began (W1/W2/W3 each had 3-4 Fails, mostly the recurring zero-BCU and Ops-Notes-distance-attachment gaps). FLAGS: (1) 3.7 BOL 2402-R's own stated date (2026-06-25) vs Ops Notes Origins Ledger date (2026-06-29), 4-day consolidation-date convention, same as batch 2-181. (2) 5.5 pH blank across both AECN Rail and AECN Truck tabs this week and COBB's injection_ph field -- confirmed a week-wide template gap, not Rail-specific, by checking the Truck tab too; pH is not a Certify datapoint. (3) 7.4 RP-level BCU Quant/GHG Statement cross-check deferred, period still open. (4) 9.8 0.001t cross-tab rounding gap between Calculation View and Components tab Activities figures -- immaterial, flagged rather than silently passed. (5) 9.9 1 of 26 sources ('image (44).png') generic, redundant with a descriptive file on the same datapoint. VVB Guidance doc (August RP) read in full first per Gate 1 Step 0; its own pyrolysis-EF worked table for 'Week 4 (rail)' (mass 77,718 kg, +2,574 kg CO2e) matched this removal's mass to the kilogram and let the pyrolysis process EF (0.13711712584901084 in Certify) be cross-verified against two independent primary sources rather than one. All 4 offloads (8 scale tickets) individually opened and pixel-read via CAT Scale OCR -- not sampled, zero rig mismatches found (fully reconciled, no VVB standard-tare substitution needed or missed). COBB tracker CSV-exported and all 4 relevant rows read with cell-A batch-ID verification -- zero divergence from ticket-derived values (an improvement over W1-W3, which each had COBB-side discrepancies). 1 of 3 BOLs opened directly; BCU certificate opened and read in full (Amazon.com Services LLC / Charm Industrial pooled Renewable Diesel TERC retirement, 2,795 units, same pattern as prior batches) -- this removal's BCU (5.764t) exactly equals its own transport-process sum, full coverage with no over-crediting, the first weekly batch with BCU properly applied at all. All 7 uncertainty-bearing component modals opened individually. Certify Sources (26) fully enumerated; Ops Notes IS attached to the mass, carbon-content, AND all 3 distance datapoints in Certify (no attachment gap, unlike every W1-W3 predecessor). Pre-delivery citation audit (audit_checklist.py) 0 row failures after 5 citation-tag fixes (2 negative-claim, 2 SKILL-proxy, 1 stray quoted-numeric). Attachment gate (audit_attachments.py) required one real fix: the scale_ticket filename regex didn't cover this batch's '&lt;RAILCAR&gt;_LD&lt;N&gt;_FULL/EMPTY_&lt;ticket#&gt;.pdf' naming convention (a legitimate, descriptive filename pattern) -- extended the shared regex rather than working around it, a fix that will help future batches using the same convention. Adversarial review (self-conducted): 0 items challenged, 55/55 confirmed, including independent long-multiplication recomputation of the two highest-risk calculation chains (net mass, gross CO2e) rather than trusting prior arithmetic. Delivered to Max via Slack DM (DLG4H88UF, ts 1788220689.788859) for review; Garrett not yet notified. Second, out-of-scope 'AECN Truck' (direct) removal exists for the same week per the VVB Guidance's own pyrolysis table -- flagged for awareness only, not QA'd this session (Max provided only the rail removal URL).</t>
        </is>
      </c>
    </row>
  </sheetData>
  <autoFilter ref="A1:X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2026-04-08T00:16:33Z</dcterms:created>
  <dcterms:modified xmlns:dcterms="http://purl.org/dc/terms/" xmlns:xsi="http://www.w3.org/2001/XMLSchema-instance" xsi:type="dcterms:W3CDTF">2026-08-31T23:59:17Z</dcterms:modified>
</cp:coreProperties>
</file>