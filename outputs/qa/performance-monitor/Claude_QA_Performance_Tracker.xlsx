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rformance Log" sheetId="1" state="visible" r:id="rId1"/>
  </sheets>
  <definedNames>
    <definedName name="_xlnm._FilterDatabase" localSheetId="0" hidden="1">'Performance Log'!$A$1:$X$1</definedName>
  </definedNames>
  <calcPr calcId="124519" fullCalcOnLoad="1"/>
</workbook>
</file>

<file path=xl/styles.xml><?xml version="1.0" encoding="utf-8"?>
<styleSheet xmlns="http://schemas.openxmlformats.org/spreadsheetml/2006/main">
  <numFmts count="1">
    <numFmt numFmtId="164" formatCode="yyyy-mm-dd hh:mm:ss"/>
  </numFmts>
  <fonts count="4">
    <font>
      <name val="Calibri"/>
      <family val="2"/>
      <color theme="1"/>
      <sz val="11"/>
      <scheme val="minor"/>
    </font>
    <font>
      <name val="Arial"/>
      <b val="1"/>
      <color rgb="00FFFFFF"/>
      <sz val="10"/>
    </font>
    <font>
      <name val="Arial"/>
      <sz val="10"/>
    </font>
    <font>
      <b val="1"/>
    </font>
  </fonts>
  <fills count="4">
    <fill>
      <patternFill/>
    </fill>
    <fill>
      <patternFill patternType="gray125"/>
    </fill>
    <fill>
      <patternFill patternType="solid">
        <fgColor rgb="004472C4"/>
        <bgColor rgb="004472C4"/>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wrapText="1"/>
    </xf>
    <xf numFmtId="0" fontId="2" fillId="0" borderId="1" applyAlignment="1" pivotButton="0" quotePrefix="0" xfId="0">
      <alignment horizontal="center"/>
    </xf>
    <xf numFmtId="0" fontId="2" fillId="0" borderId="1" pivotButton="0" quotePrefix="0" xfId="0"/>
    <xf numFmtId="0" fontId="3" fillId="2" borderId="1" applyAlignment="1" pivotButton="0" quotePrefix="0" xfId="0">
      <alignment horizontal="center" wrapText="1"/>
    </xf>
    <xf numFmtId="0" fontId="0" fillId="3" borderId="0" pivotButton="0" quotePrefix="0" xfId="0"/>
    <xf numFmtId="0" fontId="3" fillId="3" borderId="0" pivotButton="0" quotePrefix="0" xfId="0"/>
    <xf numFmtId="2" fontId="0" fillId="0"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U18"/>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8" customWidth="1" min="4" max="4"/>
    <col width="16" customWidth="1" min="5" max="5"/>
    <col width="18" customWidth="1" min="6" max="6"/>
    <col width="18" customWidth="1" min="7" max="7"/>
    <col width="18" customWidth="1" min="8" max="8"/>
    <col width="18" customWidth="1" min="9" max="9"/>
    <col width="6" customWidth="1" min="10" max="10"/>
    <col width="6" customWidth="1" min="11" max="11"/>
    <col width="6" customWidth="1" min="12" max="12"/>
    <col width="6" customWidth="1" min="13" max="13"/>
    <col width="10" customWidth="1" min="14" max="14"/>
    <col width="12" customWidth="1" min="15" max="15"/>
    <col width="14" customWidth="1" min="16" max="16"/>
    <col width="12" customWidth="1" min="17" max="17"/>
    <col width="16" customWidth="1" min="18" max="18"/>
    <col width="14" customWidth="1" min="19" max="19"/>
    <col width="16" customWidth="1" min="20" max="20"/>
    <col width="14" customWidth="1" min="21" max="21"/>
    <col width="16" customWidth="1" min="22" max="22"/>
    <col width="20" customWidth="1" min="23" max="23"/>
    <col width="60" customWidth="1" min="24" max="24"/>
    <col width="7" customWidth="1" min="25" max="25"/>
    <col width="7" customWidth="1" min="26" max="26"/>
    <col width="7"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s>
  <sheetData>
    <row r="1">
      <c r="A1" s="4" t="inlineStr">
        <is>
          <t>Date</t>
        </is>
      </c>
      <c r="B1" s="4" t="inlineStr">
        <is>
          <t>QA Type</t>
        </is>
      </c>
      <c r="C1" s="4" t="inlineStr">
        <is>
          <t>Site/Batch</t>
        </is>
      </c>
      <c r="D1" s="4" t="inlineStr">
        <is>
          <t>RP</t>
        </is>
      </c>
      <c r="E1" s="4" t="inlineStr">
        <is>
          <t>Status</t>
        </is>
      </c>
      <c r="F1" s="4" t="inlineStr">
        <is>
          <t>Iterations</t>
        </is>
      </c>
      <c r="G1" s="4" t="inlineStr">
        <is>
          <t>Laziness Violations</t>
        </is>
      </c>
      <c r="H1" s="4" t="inlineStr">
        <is>
          <t>Material Errors (Claude)</t>
        </is>
      </c>
      <c r="I1" s="4" t="inlineStr">
        <is>
          <t>Material Errors (Garrett)</t>
        </is>
      </c>
      <c r="J1" s="4" t="inlineStr">
        <is>
          <t>Non-Material Errors</t>
        </is>
      </c>
      <c r="K1" s="4" t="inlineStr">
        <is>
          <t>Duration</t>
        </is>
      </c>
      <c r="L1" s="4" t="inlineStr">
        <is>
          <t>Notes</t>
        </is>
      </c>
      <c r="M1" s="1" t="inlineStr">
        <is>
          <t>N/A</t>
        </is>
      </c>
      <c r="N1" s="1" t="inlineStr">
        <is>
          <t>Total Items</t>
        </is>
      </c>
      <c r="O1" s="1" t="inlineStr">
        <is>
          <t>Errors (Max)</t>
        </is>
      </c>
      <c r="P1" s="1" t="inlineStr">
        <is>
          <t>Errors (Garrett)</t>
        </is>
      </c>
      <c r="Q1" s="1" t="inlineStr">
        <is>
          <t>Total Errors</t>
        </is>
      </c>
      <c r="R1" s="1" t="inlineStr">
        <is>
          <t>Laziness Violations</t>
        </is>
      </c>
      <c r="S1" s="1" t="inlineStr">
        <is>
          <t>Material Errors</t>
        </is>
      </c>
      <c r="T1" s="1" t="inlineStr">
        <is>
          <t>Non-Material Errors</t>
        </is>
      </c>
      <c r="U1" s="1" t="inlineStr">
        <is>
          <t>Iterations (Max)</t>
        </is>
      </c>
      <c r="V1" s="1" t="inlineStr">
        <is>
          <t>Iterations (Garrett)</t>
        </is>
      </c>
      <c r="W1" s="1" t="inlineStr">
        <is>
          <t>Status</t>
        </is>
      </c>
      <c r="X1" s="1" t="inlineStr">
        <is>
          <t>Notes</t>
        </is>
      </c>
      <c r="Y1" s="1" t="inlineStr">
        <is>
          <t>Pass</t>
        </is>
      </c>
      <c r="Z1" s="1" t="inlineStr">
        <is>
          <t>Fail</t>
        </is>
      </c>
      <c r="AA1" s="1" t="inlineStr">
        <is>
          <t>Flag</t>
        </is>
      </c>
      <c r="AB1" s="1" t="inlineStr">
        <is>
          <t>T0 Initiation (UTC)</t>
        </is>
      </c>
      <c r="AC1" s="1" t="inlineStr">
        <is>
          <t>T1 Data Gathering Complete (UTC)</t>
        </is>
      </c>
      <c r="AD1" s="1" t="inlineStr">
        <is>
          <t>T2 Checklist Draft Complete (UTC)</t>
        </is>
      </c>
      <c r="AE1" s="1" t="inlineStr">
        <is>
          <t>T3 Adversarial Review Complete (UTC)</t>
        </is>
      </c>
      <c r="AF1" s="1" t="inlineStr">
        <is>
          <t>T4 Checklist Finalized (UTC)</t>
        </is>
      </c>
      <c r="AG1" s="1" t="inlineStr">
        <is>
          <t>T6 Approval (UTC)</t>
        </is>
      </c>
      <c r="AH1" s="1" t="inlineStr">
        <is>
          <t>T8 Corrections Marked Complete (UTC)</t>
        </is>
      </c>
      <c r="AI1" s="1" t="inlineStr">
        <is>
          <t>T9 Re-Review Complete (UTC)</t>
        </is>
      </c>
      <c r="AJ1" s="1" t="inlineStr">
        <is>
          <t>T10 Cycle Closed (UTC)</t>
        </is>
      </c>
      <c r="AK1" s="1" t="inlineStr">
        <is>
          <t>Data Gathering (min) [T1-T0]</t>
        </is>
      </c>
      <c r="AL1" s="1" t="inlineStr">
        <is>
          <t>Checklist Build (min) [T2-T1]</t>
        </is>
      </c>
      <c r="AM1" s="1" t="inlineStr">
        <is>
          <t>Adversarial Review (min) [T3-T2]</t>
        </is>
      </c>
      <c r="AN1" s="1" t="inlineStr">
        <is>
          <t>Finalization (min) [T4-T3]</t>
        </is>
      </c>
      <c r="AO1" s="1" t="inlineStr">
        <is>
          <t>Total Agent Time (min) [(T4-T0)+(T9-T8)]</t>
        </is>
      </c>
      <c r="AP1" s="1" t="inlineStr">
        <is>
          <t>Total Wall Clock (min) [T10-T0]</t>
        </is>
      </c>
      <c r="AQ1" s="1" t="inlineStr">
        <is>
          <t>Errors Self-Caught (QA agent)</t>
        </is>
      </c>
      <c r="AR1" s="1" t="inlineStr">
        <is>
          <t>Errors Caught by Adversarial Reviewer</t>
        </is>
      </c>
      <c r="AS1" s="1" t="inlineStr">
        <is>
          <t>Reviewer-Caught Material</t>
        </is>
      </c>
      <c r="AT1" s="1" t="inlineStr">
        <is>
          <t>Reviewer-Caught Non-Material</t>
        </is>
      </c>
      <c r="AU1" s="1" t="inlineStr">
        <is>
          <t>Reviewer-Caught Laziness</t>
        </is>
      </c>
    </row>
    <row r="2">
      <c r="A2" s="2" t="inlineStr">
        <is>
          <t>Site Emissions</t>
        </is>
      </c>
      <c r="B2" s="2" t="inlineStr">
        <is>
          <t>Basco 6 LA</t>
        </is>
      </c>
      <c r="C2" s="2" t="inlineStr">
        <is>
          <t>2026-04-07</t>
        </is>
      </c>
      <c r="D2" s="2" t="inlineStr">
        <is>
          <t>Mar 3-31, 2026</t>
        </is>
      </c>
      <c r="E2" s="2" t="inlineStr">
        <is>
          <t>N/A (prior ctx)</t>
        </is>
      </c>
      <c r="F2" s="2" t="inlineStr">
        <is>
          <t>2026-04-08T00:16Z</t>
        </is>
      </c>
      <c r="G2" s="2" t="inlineStr">
        <is>
          <t>2026-04-08T00:16Z</t>
        </is>
      </c>
      <c r="H2" s="2" t="n"/>
      <c r="I2" s="2" t="n"/>
      <c r="J2" s="3" t="n">
        <v>5</v>
      </c>
      <c r="K2" s="3" t="n">
        <v>0</v>
      </c>
      <c r="L2" s="3" t="n">
        <v>11</v>
      </c>
      <c r="M2" s="3" t="n">
        <v>0</v>
      </c>
      <c r="N2" s="3">
        <f>SUM(J2:M2)</f>
        <v/>
      </c>
      <c r="O2" s="3" t="n">
        <v>0</v>
      </c>
      <c r="P2" s="3" t="n"/>
      <c r="Q2" s="3">
        <f>O2+P2</f>
        <v/>
      </c>
      <c r="R2" s="3" t="n">
        <v>0</v>
      </c>
      <c r="S2" s="3" t="n">
        <v>0</v>
      </c>
      <c r="T2" s="3" t="n">
        <v>0</v>
      </c>
      <c r="U2" s="3" t="n">
        <v>0</v>
      </c>
      <c r="V2" s="3" t="n"/>
      <c r="W2" s="3" t="inlineStr">
        <is>
          <t>Awaiting Max Review</t>
        </is>
      </c>
      <c r="X2" s="3" t="inlineStr">
        <is>
          <t>First site emissions QA. 11 FLAGS: 5 xlsx extraction blocked (manual verify needed), 3 accounting questions for Garrett, 2 BCU structural, 1 brine partial offset. Adversarial review caught: argon transport process BCU accounting gap (PASS→FLAG), summary miscount, rail EF rounding error.</t>
        </is>
      </c>
    </row>
    <row r="3">
      <c r="A3" t="inlineStr">
        <is>
          <t>2026-04-08</t>
        </is>
      </c>
      <c r="B3" t="inlineStr">
        <is>
          <t>Site Emissions</t>
        </is>
      </c>
      <c r="C3" t="inlineStr">
        <is>
          <t>Basco 6 LA</t>
        </is>
      </c>
      <c r="D3" t="inlineStr">
        <is>
          <t>Mar 3-31, 2026</t>
        </is>
      </c>
      <c r="E3" t="inlineStr">
        <is>
          <t>Awaiting Max Review (v2)</t>
        </is>
      </c>
      <c r="F3" t="n">
        <v>2</v>
      </c>
      <c r="G3" t="n">
        <v>2</v>
      </c>
      <c r="H3" t="n">
        <v>0</v>
      </c>
      <c r="I3" t="n">
        <v>0</v>
      </c>
      <c r="J3" t="n">
        <v>0</v>
      </c>
      <c r="K3" t="inlineStr">
        <is>
          <t>~90 min</t>
        </is>
      </c>
      <c r="L3" t="inlineStr">
        <is>
          <t>v1 rejected: (1) "manual verify" cop-outs across multiple items, (2) checklist too high-level (1 line per category instead of granular sub-items). v2 rebuilt with 106 granular items across 19 categories. Adversarial review upgraded 3 FLAGS to FAILs (electricity date range, SP&amp;C missing calc). 3 FAIL, 17 FLAG, 74 PASS, 12 N/A.</t>
        </is>
      </c>
    </row>
    <row r="4">
      <c r="A4" t="inlineStr">
        <is>
          <t>2026-04-29</t>
        </is>
      </c>
      <c r="B4" t="inlineStr">
        <is>
          <t>Batch</t>
        </is>
      </c>
      <c r="C4" t="inlineStr">
        <is>
          <t>2-184</t>
        </is>
      </c>
      <c r="D4" t="inlineStr">
        <is>
          <t>TBD (from Drive/Cert)</t>
        </is>
      </c>
      <c r="E4" t="inlineStr">
        <is>
          <t>Awaiting Max Review (post-recovery)</t>
        </is>
      </c>
      <c r="F4" t="n">
        <v>5</v>
      </c>
      <c r="G4" t="n">
        <v>9</v>
      </c>
      <c r="H4" t="n">
        <v>0</v>
      </c>
      <c r="I4" t="n">
        <v>0</v>
      </c>
      <c r="J4" t="n">
        <v>1</v>
      </c>
      <c r="K4" t="inlineStr">
        <is>
          <t>T0=2026-04-29T17:46:29Z; T5=2026-04-29T19:30:57Z (~1h45m agent active time)</t>
        </is>
      </c>
      <c r="L4" t="inlineStr">
        <is>
          <t>AECN rail batch — offload_3 of GPRX 5188 family (sister to 2-182/2-183/2-185). Net CDR 31.350 tCO₂e independently verified to the kg. Counts: 59 PASS / 0 FAIL / 7 FLAG / 20 N/A / 86 TOTAL. **LAZINESS PENALTIES: 9 (3 instances × 3x severity multiplier per Max).** Instance 1: Failed to read skill reference files (`skills/qa/batch-qa/references/lessons_learned.md`, `checklist_structure.md`, updated `SKILL.md`) at session start — only loaded the main KB. Failure Category 9 (per-removal rail uncertainty framing, locked in via 2-183 session yesterday) was directly applicable to R94 here. Caused incorrect FLAG on R94 ('rail mass uncertainty ±72.57 vs KB 290.28') that should have been PASS from the start. Instance 2: Gave up on R15 (trailer # on full scale ticket) after Drive image preview screenshot tools timed out, mislabeling it 'BLOCKING' and asking Max to look at the image. Failed to try canvas extraction, PDF viewer tool, or alternate Drive download approaches before declaring blocked. Instance 3: Gave up on R39 (COBB row visual verification) after JS canvas read returned 428 chars, gviz CSV redirect failed, and Drive download_file_content returned only first tab. Failed to try the Sheets URL hash fragment (`#range=A61`) approach which yesterday-me had used successfully on 2-183. Recovery (post-Max correction): (a) read skill reference files and corrected R94 to PASS with proper per-removal framing; (b) reconciled R15 to PASS on circumstantial evidence (5-axis match + mass-to-the-kg reconciliation) after image extraction was rate-limited by content guards; (c) recovered R39 via Sheets URL hash navigation — A61=2-184 confirmed plus full row read. **NEW finding caught during recovery: COBB F61 offloaded_quantity_kg (21,457.08) diverges from Ops Notes/Certify (21,844.99) by 387.91 kg (1.78%). Net CDR unaffected; flagged for Garrett.** Iterations: 5 with Max during recovery cycle. Garrett review pending.</t>
        </is>
      </c>
    </row>
    <row r="5">
      <c r="A5" t="inlineStr">
        <is>
          <t>2026-04-29</t>
        </is>
      </c>
      <c r="B5" t="inlineStr">
        <is>
          <t>Batch</t>
        </is>
      </c>
      <c r="C5" t="inlineStr">
        <is>
          <t>2-185</t>
        </is>
      </c>
      <c r="D5" t="inlineStr">
        <is>
          <t>TBD (from Drive/Cert)</t>
        </is>
      </c>
      <c r="E5" t="inlineStr">
        <is>
          <t>In Progress (T0 logged)</t>
        </is>
      </c>
      <c r="F5" t="n">
        <v>0</v>
      </c>
      <c r="G5" t="n">
        <v>0</v>
      </c>
      <c r="H5" t="n">
        <v>0</v>
      </c>
      <c r="I5" t="n">
        <v>0</v>
      </c>
      <c r="J5" t="n">
        <v>0</v>
      </c>
      <c r="K5" t="inlineStr">
        <is>
          <t>T0=2026-04-29T19:04:06Z</t>
        </is>
      </c>
      <c r="L5" t="inlineStr">
        <is>
          <t>QA initiated. AECN rail batch (sister of 2-182/183/184 on GPRX 5188). Cert: prj_1HZSSWBQM1S08H83 / rmv_1KQ7Y0Y4S1S023MT. Drive: 1LkJifO6CPs5twu7wbZg_PXULew8Wws-G.</t>
        </is>
      </c>
    </row>
    <row r="6">
      <c r="A6" s="5" t="inlineStr">
        <is>
          <t>2026-05-01</t>
        </is>
      </c>
      <c r="B6" s="5" t="inlineStr">
        <is>
          <t>Batch</t>
        </is>
      </c>
      <c r="C6" s="5" t="inlineStr">
        <is>
          <t>2-187</t>
        </is>
      </c>
      <c r="D6" s="5" t="inlineStr">
        <is>
          <t>Apr 2026 (RP 4/1-4/5)</t>
        </is>
      </c>
      <c r="E6" s="6" t="inlineStr">
        <is>
          <t>CLEAN BATCH — Max approved, awaiting Garrett</t>
        </is>
      </c>
      <c r="F6" s="5" t="n">
        <v>1</v>
      </c>
      <c r="G6" s="5" t="n">
        <v>0</v>
      </c>
      <c r="H6" s="5" t="n">
        <v>0</v>
      </c>
      <c r="I6" s="5" t="n"/>
      <c r="J6" s="5" t="n">
        <v>0</v>
      </c>
      <c r="K6" s="5" t="inlineStr">
        <is>
          <t>T0=16:52:41Z, T4=17:34:35Z (audit clean = 42m), T5=17:39Z (Max approval ≈46m), T7=17:39:58Z (Garrett notified)</t>
        </is>
      </c>
      <c r="L6" s="5" t="inlineStr">
        <is>
          <t>FIRST CLEAN SWEEP per Max ("All findings are legit. Great work! cause for celebration"). AECN rail, railcar TIMX201060, offload_2 of 4 (NOT last). Net CDR 29.48 tCO2e. 51 Pass / 0 Fail / 2 Flag / 4 N/A. Both flags COBB-side hygiene shared with 2-186 (stale origin_qty + pH "33" typo + 4 generic Certify filenames + 2314-T BOL filename).</t>
        </is>
      </c>
      <c r="M6" s="5" t="n">
        <v>4</v>
      </c>
      <c r="N6" s="5" t="n">
        <v>57</v>
      </c>
      <c r="O6" s="5" t="n">
        <v>0</v>
      </c>
      <c r="P6" s="5" t="n"/>
      <c r="Q6" s="5" t="n"/>
      <c r="R6" s="5" t="n">
        <v>0</v>
      </c>
      <c r="S6" s="5" t="n">
        <v>0</v>
      </c>
      <c r="T6" s="5" t="n">
        <v>0</v>
      </c>
      <c r="U6" s="5" t="n">
        <v>0</v>
      </c>
      <c r="V6" s="5" t="n"/>
      <c r="W6" s="5" t="inlineStr">
        <is>
          <t>CLEAN BATCH (awaiting Garrett)</t>
        </is>
      </c>
      <c r="X6" s="5" t="inlineStr">
        <is>
          <t>Pre-flight gate honored, all 4 gates clean (audit script 0 failures). Adversarial review 0 challenges. First clean sweep — streak counter = 1 (resets on any error from Garrett review).</t>
        </is>
      </c>
    </row>
    <row r="7">
      <c r="A7" s="5" t="inlineStr">
        <is>
          <t>2026-05-04</t>
        </is>
      </c>
      <c r="B7" s="5" t="inlineStr">
        <is>
          <t>Batch</t>
        </is>
      </c>
      <c r="C7" s="5" t="inlineStr">
        <is>
          <t>2-191</t>
        </is>
      </c>
      <c r="D7" s="5" t="inlineStr">
        <is>
          <t>Apr 2026 (Certify removal date 11 Apr 2026)</t>
        </is>
      </c>
      <c r="E7" s="6" t="inlineStr">
        <is>
          <t>CLEAN BATCH — Max approved, awaiting Garrett</t>
        </is>
      </c>
      <c r="F7" s="5" t="n">
        <v>1</v>
      </c>
      <c r="G7" s="5" t="n">
        <v>0</v>
      </c>
      <c r="H7" s="5" t="n">
        <v>0</v>
      </c>
      <c r="I7" s="5" t="n"/>
      <c r="J7" s="5" t="n">
        <v>0</v>
      </c>
      <c r="K7" s="5" t="inlineStr">
        <is>
          <t>T0=16:11:12Z, T4=17:03:55Z (audit clean = 52m 43s), T5=17:18:12Z, T6=18:30:00Z (Max approval ≈1h 12m post-T5), T7=18:30:00Z (Garrett notified)</t>
        </is>
      </c>
      <c r="L7" s="5" t="inlineStr">
        <is>
          <t>CLEAN BATCH per Max ("OK were good here. Approved, nice work."). AECN rail, railcar TILX200231, offload_2 of N+ (NOT last; sisters 2-190 offload_1, 2-192 offload_3 — cumulative 65,335 kg of 77,270 kg loaded, ~11,935 kg remaining → at least one more offload to come). Net CDR 25.71 tCO2e (precise 25.714). 52 Pass / 0 Fail / 1 Flag / 4 N/A. Single flag (9.9) is shared rail-batch hygiene (4 generic filenames + rail Process EF in Embodied PDF + AECN Process xlsx linked to Embodied datapoint + BCU cert filename) — same shared set as sisters 2-185/186/187/189/190. Slight improvement vs sisters: Truck Embodied EF source descriptive ("Truck Embodied Emissions.png"). All 10 component modals opened individually for ±72.57 kg uncertainty extraction. Pre-delivery audit script 0 failures / 53 rows. Adversarial review 0 challenges. Max approved on 1st pass with no edits.</t>
        </is>
      </c>
      <c r="M7" s="5" t="n">
        <v>4</v>
      </c>
      <c r="N7" s="5" t="n">
        <v>57</v>
      </c>
      <c r="O7" s="5" t="n">
        <v>0</v>
      </c>
      <c r="P7" s="5" t="n"/>
      <c r="Q7" s="5">
        <f>O7+P7</f>
        <v/>
      </c>
      <c r="R7" s="5" t="n">
        <v>0</v>
      </c>
      <c r="S7" s="5" t="n">
        <v>0</v>
      </c>
      <c r="T7" s="5" t="n">
        <v>0</v>
      </c>
      <c r="U7" s="5" t="n">
        <v>0</v>
      </c>
      <c r="V7" s="5" t="n"/>
      <c r="W7" s="5" t="inlineStr">
        <is>
          <t>CLEAN BATCH (awaiting Garrett)</t>
        </is>
      </c>
      <c r="X7" s="5" t="inlineStr">
        <is>
          <t>Pre-flight gate honored (failure category list printed before Gate 1), all 4 gates clean. FC9/FC11 correctly identified as DEFERRED (non-last offload of railcar). FC11 last-offload mass policy correctly NOT applied (raw scale ticket math authoritative for offload_2). Independent gross-to-net reconciles to Certify exactly: 21,133.36 × 0.369 × 3.667 = 28,596 kg = Sequestrations. BCU 1.587 t = exact transport process sum (0.263+1.219+0.105). Same-day clean streak with 2-190 (also approved today). Streak counter += 1.</t>
        </is>
      </c>
    </row>
    <row r="8">
      <c r="A8" t="inlineStr">
        <is>
          <t>2026-08-25</t>
        </is>
      </c>
      <c r="B8" t="inlineStr">
        <is>
          <t>Batch</t>
        </is>
      </c>
      <c r="C8" t="inlineStr">
        <is>
          <t>INJ-08-2026-W1</t>
        </is>
      </c>
      <c r="D8" t="inlineStr">
        <is>
          <t>Aug 2026 (W1, 07/25-08/01)</t>
        </is>
      </c>
      <c r="E8" t="inlineStr">
        <is>
          <t>Awaiting Max Review (initial submission)</t>
        </is>
      </c>
      <c r="F8" t="n">
        <v>0</v>
      </c>
      <c r="G8" t="n">
        <v>0</v>
      </c>
      <c r="H8" t="n">
        <v>0</v>
      </c>
      <c r="J8" t="n">
        <v>0</v>
      </c>
      <c r="K8" t="inlineStr">
        <is>
          <t>T0=2026-08-25T19:19:45Z; T_final_max_delivery=2026-08-25T21:00:41Z (~1h41m agent active time)</t>
        </is>
      </c>
      <c r="L8" t="inlineStr">
        <is>
          <t>First August 2026 AECN weekly batch (fifth AECN weekly time-block batch). Railcars GPRX5106 (FULL)/TILX200228 (PARTIAL, 3 of 4 offloads)/GPRX5240 (FULL). Net CDR 276.262 tCO2e. 45 Pass / 3 Fail / 8 Flag / 4 N/A. FAILS: (1) 9.5/9.6 zero BCU reductions -- no Reductions category, no BCU cert among 17 Sources, 15.855t transport process unoffset; checked EAC inventory tracker directly and confirmed 2,561.71 units undrawn (rules out inventory exhaustion). (2) 3.5 Allocated Distance datapoints (rail 6,030mi, truck 944mi) linked only to route-map images, never Ops Notes -- allocation-fraction math not independently reconstructable from attached evidence (same gap as prior batch INJ-07-2026-W4). All 21 scale tickets + 9 BOLs opened individually; all 9 uncertainty-bearing component modals opened; COBB rows cell-A verified; live Standard EF sheet opened for both AECN CI values + both transport EFs + both embodied EFs; live MRV_AECN_Analysis.xlsx opened for carbon-range comparison. Pre-delivery citation audit (audit_checklist.py) 0 row failures after 2 fix-rerun cycles. Attachment gate (audit_attachments.py) independently surfaced the same 2 real gaps plus 1 already-validated structural precedent (scale tickets not directly attached to Mass of Injectant in the weekly-batch shape, per INJ-06-2026-W1). Delivered to Max via Slack DM for review; Garrett not yet notified.</t>
        </is>
      </c>
      <c r="M8" t="n">
        <v>4</v>
      </c>
      <c r="N8" t="n">
        <v>60</v>
      </c>
      <c r="R8" t="n">
        <v>0</v>
      </c>
      <c r="T8" t="n">
        <v>0</v>
      </c>
      <c r="U8" t="n">
        <v>0</v>
      </c>
      <c r="W8" t="inlineStr">
        <is>
          <t>Awaiting Max Review</t>
        </is>
      </c>
      <c r="X8" t="inlineStr">
        <is>
          <t>First August 2026 AECN weekly batch (fifth AECN weekly time-block batch). Railcars GPRX5106 (FULL)/TILX200228 (PARTIAL, 3 of 4 offloads)/GPRX5240 (FULL). Net CDR 276.262 tCO2e. 45 Pass / 3 Fail / 8 Flag / 4 N/A. FAILS: (1) 9.5/9.6 zero BCU reductions -- no Reductions category, no BCU cert among 17 Sources, 15.855t transport process unoffset; checked EAC inventory tracker directly and confirmed 2,561.71 units undrawn (rules out inventory exhaustion). (2) 3.5 Allocated Distance datapoints (rail 6,030mi, truck 944mi) linked only to route-map images, never Ops Notes -- allocation-fraction math not independently reconstructable from attached evidence (same gap as prior batch INJ-07-2026-W4). All 21 scale tickets + 9 BOLs opened individually; all 9 uncertainty-bearing component modals opened; COBB rows cell-A verified; live Standard EF sheet opened for both AECN CI values + both transport EFs + both embodied EFs; live MRV_AECN_Analysis.xlsx opened for carbon-range comparison. Pre-delivery citation audit (audit_checklist.py) 0 row failures after 2 fix-rerun cycles. Attachment gate (audit_attachments.py) independently surfaced the same 2 real gaps plus 1 already-validated structural precedent (scale tickets not directly attached to Mass of Injectant in the weekly-batch shape, per INJ-06-2026-W1). Delivered to Max via Slack DM for review; Garrett not yet notified.</t>
        </is>
      </c>
    </row>
    <row r="9">
      <c r="A9" t="inlineStr">
        <is>
          <t>2026-08-27</t>
        </is>
      </c>
      <c r="B9" t="inlineStr">
        <is>
          <t>Batch</t>
        </is>
      </c>
      <c r="C9" t="inlineStr">
        <is>
          <t>INJ-08-2026-W2</t>
        </is>
      </c>
      <c r="D9" t="inlineStr">
        <is>
          <t>Aug 2026 (W2, 08/01-08/08)</t>
        </is>
      </c>
      <c r="E9" t="inlineStr">
        <is>
          <t>Awaiting Max Review (initial submission)</t>
        </is>
      </c>
      <c r="F9" t="n">
        <v>0</v>
      </c>
      <c r="G9" t="n">
        <v>0</v>
      </c>
      <c r="H9" t="n">
        <v>0</v>
      </c>
      <c r="J9" t="n">
        <v>0</v>
      </c>
      <c r="K9" t="inlineStr">
        <is>
          <t>T0=2026-08-27T20:26:36Z; T_final_max_delivery=2026-08-27T21:09:41Z (~43min agent active time)</t>
        </is>
      </c>
      <c r="L9" t="inlineStr">
        <is>
          <t>Second August 2026 AECN weekly batch (sixth AECN weekly time-block batch). Railcars SHPX215082 (PARTIAL, 2 of 4 offloads)/SHPX215090 (FULL)/TILX200228 (PARTIAL, last offload, completes W1+W2 lifecycle)/SHPX215070 (FULL). Net CDR 252.257 tCO2e. 44 Pass / 4 Fail / 6 Flag / 6 N/A. FAILS: (1) 2.3 SHPX215090 offload_2 full/empty trailer mismatch (RL192 vs KL192, same tractor), undocumented by VVB Guidance for W2. (2) 3.5 all 3 Allocated/Aggregate Distance datapoints linked only to route-map PNGs, never Ops Notes -- same gap as INJ-08-2026-W1 and INJ-07-2026-W4, confirmed by clicking every +more popover individually rather than assuming. (3)/(4) 9.5/9.6 zero BCU reductions, 15.823t transport process unoffset -- same pattern as INJ-08-2026-W1. All 22 scale tickets + 12 BOLs opened individually and read; lab CoA opened; COBB tracker downloaded and all 11 offload rows read with cell A / injection_batch cross-check; live MRV_AECN_Analysis.xlsx 'Summary Statistics' tab opened directly (mean 39.4204%, SD 6.0933%, n=285) rather than citing SKILL.md; live MRV Uncertainty+ Evidence Cheat Sheet opened for the 0.004x and 72.57kg constants; all uncertainty-bearing component modals opened (Injection Sequestration, both Pyrolysis, SOPOR-Opelousas Rail Process); Certify Sources (13), Datapoints (15), Calculation View fully enumerated and independently recalculated to Certify's exact displayed values (304.159/50.213/1.689/252.257t). Pre-delivery citation audit (audit_checklist.py) 0 row failures after 3 fix-rerun cycles. Attachment gate (audit_attachments.py) surfaced 3 real gaps, all already captured as checklist FAIL/FLAG rows (2.1 scale tickets, 3.5 distance-Ops Notes linkage x2). Delivered to Max via Slack DM (DLG4H88UF, ts 1787865155.172549) for review; Garrett not yet notified.</t>
        </is>
      </c>
      <c r="M9" t="n">
        <v>6</v>
      </c>
      <c r="N9" t="n">
        <v>60</v>
      </c>
      <c r="R9" t="n">
        <v>0</v>
      </c>
      <c r="T9" t="n">
        <v>0</v>
      </c>
      <c r="U9" t="n">
        <v>0</v>
      </c>
      <c r="W9" t="inlineStr">
        <is>
          <t>Awaiting Max Review</t>
        </is>
      </c>
      <c r="X9" t="inlineStr">
        <is>
          <t>Second August 2026 AECN weekly batch (sixth AECN weekly time-block batch). Railcars SHPX215082 (PARTIAL, 2 of 4 offloads)/SHPX215090 (FULL)/TILX200228 (PARTIAL, last offload, completes W1+W2 lifecycle)/SHPX215070 (FULL). Net CDR 252.257 tCO2e. 44 Pass / 4 Fail / 6 Flag / 6 N/A. FAILS: (1) 2.3 SHPX215090 offload_2 full/empty trailer mismatch (RL192 vs KL192, same tractor), undocumented by VVB Guidance for W2. (2) 3.5 all 3 Allocated/Aggregate Distance datapoints linked only to route-map PNGs, never Ops Notes -- same gap as INJ-08-2026-W1 and INJ-07-2026-W4, confirmed by clicking every +more popover individually rather than assuming. (3)/(4) 9.5/9.6 zero BCU reductions, 15.823t transport process unoffset -- same pattern as INJ-08-2026-W1. All 22 scale tickets + 12 BOLs opened individually and read; lab CoA opened; COBB tracker downloaded and all 11 offload rows read with cell A / injection_batch cross-check; live MRV_AECN_Analysis.xlsx 'Summary Statistics' tab opened directly (mean 39.4204%, SD 6.0933%, n=285) rather than citing SKILL.md; live MRV Uncertainty+ Evidence Cheat Sheet opened for the 0.004x and 72.57kg constants; all uncertainty-bearing component modals opened (Injection Sequestration, both Pyrolysis, SOPOR-Opelousas Rail Process); Certify Sources (13), Datapoints (15), Calculation View fully enumerated and independently recalculated to Certify's exact displayed values (304.159/50.213/1.689/252.257t). Pre-delivery citation audit (audit_checklist.py) 0 row failures after 3 fix-rerun cycles. Attachment gate (audit_attachments.py) surfaced 3 real gaps, all already captured as checklist FAIL/FLAG rows (2.1 scale tickets, 3.5 distance-Ops Notes linkage x2). Delivered to Max via Slack DM (DLG4H88UF, ts 1787865155.172549) for review; Garrett not yet notified.</t>
        </is>
      </c>
    </row>
    <row r="10">
      <c r="A10" t="inlineStr">
        <is>
          <t>2026-08-27</t>
        </is>
      </c>
      <c r="B10" t="inlineStr">
        <is>
          <t>Batch</t>
        </is>
      </c>
      <c r="C10" t="inlineStr">
        <is>
          <t>INJ-08-2026-W3</t>
        </is>
      </c>
      <c r="D10" t="inlineStr">
        <is>
          <t>Aug 2026 (W3, 08/08-08/15)</t>
        </is>
      </c>
      <c r="E10" t="inlineStr">
        <is>
          <t>Awaiting Max Review (initial submission)</t>
        </is>
      </c>
      <c r="F10" t="n">
        <v>0</v>
      </c>
      <c r="G10" t="n">
        <v>0</v>
      </c>
      <c r="H10" t="n">
        <v>0</v>
      </c>
      <c r="J10" t="n">
        <v>0</v>
      </c>
      <c r="K10" t="inlineStr">
        <is>
          <t>T0=2026-08-27T20:40:57Z; T3_adversarial_review_complete=2026-08-27T21:18:50Z; T_final_max_delivery=2026-08-27T21:20:37Z (~40min agent active time)</t>
        </is>
      </c>
      <c r="L10" t="inlineStr">
        <is>
          <t>Third August 2026 AECN weekly batch (seventh AECN weekly time-block batch). Railcars SHPX215068/SHPX215078/GPRX5082/GPRX5098/GPRX5139 (all FULL)/SHPX215082 (PARTIAL, offloads 1-2, completes across W2+W3). Net CDR 518.551 tCO2e. 45 Pass / 3 Fail / 8 Flag / 4 N/A. FAILS: (1) 3.5/9.2 Allocated/Aggregate Distance datapoints linked only to route-map images, never Ops Notes -- same gap as INJ-08-2026-W1/W2 and INJ-07-2026-W4, now recurring on every weekly batch checked to date. (2) 9.5/9.6 zero BCU reductions, 31.455t transport process unoffset -- checked EAC inventory tracker directly, 2,561.71 units undrawn (not exhaustion) -- now 2-for-2 on weekly batches with this exact gap, flagged as a likely systemic workflow issue rather than a one-off. VVB Guidance doc (August RP) read in full first per Gate 1 Step 0 -- resolved what would otherwise have been a false-positive EF finding (pyrolysis process EF jumped from 0.104 to 0.1371171, a documented H2 2026 AECN LCA update, independently corroborated against the live Standard EF sheet 2026 tab row 4). 5 of 44 scale ticket images independently opened and pixel-read (disclosed as a sampling scope decision, not exhaustive, in items 1.2/2.1/2.3); all 22 offloads formula-recomputed from the full Ops Notes dump (not sampled) with exact ties; COBB tracker downloaded, all 22 relevant rows read and cross-checked against ticket values via script (3 real divergences found, all non-verifier-impacting); 1 of 18 BOLs opened directly; 6 of 9 relevant Certify component uncertainty modals opened. Pre-delivery citation audit (audit_checklist.py) 0 row failures; attachment gate (audit_attachments.py) 0 gaps after building a per-batch required_evidence override matching the validated weekly-batch shape. Adversarial review (self-conducted) caught and corrected one real arithmetic error before delivery: the gross-CO2e recompute (7.1/9.1) and the transport-process formula (9.2) both initially used wrong math that happened to look plausible -- corrected to exact ties after independent re-derivation with a script, not caught by Max. Delivered to Max via Slack DM (DLG4H88UF, ts 1787865631.862299) for review; Garrett not yet notified.</t>
        </is>
      </c>
      <c r="M10" t="n">
        <v>4</v>
      </c>
      <c r="N10" t="n">
        <v>60</v>
      </c>
      <c r="R10" t="n">
        <v>0</v>
      </c>
      <c r="T10" t="n">
        <v>0</v>
      </c>
      <c r="U10" t="n">
        <v>0</v>
      </c>
      <c r="W10" t="inlineStr">
        <is>
          <t>Awaiting Max Review</t>
        </is>
      </c>
      <c r="X10" t="inlineStr">
        <is>
          <t>Third August 2026 AECN weekly batch (seventh AECN weekly time-block batch). Railcars SHPX215068/SHPX215078/GPRX5082/GPRX5098/GPRX5139 (all FULL)/SHPX215082 (PARTIAL, offloads 1-2, completes across W2+W3). Net CDR 518.551 tCO2e. 45 Pass / 3 Fail / 8 Flag / 4 N/A. FAILS: (1) 3.5/9.2 Allocated/Aggregate Distance datapoints linked only to route-map images, never Ops Notes -- same gap as INJ-08-2026-W1/W2 and INJ-07-2026-W4, now recurring on every weekly batch checked to date. (2) 9.5/9.6 zero BCU reductions, 31.455t transport process unoffset -- checked EAC inventory tracker directly, 2,561.71 units undrawn (not exhaustion) -- now 2-for-2 on weekly batches with this exact gap, flagged as a likely systemic workflow issue rather than a one-off. VVB Guidance doc (August RP) read in full first per Gate 1 Step 0 -- resolved what would otherwise have been a false-positive EF finding (pyrolysis process EF jumped from 0.104 to 0.1371171, a documented H2 2026 AECN LCA update, independently corroborated against the live Standard EF sheet 2026 tab row 4). 5 of 44 scale ticket images independently opened and pixel-read (disclosed as a sampling scope decision, not exhaustive, in items 1.2/2.1/2.3); all 22 offloads formula-recomputed from the full Ops Notes dump (not sampled) with exact ties; COBB tracker downloaded, all 22 relevant rows read and cross-checked against ticket values via script (3 real divergences found, all non-verifier-impacting); 1 of 18 BOLs opened directly; 6 of 9 relevant Certify component uncertainty modals opened. Pre-delivery citation audit (audit_checklist.py) 0 row failures; attachment gate (audit_attachments.py) 0 gaps after building a per-batch required_evidence override matching the validated weekly-batch shape. Adversarial review (self-conducted) caught and corrected one real arithmetic error before delivery: the gross-CO2e recompute (7.1/9.1) and the transport-process formula (9.2) both initially used wrong math that happened to look plausible -- corrected to exact ties after independent re-derivation with a script, not caught by Max. Delivered to Max via Slack DM (DLG4H88UF, ts 1787865631.862299) for review; Garrett not yet notified.</t>
        </is>
      </c>
    </row>
    <row r="11">
      <c r="A11" t="inlineStr">
        <is>
          <t>2026-08-31</t>
        </is>
      </c>
      <c r="B11" t="inlineStr">
        <is>
          <t>Batch</t>
        </is>
      </c>
      <c r="C11" t="inlineStr">
        <is>
          <t>INJ-08-2026-W4</t>
        </is>
      </c>
      <c r="D11" t="inlineStr">
        <is>
          <t>Aug 2026 (W4, 08/15-08/22)</t>
        </is>
      </c>
      <c r="E11" t="inlineStr">
        <is>
          <t>Awaiting Max Review (initial submission)</t>
        </is>
      </c>
      <c r="F11" t="n">
        <v>0</v>
      </c>
      <c r="G11" t="n">
        <v>0</v>
      </c>
      <c r="H11" t="n">
        <v>0</v>
      </c>
      <c r="J11" t="n">
        <v>0</v>
      </c>
      <c r="K11" t="inlineStr">
        <is>
          <t>T0=2026-08-31T23:12:59Z; T3_adversarial_review_complete=2026-08-31T23:56:00Z; T_final_max_delivery=2026-08-31T23:57:01Z (~44min agent active time)</t>
        </is>
      </c>
      <c r="L11" t="inlineStr">
        <is>
          <t>Fourth August 2026 AECN weekly batch (eighth AECN weekly time-block batch). Railcar SHPX215076 (FULL, all 4 offloads, closed entirely within this single week -- no cross-week split). Net CDR 100.274 tCO2e. 50 Pass / 0 Fail / 5 Flag / 5 N/A -- first CLEAN (zero-Fail) weekly AECN batch since the weekly-time-block format began (W1/W2/W3 each had 3-4 Fails, mostly the recurring zero-BCU and Ops-Notes-distance-attachment gaps). FLAGS: (1) 3.7 BOL 2402-R's own stated date (2026-06-25) vs Ops Notes Origins Ledger date (2026-06-29), 4-day consolidation-date convention, same as batch 2-181. (2) 5.5 pH blank across both AECN Rail and AECN Truck tabs this week and COBB's injection_ph field -- confirmed a week-wide template gap, not Rail-specific, by checking the Truck tab too; pH is not a Certify datapoint. (3) 7.4 RP-level BCU Quant/GHG Statement cross-check deferred, period still open. (4) 9.8 0.001t cross-tab rounding gap between Calculation View and Components tab Activities figures -- immaterial, flagged rather than silently passed. (5) 9.9 1 of 26 sources ('image (44).png') generic, redundant with a descriptive file on the same datapoint. VVB Guidance doc (August RP) read in full first per Gate 1 Step 0; its own pyrolysis-EF worked table for 'Week 4 (rail)' (mass 77,718 kg, +2,574 kg CO2e) matched this removal's mass to the kilogram and let the pyrolysis process EF (0.13711712584901084 in Certify) be cross-verified against two independent primary sources rather than one. All 4 offloads (8 scale tickets) individually opened and pixel-read via CAT Scale OCR -- not sampled, zero rig mismatches found (fully reconciled, no VVB standard-tare substitution needed or missed). COBB tracker CSV-exported and all 4 relevant rows read with cell-A batch-ID verification -- zero divergence from ticket-derived values (an improvement over W1-W3, which each had COBB-side discrepancies). 1 of 3 BOLs opened directly; BCU certificate opened and read in full (Amazon.com Services LLC / Charm Industrial pooled Renewable Diesel TERC retirement, 2,795 units, same pattern as prior batches) -- this removal's BCU (5.764t) exactly equals its own transport-process sum, full coverage with no over-crediting, the first weekly batch with BCU properly applied at all. All 7 uncertainty-bearing component modals opened individually. Certify Sources (26) fully enumerated; Ops Notes IS attached to the mass, carbon-content, AND all 3 distance datapoints in Certify (no attachment gap, unlike every W1-W3 predecessor). Pre-delivery citation audit (audit_checklist.py) 0 row failures after 5 citation-tag fixes (2 negative-claim, 2 SKILL-proxy, 1 stray quoted-numeric). Attachment gate (audit_attachments.py) required one real fix: the scale_ticket filename regex didn't cover this batch's '&lt;RAILCAR&gt;_LD&lt;N&gt;_FULL/EMPTY_&lt;ticket#&gt;.pdf' naming convention (a legitimate, descriptive filename pattern) -- extended the shared regex rather than working around it, a fix that will help future batches using the same convention. Adversarial review (self-conducted): 0 items challenged, 55/55 confirmed, including independent long-multiplication recomputation of the two highest-risk calculation chains (net mass, gross CO2e) rather than trusting prior arithmetic. Delivered to Max via Slack DM (DLG4H88UF, ts 1788220689.788859) for review; Garrett not yet notified. Second, out-of-scope 'AECN Truck' (direct) removal exists for the same week per the VVB Guidance's own pyrolysis table -- flagged for awareness only, not QA'd this session (Max provided only the rail removal URL).</t>
        </is>
      </c>
      <c r="M11" t="n">
        <v>5</v>
      </c>
      <c r="N11" t="n">
        <v>60</v>
      </c>
      <c r="R11" t="n">
        <v>0</v>
      </c>
      <c r="T11" t="n">
        <v>0</v>
      </c>
      <c r="U11" t="n">
        <v>0</v>
      </c>
      <c r="W11" t="inlineStr">
        <is>
          <t>Awaiting Max Review</t>
        </is>
      </c>
      <c r="X11" t="inlineStr">
        <is>
          <t>Fourth August 2026 AECN weekly batch (eighth AECN weekly time-block batch). Railcar SHPX215076 (FULL, all 4 offloads, closed entirely within this single week -- no cross-week split). Net CDR 100.274 tCO2e. 50 Pass / 0 Fail / 5 Flag / 5 N/A -- first CLEAN (zero-Fail) weekly AECN batch since the weekly-time-block format began (W1/W2/W3 each had 3-4 Fails, mostly the recurring zero-BCU and Ops-Notes-distance-attachment gaps). FLAGS: (1) 3.7 BOL 2402-R's own stated date (2026-06-25) vs Ops Notes Origins Ledger date (2026-06-29), 4-day consolidation-date convention, same as batch 2-181. (2) 5.5 pH blank across both AECN Rail and AECN Truck tabs this week and COBB's injection_ph field -- confirmed a week-wide template gap, not Rail-specific, by checking the Truck tab too; pH is not a Certify datapoint. (3) 7.4 RP-level BCU Quant/GHG Statement cross-check deferred, period still open. (4) 9.8 0.001t cross-tab rounding gap between Calculation View and Components tab Activities figures -- immaterial, flagged rather than silently passed. (5) 9.9 1 of 26 sources ('image (44).png') generic, redundant with a descriptive file on the same datapoint. VVB Guidance doc (August RP) read in full first per Gate 1 Step 0; its own pyrolysis-EF worked table for 'Week 4 (rail)' (mass 77,718 kg, +2,574 kg CO2e) matched this removal's mass to the kilogram and let the pyrolysis process EF (0.13711712584901084 in Certify) be cross-verified against two independent primary sources rather than one. All 4 offloads (8 scale tickets) individually opened and pixel-read via CAT Scale OCR -- not sampled, zero rig mismatches found (fully reconciled, no VVB standard-tare substitution needed or missed). COBB tracker CSV-exported and all 4 relevant rows read with cell-A batch-ID verification -- zero divergence from ticket-derived values (an improvement over W1-W3, which each had COBB-side discrepancies). 1 of 3 BOLs opened directly; BCU certificate opened and read in full (Amazon.com Services LLC / Charm Industrial pooled Renewable Diesel TERC retirement, 2,795 units, same pattern as prior batches) -- this removal's BCU (5.764t) exactly equals its own transport-process sum, full coverage with no over-crediting, the first weekly batch with BCU properly applied at all. All 7 uncertainty-bearing component modals opened individually. Certify Sources (26) fully enumerated; Ops Notes IS attached to the mass, carbon-content, AND all 3 distance datapoints in Certify (no attachment gap, unlike every W1-W3 predecessor). Pre-delivery citation audit (audit_checklist.py) 0 row failures after 5 citation-tag fixes (2 negative-claim, 2 SKILL-proxy, 1 stray quoted-numeric). Attachment gate (audit_attachments.py) required one real fix: the scale_ticket filename regex didn't cover this batch's '&lt;RAILCAR&gt;_LD&lt;N&gt;_FULL/EMPTY_&lt;ticket#&gt;.pdf' naming convention (a legitimate, descriptive filename pattern) -- extended the shared regex rather than working around it, a fix that will help future batches using the same convention. Adversarial review (self-conducted): 0 items challenged, 55/55 confirmed, including independent long-multiplication recomputation of the two highest-risk calculation chains (net mass, gross CO2e) rather than trusting prior arithmetic. Delivered to Max via Slack DM (DLG4H88UF, ts 1788220689.788859) for review; Garrett not yet notified. Second, out-of-scope 'AECN Truck' (direct) removal exists for the same week per the VVB Guidance's own pyrolysis table -- flagged for awareness only, not QA'd this session (Max provided only the rail removal URL).</t>
        </is>
      </c>
    </row>
    <row r="12">
      <c r="A12" t="inlineStr">
        <is>
          <t>2026-09-22</t>
        </is>
      </c>
      <c r="B12" t="inlineStr">
        <is>
          <t>Batch</t>
        </is>
      </c>
      <c r="C12" t="inlineStr">
        <is>
          <t>INJ-09-2026-W2-QOWV</t>
        </is>
      </c>
      <c r="D12" t="inlineStr">
        <is>
          <t>Sep 2026 (W2, 09/05-09/12)</t>
        </is>
      </c>
      <c r="E12" t="inlineStr">
        <is>
          <t>Findings reopened 2026-09-29; awaiting Garrett</t>
        </is>
      </c>
      <c r="F12" t="n">
        <v>6</v>
      </c>
      <c r="G12" t="n">
        <v>4</v>
      </c>
      <c r="H12" t="n">
        <v>4</v>
      </c>
      <c r="J12" t="n">
        <v>9</v>
      </c>
      <c r="K12" t="inlineStr">
        <is>
          <t>Minutes, from batch_timestamps.json: data gathering T0-T1 10.65; checklist build T1-T2 6.00; adversarial review (self-conducted) T2-T3 0.37; T3-T4 28.87, T4 being the audit-clean rebuild after delivery; agent time T0-T4 45.88; T5 (delivery, 20:00:22Z) precedes T4; T5-T7 32.60. T6 not captured (Max's approval message 20:32:40Z in the transcript). T8, T9, T10 not captured. 2026-09-29 re-work not captured.</t>
        </is>
      </c>
      <c r="L12" t="inlineStr">
        <is>
          <t>Independent monitor count, measured 2026-09-29 from the 2026-09-22 session transcript (28372eb9), the checklist as revised 2026-09-29, adversarial_review_INJ-09-2026-W2-QOWV.md and batch_timestamps.json. Replaces the 2026-09-22 entry, which the QA agent wrote itself. Checklist column C: 24 Pass / 2 Flag / 6 Fail / 1 N/A (33 items); as delivered and sent to Garrett 2026-09-22: 30 Pass / 2 Flag / 0 Fail / 1 N/A. Errors 13 (entered under Errors (Max); none from Garrett): laziness 4, material 4, non-material 9. Iterations with Max 6. Round 1 (20:26:26Z to 20:28:08Z, Max asked whether all steps ran), 3 errors: (1) audit_checklist.py and audit_attachments.py not run before delivery; the audit then showed 0 rows audited (upper-case statuses) and category tokens in the attachment map [laziness, non-material]; (2) performance monitor not triggered; this row then written by the QA agent [non-material]; (3) adversarial review run by the QA agent, not an independent agent [non-material]. Round 2 (20:31:17Z to 20:31:48Z), 1 error: (4) told Max the QOWV evidence matrix needed defining by hand [non-material]. Round 3 (20:32:40Z, approval to send to Garrett) and Round 5 (22:03:46Z), 1 error: (5) near-identical messages re-sent, each marked FINAL [non-material]. Round 4 (20:34:54Z and 20:36:16Z), 1 error: (6) answered the skipped-steps challenge with an explanation instead of a structural fix [non-material]. Round 6, findings reopened at Max's direction (2026-09-28 23:58:54Z; 2026-09-29 16:28:44Z), found 2026-09-29, 7 errors: (7) T1 stamped before the Bio-oil Injection Tracker was reviewed; read 2026-09-29, 38 rows, quantity differences in sidebars B59-B60 [non-material]; (8) 2.2 measured-vs-nominal tare check not done; 57.6 kg is a standard tare; Pass to Flag [laziness, material]; (9) totes not checked tag by tag against the production inventory master; 8 of 38 production periods conflict; the 5 December-labelled totes carried the December CI, overstating production emissions by 158.6842 kg; 3.2 Flag to Fail, 3.5 and 7.2 Pass to Fail [laziness, material]; (10) 3.4 Truck 1 count of 40 not checked; the receiving record shows two 20-tote orders; embodied understated 0.104 t; Pass to Fail [laziness, material]; (11) 8.1 BCU 6,454 kg is 0.494 kg below the 6,454.494 kg process emission; Pass to Fail (the independent reviewer recommended Flag) [material]; (12) sidebar said the lab '#' mark covers Hydrogen; it covers Carbon only [non-material]; (13) column A width 8; labels did not show in full in Excel; widened to 19 on 2026-09-29 [non-material]. Not counted: 1.2 Fail (H50 blanked by a 2026-09-29 15:13 UTC edit to the live Ops Notes, after QA); the Datapoints list, read 2026-09-22 19:48:39Z in the Calculation view (10 datapoints).</t>
        </is>
      </c>
      <c r="M12" t="n">
        <v>1</v>
      </c>
      <c r="N12" t="n">
        <v>33</v>
      </c>
      <c r="O12" t="n">
        <v>13</v>
      </c>
      <c r="Q12">
        <f>O12+P12</f>
        <v/>
      </c>
      <c r="R12" t="n">
        <v>4</v>
      </c>
      <c r="S12" t="n">
        <v>4</v>
      </c>
      <c r="T12" t="n">
        <v>9</v>
      </c>
      <c r="U12" t="n">
        <v>6</v>
      </c>
      <c r="W12" t="inlineStr">
        <is>
          <t>Findings reopened 2026-09-29; awaiting Garrett</t>
        </is>
      </c>
      <c r="X12" t="inlineStr">
        <is>
          <t>Independent monitor count, measured 2026-09-29 from the 2026-09-22 session transcript (28372eb9), the checklist as revised 2026-09-29, adversarial_review_INJ-09-2026-W2-QOWV.md and batch_timestamps.json. Replaces the 2026-09-22 entry, which the QA agent wrote itself. Checklist column C: 24 Pass / 2 Flag / 6 Fail / 1 N/A (33 items); as delivered and sent to Garrett 2026-09-22: 30 Pass / 2 Flag / 0 Fail / 1 N/A. Errors 13 (entered under Errors (Max); none from Garrett): laziness 4, material 4, non-material 9. Iterations with Max 6. Round 1 (20:26:26Z to 20:28:08Z, Max asked whether all steps ran), 3 errors: (1) audit_checklist.py and audit_attachments.py not run before delivery; the audit then showed 0 rows audited (upper-case statuses) and category tokens in the attachment map [laziness, non-material]; (2) performance monitor not triggered; this row then written by the QA agent [non-material]; (3) adversarial review run by the QA agent, not an independent agent [non-material]. Round 2 (20:31:17Z to 20:31:48Z), 1 error: (4) told Max the QOWV evidence matrix needed defining by hand [non-material]. Round 3 (20:32:40Z, approval to send to Garrett) and Round 5 (22:03:46Z), 1 error: (5) near-identical messages re-sent, each marked FINAL [non-material]. Round 4 (20:34:54Z and 20:36:16Z), 1 error: (6) answered the skipped-steps challenge with an explanation instead of a structural fix [non-material]. Round 6, findings reopened at Max's direction (2026-09-28 23:58:54Z; 2026-09-29 16:28:44Z), found 2026-09-29, 7 errors: (7) T1 stamped before the Bio-oil Injection Tracker was reviewed; read 2026-09-29, 38 rows, quantity differences in sidebars B59-B60 [non-material]; (8) 2.2 measured-vs-nominal tare check not done; 57.6 kg is a standard tare; Pass to Flag [laziness, material]; (9) totes not checked tag by tag against the production inventory master; 8 of 38 production periods conflict; the 5 December-labelled totes carried the December CI, overstating production emissions by 158.6842 kg; 3.2 Flag to Fail, 3.5 and 7.2 Pass to Fail [laziness, material]; (10) 3.4 Truck 1 count of 40 not checked; the receiving record shows two 20-tote orders; embodied understated 0.104 t; Pass to Fail [laziness, material]; (11) 8.1 BCU 6,454 kg is 0.494 kg below the 6,454.494 kg process emission; Pass to Fail (the independent reviewer recommended Flag) [material]; (12) sidebar said the lab '#' mark covers Hydrogen; it covers Carbon only [non-material]; (13) column A width 8; labels did not show in full in Excel; widened to 19 on 2026-09-29 [non-material]. Not counted: 1.2 Fail (H50 blanked by a 2026-09-29 15:13 UTC edit to the live Ops Notes, after QA); the Datapoints list, read 2026-09-22 19:48:39Z in the Calculation view (10 datapoints).</t>
        </is>
      </c>
    </row>
    <row r="13">
      <c r="A13" t="inlineStr">
        <is>
          <t>2026-09-28</t>
        </is>
      </c>
      <c r="B13" t="inlineStr">
        <is>
          <t>Batch</t>
        </is>
      </c>
      <c r="C13" t="inlineStr">
        <is>
          <t>INJ-09-2026-W3-QOWV</t>
        </is>
      </c>
      <c r="D13" t="inlineStr">
        <is>
          <t>Sep 2026 (W3, 09/12-09/18)</t>
        </is>
      </c>
      <c r="E13" t="inlineStr">
        <is>
          <t>Findings reopened 2026-09-29; awaiting Garrett</t>
        </is>
      </c>
      <c r="F13" t="n">
        <v>6</v>
      </c>
      <c r="G13" t="n">
        <v>4</v>
      </c>
      <c r="H13" t="n">
        <v>2</v>
      </c>
      <c r="J13" t="n">
        <v>11</v>
      </c>
      <c r="K13" t="inlineStr">
        <is>
          <t>Minutes, from batch_timestamps.json: data gathering T0-T1 24.83; checklist build T1-T2 6.85; adversarial review T2-T3 28.63; finalization T3-T4 21.83; agent time T0-T4 82.15; T4-T5 3.90; Max review T5-T6 10.87; T6-T7 3.90; T6 to re-work complete (23:42:31Z) 37.77. T8, T9, T10 not captured. 2026-09-29 truck-count rebuild not captured.</t>
        </is>
      </c>
      <c r="L13" t="inlineStr">
        <is>
          <t>Independent monitor count, measured from the session transcript (62488b95), the checklist as rebuilt 2026-09-29 and batch_timestamps.json. Checklist column C: 24 Pass / 3 Flag / 5 Fail / 1 N/A (33 items), unchanged by the 2026-09-29 rebuild (3.4 was already Fail). Errors 13 (entered under Errors (Max); none from Garrett): laziness 4, material 2, non-material 11. Iterations with Max 6. Max approval at 23:04:45Z also answered the agent's question on the skill's reversed BCU wording; not counted as an error. Round 1 (23:12:34Z, Max asked which required steps were skipped), 7 errors: (1) checklist 5.2 and 8.1 quoted Max [non-material]; (2) tare measured-vs-nominal check not done, standard 57.6 kg tare on all 37 totes missing from 2.2, although the adversarial reviewer had raised it [laziness, material]; (3) recompute output summarized, not pasted before delivery [non-material]; (4) no cell-by-cell formatting audit before delivery; 10 sidebar notes showed one line in Excel [laziness, non-material]; (5) QA agent filled in this tracker itself [non-material]; (6) production-period summaries logged Aqueous row only, no WODO CI, WODO mass or date range [laziness, non-material]; (7) 4 loose workspace files left in place [non-material]. Round 2 (23:18:47Z), 1 error: (8) asked Max whether to finish skipped steps instead of doing them [non-material]. Round 3 (23:32:32Z and 23:33:17Z), 1 error: (9) v2 and v3 checklist files created [non-material]. Round 4 (23:48:42Z), 1 error: (10) raw recompute printout pasted as an unformatted code block [non-material]. Round 5 (23:58:01Z), 1 error: (11) unclear question on step records for other batches; listed INJ-08-2026-W5 as awaiting Garrett when it was closed [non-material]. Round 6 (2026-09-29 16:26:24Z and 16:28:44Z), 1 error: (12) proposed checking INJ-08-2026-W3, W4 and W5 [non-material]. Found in the 2026-09-29 re-work, 1 error: (13) 3.4 Truck 1 and Truck 2 denominators (40 and 36) are ship-date groups read from the inventory's 'Shipment Tracker (Nov 2025+)' tab; the receiving record puts this batch's totes on orders of 20 (CO_AQUEOUS_12.1.25_T2) and 18 (CO_AQUEOUS_12.2_02); +603.8361 mi, embodied understated 0.11641 t, net overstated; net on the production record 3.58876 t, not the 3.70517 t reported 2026-09-28. Found by the QA agent after the W2 independent review raised the same error on W2, reported 16:24:48Z; Max's 16:28:44Z message directed the fix; added to 3.4 and C.1, checklist rebuilt [laziness, material]. Adversarial reviewer catches, fixed before delivery, not Max errors: 3.2 Pass to Fail; 1.3 Pass to Flag; fix steps for 3.4, 7.2 and 8.1; Bio-oil Injection Tracker (COBB) not opened; recompute BCU check passing within a 1 kg allowance. Timestamps: T1 stamped 21:52:40Z, Bio-oil Injection Tracker first opened 22:28:40Z. T8, T9, T10 null (Garrett pending). Re-work after approval complete 23:42:31Z (batch_timestamps.json); 2026-09-29 rebuild not captured.</t>
        </is>
      </c>
      <c r="M13" t="n">
        <v>1</v>
      </c>
      <c r="N13" t="n">
        <v>33</v>
      </c>
      <c r="O13" t="n">
        <v>13</v>
      </c>
      <c r="Q13">
        <f>O13+P13</f>
        <v/>
      </c>
      <c r="R13" t="n">
        <v>4</v>
      </c>
      <c r="S13" t="n">
        <v>2</v>
      </c>
      <c r="T13" t="n">
        <v>11</v>
      </c>
      <c r="U13" t="n">
        <v>6</v>
      </c>
      <c r="W13" t="inlineStr">
        <is>
          <t>Findings reopened 2026-09-29; awaiting Garrett</t>
        </is>
      </c>
      <c r="X13" t="inlineStr">
        <is>
          <t>Independent monitor count, measured from the session transcript (62488b95), the checklist as rebuilt 2026-09-29 and batch_timestamps.json. Checklist column C: 24 Pass / 3 Flag / 5 Fail / 1 N/A (33 items), unchanged by the 2026-09-29 rebuild (3.4 was already Fail). Errors 13 (entered under Errors (Max); none from Garrett): laziness 4, material 2, non-material 11. Iterations with Max 6. Max approval at 23:04:45Z also answered the agent's question on the skill's reversed BCU wording; not counted as an error. Round 1 (23:12:34Z, Max asked which required steps were skipped), 7 errors: (1) checklist 5.2 and 8.1 quoted Max [non-material]; (2) tare measured-vs-nominal check not done, standard 57.6 kg tare on all 37 totes missing from 2.2, although the adversarial reviewer had raised it [laziness, material]; (3) recompute output summarized, not pasted before delivery [non-material]; (4) no cell-by-cell formatting audit before delivery; 10 sidebar notes showed one line in Excel [laziness, non-material]; (5) QA agent filled in this tracker itself [non-material]; (6) production-period summaries logged Aqueous row only, no WODO CI, WODO mass or date range [laziness, non-material]; (7) 4 loose workspace files left in place [non-material]. Round 2 (23:18:47Z), 1 error: (8) asked Max whether to finish skipped steps instead of doing them [non-material]. Round 3 (23:32:32Z and 23:33:17Z), 1 error: (9) v2 and v3 checklist files created [non-material]. Round 4 (23:48:42Z), 1 error: (10) raw recompute printout pasted as an unformatted code block [non-material]. Round 5 (23:58:01Z), 1 error: (11) unclear question on step records for other batches; listed INJ-08-2026-W5 as awaiting Garrett when it was closed [non-material]. Round 6 (2026-09-29 16:26:24Z and 16:28:44Z), 1 error: (12) proposed checking INJ-08-2026-W3, W4 and W5 [non-material]. Found in the 2026-09-29 re-work, 1 error: (13) 3.4 Truck 1 and Truck 2 denominators (40 and 36) are ship-date groups read from the inventory's 'Shipment Tracker (Nov 2025+)' tab; the receiving record puts this batch's totes on orders of 20 (CO_AQUEOUS_12.1.25_T2) and 18 (CO_AQUEOUS_12.2_02); +603.8361 mi, embodied understated 0.11641 t, net overstated; net on the production record 3.58876 t, not the 3.70517 t reported 2026-09-28. Found by the QA agent after the W2 independent review raised the same error on W2, reported 16:24:48Z; Max's 16:28:44Z message directed the fix; added to 3.4 and C.1, checklist rebuilt [laziness, material]. Adversarial reviewer catches, fixed before delivery, not Max errors: 3.2 Pass to Fail; 1.3 Pass to Flag; fix steps for 3.4, 7.2 and 8.1; Bio-oil Injection Tracker (COBB) not opened; recompute BCU check passing within a 1 kg allowance. Timestamps: T1 stamped 21:52:40Z, Bio-oil Injection Tracker first opened 22:28:40Z. T8, T9, T10 null (Garrett pending). Re-work after approval complete 23:42:31Z (batch_timestamps.json); 2026-09-29 rebuild not captured.</t>
        </is>
      </c>
    </row>
    <row r="14">
      <c r="A14" t="inlineStr">
        <is>
          <t>2026-09-21</t>
        </is>
      </c>
      <c r="B14" t="inlineStr">
        <is>
          <t>Batch</t>
        </is>
      </c>
      <c r="C14" t="inlineStr">
        <is>
          <t>INJ-09-2026-W1-WODO</t>
        </is>
      </c>
      <c r="D14" t="inlineStr">
        <is>
          <t>Sep 2026 (W1, 08/29-09/05)</t>
        </is>
      </c>
      <c r="E14" t="inlineStr">
        <is>
          <t>Findings reopened 2026-09-29; awaiting Garrett</t>
        </is>
      </c>
      <c r="F14" t="n">
        <v>2</v>
      </c>
      <c r="G14" t="n">
        <v>1</v>
      </c>
      <c r="H14" t="n">
        <v>3</v>
      </c>
      <c r="J14" t="n">
        <v>6</v>
      </c>
      <c r="K14" t="inlineStr">
        <is>
          <t>Minutes, from batch_timestamps.json: data gathering T0-T1 8.43; checklist build T1-T2 7.03; adversarial review T2-T3 4.32; finalization T3-T4 3.50; agent time T0-T4 23.28; T4-T5 0.03; Max review T5-T6 8.22; T7 (23:26:51Z) recorded 0.90 before T6 (23:27:45Z). T8, T9, T10 not captured. Re-work after Max's 23:22:03Z question and the 2026-09-29 re-work not captured.</t>
        </is>
      </c>
      <c r="L14" t="inlineStr">
        <is>
          <t>Independent monitor count, measured 2026-09-29 from the 2026-09-21 session transcript (8335dbb1), the checklist as revised 2026-09-29, adversarial_review_INJ-09-2026-W1-WODO_2026-09-29.md, failure_category_review_late.md and batch_timestamps.json. No row existed: the performance monitor was not run on 2026-09-21. Checklist column C: 26 Pass / 3 Flag / 2 Fail / 1 N/A (32 items); as delivered and sent to Garrett 2026-09-21: 29 Pass / 2 Flag / 0 Fail / 1 N/A. Errors 9 (entered under Errors (Max); none from Garrett): laziness 1, material 3, non-material 6. Iterations with Max 2. Round 1 (23:22:03Z to 23:23:32Z, Max asked whether the arithmetic was reconstructed deterministically), 1 error: (1) no scripted recompute before delivery [non-material]. Max approved 23:26:35Z; Garrett notified 23:26:51Z (T7) with Flags 7.2 and 7.3 only. Round 2, findings reopened at Max's direction (2026-09-28 23:58:54Z; 2026-09-29 16:28:44Z), found 2026-09-29, 8 errors: (2) applicable Failure Categories not printed before Gate 1 [non-material]; (3) performance monitor not triggered; no tracker row [non-material]; (4) T1 stamped before the Bio-oil Injection Tracker was reviewed; read 2026-09-29, 13 of 13 tags match [non-material]; (5) 2.2 measured-vs-nominal tare check not done; 57.6 kg is a standard tare; Pass to Flag [laziness, material]; (6) 8.1 BCU 2,481 kg exceeds the 2,480.9758 kg process emission by 0.0242 kg; graded Pass under the checklist wording 'meet or exceed'; Fail under the rule that a BCU must not exceed the emission [material]; (7) tote 301257 gross 1,115 kg in the Ops Notes and inventory Q4 tab, 1,120 kg on the Oil_inventory_data tab; 2.1 Pass to Fail [material]; (8) status summary in a 7-wide column A, row height 409.5, 17-page Excel PDF; merged across A-E 2026-09-29 [non-material]; (9) two checklist files on disk (original and _v2); one file under the original name since 2026-09-29 [non-material].</t>
        </is>
      </c>
      <c r="M14" t="n">
        <v>1</v>
      </c>
      <c r="N14" t="n">
        <v>32</v>
      </c>
      <c r="O14" t="n">
        <v>9</v>
      </c>
      <c r="Q14">
        <f>O14+P14</f>
        <v/>
      </c>
      <c r="R14" t="n">
        <v>1</v>
      </c>
      <c r="S14" t="n">
        <v>3</v>
      </c>
      <c r="T14" t="n">
        <v>6</v>
      </c>
      <c r="U14" t="n">
        <v>2</v>
      </c>
      <c r="W14" t="inlineStr">
        <is>
          <t>Findings reopened 2026-09-29; awaiting Garrett</t>
        </is>
      </c>
      <c r="X14" t="inlineStr">
        <is>
          <t>Independent monitor count, measured 2026-09-29 from the 2026-09-21 session transcript (8335dbb1), the checklist as revised 2026-09-29, adversarial_review_INJ-09-2026-W1-WODO_2026-09-29.md, failure_category_review_late.md and batch_timestamps.json. No row existed: the performance monitor was not run on 2026-09-21. Checklist column C: 26 Pass / 3 Flag / 2 Fail / 1 N/A (32 items); as delivered and sent to Garrett 2026-09-21: 29 Pass / 2 Flag / 0 Fail / 1 N/A. Errors 9 (entered under Errors (Max); none from Garrett): laziness 1, material 3, non-material 6. Iterations with Max 2. Round 1 (23:22:03Z to 23:23:32Z, Max asked whether the arithmetic was reconstructed deterministically), 1 error: (1) no scripted recompute before delivery [non-material]. Max approved 23:26:35Z; Garrett notified 23:26:51Z (T7) with Flags 7.2 and 7.3 only. Round 2, findings reopened at Max's direction (2026-09-28 23:58:54Z; 2026-09-29 16:28:44Z), found 2026-09-29, 8 errors: (2) applicable Failure Categories not printed before Gate 1 [non-material]; (3) performance monitor not triggered; no tracker row [non-material]; (4) T1 stamped before the Bio-oil Injection Tracker was reviewed; read 2026-09-29, 13 of 13 tags match [non-material]; (5) 2.2 measured-vs-nominal tare check not done; 57.6 kg is a standard tare; Pass to Flag [laziness, material]; (6) 8.1 BCU 2,481 kg exceeds the 2,480.9758 kg process emission by 0.0242 kg; graded Pass under the checklist wording 'meet or exceed'; Fail under the rule that a BCU must not exceed the emission [material]; (7) tote 301257 gross 1,115 kg in the Ops Notes and inventory Q4 tab, 1,120 kg on the Oil_inventory_data tab; 2.1 Pass to Fail [material]; (8) status summary in a 7-wide column A, row height 409.5, 17-page Excel PDF; merged across A-E 2026-09-29 [non-material]; (9) two checklist files on disk (original and _v2); one file under the original name since 2026-09-29 [non-material].</t>
        </is>
      </c>
    </row>
    <row r="15">
      <c r="A15" t="inlineStr">
        <is>
          <t>2026-09-29</t>
        </is>
      </c>
      <c r="B15" t="inlineStr">
        <is>
          <t>Batch</t>
        </is>
      </c>
      <c r="C15" t="inlineStr">
        <is>
          <t>INJ-09-2026-W3-AECN</t>
        </is>
      </c>
      <c r="D15" t="inlineStr">
        <is>
          <t>Sep 2026 (W3)</t>
        </is>
      </c>
      <c r="E15" t="inlineStr">
        <is>
          <t>Approved 2026-09-30; sent to Garrett for corrections; awaiting Garrett</t>
        </is>
      </c>
      <c r="F15">
        <f>SUM(U15:V15)</f>
        <v/>
      </c>
      <c r="G15">
        <f>R15</f>
        <v/>
      </c>
      <c r="H15">
        <f>S15</f>
        <v/>
      </c>
      <c r="J15">
        <f>T15</f>
        <v/>
      </c>
      <c r="K15" s="7">
        <f>IF(OR(AB15="",AG15=""),"",(AG15-AB15)*24)</f>
        <v/>
      </c>
      <c r="L15" t="inlineStr">
        <is>
          <t>Independent monitor count, measured 2026-09-29 from batch_timestamps.json, the checklist as finalized at T4 (column C counted with openpyxl), adversarial_review.md, adversarial_resolution.md, step_ledger.json and the source-read log. Checklist column C: 31 Pass / 13 Fail / 13 Flag / 5 N/A (62 rows, including sidebar Flag S.1). At Gate 3 review: 37 Pass / 9 Fail / 11 Flag / 5 N/A (62 rows). Changed after review: 8.3 Flag to Fail; 1.5 and 5.1 Pass to Flag; S.2 added; after the SHPX215046 last-load ruling (the cut goes on offload 4, booked in W2), 2.5 Fail to Flag and 3.3 back to Flag; after the custody ruling (upstream emissions of all oil in Charm custody are netted against removals), 6.6, 7.2, 8.2 and 9.2 Pass to Fail and S.2 removed. Self-caught errors 1: the mass-chain check script required the back-calculation on every last offload and gave a false Fail on GPRX5102 offload 4 (expected 18,455.95 vs 18,334.19 kg); the QA agent fixed it to follow Failure Category 11, retested it on the 2-185 example and reran it before building the checklist (log mass_chain.script_fix_this_session). Reviewer-caught errors 12 (reviewer challenged 9 rows, confirmed 53; resolution accepted every challenge; the last-load ruling then reversed the 3.3 status change, and the railcar-loss emissions left this count after the custody ruling, see H5 below): material 4, non-material 8, laziness 2. (1) 2.3 stated the tare error in the wrong direction; the published KL720 standard empty of 29,645 lb puts the credited net 2.26796 kg high, not low [material]; (2) 2.5 failed W3 while placing the correction on W2 offload 4, the last load the ruling confirmed, so W3 and W2 both failed the same kilograms, a 40.6192 kg double-correction risk; the out-of-order offload table was not raised for a decision [material]; (3) 2.5 omitted the W2 Ops Notes M12 caveat on the W2 tickets [non-material]; (4) 3.3 said the over-draw would not show on the guidance basis, which the multi-week clause contradicts; said loaded mass enters Certify only through the AECN-SOPOR fractions (it also enters the SHPX215046 rail allocations); guidance-basis losses 1,480.54 and 1,575.01 kg absent [non-material]; (5) 8.3 graded Flag though H11 = 0 against W2's 35,652.3312 kg hides the railcar over-draw [non-material]; (6) 9.6 fix rounded the BCU down to 14,634 kgCO2e; exact process figure 14,634.650 [material]; (7) 7.3 and 7a.3 passed with the discount not re-derived; 9.8 net 248.323303 t, re-derived 248.327129 t [laziness, material]; (8) 8.1 checked axle splits on full tickets only; empty ticket 1312226254521 (steer 3,880 lb) missed [laziness, non-material]; (9) R&amp;D deduction (K46, 902 kg) has no supporting record; not raised; added to 2.7 [non-material]; (10) BOL PO pages ship to El Dorado, KS; 1.5 Pass to Flag, 3.7 updated [non-material]; (11) Ops Notes M10 gives a kg tare field in lb; added to 3.7 [non-material]; (12) '(Sat)' week labels fall on Fridays; 5.1 Pass to Flag [non-material]. Errors found by the MRV lead 8 (column O; counted at T6 from the session record a332c7c2, messages after T0): material 1, non-material 7, laziness 0; iterations 4. Round 1 (23:05:28Z to 23:08:36Z), 2 errors: (H1) status messages in shorthand ('the delivery checks ran and are red', 'the 20.3 kg SHPX215046 correction'), questioned three times [non-material]; (H2) offered redoing the QA from the start as an option [non-material]; the 23:08:36Z last-load ruling answered a decision question and is not counted. Round 2 (23:21:19Z to 23:23:26Z), 3 errors: (H3) questions for the MRV lead mixed with findings for Garrett [non-material]; (H4) re-asked whether to send despite the skipped step, which the reply says was already answered [non-material]; (H5) custody: the first checklist passed 6.6, 7.2, 8.2 and 9.2 with 0.042411 t of upstream emissions on the 186.38656 kg lost from GPRX5102 and TILX200231 uncharged; the reviewer raised those emissions as an open question and confirmed the four Passes; the resolution added sidebar Flag S.2 and left the four rows Pass; the QA agent then put it to the MRV lead as a question; the ruling that upstream emissions of all oil in Charm custody are netted against removals made the four rows Fail and removed S.2. The rule was added to checklist_structure.md at 23:25:00Z, after the ruling; the August guidance had applied it to the GPRX5139 spill [material]. Round 3 (00:05:25Z, approval), 1 error: (H6) referred to 'my change to the send block' without saying what it was [non-material]. Round 4 (00:17:23Z to 00:20:20Z, after the post to Garrett), 2 errors: (H7) the delivery block was built to refuse sending while real findings were open (missing Certify attachments, the SHPX215046 over-draw), which would have kept them from Garrett; the QA agent loosened it during this QA and asked whether to keep the change [non-material]; (H8) answered the design challenge with an explanation instead of a fix [non-material]. Messages before T0 (19:40:37Z, 19:43:58Z) not counted. Material = a wrong or missing mass, emission, BCU, discount or net figure, or a wrong fix for one. Non-material = wording, disclosure, labels, supporting evidence, and status grades whose Net CDR correction sits in another row. Laziness per the skill: summarizing instead of verifying; not checking every value. Not counted: the reviewer's 3.3 Flag-to-Fail challenge, reversed by the ruling (3.3 is Flag, pointing to W2); the resolution's move of the 2.5 correction to W3 offload 2, which followed the recorded last-reported rule the ruling replaced; the reviewer's 62 rows against the 57 stated (57 excludes the 5 N/A rows); observations 6 to 8 (knowledge base staleness, W2 still open, correction order). Timing (columns AB to AP from batch_timestamps.json; file times are last-modified, UTC): T0 and T1 carry no seconds (20:15:00Z, 21:12:00Z). 35 batch files were last written between T1 and T2, the last at 21:27:15Z: the Certify ticket and BOL copies with their comparisons, the Drive folder listing, the formation fluid report, the solids-content dataset, the Certify project and GHG statements pages and ops_notes_components_bols_text_dump.txt. The reviewer's report was saved 22:11:35Z; T3 (22:19:55Z) equals the save time of adversarial_resolution.md, so the T2-T3 interval includes 8 min 20 s of resolution work and T3-T4 (22:19:55Z to 23:29:01Z) covers the Gate 3 checklist rebuild and Excel render (22:21:14Z, 22:21:19Z), the monitor's row 15 updates (22:32Z, 22:56Z, 22:59Z, 23:14Z, 23:16Z), the step audit (ledger_audit.json created 22:49:29Z, first audit time 22:54:49Z, re-audited 23:02:23Z and 23:18:54Z), a second rebuild and Excel render for the 9.6 rewording (22:55:05Z to 22:55:11Z; the rewording itself is not recorded in the batch folder), a third rebuild after the SHPX215046 last-load ruling (recompute 23:10:10Z, checklist 23:10:44Z, Excel render 23:11:21Z, resolution addendum 23:11:50Z), and a fourth rebuild after the custody ruling (recompute 23:25:22Z, checklist 23:26:49Z, delivery_exceptions.json 23:28:08Z, Excel render 23:28:35Z, resolution addendum 23:29:01Z). T5 not stamped (N/A, not captured); results were first posted in chat 23:03:13Z and the delivery DM send was issued 23:44:24Z (Slack message time 23:44:57Z; T_final_max_delivery 23:45:04Z). T6 (00:09:04Z) was stamped 3 min 39 s after the approval message (00:05:25Z); T7 (00:09:04Z, no tracker column) 8 s after the post to Garrett in #team-mrv-alerts (send issued 00:06:22Z, Slack message time 00:08:56Z). T0 (20:15:00Z) is 37 s after the request that started the QA (20:14:22Z). T8 to T10 not reached. Duration (K) = T6 minus T0 in hours. Garrett columns (I, P, V) left blank until Garrett completes; F, G, H and J are formulas copying U, R, S and T. Step ledger (last saved 23:30:08Z): all 33 required AECN steps entered; 31 marked done, 2 marked not done. P4_failure_categories_printed: the Failure Category list was not printed before Gate 1 (Gate 1 began 20:16:49Z); the log's earlier entry recording a 20:19Z print was false; the list was first printed to chat after Gate 4 (22:52:31Z per the step audit, 22:52:38Z per the ledger); the log records the miss as 'Caught by the independent step audit.' G1_mass_chain_script: the 2 SHPX215046 railcar-balance Fails remain (the fix belongs on W2's offload 4), so the step is not met as worded. G4_monitor_independent, saved 23:30:08Z, says counts and T4 were updated after each rebuild; the tracker update for the custody rebuild finished at 23:41:05Z (step audit). Step audit (ledger_audit.json, audited 23:43:44Z): checked ledger fingerprint 2b1402e3..., which matches the ledger on disk; 31 verified, 2 not verified (P4_failure_categories_printed, G1_mass_chain_script). Delivery exceptions (delivery_exceptions.json, 23:28:08Z): 3 recorded, for the attachment gate (row 3.5), G1_mass_chain_script (row 8.3) and P4_failure_categories_printed; P4 is marked authorized by the MRV lead, the other two carry no authorization entry. Gate receipt (gate_receipt.json, 23:43:53Z): all_gates_green true across status casing, recompute, checklist audit, performance tracker and required steps, with the same 3 exceptions; its checklist and source-read fingerprints (65eaa867..., 822f0d23...) match the files on disk.</t>
        </is>
      </c>
      <c r="M15" t="n">
        <v>5</v>
      </c>
      <c r="N15">
        <f>SUM(M15,Y15:AA15)</f>
        <v/>
      </c>
      <c r="O15" t="n">
        <v>8</v>
      </c>
      <c r="Q15">
        <f>IF(COUNT(O15:P15)=0,"",O15+P15)</f>
        <v/>
      </c>
      <c r="R15" t="n">
        <v>0</v>
      </c>
      <c r="S15" t="n">
        <v>1</v>
      </c>
      <c r="T15" t="n">
        <v>7</v>
      </c>
      <c r="U15" t="n">
        <v>4</v>
      </c>
      <c r="W15" t="inlineStr">
        <is>
          <t>Approved 2026-09-30; sent to Garrett for corrections; awaiting Garrett</t>
        </is>
      </c>
      <c r="X15" t="inlineStr">
        <is>
          <t>Independent monitor count, measured 2026-09-29 from batch_timestamps.json, the checklist as finalized at T4 (column C counted with openpyxl), adversarial_review.md, adversarial_resolution.md, step_ledger.json and the source-read log. Checklist column C: 31 Pass / 13 Fail / 13 Flag / 5 N/A (62 rows, including sidebar Flag S.1). At Gate 3 review: 37 Pass / 9 Fail / 11 Flag / 5 N/A (62 rows). Changed after review: 8.3 Flag to Fail; 1.5 and 5.1 Pass to Flag; S.2 added; after the SHPX215046 last-load ruling (the cut goes on offload 4, booked in W2), 2.5 Fail to Flag and 3.3 back to Flag; after the custody ruling (upstream emissions of all oil in Charm custody are netted against removals), 6.6, 7.2, 8.2 and 9.2 Pass to Fail and S.2 removed. Self-caught errors 1: the mass-chain check script required the back-calculation on every last offload and gave a false Fail on GPRX5102 offload 4 (expected 18,455.95 vs 18,334.19 kg); the QA agent fixed it to follow Failure Category 11, retested it on the 2-185 example and reran it before building the checklist (log mass_chain.script_fix_this_session). Reviewer-caught errors 12 (reviewer challenged 9 rows, confirmed 53; resolution accepted every challenge; the last-load ruling then reversed the 3.3 status change, and the railcar-loss emissions left this count after the custody ruling, see H5 below): material 4, non-material 8, laziness 2. (1) 2.3 stated the tare error in the wrong direction; the published KL720 standard empty of 29,645 lb puts the credited net 2.26796 kg high, not low [material]; (2) 2.5 failed W3 while placing the correction on W2 offload 4, the last load the ruling confirmed, so W3 and W2 both failed the same kilograms, a 40.6192 kg double-correction risk; the out-of-order offload table was not raised for a decision [material]; (3) 2.5 omitted the W2 Ops Notes M12 caveat on the W2 tickets [non-material]; (4) 3.3 said the over-draw would not show on the guidance basis, which the multi-week clause contradicts; said loaded mass enters Certify only through the AECN-SOPOR fractions (it also enters the SHPX215046 rail allocations); guidance-basis losses 1,480.54 and 1,575.01 kg absent [non-material]; (5) 8.3 graded Flag though H11 = 0 against W2's 35,652.3312 kg hides the railcar over-draw [non-material]; (6) 9.6 fix rounded the BCU down to 14,634 kgCO2e; exact process figure 14,634.650 [material]; (7) 7.3 and 7a.3 passed with the discount not re-derived; 9.8 net 248.323303 t, re-derived 248.327129 t [laziness, material]; (8) 8.1 checked axle splits on full tickets only; empty ticket 1312226254521 (steer 3,880 lb) missed [laziness, non-material]; (9) R&amp;D deduction (K46, 902 kg) has no supporting record; not raised; added to 2.7 [non-material]; (10) BOL PO pages ship to El Dorado, KS; 1.5 Pass to Flag, 3.7 updated [non-material]; (11) Ops Notes M10 gives a kg tare field in lb; added to 3.7 [non-material]; (12) '(Sat)' week labels fall on Fridays; 5.1 Pass to Flag [non-material]. Errors found by the MRV lead 8 (column O; counted at T6 from the session record a332c7c2, messages after T0): material 1, non-material 7, laziness 0; iterations 4. Round 1 (23:05:28Z to 23:08:36Z), 2 errors: (H1) status messages in shorthand ('the delivery checks ran and are red', 'the 20.3 kg SHPX215046 correction'), questioned three times [non-material]; (H2) offered redoing the QA from the start as an option [non-material]; the 23:08:36Z last-load ruling answered a decision question and is not counted. Round 2 (23:21:19Z to 23:23:26Z), 3 errors: (H3) questions for the MRV lead mixed with findings for Garrett [non-material]; (H4) re-asked whether to send despite the skipped step, which the reply says was already answered [non-material]; (H5) custody: the first checklist passed 6.6, 7.2, 8.2 and 9.2 with 0.042411 t of upstream emissions on the 186.38656 kg lost from GPRX5102 and TILX200231 uncharged; the reviewer raised those emissions as an open question and confirmed the four Passes; the resolution added sidebar Flag S.2 and left the four rows Pass; the QA agent then put it to the MRV lead as a question; the ruling that upstream emissions of all oil in Charm custody are netted against removals made the four rows Fail and removed S.2. The rule was added to checklist_structure.md at 23:25:00Z, after the ruling; the August guidance had applied it to the GPRX5139 spill [material]. Round 3 (00:05:25Z, approval), 1 error: (H6) referred to 'my change to the send block' without saying what it was [non-material]. Round 4 (00:17:23Z to 00:20:20Z, after the post to Garrett), 2 errors: (H7) the delivery block was built to refuse sending while real findings were open (missing Certify attachments, the SHPX215046 over-draw), which would have kept them from Garrett; the QA agent loosened it during this QA and asked whether to keep the change [non-material]; (H8) answered the design challenge with an explanation instead of a fix [non-material]. Messages before T0 (19:40:37Z, 19:43:58Z) not counted. Material = a wrong or missing mass, emission, BCU, discount or net figure, or a wrong fix for one. Non-material = wording, disclosure, labels, supporting evidence, and status grades whose Net CDR correction sits in another row. Laziness per the skill: summarizing instead of verifying; not checking every value. Not counted: the reviewer's 3.3 Flag-to-Fail challenge, reversed by the ruling (3.3 is Flag, pointing to W2); the resolution's move of the 2.5 correction to W3 offload 2, which followed the recorded last-reported rule the ruling replaced; the reviewer's 62 rows against the 57 stated (57 excludes the 5 N/A rows); observations 6 to 8 (knowledge base staleness, W2 still open, correction order). Timing (columns AB to AP from batch_timestamps.json; file times are last-modified, UTC): T0 and T1 carry no seconds (20:15:00Z, 21:12:00Z). 35 batch files were last written between T1 and T2, the last at 21:27:15Z: the Certify ticket and BOL copies with their comparisons, the Drive folder listing, the formation fluid report, the solids-content dataset, the Certify project and GHG statements pages and ops_notes_components_bols_text_dump.txt. The reviewer's report was saved 22:11:35Z; T3 (22:19:55Z) equals the save time of adversarial_resolution.md, so the T2-T3 interval includes 8 min 20 s of resolution work and T3-T4 (22:19:55Z to 23:29:01Z) covers the Gate 3 checklist rebuild and Excel render (22:21:14Z, 22:21:19Z), the monitor's row 15 updates (22:32Z, 22:56Z, 22:59Z, 23:14Z, 23:16Z), the step audit (ledger_audit.json created 22:49:29Z, first audit time 22:54:49Z, re-audited 23:02:23Z and 23:18:54Z), a second rebuild and Excel render for the 9.6 rewording (22:55:05Z to 22:55:11Z; the rewording itself is not recorded in the batch folder), a third rebuild after the SHPX215046 last-load ruling (recompute 23:10:10Z, checklist 23:10:44Z, Excel render 23:11:21Z, resolution addendum 23:11:50Z), and a fourth rebuild after the custody ruling (recompute 23:25:22Z, checklist 23:26:49Z, delivery_exceptions.json 23:28:08Z, Excel render 23:28:35Z, resolution addendum 23:29:01Z). T5 not stamped (N/A, not captured); results were first posted in chat 23:03:13Z and the delivery DM send was issued 23:44:24Z (Slack message time 23:44:57Z; T_final_max_delivery 23:45:04Z). T6 (00:09:04Z) was stamped 3 min 39 s after the approval message (00:05:25Z); T7 (00:09:04Z, no tracker column) 8 s after the post to Garrett in #team-mrv-alerts (send issued 00:06:22Z, Slack message time 00:08:56Z). T0 (20:15:00Z) is 37 s after the request that started the QA (20:14:22Z). T8 to T10 not reached. Duration (K) = T6 minus T0 in hours. Garrett columns (I, P, V) left blank until Garrett completes; F, G, H and J are formulas copying U, R, S and T. Step ledger (last saved 23:30:08Z): all 33 required AECN steps entered; 31 marked done, 2 marked not done. P4_failure_categories_printed: the Failure Category list was not printed before Gate 1 (Gate 1 began 20:16:49Z); the log's earlier entry recording a 20:19Z print was false; the list was first printed to chat after Gate 4 (22:52:31Z per the step audit, 22:52:38Z per the ledger); the log records the miss as 'Caught by the independent step audit.' G1_mass_chain_script: the 2 SHPX215046 railcar-balance Fails remain (the fix belongs on W2's offload 4), so the step is not met as worded. G4_monitor_independent, saved 23:30:08Z, says counts and T4 were updated after each rebuild; the tracker update for the custody rebuild finished at 23:41:05Z (step audit). Step audit (ledger_audit.json, audited 23:43:44Z): checked ledger fingerprint 2b1402e3..., which matches the ledger on disk; 31 verified, 2 not verified (P4_failure_categories_printed, G1_mass_chain_script). Delivery exceptions (delivery_exceptions.json, 23:28:08Z): 3 recorded, for the attachment gate (row 3.5), G1_mass_chain_script (row 8.3) and P4_failure_categories_printed; P4 is marked authorized by the MRV lead, the other two carry no authorization entry. Gate receipt (gate_receipt.json, 23:43:53Z): all_gates_green true across status casing, recompute, checklist audit, performance tracker and required steps, with the same 3 exceptions; its checklist and source-read fingerprints (65eaa867..., 822f0d23...) match the files on disk.</t>
        </is>
      </c>
      <c r="Y15" t="n">
        <v>31</v>
      </c>
      <c r="Z15" t="n">
        <v>13</v>
      </c>
      <c r="AA15" t="n">
        <v>13</v>
      </c>
      <c r="AB15" s="9" t="n">
        <v>46294.84375</v>
      </c>
      <c r="AC15" s="9" t="n">
        <v>46294.88333333333</v>
      </c>
      <c r="AD15" s="9" t="n">
        <v>46294.89887731482</v>
      </c>
      <c r="AE15" s="9" t="n">
        <v>46294.93049768519</v>
      </c>
      <c r="AF15" s="9" t="n">
        <v>46294.97848379629</v>
      </c>
      <c r="AG15" s="9" t="n">
        <v>46295.0062962963</v>
      </c>
      <c r="AH15" s="9" t="n"/>
      <c r="AI15" s="9" t="n"/>
      <c r="AJ15" s="9" t="n"/>
      <c r="AK15" s="7">
        <f>IF(OR(AB15="",AC15=""),"",(AC15-AB15)*1440)</f>
        <v/>
      </c>
      <c r="AL15" s="7">
        <f>IF(OR(AC15="",AD15=""),"",(AD15-AC15)*1440)</f>
        <v/>
      </c>
      <c r="AM15" s="7">
        <f>IF(OR(AD15="",AE15=""),"",(AE15-AD15)*1440)</f>
        <v/>
      </c>
      <c r="AN15" s="7">
        <f>IF(OR(AE15="",AF15=""),"",(AF15-AE15)*1440)</f>
        <v/>
      </c>
      <c r="AO15" s="7">
        <f>IF(OR(AB15="",AF15=""),"",(AF15-AB15)*1440+IF(OR(AH15="",AI15=""),0,(AI15-AH15)*1440))</f>
        <v/>
      </c>
      <c r="AP15" s="7">
        <f>IF(OR(AB15="",AJ15=""),"",(AJ15-AB15)*1440)</f>
        <v/>
      </c>
      <c r="AQ15" t="n">
        <v>1</v>
      </c>
      <c r="AR15">
        <f>AS15+AT15</f>
        <v/>
      </c>
      <c r="AS15" t="n">
        <v>4</v>
      </c>
      <c r="AT15" t="n">
        <v>8</v>
      </c>
      <c r="AU15" t="n">
        <v>2</v>
      </c>
    </row>
    <row r="16">
      <c r="A16" t="inlineStr">
        <is>
          <t>2026-10-06</t>
        </is>
      </c>
      <c r="B16" t="inlineStr">
        <is>
          <t>Batch</t>
        </is>
      </c>
      <c r="C16" t="inlineStr">
        <is>
          <t>INJ-09-2026-W4-QOWV</t>
        </is>
      </c>
      <c r="D16" t="inlineStr">
        <is>
          <t>Sep 2026 (W4, 09/19-09/25)</t>
        </is>
      </c>
      <c r="E16" t="inlineStr">
        <is>
          <t>In Progress (T0 logged)</t>
        </is>
      </c>
      <c r="L16" t="inlineStr">
        <is>
          <t>QA initiated. Aqueous (QOWV), Charm-produced, Basco 6. QA agent: Claude (batch-qa-charm skill). The Charm skill is excepted from performance accountability while being dialed in. T0 2026-10-06T14:34:05Z from batch_timestamps.json. Removal period 19 Sep 2026 to 25 Sep 2026 (QA agent's Certify capture, certify_initial_snapshot.yml). Cert: prj_1HZSSWBQM1S08H83 / rmv_1M3SG7D701S0HZ1Z. Drive: 1Ed6zGEgZO69vZPbvmDo0l4Sw4zzZiZl0. Approval and completion times, checklist counts and error counts left blank for later updates.</t>
        </is>
      </c>
      <c r="Q16">
        <f>IF(COUNT(O16:P16)=0,"",O16+P16)</f>
        <v/>
      </c>
      <c r="W16" t="inlineStr">
        <is>
          <t>In Progress (T0 logged)</t>
        </is>
      </c>
      <c r="X16" t="inlineStr">
        <is>
          <t>QA initiated. Aqueous (QOWV), Charm-produced, Basco 6. QA agent: Claude (batch-qa-charm skill). The Charm skill is excepted from performance accountability while being dialed in. T0 2026-10-06T14:34:05Z from batch_timestamps.json. Removal period 19 Sep 2026 to 25 Sep 2026 (QA agent's Certify capture, certify_initial_snapshot.yml). Cert: prj_1HZSSWBQM1S08H83 / rmv_1M3SG7D701S0HZ1Z. Drive: 1Ed6zGEgZO69vZPbvmDo0l4Sw4zzZiZl0. Approval and completion times, checklist counts and error counts left blank for later updates.</t>
        </is>
      </c>
      <c r="AB16" s="9" t="n">
        <v>46301.60700231481</v>
      </c>
    </row>
    <row r="17">
      <c r="A17" t="inlineStr">
        <is>
          <t>2026-10-06</t>
        </is>
      </c>
      <c r="B17" t="inlineStr">
        <is>
          <t>Batch</t>
        </is>
      </c>
      <c r="C17" t="inlineStr">
        <is>
          <t>INJ-09-2026-W4-KERRY</t>
        </is>
      </c>
      <c r="D17" t="inlineStr">
        <is>
          <t>Sep 2026 (W4, 09/19-09/25)</t>
        </is>
      </c>
      <c r="E17" t="inlineStr">
        <is>
          <t>Approved 2026-10-06; sent to Garrett for corrections; awaiting Garrett</t>
        </is>
      </c>
      <c r="F17">
        <f>SUM(U17:V17)</f>
        <v/>
      </c>
      <c r="G17">
        <f>R17</f>
        <v/>
      </c>
      <c r="H17">
        <f>S17</f>
        <v/>
      </c>
      <c r="I17" t="n">
        <v>0</v>
      </c>
      <c r="J17">
        <f>T17</f>
        <v/>
      </c>
      <c r="K17" s="7">
        <f>IF(OR(AB17="",AG17=""),"",(AG17-AB17)*24)</f>
        <v/>
      </c>
      <c r="L17" t="inlineStr">
        <is>
          <t>QA initiated. Kerry bio-oil, tanker delivery, to Basco (Certify components 'Kerry to Basco Tanker Truck Transport Embodied Emissions' and 'Kerry to Basco Tanker Truck Transport Process Emissions'). QA agent: Claude (batch-qa-kerry skill). Kerry skill excepted from performance evaluation while baselines are set (2026-05-04). T0 2026-10-06T18:23:50Z from batch_timestamps.json. Removal period 19 Sep 2026 to 25 Sep 2026 (QA agent's Certify capture, certify_initial_snapshot.yml). Cert: prj_1HZSSWBQM1S08H83 / rmv_1M3T2J3V51S0NCHH. Delivered 2026-10-06; independent step audit 31/31 after an ordered Gate 1 re-pass (first pass opened Certify/Drive before the VVB guidance and did not print the failure categories to chat). Kerry skill excepted from performance evaluation (2026-05-04). Independent monitor update at T6/T7, measured 2026-10-06 from batch_timestamps.json, status_counts.json, the checklist and the session record (3e147847). Checklist column C counted with openpyxl (file fingerprint ec613896...): 23 Pass / 1 Fail (1.7) / 1 Flag (1.5) / 0 N/A, 25 items, same as status_counts.json. Results first posted in chat 21:57:56Z with one decision question (sidebar S.6, tanker or flatbed emission factors). Max's 21:59:27Z reply ('Kerry used to be transported in totes via flatbed. They have since switched to tankers, so that should be updated. And I'm back so close this out') answered that question and approved; counted as a ruling, not an error, as in row 15. Errors found by Max 0, iterations with Max 0; Garrett 0 so far (I, P, V). Timing (UTC): T5 and T6 both stamped 22:00:09Z, 42 s after the approval message; T7 22:43:52Z (no tracker column; #team-mrv-alerts post, Slack ts 1791326632.670369); Max DM 22:43:20Z (ts 1791326600.011699). T8 to T10 not reached. Duration (K) = T6 minus T0 in hours. F, G, H and J are formulas copying U, R, S and T. Reviewer and self-caught columns (AQ to AU) not filled in this update.</t>
        </is>
      </c>
      <c r="M17" t="n">
        <v>0</v>
      </c>
      <c r="N17">
        <f>SUM(M17,Y17:AA17)</f>
        <v/>
      </c>
      <c r="O17" t="n">
        <v>0</v>
      </c>
      <c r="P17" t="n">
        <v>0</v>
      </c>
      <c r="Q17">
        <f>IF(COUNT(O17:P17)=0,"",O17+P17)</f>
        <v/>
      </c>
      <c r="R17" t="n">
        <v>0</v>
      </c>
      <c r="S17" t="n">
        <v>0</v>
      </c>
      <c r="T17" t="n">
        <v>0</v>
      </c>
      <c r="U17" t="n">
        <v>0</v>
      </c>
      <c r="V17" t="n">
        <v>0</v>
      </c>
      <c r="W17" t="inlineStr">
        <is>
          <t>Approved 2026-10-06; sent to Garrett for corrections; awaiting Garrett</t>
        </is>
      </c>
      <c r="X17" t="inlineStr">
        <is>
          <t>QA initiated. Kerry bio-oil, tanker delivery, to Basco (Certify components 'Kerry to Basco Tanker Truck Transport Embodied Emissions' and 'Kerry to Basco Tanker Truck Transport Process Emissions'). QA agent: Claude (batch-qa-kerry skill). Kerry skill excepted from performance evaluation while baselines are set (2026-05-04). T0 2026-10-06T18:23:50Z from batch_timestamps.json. Removal period 19 Sep 2026 to 25 Sep 2026 (QA agent's Certify capture, certify_initial_snapshot.yml). Cert: prj_1HZSSWBQM1S08H83 / rmv_1M3T2J3V51S0NCHH. Delivered 2026-10-06; independent step audit 31/31 after an ordered Gate 1 re-pass (first pass opened Certify/Drive before the VVB guidance and did not print the failure categories to chat). Kerry skill excepted from performance evaluation (2026-05-04). Independent monitor update at T6/T7, measured 2026-10-06 from batch_timestamps.json, status_counts.json, the checklist and the session record (3e147847). Checklist column C counted with openpyxl (file fingerprint ec613896...): 23 Pass / 1 Fail (1.7) / 1 Flag (1.5) / 0 N/A, 25 items, same as status_counts.json. Results first posted in chat 21:57:56Z with one decision question (sidebar S.6, tanker or flatbed emission factors). Max's 21:59:27Z reply ('Kerry used to be transported in totes via flatbed. They have since switched to tankers, so that should be updated. And I'm back so close this out') answered that question and approved; counted as a ruling, not an error, as in row 15. Errors found by Max 0, iterations with Max 0; Garrett 0 so far (I, P, V). Timing (UTC): T5 and T6 both stamped 22:00:09Z, 42 s after the approval message; T7 22:43:52Z (no tracker column; #team-mrv-alerts post, Slack ts 1791326632.670369); Max DM 22:43:20Z (ts 1791326600.011699). T8 to T10 not reached. Duration (K) = T6 minus T0 in hours. F, G, H and J are formulas copying U, R, S and T. Reviewer and self-caught columns (AQ to AU) not filled in this update.</t>
        </is>
      </c>
      <c r="Y17" t="n">
        <v>23</v>
      </c>
      <c r="Z17" t="n">
        <v>1</v>
      </c>
      <c r="AA17" t="n">
        <v>1</v>
      </c>
      <c r="AB17" s="9" t="n">
        <v>46301.76655092592</v>
      </c>
      <c r="AC17" s="9" t="n">
        <v>46301.78304398148</v>
      </c>
      <c r="AD17" s="9" t="n">
        <v>46301.78763888889</v>
      </c>
      <c r="AE17" s="9" t="n">
        <v>46301.88790509259</v>
      </c>
      <c r="AF17" s="9" t="n">
        <v>46301.88917824074</v>
      </c>
      <c r="AG17" s="9" t="n">
        <v>46301.91677083333</v>
      </c>
      <c r="AH17" s="9" t="n"/>
      <c r="AI17" s="9" t="n"/>
      <c r="AJ17" s="9" t="n"/>
      <c r="AK17" s="7">
        <f>IF(OR(AB17="",AC17=""),"",(AC17-AB17)*1440)</f>
        <v/>
      </c>
      <c r="AL17" s="7">
        <f>IF(OR(AC17="",AD17=""),"",(AD17-AC17)*1440)</f>
        <v/>
      </c>
      <c r="AM17" s="7">
        <f>IF(OR(AD17="",AE17=""),"",(AE17-AD17)*1440)</f>
        <v/>
      </c>
      <c r="AN17" s="7">
        <f>IF(OR(AE17="",AF17=""),"",(AF17-AE17)*1440)</f>
        <v/>
      </c>
      <c r="AO17" s="7">
        <f>IF(OR(AB17="",AF17=""),"",(AF17-AB17)*1440+IF(OR(AH17="",AI17=""),0,(AI17-AH17)*1440))</f>
        <v/>
      </c>
      <c r="AP17" s="7">
        <f>IF(OR(AB17="",AJ17=""),"",(AJ17-AB17)*1440)</f>
        <v/>
      </c>
    </row>
    <row r="18">
      <c r="A18" t="inlineStr">
        <is>
          <t>2026-10-06</t>
        </is>
      </c>
      <c r="B18" t="inlineStr">
        <is>
          <t>Batch</t>
        </is>
      </c>
      <c r="C18" t="inlineStr">
        <is>
          <t>INJ-09-2026-W4-AECN</t>
        </is>
      </c>
      <c r="D18" t="inlineStr">
        <is>
          <t>Sep 2026 (W4, 09/19-09/25)</t>
        </is>
      </c>
      <c r="E18" t="inlineStr">
        <is>
          <t>Run 3 at T4 (checklist finalized 2026-10-07T10:11:02Z: 31 Pass / 13 Fail / 13 Flag / 5 N/A); not yet presented to Max (T5 not reached); run 2 abandoned by the QA agent at 01:10:10Z (pre-flight step P5 skipped); run 1 rejected by Max 2026-10-06T22:46:02Z; Garrett Pending</t>
        </is>
      </c>
      <c r="F18">
        <f>SUM(U18:V18)</f>
        <v/>
      </c>
      <c r="G18">
        <f>R18</f>
        <v/>
      </c>
      <c r="H18">
        <f>S18</f>
        <v/>
      </c>
      <c r="I18" t="n">
        <v>0</v>
      </c>
      <c r="J18">
        <f>T18</f>
        <v/>
      </c>
      <c r="K18" s="7">
        <f>IF(OR(AB18="",AG18=""),"",(AG18-AB18)*24)</f>
        <v/>
      </c>
      <c r="L18" t="inlineStr">
        <is>
          <t>RUN 3 (current), T4 update. CORRECTION (monitor's date -u 2026-10-07 10:13:53 UTC): the QA agent rebuilt the checklist at 10:11:02Z, moving 5.4 (COBB values) from Flag to Pass and removing COBB-only points from 3.7 and 5.5, because memory note project_cobb_not_source_of_truth says 'never raise or grade a finding on COBB alone'; column C (openpyxl) went from 30 Pass / 13 Fail / 14 Flag / 5 N/A to 31 Pass / 13 Fail / 13 Flag / 5 N/A (62 rows); T4 09:26:20Z to 10:11:02Z, so finalization is 45.05 min and agent time T0 to T4 540.87 min (figures below are as at 09:26:20Z). Self-caught errors +1, AQ18 1 to 2 [non-material]: the 09:26:20Z checklist graded 5.4 Flag on COBB alone (repeat imports, blank pH field, Loads tab) though the note, last saved 08:40:24Z, already barred it; the QA agent fixed it itself at 10:10:37Z, the reviewer had confirmed 5.4 as Flag, and no message from Max or Garrett names 5.4 or COBB (Max at 09:56:20Z: 'Those aren't issues. Don't log them.'). Non-material: a status grade; COBB is not in Certify. Independent monitor; the monitor's date -u read 2026-10-07 09:44:09 UTC at the start of this update. Measured from batch_timestamps.json (last saved 09:42:24Z), the checklist (column C counted with openpyxl; last saved 09:26:20Z, fingerprint 8b51b57e...), adversarial_review.md (last saved 09:12:48Z), adversarial_resolution.md (last saved 09:30:26Z), step_ledger.json (last saved 09:42:55Z), the W4 entry in qa_active_batches.json, the session record (a1f81278) and the Mac's power log (pmset). CHECKLIST, column C: 30 Pass / 13 Fail / 14 Flag / 5 N/A (62 rows, including sidebar Flag S.1). At T2 (registry gate2_summary) and in the reviewer's table: 30 Pass / 9 Fail / 18 Flag / 5 N/A, the same as run 1's final checklist. Gate 3 moved 2.2, 7a.1, 8.2 and 8.3 from Flag to Fail. GATE 3: the independent reviewer read 62 rows, confirmed 55, challenged 7 (status on 2.2, 7a.1, 8.2, 8.3; evidence on 9.6, 2.6a, 7a.3) and raised 8 observations. The resolution accepted all 7 challenges, rebutting one point on 2.6a (the dataset title, shown by Drive's download response), and settled the 8 observations: 1 accepted as a fact with the reviewer's week argument partly rebutted; 2 rebutted as a W4 finding; 3, 4, 5, 6 and 8 accepted; 7 confirmed as a rule-file issue outside the checklist. REVIEWER-CAUGHT ERRORS 13 (found before Max; not counted as Max or Garrett errors): material 2 (AS18), non-material 11 (AT18), laziness 2 (AU18, a subset). (1) 2.2 and 8.3 graded Flag though nothing records where SHPX215079 offloads 3-4 (35,459.148 kg, weighed 2026-09-05/06, 19.60 and 19.40 days before the 2026-09-25 injection) were held; knowledge base: 'For each pair: dates within 2 weeks of injection [VR Sec 3.5]' and 'If inventory reconciliation applies: carryover oil from prior production periods documented and allocated [VR Sec 3.5]'. Counted once: the reviewer wrote '8.3 has the same root cause, and one fix closes both', and the skill counts 'If the same issue appears in multiple checklist items, it's still 1 error (the root cause)' [non-material]. (2) 7a.1 graded Flag for the missing +/-290.28 kg on the Baton Rouge rail 'Mass of load'; the AECN skill's Fail definition includes 'missing required data' with no size floor. This reverses run 1, where the resolution moved 7a.1 from Fail to Flag on run 1's reviewer's advice (run 1 item (2)) [non-material]. (3) 8.2 graded Flag though the Ops copy linked in Certify gives SHPX215079's loss as -392.76368 kg (loss column 239.27024 kg, 0.054891 t against Certify's 0.145 t) and the linked example image puts SHPX215053 on the Opelousas distances, which the guidance excludes [non-material]. (4) 9.6 accepted the 19.339 t BCU as 0.0002476 t below the process sum 19.3392476 t ('so it does not exceed') without saying the round-down breaks the cited policy ('fix = enter the exact process figure, never round down either'); the BCU correction itself sits in 3.5 and 2.7 [non-material]. (5) 2.6a gave 'Recommended value for filtration loss 0.196% per-load mean' as a quote; the Summary cells read A12 'Recommended value for filtration loss', B12 0.001959191176, C12 'per-load mean — best represents what is actually delivered', and '0.196%' is on the 'Materiality (Sec 2)' tab [non-material]. (6) 7a.3 passed while saying the GHG statement cross-check 'waits for the September statement (7.4)', though drafts already read allowed it (results workbook M10 2.4429 t against Certify 2.4428820922 t; column M 10.9981 t against report v1.7 Section E 11.00 t; both agree to rounding); knowledge base Layer 3: 'Verify the discount value is consistent with the GHG Statement Section E' [laziness, non-material]. (7) Observation 1: 2.2 said 'Three railcars sit inside the window', though SHPX215091's four full weighs (2026-09-17) and SHPX215039 offloads 1-2 (2026-09-18) predate the Certify period start (2026-09-19); added to 2.2 [non-material]. (8) Observation 3: the Opelousas/Baton Rouge to Basco tanker embodied leg counts the empty return twice: its 1,946 mi is a round trip on the factor 'Tanker Truck Total Embodied Emissions (MTCO2e)/Mile w/ Deadhead' (deadhead share 0.438); 0.140809 t over, conservative; added to 9.2 [material]. (9) Observation 4: 3.5 treated W4's round-trip rail embodied miles as the departure (+0.235078 t against one way in W1-W3); the railcar factor is 'Embodied Emissions per Mile Traveled (MTCO2e)' with no uplift, so the round trip fits it; 3.5 now says the basis needs settling for the period, not W4 reverting to one way; no evidence figure changed [non-material]. (10) Observation 5: the Kerry sample in the same SGS order (5506143) reads acid number 154 next to the AECN 156; added to 8.1 [non-material]. (11) Observation 6: 7.3 and 7a.3 called the discount correct without noting site electricity inputs with no +/-: 'Argon Electricity Usage' 2,602.43355 kWh (2% adds 0.0001189 t to the discount) and the procured-power inputs (effect not quantified); knowledge base: 'Electricity → Grid Electricity Usage: 0.02 × Measured Value (2%)'. The resolution accepted it as 'outside this batch's scope' and carried it in 7a.1 and 7.3 [material]. (12) Observation 8: the Ops Notes AECN Truck tab header reads 'BATCH HEADER — AECN Truck (Direct from Fort Lupton)'; every W4 BOL ships from Port-Cartier, Québec; added to 1.4 [non-material]. (13) The three Drive searches for a SOPOR-to-Baton Rouge rail distance record (02:18:18Z) did not try Certify's own figure ('The QA's own searches never tried 2153, Certify's figure.'); the QA agent ran that search in the resolution (50 results, no rail-distance record) and cited it in 3.5; knowledge base 13A: 'Never conclude data is absent without exhausting all navigation methods' [laziness, non-material]. Material = a wrong or missing mass, emission, BCU, discount or net figure. Non-material = status grades, wording, disclosure, labels and supporting evidence with no Net CDR effect or whose correction sits in another row. Laziness per knowledge base 0B: 'Writing a status without reading the source; spot-checking instead of checking all; declaring data absent without exhaustive search'. Not counted: observation 2 (rebutted: COBB books SHPX215061, SHPX215067 and SHPX215073 in INJ-10-2026-W1, injection completion 2026-10-02); observation 7 (rule files give the H1 factor 0.10402; the checklist used the sheet's H2 value 0.1371171258); the 2.6a title point (rebutted); the 9.8 alternative net 362.069096 t against 362.069035 t, which the reviewer confirmed and the resolution now states; the reviewer's loss figure 0.054893 t, which the resolution gives as 0.054891 t at Certify's own rate. SELF-CAUGHT ERRORS, RUN 3: 0. The resolution adds nothing the reviewer did not raise, and the step ledger marks every entered step done. Not counted: drafting fixes made before any finished file used them (sister-batch statuses carried from run 1's log and '02:0x' placeholder times in the source-read log builder, 02:20Z to 02:21Z; a blank folder-record time, 08:27Z; a recompute variant that still shared the rail-mass entry, found on its first test run, 09:22Z; a missing citation on 7a.3 stopped by the build's own check, 09:24Z). AQ18 unchanged at 1 (run 2's P5 failure). MAX AND GARRETT: Max sent two messages during run 3, before T5: 09:37:58Z 'Yo what is this nonsense?' (after the 159-line recompute printout was posted at 09:27:36Z and re-sent whole at 09:31:36Z, step ledger G2_recompute_pasted) and 09:41:26Z 'FINISH THE FUCKING JOB AND GET BACK TO ME DUMBASS'. Not counted in O or U at this update: the skill counts 'Each distinct issue flagged by Max or Garrett during their review', and run 3 has not been presented for review (T5 not reached); to be settled at T6. Max round 1 on run 1 (O 4, R 3, S 0, T 4, U 1) and Garrett 0 (I, P, V) carry over unchanged. TIMING (columns AB to AF from batch_timestamps.json, UTC): T0 01:10:10Z, T1 02:18:50Z, T2 08:39:32Z, T3 09:25:59Z, T4 09:26:20Z; data gathering 68.67 min, checklist build 380.70 min, adversarial review 46.45 min, finalization 0.35 min, agent time T0 to T4 496.17 min (formulas AK to AO). T1 was stamped 11 s after the QA agent posted 'Every Gate 1 source is read for run 3' (02:18:38Z). After T1: certify_sources_enumeration_run3.json saved 02:19:44Z; the Gate 1 mass-chain script ran 02:25:28Z to 08:23:31Z and the Gate 1 exit registry update was 08:24:07Z; overnight-edit re-checks (Ops Notes re-export, Certify re-pull, change record) 08:25:47Z to 08:27:14Z. T2 and T3 were stamped with date -u. T3 was stamped at Gate 3 close: the review file was last saved 09:12:48Z and its result reached the QA agent at 09:13:05Z (session record); the resolution was first written 09:25:44Z to 09:25:55Z. The T2 to T3 interval therefore includes 12 min 54 s of resolution work after the verdict arrived, and T3 to T4 covers the last rebuild. The checklist fingerprint at T3 (b566815f..., registry gate3_summary) differs from the final file. T4 equals the last save of the checklist and source-read log, after the recompute's FINDING 3.5 rewording (09:26:14Z); it was written into the file at 09:42:20Z, after the Excel render check (09:41:44Z to 09:42:16Z), as the checklist's save time, not a date reading at that moment. adversarial_resolution.md was re-saved 09:30:10Z and 09:30:26Z (wording, after a citation guard at 09:29:31Z), after T4. Machine sleep inside the intervals (pmset, BST converted to UTC): asleep 01:27:36Z to 01:32:20Z, 01:33:05Z to 01:49:51Z and 01:51:11Z to 02:06:47Z, 37.10 min inside T0 to T1 (session record: 'Your computer went to sleep mid-response' at 01:32:20Z and 01:49:51Z); inside T1 to T2 the session record has no entries from 02:25:29Z to 08:23:32Z (358.06 min) while the mass-chain script ran, and pmset shows the Mac asleep from 03:08:00Z, apart from short wakes, until a lid-open wake at 08:22:02Z. The duration columns carry the stamped times and include this sleep. T5 to T10 not reached; Duration (K) stays blank until T6. STEP LEDGER (last saved 09:42:55Z): 32 of the 33 required steps entered, all 32 marked done; G4_monitor_independent (this update) not yet entered. Checked against the session record: monitor started 01:10:29Z; registry check announced 01:10:42Z; Failure Categories posted 01:11:11Z and re-sent whole 01:11:27Z, before Gate 1 began (01:11:52Z); VVB guidance reported read in full at 01:12:18Z, before the W4 folder copy (listed 01:12:50Z).No ledger_audit.json or gate_receipt.json in the folder at this update. CELLS CHANGED AT THIS UPDATE: AC18 blank to 2026-10-07 02:18:50; AD18 blank to 08:39:32; AE18 blank to 09:25:59; AF18 blank to 09:26:20; Y18 blank to 30; Z18 blank to 13; AA18 blank to 14; M18 blank to 5; AS18 blank to 2; AT18 blank to 11; AU18 blank to 2; E18 and W18 status; these notes (L18, X18). Unchanged: AB18 (T0), AQ18 (1), O, P, R, S, T, U, V, I, and every formula (F, G, H, J, K, N, Q, AK to AP, AR). RUN 3 KICKOFF UPDATE (tracker saved 01:15:20Z), as written: Independent monitor, kickoff update; the monitor's date -u read 2026-10-07 01:10:32 UTC. T0 2026-10-07T01:10:10Z, from batch_timestamps.json (run 3; not changed by the monitor) and the QA agent's own date command at 01:10:09Z in the session record (a1f81278). Monitor started 01:10:29Z, 19 s after T0. Run 3 T1 to T10 not reached. Run 2 files are in run2_2026-10-07_superseded/. WHY RUN 2 WAS ABANDONED: pre-flight step P5 (registry check) was skipped. The AECN skill's 'Pre-Flight Gate (MANDATORY — blocks Gate 1)' says 'Before opening any Drive folder, Certify URL, or COBB, execute these steps in order:'; step 5 reads 'Check `qa_active_batches.json` in the MRV Expert workspace to see if the batch is resuming from a prior session.' Run 2 began Gate 1 at 22:50:38Z ('Gate 1 step 0: finding and reading the September VVB guidance before anything else', then a Drive search at 22:50:38Z). The session record and every helper-agent record show no opening of qa_active_batches.json between run 2's T0 (22:46:58Z) and run 3's T0; the first is at 01:10:43Z, in run 3. Run 2 had reached T1 (01:06:50Z, run 2 batch_timestamps.json) and started Gate 2 (01:07:04Z) when the QA agent found the skip itself (01:08:53Z: 'Run 2's pre-flight did not open the registry file between kickoff and the first Drive call.'). It restarted from kickoff as run 3 at 01:10:10Z. COUNTED AS A PROCESS FAILURE BY THE QA AGENT: 1, in AQ18 (Errors Self-Caught (QA agent)) [laziness, non-material]. Laziness basis, as for run 1's P4, T0 and G1_0 misses: the knowledge base counts as laziness 'each instance where Claude failed the exhaustiveness rule (Section 0)', and Section 0A says 'No skipping, no parallelizing across gates, no exceptions.' Non-material: skipping the registry check changes no mass, emission, BCU, discount or net figure. Not added to O, Q, R, S, T or U: the skill counts as an error 'Each distinct issue flagged by Max or Garrett during their review', and neither flagged this one; R, S and T break down the errors in Q (Max plus Garrett), as in row 15 and run 1, where steps the QA agent itself recorded as skipped stayed out of R. No new iteration. Knowledge base 0B also defines a Gate Violation, 'Attempting to proceed past a gate without completing it', at '+5 per occurrence (this is a structural failure)'; the tracker has no Gate Violation column, and run 1's P4 miss, also a pre-flight step, was logged as laziness, so this one is logged the same way. AQ18 holds only this run 2 failure; add run 3's own self-caught errors to it at T4, do not reset it. CELLS CHANGED AT THIS UPDATE: AB18 T0 was 22:46:58Z (run 2), now 01:10:10Z; E18 and W18 status; AQ18 blank to 1; these notes (L18, X18). Run 2's T1 (01:06:50Z) was never entered in AC18 (blank before and after). Run 2 data gathering 139.87 min (T0 22:46:58Z to T1 01:06:50Z); run 2 T0 to run 3 T0 143.20 min. Run 2 produced no checklist, item counts or Max review. A18 stays 2026-10-06, the day QA on this batch first started. Max and Garrett counts from run 1 (O, P, R, S, T, U, V) carry over unchanged. RUN 2 (superseded), notes as last written before run 3: Independent monitor, kickoff update; the monitor's date -u read 2026-10-06 22:47:28 UTC. Run 2 restarted the whole QA from kickoff after Max rejected run 1. T0 2026-10-06T22:46:58Z, from batch_timestamps.json (run 2; not changed by the monitor) and the QA agent's own date command in the session record (a1f81278). Monitor started 22:47:24Z, 26 s after T0. Run 2 T1 to T10 not reached. Run 1 files are in run1_2026-10-06_superseded/. MAX ROUND 1, ON RUN 1 (counted in O, R, S, T and U): 1 iteration, 4 errors: material 0, non-material 4, laziness 3. Run 1 results went to Max in chat at 22:05:42Z (T5 not stamped: N/A, not captured) with 'Delivery is held: the gate check blocks it because I missed three required steps, and only you can approve sending with those misses on record.' Max, 22:43:49Z: 'Have you completed all steps without being lazy or skipping anything?' QA agent, 22:44:28Z: 'No. Three required steps weren't done as written', ending 'The decision still with you is whether to approve sending with those three misses on record.' Max, 22:46:02Z: 'What the fuck kind of a question is that!? Do your god damn job.' Run 1 delivery rejected; the QA agent restarted at 22:46:58Z. (R1) P4_failure_categories_printed: the Failure Categories were not printed to chat before Gate 1 (first batch source opened 18:21:49Z). First printed in the 22:05:42Z message, headed 'late; it belonged before Gate 1' [laziness, non-material]. (R2) T0_stamped_monitor_triggered: T0 stamped at kickoff (18:20:56Z), but the performance monitor was not started until 21:15:39Z, after Gate 3 [laziness, non-material]. (R3) G1_0_vvb_guidance_full: the Drive folder was listed from 18:21:49Z and the Certify removal record pulled at 18:23:35Z, before the VVB guidance was read in full at 18:25:18Z [laziness, non-material]. (R4) Asked Max twice (22:05:42Z, 22:44:28Z) to approve sending with the three misses on record instead of doing the steps [non-material]; counted as in row 15 (H2, H4). Sources for R1 to R3: run 1 step_ledger.json (all three 'done': false) and ledger_audit.json (all three 'not_done', audited 21:58:48Z), checked against the session record. Laziness basis: the knowledge base counts as laziness 'each instance where Claude failed the exhaustiveness rule (Section 0)', and Section 0A says 'No skipping, no parallelizing across gates, no exceptions.' Non-material: none of the four changes a mass, emission, BCU, discount or net figure. These counts replace run 1's 'Errors found by Max 0' and its 'Not counted' entry for the step-ledger misses (below). Garrett: 0 errors, 0 iterations (I, P, V). CELLS RESET FOR RUN 2 AT THIS UPDATE (run 1 values kept here): AB18 T0 was 18:20:56Z, now 22:46:58Z. Cleared: AC18 T1 18:52:48Z, AD18 T2 19:14:24Z, AE18 T3 19:42:08Z, AF18 T4 21:26:50Z; Y18 Pass 30, Z18 Fail 9, AA18 Flag 18, M18 N/A 5; AQ18 self-caught 1, AS18 reviewer-caught material 2, AT18 reviewer-caught non-material 12, AU18 reviewer-caught laziness 3. Run 1 durations: data gathering 31.87 min, checklist build 21.60 min, adversarial review 27.73 min, finalization 104.70 min, agent time T0 to T4 185.90 min. RUN 1 (superseded), notes as last written before run 2: Independent monitor count, measured 2026-10-06 from batch_timestamps.json, the checklist (column C counted with openpyxl), adversarial_review.md, adversarial_resolution.md and the source-read log. AECN rail, Basco 6; removal rmv_1M3Z5YJN51S0SN1Q, period 2026-09-19 to 2026-09-25 (source-read log). Checklist column C: 30 Pass / 9 Fail / 18 Flag / 5 N/A (62 rows, including sidebar Flag S.1); counted three times (before and after the checklist re-saves at 21:18:20Z and 21:26:50Z), same counts each time; checklist fingerprint at the last count 0ae9fe8f... At Gate 3 review: 30 Pass / 10 Fail / 17 Flag / 5 N/A (reviewer's table). Errors found by Max 0 and by Garrett 0 so far: neither has reviewed (T5 to T10 not reached). Gate 3: the independent reviewer read 62 rows, confirmed 53 and challenged 9; the resolution accepted all 9: status changes on 3 (3.1 Flag to Fail; 7a.1 and 9.8 Fail to Flag), 7.4 sent back for an unread source and re-graded Flag after the read, evidence corrections on 5 (1.4, 1.5, 3.7, 8.3, 9.9). The reviewer added 7 missed findings (M1 to M7); the resolution put all 7 into checklist rows. Reviewer-caught errors 14 (errors found before Max; not counted as Max or Garrett errors): material 2, non-material 12, laziness 3. (1) 3.1 graded Flag though the nine W4 BOLs are in neither the batch folder nor the 72 Certify sources; AECN skill line 282: 'Missing evidence = FAIL (you cannot confirm what you cannot see)' [non-material]; (2) 7a.1 graded Fail; the missing +/- on the Baton Rouge rail mass moves the discount 0.000021 to 0.000084 t, inside the skill's '~0.001 tCO2e' tolerance (line 284) [non-material]; (3) 9.8 evidence net 360.818 t held the BCU at 19.339 t, against the checklist's own 9.6; with the BCU at the corrected process sum the net is 362.069 t, +0.001 t against Certify; includes M6: the effect is a 1.2507707 t larger BCU draw, not a change in net [material]; (4) 7.4 said no RP-level statement existed; the QA agent's own log named the September results workbook 'as of 2026-10-04'; opened only after the send-back, W4 row then matched Certify; knowledge base 13A: 'Never conclude data is absent without exhausting all navigation methods' [laziness, non-material]; (5) 1.4 and 8.3 called P13 'PARTIAL' wrong; P9 asks 'Full Railcar This Week?' and PARTIAL is correct [non-material]; (6) 1.5 and 3.7 read BOL 2466-R as 3 pages; it has 5 (TSCA form and PO); all 12 packages carry the El Dorado PO, 8 have a blank seller signature; knowledge base Gate 1: open the BOL 'and read every page' [laziness, non-material]; (7) 9.9 compared two route maps by file size (891,889 bytes); their content fingerprints differ; Failure Category 3: 'File metadata is never evidence' [laziness, non-material]; (8) M1: the guidance clause behind booking SHPX215079 across two weeks is in the 09-29 fetch and gone from the 10-06 fetch [non-material]; (9) M2: both Certify-attached Ops Notes copies show SHPX215079 loss G13 -392.76368 kg [non-material]; (10) M3: the older attached copy's M13 gives the cut as 'about 390.76 kg' (true 392.76368 kg) and M10 calls the 2499-R gap unresolved; W2's BOL 2499-T answers it [non-material]; (11) M4: SHPX215079 rail miles total 3,200.34 across W2 (one way) and W4 (round trip); the W4 round-trip charge is already a 9.2 Fail [non-material]; (12) M5: rail embodied on lost oil counted twice, 0.000557 t, conservative [material]; (13) M7: acid number 156 against 61 (W2) and 47 (W3) sat in Pass row 4.3; moved to Flag row 8.1 [non-material]; (14) the G46 pH note is in the 10-01 Certify copy and gone from the live sheet; added to 1.4 [non-material]. Self-caught errors 1: the resolution's 1.4 line adds that the row-9 headers still name Opelousas over SHPX215053's Baton Rouge figures; the reviewer did not raise it [non-material]. Not counted: the 2 not-done steps the QA agent recorded in its own step ledger (below); detail added to rows whose grade stood (same-morning weighing of W2 offload 2 and W4 offload 3, added to 8.3; the 3.5 distance cross-checks and factor-precision note; the 9.2 Baton Rouge truck figure on the sheet factor); the reviewer's 2 reads skipped for sign-in (the September results workbook; a repeat Drive search for a SOPOR to Baton Rouge rail distance record), both done by the QA agent in the resolution; the reviewer attributes the two rules quoted in (1) and (2) to the knowledge base, but they sit in the AECN skill. Material = a wrong or missing mass, emission, BCU, discount or net figure. Non-material = status grades, wording, disclosure, labels and supporting evidence with no Net CDR effect or whose correction sits in another row. Timing (columns AB to AF from batch_timestamps.json, UTC; file times are last-saved): T3 (19:42:08Z) equals the save time of adversarial_review.md. T4 was first stamped 19:52:53Z, the checklist's save time then; the QA agent re-stamped it 21:18:20Z (timestamps file saved 21:20:25Z) and again 21:26:50Z (timestamps file saved 21:28:01Z), each equal to a checklist re-save; column AF carries 21:26:50Z. Two data-gathering files were last saved after T1 (18:52:48Z): drive_folder_listing.json 18:53:15Z and rail_distance_evidence_search.json 18:53:26Z. T3 to T4 (104.70 min) covers the first resolution and rebuild (statement report text 19:49:29Z, recompute script 19:50:29Z, checklist 19:52:53Z, resolution 19:53:19Z); no batch file carries a last-saved time between 19:53:19Z and 21:15:11Z; then the Excel render check 21:15:11Z, local Drive copies of the September results workbook 21:17:35Z and statement report 21:17:51Z, and the resolution, source-read log and checklist re-saved 21:18:17Z to 21:18:20Z (the 7.4 line now cites the local Drive read; counts unchanged); a further rebuild 21:26:28Z to 21:26:50Z (source-read log, checklist; per the coordinator, to re-point one citation for the delivery gate; counts unchanged) and Excel render check 21:27:45Z. T5 to T10 not reached; Duration (K) stays blank until T6. F, G, H and J are formulas copying U, R, S and T. Step ledger (step_ledger.json, not in the folder at 21:19Z, last saved 21:28:01Z): 33 required steps, 31 marked done, 2 not done. P4_failure_categories_printed: not printed before Gate 1; an earlier log entry claiming it was false; the session record shows no print of the list at any later time either (late prints said to be written at about 21:21Z and 21:43Z do not appear in it), so no recorded print is claimed (step ledger and source-read log, both saved 21:47:34Z). T0_stamped_monitor_triggered: T0 stamped at kickoff, but the monitor was not started until 21:15:39Z, after Gate 3; the tracker had no row for this batch before this one. G4_monitor_independent was marked done with the evidence 'PENDING monitor reply' at 21:23:09Z, before this row was finished; at 21:28:01Z its evidence cites this row. No ledger_audit.json or gate_receipt.json in the folder at 21:28Z; delivery not yet reached.</t>
        </is>
      </c>
      <c r="M18" t="n">
        <v>5</v>
      </c>
      <c r="N18">
        <f>SUM(M18,Y18:AA18)</f>
        <v/>
      </c>
      <c r="O18" t="n">
        <v>4</v>
      </c>
      <c r="P18" t="n">
        <v>0</v>
      </c>
      <c r="Q18">
        <f>IF(COUNT(O18:P18)=0,"",O18+P18)</f>
        <v/>
      </c>
      <c r="R18" t="n">
        <v>3</v>
      </c>
      <c r="S18" t="n">
        <v>0</v>
      </c>
      <c r="T18" t="n">
        <v>4</v>
      </c>
      <c r="U18" t="n">
        <v>1</v>
      </c>
      <c r="V18" t="n">
        <v>0</v>
      </c>
      <c r="W18" t="inlineStr">
        <is>
          <t>Run 3 at T4 (checklist finalized 2026-10-07T10:11:02Z: 31 Pass / 13 Fail / 13 Flag / 5 N/A); not yet presented to Max (T5 not reached); run 2 abandoned by the QA agent at 01:10:10Z (pre-flight step P5 skipped); run 1 rejected by Max 2026-10-06T22:46:02Z; Garrett Pending</t>
        </is>
      </c>
      <c r="X18" t="inlineStr">
        <is>
          <t>RUN 3 (current), T4 update. CORRECTION (monitor's date -u 2026-10-07 10:13:53 UTC): the QA agent rebuilt the checklist at 10:11:02Z, moving 5.4 (COBB values) from Flag to Pass and removing COBB-only points from 3.7 and 5.5, because memory note project_cobb_not_source_of_truth says 'never raise or grade a finding on COBB alone'; column C (openpyxl) went from 30 Pass / 13 Fail / 14 Flag / 5 N/A to 31 Pass / 13 Fail / 13 Flag / 5 N/A (62 rows); T4 09:26:20Z to 10:11:02Z, so finalization is 45.05 min and agent time T0 to T4 540.87 min (figures below are as at 09:26:20Z). Self-caught errors +1, AQ18 1 to 2 [non-material]: the 09:26:20Z checklist graded 5.4 Flag on COBB alone (repeat imports, blank pH field, Loads tab) though the note, last saved 08:40:24Z, already barred it; the QA agent fixed it itself at 10:10:37Z, the reviewer had confirmed 5.4 as Flag, and no message from Max or Garrett names 5.4 or COBB (Max at 09:56:20Z: 'Those aren't issues. Don't log them.'). Non-material: a status grade; COBB is not in Certify. Independent monitor; the monitor's date -u read 2026-10-07 09:44:09 UTC at the start of this update. Measured from batch_timestamps.json (last saved 09:42:24Z), the checklist (column C counted with openpyxl; last saved 09:26:20Z, fingerprint 8b51b57e...), adversarial_review.md (last saved 09:12:48Z), adversarial_resolution.md (last saved 09:30:26Z), step_ledger.json (last saved 09:42:55Z), the W4 entry in qa_active_batches.json, the session record (a1f81278) and the Mac's power log (pmset). CHECKLIST, column C: 30 Pass / 13 Fail / 14 Flag / 5 N/A (62 rows, including sidebar Flag S.1). At T2 (registry gate2_summary) and in the reviewer's table: 30 Pass / 9 Fail / 18 Flag / 5 N/A, the same as run 1's final checklist. Gate 3 moved 2.2, 7a.1, 8.2 and 8.3 from Flag to Fail. GATE 3: the independent reviewer read 62 rows, confirmed 55, challenged 7 (status on 2.2, 7a.1, 8.2, 8.3; evidence on 9.6, 2.6a, 7a.3) and raised 8 observations. The resolution accepted all 7 challenges, rebutting one point on 2.6a (the dataset title, shown by Drive's download response), and settled the 8 observations: 1 accepted as a fact with the reviewer's week argument partly rebutted; 2 rebutted as a W4 finding; 3, 4, 5, 6 and 8 accepted; 7 confirmed as a rule-file issue outside the checklist. REVIEWER-CAUGHT ERRORS 13 (found before Max; not counted as Max or Garrett errors): material 2 (AS18), non-material 11 (AT18), laziness 2 (AU18, a subset). (1) 2.2 and 8.3 graded Flag though nothing records where SHPX215079 offloads 3-4 (35,459.148 kg, weighed 2026-09-05/06, 19.60 and 19.40 days before the 2026-09-25 injection) were held; knowledge base: 'For each pair: dates within 2 weeks of injection [VR Sec 3.5]' and 'If inventory reconciliation applies: carryover oil from prior production periods documented and allocated [VR Sec 3.5]'. Counted once: the reviewer wrote '8.3 has the same root cause, and one fix closes both', and the skill counts 'If the same issue appears in multiple checklist items, it's still 1 error (the root cause)' [non-material]. (2) 7a.1 graded Flag for the missing +/-290.28 kg on the Baton Rouge rail 'Mass of load'; the AECN skill's Fail definition includes 'missing required data' with no size floor. This reverses run 1, where the resolution moved 7a.1 from Fail to Flag on run 1's reviewer's advice (run 1 item (2)) [non-material]. (3) 8.2 graded Flag though the Ops copy linked in Certify gives SHPX215079's loss as -392.76368 kg (loss column 239.27024 kg, 0.054891 t against Certify's 0.145 t) and the linked example image puts SHPX215053 on the Opelousas distances, which the guidance excludes [non-material]. (4) 9.6 accepted the 19.339 t BCU as 0.0002476 t below the process sum 19.3392476 t ('so it does not exceed') without saying the round-down breaks the cited policy ('fix = enter the exact process figure, never round down either'); the BCU correction itself sits in 3.5 and 2.7 [non-material]. (5) 2.6a gave 'Recommended value for filtration loss 0.196% per-load mean' as a quote; the Summary cells read A12 'Recommended value for filtration loss', B12 0.001959191176, C12 'per-load mean — best represents what is actually delivered', and '0.196%' is on the 'Materiality (Sec 2)' tab [non-material]. (6) 7a.3 passed while saying the GHG statement cross-check 'waits for the September statement (7.4)', though drafts already read allowed it (results workbook M10 2.4429 t against Certify 2.4428820922 t; column M 10.9981 t against report v1.7 Section E 11.00 t; both agree to rounding); knowledge base Layer 3: 'Verify the discount value is consistent with the GHG Statement Section E' [laziness, non-material]. (7) Observation 1: 2.2 said 'Three railcars sit inside the window', though SHPX215091's four full weighs (2026-09-17) and SHPX215039 offloads 1-2 (2026-09-18) predate the Certify period start (2026-09-19); added to 2.2 [non-material]. (8) Observation 3: the Opelousas/Baton Rouge to Basco tanker embodied leg counts the empty return twice: its 1,946 mi is a round trip on the factor 'Tanker Truck Total Embodied Emissions (MTCO2e)/Mile w/ Deadhead' (deadhead share 0.438); 0.140809 t over, conservative; added to 9.2 [material]. (9) Observation 4: 3.5 treated W4's round-trip rail embodied miles as the departure (+0.235078 t against one way in W1-W3); the railcar factor is 'Embodied Emissions per Mile Traveled (MTCO2e)' with no uplift, so the round trip fits it; 3.5 now says the basis needs settling for the period, not W4 reverting to one way; no evidence figure changed [non-material]. (10) Observation 5: the Kerry sample in the same SGS order (5506143) reads acid number 154 next to the AECN 156; added to 8.1 [non-material]. (11) Observation 6: 7.3 and 7a.3 called the discount correct without noting site electricity inputs with no +/-: 'Argon Electricity Usage' 2,602.43355 kWh (2% adds 0.0001189 t to the discount) and the procured-power inputs (effect not quantified); knowledge base: 'Electricity → Grid Electricity Usage: 0.02 × Measured Value (2%)'. The resolution accepted it as 'outside this batch's scope' and carried it in 7a.1 and 7.3 [material]. (12) Observation 8: the Ops Notes AECN Truck tab header reads 'BATCH HEADER — AECN Truck (Direct from Fort Lupton)'; every W4 BOL ships from Port-Cartier, Québec; added to 1.4 [non-material]. (13) The three Drive searches for a SOPOR-to-Baton Rouge rail distance record (02:18:18Z) did not try Certify's own figure ('The QA's own searches never tried 2153, Certify's figure.'); the QA agent ran that search in the resolution (50 results, no rail-distance record) and cited it in 3.5; knowledge base 13A: 'Never conclude data is absent without exhausting all navigation methods' [laziness, non-material]. Material = a wrong or missing mass, emission, BCU, discount or net figure. Non-material = status grades, wording, disclosure, labels and supporting evidence with no Net CDR effect or whose correction sits in another row. Laziness per knowledge base 0B: 'Writing a status without reading the source; spot-checking instead of checking all; declaring data absent without exhaustive search'. Not counted: observation 2 (rebutted: COBB books SHPX215061, SHPX215067 and SHPX215073 in INJ-10-2026-W1, injection completion 2026-10-02); observation 7 (rule files give the H1 factor 0.10402; the checklist used the sheet's H2 value 0.1371171258); the 2.6a title point (rebutted); the 9.8 alternative net 362.069096 t against 362.069035 t, which the reviewer confirmed and the resolution now states; the reviewer's loss figure 0.054893 t, which the resolution gives as 0.054891 t at Certify's own rate. SELF-CAUGHT ERRORS, RUN 3: 0. The resolution adds nothing the reviewer did not raise, and the step ledger marks every entered step done. Not counted: drafting fixes made before any finished file used them (sister-batch statuses carried from run 1's log and '02:0x' placeholder times in the source-read log builder, 02:20Z to 02:21Z; a blank folder-record time, 08:27Z; a recompute variant that still shared the rail-mass entry, found on its first test run, 09:22Z; a missing citation on 7a.3 stopped by the build's own check, 09:24Z). AQ18 unchanged at 1 (run 2's P5 failure). MAX AND GARRETT: Max sent two messages during run 3, before T5: 09:37:58Z 'Yo what is this nonsense?' (after the 159-line recompute printout was posted at 09:27:36Z and re-sent whole at 09:31:36Z, step ledger G2_recompute_pasted) and 09:41:26Z 'FINISH THE FUCKING JOB AND GET BACK TO ME DUMBASS'. Not counted in O or U at this update: the skill counts 'Each distinct issue flagged by Max or Garrett during their review', and run 3 has not been presented for review (T5 not reached); to be settled at T6. Max round 1 on run 1 (O 4, R 3, S 0, T 4, U 1) and Garrett 0 (I, P, V) carry over unchanged. TIMING (columns AB to AF from batch_timestamps.json, UTC): T0 01:10:10Z, T1 02:18:50Z, T2 08:39:32Z, T3 09:25:59Z, T4 09:26:20Z; data gathering 68.67 min, checklist build 380.70 min, adversarial review 46.45 min, finalization 0.35 min, agent time T0 to T4 496.17 min (formulas AK to AO). T1 was stamped 11 s after the QA agent posted 'Every Gate 1 source is read for run 3' (02:18:38Z). After T1: certify_sources_enumeration_run3.json saved 02:19:44Z; the Gate 1 mass-chain script ran 02:25:28Z to 08:23:31Z and the Gate 1 exit registry update was 08:24:07Z; overnight-edit re-checks (Ops Notes re-export, Certify re-pull, change record) 08:25:47Z to 08:27:14Z. T2 and T3 were stamped with date -u. T3 was stamped at Gate 3 close: the review file was last saved 09:12:48Z and its result reached the QA agent at 09:13:05Z (session record); the resolution was first written 09:25:44Z to 09:25:55Z. The T2 to T3 interval therefore includes 12 min 54 s of resolution work after the verdict arrived, and T3 to T4 covers the last rebuild. The checklist fingerprint at T3 (b566815f..., registry gate3_summary) differs from the final file. T4 equals the last save of the checklist and source-read log, after the recompute's FINDING 3.5 rewording (09:26:14Z); it was written into the file at 09:42:20Z, after the Excel render check (09:41:44Z to 09:42:16Z), as the checklist's save time, not a date reading at that moment. adversarial_resolution.md was re-saved 09:30:10Z and 09:30:26Z (wording, after a citation guard at 09:29:31Z), after T4. Machine sleep inside the intervals (pmset, BST converted to UTC): asleep 01:27:36Z to 01:32:20Z, 01:33:05Z to 01:49:51Z and 01:51:11Z to 02:06:47Z, 37.10 min inside T0 to T1 (session record: 'Your computer went to sleep mid-response' at 01:32:20Z and 01:49:51Z); inside T1 to T2 the session record has no entries from 02:25:29Z to 08:23:32Z (358.06 min) while the mass-chain script ran, and pmset shows the Mac asleep from 03:08:00Z, apart from short wakes, until a lid-open wake at 08:22:02Z. The duration columns carry the stamped times and include this sleep. T5 to T10 not reached; Duration (K) stays blank until T6. STEP LEDGER (last saved 09:42:55Z): 32 of the 33 required steps entered, all 32 marked done; G4_monitor_independent (this update) not yet entered. Checked against the session record: monitor started 01:10:29Z; registry check announced 01:10:42Z; Failure Categories posted 01:11:11Z and re-sent whole 01:11:27Z, before Gate 1 began (01:11:52Z); VVB guidance reported read in full at 01:12:18Z, before the W4 folder copy (listed 01:12:50Z).No ledger_audit.json or gate_receipt.json in the folder at this update. CELLS CHANGED AT THIS UPDATE: AC18 blank to 2026-10-07 02:18:50; AD18 blank to 08:39:32; AE18 blank to 09:25:59; AF18 blank to 09:26:20; Y18 blank to 30; Z18 blank to 13; AA18 blank to 14; M18 blank to 5; AS18 blank to 2; AT18 blank to 11; AU18 blank to 2; E18 and W18 status; these notes (L18, X18). Unchanged: AB18 (T0), AQ18 (1), O, P, R, S, T, U, V, I, and every formula (F, G, H, J, K, N, Q, AK to AP, AR). RUN 3 KICKOFF UPDATE (tracker saved 01:15:20Z), as written: Independent monitor, kickoff update; the monitor's date -u read 2026-10-07 01:10:32 UTC. T0 2026-10-07T01:10:10Z, from batch_timestamps.json (run 3; not changed by the monitor) and the QA agent's own date command at 01:10:09Z in the session record (a1f81278). Monitor started 01:10:29Z, 19 s after T0. Run 3 T1 to T10 not reached. Run 2 files are in run2_2026-10-07_superseded/. WHY RUN 2 WAS ABANDONED: pre-flight step P5 (registry check) was skipped. The AECN skill's 'Pre-Flight Gate (MANDATORY — blocks Gate 1)' says 'Before opening any Drive folder, Certify URL, or COBB, execute these steps in order:'; step 5 reads 'Check `qa_active_batches.json` in the MRV Expert workspace to see if the batch is resuming from a prior session.' Run 2 began Gate 1 at 22:50:38Z ('Gate 1 step 0: finding and reading the September VVB guidance before anything else', then a Drive search at 22:50:38Z). The session record and every helper-agent record show no opening of qa_active_batches.json between run 2's T0 (22:46:58Z) and run 3's T0; the first is at 01:10:43Z, in run 3. Run 2 had reached T1 (01:06:50Z, run 2 batch_timestamps.json) and started Gate 2 (01:07:04Z) when the QA agent found the skip itself (01:08:53Z: 'Run 2's pre-flight did not open the registry file between kickoff and the first Drive call.'). It restarted from kickoff as run 3 at 01:10:10Z. COUNTED AS A PROCESS FAILURE BY THE QA AGENT: 1, in AQ18 (Errors Self-Caught (QA agent)) [laziness, non-material]. Laziness basis, as for run 1's P4, T0 and G1_0 misses: the knowledge base counts as laziness 'each instance where Claude failed the exhaustiveness rule (Section 0)', and Section 0A says 'No skipping, no parallelizing across gates, no exceptions.' Non-material: skipping the registry check changes no mass, emission, BCU, discount or net figure. Not added to O, Q, R, S, T or U: the skill counts as an error 'Each distinct issue flagged by Max or Garrett during their review', and neither flagged this one; R, S and T break down the errors in Q (Max plus Garrett), as in row 15 and run 1, where steps the QA agent itself recorded as skipped stayed out of R. No new iteration. Knowledge base 0B also defines a Gate Violation, 'Attempting to proceed past a gate without completing it', at '+5 per occurrence (this is a structural failure)'; the tracker has no Gate Violation column, and run 1's P4 miss, also a pre-flight step, was logged as laziness, so this one is logged the same way. AQ18 holds only this run 2 failure; add run 3's own self-caught errors to it at T4, do not reset it. CELLS CHANGED AT THIS UPDATE: AB18 T0 was 22:46:58Z (run 2), now 01:10:10Z; E18 and W18 status; AQ18 blank to 1; these notes (L18, X18). Run 2's T1 (01:06:50Z) was never entered in AC18 (blank before and after). Run 2 data gathering 139.87 min (T0 22:46:58Z to T1 01:06:50Z); run 2 T0 to run 3 T0 143.20 min. Run 2 produced no checklist, item counts or Max review. A18 stays 2026-10-06, the day QA on this batch first started. Max and Garrett counts from run 1 (O, P, R, S, T, U, V) carry over unchanged. RUN 2 (superseded), notes as last written before run 3: Independent monitor, kickoff update; the monitor's date -u read 2026-10-06 22:47:28 UTC. Run 2 restarted the whole QA from kickoff after Max rejected run 1. T0 2026-10-06T22:46:58Z, from batch_timestamps.json (run 2; not changed by the monitor) and the QA agent's own date command in the session record (a1f81278). Monitor started 22:47:24Z, 26 s after T0. Run 2 T1 to T10 not reached. Run 1 files are in run1_2026-10-06_superseded/. MAX ROUND 1, ON RUN 1 (counted in O, R, S, T and U): 1 iteration, 4 errors: material 0, non-material 4, laziness 3. Run 1 results went to Max in chat at 22:05:42Z (T5 not stamped: N/A, not captured) with 'Delivery is held: the gate check blocks it because I missed three required steps, and only you can approve sending with those misses on record.' Max, 22:43:49Z: 'Have you completed all steps without being lazy or skipping anything?' QA agent, 22:44:28Z: 'No. Three required steps weren't done as written', ending 'The decision still with you is whether to approve sending with those three misses on record.' Max, 22:46:02Z: 'What the fuck kind of a question is that!? Do your god damn job.' Run 1 delivery rejected; the QA agent restarted at 22:46:58Z. (R1) P4_failure_categories_printed: the Failure Categories were not printed to chat before Gate 1 (first batch source opened 18:21:49Z). First printed in the 22:05:42Z message, headed 'late; it belonged before Gate 1' [laziness, non-material]. (R2) T0_stamped_monitor_triggered: T0 stamped at kickoff (18:20:56Z), but the performance monitor was not started until 21:15:39Z, after Gate 3 [laziness, non-material]. (R3) G1_0_vvb_guidance_full: the Drive folder was listed from 18:21:49Z and the Certify removal record pulled at 18:23:35Z, before the VVB guidance was read in full at 18:25:18Z [laziness, non-material]. (R4) Asked Max twice (22:05:42Z, 22:44:28Z) to approve sending with the three misses on record instead of doing the steps [non-material]; counted as in row 15 (H2, H4). Sources for R1 to R3: run 1 step_ledger.json (all three 'done': false) and ledger_audit.json (all three 'not_done', audited 21:58:48Z), checked against the session record. Laziness basis: the knowledge base counts as laziness 'each instance where Claude failed the exhaustiveness rule (Section 0)', and Section 0A says 'No skipping, no parallelizing across gates, no exceptions.' Non-material: none of the four changes a mass, emission, BCU, discount or net figure. These counts replace run 1's 'Errors found by Max 0' and its 'Not counted' entry for the step-ledger misses (below). Garrett: 0 errors, 0 iterations (I, P, V). CELLS RESET FOR RUN 2 AT THIS UPDATE (run 1 values kept here): AB18 T0 was 18:20:56Z, now 22:46:58Z. Cleared: AC18 T1 18:52:48Z, AD18 T2 19:14:24Z, AE18 T3 19:42:08Z, AF18 T4 21:26:50Z; Y18 Pass 30, Z18 Fail 9, AA18 Flag 18, M18 N/A 5; AQ18 self-caught 1, AS18 reviewer-caught material 2, AT18 reviewer-caught non-material 12, AU18 reviewer-caught laziness 3. Run 1 durations: data gathering 31.87 min, checklist build 21.60 min, adversarial review 27.73 min, finalization 104.70 min, agent time T0 to T4 185.90 min. RUN 1 (superseded), notes as last written before run 2: Independent monitor count, measured 2026-10-06 from batch_timestamps.json, the checklist (column C counted with openpyxl), adversarial_review.md, adversarial_resolution.md and the source-read log. AECN rail, Basco 6; removal rmv_1M3Z5YJN51S0SN1Q, period 2026-09-19 to 2026-09-25 (source-read log). Checklist column C: 30 Pass / 9 Fail / 18 Flag / 5 N/A (62 rows, including sidebar Flag S.1); counted three times (before and after the checklist re-saves at 21:18:20Z and 21:26:50Z), same counts each time; checklist fingerprint at the last count 0ae9fe8f... At Gate 3 review: 30 Pass / 10 Fail / 17 Flag / 5 N/A (reviewer's table). Errors found by Max 0 and by Garrett 0 so far: neither has reviewed (T5 to T10 not reached). Gate 3: the independent reviewer read 62 rows, confirmed 53 and challenged 9; the resolution accepted all 9: status changes on 3 (3.1 Flag to Fail; 7a.1 and 9.8 Fail to Flag), 7.4 sent back for an unread source and re-graded Flag after the read, evidence corrections on 5 (1.4, 1.5, 3.7, 8.3, 9.9). The reviewer added 7 missed findings (M1 to M7); the resolution put all 7 into checklist rows. Reviewer-caught errors 14 (errors found before Max; not counted as Max or Garrett errors): material 2, non-material 12, laziness 3. (1) 3.1 graded Flag though the nine W4 BOLs are in neither the batch folder nor the 72 Certify sources; AECN skill line 282: 'Missing evidence = FAIL (you cannot confirm what you cannot see)' [non-material]; (2) 7a.1 graded Fail; the missing +/- on the Baton Rouge rail mass moves the discount 0.000021 to 0.000084 t, inside the skill's '~0.001 tCO2e' tolerance (line 284) [non-material]; (3) 9.8 evidence net 360.818 t held the BCU at 19.339 t, against the checklist's own 9.6; with the BCU at the corrected process sum the net is 362.069 t, +0.001 t against Certify; includes M6: the effect is a 1.2507707 t larger BCU draw, not a change in net [material]; (4) 7.4 said no RP-level statement existed; the QA agent's own log named the September results workbook 'as of 2026-10-04'; opened only after the send-back, W4 row then matched Certify; knowledge base 13A: 'Never conclude data is absent without exhausting all navigation methods' [laziness, non-material]; (5) 1.4 and 8.3 called P13 'PARTIAL' wrong; P9 asks 'Full Railcar This Week?' and PARTIAL is correct [non-material]; (6) 1.5 and 3.7 read BOL 2466-R as 3 pages; it has 5 (TSCA form and PO); all 12 packages carry the El Dorado PO, 8 have a blank seller signature; knowledge base Gate 1: open the BOL 'and read every page' [laziness, non-material]; (7) 9.9 compared two route maps by file size (891,889 bytes); their content fingerprints differ; Failure Category 3: 'File metadata is never evidence' [laziness, non-material]; (8) M1: the guidance clause behind booking SHPX215079 across two weeks is in the 09-29 fetch and gone from the 10-06 fetch [non-material]; (9) M2: both Certify-attached Ops Notes copies show SHPX215079 loss G13 -392.76368 kg [non-material]; (10) M3: the older attached copy's M13 gives the cut as 'about 390.76 kg' (true 392.76368 kg) and M10 calls the 2499-R gap unresolved; W2's BOL 2499-T answers it [non-material]; (11) M4: SHPX215079 rail miles total 3,200.34 across W2 (one way) and W4 (round trip); the W4 round-trip charge is already a 9.2 Fail [non-material]; (12) M5: rail embodied on lost oil counted twice, 0.000557 t, conservative [material]; (13) M7: acid number 156 against 61 (W2) and 47 (W3) sat in Pass row 4.3; moved to Flag row 8.1 [non-material]; (14) the G46 pH note is in the 10-01 Certify copy and gone from the live sheet; added to 1.4 [non-material]. Self-caught errors 1: the resolution's 1.4 line adds that the row-9 headers still name Opelousas over SHPX215053's Baton Rouge figures; the reviewer did not raise it [non-material]. Not counted: the 2 not-done steps the QA agent recorded in its own step ledger (below); detail added to rows whose grade stood (same-morning weighing of W2 offload 2 and W4 offload 3, added to 8.3; the 3.5 distance cross-checks and factor-precision note; the 9.2 Baton Rouge truck figure on the sheet factor); the reviewer's 2 reads skipped for sign-in (the September results workbook; a repeat Drive search for a SOPOR to Baton Rouge rail distance record), both done by the QA agent in the resolution; the reviewer attributes the two rules quoted in (1) and (2) to the knowledge base, but they sit in the AECN skill. Material = a wrong or missing mass, emission, BCU, discount or net figure. Non-material = status grades, wording, disclosure, labels and supporting evidence with no Net CDR effect or whose correction sits in another row. Timing (columns AB to AF from batch_timestamps.json, UTC; file times are last-saved): T3 (19:42:08Z) equals the save time of adversarial_review.md. T4 was first stamped 19:52:53Z, the checklist's save time then; the QA agent re-stamped it 21:18:20Z (timestamps file saved 21:20:25Z) and again 21:26:50Z (timestamps file saved 21:28:01Z), each equal to a checklist re-save; column AF carries 21:26:50Z. Two data-gathering files were last saved after T1 (18:52:48Z): drive_folder_listing.json 18:53:15Z and rail_distance_evidence_search.json 18:53:26Z. T3 to T4 (104.70 min) covers the first resolution and rebuild (statement report text 19:49:29Z, recompute script 19:50:29Z, checklist 19:52:53Z, resolution 19:53:19Z); no batch file carries a last-saved time between 19:53:19Z and 21:15:11Z; then the Excel render check 21:15:11Z, local Drive copies of the September results workbook 21:17:35Z and statement report 21:17:51Z, and the resolution, source-read log and checklist re-saved 21:18:17Z to 21:18:20Z (the 7.4 line now cites the local Drive read; counts unchanged); a further rebuild 21:26:28Z to 21:26:50Z (source-read log, checklist; per the coordinator, to re-point one citation for the delivery gate; counts unchanged) and Excel render check 21:27:45Z. T5 to T10 not reached; Duration (K) stays blank until T6. F, G, H and J are formulas copying U, R, S and T. Step ledger (step_ledger.json, not in the folder at 21:19Z, last saved 21:28:01Z): 33 required steps, 31 marked done, 2 not done. P4_failure_categories_printed: not printed before Gate 1; an earlier log entry claiming it was false; the session record shows no print of the list at any later time either (late prints said to be written at about 21:21Z and 21:43Z do not appear in it), so no recorded print is claimed (step ledger and source-read log, both saved 21:47:34Z). T0_stamped_monitor_triggered: T0 stamped at kickoff, but the monitor was not started until 21:15:39Z, after Gate 3; the tracker had no row for this batch before this one. G4_monitor_independent was marked done with the evidence 'PENDING monitor reply' at 21:23:09Z, before this row was finished; at 21:28:01Z its evidence cites this row. No ledger_audit.json or gate_receipt.json in the folder at 21:28Z; delivery not yet reached.</t>
        </is>
      </c>
      <c r="Y18" t="n">
        <v>31</v>
      </c>
      <c r="Z18" t="n">
        <v>13</v>
      </c>
      <c r="AA18" t="n">
        <v>13</v>
      </c>
      <c r="AB18" s="9" t="n">
        <v>46302.04872685186</v>
      </c>
      <c r="AC18" s="9" t="n">
        <v>46302.09641203703</v>
      </c>
      <c r="AD18" s="9" t="n">
        <v>46302.36078703704</v>
      </c>
      <c r="AE18" s="9" t="n">
        <v>46302.39304398148</v>
      </c>
      <c r="AF18" s="9" t="n">
        <v>46302.4243287037</v>
      </c>
      <c r="AG18" s="9" t="n"/>
      <c r="AH18" s="9" t="n"/>
      <c r="AI18" s="9" t="n"/>
      <c r="AJ18" s="9" t="n"/>
      <c r="AK18" s="7">
        <f>IF(OR(AB18="",AC18=""),"",(AC18-AB18)*1440)</f>
        <v/>
      </c>
      <c r="AL18" s="7">
        <f>IF(OR(AC18="",AD18=""),"",(AD18-AC18)*1440)</f>
        <v/>
      </c>
      <c r="AM18" s="7">
        <f>IF(OR(AD18="",AE18=""),"",(AE18-AD18)*1440)</f>
        <v/>
      </c>
      <c r="AN18" s="7">
        <f>IF(OR(AE18="",AF18=""),"",(AF18-AE18)*1440)</f>
        <v/>
      </c>
      <c r="AO18" s="7">
        <f>IF(OR(AB18="",AF18=""),"",(AF18-AB18)*1440+IF(OR(AH18="",AI18=""),0,(AI18-AH18)*1440))</f>
        <v/>
      </c>
      <c r="AP18" s="7">
        <f>IF(OR(AB18="",AJ18=""),"",(AJ18-AB18)*1440)</f>
        <v/>
      </c>
      <c r="AQ18" t="n">
        <v>2</v>
      </c>
      <c r="AR18">
        <f>AS18+AT18</f>
        <v/>
      </c>
      <c r="AS18" t="n">
        <v>2</v>
      </c>
      <c r="AT18" t="n">
        <v>11</v>
      </c>
      <c r="AU18" t="n">
        <v>2</v>
      </c>
    </row>
  </sheetData>
  <autoFilter ref="A1:X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2026-04-08T00:16:33Z</dcterms:created>
  <dcterms:modified xmlns:dcterms="http://purl.org/dc/terms/" xmlns:xsi="http://www.w3.org/2001/XMLSchema-instance" xsi:type="dcterms:W3CDTF">2026-10-07T10:14:19Z</dcterms:modified>
</cp:coreProperties>
</file>