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formance Log" sheetId="1" state="visible" r:id="rId1"/>
  </sheets>
  <definedNames>
    <definedName name="_xlnm._FilterDatabase" localSheetId="0" hidden="1">'Performance Log'!$A$1:$X$1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b val="1"/>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wrapText="1"/>
    </xf>
    <xf numFmtId="0" fontId="2" fillId="0" borderId="1" applyAlignment="1" pivotButton="0" quotePrefix="0" xfId="0">
      <alignment horizontal="center"/>
    </xf>
    <xf numFmtId="0" fontId="2" fillId="0" borderId="1" pivotButton="0" quotePrefix="0" xfId="0"/>
    <xf numFmtId="0" fontId="3" fillId="2" borderId="1" applyAlignment="1" pivotButton="0" quotePrefix="0" xfId="0">
      <alignment horizontal="center" wrapText="1"/>
    </xf>
    <xf numFmtId="0" fontId="0"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8" customWidth="1" min="4" max="4"/>
    <col width="16" customWidth="1" min="5" max="5"/>
    <col width="18" customWidth="1" min="6" max="6"/>
    <col width="18" customWidth="1" min="7" max="7"/>
    <col width="18" customWidth="1" min="8" max="8"/>
    <col width="18" customWidth="1" min="9" max="9"/>
    <col width="6" customWidth="1" min="10" max="10"/>
    <col width="6" customWidth="1" min="11" max="11"/>
    <col width="6" customWidth="1" min="12" max="12"/>
    <col width="6" customWidth="1" min="13" max="13"/>
    <col width="10" customWidth="1" min="14" max="14"/>
    <col width="12" customWidth="1" min="15" max="15"/>
    <col width="14" customWidth="1" min="16" max="16"/>
    <col width="12" customWidth="1" min="17" max="17"/>
    <col width="16" customWidth="1" min="18" max="18"/>
    <col width="14" customWidth="1" min="19" max="19"/>
    <col width="16" customWidth="1" min="20" max="20"/>
    <col width="14" customWidth="1" min="21" max="21"/>
    <col width="16" customWidth="1" min="22" max="22"/>
    <col width="20" customWidth="1" min="23" max="23"/>
    <col width="60" customWidth="1" min="24" max="24"/>
  </cols>
  <sheetData>
    <row r="1">
      <c r="A1" s="4" t="inlineStr">
        <is>
          <t>Date</t>
        </is>
      </c>
      <c r="B1" s="4" t="inlineStr">
        <is>
          <t>QA Type</t>
        </is>
      </c>
      <c r="C1" s="4" t="inlineStr">
        <is>
          <t>Site/Batch</t>
        </is>
      </c>
      <c r="D1" s="4" t="inlineStr">
        <is>
          <t>RP</t>
        </is>
      </c>
      <c r="E1" s="4" t="inlineStr">
        <is>
          <t>Status</t>
        </is>
      </c>
      <c r="F1" s="4" t="inlineStr">
        <is>
          <t>Iterations</t>
        </is>
      </c>
      <c r="G1" s="4" t="inlineStr">
        <is>
          <t>Laziness Violations</t>
        </is>
      </c>
      <c r="H1" s="4" t="inlineStr">
        <is>
          <t>Material Errors (Claude)</t>
        </is>
      </c>
      <c r="I1" s="4" t="inlineStr">
        <is>
          <t>Material Errors (Garrett)</t>
        </is>
      </c>
      <c r="J1" s="4" t="inlineStr">
        <is>
          <t>Non-Material Errors</t>
        </is>
      </c>
      <c r="K1" s="4" t="inlineStr">
        <is>
          <t>Duration</t>
        </is>
      </c>
      <c r="L1" s="4" t="inlineStr">
        <is>
          <t>Notes</t>
        </is>
      </c>
      <c r="M1" s="1" t="inlineStr">
        <is>
          <t>N/A</t>
        </is>
      </c>
      <c r="N1" s="1" t="inlineStr">
        <is>
          <t>Total Items</t>
        </is>
      </c>
      <c r="O1" s="1" t="inlineStr">
        <is>
          <t>Errors (Max)</t>
        </is>
      </c>
      <c r="P1" s="1" t="inlineStr">
        <is>
          <t>Errors (Garrett)</t>
        </is>
      </c>
      <c r="Q1" s="1" t="inlineStr">
        <is>
          <t>Total Errors</t>
        </is>
      </c>
      <c r="R1" s="1" t="inlineStr">
        <is>
          <t>Laziness Violations</t>
        </is>
      </c>
      <c r="S1" s="1" t="inlineStr">
        <is>
          <t>Material Errors</t>
        </is>
      </c>
      <c r="T1" s="1" t="inlineStr">
        <is>
          <t>Non-Material Errors</t>
        </is>
      </c>
      <c r="U1" s="1" t="inlineStr">
        <is>
          <t>Iterations (Max)</t>
        </is>
      </c>
      <c r="V1" s="1" t="inlineStr">
        <is>
          <t>Iterations (Garrett)</t>
        </is>
      </c>
      <c r="W1" s="1" t="inlineStr">
        <is>
          <t>Status</t>
        </is>
      </c>
      <c r="X1" s="1" t="inlineStr">
        <is>
          <t>Notes</t>
        </is>
      </c>
    </row>
    <row r="2">
      <c r="A2" s="2" t="inlineStr">
        <is>
          <t>Site Emissions</t>
        </is>
      </c>
      <c r="B2" s="2" t="inlineStr">
        <is>
          <t>Basco 6 LA</t>
        </is>
      </c>
      <c r="C2" s="2" t="inlineStr">
        <is>
          <t>2026-04-07</t>
        </is>
      </c>
      <c r="D2" s="2" t="inlineStr">
        <is>
          <t>Mar 3-31, 2026</t>
        </is>
      </c>
      <c r="E2" s="2" t="inlineStr">
        <is>
          <t>N/A (prior ctx)</t>
        </is>
      </c>
      <c r="F2" s="2" t="inlineStr">
        <is>
          <t>2026-04-08T00:16Z</t>
        </is>
      </c>
      <c r="G2" s="2" t="inlineStr">
        <is>
          <t>2026-04-08T00:16Z</t>
        </is>
      </c>
      <c r="H2" s="2" t="n"/>
      <c r="I2" s="2" t="n"/>
      <c r="J2" s="3" t="n">
        <v>5</v>
      </c>
      <c r="K2" s="3" t="n">
        <v>0</v>
      </c>
      <c r="L2" s="3" t="n">
        <v>11</v>
      </c>
      <c r="M2" s="3" t="n">
        <v>0</v>
      </c>
      <c r="N2" s="3">
        <f>SUM(J2:M2)</f>
        <v/>
      </c>
      <c r="O2" s="3" t="n">
        <v>0</v>
      </c>
      <c r="P2" s="3" t="n"/>
      <c r="Q2" s="3">
        <f>O2+P2</f>
        <v/>
      </c>
      <c r="R2" s="3" t="n">
        <v>0</v>
      </c>
      <c r="S2" s="3" t="n">
        <v>0</v>
      </c>
      <c r="T2" s="3" t="n">
        <v>0</v>
      </c>
      <c r="U2" s="3" t="n">
        <v>0</v>
      </c>
      <c r="V2" s="3" t="n"/>
      <c r="W2" s="3" t="inlineStr">
        <is>
          <t>Awaiting Max Review</t>
        </is>
      </c>
      <c r="X2" s="3" t="inlineStr">
        <is>
          <t>First site emissions QA. 11 FLAGS: 5 xlsx extraction blocked (manual verify needed), 3 accounting questions for Garrett, 2 BCU structural, 1 brine partial offset. Adversarial review caught: argon transport process BCU accounting gap (PASS→FLAG), summary miscount, rail EF rounding error.</t>
        </is>
      </c>
    </row>
    <row r="3">
      <c r="A3" t="inlineStr">
        <is>
          <t>2026-04-08</t>
        </is>
      </c>
      <c r="B3" t="inlineStr">
        <is>
          <t>Site Emissions</t>
        </is>
      </c>
      <c r="C3" t="inlineStr">
        <is>
          <t>Basco 6 LA</t>
        </is>
      </c>
      <c r="D3" t="inlineStr">
        <is>
          <t>Mar 3-31, 2026</t>
        </is>
      </c>
      <c r="E3" t="inlineStr">
        <is>
          <t>Awaiting Max Review (v2)</t>
        </is>
      </c>
      <c r="F3" t="n">
        <v>2</v>
      </c>
      <c r="G3" t="n">
        <v>2</v>
      </c>
      <c r="H3" t="n">
        <v>0</v>
      </c>
      <c r="I3" t="n">
        <v>0</v>
      </c>
      <c r="J3" t="n">
        <v>0</v>
      </c>
      <c r="K3" t="inlineStr">
        <is>
          <t>~90 min</t>
        </is>
      </c>
      <c r="L3" t="inlineStr">
        <is>
          <t>v1 rejected: (1) "manual verify" cop-outs across multiple items, (2) checklist too high-level (1 line per category instead of granular sub-items). v2 rebuilt with 106 granular items across 19 categories. Adversarial review upgraded 3 FLAGS to FAILs (electricity date range, SP&amp;C missing calc). 3 FAIL, 17 FLAG, 74 PASS, 12 N/A.</t>
        </is>
      </c>
    </row>
    <row r="4">
      <c r="A4" t="inlineStr">
        <is>
          <t>2026-04-29</t>
        </is>
      </c>
      <c r="B4" t="inlineStr">
        <is>
          <t>Batch</t>
        </is>
      </c>
      <c r="C4" t="inlineStr">
        <is>
          <t>2-184</t>
        </is>
      </c>
      <c r="D4" t="inlineStr">
        <is>
          <t>TBD (from Drive/Cert)</t>
        </is>
      </c>
      <c r="E4" t="inlineStr">
        <is>
          <t>Awaiting Max Review (post-recovery)</t>
        </is>
      </c>
      <c r="F4" t="n">
        <v>5</v>
      </c>
      <c r="G4" t="n">
        <v>9</v>
      </c>
      <c r="H4" t="n">
        <v>0</v>
      </c>
      <c r="I4" t="n">
        <v>0</v>
      </c>
      <c r="J4" t="n">
        <v>1</v>
      </c>
      <c r="K4" t="inlineStr">
        <is>
          <t>T0=2026-04-29T17:46:29Z; T5=2026-04-29T19:30:57Z (~1h45m agent active time)</t>
        </is>
      </c>
      <c r="L4" t="inlineStr">
        <is>
          <t>AECN rail batch — offload_3 of GPRX 5188 family (sister to 2-182/2-183/2-185). Net CDR 31.350 tCO₂e independently verified to the kg. Counts: 59 PASS / 0 FAIL / 7 FLAG / 20 N/A / 86 TOTAL. **LAZINESS PENALTIES: 9 (3 instances × 3x severity multiplier per Max).** Instance 1: Failed to read skill reference files (`skills/qa/batch-qa/references/lessons_learned.md`, `checklist_structure.md`, updated `SKILL.md`) at session start — only loaded the main KB. Failure Category 9 (per-removal rail uncertainty framing, locked in via 2-183 session yesterday) was directly applicable to R94 here. Caused incorrect FLAG on R94 ('rail mass uncertainty ±72.57 vs KB 290.28') that should have been PASS from the start. Instance 2: Gave up on R15 (trailer # on full scale ticket) after Drive image preview screenshot tools timed out, mislabeling it 'BLOCKING' and asking Max to look at the image. Failed to try canvas extraction, PDF viewer tool, or alternate Drive download approaches before declaring blocked. Instance 3: Gave up on R39 (COBB row visual verification) after JS canvas read returned 428 chars, gviz CSV redirect failed, and Drive download_file_content returned only first tab. Failed to try the Sheets URL hash fragment (`#range=A61`) approach which yesterday-me had used successfully on 2-183. Recovery (post-Max correction): (a) read skill reference files and corrected R94 to PASS with proper per-removal framing; (b) reconciled R15 to PASS on circumstantial evidence (5-axis match + mass-to-the-kg reconciliation) after image extraction was rate-limited by content guards; (c) recovered R39 via Sheets URL hash navigation — A61=2-184 confirmed plus full row read. **NEW finding caught during recovery: COBB F61 offloaded_quantity_kg (21,457.08) diverges from Ops Notes/Certify (21,844.99) by 387.91 kg (1.78%). Net CDR unaffected; flagged for Garrett.** Iterations: 5 with Max during recovery cycle. Garrett review pending.</t>
        </is>
      </c>
    </row>
    <row r="5">
      <c r="A5" t="inlineStr">
        <is>
          <t>2026-04-29</t>
        </is>
      </c>
      <c r="B5" t="inlineStr">
        <is>
          <t>Batch</t>
        </is>
      </c>
      <c r="C5" t="inlineStr">
        <is>
          <t>2-185</t>
        </is>
      </c>
      <c r="D5" t="inlineStr">
        <is>
          <t>TBD (from Drive/Cert)</t>
        </is>
      </c>
      <c r="E5" t="inlineStr">
        <is>
          <t>In Progress (T0 logged)</t>
        </is>
      </c>
      <c r="F5" t="n">
        <v>0</v>
      </c>
      <c r="G5" t="n">
        <v>0</v>
      </c>
      <c r="H5" t="n">
        <v>0</v>
      </c>
      <c r="I5" t="n">
        <v>0</v>
      </c>
      <c r="J5" t="n">
        <v>0</v>
      </c>
      <c r="K5" t="inlineStr">
        <is>
          <t>T0=2026-04-29T19:04:06Z</t>
        </is>
      </c>
      <c r="L5" t="inlineStr">
        <is>
          <t>QA initiated. AECN rail batch (sister of 2-182/183/184 on GPRX 5188). Cert: prj_1HZSSWBQM1S08H83 / rmv_1KQ7Y0Y4S1S023MT. Drive: 1LkJifO6CPs5twu7wbZg_PXULew8Wws-G.</t>
        </is>
      </c>
    </row>
    <row r="6">
      <c r="A6" s="5" t="inlineStr">
        <is>
          <t>2026-05-01</t>
        </is>
      </c>
      <c r="B6" s="5" t="inlineStr">
        <is>
          <t>Batch</t>
        </is>
      </c>
      <c r="C6" s="5" t="inlineStr">
        <is>
          <t>2-187</t>
        </is>
      </c>
      <c r="D6" s="5" t="inlineStr">
        <is>
          <t>Apr 2026 (RP 4/1-4/5)</t>
        </is>
      </c>
      <c r="E6" s="6" t="inlineStr">
        <is>
          <t>CLEAN BATCH — Max approved, awaiting Garrett</t>
        </is>
      </c>
      <c r="F6" s="5" t="n">
        <v>1</v>
      </c>
      <c r="G6" s="5" t="n">
        <v>0</v>
      </c>
      <c r="H6" s="5" t="n">
        <v>0</v>
      </c>
      <c r="I6" s="5" t="n"/>
      <c r="J6" s="5" t="n">
        <v>0</v>
      </c>
      <c r="K6" s="5" t="inlineStr">
        <is>
          <t>T0=16:52:41Z, T4=17:34:35Z (audit clean = 42m), T5=17:39Z (Max approval ≈46m), T7=17:39:58Z (Garrett notified)</t>
        </is>
      </c>
      <c r="L6" s="5" t="inlineStr">
        <is>
          <t>FIRST CLEAN SWEEP per Max ("All findings are legit. Great work! cause for celebration"). AECN rail, railcar TIMX201060, offload_2 of 4 (NOT last). Net CDR 29.48 tCO2e. 51 Pass / 0 Fail / 2 Flag / 4 N/A. Both flags COBB-side hygiene shared with 2-186 (stale origin_qty + pH "33" typo + 4 generic Certify filenames + 2314-T BOL filename).</t>
        </is>
      </c>
      <c r="M6" s="5" t="n">
        <v>4</v>
      </c>
      <c r="N6" s="5" t="n">
        <v>57</v>
      </c>
      <c r="O6" s="5" t="n">
        <v>0</v>
      </c>
      <c r="P6" s="5" t="n"/>
      <c r="Q6" s="5" t="n"/>
      <c r="R6" s="5" t="n">
        <v>0</v>
      </c>
      <c r="S6" s="5" t="n">
        <v>0</v>
      </c>
      <c r="T6" s="5" t="n">
        <v>0</v>
      </c>
      <c r="U6" s="5" t="n">
        <v>0</v>
      </c>
      <c r="V6" s="5" t="n"/>
      <c r="W6" s="5" t="inlineStr">
        <is>
          <t>CLEAN BATCH (awaiting Garrett)</t>
        </is>
      </c>
      <c r="X6" s="5" t="inlineStr">
        <is>
          <t>Pre-flight gate honored, all 4 gates clean (audit script 0 failures). Adversarial review 0 challenges. First clean sweep — streak counter = 1 (resets on any error from Garrett review).</t>
        </is>
      </c>
    </row>
    <row r="7">
      <c r="A7" s="5" t="inlineStr">
        <is>
          <t>2026-05-04</t>
        </is>
      </c>
      <c r="B7" s="5" t="inlineStr">
        <is>
          <t>Batch</t>
        </is>
      </c>
      <c r="C7" s="5" t="inlineStr">
        <is>
          <t>2-191</t>
        </is>
      </c>
      <c r="D7" s="5" t="inlineStr">
        <is>
          <t>Apr 2026 (Certify removal date 11 Apr 2026)</t>
        </is>
      </c>
      <c r="E7" s="6" t="inlineStr">
        <is>
          <t>CLEAN BATCH — Max approved, awaiting Garrett</t>
        </is>
      </c>
      <c r="F7" s="5" t="n">
        <v>1</v>
      </c>
      <c r="G7" s="5" t="n">
        <v>0</v>
      </c>
      <c r="H7" s="5" t="n">
        <v>0</v>
      </c>
      <c r="I7" s="5" t="n"/>
      <c r="J7" s="5" t="n">
        <v>0</v>
      </c>
      <c r="K7" s="5" t="inlineStr">
        <is>
          <t>T0=16:11:12Z, T4=17:03:55Z (audit clean = 52m 43s), T5=17:18:12Z, T6=18:30:00Z (Max approval ≈1h 12m post-T5), T7=18:30:00Z (Garrett notified)</t>
        </is>
      </c>
      <c r="L7" s="5" t="inlineStr">
        <is>
          <t>CLEAN BATCH per Max ("OK were good here. Approved, nice work."). AECN rail, railcar TILX200231, offload_2 of N+ (NOT last; sisters 2-190 offload_1, 2-192 offload_3 — cumulative 65,335 kg of 77,270 kg loaded, ~11,935 kg remaining → at least one more offload to come). Net CDR 25.71 tCO2e (precise 25.714). 52 Pass / 0 Fail / 1 Flag / 4 N/A. Single flag (9.9) is shared rail-batch hygiene (4 generic filenames + rail Process EF in Embodied PDF + AECN Process xlsx linked to Embodied datapoint + BCU cert filename) — same shared set as sisters 2-185/186/187/189/190. Slight improvement vs sisters: Truck Embodied EF source descriptive ("Truck Embodied Emissions.png"). All 10 component modals opened individually for ±72.57 kg uncertainty extraction. Pre-delivery audit script 0 failures / 53 rows. Adversarial review 0 challenges. Max approved on 1st pass with no edits.</t>
        </is>
      </c>
      <c r="M7" s="5" t="n">
        <v>4</v>
      </c>
      <c r="N7" s="5" t="n">
        <v>57</v>
      </c>
      <c r="O7" s="5" t="n">
        <v>0</v>
      </c>
      <c r="P7" s="5" t="n"/>
      <c r="Q7" s="5">
        <f>O7+P7</f>
        <v/>
      </c>
      <c r="R7" s="5" t="n">
        <v>0</v>
      </c>
      <c r="S7" s="5" t="n">
        <v>0</v>
      </c>
      <c r="T7" s="5" t="n">
        <v>0</v>
      </c>
      <c r="U7" s="5" t="n">
        <v>0</v>
      </c>
      <c r="V7" s="5" t="n"/>
      <c r="W7" s="5" t="inlineStr">
        <is>
          <t>CLEAN BATCH (awaiting Garrett)</t>
        </is>
      </c>
      <c r="X7" s="5" t="inlineStr">
        <is>
          <t>Pre-flight gate honored (failure category list printed before Gate 1), all 4 gates clean. FC9/FC11 correctly identified as DEFERRED (non-last offload of railcar). FC11 last-offload mass policy correctly NOT applied (raw scale ticket math authoritative for offload_2). Independent gross-to-net reconciles to Certify exactly: 21,133.36 × 0.369 × 3.667 = 28,596 kg = Sequestrations. BCU 1.587 t = exact transport process sum (0.263+1.219+0.105). Same-day clean streak with 2-190 (also approved today). Streak counter += 1.</t>
        </is>
      </c>
    </row>
  </sheetData>
  <autoFilter ref="A1:X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2026-04-08T00:16:33Z</dcterms:created>
  <dcterms:modified xmlns:dcterms="http://purl.org/dc/terms/" xmlns:xsi="http://www.w3.org/2001/XMLSchema-instance" xsi:type="dcterms:W3CDTF">2026-05-04T23:33:36Z</dcterms:modified>
</cp:coreProperties>
</file>